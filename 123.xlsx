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660" windowHeight="13160"/>
  </bookViews>
  <sheets>
    <sheet name="高奢潮鞋世家商品导入 0417"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<sst xmlns="http://schemas.openxmlformats.org/spreadsheetml/2006/main" count="4417" uniqueCount="3425">
  <si>
    <t>微店 ID</t>
  </si>
  <si>
    <t>微店商品 ID</t>
  </si>
  <si>
    <t>微店商品链接</t>
  </si>
  <si>
    <t>共享货源URL</t>
  </si>
  <si>
    <t>SKU图片地址</t>
  </si>
  <si>
    <t>品类</t>
  </si>
  <si>
    <t>品牌</t>
  </si>
  <si>
    <t>人民币</t>
  </si>
  <si>
    <t>美元</t>
  </si>
  <si>
    <t>跑Tittle 的 ai</t>
  </si>
  <si>
    <t>Tittle</t>
  </si>
  <si>
    <t>跑Description 的 ai</t>
  </si>
  <si>
    <t>Description</t>
  </si>
  <si>
    <t>Keyword 跑 ai</t>
  </si>
  <si>
    <t>Keyword</t>
  </si>
  <si>
    <t>TAG</t>
  </si>
  <si>
    <t>文本</t>
  </si>
  <si>
    <t>SLUG</t>
  </si>
  <si>
    <t>共享货源微信</t>
  </si>
  <si>
    <t>1688商品编码</t>
  </si>
  <si>
    <t>1688型号编码</t>
  </si>
  <si>
    <t>中文描述</t>
  </si>
  <si>
    <t>中文描述.提取值1</t>
  </si>
  <si>
    <t>Shoes</t>
  </si>
  <si>
    <t>Adidas</t>
  </si>
  <si>
    <t>216</t>
  </si>
  <si>
    <t>{"id":"chatcmpl-DVZKXMe4X99wKBY2Wse2yC6LYvkbl","object":"chat.completion","created":1776416349,"model":"gpt-5-chat-latest","choices":[{"index":0,"message":{"role":"assistant","content":"Adidas Campus 00s Grey White Black Suede Shoes","refusal":null,"annotations":[]},"logprobs":null,"finish_reason":"stop"}],"usage":{"prompt_tokens":894,"completion_tokens":13,"total_tokens":907,"prompt_tokens_details":{"cached_tokens":0,"audio_tokens":0},"completion_tokens_details":{"reasoning_tokens":0,"audio_tokens":0,"accepted_prediction_tokens":0,"rejected_prediction_tokens":0}},"service_tier":"default","system_fingerprint":"fp_ad66631dec"}</t>
  </si>
  <si>
    <t>Adidas Campus 00s Grey White Black Suede Shoes</t>
  </si>
  <si>
    <t>{"choices":[{"finish_reason":"stop","index":0,"logprobs":null,"message":{"annotations":[],"content":"Adidas CAMPUS 00s Grey White Black Suede Sneakers, featuring iconic 3-Stripes leather design, retro 90s skate style, thick rubber sole for comfort and grip, unisex casual streetwear shoes.","refusal":null,"role":"assistant"}}],"created":1776415268,"id":"chatcmpl-DVZ36p7xGAH7tMmwuj63Jm3NGfxUn","model":"gpt-5-chat-latest","object":"chat.completion","service_tier":"default","system_fingerprint":"fp_ad66631dec","usage":{"completion_tokens":46,"completion_tokens_details":{"accepted_prediction_tokens":0,"audio_tokens":0,"reasoning_tokens":0,"rejected_prediction_tokens":0},"prompt_tokens":904,"prompt_tokens_details":{"audio_tokens":0,"cached_tokens":0},"total_tokens":950}}</t>
  </si>
  <si>
    <t>Adidas CAMPUS 00s Grey White Black Suede Sneakers, featuring iconic 3-Stripes leather design, retro 90s skate style, thick rubber sole for comfort and grip, unisex casual streetwear shoes.</t>
  </si>
  <si>
    <t>{"id":"chatcmpl-DVZbiD43cNSi5gtG9di8AY9q1Uadu","object":"chat.completion","created":1776417414,"model":"gpt-5-chat-latest","choices":[{"index":0,"message":{"role":"assistant","content":"Adidas,Shoes,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87,"total_tokens":870,"prompt_tokens_details":{"cached_tokens":0,"audio_tokens":0},"completion_tokens_details":{"reasoning_tokens":0,"audio_tokens":0,"accepted_prediction_tokens":0,"rejected_prediction_tokens":0}},"service_tier":"default","system_fingerprint":"fp_ad66631dec"}</t>
  </si>
  <si>
    <t>Adidas,Shoes,kakobuy,kakebuy2026,kekobuysheet,kakobuysheet2026,2026kakobuy,kakobuyspreadsheeet,kakobuylink,kakebuylist,Kakobuy MEGA Spreadsheet,kakobuysheetfind,kakobuysheetfind2026,2026kakobuysheetfind,kakobuysheet2026</t>
  </si>
  <si>
    <t>ADIDAS, Suede, Grey, White, Black, Retro</t>
  </si>
  <si>
    <t>recvgxCPQcUU88</t>
  </si>
  <si>
    <t>adidas-campus-00s-grey-white-black-suede-recvgxcpqc uu88</t>
  </si>
  <si>
    <t>{"choices":[{"finish_reason":"stop","index":0,"logprobs":null,"message":{"annotations":[],"content":"Adidas：CAMPUS 00s 灰白黑配色休闲滑板鞋，优质麂皮鞋面搭配经典三条纹皮质设计，复古90年代街头风格，厚底橡胶外底舒适防滑，男女同款日常百搭运动鞋。","refusal":null,"role":"assistant"}}],"created":1776411870,"id":"chatcmpl-DVYAIUnf2dxxN9OiFgmmfpHXtYKzc","model":"gpt-5-chat-latest","object":"chat.completion","service_tier":"default","system_fingerprint":"fp_ad66631dec","usage":{"completion_tokens":70,"completion_tokens_details":{"accepted_prediction_tokens":0,"audio_tokens":0,"reasoning_tokens":0,"rejected_prediction_tokens":0},"prompt_tokens":1300,"prompt_tokens_details":{"audio_tokens":0,"cached_tokens":0},"total_tokens":1370}}</t>
  </si>
  <si>
    <t>Adidas：CAMPUS 00s 灰白黑配色休闲滑板鞋，优质麂皮鞋面搭配经典三条纹皮质设计，复古90年代街头风格，厚底橡胶外底舒适防滑，男女同款日常百搭运动鞋。</t>
  </si>
  <si>
    <t>Louis Vuitton</t>
  </si>
  <si>
    <t>685</t>
  </si>
  <si>
    <t>{"id":"chatcmpl-DVZGwNXufZ4zElHC9yYUjQyvpL2Lk","object":"chat.completion","created":1776416126,"model":"gpt-5-chat-latest","choices":[{"index":0,"message":{"role":"assistant","content":"Louis Vuitton Blue White Men’s Leather Mesh Sneakers","refusal":null,"annotations":[]},"logprobs":null,"finish_reason":"stop"}],"usage":{"prompt_tokens":878,"completion_tokens":10,"total_tokens":888,"prompt_tokens_details":{"cached_tokens":0,"audio_tokens":0},"completion_tokens_details":{"reasoning_tokens":0,"audio_tokens":0,"accepted_prediction_tokens":0,"rejected_prediction_tokens":0}},"service_tier":"default","system_fingerprint":"fp_ad66631dec"}</t>
  </si>
  <si>
    <t>Louis Vuitton Blue White Men’s Leather Mesh Sneakers</t>
  </si>
  <si>
    <t>{"choices":[{"finish_reason":"stop","index":0,"logprobs":null,"message":{"annotations":[],"content":"Louis Vuitton Blue White Men’s Sneakers feature premium leather and mesh, Monogram flower detail, 3D layered design, cushioned sole, offering breathable comfort and modern luxury street style.","refusal":null,"role":"assistant"}}],"created":1776415104,"id":"chatcmpl-DVZ0S05SOvBsQP2JAaQcAicZcvTXz","model":"gpt-5-chat-latest","object":"chat.completion","service_tier":"default","system_fingerprint":"fp_ad66631dec","usage":{"completion_tokens":38,"completion_tokens_details":{"accepted_prediction_tokens":0,"audio_tokens":0,"reasoning_tokens":0,"rejected_prediction_tokens":0},"prompt_tokens":912,"prompt_tokens_details":{"audio_tokens":0,"cached_tokens":0},"total_tokens":950}}</t>
  </si>
  <si>
    <t>Louis Vuitton Blue White Men’s Sneakers feature premium leather and mesh, Monogram flower detail, 3D layered design, cushioned sole, offering breathable comfort and modern luxury street style.</t>
  </si>
  <si>
    <t>{"choices":[{"finish_reason":"stop","index":0,"logprobs":null,"message":{"annotations":[],"content":"Louis Vuitton, Shoes, kakobuy, kakebuy2026, kekobuysheet, kakobuysheet2026, 2026kakobuy, kakobuyspreadsheeet, kakobuylink, kakebuylist, Kakobuy MEGA Spreadsheet, kakobuysheetfind, kakobuysheetfind2026, 2026kakobuysheetfind, kakobuysheet2026","refusal":null,"role":"assistant"}}],"created":1776417328,"id":"chatcmpl-DVZaKLdCrq4X32i3VVepSblzieLqB","model":"gpt-5-chat-latest","object":"chat.completion","service_tier":"default","system_fingerprint":"fp_ad66631dec","usage":{"completion_tokens":91,"completion_tokens_details":{"accepted_prediction_tokens":0,"audio_tokens":0,"reasoning_tokens":0,"rejected_prediction_tokens":0},"prompt_tokens":783,"prompt_tokens_details":{"audio_tokens":0,"cached_tokens":0},"total_tokens":874}}</t>
  </si>
  <si>
    <t>Louis Vuitton, Shoes, kakobuy, kakebuy2026, kekobuysheet, kakobuysheet2026, 2026kakobuy, kakobuyspreadsheeet, kakobuylink, kakebuylist, Kakobuy MEGA Spreadsheet, kakobuysheetfind, kakobuysheetfind2026, 2026kakobuysheetfind, kakobuysheet2026</t>
  </si>
  <si>
    <t>LV, Leather, Mesh, Blue, White, Men</t>
  </si>
  <si>
    <t>recvgxCPQc5FCf</t>
  </si>
  <si>
    <t>louis-vuitton-blue-white-leather-mesh-recvgxcpqc5fcf</t>
  </si>
  <si>
    <t>{"choices":[{"finish_reason":"stop","index":0,"logprobs":null,"message":{"annotations":[],"content":"Louis Vuitton：蓝白配色男士运动鞋，甄选优质皮革与网面材质，轻盈透气。侧面饰以Monogram花卉图腾，结合立体拼接设计与厚底缓震功能，兼具街头时尚与舒适穿搭体验，展现现代奢华运动风格。","refusal":null,"role":"assistant"}}],"created":1776412134,"id":"chatcmpl-DVYEYsWPcpzndZarhxZBA5GwCJs8F","model":"gpt-5-chat-latest","object":"chat.completion","service_tier":"default","system_fingerprint":"fp_ad66631dec","usage":{"completion_tokens":79,"completion_tokens_details":{"accepted_prediction_tokens":0,"audio_tokens":0,"reasoning_tokens":0,"rejected_prediction_tokens":0},"prompt_tokens":1298,"prompt_tokens_details":{"audio_tokens":0,"cached_tokens":1280},"total_tokens":1377}}</t>
  </si>
  <si>
    <t>Louis Vuitton：蓝白配色男士运动鞋，甄选优质皮革与网面材质，轻盈透气。侧面饰以Monogram花卉图腾，结合立体拼接设计与厚底缓震功能，兼具街头时尚与舒适穿搭体验，展现现代奢华运动风格。</t>
  </si>
  <si>
    <t>Off White</t>
  </si>
  <si>
    <t>446</t>
  </si>
  <si>
    <t>{"choices":[{"finish_reason":"stop","index":0,"logprobs":null,"message":{"annotations":[],"content":"Off-White White Trail 3D Arrow Chunky Sneakers","refusal":null,"role":"assistant"}}],"created":1776415856,"id":"chatcmpl-DVZCaWHU3nPk2Pzoe1xqjZF2DqUCv","model":"gpt-5-chat-latest","object":"chat.completion","service_tier":"default","system_fingerprint":"fp_ad66631dec","usage":{"completion_tokens":13,"completion_tokens_details":{"accepted_prediction_tokens":0,"audio_tokens":0,"reasoning_tokens":0,"rejected_prediction_tokens":0},"prompt_tokens":876,"prompt_tokens_details":{"audio_tokens":0,"cached_tokens":0},"total_tokens":889}}</t>
  </si>
  <si>
    <t>Off-White White Trail 3D Arrow Chunky Sneakers</t>
  </si>
  <si>
    <t>{"id":"chatcmpl-DVZ3Go7xM6sGnrrlZYShKdbWJA9KQ","object":"chat.completion","created":1776415278,"model":"gpt-5-chat-latest","choices":[{"index":0,"message":{"role":"assistant","content":"Off-White White Trail Sneakers blend nylon and leather with signature 3D arrow logo, chunky anti-slip sole, street-tech vibe, unisex urban essential for modern casual style.","refusal":null,"annotations":[]},"logprobs":null,"finish_reason":"stop"}],"usage":{"prompt_tokens":888,"completion_tokens":37,"total_tokens":925,"prompt_tokens_details":{"cached_tokens":0,"audio_tokens":0},"completion_tokens_details":{"reasoning_tokens":0,"audio_tokens":0,"accepted_prediction_tokens":0,"rejected_prediction_tokens":0}},"service_tier":"default","system_fingerprint":"fp_ad66631dec"}</t>
  </si>
  <si>
    <t>Off-White White Trail Sneakers blend nylon and leather with signature 3D arrow logo, chunky anti-slip sole, street-tech vibe, unisex urban essential for modern casual style.</t>
  </si>
  <si>
    <t>{"choices":[{"finish_reason":"stop","index":0,"logprobs":null,"message":{"annotations":[],"content":"Off-White,Shoes,kakobuy,kakebuy2026,kekobuysheet,kakobuysheet2026,2026kakobuy,kakobuyspreadsheeet,kakobuylink,kakebuylist,Kakobuy MEGA Spreadsheet,kakobuysheetfind,kakobuysheetfind2026,2026kakobuysheetfind,kakobuysheet2026","refusal":null,"role":"assistant"}}],"created":1776416686,"id":"chatcmpl-DVZPyaRW5u6ZwXyKZo13bDzg6uTFX","model":"gpt-5-chat-latest","object":"chat.completion","service_tier":"default","system_fingerprint":"fp_ad66631dec","usage":{"completion_tokens":88,"completion_tokens_details":{"accepted_prediction_tokens":0,"audio_tokens":0,"reasoning_tokens":0,"rejected_prediction_tokens":0},"prompt_tokens":783,"prompt_tokens_details":{"audio_tokens":0,"cached_tokens":0},"total_tokens":871}}</t>
  </si>
  <si>
    <t>Off-White,Shoes,kakobuy,kakebuy2026,kekobuysheet,kakobuysheet2026,2026kakobuy,kakobuyspreadsheeet,kakobuylink,kakebuylist,Kakobuy MEGA Spreadsheet,kakobuysheetfind,kakobuysheetfind2026,2026kakobuysheetfind,kakobuysheet2026</t>
  </si>
  <si>
    <t>Off-White, Trail Shoes, Nylon, Leather, Anti-Slip, Unisex</t>
  </si>
  <si>
    <t>recvgxCPQcPEDf</t>
  </si>
  <si>
    <t>off-white-white-trail-3d-arrow-chunky-recvgxcpqcpedf</t>
  </si>
  <si>
    <t>{"id":"chatcmpl-DVYLokXqKTBWlA0qHDjAxaF2VrtnB","object":"chat.completion","created":1776412584,"model":"gpt-5-chat-latest","choices":[{"index":0,"message":{"role":"assistant","content":"Off-White：白色Trail运动鞋，融合尼龙与皮革材质，箭头标志立体设计，厚底防滑结构，彰显街头机能风格，男女皆宜，现代都市休闲必备款。","refusal":null,"annotations":[]},"logprobs":null,"finish_reason":"stop"}],"usage":{"prompt_tokens":1298,"completion_tokens":55,"total_tokens":1353,"prompt_tokens_details":{"cached_tokens":0,"audio_tokens":0},"completion_tokens_details":{"reasoning_tokens":0,"audio_tokens":0,"accepted_prediction_tokens":0,"rejected_prediction_tokens":0}},"service_tier":"default","system_fingerprint":"fp_ad66631dec"}</t>
  </si>
  <si>
    <t>Off-White：白色Trail运动鞋，融合尼龙与皮革材质，箭头标志立体设计，厚底防滑结构，彰显街头机能风格，男女皆宜，现代都市休闲必备款。</t>
  </si>
  <si>
    <t>Yeezy</t>
  </si>
  <si>
    <t>198</t>
  </si>
  <si>
    <t>{"id":"chatcmpl-DVZGWtb77visoLIMBYS5Lil4LBbk3","object":"chat.completion","created":1776416100,"model":"gpt-5-chat-latest","choices":[{"index":0,"message":{"role":"assistant","content":"Yeezy 350 V2 Cream White Boost Sneakers","refusal":null,"annotations":[]},"logprobs":null,"finish_reason":"stop"}],"usage":{"prompt_tokens":881,"completion_tokens":12,"total_tokens":893,"prompt_tokens_details":{"cached_tokens":0,"audio_tokens":0},"completion_tokens_details":{"reasoning_tokens":0,"audio_tokens":0,"accepted_prediction_tokens":0,"rejected_prediction_tokens":0}},"service_tier":"default","system_fingerprint":"fp_ad66631dec"}</t>
  </si>
  <si>
    <t>Yeezy 350 V2 Cream White Boost Sneakers</t>
  </si>
  <si>
    <t>{"id":"chatcmpl-DVYwFK5CDNLXN9NmfgJJm5cndIvVk","object":"chat.completion","created":1776414843,"model":"gpt-5-chat-latest","choices":[{"index":0,"message":{"role":"assistant","content":"Yeezy 350 V2 Cream White Sneakers feature a Primeknit breathable upper, BOOST cushioning sole, sleek futuristic design, and unisex style for ultimate comfort and street fashion appeal.","refusal":null,"annotations":[]},"logprobs":null,"finish_reason":"stop"}],"usage":{"prompt_tokens":906,"completion_tokens":39,"total_tokens":945,"prompt_tokens_details":{"cached_tokens":0,"audio_tokens":0},"completion_tokens_details":{"reasoning_tokens":0,"audio_tokens":0,"accepted_prediction_tokens":0,"rejected_prediction_tokens":0}},"service_tier":"default","system_fingerprint":"fp_ad66631dec"}</t>
  </si>
  <si>
    <t>Yeezy 350 V2 Cream White Sneakers feature a Primeknit breathable upper, BOOST cushioning sole, sleek futuristic design, and unisex style for ultimate comfort and street fashion appeal.</t>
  </si>
  <si>
    <t>{"choices":[{"finish_reason":"stop","index":0,"logprobs":null,"message":{"annotations":[],"content":"Yeezy,Shoes,kakobuy,kakebuy2026,kekobuysheet,kakobuysheet2026,2026kakobuy,kakobuyspreadsheeet,kakobuylink,kakebuylist,Kakobuy MEGA Spreadsheet,kakobuysheetfind,kakobuysheetfind2026,2026kakobuysheetfind,kakobuysheet2026","refusal":null,"role":"assistant"}}],"created":1776417072,"id":"chatcmpl-DVZWCWileyrjvs7H4DuprKi7Gp8xW","model":"gpt-5-chat-latest","object":"chat.completion","service_tier":"default","system_fingerprint":"fp_ad66631dec","usage":{"completion_tokens":88,"completion_tokens_details":{"accepted_prediction_tokens":0,"audio_tokens":0,"reasoning_tokens":0,"rejected_prediction_tokens":0},"prompt_tokens":784,"prompt_tokens_details":{"audio_tokens":0,"cached_tokens":0},"total_tokens":872}}</t>
  </si>
  <si>
    <t>Yeezy,Shoes,kakobuy,kakebuy2026,kekobuysheet,kakobuysheet2026,2026kakobuy,kakobuyspreadsheeet,kakobuylink,kakebuylist,Kakobuy MEGA Spreadsheet,kakobuysheetfind,kakobuysheetfind2026,2026kakobuysheetfind,kakobuysheet2026</t>
  </si>
  <si>
    <t>YEEZY 350 V2, White, Knit Sneakers, Breathable, Cushioning, Unisex</t>
  </si>
  <si>
    <t>recvgxCPQcfbEe</t>
  </si>
  <si>
    <t>yeezy-350-v2-cream-white-recvgxcpqcfbee</t>
  </si>
  <si>
    <t>{"choices":[{"finish_reason":"stop","index":0,"logprobs":null,"message":{"annotations":[],"content":"Yeezy：350 V2奶油米白配色休闲运动鞋，Primeknit编织鞋面轻盈透气，搭载BOOST缓震中底，极致舒适脚感，流线型设计融合未来感街头风格，男女皆宜，展现现代潮流运动美学。","refusal":null,"role":"assistant"}}],"created":1776411869,"id":"chatcmpl-DVYAHxkeJjb41t08d8W3tOFKsyX22","model":"gpt-5-chat-latest","object":"chat.completion","service_tier":"default","system_fingerprint":"fp_ad66631dec","usage":{"completion_tokens":71,"completion_tokens_details":{"accepted_prediction_tokens":0,"audio_tokens":0,"reasoning_tokens":0,"rejected_prediction_tokens":0},"prompt_tokens":1302,"prompt_tokens_details":{"audio_tokens":0,"cached_tokens":0},"total_tokens":1373}}</t>
  </si>
  <si>
    <t>Yeezy：350 V2奶油米白配色休闲运动鞋，Primeknit编织鞋面轻盈透气，搭载BOOST缓震中底，极致舒适脚感，流线型设计融合未来感街头风格，男女皆宜，展现现代潮流运动美学。</t>
  </si>
  <si>
    <t>Chanel</t>
  </si>
  <si>
    <t>298</t>
  </si>
  <si>
    <t>{"id":"chatcmpl-DVZDykLAk9CAtBNK7PuBLQSIu6uQc","object":"chat.completion","created":1776415942,"model":"gpt-5-chat-latest","choices":[{"index":0,"message":{"role":"assistant","content":"CHANEL Silver Leather Mesh Sneakers Women","refusal":null,"annotations":[]},"logprobs":null,"finish_reason":"stop"}],"usage":{"prompt_tokens":872,"completion_tokens":8,"total_tokens":880,"prompt_tokens_details":{"cached_tokens":0,"audio_tokens":0},"completion_tokens_details":{"reasoning_tokens":0,"audio_tokens":0,"accepted_prediction_tokens":0,"rejected_prediction_tokens":0}},"service_tier":"default","system_fingerprint":"fp_ad66631dec"}</t>
  </si>
  <si>
    <t>CHANEL Silver Leather Mesh Sneakers Women</t>
  </si>
  <si>
    <t>{"id":"chatcmpl-DVYwFe7QQUgSJdM4rsdpvBYq4x1if","object":"chat.completion","created":1776414843,"model":"gpt-5-chat-latest","choices":[{"index":0,"message":{"role":"assistant","content":"CHANEL Silver Sneakers for Women: crafted from soft leather and breathable mesh, with cushioned thick sole and iconic double C logo, blending sporty urban style with timeless luxury.","refusal":null,"annotations":[]},"logprobs":null,"finish_reason":"stop"}],"usage":{"prompt_tokens":913,"completion_tokens":35,"total_tokens":948,"prompt_tokens_details":{"cached_tokens":0,"audio_tokens":0},"completion_tokens_details":{"reasoning_tokens":0,"audio_tokens":0,"accepted_prediction_tokens":0,"rejected_prediction_tokens":0}},"service_tier":"default","system_fingerprint":"fp_ad66631dec"}</t>
  </si>
  <si>
    <t>CHANEL Silver Sneakers for Women: crafted from soft leather and breathable mesh, with cushioned thick sole and iconic double C logo, blending sporty urban style with timeless luxury.</t>
  </si>
  <si>
    <t>{"choices":[{"finish_reason":"stop","index":0,"logprobs":null,"message":{"annotations":[],"content":"Chanel, Shoes, kakobuy, kakebuy2026, kekobuysheet, kakobuysheet2026, 2026kakobuy, kakobuyspreadsheeet, kakobuylink, kakebuylist, Kakobuy MEGA Spreadsheet, kakobuysheetfind, kakobuysheetfind2026, 2026kakobuysheetfind, kakobuysheet2026","refusal":null,"role":"assistant"}}],"created":1776417173,"id":"chatcmpl-DVZXp1ikHNRtf49QHa0AuN1Qh1JIc","model":"gpt-5-chat-latest","object":"chat.completion","service_tier":"default","system_fingerprint":"fp_ad66631dec","usage":{"completion_tokens":91,"completion_tokens_details":{"accepted_prediction_tokens":0,"audio_tokens":0,"reasoning_tokens":0,"rejected_prediction_tokens":0},"prompt_tokens":783,"prompt_tokens_details":{"audio_tokens":0,"cached_tokens":0},"total_tokens":874}}</t>
  </si>
  <si>
    <t>Chanel, Shoes, kakobuy, kakebuy2026, kekobuysheet, kakobuysheet2026, 2026kakobuy, kakobuyspreadsheeet, kakobuylink, kakebuylist, Kakobuy MEGA Spreadsheet, kakobuysheetfind, kakobuysheetfind2026, 2026kakobuysheetfind, kakobuysheet2026</t>
  </si>
  <si>
    <t>Chanel, Silver, Leather, Mesh, Sporty, Women</t>
  </si>
  <si>
    <t>recvgxCPQcwmQ5</t>
  </si>
  <si>
    <t>chanel-silver-leather-mesh-recvgxCPQcwmQ5</t>
  </si>
  <si>
    <t>{"choices":[{"finish_reason":"stop","index":0,"logprobs":null,"message":{"annotations":[],"content":"Chanel：白银配色女士休闲运动鞋，采用柔韧皮革与透气网面材质，厚底缓震设计凸显舒适机能感，侧面标志性双C徽章彰显品牌经典，融合现代都市运动风格与精致时尚美学，适合日常出行与潮流搭配。","refusal":null,"role":"assistant"}}],"created":1776412203,"id":"chatcmpl-DVYFfQOMLbGy7lzMseZPpYDNEA8cE","model":"gpt-5-chat-latest","object":"chat.completion","service_tier":"default","system_fingerprint":"fp_ad66631dec","usage":{"completion_tokens":81,"completion_tokens_details":{"accepted_prediction_tokens":0,"audio_tokens":0,"reasoning_tokens":0,"rejected_prediction_tokens":0},"prompt_tokens":1296,"prompt_tokens_details":{"audio_tokens":0,"cached_tokens":0},"total_tokens":1377}}</t>
  </si>
  <si>
    <t>Chanel：白银配色女士休闲运动鞋，采用柔韧皮革与透气网面材质，厚底缓震设计凸显舒适机能感，侧面标志性双C徽章彰显品牌经典，融合现代都市运动风格与精致时尚美学，适合日常出行与潮流搭配。</t>
  </si>
  <si>
    <t>Air Jordan</t>
  </si>
  <si>
    <t>209</t>
  </si>
  <si>
    <t>{"id":"chatcmpl-DVZFhLriAohruz6cEioMfzxUPiMCq","object":"chat.completion","created":1776416049,"model":"gpt-5-chat-latest","choices":[{"index":0,"message":{"role":"assistant","content":"Air Jordan 4 Light Blue Retro Sneakers","refusal":null,"annotations":[]},"logprobs":null,"finish_reason":"stop"}],"usage":{"prompt_tokens":878,"completion_tokens":9,"total_tokens":887,"prompt_tokens_details":{"cached_tokens":0,"audio_tokens":0},"completion_tokens_details":{"reasoning_tokens":0,"audio_tokens":0,"accepted_prediction_tokens":0,"rejected_prediction_tokens":0}},"service_tier":"default","system_fingerprint":"fp_ad66631dec"}</t>
  </si>
  <si>
    <t>Air Jordan 4 Light Blue Retro Sneakers</t>
  </si>
  <si>
    <t>{"choices":[{"finish_reason":"stop","index":0,"logprobs":null,"message":{"annotations":[],"content":"Air Jordan AJ4 Light Blue Sneakers with premium leather and mesh design, breathable comfort, black-red street details, Air cushioning for support, unisex style blending fashion and retro basketball vibes.","refusal":null,"role":"assistant"}}],"created":1776415173,"id":"chatcmpl-DVZ1ZIBxcZji7TslWOcfoTEuXHZa0","model":"gpt-5-chat-latest","object":"chat.completion","service_tier":"default","system_fingerprint":"fp_ad66631dec","usage":{"completion_tokens":38,"completion_tokens_details":{"accepted_prediction_tokens":0,"audio_tokens":0,"reasoning_tokens":0,"rejected_prediction_tokens":0},"prompt_tokens":918,"prompt_tokens_details":{"audio_tokens":0,"cached_tokens":0},"total_tokens":956}}</t>
  </si>
  <si>
    <t>Air Jordan AJ4 Light Blue Sneakers with premium leather and mesh design, breathable comfort, black-red street details, Air cushioning for support, unisex style blending fashion and retro basketball vibes.</t>
  </si>
  <si>
    <t>{"choices":[{"finish_reason":"stop","index":0,"logprobs":null,"message":{"annotations":[],"content":"Air Jordan,Shoes,kakobuy,kakebuy2026,kekobuysheet,kakobuysheet2026,2026kakobuy,kakobuyspreadsheeet,kakobuylink,kakebuylist,Kakobuy MEGA Spreadsheet,kakobuysheetfind,kakobuysheetfind2026,2026kakobuysheetfind,kakobuysheet2026","refusal":null,"role":"assistant"}}],"created":1776416930,"id":"chatcmpl-DVZTukP14rDIsqpQZm4tIHqJxsW3N","model":"gpt-5-chat-latest","object":"chat.completion","service_tier":"default","system_fingerprint":"fp_ad66631dec","usage":{"completion_tokens":87,"completion_tokens_details":{"accepted_prediction_tokens":0,"audio_tokens":0,"reasoning_tokens":0,"rejected_prediction_tokens":0},"prompt_tokens":783,"prompt_tokens_details":{"audio_tokens":0,"cached_tokens":0},"total_tokens":870}}</t>
  </si>
  <si>
    <t>Air Jordan,Shoes,kakobuy,kakebuy2026,kekobuysheet,kakobuysheet2026,2026kakobuy,kakobuyspreadsheeet,kakobuylink,kakebuylist,Kakobuy MEGA Spreadsheet,kakobuysheetfind,kakobuysheetfind2026,2026kakobuysheetfind,kakobuysheet2026</t>
  </si>
  <si>
    <t>AJ4, Leather, Mesh, Air Cushion, Unisex</t>
  </si>
  <si>
    <t>recvgEo7OmRyi7</t>
  </si>
  <si>
    <t>air-jordan-4-light-blue-recvgeo7omryi7</t>
  </si>
  <si>
    <t>{"choices":[{"finish_reason":"stop","index":0,"logprobs":null,"message":{"annotations":[],"content":"Air Jordan：经典AJ4浅蓝配色运动鞋，优质皮革拼接网面设计，轻盈透气，黑红细节彰显街头潮流质感。内置气垫缓震科技，提供舒适脚感与支撑性能，男女皆宜，兼具时尚与实战功能，展现复古篮球美学风格。","refusal":null,"role":"assistant"}}],"created":1776412385,"id":"chatcmpl-DVYIbgRgEXIbK2R9ihE7sDAtTrWkj","model":"gpt-5-chat-latest","object":"chat.completion","service_tier":"default","system_fingerprint":"fp_ad66631dec","usage":{"completion_tokens":84,"completion_tokens_details":{"accepted_prediction_tokens":0,"audio_tokens":0,"reasoning_tokens":0,"rejected_prediction_tokens":0},"prompt_tokens":1300,"prompt_tokens_details":{"audio_tokens":0,"cached_tokens":0},"total_tokens":1384}}</t>
  </si>
  <si>
    <t>Air Jordan：经典AJ4浅蓝配色运动鞋，优质皮革拼接网面设计，轻盈透气，黑红细节彰显街头潮流质感。内置气垫缓震科技，提供舒适脚感与支撑性能，男女皆宜，兼具时尚与实战功能，展现复古篮球美学风格。</t>
  </si>
  <si>
    <t>{"choices":[{"finish_reason":"stop","index":0,"logprobs":null,"message":{"annotations":[],"content":"Air Jordan Retro Black Red Unisex Basketball Sneakers","refusal":null,"role":"assistant"}}],"created":1776416007,"id":"chatcmpl-DVZF1vYw0N2732NOdreDFZkqmrxIO","model":"gpt-5-chat-latest","object":"chat.completion","service_tier":"default","system_fingerprint":"fp_ad66631dec","usage":{"completion_tokens":10,"completion_tokens_details":{"accepted_prediction_tokens":0,"audio_tokens":0,"reasoning_tokens":0,"rejected_prediction_tokens":0},"prompt_tokens":872,"prompt_tokens_details":{"audio_tokens":0,"cached_tokens":0},"total_tokens":882}}</t>
  </si>
  <si>
    <t>Air Jordan Retro Black Red Unisex Basketball Sneakers</t>
  </si>
  <si>
    <t>{"id":"chatcmpl-DVYyoEZ609T257z5GYKytz0dez31Q","object":"chat.completion","created":1776415002,"model":"gpt-5-chat-latest","choices":[{"index":0,"message":{"role":"assistant","content":"Air Jordan Retro Series Black Red Sneakers feature premium leather and mesh for breathability, Air cushioning for comfort, bold street style, and unisex design celebrating classic basketball culture.","refusal":null,"annotations":[]},"logprobs":null,"finish_reason":"stop"}],"usage":{"prompt_tokens":896,"completion_tokens":35,"total_tokens":931,"prompt_tokens_details":{"cached_tokens":0,"audio_tokens":0},"completion_tokens_details":{"reasoning_tokens":0,"audio_tokens":0,"accepted_prediction_tokens":0,"rejected_prediction_tokens":0}},"service_tier":"default","system_fingerprint":"fp_ad66631dec"}</t>
  </si>
  <si>
    <t>Air Jordan Retro Series Black Red Sneakers feature premium leather and mesh for breathability, Air cushioning for comfort, bold street style, and unisex design celebrating classic basketball culture.</t>
  </si>
  <si>
    <t>{"id":"chatcmpl-DVZTfaC2cLO3kG9Igd9lvdmmRdOtQ","object":"chat.completion","created":1776416915,"model":"gpt-5-chat-latest","choices":[{"index":0,"message":{"role":"assistant","content":"Air Jordan,Shoes,kakobuy,kakebuy2026,kekobuysheet,kakobuysheet2026,2026kakobuy,kakobuyspreadsheeet,kakobuylink,kakebuylist,Kakobuy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87,"total_tokens":870,"prompt_tokens_details":{"cached_tokens":0,"audio_tokens":0},"completion_tokens_details":{"reasoning_tokens":0,"audio_tokens":0,"accepted_prediction_tokens":0,"rejected_prediction_tokens":0}},"service_tier":"default","system_fingerprint":"fp_ad66631dec"}</t>
  </si>
  <si>
    <t>AIR JORDAN, Black Red, Leather, Mesh, Breathable, Air Cushion</t>
  </si>
  <si>
    <t>recvh0B9A7Btx2</t>
  </si>
  <si>
    <t>air-jordan-retro-black-red-recvh0b9a7btx2</t>
  </si>
  <si>
    <t>{"choices":[{"finish_reason":"stop","index":0,"logprobs":null,"message":{"annotations":[],"content":"Air Jordan：复古系列黑红拼色运动鞋，采用优质皮革与透气网面结合设计，搭载气垫缓震技术，造型硬朗充满街头力量感，男女皆宜，彰显经典篮球文化风范。","refusal":null,"role":"assistant"}}],"created":1776412470,"id":"chatcmpl-DVYJy93iCmWEXhKR2U2AZoswNtkeJ","model":"gpt-5-chat-latest","object":"chat.completion","service_tier":"default","system_fingerprint":"fp_ad66631dec","usage":{"completion_tokens":59,"completion_tokens_details":{"accepted_prediction_tokens":0,"audio_tokens":0,"reasoning_tokens":0,"rejected_prediction_tokens":0},"prompt_tokens":1306,"prompt_tokens_details":{"audio_tokens":0,"cached_tokens":0},"total_tokens":1365}}</t>
  </si>
  <si>
    <t>Air Jordan：复古系列黑红拼色运动鞋，采用优质皮革与透气网面结合设计，搭载气垫缓震技术，造型硬朗充满街头力量感，男女皆宜，彰显经典篮球文化风范。</t>
  </si>
  <si>
    <t>Valentino</t>
  </si>
  <si>
    <t>311</t>
  </si>
  <si>
    <t>{"choices":[{"finish_reason":"stop","index":0,"logprobs":null,"message":{"annotations":[],"content":"Valentino White Blue Leather Stud Low Top Sneakers","refusal":null,"role":"assistant"}}],"created":1776415894,"id":"chatcmpl-DVZDCESqbWQocpPxn48zYhU6FkfsF","model":"gpt-5-chat-latest","object":"chat.completion","service_tier":"default","system_fingerprint":"fp_ad66631dec","usage":{"completion_tokens":10,"completion_tokens_details":{"accepted_prediction_tokens":0,"audio_tokens":0,"reasoning_tokens":0,"rejected_prediction_tokens":0},"prompt_tokens":868,"prompt_tokens_details":{"audio_tokens":0,"cached_tokens":0},"total_tokens":878}}</t>
  </si>
  <si>
    <t>Valentino White Blue Leather Stud Low Top Sneakers</t>
  </si>
  <si>
    <t>{"choices":[{"finish_reason":"stop","index":0,"logprobs":null,"message":{"annotations":[],"content":"Valentino white and blue leather sneakers feature signature stud details, sleek low-top design, premium calfskin, and unisex comfort for a refined modern Italian style.","refusal":null,"role":"assistant"}}],"created":1776414849,"id":"chatcmpl-DVYwL1hrbDnMI1o7SKB5lt5JICpat","model":"gpt-5-chat-latest","object":"chat.completion","service_tier":"default","system_fingerprint":"fp_ad66631dec","usage":{"completion_tokens":33,"completion_tokens_details":{"accepted_prediction_tokens":0,"audio_tokens":0,"reasoning_tokens":0,"rejected_prediction_tokens":0},"prompt_tokens":902,"prompt_tokens_details":{"audio_tokens":0,"cached_tokens":0},"total_tokens":935}}</t>
  </si>
  <si>
    <t>Valentino white and blue leather sneakers feature signature stud details, sleek low-top design, premium calfskin, and unisex comfort for a refined modern Italian style.</t>
  </si>
  <si>
    <t>{"choices":[{"finish_reason":"stop","index":0,"logprobs":null,"message":{"annotations":[],"content":"Valentino,Shoes,kakobuy,kakebuy2026,kekobuysheet,kakobuysheet2026,2026kakobuy,kakobuyspreadsheeet,kakobuylink,kakebuylist,Kakobuy MEGA Spreadsheet,kakobuysheetfind,kakobuysheetfind2026,2026kakobuysheetfind,kakobuysheet2026","refusal":null,"role":"assistant"}}],"created":1776417406,"id":"chatcmpl-DVZbaNhEdwA17N4CobUBB1xvpIsS7","model":"gpt-5-chat-latest","object":"chat.completion","service_tier":"default","system_fingerprint":"fp_ad66631dec","usage":{"completion_tokens":87,"completion_tokens_details":{"accepted_prediction_tokens":0,"audio_tokens":0,"reasoning_tokens":0,"rejected_prediction_tokens":0},"prompt_tokens":783,"prompt_tokens_details":{"audio_tokens":0,"cached_tokens":0},"total_tokens":870}}</t>
  </si>
  <si>
    <t>Valentino,Shoes,kakobuy,kakebuy2026,kekobuysheet,kakobuysheet2026,2026kakobuy,kakobuyspreadsheeet,kakobuylink,kakebuylist,Kakobuy MEGA Spreadsheet,kakobuysheetfind,kakobuysheetfind2026,2026kakobuysheetfind,kakobuysheet2026</t>
  </si>
  <si>
    <t>Valentino, Leather Sneakers, White, Blue, Unisex, Modern</t>
  </si>
  <si>
    <t>recvh0B9A7CMCb</t>
  </si>
  <si>
    <t>valentino-white-blue-leather-stud-recvh0b9a7cmcb</t>
  </si>
  <si>
    <t>{"choices":[{"finish_reason":"stop","index":0,"logprobs":null,"message":{"annotations":[],"content":"Valentino：白蓝拼色休闲运动鞋，甄选柔滑小牛皮材质，饰标志性铆钉细节，简约利落设计，低帮造型兼具舒适与格调，男女皆宜，彰显现代意式优雅风范。","refusal":null,"role":"assistant"}}],"created":1776412413,"id":"chatcmpl-DVYJ3fRn1gjyCTfEYFXx1lFX5qGWQ","model":"gpt-5-chat-latest","object":"chat.completion","service_tier":"default","system_fingerprint":"fp_ad66631dec","usage":{"completion_tokens":67,"completion_tokens_details":{"accepted_prediction_tokens":0,"audio_tokens":0,"reasoning_tokens":0,"rejected_prediction_tokens":0},"prompt_tokens":1302,"prompt_tokens_details":{"audio_tokens":0,"cached_tokens":0},"total_tokens":1369}}</t>
  </si>
  <si>
    <t>Valentino：白蓝拼色休闲运动鞋，甄选柔滑小牛皮材质，饰标志性铆钉细节，简约利落设计，低帮造型兼具舒适与格调，男女皆宜，彰显现代意式优雅风范。</t>
  </si>
  <si>
    <t>Balenciaga</t>
  </si>
  <si>
    <t>590</t>
  </si>
  <si>
    <t>{"choices":[{"finish_reason":"stop","index":0,"logprobs":null,"message":{"annotations":[],"content":"Balenciaga Track Black Mesh Rubber Sneakers for Men Women","refusal":null,"role":"assistant"}}],"created":1776416130,"id":"chatcmpl-DVZH0H5SFEkzqfyDzEnPVruSDYgRT","model":"gpt-5-chat-latest","object":"chat.completion","service_tier":"default","system_fingerprint":"fp_ad66631dec","usage":{"completion_tokens":12,"completion_tokens_details":{"accepted_prediction_tokens":0,"audio_tokens":0,"reasoning_tokens":0,"rejected_prediction_tokens":0},"prompt_tokens":877,"prompt_tokens_details":{"audio_tokens":0,"cached_tokens":0},"total_tokens":889}}</t>
  </si>
  <si>
    <t>Balenciaga Track Black Mesh Rubber Sneakers for Men Women</t>
  </si>
  <si>
    <t>{"choices":[{"finish_reason":"stop","index":0,"logprobs":null,"message":{"annotations":[],"content":"Balenciaga Track Black Sneakers feature layered mesh and rubber design, breathable yet supportive, showcasing bold deconstructed 2020s style for both men and women street or casual wear.","refusal":null,"role":"assistant"}}],"created":1776414692,"id":"chatcmpl-DVYtov4UidXeeX4szCyj2yND3ZUI5","model":"gpt-5-chat-latest","object":"chat.completion","service_tier":"default","system_fingerprint":"fp_ad66631dec","usage":{"completion_tokens":37,"completion_tokens_details":{"accepted_prediction_tokens":0,"audio_tokens":0,"reasoning_tokens":0,"rejected_prediction_tokens":0},"prompt_tokens":906,"prompt_tokens_details":{"audio_tokens":0,"cached_tokens":0},"total_tokens":943}}</t>
  </si>
  <si>
    <t>Balenciaga Track Black Sneakers feature layered mesh and rubber design, breathable yet supportive, showcasing bold deconstructed 2020s style for both men and women street or casual wear.</t>
  </si>
  <si>
    <t>{"choices":[{"finish_reason":"stop","index":0,"logprobs":null,"message":{"annotations":[],"content":"Balenciaga, Shoes, kakobuy, kakebuy2026, kekobuysheet, kakobuysheet2026, 2026kakobuy, kakobuyspreadsheeet, kakobuylink, kakebuylist, Kakobuy MEGA Spreadsheet, kakobuysheetfind, kakobuysheetfind2026, 2026kakobuysheetfind, kakobuysheet2026","refusal":null,"role":"assistant"}}],"created":1776416987,"id":"chatcmpl-DVZUp328xe5AI32k1C2POCAEeZUqf","model":"gpt-5-chat-latest","object":"chat.completion","service_tier":"default","system_fingerprint":"fp_ad66631dec","usage":{"completion_tokens":92,"completion_tokens_details":{"accepted_prediction_tokens":0,"audio_tokens":0,"reasoning_tokens":0,"rejected_prediction_tokens":0},"prompt_tokens":784,"prompt_tokens_details":{"audio_tokens":0,"cached_tokens":0},"total_tokens":876}}</t>
  </si>
  <si>
    <t>Balenciaga, Shoes, kakobuy, kakebuy2026, kekobuysheet, kakobuysheet2026, 2026kakobuy, kakobuyspreadsheeet, kakobuylink, kakebuylist, Kakobuy MEGA Spreadsheet, kakobuysheetfind, kakobuysheetfind2026, 2026kakobuysheetfind, kakobuysheet2026</t>
  </si>
  <si>
    <t>Balenciaga, Balenciaga Track, Black, Deconstructed, Streetwear, Unisex</t>
  </si>
  <si>
    <t>recvh0B9A74FUu</t>
  </si>
  <si>
    <t>balenciaga-track-black-mesh-rubber-recvh0b9a74fuu</t>
  </si>
  <si>
    <t>{"choices":[{"finish_reason":"stop","index":0,"logprobs":null,"message":{"annotations":[],"content":"Balenciaga：黑色Track系列男女同款运动鞋，采用多层次网面与橡胶拼接结构，轻盈透气兼具稳固支撑，线条设计前卫张力十足，展现2020年代解构潮流风格，适合街头与休闲穿搭。","refusal":null,"role":"assistant"}}],"created":1776411987,"id":"chatcmpl-DVYCBBT6uSp2V9nHZVjrO3qxi1uBW","model":"gpt-5-chat-latest","object":"chat.completion","service_tier":"default","system_fingerprint":"fp_ad66631dec","usage":{"completion_tokens":72,"completion_tokens_details":{"accepted_prediction_tokens":0,"audio_tokens":0,"reasoning_tokens":0,"rejected_prediction_tokens":0},"prompt_tokens":1300,"prompt_tokens_details":{"audio_tokens":0,"cached_tokens":0},"total_tokens":1372}}</t>
  </si>
  <si>
    <t>Balenciaga：黑色Track系列男女同款运动鞋，采用多层次网面与橡胶拼接结构，轻盈透气兼具稳固支撑，线条设计前卫张力十足，展现2020年代解构潮流风格，适合街头与休闲穿搭。</t>
  </si>
  <si>
    <t>160</t>
  </si>
  <si>
    <t>{"choices":[{"finish_reason":"stop","index":0,"logprobs":null,"message":{"annotations":[],"content":"Adidas Yeezy Slide Pure EVA Unisex Comfort Sandals","refusal":null,"role":"assistant"}}],"created":1776416093,"id":"chatcmpl-DVZGPTdQDWjEkbKxoHRzbdwCrQZjI","model":"gpt-5-chat-latest","object":"chat.completion","service_tier":"default","system_fingerprint":"fp_ad66631dec","usage":{"completion_tokens":13,"completion_tokens_details":{"accepted_prediction_tokens":0,"audio_tokens":0,"reasoning_tokens":0,"rejected_prediction_tokens":0},"prompt_tokens":881,"prompt_tokens_details":{"audio_tokens":0,"cached_tokens":0},"total_tokens":894}}</t>
  </si>
  <si>
    <t>Adidas Yeezy Slide Pure EVA Unisex Comfort Sandals</t>
  </si>
  <si>
    <t>{"choices":[{"finish_reason":"stop","index":0,"logprobs":null,"message":{"annotations":[],"content":"Yeezy PURE Slide by Adidas: Minimalist EVA foam design for lightweight comfort and ergonomic support, durable slip-on style with traction sole, neutral unisex color for modern streetwear appeal.","refusal":null,"role":"assistant"}}],"created":1776414701,"id":"chatcmpl-DVYtx6dFsWO0ZsTM7VXZjlVXEfYhH","model":"gpt-5-chat-latest","object":"chat.completion","service_tier":"default","system_fingerprint":"fp_ad66631dec","usage":{"completion_tokens":39,"completion_tokens_details":{"accepted_prediction_tokens":0,"audio_tokens":0,"reasoning_tokens":0,"rejected_prediction_tokens":0},"prompt_tokens":917,"prompt_tokens_details":{"audio_tokens":0,"cached_tokens":0},"total_tokens":956}}</t>
  </si>
  <si>
    <t>Yeezy PURE Slide by Adidas: Minimalist EVA foam design for lightweight comfort and ergonomic support, durable slip-on style with traction sole, neutral unisex color for modern streetwear appeal.</t>
  </si>
  <si>
    <t>{"choices":[{"finish_reason":"stop","index":0,"logprobs":null,"message":{"annotations":[],"content":"Yeezy,Slide,kakobuy,kakebuy2026,kekobuysheet,kakobuysheet2026,2026kakobuy,kakobuyspreadsheeet,kakobuylink,kakebuylist,Kakobuy MEGA Spreadsheet,kakobuysheetfind,kakobuysheetfind2026,2026kakobuysheetfind,kakobuysheet2026","refusal":null,"role":"assistant"}}],"created":1776417243,"id":"chatcmpl-DVZYx0qcIO6AzqXiY7YikdhSchNmD","model":"gpt-5-chat-latest","object":"chat.completion","service_tier":"default","system_fingerprint":"fp_ad66631dec","usage":{"completion_tokens":88,"completion_tokens_details":{"accepted_prediction_tokens":0,"audio_tokens":0,"reasoning_tokens":0,"rejected_prediction_tokens":0},"prompt_tokens":784,"prompt_tokens_details":{"audio_tokens":0,"cached_tokens":0},"total_tokens":872}}</t>
  </si>
  <si>
    <t>Yeezy,Slide,kakobuy,kakebuy2026,kekobuysheet,kakobuysheet2026,2026kakobuy,kakobuyspreadsheeet,kakobuylink,kakebuylist,Kakobuy MEGA Spreadsheet,kakobuysheetfind,kakobuysheetfind2026,2026kakobuysheetfind,kakobuysheet2026</t>
  </si>
  <si>
    <t>YEEZY, ADIDAS, Slides, Minimalist, Unisex, Lightweight</t>
  </si>
  <si>
    <t>recvh0B9A75M3u</t>
  </si>
  <si>
    <t>adidas-yeezy-slide-pure-eva-recvh0b9a75m3u</t>
  </si>
  <si>
    <t>{"choices":[{"finish_reason":"stop","index":0,"logprobs":null,"message":{"annotations":[],"content":"Yeezy：经典PURE米色YZY Slide拖鞋，EVA轻质发泡材质打造，柔韧舒适兼具耐磨支撑，符合人体工学的极简一体成型设计，齿状外底增强抓地力，男女皆宜的中性潮流款式，彰显现代极简街头风格。","refusal":null,"role":"assistant"}}],"created":1776412456,"id":"chatcmpl-DVYJk4AORegtxZTcFgEZmwdybhFiy","model":"gpt-5-chat-latest","object":"chat.completion","service_tier":"default","system_fingerprint":"fp_ad66631dec","usage":{"completion_tokens":81,"completion_tokens_details":{"accepted_prediction_tokens":0,"audio_tokens":0,"reasoning_tokens":0,"rejected_prediction_tokens":0},"prompt_tokens":1304,"prompt_tokens_details":{"audio_tokens":0,"cached_tokens":0},"total_tokens":1385}}</t>
  </si>
  <si>
    <t>Yeezy：经典PURE米色YZY Slide拖鞋，EVA轻质发泡材质打造，柔韧舒适兼具耐磨支撑，符合人体工学的极简一体成型设计，齿状外底增强抓地力，男女皆宜的中性潮流款式，彰显现代极简街头风格。</t>
  </si>
  <si>
    <t>260</t>
  </si>
  <si>
    <t>{"id":"chatcmpl-DVZJ8vWiuRAHN2OeWLtKct3bx9ZGb","object":"chat.completion","created":1776416262,"model":"gpt-5-chat-latest","choices":[{"index":0,"message":{"role":"assistant","content":"Adidas YEEZY 700 V3 Beige Mesh Running Sneakers","refusal":null,"annotations":[]},"logprobs":null,"finish_reason":"stop"}],"usage":{"prompt_tokens":606,"completion_tokens":14,"total_tokens":620,"prompt_tokens_details":{"cached_tokens":0,"audio_tokens":0},"completion_tokens_details":{"reasoning_tokens":0,"audio_tokens":0,"accepted_prediction_tokens":0,"rejected_prediction_tokens":0}},"service_tier":"default","system_fingerprint":"fp_ad66631dec"}</t>
  </si>
  <si>
    <t>Adidas YEEZY 700 V3 Beige Mesh Running Sneakers</t>
  </si>
  <si>
    <t>{"choices":[{"finish_reason":"stop","index":0,"logprobs":null,"message":{"annotations":[],"content":"Adidas YEEZY 700 V3 Beige Sneakers feature premium mesh and synthetic leather, futuristic sculpted shape, adiPRENE cushioning for supreme comfort, perfect for men and women urban style and running.","refusal":null,"role":"assistant"}}],"created":1776415318,"id":"chatcmpl-DVZ3ujPtplLlyOwlwl2j5iqT7ZWmG","model":"gpt-5-chat-latest","object":"chat.completion","service_tier":"default","system_fingerprint":"fp_ad66631dec","usage":{"completion_tokens":42,"completion_tokens_details":{"accepted_prediction_tokens":0,"audio_tokens":0,"reasoning_tokens":0,"rejected_prediction_tokens":0},"prompt_tokens":633,"prompt_tokens_details":{"audio_tokens":0,"cached_tokens":0},"total_tokens":675}}</t>
  </si>
  <si>
    <t>Adidas YEEZY 700 V3 Beige Sneakers feature premium mesh and synthetic leather, futuristic sculpted shape, adiPRENE cushioning for supreme comfort, perfect for men and women urban style and running.</t>
  </si>
  <si>
    <t>{"choices":[{"finish_reason":"stop","index":0,"logprobs":null,"message":{"annotations":[],"content":"Adidas,Shoes,kakobuy,kakebuy2026,kekobuysheet,kakobuysheet2026,2026kakobuy,kakobuyspreadsheeet,kakobuylink,kakebuylist,Kakobuy MEGA Spreadsheet,kakobuysheetfind,kakobuysheetfind2026,2026kakobuysheetfind,kakobuysheet2026","refusal":null,"role":"assistant"}}],"created":1776417275,"id":"chatcmpl-DVZZTkbwIaGKrjffGeeI1dKwW7gUp","model":"gpt-5-chat-latest","object":"chat.completion","service_tier":"default","system_fingerprint":"fp_ad66631dec","usage":{"completion_tokens":87,"completion_tokens_details":{"accepted_prediction_tokens":0,"audio_tokens":0,"reasoning_tokens":0,"rejected_prediction_tokens":0},"prompt_tokens":503,"prompt_tokens_details":{"audio_tokens":0,"cached_tokens":0},"total_tokens":590}}</t>
  </si>
  <si>
    <t>ADIDAS, YEEZY, YEEZY700, Beige, Mesh, Synthetic Leather</t>
  </si>
  <si>
    <t>recvh0B9A7Mw7I</t>
  </si>
  <si>
    <t>adidas-yeezy-700-v3-beige-mesh-recvh0b9a7mw7i</t>
  </si>
  <si>
    <t>{"choices":[{"finish_reason":"stop","index":0,"logprobs":null,"message":{"annotations":[],"content":"Adidas：YEEZY 700 V3 米色轻盈缓震运动鞋，甄选优质网布与合成皮革材质，流线雕塑设计彰显未来感，搭载adiPRENE科技中底，提供极致舒适脚感，男女皆宜，都市休闲与潮流跑步兼具。","refusal":null,"role":"assistant"}}],"created":1776411895,"id":"chatcmpl-DVYAhehSUpKZtWgrhSrtYbSZv7YUo","model":"gpt-5-chat-latest","object":"chat.completion","service_tier":"default","system_fingerprint":"fp_ad66631dec","usage":{"completion_tokens":77,"completion_tokens_details":{"accepted_prediction_tokens":0,"audio_tokens":0,"reasoning_tokens":0,"rejected_prediction_tokens":0},"prompt_tokens":1024,"prompt_tokens_details":{"audio_tokens":0,"cached_tokens":0},"total_tokens":1101}}</t>
  </si>
  <si>
    <t>Adidas：YEEZY 700 V3 米色轻盈缓震运动鞋，甄选优质网布与合成皮革材质，流线雕塑设计彰显未来感，搭载adiPRENE科技中底，提供极致舒适脚感，男女皆宜，都市休闲与潮流跑步兼具。</t>
  </si>
  <si>
    <t>{"choices":[{"finish_reason":"stop","index":0,"logprobs":null,"message":{"annotations":[],"content":"Yeezy Adilette Sand EVA Slides Unisex Casual Shoes","refusal":null,"role":"assistant"}}],"created":1776416153,"id":"chatcmpl-DVZHNfcyrYwR0jhmPme3nZimKenaw","model":"gpt-5-chat-latest","object":"chat.completion","service_tier":"default","system_fingerprint":"fp_ad66631dec","usage":{"completion_tokens":14,"completion_tokens_details":{"accepted_prediction_tokens":0,"audio_tokens":0,"reasoning_tokens":0,"rejected_prediction_tokens":0},"prompt_tokens":887,"prompt_tokens_details":{"audio_tokens":0,"cached_tokens":0},"total_tokens":901}}</t>
  </si>
  <si>
    <t>Yeezy Adilette Sand EVA Slides Unisex Casual Shoes</t>
  </si>
  <si>
    <t>{"choices":[{"finish_reason":"stop","index":0,"logprobs":null,"message":{"annotations":[],"content":"ShoesYeezyYeezy Adilette Sand Slides feature lightweight EVA one-piece design, serrated sole for grip and cushioning, minimalist futuristic style, unisex for casual or streetwear looks.","refusal":null,"role":"assistant"}}],"created":1776415348,"id":"chatcmpl-DVZ4OgCbq0Bw3sdfJpUInkSDb6FJS","model":"gpt-5-chat-latest","object":"chat.completion","service_tier":"default","system_fingerprint":"fp_ad66631dec","usage":{"completion_tokens":42,"completion_tokens_details":{"accepted_prediction_tokens":0,"audio_tokens":0,"reasoning_tokens":0,"rejected_prediction_tokens":0},"prompt_tokens":907,"prompt_tokens_details":{"audio_tokens":0,"cached_tokens":0},"total_tokens":949}}</t>
  </si>
  <si>
    <t>ShoesYeezyYeezy Adilette Sand Slides feature lightweight EVA one-piece design, serrated sole for grip and cushioning, minimalist futuristic style, unisex for casual or streetwear looks.</t>
  </si>
  <si>
    <t>{"choices":[{"finish_reason":"stop","index":0,"logprobs":null,"message":{"annotations":[],"content":"Yeezy,Slides,kakobuy,kakebuy2026,kekobuysheet,kakobuysheet2026,2026kakobuy,kakobuyspreadsheeet,kakobuylink,kakebuylist,Kakobuy MEGA Spreadsheet,kakobuysheetfind,kakobuysheetfind2026,2026kakobuysheetfind,kakobuysheet2026","refusal":null,"role":"assistant"}}],"created":1776416747,"id":"chatcmpl-DVZQxXNlFbh6rPz5iKrjxEhU3DRlk","model":"gpt-5-chat-latest","object":"chat.completion","service_tier":"default","system_fingerprint":"fp_ad66631dec","usage":{"completion_tokens":88,"completion_tokens_details":{"accepted_prediction_tokens":0,"audio_tokens":0,"reasoning_tokens":0,"rejected_prediction_tokens":0},"prompt_tokens":784,"prompt_tokens_details":{"audio_tokens":0,"cached_tokens":0},"total_tokens":872}}</t>
  </si>
  <si>
    <t>Yeezy,Slides,kakobuy,kakebuy2026,kekobuysheet,kakobuysheet2026,2026kakobuy,kakobuyspreadsheeet,kakobuylink,kakebuylist,Kakobuy MEGA Spreadsheet,kakobuysheetfind,kakobuysheetfind2026,2026kakobuysheetfind,kakobuysheet2026</t>
  </si>
  <si>
    <t>YEEZY, Adilette, Slides, Unisex, Streetwear, Casual Footwear</t>
  </si>
  <si>
    <t>recvh0B9A7Y5RG</t>
  </si>
  <si>
    <t>yeezy-adilette-sand-eva-slides-recvh0b9a7y5rg</t>
  </si>
  <si>
    <t>{"choices":[{"content_filter_result":{"error":{"code":"content_filter_error","message":"The contents are not filtered"}},"finish_reason":"stop","index":0,"logprobs":null,"message":{"annotations":[],"content":"Yeezy：Adilette 沙色休闲拖鞋，采用轻质EVA材质一体成型设计，齿状厚底增强抓地力与缓震性能，极简未来感线条凸显品牌先锋美学，男女皆宜，适合日常休闲与街头穿搭。","refusal":null,"role":"assistant"}}],"created":1776412149,"id":"chatcmpl-DVYEnNfKPnexH11fU5aFYw3EHwLRb","model":"gpt-5-chat-latest","object":"chat.completion","service_tier":"default","system_fingerprint":"fp_ad66631dec","usage":{"completion_tokens":71,"completion_tokens_details":{"accepted_prediction_tokens":0,"audio_tokens":0,"reasoning_tokens":0,"rejected_prediction_tokens":0},"prompt_tokens":1304,"prompt_tokens_details":{"audio_tokens":0,"cached_tokens":0},"total_tokens":1375}}</t>
  </si>
  <si>
    <t>Yeezy：Adilette 沙色休闲拖鞋，采用轻质EVA材质一体成型设计，齿状厚底增强抓地力与缓震性能，极简未来感线条凸显品牌先锋美学，男女皆宜，适合日常休闲与街头穿搭。</t>
  </si>
  <si>
    <t>{"choices":[{"finish_reason":"stop","index":0,"logprobs":null,"message":{"annotations":[],"content":"Adidas Yeezy Slide Resin Yellow Unisex Sandals","refusal":null,"role":"assistant"}}],"created":1776415938,"id":"chatcmpl-DVZDuOsr13YJqJRrvXz7RA5fFLV7l","model":"gpt-5-chat-latest","object":"chat.completion","service_tier":"default","system_fingerprint":"fp_ad66631dec","usage":{"completion_tokens":12,"completion_tokens_details":{"accepted_prediction_tokens":0,"audio_tokens":0,"reasoning_tokens":0,"rejected_prediction_tokens":0},"prompt_tokens":879,"prompt_tokens_details":{"audio_tokens":0,"cached_tokens":0},"total_tokens":891}}</t>
  </si>
  <si>
    <t>Adidas Yeezy Slide Resin Yellow Unisex Sandals</t>
  </si>
  <si>
    <t>{"choices":[{"finish_reason":"stop","index":0,"logprobs":null,"message":{"annotations":[],"content":"Yeezy Slide Resin Yellow by Adidas: lightweight EVA foam construction, minimalist one-piece design, wavy traction sole for stability, unisex fit, blending street style with futuristic comfort.","refusal":null,"role":"assistant"}}],"created":1776414902,"id":"chatcmpl-DVYxC6rUi5GmtgIabDL5SZ1KrbNTX","model":"gpt-5-chat-latest","object":"chat.completion","service_tier":"default","system_fingerprint":"fp_ad66631dec","usage":{"completion_tokens":38,"completion_tokens_details":{"accepted_prediction_tokens":0,"audio_tokens":0,"reasoning_tokens":0,"rejected_prediction_tokens":0},"prompt_tokens":902,"prompt_tokens_details":{"audio_tokens":0,"cached_tokens":0},"total_tokens":940}}</t>
  </si>
  <si>
    <t>Yeezy Slide Resin Yellow by Adidas: lightweight EVA foam construction, minimalist one-piece design, wavy traction sole for stability, unisex fit, blending street style with futuristic comfort.</t>
  </si>
  <si>
    <t>{"choices":[{"finish_reason":"stop","index":0,"logprobs":null,"message":{"annotations":[],"content":"Yeezy, Shoes, kakobuy, kakebuy2026, kekobuysheet, kakobuysheet2026, 2026kakobuy, kakobuyspreadsheeet, kakobuylink, kakebuylist, Kakobuy MEGA Spreadsheet, kakobuysheetfind, kakobuysheetfind2026, 2026kakobuysheetfind, kakobuysheet2026","refusal":null,"role":"assistant"}}],"created":1776417155,"id":"chatcmpl-DVZXXlwQnG98yQEAoYgFUjfRubH4k","model":"gpt-5-chat-latest","object":"chat.completion","service_tier":"default","system_fingerprint":"fp_ad66631dec","usage":{"completion_tokens":92,"completion_tokens_details":{"accepted_prediction_tokens":0,"audio_tokens":0,"reasoning_tokens":0,"rejected_prediction_tokens":0},"prompt_tokens":784,"prompt_tokens_details":{"audio_tokens":0,"cached_tokens":0},"total_tokens":876}}</t>
  </si>
  <si>
    <t>Yeezy, Shoes, kakobuy, kakebuy2026, kekobuysheet, kakobuysheet2026, 2026kakobuy, kakobuyspreadsheeet, kakobuylink, kakebuylist, Kakobuy MEGA Spreadsheet, kakobuysheetfind, kakobuysheetfind2026, 2026kakobuysheetfind, kakobuysheet2026</t>
  </si>
  <si>
    <t>YEEZY Slide, Yellow, Minimalist, Street, Unisex</t>
  </si>
  <si>
    <t>recvh0B9A7V3al</t>
  </si>
  <si>
    <t>adidas-yeezy-slide-resin-yellow-recvh0b9a7v3al</t>
  </si>
  <si>
    <t>{"choices":[{"finish_reason":"stop","index":0,"logprobs":null,"message":{"annotations":[],"content":"Yeezy：Slide 树脂黄拖鞋，轻质EVA发泡材质打造，极简一体式设计，波浪齿形鞋底防滑稳固，男女皆宜，融合街头机能与未来感，呈现现代休闲潮流风格。","refusal":null,"role":"assistant"}}],"created":1776412505,"id":"chatcmpl-DVYKXFuMFFwljBY50LERPQa549JHe","model":"gpt-5-chat-latest","object":"chat.completion","service_tier":"default","system_fingerprint":"fp_ad66631dec","usage":{"completion_tokens":65,"completion_tokens_details":{"accepted_prediction_tokens":0,"audio_tokens":0,"reasoning_tokens":0,"rejected_prediction_tokens":0},"prompt_tokens":1306,"prompt_tokens_details":{"audio_tokens":0,"cached_tokens":0},"total_tokens":1371}}</t>
  </si>
  <si>
    <t>Yeezy：Slide 树脂黄拖鞋，轻质EVA发泡材质打造，极简一体式设计，波浪齿形鞋底防滑稳固，男女皆宜，融合街头机能与未来感，呈现现代休闲潮流风格。</t>
  </si>
  <si>
    <t>{"id":"chatcmpl-DVZKOPn6URMv2uBZTup8JIbO04bOz","object":"chat.completion","created":1776416340,"model":"gpt-5-chat-latest","choices":[{"index":0,"message":{"role":"assistant","content":"Yeezy Dark Gray EVA Foam Unisex Slide Shoes","refusal":null,"annotations":[]},"logprobs":null,"finish_reason":"stop"}],"usage":{"prompt_tokens":883,"completion_tokens":12,"total_tokens":895,"prompt_tokens_details":{"cached_tokens":0,"audio_tokens":0},"completion_tokens_details":{"reasoning_tokens":0,"audio_tokens":0,"accepted_prediction_tokens":0,"rejected_prediction_tokens":0}},"service_tier":"default","system_fingerprint":"fp_ad66631dec"}</t>
  </si>
  <si>
    <t>Yeezy Dark Gray EVA Foam Unisex Slide Shoes</t>
  </si>
  <si>
    <t>{"choices":[{"finish_reason":"stop","index":0,"logprobs":null,"message":{"annotations":[],"content":"ShoesYeezyYeezy Dark Gray EVA Foam Slides, minimalist sleek design, lightweight comfort, anti-slip sole, unisex streetwear style, breathable, durable, showcasing futuristic aesthetics.","refusal":null,"role":"assistant"}}],"created":1776415272,"id":"chatcmpl-DVZ3AQfkbLzJO6GnukVdcuz4fAFZr","model":"gpt-5-chat-latest","object":"chat.completion","service_tier":"default","system_fingerprint":"fp_ad66631dec","usage":{"completion_tokens":40,"completion_tokens_details":{"accepted_prediction_tokens":0,"audio_tokens":0,"reasoning_tokens":0,"rejected_prediction_tokens":0},"prompt_tokens":896,"prompt_tokens_details":{"audio_tokens":0,"cached_tokens":0},"total_tokens":936}}</t>
  </si>
  <si>
    <t>ShoesYeezyYeezy Dark Gray EVA Foam Slides, minimalist sleek design, lightweight comfort, anti-slip sole, unisex streetwear style, breathable, durable, showcasing futuristic aesthetics.</t>
  </si>
  <si>
    <t>{"id":"chatcmpl-DVZb3ZL4pop5IyiNAAley4itZU5z0","object":"chat.completion","created":1776417373,"model":"gpt-5-chat-latest","choices":[{"index":0,"message":{"role":"assistant","content":"Yeezy,Slides,kakobuy,kakebuy2026,kekobuysheet,kakobuysheet2026,2026kakobuy,kakobuyspreadsheeet,kakobuylink,kakebuylist,Kakobuy MEGA Spreadsheet,kakobuysheetfind,kakobuysheetfind2026,2026kakobuysheetfind,kakobuysheet2026","refusal":null,"annotations":[]},"logprobs":null,"finish_reason":"stop"}],"usage":{"prompt_tokens":784,"completion_tokens":88,"total_tokens":872,"prompt_tokens_details":{"cached_tokens":0,"audio_tokens":0},"completion_tokens_details":{"reasoning_tokens":0,"audio_tokens":0,"accepted_prediction_tokens":0,"rejected_prediction_tokens":0}},"service_tier":"default","system_fingerprint":"fp_ad66631dec"}</t>
  </si>
  <si>
    <t>YEEZY, Slides, Dark Grey, Minimalist, Unisex, Streetwear</t>
  </si>
  <si>
    <t>recvh0B9A7AF2o</t>
  </si>
  <si>
    <t>yeezy-dark-gray-eva-foam-unisex-slide-recvh0b9a7af2o</t>
  </si>
  <si>
    <t>{"choices":[{"finish_reason":"stop","index":0,"logprobs":null,"message":{"annotations":[],"content":"Yeezy：暗灰色EVA泡沫拖鞋，极简流线型设计，轻盈舒适，防滑齿型鞋底，男女皆宜，现代街头休闲风，透气耐穿，彰显未来主义美学。","refusal":null,"role":"assistant"}}],"created":1776412047,"id":"chatcmpl-DVYD9gIFcAZnHAaSUNurEstJHY8Pv","model":"gpt-5-chat-latest","object":"chat.completion","service_tier":"default","system_fingerprint":"fp_ad66631dec","usage":{"completion_tokens":59,"completion_tokens_details":{"accepted_prediction_tokens":0,"audio_tokens":0,"reasoning_tokens":0,"rejected_prediction_tokens":0},"prompt_tokens":1306,"prompt_tokens_details":{"audio_tokens":0,"cached_tokens":0},"total_tokens":1365}}</t>
  </si>
  <si>
    <t>Yeezy：暗灰色EVA泡沫拖鞋，极简流线型设计，轻盈舒适，防滑齿型鞋底，男女皆宜，现代街头休闲风，透气耐穿，彰显未来主义美学。</t>
  </si>
  <si>
    <t>{"choices":[{"finish_reason":"stop","index":0,"logprobs":null,"message":{"annotations":[],"content":"Adidas Yeezy White Mesh Suede Futuristic Unisex Sneakers","refusal":null,"role":"assistant"}}],"created":1776416036,"id":"chatcmpl-DVZFUpWbRi5StiFn14WqCp6O1ZNeX","model":"gpt-5-chat-latest","object":"chat.completion","service_tier":"default","system_fingerprint":"fp_ad66631dec","usage":{"completion_tokens":14,"completion_tokens_details":{"accepted_prediction_tokens":0,"audio_tokens":0,"reasoning_tokens":0,"rejected_prediction_tokens":0},"prompt_tokens":592,"prompt_tokens_details":{"audio_tokens":0,"cached_tokens":0},"total_tokens":606}}</t>
  </si>
  <si>
    <t>Adidas Yeezy White Mesh Suede Futuristic Unisex Sneakers</t>
  </si>
  <si>
    <t>{"choices":[{"finish_reason":"stop","index":0,"logprobs":null,"message":{"annotations":[],"content":"Adidas Yeezy white sneakers with sleek futuristic design, lightweight mesh and suede panels, breathable cushioned midsole for ultimate comfort, unisex style showing minimalist trendy fashion.","refusal":null,"role":"assistant"}}],"created":1776415192,"id":"chatcmpl-DVZ1ssLrB8ZY0Brdl2Vm0d0xrL7oh","model":"gpt-5-chat-latest","object":"chat.completion","service_tier":"default","system_fingerprint":"fp_ad66631dec","usage":{"completion_tokens":35,"completion_tokens_details":{"accepted_prediction_tokens":0,"audio_tokens":0,"reasoning_tokens":0,"rejected_prediction_tokens":0},"prompt_tokens":616,"prompt_tokens_details":{"audio_tokens":0,"cached_tokens":0},"total_tokens":651}}</t>
  </si>
  <si>
    <t>Adidas Yeezy white sneakers with sleek futuristic design, lightweight mesh and suede panels, breathable cushioned midsole for ultimate comfort, unisex style showing minimalist trendy fashion.</t>
  </si>
  <si>
    <t>{"choices":[{"finish_reason":"stop","index":0,"logprobs":null,"message":{"annotations":[],"content":"Adidas,Shoes,kakobuy,kakebuy2026,kekobuysheet,kakobuysheet2026,2026kakobuy,kakobuyspreadsheeet,kakobuylink,kakebuylist,Kakobuy MEGA Spreadsheet,kakobuysheetfind,kakobuysheetfind2026,2026kakobuysheetfind,kakobuysheet2026","refusal":null,"role":"assistant"}}],"created":1776417061,"id":"chatcmpl-DVZW1mb6PfXj2Q7LGSLGuYHRtjbgQ","model":"gpt-5-chat-latest","object":"chat.completion","service_tier":"default","system_fingerprint":"fp_ad66631dec","usage":{"completion_tokens":87,"completion_tokens_details":{"accepted_prediction_tokens":0,"audio_tokens":0,"reasoning_tokens":0,"rejected_prediction_tokens":0},"prompt_tokens":503,"prompt_tokens_details":{"audio_tokens":0,"cached_tokens":0},"total_tokens":590}}</t>
  </si>
  <si>
    <t>ADIDAS, YEEZY, Sneakers, White, Mesh, Suede</t>
  </si>
  <si>
    <t>recvh0B9A7xRdS</t>
  </si>
  <si>
    <t>adidas-yeezy-white-mesh-suede-futuristic-unisex-recvh0b9a7xrds</t>
  </si>
  <si>
    <t>{"id":"chatcmpl-DVYAjcsmZtTIeir9PbGzlYi44hqrc","object":"chat.completion","created":1776411897,"model":"gpt-5-chat-latest","choices":[{"index":0,"message":{"role":"assistant","content":"Adidas：白色Yeezy运动鞋，流线型设计融合未来感美学，轻质网面与绒面拼接鞋面，舒适透气缓震中底打造极致脚感，男女皆宜，彰显简约潮流风格。","refusal":null,"annotations":[]},"logprobs":null,"finish_reason":"stop"}],"usage":{"prompt_tokens":1020,"completion_tokens":62,"total_tokens":1082,"prompt_tokens_details":{"cached_tokens":0,"audio_tokens":0},"completion_tokens_details":{"reasoning_tokens":0,"audio_tokens":0,"accepted_prediction_tokens":0,"rejected_prediction_tokens":0}},"service_tier":"default","system_fingerprint":"fp_ad66631dec"}</t>
  </si>
  <si>
    <t>Adidas：白色Yeezy运动鞋，流线型设计融合未来感美学，轻质网面与绒面拼接鞋面，舒适透气缓震中底打造极致脚感，男女皆宜，彰显简约潮流风格。</t>
  </si>
  <si>
    <t>{"choices":[{"finish_reason":"stop","index":0,"logprobs":null,"message":{"annotations":[],"content":"Adidas Yeezy Mint Gradient Unisex Chunky Sneakers","refusal":null,"role":"assistant"}}],"created":1776416341,"id":"chatcmpl-DVZKPDuDnlFTqp004liL8OnUb9e40","model":"gpt-5-chat-latest","object":"chat.completion","service_tier":"default","system_fingerprint":"fp_ad66631dec","usage":{"completion_tokens":12,"completion_tokens_details":{"accepted_prediction_tokens":0,"audio_tokens":0,"reasoning_tokens":0,"rejected_prediction_tokens":0},"prompt_tokens":596,"prompt_tokens_details":{"audio_tokens":0,"cached_tokens":0},"total_tokens":608}}</t>
  </si>
  <si>
    <t>Adidas Yeezy Mint Gradient Unisex Chunky Sneakers</t>
  </si>
  <si>
    <t>{"choices":[{"finish_reason":"stop","index":0,"logprobs":null,"message":{"annotations":[],"content":"Adidas Yeezy Mint Gradient Sneakers feature suede and mesh uppers for breathable comfort, a sleek chunky sole with cushioning tech, unisex design, delivering futuristic style and everyday performance.","refusal":null,"role":"assistant"}}],"created":1776415066,"id":"chatcmpl-DVYzqwL2gt8I4eXx32cPGDSb7631M","model":"gpt-5-chat-latest","object":"chat.completion","service_tier":"default","system_fingerprint":"fp_ad66631dec","usage":{"completion_tokens":37,"completion_tokens_details":{"accepted_prediction_tokens":0,"audio_tokens":0,"reasoning_tokens":0,"rejected_prediction_tokens":0},"prompt_tokens":622,"prompt_tokens_details":{"audio_tokens":0,"cached_tokens":0},"total_tokens":659}}</t>
  </si>
  <si>
    <t>Adidas Yeezy Mint Gradient Sneakers feature suede and mesh uppers for breathable comfort, a sleek chunky sole with cushioning tech, unisex design, delivering futuristic style and everyday performance.</t>
  </si>
  <si>
    <t>{"id":"chatcmpl-DVZRqipxUPoROD1TldGWQyDzMYLQP","object":"chat.completion","created":1776416802,"model":"gpt-5-chat-latest","choices":[{"index":0,"message":{"role":"assistant","content":"Adidas,Shoes,kakobuy,kakebuy2026,kekobuysheet,kakobuysheet2026,2026kakobuy,kakobuyspreadsheeet,kakobuylink,kakebuylist,Kakobuy MEGA Spreadsheet,kakobuysheetfind,kakobuysheetfind2026,2026kakobuysheetfind,kakobuysheet2026","refusal":null,"annotations":[]},"logprobs":null,"finish_reason":"stop"}],"usage":{"prompt_tokens":503,"completion_tokens":87,"total_tokens":590,"prompt_tokens_details":{"cached_tokens":0,"audio_tokens":0},"completion_tokens_details":{"reasoning_tokens":0,"audio_tokens":0,"accepted_prediction_tokens":0,"rejected_prediction_tokens":0}},"service_tier":"default","system_fingerprint":"fp_ad66631dec"}</t>
  </si>
  <si>
    <t>YEEZY, Suede, Mesh, Breathable, Cushioning, Unisex</t>
  </si>
  <si>
    <t>recvh0B9A7IXvt</t>
  </si>
  <si>
    <t>adidas-yeezy-mint-gradient-recvh0b9a7ixvt</t>
  </si>
  <si>
    <t>{"choices":[{"finish_reason":"stop","index":0,"logprobs":null,"message":{"annotations":[],"content":"Adidas：Yeezy系列薄荷绿渐变运动鞋，采用麂皮与网布拼接鞋面，轻盈透气；流线型设计结合厚底缓震科技，呈现未来感造型；男女皆宜，彰显潮流与舒适并存的运动美学。","refusal":null,"role":"assistant"}}],"created":1776412462,"id":"chatcmpl-DVYJqii1F5jjSO4ow8Ggo7jlg2A0p","model":"gpt-5-chat-latest","object":"chat.completion","service_tier":"default","system_fingerprint":"fp_ad66631dec","usage":{"completion_tokens":69,"completion_tokens_details":{"accepted_prediction_tokens":0,"audio_tokens":0,"reasoning_tokens":0,"rejected_prediction_tokens":0},"prompt_tokens":1018,"prompt_tokens_details":{"audio_tokens":0,"cached_tokens":0},"total_tokens":1087}}</t>
  </si>
  <si>
    <t>Adidas：Yeezy系列薄荷绿渐变运动鞋，采用麂皮与网布拼接鞋面，轻盈透气；流线型设计结合厚底缓震科技，呈现未来感造型；男女皆宜，彰显潮流与舒适并存的运动美学。</t>
  </si>
  <si>
    <t>{"choices":[{"finish_reason":"stop","index":0,"logprobs":null,"message":{"annotations":[],"content":"Yeezy Adilette Black EVA Unisex Non‑Slip Slides","refusal":null,"role":"assistant"}}],"created":1776416395,"id":"chatcmpl-DVZLHfLUqHT4IjZ9PUT98qJiYyXHW","model":"gpt-5-chat-latest","object":"chat.completion","service_tier":"default","system_fingerprint":"fp_ad66631dec","usage":{"completion_tokens":15,"completion_tokens_details":{"accepted_prediction_tokens":0,"audio_tokens":0,"reasoning_tokens":0,"rejected_prediction_tokens":0},"prompt_tokens":883,"prompt_tokens_details":{"audio_tokens":0,"cached_tokens":0},"total_tokens":898}}</t>
  </si>
  <si>
    <t>Yeezy Adilette Black EVA Unisex Non‑Slip Slides</t>
  </si>
  <si>
    <t>{"choices":[{"finish_reason":"stop","index":0,"logprobs":null,"message":{"annotations":[],"content":"Yeezy Adilette Black EVA Slides, lightweight and sleek minimalist design with non-slip serrated sole, unisex comfort for everyday wear, modern street fashion perfect for casual and vacation style.","refusal":null,"role":"assistant"}}],"created":1776415373,"id":"chatcmpl-DVZ4nlmDo0LxAq4OCJT7sCEgZSany","model":"gpt-5-chat-latest","object":"chat.completion","service_tier":"default","system_fingerprint":"fp_ad66631dec","usage":{"completion_tokens":40,"completion_tokens_details":{"accepted_prediction_tokens":0,"audio_tokens":0,"reasoning_tokens":0,"rejected_prediction_tokens":0},"prompt_tokens":911,"prompt_tokens_details":{"audio_tokens":0,"cached_tokens":0},"total_tokens":951}}</t>
  </si>
  <si>
    <t>Yeezy Adilette Black EVA Slides, lightweight and sleek minimalist design with non-slip serrated sole, unisex comfort for everyday wear, modern street fashion perfect for casual and vacation style.</t>
  </si>
  <si>
    <t>{"choices":[{"finish_reason":"stop","index":0,"logprobs":null,"message":{"annotations":[],"content":"Yeezy,Shoes,kakobuy,kakebuy2026,kekobuysheet,kakobuysheet2026,2026kakobuy,kakobuyspreadsheeet,kakobuylink,kakebuylist,Kakobuy MEGA Spreadsheet,kakobuysheetfind,kakobuysheetfind2026,2026kakobuysheetfind,kakobuysheet2026","refusal":null,"role":"assistant"}}],"created":1776416739,"id":"chatcmpl-DVZQpQfX6k5Nja4oLTeZvnZrj0aWz","model":"gpt-5-chat-latest","object":"chat.completion","service_tier":"default","system_fingerprint":"fp_ad66631dec","usage":{"completion_tokens":88,"completion_tokens_details":{"accepted_prediction_tokens":0,"audio_tokens":0,"reasoning_tokens":0,"rejected_prediction_tokens":0},"prompt_tokens":784,"prompt_tokens_details":{"audio_tokens":0,"cached_tokens":0},"total_tokens":872}}</t>
  </si>
  <si>
    <t>YEEZY, Adilette, Black, Slides, Unisex, Streetwear</t>
  </si>
  <si>
    <t>recvh0B9A7f4ia</t>
  </si>
  <si>
    <t>yeezy-adilette-black-eva-recvh0b9a7f4ia</t>
  </si>
  <si>
    <t>{"choices":[{"finish_reason":"stop","index":0,"logprobs":null,"message":{"annotations":[],"content":"Yeezy：Adilette黑色休闲拖鞋，轻质EVA材质打造，极简流线设计，防滑齿形鞋底提升稳定性，男女通用款，展现现代街头极简风格，舒适且时尚，适合日常休闲与度假穿搭。","refusal":null,"role":"assistant"}}],"created":1776412382,"id":"chatcmpl-DVYIYppCwebSqiaFuIxPkIi7Vgptv","model":"gpt-5-chat-latest","object":"chat.completion","service_tier":"default","system_fingerprint":"fp_ad66631dec","usage":{"completion_tokens":73,"completion_tokens_details":{"accepted_prediction_tokens":0,"audio_tokens":0,"reasoning_tokens":0,"rejected_prediction_tokens":0},"prompt_tokens":1308,"prompt_tokens_details":{"audio_tokens":0,"cached_tokens":0},"total_tokens":1381}}</t>
  </si>
  <si>
    <t>Yeezy：Adilette黑色休闲拖鞋，轻质EVA材质打造，极简流线设计，防滑齿形鞋底提升稳定性，男女通用款，展现现代街头极简风格，舒适且时尚，适合日常休闲与度假穿搭。</t>
  </si>
  <si>
    <t>{"choices":[{"finish_reason":"stop","index":0,"logprobs":null,"message":{"annotations":[],"content":"Yeezy Gray EVA Slides Unisex Lightweight Anti Slip Sandals","refusal":null,"role":"assistant"}}],"created":1776416179,"id":"chatcmpl-DVZHnX6gnOMt1g1AGB2sZjH3ODhJY","model":"gpt-5-chat-latest","object":"chat.completion","service_tier":"default","system_fingerprint":"fp_ad66631dec","usage":{"completion_tokens":14,"completion_tokens_details":{"accepted_prediction_tokens":0,"audio_tokens":0,"reasoning_tokens":0,"rejected_prediction_tokens":0},"prompt_tokens":881,"prompt_tokens_details":{"audio_tokens":0,"cached_tokens":0},"total_tokens":895}}</t>
  </si>
  <si>
    <t>Yeezy Gray EVA Slides Unisex Lightweight Anti Slip Sandals</t>
  </si>
  <si>
    <t>{"choices":[{"finish_reason":"stop","index":0,"logprobs":null,"message":{"annotations":[],"content":"ShoesYeezyYeezy gray EVA slides with a minimalist streamlined design and serrated thick sole, lightweight, anti-slip, unisex, blending modern street and casual comfort style.","refusal":null,"role":"assistant"}}],"created":1776415225,"id":"chatcmpl-DVZ2PO9wPV6wIrrUVYY3dIQArV5zf","model":"gpt-5-chat-latest","object":"chat.completion","service_tier":"default","system_fingerprint":"fp_ad66631dec","usage":{"completion_tokens":39,"completion_tokens_details":{"accepted_prediction_tokens":0,"audio_tokens":0,"reasoning_tokens":0,"rejected_prediction_tokens":0},"prompt_tokens":890,"prompt_tokens_details":{"audio_tokens":0,"cached_tokens":0},"total_tokens":929}}</t>
  </si>
  <si>
    <t>ShoesYeezyYeezy gray EVA slides with a minimalist streamlined design and serrated thick sole, lightweight, anti-slip, unisex, blending modern street and casual comfort style.</t>
  </si>
  <si>
    <t>{"choices":[{"finish_reason":"stop","index":0,"logprobs":null,"message":{"annotations":[],"content":"Yeezy,Slides,kakobuy,kakebuy2026,kekobuysheet,kakobuysheet2026,2026kakobuy,kakobuyspreadsheeet,kakobuylink,kakebuylist,Kakobuy MEGA Spreadsheet,kakobuysheetfind,kakobuysheetfind2026,2026kakobuysheetfind,kakobuysheet2026","refusal":null,"role":"assistant"}}],"created":1776417339,"id":"chatcmpl-DVZaVS01fdABCCYW22jUarnCrH13Q","model":"gpt-5-chat-latest","object":"chat.completion","service_tier":"default","system_fingerprint":"fp_ad66631dec","usage":{"completion_tokens":88,"completion_tokens_details":{"accepted_prediction_tokens":0,"audio_tokens":0,"reasoning_tokens":0,"rejected_prediction_tokens":0},"prompt_tokens":784,"prompt_tokens_details":{"audio_tokens":0,"cached_tokens":0},"total_tokens":872}}</t>
  </si>
  <si>
    <t>YEEZY, Slides, Gray, Minimalist, Unisex, Street</t>
  </si>
  <si>
    <t>recvh0B9A7PW1o</t>
  </si>
  <si>
    <t>yeezy-gray-eva-slides-unisex-lightweight-anti-slip-sandals-recvh0b9a7pw1o</t>
  </si>
  <si>
    <t>{"choices":[{"finish_reason":"stop","index":0,"logprobs":null,"message":{"annotations":[],"content":"Yeezy：灰色EVA材质拖鞋，极简流线设计搭配锯齿厚底结构，轻盈舒适兼具防滑性能，男女皆宜，彰显现代街头休闲风格。","refusal":null,"role":"assistant"}}],"created":1776412351,"id":"chatcmpl-DVYI3HzSvGyOH4ylF3Ofd9NSvrMgw","model":"gpt-5-chat-latest","object":"chat.completion","service_tier":"default","system_fingerprint":"fp_ad66631dec","usage":{"completion_tokens":53,"completion_tokens_details":{"accepted_prediction_tokens":0,"audio_tokens":0,"reasoning_tokens":0,"rejected_prediction_tokens":0},"prompt_tokens":1306,"prompt_tokens_details":{"audio_tokens":0,"cached_tokens":0},"total_tokens":1359}}</t>
  </si>
  <si>
    <t>Yeezy：灰色EVA材质拖鞋，极简流线设计搭配锯齿厚底结构，轻盈舒适兼具防滑性能，男女皆宜，彰显现代街头休闲风格。</t>
  </si>
  <si>
    <t>{"id":"chatcmpl-DVZCMcAoF9uTpeWWzAJc1t0K62HXE","object":"chat.completion","created":1776415842,"model":"gpt-5-chat-latest","choices":[{"index":0,"message":{"role":"assistant","content":"Adidas Ozrah Black White Mesh Leather Sneakers","refusal":null,"annotations":[]},"logprobs":null,"finish_reason":"stop"}],"usage":{"prompt_tokens":596,"completion_tokens":10,"total_tokens":606,"prompt_tokens_details":{"cached_tokens":0,"audio_tokens":0},"completion_tokens_details":{"reasoning_tokens":0,"audio_tokens":0,"accepted_prediction_tokens":0,"rejected_prediction_tokens":0}},"service_tier":"default","system_fingerprint":"fp_ad66631dec"}</t>
  </si>
  <si>
    <t>Adidas Ozrah Black White Mesh Leather Sneakers</t>
  </si>
  <si>
    <t>{"id":"chatcmpl-DVZ1WAZYyUYh5q5EhA5MVabIzb5jJ","object":"chat.completion","created":1776415170,"model":"gpt-5-chat-latest","choices":[{"index":0,"message":{"role":"assistant","content":"Adidas Ozrah Black White Sneakers combine breathable mesh with premium synthetic leather, cushioned chunky midsole for support, sleek futuristic design and unisex street style for modern urban comfort.","refusal":null,"annotations":[]},"logprobs":null,"finish_reason":"stop"}],"usage":{"prompt_tokens":637,"completion_tokens":37,"total_tokens":674,"prompt_tokens_details":{"cached_tokens":0,"audio_tokens":0},"completion_tokens_details":{"reasoning_tokens":0,"audio_tokens":0,"accepted_prediction_tokens":0,"rejected_prediction_tokens":0}},"service_tier":"default","system_fingerprint":"fp_ad66631dec"}</t>
  </si>
  <si>
    <t>Adidas Ozrah Black White Sneakers combine breathable mesh with premium synthetic leather, cushioned chunky midsole for support, sleek futuristic design and unisex street style for modern urban comfort.</t>
  </si>
  <si>
    <t>{"id":"chatcmpl-DVZRV6QqLDBxRVEM5l3X7pxU3N3PU","object":"chat.completion","created":1776416781,"model":"gpt-5-chat-latest","choices":[{"index":0,"message":{"role":"assistant","content":"Adidas, Shoes, kakobuy, kakebuy2026, kekobuysheet, kakobuysheet2026, 2026kakobuy, kakobuyspreadsheeet, kakobuylink, kakebuylist, Kakobuy MEGA Spreadsheet, kakobuysheetfind, kakobuysheetfind2026, 2026kakobuysheetfind, kakobuysheet2026","refusal":null,"annotations":[]},"logprobs":null,"finish_reason":"stop"}],"usage":{"prompt_tokens":503,"completion_tokens":91,"total_tokens":594,"prompt_tokens_details":{"cached_tokens":0,"audio_tokens":0},"completion_tokens_details":{"reasoning_tokens":0,"audio_tokens":0,"accepted_prediction_tokens":0,"rejected_prediction_tokens":0}},"service_tier":"default","system_fingerprint":"fp_ad66631dec"}</t>
  </si>
  <si>
    <t>Adidas, Shoes, kakobuy, kakebuy2026, kekobuysheet, kakobuysheet2026, 2026kakobuy, kakobuyspreadsheeet, kakobuylink, kakebuylist, Kakobuy MEGA Spreadsheet, kakobuysheetfind, kakobuysheetfind2026, 2026kakobuysheetfind, kakobuysheet2026</t>
  </si>
  <si>
    <t>ADIDAS, Black, White, Unisex, Street, Mesh</t>
  </si>
  <si>
    <t>recvh0B9A7T4tU</t>
  </si>
  <si>
    <t>adidas-ozrah-black-white-recvh0b9a7t4tu</t>
  </si>
  <si>
    <t>{"choices":[{"finish_reason":"stop","index":0,"logprobs":null,"message":{"annotations":[],"content":"Adidas：Ozrah 黑白拼色运动鞋，采用透气网面与优质合成皮革拼接设计，轻盈舒适。流线型鞋身搭配厚底缓震中底，增强脚感支撑力。前卫科技感造型融合潮流街头风，适合男女通用穿搭，展现现代都市动感魅力。","refusal":null,"role":"assistant"}}],"created":1776412487,"id":"chatcmpl-DVYKFRTzWqywutziA2BSGNz2xDGzg","model":"gpt-5-chat-latest","object":"chat.completion","service_tier":"default","system_fingerprint":"fp_ad66631dec","usage":{"completion_tokens":85,"completion_tokens_details":{"accepted_prediction_tokens":0,"audio_tokens":0,"reasoning_tokens":0,"rejected_prediction_tokens":0},"prompt_tokens":1016,"prompt_tokens_details":{"audio_tokens":0,"cached_tokens":0},"total_tokens":1101}}</t>
  </si>
  <si>
    <t>Adidas：Ozrah 黑白拼色运动鞋，采用透气网面与优质合成皮革拼接设计，轻盈舒适。流线型鞋身搭配厚底缓震中底，增强脚感支撑力。前卫科技感造型融合潮流街头风，适合男女通用穿搭，展现现代都市动感魅力。</t>
  </si>
  <si>
    <t>400</t>
  </si>
  <si>
    <t>{"choices":[{"finish_reason":"stop","index":0,"logprobs":null,"message":{"annotations":[],"content":"Adidas Retro Running Shoes Gray Blue Lightweight Sneakers","refusal":null,"role":"assistant"}}],"created":1776415961,"id":"chatcmpl-DVZEH2XFg0YscByKvTX3tXsoJ5UFZ","model":"gpt-5-chat-latest","object":"chat.completion","service_tier":"default","system_fingerprint":"fp_ad66631dec","usage":{"completion_tokens":10,"completion_tokens_details":{"accepted_prediction_tokens":0,"audio_tokens":0,"reasoning_tokens":0,"rejected_prediction_tokens":0},"prompt_tokens":590,"prompt_tokens_details":{"audio_tokens":0,"cached_tokens":0},"total_tokens":600}}</t>
  </si>
  <si>
    <t>Adidas Retro Running Shoes Gray Blue Lightweight Sneakers</t>
  </si>
  <si>
    <t>{"id":"chatcmpl-DVYxz2nihMOhjY4OUFTzjfkxLpapQ","object":"chat.completion","created":1776414951,"model":"gpt-5-chat-latest","choices":[{"index":0,"message":{"role":"assistant","content":"Adidas Retro Running Shoes: Gray-blue mesh and synthetic leather, lightweight cushioned midsole for comfort and support, unisex design blending futuristic tech with street fashion.","refusal":null,"annotations":[]},"logprobs":null,"finish_reason":"stop"}],"usage":{"prompt_tokens":618,"completion_tokens":34,"total_tokens":652,"prompt_tokens_details":{"cached_tokens":0,"audio_tokens":0},"completion_tokens_details":{"reasoning_tokens":0,"audio_tokens":0,"accepted_prediction_tokens":0,"rejected_prediction_tokens":0}},"service_tier":"default","system_fingerprint":"fp_ad66631dec"}</t>
  </si>
  <si>
    <t>Adidas Retro Running Shoes: Gray-blue mesh and synthetic leather, lightweight cushioned midsole for comfort and support, unisex design blending futuristic tech with street fashion.</t>
  </si>
  <si>
    <t>{"choices":[{"finish_reason":"stop","index":0,"logprobs":null,"message":{"annotations":[],"content":"Adidas,Shoes,kakobuy,kakebuy2026,kekobuysheet,kakobuysheet2026,2026kakobuy,kakobuyspreadsheeet,kakobuylink,kakebuylist,Kakobuy MEGA Spreadsheet,kakobuysheetfind,kakobuysheetfind2026,2026kakobuysheetfind,kakobuysheet2026","refusal":null,"role":"assistant"}}],"created":1776416979,"id":"chatcmpl-DVZUh6eeDYR5fBvHZol2IYr6OHWur","model":"gpt-5-chat-latest","object":"chat.completion","service_tier":"default","system_fingerprint":"fp_ad66631dec","usage":{"completion_tokens":87,"completion_tokens_details":{"accepted_prediction_tokens":0,"audio_tokens":0,"reasoning_tokens":0,"rejected_prediction_tokens":0},"prompt_tokens":503,"prompt_tokens_details":{"audio_tokens":0,"cached_tokens":0},"total_tokens":590}}</t>
  </si>
  <si>
    <t>ADIDAS, Retro Running, Grey Blue, Mesh, Synthetic Leather, Unisex</t>
  </si>
  <si>
    <t>recvh0B9A7bvRX</t>
  </si>
  <si>
    <t>adidas-retro-running-gray-blue-recvh0b9a7bvrx</t>
  </si>
  <si>
    <t>{"choices":[{"finish_reason":"stop","index":0,"logprobs":null,"message":{"annotations":[],"content":"Adidas：灰蓝色复古跑鞋，透气网面拼接合成革结构，轻量缓震中底设计，彰显未来科技感与街头潮流风格，男女通用款，舒适支撑兼具时尚表现力。","refusal":null,"role":"assistant"}}],"created":1776411994,"id":"chatcmpl-DVYCIUq06EPX76ltzHBaZWb8YRWKQ","model":"gpt-5-chat-latest","object":"chat.completion","service_tier":"default","system_fingerprint":"fp_ad66631dec","usage":{"completion_tokens":60,"completion_tokens_details":{"accepted_prediction_tokens":0,"audio_tokens":0,"reasoning_tokens":0,"rejected_prediction_tokens":0},"prompt_tokens":1028,"prompt_tokens_details":{"audio_tokens":0,"cached_tokens":0},"total_tokens":1088}}</t>
  </si>
  <si>
    <t>Adidas：灰蓝色复古跑鞋，透气网面拼接合成革结构，轻量缓震中底设计，彰显未来科技感与街头潮流风格，男女通用款，舒适支撑兼具时尚表现力。</t>
  </si>
  <si>
    <t>{"id":"chatcmpl-DVZJcj1ceDmr27Dg47EJISqTTMwBi","object":"chat.completion","created":1776416292,"model":"gpt-5-chat-latest","choices":[{"index":0,"message":{"role":"assistant","content":"Yeezy Earth EVA Foam Slides Unisex Lightweight Comfort Shoes","refusal":null,"annotations":[]},"logprobs":null,"finish_reason":"stop"}],"usage":{"prompt_tokens":885,"completion_tokens":13,"total_tokens":898,"prompt_tokens_details":{"cached_tokens":0,"audio_tokens":0},"completion_tokens_details":{"reasoning_tokens":0,"audio_tokens":0,"accepted_prediction_tokens":0,"rejected_prediction_tokens":0}},"service_tier":"default","system_fingerprint":"fp_ad66631dec"}</t>
  </si>
  <si>
    <t>Yeezy Earth EVA Foam Slides Unisex Lightweight Comfort Shoes</t>
  </si>
  <si>
    <t>{"choices":[{"finish_reason":"stop","index":0,"logprobs":null,"message":{"annotations":[],"content":"ShoesYeezyYeezy Earth EVA Foam Slides feature lightweight comfort, minimalist design, and rugged serrated sole for grip and cushioning. Unisex style for all seasons and casual modern wear.","refusal":null,"role":"assistant"}}],"created":1776415272,"id":"chatcmpl-DVZ3AhDIpVHfHCUQa4rS5oPgoIHt5","model":"gpt-5-chat-latest","object":"chat.completion","service_tier":"default","system_fingerprint":"fp_ad66631dec","usage":{"completion_tokens":41,"completion_tokens_details":{"accepted_prediction_tokens":0,"audio_tokens":0,"reasoning_tokens":0,"rejected_prediction_tokens":0},"prompt_tokens":905,"prompt_tokens_details":{"audio_tokens":0,"cached_tokens":0},"total_tokens":946}}</t>
  </si>
  <si>
    <t>ShoesYeezyYeezy Earth EVA Foam Slides feature lightweight comfort, minimalist design, and rugged serrated sole for grip and cushioning. Unisex style for all seasons and casual modern wear.</t>
  </si>
  <si>
    <t>{"choices":[{"finish_reason":"stop","index":0,"logprobs":null,"message":{"annotations":[],"content":"Yeezy,Slides,kakobuy,kakebuy2026,kekobuysheet,kakobuysheet2026,2026kakobuy,kakobuyspreadsheeet,kakobuylink,kakebuylist,Kakobuy MEGA Spreadsheet,kakobuysheetfind,kakobuysheetfind2026,2026kakobuysheetfind,kakobuysheet2026","refusal":null,"role":"assistant"}}],"created":1776417191,"id":"chatcmpl-DVZY7uaXpqES8rcdW05tt5hiO5RRA","model":"gpt-5-chat-latest","object":"chat.completion","service_tier":"default","system_fingerprint":"fp_ad66631dec","usage":{"completion_tokens":88,"completion_tokens_details":{"accepted_prediction_tokens":0,"audio_tokens":0,"reasoning_tokens":0,"rejected_prediction_tokens":0},"prompt_tokens":784,"prompt_tokens_details":{"audio_tokens":0,"cached_tokens":0},"total_tokens":872}}</t>
  </si>
  <si>
    <t>YEEZY, Slides, Unisex, All Seasons, Minimalist</t>
  </si>
  <si>
    <t>recvh0B9A7gRl7</t>
  </si>
  <si>
    <t>yeezy-earth-eva-foam-slides-recvh0b9a7grl7</t>
  </si>
  <si>
    <t>{"choices":[{"finish_reason":"stop","index":0,"logprobs":null,"message":{"annotations":[],"content":"Yeezy：Earth色休闲拖鞋，采用轻质EVA泡沫材质，极简流线设计，齿状鞋底增强抓地力与缓震效果，男女皆宜，展现现代极简主义与舒适休闲风格，适配各种季节与场景。","refusal":null,"role":"assistant"}}],"created":1776412268,"id":"chatcmpl-DVYGi3ybZfUZvh9mX5Epkz8cmXd50","model":"gpt-5-chat-latest","object":"chat.completion","service_tier":"default","system_fingerprint":"fp_ad66631dec","usage":{"completion_tokens":70,"completion_tokens_details":{"accepted_prediction_tokens":0,"audio_tokens":0,"reasoning_tokens":0,"rejected_prediction_tokens":0},"prompt_tokens":1302,"prompt_tokens_details":{"audio_tokens":0,"cached_tokens":0},"total_tokens":1372}}</t>
  </si>
  <si>
    <t>Yeezy：Earth色休闲拖鞋，采用轻质EVA泡沫材质，极简流线设计，齿状鞋底增强抓地力与缓震效果，男女皆宜，展现现代极简主义与舒适休闲风格，适配各种季节与场景。</t>
  </si>
  <si>
    <t>300</t>
  </si>
  <si>
    <t>{"id":"chatcmpl-DVZHzW4EGFN6n7z1XE6ZqmgCKWwfU","object":"chat.completion","created":1776416191,"model":"gpt-5-chat-latest","choices":[{"index":0,"message":{"role":"assistant","content":"Chanel White Leather Apple Logo Unisex Casual Sneakers  ","refusal":null,"annotations":[]},"logprobs":null,"finish_reason":"stop"}],"usage":{"prompt_tokens":882,"completion_tokens":12,"total_tokens":894,"prompt_tokens_details":{"cached_tokens":0,"audio_tokens":0},"completion_tokens_details":{"reasoning_tokens":0,"audio_tokens":0,"accepted_prediction_tokens":0,"rejected_prediction_tokens":0}},"service_tier":"default","system_fingerprint":"fp_ad66631dec"}</t>
  </si>
  <si>
    <t xml:space="preserve">Chanel White Leather Apple Logo Unisex Casual Sneakers  </t>
  </si>
  <si>
    <t>{"choices":[{"finish_reason":"stop","index":0,"logprobs":null,"message":{"annotations":[],"content":"Chanel White Casual Sneakers crafted from premium leather, featuring cute apple motifs and double C logo, red-white contrast, thick sole for comfort and lift, unisex, light and stylish modern design.","refusal":null,"role":"assistant"}}],"created":1776415284,"id":"chatcmpl-DVZ3MVgrxSfI9yDaaPC3JyNrbvM15","model":"gpt-5-chat-latest","object":"chat.completion","service_tier":"default","system_fingerprint":"fp_ad66631dec","usage":{"completion_tokens":40,"completion_tokens_details":{"accepted_prediction_tokens":0,"audio_tokens":0,"reasoning_tokens":0,"rejected_prediction_tokens":0},"prompt_tokens":910,"prompt_tokens_details":{"audio_tokens":0,"cached_tokens":0},"total_tokens":950}}</t>
  </si>
  <si>
    <t>Chanel White Casual Sneakers crafted from premium leather, featuring cute apple motifs and double C logo, red-white contrast, thick sole for comfort and lift, unisex, light and stylish modern design.</t>
  </si>
  <si>
    <t>{"id":"chatcmpl-DVZZfo1fT7MRFr1EyXeZc0fP7zoJV","object":"chat.completion","created":1776417287,"model":"gpt-5-chat-latest","choices":[{"index":0,"message":{"role":"assistant","content":"Chanel, Shoes, kakobuy, kakebuy2026, kekobuysheet, kakobuysheet2026, 2026kakobuy, kakobuyspreadsheeet, kakobuylink, kakebuylist, Kakobuy MEGA Spreadsheet, kakobuysheetfind, kakobuysheetfind2026, 2026kakobuysheetfind, kakobuysheet2026","refusal":null,"annotations":[]},"logprobs":null,"finish_reason":"stop"}],"usage":{"prompt_tokens":783,"completion_tokens":91,"total_tokens":874,"prompt_tokens_details":{"cached_tokens":0,"audio_tokens":0},"completion_tokens_details":{"reasoning_tokens":0,"audio_tokens":0,"accepted_prediction_tokens":0,"rejected_prediction_tokens":0}},"service_tier":"default","system_fingerprint":"fp_ad66631dec"}</t>
  </si>
  <si>
    <t>Chanel, White, Casual Sneakers, Leather, Unisex, Modern</t>
  </si>
  <si>
    <t>recvh0B9A76neC</t>
  </si>
  <si>
    <t>chanel-white-leather-apple-logo-recvh0b9a76nec</t>
  </si>
  <si>
    <t>{"choices":[{"finish_reason":"stop","index":0,"logprobs":null,"message":{"annotations":[],"content":"Chanel：白色休闲运动鞋，甄选高品质皮革材质，饰以可爱卡通苹果图腾与双C标识，红白撞色设计活泼时尚，厚底增高结构舒适修身，男女皆宜，现代潮流风格，兼具轻盈与高级质感。","refusal":null,"role":"assistant"}}],"created":1776412450,"id":"chatcmpl-DVYJel9FgyQX2h4BAE4xgIxfS05mV","model":"gpt-5-chat-latest","object":"chat.completion","service_tier":"default","system_fingerprint":"fp_ad66631dec","usage":{"completion_tokens":76,"completion_tokens_details":{"accepted_prediction_tokens":0,"audio_tokens":0,"reasoning_tokens":0,"rejected_prediction_tokens":0},"prompt_tokens":1300,"prompt_tokens_details":{"audio_tokens":0,"cached_tokens":0},"total_tokens":1376}}</t>
  </si>
  <si>
    <t>Chanel：白色休闲运动鞋，甄选高品质皮革材质，饰以可爱卡通苹果图腾与双C标识，红白撞色设计活泼时尚，厚底增高结构舒适修身，男女皆宜，现代潮流风格，兼具轻盈与高级质感。</t>
  </si>
  <si>
    <t>{"id":"chatcmpl-DVZKTRG1QWGVCBPtbHwKfaAPwPoW7","object":"chat.completion","created":1776416345,"model":"gpt-5-chat-latest","choices":[{"index":0,"message":{"role":"assistant","content":"Adidas Retro Light Purple Running Shoes Unisex","refusal":null,"annotations":[]},"logprobs":null,"finish_reason":"stop"}],"usage":{"prompt_tokens":600,"completion_tokens":10,"total_tokens":610,"prompt_tokens_details":{"cached_tokens":0,"audio_tokens":0},"completion_tokens_details":{"reasoning_tokens":0,"audio_tokens":0,"accepted_prediction_tokens":0,"rejected_prediction_tokens":0}},"service_tier":"default","system_fingerprint":"fp_ad66631dec"}</t>
  </si>
  <si>
    <t>Adidas Retro Light Purple Running Shoes Unisex</t>
  </si>
  <si>
    <t>{"choices":[{"finish_reason":"stop","index":0,"logprobs":null,"message":{"annotations":[],"content":"Adidas Retro Running Shoes in Light Purple with Green Accents, breathable mesh and synthetic leather mix, thick cushioned sole, futuristic streetwear design, unisex for sport and casual wear.","refusal":null,"role":"assistant"}}],"created":1776415343,"id":"chatcmpl-DVZ4JhESY7xZurRSxq4ptnuRLPKpI","model":"gpt-5-chat-latest","object":"chat.completion","service_tier":"default","system_fingerprint":"fp_ad66631dec","usage":{"completion_tokens":39,"completion_tokens_details":{"accepted_prediction_tokens":0,"audio_tokens":0,"reasoning_tokens":0,"rejected_prediction_tokens":0},"prompt_tokens":615,"prompt_tokens_details":{"audio_tokens":0,"cached_tokens":0},"total_tokens":654}}</t>
  </si>
  <si>
    <t>Adidas Retro Running Shoes in Light Purple with Green Accents, breathable mesh and synthetic leather mix, thick cushioned sole, futuristic streetwear design, unisex for sport and casual wear.</t>
  </si>
  <si>
    <t>{"choices":[{"finish_reason":"stop","index":0,"logprobs":null,"message":{"annotations":[],"content":"Adidas,Shoes,kakobuy,kakebuy2026,kekobuysheet,kakobuysheet2026,2026kakobuy,kakobuyspreadsheeet,kakobuylink,kakebuylist,Kakobuy MEGA Spreadsheet,kakobuysheetfind,kakobuysheetfind2026,2026kakobuysheetfind,kakobuysheet2026","refusal":null,"role":"assistant"}}],"created":1776417272,"id":"chatcmpl-DVZZQv99E1SrpvPaGC7MUmKzEd3aZ","model":"gpt-5-chat-latest","object":"chat.completion","service_tier":"default","system_fingerprint":"fp_ad66631dec","usage":{"completion_tokens":87,"completion_tokens_details":{"accepted_prediction_tokens":0,"audio_tokens":0,"reasoning_tokens":0,"rejected_prediction_tokens":0},"prompt_tokens":503,"prompt_tokens_details":{"audio_tokens":0,"cached_tokens":0},"total_tokens":590}}</t>
  </si>
  <si>
    <t>ADIDAS, Retro Running, Mesh, Synthetic Leather, Streetwear, Unisex</t>
  </si>
  <si>
    <t>recvh0B9A72tJc</t>
  </si>
  <si>
    <t>adidas-retro-light-purple-recvh0b9a72tjc</t>
  </si>
  <si>
    <t>{"choices":[{"finish_reason":"stop","index":0,"logprobs":null,"message":{"annotations":[],"content":"Adidas：复古跑鞋系列淡紫配绿色点缀，透气网面与合成皮革拼接材质，厚底缓震设计，未来感线条勾勒街头潮流风格，男女皆宜，运动休闲兼备。","refusal":null,"role":"assistant"}}],"created":1776412489,"id":"chatcmpl-DVYKHu0r3doD464VomGlwwbxv1e7Y","model":"gpt-5-chat-latest","object":"chat.completion","service_tier":"default","system_fingerprint":"fp_ad66631dec","usage":{"completion_tokens":61,"completion_tokens_details":{"accepted_prediction_tokens":0,"audio_tokens":0,"reasoning_tokens":0,"rejected_prediction_tokens":0},"prompt_tokens":1020,"prompt_tokens_details":{"audio_tokens":0,"cached_tokens":0},"total_tokens":1081}}</t>
  </si>
  <si>
    <t>Adidas：复古跑鞋系列淡紫配绿色点缀，透气网面与合成皮革拼接材质，厚底缓震设计，未来感线条勾勒街头潮流风格，男女皆宜，运动休闲兼备。</t>
  </si>
  <si>
    <t>{"choices":[{"finish_reason":"stop","index":0,"logprobs":null,"message":{"annotations":[],"content":"Adidas Yeezy Slide Neon Yellow EVA Foam Sandals","refusal":null,"role":"assistant"}}],"created":1776416060,"id":"chatcmpl-DVZFsVLQYUZxtudHwMD1za2DHO53G","model":"gpt-5-chat-latest","object":"chat.completion","service_tier":"default","system_fingerprint":"fp_ad66631dec","usage":{"completion_tokens":12,"completion_tokens_details":{"accepted_prediction_tokens":0,"audio_tokens":0,"reasoning_tokens":0,"rejected_prediction_tokens":0},"prompt_tokens":901,"prompt_tokens_details":{"audio_tokens":0,"cached_tokens":0},"total_tokens":913}}</t>
  </si>
  <si>
    <t>Adidas Yeezy Slide Neon Yellow EVA Foam Sandals</t>
  </si>
  <si>
    <t>{"id":"chatcmpl-DVYzkvmVMCNhurfaPsp2TPq7vFBrV","object":"chat.completion","created":1776415060,"model":"gpt-5-chat-latest","choices":[{"index":0,"message":{"role":"assistant","content":"Yeezy Slide Bright Neon Yellow by Adidas, made with soft high‑elastic EVA foam, ultra‑light and comfy, minimalist futuristic style with anti‑slip serrated sole for men and women, modern street‑luxury look.","refusal":null,"annotations":[]},"logprobs":null,"finish_reason":"stop"}],"usage":{"prompt_tokens":907,"completion_tokens":49,"total_tokens":956,"prompt_tokens_details":{"cached_tokens":0,"audio_tokens":0},"completion_tokens_details":{"reasoning_tokens":0,"audio_tokens":0,"accepted_prediction_tokens":0,"rejected_prediction_tokens":0}},"service_tier":"default","system_fingerprint":"fp_ad66631dec"}</t>
  </si>
  <si>
    <t>Yeezy Slide Bright Neon Yellow by Adidas, made with soft high‑elastic EVA foam, ultra‑light and comfy, minimalist futuristic style with anti‑slip serrated sole for men and women, modern street‑luxury look.</t>
  </si>
  <si>
    <t>{"choices":[{"finish_reason":"stop","index":0,"logprobs":null,"message":{"annotations":[],"content":"Yeezy,Slides,kakobuy,kakebuy2026,kekobuysheet,kakobuysheet2026,2026kakobuy,kakobuyspreadsheeet,kakobuylink,kakebuylist,Kakobuy MEGA Spreadsheet,kakobuysheetfind,kakobuysheetfind2026,2026kakobuysheetfind,kakobuysheet2026","refusal":null,"role":"assistant"}}],"created":1776416940,"id":"chatcmpl-DVZU4VlPTXsifBvNRVeIoqrW2yomu","model":"gpt-5-chat-latest","object":"chat.completion","service_tier":"default","system_fingerprint":"fp_ad66631dec","usage":{"completion_tokens":88,"completion_tokens_details":{"accepted_prediction_tokens":0,"audio_tokens":0,"reasoning_tokens":0,"rejected_prediction_tokens":0},"prompt_tokens":784,"prompt_tokens_details":{"audio_tokens":0,"cached_tokens":0},"total_tokens":872}}</t>
  </si>
  <si>
    <t>YEEZY Slide, Yellow, Minimalist, Unisex, Anti-Slip</t>
  </si>
  <si>
    <t>recvh0B9A7U6SD</t>
  </si>
  <si>
    <t>adidas-yeezy-slide-neon-yellow-recvh0b9a7u6sd</t>
  </si>
  <si>
    <t>{"id":"chatcmpl-DVYIcPJcvxueo5K67WFc4pQIm9H5m","object":"chat.completion","created":1776412386,"model":"gpt-5-chat-latest","choices":[{"index":0,"message":{"role":"assistant","content":"Yeezy：Slide 鲜亮荧光黄休闲拖鞋，采用高弹EVA泡沫材质，轻盈柔软，极简未来感设计，防滑锯齿鞋底增强抓地力，男女皆宜，现代街头舒适风格，展现轻奢运动美学。","refusal":null,"annotations":[]},"logprobs":null,"finish_reason":"stop"}],"usage":{"prompt_tokens":1298,"completion_tokens":74,"total_tokens":1372,"prompt_tokens_details":{"cached_tokens":0,"audio_tokens":0},"completion_tokens_details":{"reasoning_tokens":0,"audio_tokens":0,"accepted_prediction_tokens":0,"rejected_prediction_tokens":0}},"service_tier":"default","system_fingerprint":"fp_ad66631dec"}</t>
  </si>
  <si>
    <t>Yeezy：Slide 鲜亮荧光黄休闲拖鞋，采用高弹EVA泡沫材质，轻盈柔软，极简未来感设计，防滑锯齿鞋底增强抓地力，男女皆宜，现代街头舒适风格，展现轻奢运动美学。</t>
  </si>
  <si>
    <t>420</t>
  </si>
  <si>
    <t>{"choices":[{"finish_reason":"stop","index":0,"logprobs":null,"message":{"annotations":[],"content":"Adidas Retro Beige Red Chunky Sneakers 90s Style Shoes","refusal":null,"role":"assistant"}}],"created":1776416232,"id":"chatcmpl-DVZIep1EmBRsgZDpJxGyrVSaYDtdH","model":"gpt-5-chat-latest","object":"chat.completion","service_tier":"default","system_fingerprint":"fp_ad66631dec","usage":{"completion_tokens":14,"completion_tokens_details":{"accepted_prediction_tokens":0,"audio_tokens":0,"reasoning_tokens":0,"rejected_prediction_tokens":0},"prompt_tokens":886,"prompt_tokens_details":{"audio_tokens":0,"cached_tokens":0},"total_tokens":900}}</t>
  </si>
  <si>
    <t>Adidas Retro Beige Red Chunky Sneakers 90s Style Shoes</t>
  </si>
  <si>
    <t>{"choices":[{"finish_reason":"stop","index":0,"logprobs":null,"message":{"annotations":[],"content":"Adidas Retro Beige Red Chunky Sneakers, mesh and suede mixed upper with cushioned midsole, 90s street vintage style for men and women, combining fashion, comfort, and versatile sporty vibe.","refusal":null,"role":"assistant"}}],"created":1776414915,"id":"chatcmpl-DVYxPRmrtgal82G3Z7XYTewKWTdwZ","model":"gpt-5-chat-latest","object":"chat.completion","service_tier":"default","system_fingerprint":"fp_ad66631dec","usage":{"completion_tokens":42,"completion_tokens_details":{"accepted_prediction_tokens":0,"audio_tokens":0,"reasoning_tokens":0,"rejected_prediction_tokens":0},"prompt_tokens":906,"prompt_tokens_details":{"audio_tokens":0,"cached_tokens":0},"total_tokens":948}}</t>
  </si>
  <si>
    <t>Adidas Retro Beige Red Chunky Sneakers, mesh and suede mixed upper with cushioned midsole, 90s street vintage style for men and women, combining fashion, comfort, and versatile sporty vibe.</t>
  </si>
  <si>
    <t>{"choices":[{"finish_reason":"stop","index":0,"logprobs":null,"message":{"annotations":[],"content":"Adidas,Shoes,kakobuy,kakebuy2026,kekobuysheet,kakobuysheet2026,2026kakobuy,kakobuyspreadsheeet,kakobuylink,kakebuylist,Kakobuy MEGA Spreadsheet,kakobuysheetfind,kakobuysheetfind2026,2026kakobuysheetfind,kakobuysheet2026","refusal":null,"role":"assistant"}}],"created":1776417167,"id":"chatcmpl-DVZXj7d3t8ANrGmyFL8jW2jYg1gZc","model":"gpt-5-chat-latest","object":"chat.completion","service_tier":"default","system_fingerprint":"fp_ad66631dec","usage":{"completion_tokens":87,"completion_tokens_details":{"accepted_prediction_tokens":0,"audio_tokens":0,"reasoning_tokens":0,"rejected_prediction_tokens":0},"prompt_tokens":783,"prompt_tokens_details":{"audio_tokens":0,"cached_tokens":0},"total_tokens":870}}</t>
  </si>
  <si>
    <t>ADIDAS, Sneakers, Beige, Red, Retro, Streetwear</t>
  </si>
  <si>
    <t>recvh0B9A7rzHE</t>
  </si>
  <si>
    <t>adidas-retro-beige-red-chunky-90s-recvh0b9a7rzhe</t>
  </si>
  <si>
    <t>{"choices":[{"finish_reason":"stop","index":0,"logprobs":null,"message":{"annotations":[],"content":"Adidas：复古米白红拼色厚底运动鞋，网面与麂皮拼接材质，结合缓震中底设计，呈现90年代街头复古风格，男女皆宜，兼具时尚与舒适的多功能休闲运动鞋款。","refusal":null,"role":"assistant"}}],"created":1776412194,"id":"chatcmpl-DVYFWGsyrMfBNWujutAgzf9dpRlyR","model":"gpt-5-chat-latest","object":"chat.completion","service_tier":"default","system_fingerprint":"fp_ad66631dec","usage":{"completion_tokens":65,"completion_tokens_details":{"accepted_prediction_tokens":0,"audio_tokens":0,"reasoning_tokens":0,"rejected_prediction_tokens":0},"prompt_tokens":1314,"prompt_tokens_details":{"audio_tokens":0,"cached_tokens":0},"total_tokens":1379}}</t>
  </si>
  <si>
    <t>Adidas：复古米白红拼色厚底运动鞋，网面与麂皮拼接材质，结合缓震中底设计，呈现90年代街头复古风格，男女皆宜，兼具时尚与舒适的多功能休闲运动鞋款。</t>
  </si>
  <si>
    <t>{"id":"chatcmpl-DVZIgxLXA1dSpv4TxJcjotZ6DX3YP","object":"chat.completion","created":1776416234,"model":"gpt-5-chat-latest","choices":[{"index":0,"message":{"role":"assistant","content":"Yeezy Blue EVA Foam Slides Unisex Summer Shoes","refusal":null,"annotations":[]},"logprobs":null,"finish_reason":"stop"}],"usage":{"prompt_tokens":889,"completion_tokens":12,"total_tokens":901,"prompt_tokens_details":{"cached_tokens":0,"audio_tokens":0},"completion_tokens_details":{"reasoning_tokens":0,"audio_tokens":0,"accepted_prediction_tokens":0,"rejected_prediction_tokens":0}},"service_tier":"default","system_fingerprint":"fp_ad66631dec"}</t>
  </si>
  <si>
    <t>Yeezy Blue EVA Foam Slides Unisex Summer Shoes</t>
  </si>
  <si>
    <t>{"choices":[{"finish_reason":"stop","index":0,"logprobs":null,"message":{"annotations":[],"content":"ShoesYeezyYeezy Blue EVA Foam Slides – ultra-light, flexible comfort with wave-grip sole for traction. Minimalist futuristic unisex design, perfect for daily wear and summer street style.","refusal":null,"role":"assistant"}}],"created":1776414762,"id":"chatcmpl-DVYuwuHRy3NyKUAnXtzerNSBh7qMR","model":"gpt-5-chat-latest","object":"chat.completion","service_tier":"default","system_fingerprint":"fp_ad66631dec","usage":{"completion_tokens":43,"completion_tokens_details":{"accepted_prediction_tokens":0,"audio_tokens":0,"reasoning_tokens":0,"rejected_prediction_tokens":0},"prompt_tokens":922,"prompt_tokens_details":{"audio_tokens":0,"cached_tokens":0},"total_tokens":965}}</t>
  </si>
  <si>
    <t>ShoesYeezyYeezy Blue EVA Foam Slides – ultra-light, flexible comfort with wave-grip sole for traction. Minimalist futuristic unisex design, perfect for daily wear and summer street style.</t>
  </si>
  <si>
    <t>{"choices":[{"finish_reason":"stop","index":0,"logprobs":null,"message":{"annotations":[],"content":"Yeezy,Slides,kakobuy,kakebuy2026,kekobuysheet,kakobuysheet2026,2026kakobuy,kakobuyspreadsheeet,kakobuylink,kakebuylist,Kakobuy MEGA Spreadsheet,kakobuysheetfind,kakobuysheetfind2026,2026kakobuysheetfind,kakobuysheet2026","refusal":null,"role":"assistant"}}],"created":1776416911,"id":"chatcmpl-DVZTbZ2Vkmn7yllr9ncpX2pGhx82R","model":"gpt-5-chat-latest","object":"chat.completion","service_tier":"default","system_fingerprint":"fp_ad66631dec","usage":{"completion_tokens":88,"completion_tokens_details":{"accepted_prediction_tokens":0,"audio_tokens":0,"reasoning_tokens":0,"rejected_prediction_tokens":0},"prompt_tokens":784,"prompt_tokens_details":{"audio_tokens":0,"cached_tokens":0},"total_tokens":872}}</t>
  </si>
  <si>
    <t>YEEZY, Slides, Blue, Minimalist, Summer, Unisex</t>
  </si>
  <si>
    <t>recvh0B9A7xZba</t>
  </si>
  <si>
    <t>yeezy-blue-eva-foam-slides-unisex-summer-recvh0b9a7xZba</t>
  </si>
  <si>
    <t>{"choices":[{"finish_reason":"stop","index":0,"logprobs":null,"message":{"annotations":[],"content":"Yeezy：蓝色EVA发泡拖鞋，轻盈柔韧材质提供极致舒适脚感，波浪齿纹鞋底增强抓地力与防滑性能，整体极简线条设计展现前卫未来感风格，男女皆宜的休闲潮流款，适合日常出行与夏季街头穿搭。","refusal":null,"role":"assistant"}}],"created":1776412593,"id":"chatcmpl-DVYLxUFYZnzfe2yjS55ilLjfnXfkz","model":"gpt-5-chat-latest","object":"chat.completion","service_tier":"default","system_fingerprint":"fp_ad66631dec","usage":{"completion_tokens":84,"completion_tokens_details":{"accepted_prediction_tokens":0,"audio_tokens":0,"reasoning_tokens":0,"rejected_prediction_tokens":0},"prompt_tokens":1308,"prompt_tokens_details":{"audio_tokens":0,"cached_tokens":0},"total_tokens":1392}}</t>
  </si>
  <si>
    <t>Yeezy：蓝色EVA发泡拖鞋，轻盈柔韧材质提供极致舒适脚感，波浪齿纹鞋底增强抓地力与防滑性能，整体极简线条设计展现前卫未来感风格，男女皆宜的休闲潮流款，适合日常出行与夏季街头穿搭。</t>
  </si>
  <si>
    <t>{"choices":[{"finish_reason":"stop","index":0,"logprobs":null,"message":{"annotations":[],"content":"Adidas Trail Running Shoes Gray Black Mesh Sneakers","refusal":null,"role":"assistant"}}],"created":1776415910,"id":"chatcmpl-DVZDSqe7cWbYcWFvJ30p5ThV0K6nb","model":"gpt-5-chat-latest","object":"chat.completion","service_tier":"default","system_fingerprint":"fp_ad66631dec","usage":{"completion_tokens":10,"completion_tokens_details":{"accepted_prediction_tokens":0,"audio_tokens":0,"reasoning_tokens":0,"rejected_prediction_tokens":0},"prompt_tokens":594,"prompt_tokens_details":{"audio_tokens":0,"cached_tokens":0},"total_tokens":604}}</t>
  </si>
  <si>
    <t>Adidas Trail Running Shoes Gray Black Mesh Sneakers</t>
  </si>
  <si>
    <t>{"choices":[{"finish_reason":"stop","index":0,"logprobs":null,"message":{"annotations":[],"content":"Adidas Trail Running Shoes: Gray-black sneakers with breathable mesh and durable synthetic leather, chunky cushioned sole, futuristic design for comfort, unisex for city or outdoor wear.","refusal":null,"role":"assistant"}}],"created":1776415022,"id":"chatcmpl-DVYz8PnLiX3lj6ypSocm5DCqRW3zr","model":"gpt-5-chat-latest","object":"chat.completion","service_tier":"default","system_fingerprint":"fp_ad66631dec","usage":{"completion_tokens":36,"completion_tokens_details":{"accepted_prediction_tokens":0,"audio_tokens":0,"reasoning_tokens":0,"rejected_prediction_tokens":0},"prompt_tokens":651,"prompt_tokens_details":{"audio_tokens":0,"cached_tokens":0},"total_tokens":687}}</t>
  </si>
  <si>
    <t>Adidas Trail Running Shoes: Gray-black sneakers with breathable mesh and durable synthetic leather, chunky cushioned sole, futuristic design for comfort, unisex for city or outdoor wear.</t>
  </si>
  <si>
    <t>{"id":"chatcmpl-DVZV2sF3NTiu2PX4GMKOl9lMc5Urr","object":"chat.completion","created":1776417000,"model":"gpt-5-chat-latest","choices":[{"index":0,"message":{"role":"assistant","content":"Adidas,Shoes,kakobuy,kakebuy2026,kekobuysheet,kakobuysheet2026,2026kakobuy,kakobuyspreadsheeet,kakobuylink,kakebuylist,Kakobuy MEGA Spreadsheet,kakobuysheetfind,kakobuysheetfind2026,2026kakobuysheetfind,kakobuysheet2026","refusal":null,"annotations":[]},"logprobs":null,"finish_reason":"stop"}],"usage":{"prompt_tokens":503,"completion_tokens":87,"total_tokens":590,"prompt_tokens_details":{"cached_tokens":0,"audio_tokens":0},"completion_tokens_details":{"reasoning_tokens":0,"audio_tokens":0,"accepted_prediction_tokens":0,"rejected_prediction_tokens":0}},"service_tier":"default","system_fingerprint":"fp_ad66631dec"}</t>
  </si>
  <si>
    <t>ADIDAS, Running Shoes, Mesh, Synthetic Leather, Unisex, Gray</t>
  </si>
  <si>
    <t>recvh0B9A7gmEk</t>
  </si>
  <si>
    <t>adidas-trail-running-gray-black-recvh0b9a7gmek</t>
  </si>
  <si>
    <t>{"choices":[{"finish_reason":"stop","index":0,"logprobs":null,"message":{"annotations":[],"content":"Adidas：灰黑配色越野运动鞋，采用透气网面与耐磨合成革拼接鞋面，彰显未来机能风格。厚底缓震中底搭配大胆流线结构，提供优异支撑与舒适脚感。男女皆宜，适合都市休闲与户外穿搭，融合复古与现代设计元素，展现Adidas标志性运动美学。","refusal":null,"role":"assistant"}}],"created":1776412470,"id":"chatcmpl-DVYJybithBtmrY8QeMRNtShBKl3T7","model":"gpt-5-chat-latest","object":"chat.completion","service_tier":"default","system_fingerprint":"fp_ad66631dec","usage":{"completion_tokens":95,"completion_tokens_details":{"accepted_prediction_tokens":0,"audio_tokens":0,"reasoning_tokens":0,"rejected_prediction_tokens":0},"prompt_tokens":1024,"prompt_tokens_details":{"audio_tokens":0,"cached_tokens":0},"total_tokens":1119}}</t>
  </si>
  <si>
    <t>Adidas：灰黑配色越野运动鞋，采用透气网面与耐磨合成革拼接鞋面，彰显未来机能风格。厚底缓震中底搭配大胆流线结构，提供优异支撑与舒适脚感。男女皆宜，适合都市休闲与户外穿搭，融合复古与现代设计元素，展现Adidas标志性运动美学。</t>
  </si>
  <si>
    <t>{"choices":[{"finish_reason":"stop","index":0,"logprobs":null,"message":{"annotations":[],"content":"Yeezy YZY Slide Caramel Brown Unisex Foam Slippers","refusal":null,"role":"assistant"}}],"created":1776416280,"id":"chatcmpl-DVZJQ7NnQqJ3ikaELZ8DZ5P81vMgu","model":"gpt-5-chat-latest","object":"chat.completion","service_tier":"default","system_fingerprint":"fp_ad66631dec","usage":{"completion_tokens":15,"completion_tokens_details":{"accepted_prediction_tokens":0,"audio_tokens":0,"reasoning_tokens":0,"rejected_prediction_tokens":0},"prompt_tokens":881,"prompt_tokens_details":{"audio_tokens":0,"cached_tokens":0},"total_tokens":896}}</t>
  </si>
  <si>
    <t>Yeezy YZY Slide Caramel Brown Unisex Foam Slippers</t>
  </si>
  <si>
    <t>{"choices":[{"finish_reason":"stop","index":0,"logprobs":null,"message":{"annotations":[],"content":"Yeezy YZY Slide Caramel Brown casual slippers, made with lightweight foam for soft comfort, featuring sleek minimal design and serrated sole, unisex style perfect for modern streetwear.","refusal":null,"role":"assistant"}}],"created":1776415294,"id":"chatcmpl-DVZ3WAdNUjNTVOvkN9CSjHaPQKnBi","model":"gpt-5-chat-latest","object":"chat.completion","service_tier":"default","system_fingerprint":"fp_ad66631dec","usage":{"completion_tokens":39,"completion_tokens_details":{"accepted_prediction_tokens":0,"audio_tokens":0,"reasoning_tokens":0,"rejected_prediction_tokens":0},"prompt_tokens":912,"prompt_tokens_details":{"audio_tokens":0,"cached_tokens":0},"total_tokens":951}}</t>
  </si>
  <si>
    <t>Yeezy YZY Slide Caramel Brown casual slippers, made with lightweight foam for soft comfort, featuring sleek minimal design and serrated sole, unisex style perfect for modern streetwear.</t>
  </si>
  <si>
    <t>{"choices":[{"finish_reason":"stop","index":0,"logprobs":null,"message":{"annotations":[],"content":"Adidas,Yeezy Slide,kakobuy,kakebuy2026,kekobuysheet,kakobuysheet2026,2026kakobuy,kakobuyspreadsheeet,kakobuylink,kakebuylist,Kakobuy MEGA Spreadsheet,kakobuysheetfind,kakobuysheetfind2026,2026kakobuysheetfind,kakobuysheet2026","refusal":null,"role":"assistant"}}],"created":1776417423,"id":"chatcmpl-DVZbrVnj4Yjrri4fxzNW7Nz6w2bya","model":"gpt-5-chat-latest","object":"chat.completion","service_tier":"default","system_fingerprint":"fp_ad66631dec","usage":{"completion_tokens":89,"completion_tokens_details":{"accepted_prediction_tokens":0,"audio_tokens":0,"reasoning_tokens":0,"rejected_prediction_tokens":0},"prompt_tokens":784,"prompt_tokens_details":{"audio_tokens":0,"cached_tokens":0},"total_tokens":873}}</t>
  </si>
  <si>
    <t>Adidas,Yeezy Slide,kakobuy,kakebuy2026,kekobuysheet,kakobuysheet2026,2026kakobuy,kakobuyspreadsheeet,kakobuylink,kakebuylist,Kakobuy MEGA Spreadsheet,kakobuysheetfind,kakobuysheetfind2026,2026kakobuysheetfind,kakobuysheet2026</t>
  </si>
  <si>
    <t>YEEZY, YEEZY Slide, Brown, Unisex, Streetwear, Minimalist</t>
  </si>
  <si>
    <t>recvh0B9A7FXMk</t>
  </si>
  <si>
    <t>yeezy-slide-caramel-brown-recvh0b9a7fxmk</t>
  </si>
  <si>
    <t>{"id":"chatcmpl-DVYBJzXKmTdeMQLsQ6flk7h07tsY2","object":"chat.completion","created":1776411933,"model":"gpt-5-chat-latest","choices":[{"index":0,"message":{"role":"assistant","content":"Yeezy：YZY Slide焦糖棕色休闲拖鞋，以轻质泡沫材质打造，简约流线设计与锯齿波纹鞋底结合，柔软舒适贴合脚型，男女皆宜，展现现代极简街头风格，适合当代休闲穿搭。","refusal":null,"annotations":[]},"logprobs":null,"finish_reason":"stop"}],"usage":{"prompt_tokens":1306,"completion_tokens":75,"total_tokens":1381,"prompt_tokens_details":{"cached_tokens":0,"audio_tokens":0},"completion_tokens_details":{"reasoning_tokens":0,"audio_tokens":0,"accepted_prediction_tokens":0,"rejected_prediction_tokens":0}},"service_tier":"default","system_fingerprint":"fp_ad66631dec"}</t>
  </si>
  <si>
    <t>Yeezy：YZY Slide焦糖棕色休闲拖鞋，以轻质泡沫材质打造，简约流线设计与锯齿波纹鞋底结合，柔软舒适贴合脚型，男女皆宜，展现现代极简街头风格，适合当代休闲穿搭。</t>
  </si>
  <si>
    <t>Acne Studios</t>
  </si>
  <si>
    <t>520</t>
  </si>
  <si>
    <t>{"choices":[{"finish_reason":"stop","index":0,"logprobs":null,"message":{"annotations":[],"content":"Acne Studios Silver Platform Velcro Sneakers","refusal":null,"role":"assistant"}}],"created":1776415899,"id":"chatcmpl-DVZDHlVnlFgbi6qtAobahf9CMrd2d","model":"gpt-5-chat-latest","object":"chat.completion","service_tier":"default","system_fingerprint":"fp_ad66631dec","usage":{"completion_tokens":9,"completion_tokens_details":{"accepted_prediction_tokens":0,"audio_tokens":0,"reasoning_tokens":0,"rejected_prediction_tokens":0},"prompt_tokens":867,"prompt_tokens_details":{"audio_tokens":0,"cached_tokens":0},"total_tokens":876}}</t>
  </si>
  <si>
    <t>Acne Studios Silver Platform Velcro Sneakers</t>
  </si>
  <si>
    <t>{"choices":[{"finish_reason":"stop","index":0,"logprobs":null,"message":{"annotations":[],"content":"Acne Studios Silver Platform Sneakers feature premium mirror leather, modern minimalist design, adjustable Velcro straps, and elevated sole for stylish comfort and Nordic chic appeal.","refusal":null,"role":"assistant"}}],"created":1776415048,"id":"chatcmpl-DVYzYad96RNgW2NdgXSO6Gr3OOXwF","model":"gpt-5-chat-latest","object":"chat.completion","service_tier":"default","system_fingerprint":"fp_ad66631dec","usage":{"completion_tokens":32,"completion_tokens_details":{"accepted_prediction_tokens":0,"audio_tokens":0,"reasoning_tokens":0,"rejected_prediction_tokens":0},"prompt_tokens":915,"prompt_tokens_details":{"audio_tokens":0,"cached_tokens":0},"total_tokens":947}}</t>
  </si>
  <si>
    <t>Acne Studios Silver Platform Sneakers feature premium mirror leather, modern minimalist design, adjustable Velcro straps, and elevated sole for stylish comfort and Nordic chic appeal.</t>
  </si>
  <si>
    <t>{"choices":[{"finish_reason":"stop","index":0,"logprobs":null,"message":{"annotations":[],"content":"Acne Studios, shoes, kakobuy, kakebuy2026, kekobuysheet, kakobuysheet2026, 2026kakobuy, kakobuyspreadsheeet, kakobuylink, kakebuylist, Kakobuy MEGA Spreadsheet, kakobuysheetfind, kakobuysheetfind2026, 2026kakobuysheetfind, kakobuysheet2026","refusal":null,"role":"assistant"}}],"created":1776417402,"id":"chatcmpl-DVZbWFgDIxN4cyKiBcmDcMmnbTnXU","model":"gpt-5-chat-latest","object":"chat.completion","service_tier":"default","system_fingerprint":"fp_ad66631dec","usage":{"completion_tokens":92,"completion_tokens_details":{"accepted_prediction_tokens":0,"audio_tokens":0,"reasoning_tokens":0,"rejected_prediction_tokens":0},"prompt_tokens":784,"prompt_tokens_details":{"audio_tokens":0,"cached_tokens":0},"total_tokens":876}}</t>
  </si>
  <si>
    <t>Acne Studios, shoes, kakobuy, kakebuy2026, kekobuysheet, kakobuysheet2026, 2026kakobuy, kakobuyspreadsheeet, kakobuylink, kakebuylist, Kakobuy MEGA Spreadsheet, kakobuysheetfind, kakobuysheetfind2026, 2026kakobuysheetfind, kakobuysheet2026</t>
  </si>
  <si>
    <t>Silver, Minimalist, Platform Shoes, Leather Sneakers, Casual Sneakers, Modern</t>
  </si>
  <si>
    <t>recvh0B9A7h7Ms</t>
  </si>
  <si>
    <t>acne-silver-platform-velcro-recvh0b9a7h7ms</t>
  </si>
  <si>
    <t>{"choices":[{"finish_reason":"stop","index":0,"logprobs":null,"message":{"annotations":[],"content":"Acne Studios 银色厚底休闲运动鞋，采用优质镜面皮革材质，质感闪耀前卫。魔术贴设计便捷实穿，搭配立体增高鞋底，提升时尚比例。极简现代风格，男女皆宜，融合北欧设计美学，兼具舒适与潮酷格调。","refusal":null,"role":"assistant"}}],"created":1776412064,"id":"chatcmpl-DVYDQiVvhmbQAG4L3YBHZpAEPZDMz","model":"gpt-5-chat-latest","object":"chat.completion","service_tier":"default","system_fingerprint":"fp_ad66631dec","usage":{"completion_tokens":80,"completion_tokens_details":{"accepted_prediction_tokens":0,"audio_tokens":0,"reasoning_tokens":0,"rejected_prediction_tokens":0},"prompt_tokens":1302,"prompt_tokens_details":{"audio_tokens":0,"cached_tokens":0},"total_tokens":1382}}</t>
  </si>
  <si>
    <t>Acne Studios 银色厚底休闲运动鞋，采用优质镜面皮革材质，质感闪耀前卫。魔术贴设计便捷实穿，搭配立体增高鞋底，提升时尚比例。极简现代风格，男女皆宜，融合北欧设计美学，兼具舒适与潮酷格调。</t>
  </si>
  <si>
    <t>{"choices":[{"finish_reason":"stop","index":0,"logprobs":null,"message":{"annotations":[],"content":"adidas Yeezy Sand Slide Unisex EVA Comfort Slippers","refusal":null,"role":"assistant"}}],"created":1776415993,"id":"chatcmpl-DVZEnSTXJoYQ0IezCIzIdNCjNj13p","model":"gpt-5-chat-latest","object":"chat.completion","service_tier":"default","system_fingerprint":"fp_ad66631dec","usage":{"completion_tokens":13,"completion_tokens_details":{"accepted_prediction_tokens":0,"audio_tokens":0,"reasoning_tokens":0,"rejected_prediction_tokens":0},"prompt_tokens":881,"prompt_tokens_details":{"audio_tokens":0,"cached_tokens":0},"total_tokens":894}}</t>
  </si>
  <si>
    <t>adidas Yeezy Sand Slide Unisex EVA Comfort Slippers</t>
  </si>
  <si>
    <t>{"id":"chatcmpl-DVYv0LziMPfwKQWOLTYtijeEFLIYz","object":"chat.completion","created":1776414766,"model":"gpt-5-chat-latest","choices":[{"index":0,"message":{"role":"assistant","content":"YEEZY Sand Slide by adidas features lightweight EVA material, flexible comfort, minimalist futuristic design, and a wavy anti-slip sole. Unisex style for modern streetwear and daily fashion.","refusal":null,"annotations":[]},"logprobs":null,"finish_reason":"stop"}],"usage":{"prompt_tokens":911,"completion_tokens":39,"total_tokens":950,"prompt_tokens_details":{"cached_tokens":0,"audio_tokens":0},"completion_tokens_details":{"reasoning_tokens":0,"audio_tokens":0,"accepted_prediction_tokens":0,"rejected_prediction_tokens":0}},"service_tier":"default","system_fingerprint":"fp_ad66631dec"}</t>
  </si>
  <si>
    <t>YEEZY Sand Slide by adidas features lightweight EVA material, flexible comfort, minimalist futuristic design, and a wavy anti-slip sole. Unisex style for modern streetwear and daily fashion.</t>
  </si>
  <si>
    <t>{"choices":[{"finish_reason":"stop","index":0,"logprobs":null,"message":{"annotations":[],"content":"Yeezy,Shoes,kakobuy,kakebuy2026,kekobuysheet,kakobuysheet2026,2026kakobuy,kakobuyspreadsheeet,kakobuylink,kakebuylist,Kakobuy MEGA Spreadsheet,kakobuysheetfind,kakobuysheetfind2026,2026kakobuysheetfind,kakobuysheet2026","refusal":null,"role":"assistant"}}],"created":1776417204,"id":"chatcmpl-DVZYKp1HFTtEt44ufJ0ls2ShtzwC1","model":"gpt-5-chat-latest","object":"chat.completion","service_tier":"default","system_fingerprint":"fp_ad66631dec","usage":{"completion_tokens":88,"completion_tokens_details":{"accepted_prediction_tokens":0,"audio_tokens":0,"reasoning_tokens":0,"rejected_prediction_tokens":0},"prompt_tokens":784,"prompt_tokens_details":{"audio_tokens":0,"cached_tokens":0},"total_tokens":872}}</t>
  </si>
  <si>
    <t>YEEZY, Slide Sandals, Unisex, Streetwear, Anti-Slip</t>
  </si>
  <si>
    <t>recvh0B9A7Ohk2</t>
  </si>
  <si>
    <t>adidas-yeezy-sand-slide-recvh0b9a7ohk2</t>
  </si>
  <si>
    <t>{"choices":[{"finish_reason":"stop","index":0,"logprobs":null,"message":{"annotations":[],"content":"Yeezy：沙色YEEZY SLIDE休闲拖鞋，采用轻质EVA材质打造，柔韧舒适，极简未来主义设计，波纹防滑鞋底凸显功能美学，男女通用款，呈现现代街头休闲风格，适合日常穿搭与时尚出行。","refusal":null,"role":"assistant"}}],"created":1776412299,"id":"chatcmpl-DVYHDqNq5fh0LqWDdyKXushIoRQwS","model":"gpt-5-chat-latest","object":"chat.completion","service_tier":"default","system_fingerprint":"fp_ad66631dec","usage":{"completion_tokens":77,"completion_tokens_details":{"accepted_prediction_tokens":0,"audio_tokens":0,"reasoning_tokens":0,"rejected_prediction_tokens":0},"prompt_tokens":1300,"prompt_tokens_details":{"audio_tokens":0,"cached_tokens":1280},"total_tokens":1377}}</t>
  </si>
  <si>
    <t>Yeezy：沙色YEEZY SLIDE休闲拖鞋，采用轻质EVA材质打造，柔韧舒适，极简未来主义设计，波纹防滑鞋底凸显功能美学，男女通用款，呈现现代街头休闲风格，适合日常穿搭与时尚出行。</t>
  </si>
  <si>
    <t>{"choices":[{"finish_reason":"stop","index":0,"logprobs":null,"message":{"annotations":[],"content":"Yeezy Light Green EVA Slides Shoes","refusal":null,"role":"assistant"}}],"created":1776415875,"id":"chatcmpl-DVZCtw4I5dDrZN20hLoSTwzzECX1J","model":"gpt-5-chat-latest","object":"chat.completion","service_tier":"default","system_fingerprint":"fp_ad66631dec","usage":{"completion_tokens":9,"completion_tokens_details":{"accepted_prediction_tokens":0,"audio_tokens":0,"reasoning_tokens":0,"rejected_prediction_tokens":0},"prompt_tokens":883,"prompt_tokens_details":{"audio_tokens":0,"cached_tokens":0},"total_tokens":892}}</t>
  </si>
  <si>
    <t>Yeezy Light Green EVA Slides Shoes</t>
  </si>
  <si>
    <t>{"id":"chatcmpl-DVYyi1BEdAkZpjWhCP2bV85CsxJKO","object":"chat.completion","created":1776414996,"model":"gpt-5-chat-latest","choices":[{"index":0,"message":{"role":"assistant","content":"ShoesYeezyYeezy minimalist light green EVA slides with wavy anti-slip sole, soft flexible comfort fit, futuristic sleek design for men and women’s spring summer casual urban style.","refusal":null,"annotations":[]},"logprobs":null,"finish_reason":"stop"}],"usage":{"prompt_tokens":910,"completion_tokens":40,"total_tokens":950,"prompt_tokens_details":{"cached_tokens":0,"audio_tokens":0},"completion_tokens_details":{"reasoning_tokens":0,"audio_tokens":0,"accepted_prediction_tokens":0,"rejected_prediction_tokens":0}},"service_tier":"default","system_fingerprint":"fp_ad66631dec"}</t>
  </si>
  <si>
    <t>ShoesYeezyYeezy minimalist light green EVA slides with wavy anti-slip sole, soft flexible comfort fit, futuristic sleek design for men and women’s spring summer casual urban style.</t>
  </si>
  <si>
    <t>{"choices":[{"finish_reason":"stop","index":0,"logprobs":null,"message":{"annotations":[],"content":"Yeezy,Shoes,kakobuy,kakebuy2026,kekobuysheet,kakobuysheet2026,2026kakobuy,kakobuyspreadsheeet,kakobuylink,kakebuylist,Kakobuy MEGA Spreadsheet,kakobuysheetfind,kakobuysheetfind2026,2026kakobuysheetfind,kakobuysheet2026","refusal":null,"role":"assistant"}}],"created":1776417289,"id":"chatcmpl-DVZZh2GR6UmaZPYoCapOrJ8fTmCdZ","model":"gpt-5-chat-latest","object":"chat.completion","service_tier":"default","system_fingerprint":"fp_ad66631dec","usage":{"completion_tokens":88,"completion_tokens_details":{"accepted_prediction_tokens":0,"audio_tokens":0,"reasoning_tokens":0,"rejected_prediction_tokens":0},"prompt_tokens":784,"prompt_tokens_details":{"audio_tokens":0,"cached_tokens":0},"total_tokens":872}}</t>
  </si>
  <si>
    <t>YEEZY, Slides, Minimalist, Spring And Summer, Men's And Women's</t>
  </si>
  <si>
    <t>recvh0B9A73oQ6</t>
  </si>
  <si>
    <t>yeezy-light-green-eva-slides-recvh0b9a73oq6</t>
  </si>
  <si>
    <t>{"choices":[{"finish_reason":"stop","index":0,"logprobs":null,"message":{"annotations":[],"content":"Yeezy：简约淡绿色EVA材质拖鞋，流线极简设计结合波浪齿形防滑鞋底，轻盈柔韧兼具舒适脚感，呈现前卫未来感造型，适合男女春夏日常穿搭，彰显都市休闲潮流格调。","refusal":null,"role":"assistant"}}],"created":1776412498,"id":"chatcmpl-DVYKQ7gQlA8X3P2VMnq9m0H2UTBBC","model":"gpt-5-chat-latest","object":"chat.completion","service_tier":"default","system_fingerprint":"fp_ad66631dec","usage":{"completion_tokens":73,"completion_tokens_details":{"accepted_prediction_tokens":0,"audio_tokens":0,"reasoning_tokens":0,"rejected_prediction_tokens":0},"prompt_tokens":1306,"prompt_tokens_details":{"audio_tokens":0,"cached_tokens":1280},"total_tokens":1379}}</t>
  </si>
  <si>
    <t>Yeezy：简约淡绿色EVA材质拖鞋，流线极简设计结合波浪齿形防滑鞋底，轻盈柔韧兼具舒适脚感，呈现前卫未来感造型，适合男女春夏日常穿搭，彰显都市休闲潮流格调。</t>
  </si>
  <si>
    <t>{"choices":[{"finish_reason":"stop","index":0,"logprobs":null,"message":{"annotations":[],"content":"Yeezy Gray Green EVA Foam Slide Shoes","refusal":null,"role":"assistant"}}],"created":1776416335,"id":"chatcmpl-DVZKJerDA6n8h7wR90taVWwLwmznR","model":"gpt-5-chat-latest","object":"chat.completion","service_tier":"default","system_fingerprint":"fp_ad66631dec","usage":{"completion_tokens":10,"completion_tokens_details":{"accepted_prediction_tokens":0,"audio_tokens":0,"reasoning_tokens":0,"rejected_prediction_tokens":0},"prompt_tokens":885,"prompt_tokens_details":{"audio_tokens":0,"cached_tokens":0},"total_tokens":895}}</t>
  </si>
  <si>
    <t>Yeezy Gray Green EVA Foam Slide Shoes</t>
  </si>
  <si>
    <t>{"choices":[{"finish_reason":"stop","index":0,"logprobs":null,"message":{"annotations":[],"content":"Yeezy Shoes: Gray-green EVA foam slides with a sleek minimalist shape, serrated non-slip sole for enhanced grip, ultra-light comfort, unisex streetwear style perfect for modern casual looks.","refusal":null,"role":"assistant"}}],"created":1776414970,"id":"chatcmpl-DVYyI6DkFjyPDxQtReJLZOAtUAzZz","model":"gpt-5-chat-latest","object":"chat.completion","service_tier":"default","system_fingerprint":"fp_ad66631dec","usage":{"completion_tokens":41,"completion_tokens_details":{"accepted_prediction_tokens":0,"audio_tokens":0,"reasoning_tokens":0,"rejected_prediction_tokens":0},"prompt_tokens":895,"prompt_tokens_details":{"audio_tokens":0,"cached_tokens":0},"total_tokens":936}}</t>
  </si>
  <si>
    <t>Yeezy Shoes: Gray-green EVA foam slides with a sleek minimalist shape, serrated non-slip sole for enhanced grip, ultra-light comfort, unisex streetwear style perfect for modern casual looks.</t>
  </si>
  <si>
    <t>{"id":"chatcmpl-DVZU7dTeKPAMqNDWnG7gDqvB3JK4W","object":"chat.completion","created":1776416943,"model":"gpt-5-chat-latest","choices":[{"index":0,"message":{"role":"assistant","content":"Yeezy,Slides,kakobuy,kakebuy2026,kekobuysheet,kakobuysheet2026,2026kakobuy,kakobuyspreadsheeet,kakobuylink,kakebuylist,Kakobuy MEGA Spreadsheet,kakobuysheetfind,kakobuysheetfind2026,2026kakobuysheetfind,kakobuysheet2026","refusal":null,"annotations":[]},"logprobs":null,"finish_reason":"stop"}],"usage":{"prompt_tokens":784,"completion_tokens":88,"total_tokens":872,"prompt_tokens_details":{"cached_tokens":0,"audio_tokens":0},"completion_tokens_details":{"reasoning_tokens":0,"audio_tokens":0,"accepted_prediction_tokens":0,"rejected_prediction_tokens":0}},"service_tier":"default","system_fingerprint":"fp_ad66631dec"}</t>
  </si>
  <si>
    <t>YEEZY, Slides, Grey Green, Minimalist, Streetwear, Unisex</t>
  </si>
  <si>
    <t>recvh0B9A79mS7</t>
  </si>
  <si>
    <t>yeezy-gray-green-recvh0b9a79ms7</t>
  </si>
  <si>
    <t>{"choices":[{"finish_reason":"stop","index":0,"logprobs":null,"message":{"annotations":[],"content":"Yeezy：灰绿色EVA泡沫质感拖鞋，流线型极简设计，齿状防滑鞋底提升抓地力，兼具舒适与轻盈，男女皆宜，展现现代街头休闲风格。","refusal":null,"role":"assistant"}}],"created":1776412119,"id":"chatcmpl-DVYEJFfSdggBhnkcKzSvhtPxGuJAG","model":"gpt-5-chat-latest","object":"chat.completion","service_tier":"default","system_fingerprint":"fp_ad66631dec","usage":{"completion_tokens":58,"completion_tokens_details":{"accepted_prediction_tokens":0,"audio_tokens":0,"reasoning_tokens":0,"rejected_prediction_tokens":0},"prompt_tokens":1306,"prompt_tokens_details":{"audio_tokens":0,"cached_tokens":0},"total_tokens":1364}}</t>
  </si>
  <si>
    <t>Yeezy：灰绿色EVA泡沫质感拖鞋，流线型极简设计，齿状防滑鞋底提升抓地力，兼具舒适与轻盈，男女皆宜，展现现代街头休闲风格。</t>
  </si>
  <si>
    <t>{"id":"chatcmpl-DVZEztgYI2slMxOR7PdceI8NFIHK2","object":"chat.completion","created":1776416005,"model":"gpt-5-chat-latest","choices":[{"index":0,"message":{"role":"assistant","content":"Adidas Black Multi-Layer Mesh Running Shoes","refusal":null,"annotations":[]},"logprobs":null,"finish_reason":"stop"}],"usage":{"prompt_tokens":596,"completion_tokens":10,"total_tokens":606,"prompt_tokens_details":{"cached_tokens":0,"audio_tokens":0},"completion_tokens_details":{"reasoning_tokens":0,"audio_tokens":0,"accepted_prediction_tokens":0,"rejected_prediction_tokens":0}},"service_tier":"default","system_fingerprint":"fp_ad66631dec"}</t>
  </si>
  <si>
    <t>Adidas Black Multi-Layer Mesh Running Shoes</t>
  </si>
  <si>
    <t>{"id":"chatcmpl-DVYxaO0GuCogKFjE4TU6xF60kAwbt","object":"chat.completion","created":1776414926,"model":"gpt-5-chat-latest","choices":[{"index":0,"message":{"role":"assistant","content":"Adidas Black Multi-Layer Running Shoes feature breathable mesh and durable leather, thick cushioned sole for comfort and stability, futuristic design for men and women—urban style meets performance.","refusal":null,"annotations":[]},"logprobs":null,"finish_reason":"stop"}],"usage":{"prompt_tokens":625,"completion_tokens":37,"total_tokens":662,"prompt_tokens_details":{"cached_tokens":0,"audio_tokens":0},"completion_tokens_details":{"reasoning_tokens":0,"audio_tokens":0,"accepted_prediction_tokens":0,"rejected_prediction_tokens":0}},"service_tier":"default","system_fingerprint":"fp_ad66631dec"}</t>
  </si>
  <si>
    <t>Adidas Black Multi-Layer Running Shoes feature breathable mesh and durable leather, thick cushioned sole for comfort and stability, futuristic design for men and women—urban style meets performance.</t>
  </si>
  <si>
    <t>{"choices":[{"finish_reason":"stop","index":0,"logprobs":null,"message":{"annotations":[],"content":"Adidas, Shoes, kakobuy, kakebuy2026, kekobuysheet, kakobuysheet2026, 2026kakobuy, kakobuyspreadsheeet, kakobuylink, kakebuylist, Kakobuy MEGA Spreadsheet, kakobuysheetfind, kakobuysheetfind2026, 2026kakobuysheetfind, kakobuysheet2026","refusal":null,"role":"assistant"}}],"created":1776416847,"id":"chatcmpl-DVZSZfswFVUMxiOME9KIVAai3MwmG","model":"gpt-5-chat-latest","object":"chat.completion","service_tier":"default","system_fingerprint":"fp_ad66631dec","usage":{"completion_tokens":91,"completion_tokens_details":{"accepted_prediction_tokens":0,"audio_tokens":0,"reasoning_tokens":0,"rejected_prediction_tokens":0},"prompt_tokens":503,"prompt_tokens_details":{"audio_tokens":0,"cached_tokens":0},"total_tokens":594}}</t>
  </si>
  <si>
    <t>ADIDAS, Running Shoes, Mesh, Leather, Cushioning, Unisex</t>
  </si>
  <si>
    <t>recvh0B9A7LBo6</t>
  </si>
  <si>
    <t>adidas-black-multi-layer-mesh-running-recvh0b9a7lbo6</t>
  </si>
  <si>
    <t>{"choices":[{"finish_reason":"stop","index":0,"logprobs":null,"message":{"annotations":[],"content":"Adidas：黑色多层结构运动跑鞋，采用透气网布与耐磨皮革拼接设计，厚底缓震科技兼顾稳定与舒适，线条感立体前卫，男女皆宜，呈现未来感机能风格，是潮流与性能兼备的都市跑鞋佳选。","refusal":null,"role":"assistant"}}],"created":1776412500,"id":"chatcmpl-DVYKSwYvbEvWyDCfVvQ2wQaWrXR4B","model":"gpt-5-chat-latest","object":"chat.completion","service_tier":"default","system_fingerprint":"fp_ad66631dec","usage":{"completion_tokens":73,"completion_tokens_details":{"accepted_prediction_tokens":0,"audio_tokens":0,"reasoning_tokens":0,"rejected_prediction_tokens":0},"prompt_tokens":1016,"prompt_tokens_details":{"audio_tokens":0,"cached_tokens":0},"total_tokens":1089}}</t>
  </si>
  <si>
    <t>Adidas：黑色多层结构运动跑鞋，采用透气网布与耐磨皮革拼接设计，厚底缓震科技兼顾稳定与舒适，线条感立体前卫，男女皆宜，呈现未来感机能风格，是潮流与性能兼备的都市跑鞋佳选。</t>
  </si>
  <si>
    <t>{"id":"chatcmpl-DVZIHHuCZDN0bNZRD6GDvt3xTrSf4","object":"chat.completion","created":1776416209,"model":"gpt-5-chat-latest","choices":[{"index":0,"message":{"role":"assistant","content":"Adidas Retro Series Black White Teal Unisex Sneakers","refusal":null,"annotations":[]},"logprobs":null,"finish_reason":"stop"}],"usage":{"prompt_tokens":882,"completion_tokens":12,"total_tokens":894,"prompt_tokens_details":{"cached_tokens":0,"audio_tokens":0},"completion_tokens_details":{"reasoning_tokens":0,"audio_tokens":0,"accepted_prediction_tokens":0,"rejected_prediction_tokens":0}},"service_tier":"default","system_fingerprint":"fp_ad66631dec"}</t>
  </si>
  <si>
    <t>Adidas Retro Series Black White Teal Unisex Sneakers</t>
  </si>
  <si>
    <t>{"choices":[{"finish_reason":"stop","index":0,"logprobs":null,"message":{"annotations":[],"content":"Adidas Retro Series sneakers in black, white, and teal. Breathable mesh and premium leather combine with a lightweight cushioned midsole for street-ready style, comfort, and unisex appeal.","refusal":null,"role":"assistant"}}],"created":1776415301,"id":"chatcmpl-DVZ3deBgaumdcirgGopDX0Byfhksi","model":"gpt-5-chat-latest","object":"chat.completion","service_tier":"default","system_fingerprint":"fp_ad66631dec","usage":{"completion_tokens":40,"completion_tokens_details":{"accepted_prediction_tokens":0,"audio_tokens":0,"reasoning_tokens":0,"rejected_prediction_tokens":0},"prompt_tokens":896,"prompt_tokens_details":{"audio_tokens":0,"cached_tokens":0},"total_tokens":936}}</t>
  </si>
  <si>
    <t>Adidas Retro Series sneakers in black, white, and teal. Breathable mesh and premium leather combine with a lightweight cushioned midsole for street-ready style, comfort, and unisex appeal.</t>
  </si>
  <si>
    <t>{"choices":[{"finish_reason":"stop","index":0,"logprobs":null,"message":{"annotations":[],"content":"Adidas, Shoes, kakobuy, kakebuy2026, kekobuysheet, kakobuysheet2026, 2026kakobuy, kakobuyspreadsheeet, kakobuylink, kakebuylist, Kakobuy MEGA Spreadsheet, kakobuysheetfind, kakobuysheetfind2026, 2026kakobuysheetfind, kakobuysheet2026","refusal":null,"role":"assistant"}}],"created":1776416910,"id":"chatcmpl-DVZTaCUjpQikIlgaNfMJHhe38l4gQ","model":"gpt-5-chat-latest","object":"chat.completion","service_tier":"default","system_fingerprint":"fp_ad66631dec","usage":{"completion_tokens":91,"completion_tokens_details":{"accepted_prediction_tokens":0,"audio_tokens":0,"reasoning_tokens":0,"rejected_prediction_tokens":0},"prompt_tokens":783,"prompt_tokens_details":{"audio_tokens":0,"cached_tokens":0},"total_tokens":874}}</t>
  </si>
  <si>
    <t>ADIDAS, Retro, Black, White, Teal, Unisex</t>
  </si>
  <si>
    <t>recvh0B9A71EbM</t>
  </si>
  <si>
    <t>adidas-retro-black-white-teal-recvh0b9a71ebm</t>
  </si>
  <si>
    <t>{"choices":[{"content_filter_result":{"error":{"code":"content_filter_error","message":"The contents are not filtered"}},"finish_reason":"stop","index":0,"logprobs":null,"message":{"annotations":[],"content":"Adidas：复古系列黑白青绿拼色运动鞋，透气网面与优质皮革结合，轻盈缓震中底设计，展现街头机能风格，男女皆宜，兼具舒适与时尚感。","refusal":null,"role":"assistant"}}],"created":1776411869,"id":"chatcmpl-DVYAHxA5oUwmhPwvfOcrR3JOjD1bQ","model":"gpt-5-chat-latest","object":"chat.completion","service_tier":"default","system_fingerprint":"fp_ad66631dec","usage":{"completion_tokens":57,"completion_tokens_details":{"accepted_prediction_tokens":0,"audio_tokens":0,"reasoning_tokens":0,"rejected_prediction_tokens":0},"prompt_tokens":1310,"prompt_tokens_details":{"audio_tokens":0,"cached_tokens":1280},"total_tokens":1367}}</t>
  </si>
  <si>
    <t>Adidas：复古系列黑白青绿拼色运动鞋，透气网面与优质皮革结合，轻盈缓震中底设计，展现街头机能风格，男女皆宜，兼具舒适与时尚感。</t>
  </si>
  <si>
    <t>460</t>
  </si>
  <si>
    <t>{"choices":[{"finish_reason":"stop","index":0,"logprobs":null,"message":{"annotations":[],"content":"Adidas Blue Retro Mesh Running Shoes Unisex 2000s Style","refusal":null,"role":"assistant"}}],"created":1776415883,"id":"chatcmpl-DVZD1jIYqPpLILZUQVOXeGZUEUewj","model":"gpt-5-chat-latest","object":"chat.completion","service_tier":"default","system_fingerprint":"fp_ad66631dec","usage":{"completion_tokens":15,"completion_tokens_details":{"accepted_prediction_tokens":0,"audio_tokens":0,"reasoning_tokens":0,"rejected_prediction_tokens":0},"prompt_tokens":598,"prompt_tokens_details":{"audio_tokens":0,"cached_tokens":0},"total_tokens":613}}</t>
  </si>
  <si>
    <t>Adidas Blue Retro Mesh Running Shoes Unisex 2000s Style</t>
  </si>
  <si>
    <t>{"choices":[{"finish_reason":"stop","index":0,"logprobs":null,"message":{"annotations":[],"content":"Adidas Blue Retro Running Shoes feature breathable mesh and suede panels, pink triple stripes, and a lightweight cushioned sole for unisex comfort and 2000s-inspired sporty street style.","refusal":null,"role":"assistant"}}],"created":1776415342,"id":"chatcmpl-DVZ4IpqWQjoRlyvqQQhiPZ8xep03p","model":"gpt-5-chat-latest","object":"chat.completion","service_tier":"default","system_fingerprint":"fp_ad66631dec","usage":{"completion_tokens":38,"completion_tokens_details":{"accepted_prediction_tokens":0,"audio_tokens":0,"reasoning_tokens":0,"rejected_prediction_tokens":0},"prompt_tokens":625,"prompt_tokens_details":{"audio_tokens":0,"cached_tokens":0},"total_tokens":663}}</t>
  </si>
  <si>
    <t>Adidas Blue Retro Running Shoes feature breathable mesh and suede panels, pink triple stripes, and a lightweight cushioned sole for unisex comfort and 2000s-inspired sporty street style.</t>
  </si>
  <si>
    <t>{"id":"chatcmpl-DVZPvFd9f5cV0F0GqHuavzTrEtlzv","object":"chat.completion","created":1776416683,"model":"gpt-5-chat-latest","choices":[{"index":0,"message":{"role":"assistant","content":"Adidas, Shoes, kakobuy, kakebuy2026, kekobuysheet, kakobuysheet2026, 2026kakobuy, kakobuyspreadsheeet, kakobuylink, kakebuylist, Kakobuy MEGA Spreadsheet, kakobuysheetfind, kakobuysheetfind2026, 2026kakobuysheetfind, kakobuysheet2026","refusal":null,"annotations":[]},"logprobs":null,"finish_reason":"stop"}],"usage":{"prompt_tokens":503,"completion_tokens":91,"total_tokens":594,"prompt_tokens_details":{"cached_tokens":0,"audio_tokens":0},"completion_tokens_details":{"reasoning_tokens":0,"audio_tokens":0,"accepted_prediction_tokens":0,"rejected_prediction_tokens":0}},"service_tier":"default","system_fingerprint":"fp_ad66631dec"}</t>
  </si>
  <si>
    <t>ADIDAS, Blue, Retro Running, Mesh, Suede, Unisex</t>
  </si>
  <si>
    <t>recvh0B9A7Xqtu</t>
  </si>
  <si>
    <t>adidas-blue-retro-mesh-running-recvh0b9a7xqtu</t>
  </si>
  <si>
    <t>{"choices":[{"finish_reason":"stop","index":0,"logprobs":null,"message":{"annotations":[],"content":"Adidas：蓝色复古运动跑鞋，采用透气网眼与麂皮拼接设计，粉色三条纹侧标彰显品牌经典。轻盈缓震鞋底，男女通用，兼具时尚与舒适，演绎千禧年代复古科技潮流风格。","refusal":null,"role":"assistant"}}],"created":1776412409,"id":"chatcmpl-DVYIzDNaDC0mK3yb7wMuuArep26fh","model":"gpt-5-chat-latest","object":"chat.completion","service_tier":"default","system_fingerprint":"fp_ad66631dec","usage":{"completion_tokens":70,"completion_tokens_details":{"accepted_prediction_tokens":0,"audio_tokens":0,"reasoning_tokens":0,"rejected_prediction_tokens":0},"prompt_tokens":1022,"prompt_tokens_details":{"audio_tokens":0,"cached_tokens":0},"total_tokens":1092}}</t>
  </si>
  <si>
    <t>Adidas：蓝色复古运动跑鞋，采用透气网眼与麂皮拼接设计，粉色三条纹侧标彰显品牌经典。轻盈缓震鞋底，男女通用，兼具时尚与舒适，演绎千禧年代复古科技潮流风格。</t>
  </si>
  <si>
    <t>{"choices":[{"finish_reason":"stop","index":0,"logprobs":null,"message":{"annotations":[],"content":"Adidas Yeezy Slide Dark Gray EVA Foam Sandals","refusal":null,"role":"assistant"}}],"created":1776416100,"id":"chatcmpl-DVZGW8tvhcvXFWYLlsRWVpaHYiApV","model":"gpt-5-chat-latest","object":"chat.completion","service_tier":"default","system_fingerprint":"fp_ad66631dec","usage":{"completion_tokens":12,"completion_tokens_details":{"accepted_prediction_tokens":0,"audio_tokens":0,"reasoning_tokens":0,"rejected_prediction_tokens":0},"prompt_tokens":881,"prompt_tokens_details":{"audio_tokens":0,"cached_tokens":0},"total_tokens":893}}</t>
  </si>
  <si>
    <t>Adidas Yeezy Slide Dark Gray EVA Foam Sandals</t>
  </si>
  <si>
    <t>{"choices":[{"finish_reason":"stop","index":0,"logprobs":null,"message":{"annotations":[],"content":"YEEZY Slide Dark Gray EVA Foam Sandals by Adidas – lightweight, one-piece design with serrated sole for superior grip, minimalist futuristic style, perfect for men and women casual wear.","refusal":null,"role":"assistant"}}],"created":1776414684,"id":"chatcmpl-DVYtgAR6yPJrtUcjyGPFHIIPoB1Tm","model":"gpt-5-chat-latest","object":"chat.completion","service_tier":"default","system_fingerprint":"fp_ad66631dec","usage":{"completion_tokens":39,"completion_tokens_details":{"accepted_prediction_tokens":0,"audio_tokens":0,"reasoning_tokens":0,"rejected_prediction_tokens":0},"prompt_tokens":889,"prompt_tokens_details":{"audio_tokens":0,"cached_tokens":0},"total_tokens":928}}</t>
  </si>
  <si>
    <t>YEEZY Slide Dark Gray EVA Foam Sandals by Adidas – lightweight, one-piece design with serrated sole for superior grip, minimalist futuristic style, perfect for men and women casual wear.</t>
  </si>
  <si>
    <t>{"choices":[{"finish_reason":"stop","index":0,"logprobs":null,"message":{"annotations":[],"content":"Yeezy,Slide,kakobuy,kakebuy2026,kekobuysheet,kakobuysheet2026,2026kakobuy,kakobuyspreadsheeet,kakobuylink,kakebuylist,Kakobuy MEGA Spreadsheet,kakobuysheetfind,kakobuysheetfind2026,2026kakobuysheetfind,kakobuysheet2026","refusal":null,"role":"assistant"}}],"created":1776417003,"id":"chatcmpl-DVZV5qGyXKaimHqKlWaqUAuEJ592x","model":"gpt-5-chat-latest","object":"chat.completion","service_tier":"default","system_fingerprint":"fp_ad66631dec","usage":{"completion_tokens":88,"completion_tokens_details":{"accepted_prediction_tokens":0,"audio_tokens":0,"reasoning_tokens":0,"rejected_prediction_tokens":0},"prompt_tokens":784,"prompt_tokens_details":{"audio_tokens":0,"cached_tokens":0},"total_tokens":872}}</t>
  </si>
  <si>
    <t>YEEZY Slide, Lightweight, Unisex</t>
  </si>
  <si>
    <t>recvh0B9A7SvxJ</t>
  </si>
  <si>
    <t>adidas-yeezy-slide-dark-gray-recvh0b9a7svxj</t>
  </si>
  <si>
    <t>{"choices":[{"finish_reason":"stop","index":0,"logprobs":null,"message":{"annotations":[],"content":"Yeezy：Slide 深灰色EVA泡沫拖鞋，轻盈舒适一体成型设计，齿状厚底增强抓地力，极简未来风格，男女皆宜，休闲潮流之选。","refusal":null,"role":"assistant"}}],"created":1776411986,"id":"chatcmpl-DVYCAE30vsQfibDYzP3p2RpLTKPmV","model":"gpt-5-chat-latest","object":"chat.completion","service_tier":"default","system_fingerprint":"fp_ad66631dec","usage":{"completion_tokens":54,"completion_tokens_details":{"accepted_prediction_tokens":0,"audio_tokens":0,"reasoning_tokens":0,"rejected_prediction_tokens":0},"prompt_tokens":1302,"prompt_tokens_details":{"audio_tokens":0,"cached_tokens":0},"total_tokens":1356}}</t>
  </si>
  <si>
    <t>Yeezy：Slide 深灰色EVA泡沫拖鞋，轻盈舒适一体成型设计，齿状厚底增强抓地力，极简未来风格，男女皆宜，休闲潮流之选。</t>
  </si>
  <si>
    <t>{"choices":[{"finish_reason":"stop","index":0,"logprobs":null,"message":{"annotations":[],"content":"Adidas Retro Green Blue Running Shoes Gel Cushion Mesh","refusal":null,"role":"assistant"}}],"created":1776416086,"id":"chatcmpl-DVZGI9yHmMibeeCYOaY6pKP23r1gK","model":"gpt-5-chat-latest","object":"chat.completion","service_tier":"default","system_fingerprint":"fp_ad66631dec","usage":{"completion_tokens":11,"completion_tokens_details":{"accepted_prediction_tokens":0,"audio_tokens":0,"reasoning_tokens":0,"rejected_prediction_tokens":0},"prompt_tokens":592,"prompt_tokens_details":{"audio_tokens":0,"cached_tokens":0},"total_tokens":603}}</t>
  </si>
  <si>
    <t>Adidas Retro Green Blue Running Shoes Gel Cushion Mesh</t>
  </si>
  <si>
    <t>{"choices":[{"finish_reason":"stop","index":0,"logprobs":null,"message":{"annotations":[],"content":"Adidas Retro Green Blue Running Shoes with gel-cushioned midsole and breathable mesh upper, featuring futuristic streamlined design for versatile street style, ideal for men and women.","refusal":null,"role":"assistant"}}],"created":1776414916,"id":"chatcmpl-DVYxQarljat2p15FgQPMFwGkNfeGa","model":"gpt-5-chat-latest","object":"chat.completion","service_tier":"default","system_fingerprint":"fp_ad66631dec","usage":{"completion_tokens":35,"completion_tokens_details":{"accepted_prediction_tokens":0,"audio_tokens":0,"reasoning_tokens":0,"rejected_prediction_tokens":0},"prompt_tokens":617,"prompt_tokens_details":{"audio_tokens":0,"cached_tokens":0},"total_tokens":652}}</t>
  </si>
  <si>
    <t>Adidas Retro Green Blue Running Shoes with gel-cushioned midsole and breathable mesh upper, featuring futuristic streamlined design for versatile street style, ideal for men and women.</t>
  </si>
  <si>
    <t>{"id":"chatcmpl-DVZVP2vBR75XLc6asgFDRXGPk4vwE","object":"chat.completion","created":1776417023,"model":"gpt-5-chat-latest","choices":[{"index":0,"message":{"role":"assistant","content":"Adidas, Shoes, kakobuy, kakebuy2026, kekobuysheet, kakobuysheet2026, 2026kakobuy, kakobuyspreadsheeet, kakobuylink, kakebuylist, Kakobuy MEGA Spreadsheet, kakobuysheetfind, kakobuysheetfind2026, 2026kakobuysheetfind, kakobuysheet2026","refusal":null,"annotations":[]},"logprobs":null,"finish_reason":"stop"}],"usage":{"prompt_tokens":503,"completion_tokens":91,"total_tokens":594,"prompt_tokens_details":{"cached_tokens":0,"audio_tokens":0},"completion_tokens_details":{"reasoning_tokens":0,"audio_tokens":0,"accepted_prediction_tokens":0,"rejected_prediction_tokens":0}},"service_tier":"default","system_fingerprint":"fp_ad66631dec"}</t>
  </si>
  <si>
    <t>ADIDAS, Running Shoes, Green, Blue, Breathable, Unisex</t>
  </si>
  <si>
    <t>recvh0B9A7jlh7</t>
  </si>
  <si>
    <t>adidas-retro-green-blue-gel-cushion-mesh-recvh0b9a7jlh7</t>
  </si>
  <si>
    <t>{"choices":[{"finish_reason":"stop","index":0,"logprobs":null,"message":{"annotations":[],"content":"Adidas：复古绿蓝配色跑步鞋，啫喱缓震中底搭配轻盈网面鞋身，透气舒适。流线未来感拼接设计，彰显街头潮流风格，男女皆宜，运动休闲兼备。","refusal":null,"role":"assistant"}}],"created":1776411868,"id":"chatcmpl-DVYAG2tQAJDQQZwEOYmsvf70rWO05","model":"gpt-5-chat-latest","object":"chat.completion","service_tier":"default","system_fingerprint":"fp_ad66631dec","usage":{"completion_tokens":63,"completion_tokens_details":{"accepted_prediction_tokens":0,"audio_tokens":0,"reasoning_tokens":0,"rejected_prediction_tokens":0},"prompt_tokens":1020,"prompt_tokens_details":{"audio_tokens":0,"cached_tokens":0},"total_tokens":1083}}</t>
  </si>
  <si>
    <t>Adidas：复古绿蓝配色跑步鞋，啫喱缓震中底搭配轻盈网面鞋身，透气舒适。流线未来感拼接设计，彰显街头潮流风格，男女皆宜，运动休闲兼备。</t>
  </si>
  <si>
    <t>{"id":"chatcmpl-DVZFsbU5OLHKsoFa8WnYuFd3OOYFe","object":"chat.completion","created":1776416060,"model":"gpt-5-chat-latest","choices":[{"index":0,"message":{"role":"assistant","content":"Adidas Retro Chunky White Mesh Sneakers Y2K Style","refusal":null,"annotations":[]},"logprobs":null,"finish_reason":"stop"}],"usage":{"prompt_tokens":600,"completion_tokens":13,"total_tokens":613,"prompt_tokens_details":{"cached_tokens":0,"audio_tokens":0},"completion_tokens_details":{"reasoning_tokens":0,"audio_tokens":0,"accepted_prediction_tokens":0,"rejected_prediction_tokens":0}},"service_tier":"default","system_fingerprint":"fp_ad66631dec"}</t>
  </si>
  <si>
    <t>Adidas Retro Chunky White Mesh Sneakers Y2K Style</t>
  </si>
  <si>
    <t>{"choices":[{"finish_reason":"stop","index":0,"logprobs":null,"message":{"annotations":[],"content":"Adidas Retro Chunky Sneakers: White mesh and synthetic leather blend with a futuristic industrial look, lightweight cushioning sole, stable support, and unisex street style inspired by Y2K fashion.","refusal":null,"role":"assistant"}}],"created":1776415313,"id":"chatcmpl-DVZ3p65hn2FJHBEIYpzRgg9QQ3u9f","model":"gpt-5-chat-latest","object":"chat.completion","service_tier":"default","system_fingerprint":"fp_ad66631dec","usage":{"completion_tokens":39,"completion_tokens_details":{"accepted_prediction_tokens":0,"audio_tokens":0,"reasoning_tokens":0,"rejected_prediction_tokens":0},"prompt_tokens":632,"prompt_tokens_details":{"audio_tokens":0,"cached_tokens":0},"total_tokens":671}}</t>
  </si>
  <si>
    <t>Adidas Retro Chunky Sneakers: White mesh and synthetic leather blend with a futuristic industrial look, lightweight cushioning sole, stable support, and unisex street style inspired by Y2K fashion.</t>
  </si>
  <si>
    <t>{"choices":[{"finish_reason":"stop","index":0,"logprobs":null,"message":{"annotations":[],"content":"Adidas, Shoes, kakobuy, kakebuy2026, kekobuysheet, kakobuysheet2026, 2026kakobuy, kakobuyspreadsheeet, kakobuylink, kakebuylist, Kakobuy MEGA Spreadsheet, kakobuysheetfind, kakobuysheetfind2026, 2026kakobuysheetfind, kakobuysheet2026","refusal":null,"role":"assistant"}}],"created":1776417411,"id":"chatcmpl-DVZbfDuNujO0BmL22DAjh8Y4ydCit","model":"gpt-5-chat-latest","object":"chat.completion","service_tier":"default","system_fingerprint":"fp_ad66631dec","usage":{"completion_tokens":91,"completion_tokens_details":{"accepted_prediction_tokens":0,"audio_tokens":0,"reasoning_tokens":0,"rejected_prediction_tokens":0},"prompt_tokens":503,"prompt_tokens_details":{"audio_tokens":0,"cached_tokens":0},"total_tokens":594}}</t>
  </si>
  <si>
    <t>ADIDAS, White, Mesh, Synthetic Leather, Streetwear, Unisex</t>
  </si>
  <si>
    <t>recvh0B9A71PPe</t>
  </si>
  <si>
    <t>adidas-retro-chunky-white-mesh-y2k-recvh0b9a71ppe</t>
  </si>
  <si>
    <t>{"id":"chatcmpl-DVYKyPLdWyhX56ZfDoQtw1Vvzy8Pp","object":"chat.completion","created":1776412532,"model":"gpt-5-chat-latest","choices":[{"index":0,"message":{"role":"assistant","content":"Adidas：白色复古厚底运动鞋，采用轻盈透气网面与坚韧合成革拼接设计，流线造型彰显未来工业风格。缓震大底与稳固支撑系统融合，兼顾舒适与动感，男女皆宜，演绎千禧年代街头潮流。","refusal":null,"annotations":[]},"logprobs":null,"finish_reason":"stop"}],"usage":{"prompt_tokens":1022,"completion_tokens":77,"total_tokens":1099,"prompt_tokens_details":{"cached_tokens":0,"audio_tokens":0},"completion_tokens_details":{"reasoning_tokens":0,"audio_tokens":0,"accepted_prediction_tokens":0,"rejected_prediction_tokens":0}},"service_tier":"default","system_fingerprint":"fp_ad66631dec"}</t>
  </si>
  <si>
    <t>Adidas：白色复古厚底运动鞋，采用轻盈透气网面与坚韧合成革拼接设计，流线造型彰显未来工业风格。缓震大底与稳固支撑系统融合，兼顾舒适与动感，男女皆宜，演绎千禧年代街头潮流。</t>
  </si>
  <si>
    <t>{"choices":[{"finish_reason":"stop","index":0,"logprobs":null,"message":{"annotations":[],"content":"Acne Studios Black Platform Leather Sneakers Unisex Shoes","refusal":null,"role":"assistant"}}],"created":1776416007,"id":"chatcmpl-DVZF1wlqbMYChDU6Sa5kvd7GJzd5L","model":"gpt-5-chat-latest","object":"chat.completion","service_tier":"default","system_fingerprint":"fp_ad66631dec","usage":{"completion_tokens":11,"completion_tokens_details":{"accepted_prediction_tokens":0,"audio_tokens":0,"reasoning_tokens":0,"rejected_prediction_tokens":0},"prompt_tokens":873,"prompt_tokens_details":{"audio_tokens":0,"cached_tokens":0},"total_tokens":884}}</t>
  </si>
  <si>
    <t>Acne Studios Black Platform Leather Sneakers Unisex Shoes</t>
  </si>
  <si>
    <t>{"id":"chatcmpl-DVYylNh3D71JZTykxn6dcmajtEJpK","object":"chat.completion","created":1776414999,"model":"gpt-5-chat-latest","choices":[{"index":0,"message":{"role":"assistant","content":"Acne Studios black platform leather sneakers, crafted from premium cowhide. Minimalist Nordic street style, lightweight and unisex, offering modern urban comfort and bold fashion appeal.","refusal":null,"annotations":[]},"logprobs":null,"finish_reason":"stop"}],"usage":{"prompt_tokens":901,"completion_tokens":35,"total_tokens":936,"prompt_tokens_details":{"cached_tokens":0,"audio_tokens":0},"completion_tokens_details":{"reasoning_tokens":0,"audio_tokens":0,"accepted_prediction_tokens":0,"rejected_prediction_tokens":0}},"service_tier":"default","system_fingerprint":"fp_ad66631dec"}</t>
  </si>
  <si>
    <t>Acne Studios black platform leather sneakers, crafted from premium cowhide. Minimalist Nordic street style, lightweight and unisex, offering modern urban comfort and bold fashion appeal.</t>
  </si>
  <si>
    <t>{"id":"chatcmpl-DVZbhKW02WhnSYFjvjPSfN4JUzGSm","object":"chat.completion","created":1776417413,"model":"gpt-5-chat-latest","choices":[{"index":0,"message":{"role":"assistant","content":"Acne Studios, Shoes, kakobuy, kakebuy2026, kekobuysheet, kakobuysheet2026, 2026kakobuy, kakobuyspreadsheeet, kakobuylink, kakebuylist, Kakobuy MEGA Spreadsheet, kakobuysheetfind, kakobuysheetfind2026, 2026kakobuysheetfind, kakobuysheet2026","refusal":null,"annotations":[]},"logprobs":null,"finish_reason":"stop"}],"usage":{"prompt_tokens":784,"completion_tokens":92,"total_tokens":876,"prompt_tokens_details":{"cached_tokens":0,"audio_tokens":0},"completion_tokens_details":{"reasoning_tokens":0,"audio_tokens":0,"accepted_prediction_tokens":0,"rejected_prediction_tokens":0}},"service_tier":"default","system_fingerprint":"fp_ad66631dec"}</t>
  </si>
  <si>
    <t>Acne Studios, Shoes, kakobuy, kakebuy2026, kekobuysheet, kakobuysheet2026, 2026kakobuy, kakobuyspreadsheeet, kakobuylink, kakebuylist, Kakobuy MEGA Spreadsheet, kakobuysheetfind, kakobuysheetfind2026, 2026kakobuysheetfind, kakobuysheet2026</t>
  </si>
  <si>
    <t>Leather Sneakers, Platform Shoes, Black, Minimalist, Streetwear, Unisex</t>
  </si>
  <si>
    <t>recvh0B9A7YSTn</t>
  </si>
  <si>
    <t>acne-black-platform-leather-recvh0B9A7YSTn</t>
  </si>
  <si>
    <t>{"choices":[{"finish_reason":"stop","index":0,"logprobs":null,"message":{"annotations":[],"content":"Acne Studios：黑色厚底魔术贴皮革运动鞋，采用优质牛皮材质，极简设计融合北欧街头风格，轻盈舒适兼具时尚感，男女皆宜，彰显现代都市个性休闲气质。","refusal":null,"role":"assistant"}}],"created":1776412201,"id":"chatcmpl-DVYFdVdDVHT4zWzqurIHNu99YCkU2","model":"gpt-5-chat-latest","object":"chat.completion","service_tier":"default","system_fingerprint":"fp_ad66631dec","usage":{"completion_tokens":61,"completion_tokens_details":{"accepted_prediction_tokens":0,"audio_tokens":0,"reasoning_tokens":0,"rejected_prediction_tokens":0},"prompt_tokens":1312,"prompt_tokens_details":{"audio_tokens":0,"cached_tokens":0},"total_tokens":1373}}</t>
  </si>
  <si>
    <t>Acne Studios：黑色厚底魔术贴皮革运动鞋，采用优质牛皮材质，极简设计融合北欧街头风格，轻盈舒适兼具时尚感，男女皆宜，彰显现代都市个性休闲气质。</t>
  </si>
  <si>
    <t>{"choices":[{"finish_reason":"stop","index":0,"logprobs":null,"message":{"annotations":[],"content":"Adidas Yeezy 700 Retro Green Mesh Suede Shoes","refusal":null,"role":"assistant"}}],"created":1776415872,"id":"chatcmpl-DVZCqt1JBcAz1DyWUXNu6f6rhdu3a","model":"gpt-5-chat-latest","object":"chat.completion","service_tier":"default","system_fingerprint":"fp_ad66631dec","usage":{"completion_tokens":13,"completion_tokens_details":{"accepted_prediction_tokens":0,"audio_tokens":0,"reasoning_tokens":0,"rejected_prediction_tokens":0},"prompt_tokens":600,"prompt_tokens_details":{"audio_tokens":0,"cached_tokens":0},"total_tokens":613}}</t>
  </si>
  <si>
    <t>Adidas Yeezy 700 Retro Green Mesh Suede Shoes</t>
  </si>
  <si>
    <t>{"id":"chatcmpl-DVZ4M7TqeiP2XHYcQlHXIx873oqqh","object":"chat.completion","created":1776415346,"model":"gpt-5-chat-latest","choices":[{"index":0,"message":{"role":"assistant","content":"Adidas YEEZY 700 Retro Green Sneakers blend mesh and suede for a futuristic look; chunky cushioned sole offers comfort, breathability, and street-style attitude for men and women.","refusal":null,"annotations":[]},"logprobs":null,"finish_reason":"stop"}],"usage":{"prompt_tokens":632,"completion_tokens":39,"total_tokens":671,"prompt_tokens_details":{"cached_tokens":0,"audio_tokens":0},"completion_tokens_details":{"reasoning_tokens":0,"audio_tokens":0,"accepted_prediction_tokens":0,"rejected_prediction_tokens":0}},"service_tier":"default","system_fingerprint":"fp_ad66631dec"}</t>
  </si>
  <si>
    <t>Adidas YEEZY 700 Retro Green Sneakers blend mesh and suede for a futuristic look; chunky cushioned sole offers comfort, breathability, and street-style attitude for men and women.</t>
  </si>
  <si>
    <t>{"choices":[{"finish_reason":"stop","index":0,"logprobs":null,"message":{"annotations":[],"content":"Adidas, Shoes, kakobuy, kakebuy2026, kekobuysheet, kakobuysheet2026, 2026kakobuy, kakobuyspreadsheeet, kakobuylink, kakebuylist, Kakobuy MEGA Spreadsheet, kakobuysheetfind, kakobuysheetfind2026, 2026kakobuysheetfind, kakobuysheet2026","refusal":null,"role":"assistant"}}],"created":1776416665,"id":"chatcmpl-DVZPdEdaBZ1Jmphbay6oDLRXYz9fl","model":"gpt-5-chat-latest","object":"chat.completion","service_tier":"default","system_fingerprint":"fp_ad66631dec","usage":{"completion_tokens":91,"completion_tokens_details":{"accepted_prediction_tokens":0,"audio_tokens":0,"reasoning_tokens":0,"rejected_prediction_tokens":0},"prompt_tokens":503,"prompt_tokens_details":{"audio_tokens":0,"cached_tokens":0},"total_tokens":594}}</t>
  </si>
  <si>
    <t>ADIDAS, YEEZY700, Retro, Green, Mesh, Suede</t>
  </si>
  <si>
    <t>recvh0B9A7rhIZ</t>
  </si>
  <si>
    <t>adidas-yeezy-700-retro-green-recvh0b9a7rhiz</t>
  </si>
  <si>
    <t>{"id":"chatcmpl-DVYAFJjOtggkiQqNCPVtBYD7CCHu1","object":"chat.completion","created":1776411867,"model":"gpt-5-chat-latest","choices":[{"index":0,"message":{"role":"assistant","content":"Adidas：YEEZY 700 灰绿色复古跑鞋，采用优质网布与翻毛皮拼接设计，厚底缓震大底结合流线型线条，展现未来机能美学。男女皆宜，舒适透气，兼具潮流与运动性能，彰显街头时尚态度。","refusal":null,"annotations":[]},"logprobs":null,"finish_reason":"stop"}],"usage":{"prompt_tokens":1022,"completion_tokens":77,"total_tokens":1099,"prompt_tokens_details":{"cached_tokens":0,"audio_tokens":0},"completion_tokens_details":{"reasoning_tokens":0,"audio_tokens":0,"accepted_prediction_tokens":0,"rejected_prediction_tokens":0}},"service_tier":"default","system_fingerprint":"fp_ad66631dec"}</t>
  </si>
  <si>
    <t>Adidas：YEEZY 700 灰绿色复古跑鞋，采用优质网布与翻毛皮拼接设计，厚底缓震大底结合流线型线条，展现未来机能美学。男女皆宜，舒适透气，兼具潮流与运动性能，彰显街头时尚态度。</t>
  </si>
  <si>
    <t>{"id":"chatcmpl-DVZEuz8Z2tArG1Ahldx7jE6mKPL1u","object":"chat.completion","created":1776416000,"model":"gpt-5-chat-latest","choices":[{"index":0,"message":{"role":"assistant","content":"Adidas Yeezy Slide Beige EVA Comfort Sandals","refusal":null,"annotations":[]},"logprobs":null,"finish_reason":"stop"}],"usage":{"prompt_tokens":881,"completion_tokens":11,"total_tokens":892,"prompt_tokens_details":{"cached_tokens":0,"audio_tokens":0},"completion_tokens_details":{"reasoning_tokens":0,"audio_tokens":0,"accepted_prediction_tokens":0,"rejected_prediction_tokens":0}},"service_tier":"default","system_fingerprint":"fp_ad66631dec"}</t>
  </si>
  <si>
    <t>Adidas Yeezy Slide Beige EVA Comfort Sandals</t>
  </si>
  <si>
    <t>{"id":"chatcmpl-DVZ2JJSGGbYlaRxmTtLtfd7tCGjtq","object":"chat.completion","created":1776415219,"model":"gpt-5-chat-latest","choices":[{"index":0,"message":{"role":"assistant","content":"Yeezy Slide Beige by Adidas: lightweight EVA one-piece design, wavy outsole for strong grip, gender-neutral minimalist look blending comfort, urban fashion, and futuristic style for everyday wear.","refusal":null,"annotations":[]},"logprobs":null,"finish_reason":"stop"}],"usage":{"prompt_tokens":917,"completion_tokens":39,"total_tokens":956,"prompt_tokens_details":{"cached_tokens":0,"audio_tokens":0},"completion_tokens_details":{"reasoning_tokens":0,"audio_tokens":0,"accepted_prediction_tokens":0,"rejected_prediction_tokens":0}},"service_tier":"default","system_fingerprint":"fp_ad66631dec"}</t>
  </si>
  <si>
    <t>Yeezy Slide Beige by Adidas: lightweight EVA one-piece design, wavy outsole for strong grip, gender-neutral minimalist look blending comfort, urban fashion, and futuristic style for everyday wear.</t>
  </si>
  <si>
    <t>{"choices":[{"finish_reason":"stop","index":0,"logprobs":null,"message":{"annotations":[],"content":"Adidas,Yeezy Slide,kakobuy,kakebuy2026,kekobuysheet,kakobuysheet2026,2026kakobuy,kakobuyspreadsheeet,kakobuylink,kakebuylist,Kakobuy MEGA Spreadsheet,kakobuysheetfind,kakobuysheetfind2026,2026kakobuysheetfind,kakobuysheet2026","refusal":null,"role":"assistant"}}],"created":1776417142,"id":"chatcmpl-DVZXKRXqxy6SALYs2g3PqEvnJMthO","model":"gpt-5-chat-latest","object":"chat.completion","service_tier":"default","system_fingerprint":"fp_ad66631dec","usage":{"completion_tokens":89,"completion_tokens_details":{"accepted_prediction_tokens":0,"audio_tokens":0,"reasoning_tokens":0,"rejected_prediction_tokens":0},"prompt_tokens":784,"prompt_tokens_details":{"audio_tokens":0,"cached_tokens":0},"total_tokens":873}}</t>
  </si>
  <si>
    <t>YEEZY Slide, Beige, Minimalist, Unisex, Lightweight, Slide Sandals</t>
  </si>
  <si>
    <t>recvh0B9A7UEhL</t>
  </si>
  <si>
    <t>adidas-yeezy-slide-beige-eva-recvh0b9a7uehl</t>
  </si>
  <si>
    <t>{"choices":[{"finish_reason":"stop","index":0,"logprobs":null,"message":{"annotations":[],"content":"Yeezy：Slide米色休闲拖鞋，采用轻质EVA材质打造，一体成型设计贴合脚型，波浪齿纹鞋底增强抓地防滑性能，极简未来感造型呈现都市潮流风格，男女皆宜，彰显舒适与时尚兼具的当代设计美学。","refusal":null,"role":"assistant"}}],"created":1776412028,"id":"chatcmpl-DVYCqWtY5AS0rp5pImKkZKMVbqHuO","model":"gpt-5-chat-latest","object":"chat.completion","service_tier":"default","system_fingerprint":"fp_ad66631dec","usage":{"completion_tokens":79,"completion_tokens_details":{"accepted_prediction_tokens":0,"audio_tokens":0,"reasoning_tokens":0,"rejected_prediction_tokens":0},"prompt_tokens":1308,"prompt_tokens_details":{"audio_tokens":0,"cached_tokens":0},"total_tokens":1387}}</t>
  </si>
  <si>
    <t>Yeezy：Slide米色休闲拖鞋，采用轻质EVA材质打造，一体成型设计贴合脚型，波浪齿纹鞋底增强抓地防滑性能，极简未来感造型呈现都市潮流风格，男女皆宜，彰显舒适与时尚兼具的当代设计美学。</t>
  </si>
  <si>
    <t>{"id":"chatcmpl-DVZF8Dp2oOLPCjEV7tjMAZa4GUQ1d","object":"chat.completion","created":1776416014,"model":"gpt-5-chat-latest","choices":[{"index":0,"message":{"role":"assistant","content":"Adidas Retro White Mesh Leather Unisex Chunky Sneakers","refusal":null,"annotations":[]},"logprobs":null,"finish_reason":"stop"}],"usage":{"prompt_tokens":862,"completion_tokens":12,"total_tokens":874,"prompt_tokens_details":{"cached_tokens":0,"audio_tokens":0},"completion_tokens_details":{"reasoning_tokens":0,"audio_tokens":0,"accepted_prediction_tokens":0,"rejected_prediction_tokens":0}},"service_tier":"default","system_fingerprint":"fp_ad66631dec"}</t>
  </si>
  <si>
    <t>Adidas Retro White Mesh Leather Unisex Chunky Sneakers</t>
  </si>
  <si>
    <t>{"id":"chatcmpl-DVYzyP2X7bx7gY4eGMhX6lqXlUiNf","object":"chat.completion","created":1776415074,"model":"gpt-5-chat-latest","choices":[{"index":0,"message":{"role":"assistant","content":"Adidas White Retro Sneakers: breathable mesh with leather accents, chunky sole for comfort, unisex design blending street style and modern urban sports fashion.","refusal":null,"annotations":[]},"logprobs":null,"finish_reason":"stop"}],"usage":{"prompt_tokens":886,"completion_tokens":30,"total_tokens":916,"prompt_tokens_details":{"cached_tokens":0,"audio_tokens":0},"completion_tokens_details":{"reasoning_tokens":0,"audio_tokens":0,"accepted_prediction_tokens":0,"rejected_prediction_tokens":0}},"service_tier":"default","system_fingerprint":"fp_ad66631dec"}</t>
  </si>
  <si>
    <t>Adidas White Retro Sneakers: breathable mesh with leather accents, chunky sole for comfort, unisex design blending street style and modern urban sports fashion.</t>
  </si>
  <si>
    <t>{"id":"chatcmpl-DVZQKaWG2R1k1pMJMayyUDOIwyXpk","object":"chat.completion","created":1776416708,"model":"gpt-5-chat-latest","choices":[{"index":0,"message":{"role":"assistant","content":"Adidas, Shoes, kakobuy, kakebuy2026, kekobuysheet, kakobuysheet2026, 2026kakobuy, kakobuyspreadsheeet, kakobuylink, kakebuylist, Kakobuy MEGA Spreadsheet, kakobuysheetfind, kakobuysheetfind2026, 2026kakobuysheetfind, kakobuysheet2026","refusal":null,"annotations":[]},"logprobs":null,"finish_reason":"stop"}],"usage":{"prompt_tokens":783,"completion_tokens":91,"total_tokens":874,"prompt_tokens_details":{"cached_tokens":0,"audio_tokens":0},"completion_tokens_details":{"reasoning_tokens":0,"audio_tokens":0,"accepted_prediction_tokens":0,"rejected_prediction_tokens":0}},"service_tier":"default","system_fingerprint":"fp_ad66631dec"}</t>
  </si>
  <si>
    <t>ADIDAS, Retro, White, Streetwear, Unisex, Breathable</t>
  </si>
  <si>
    <t>recvh0B9A72j2Q</t>
  </si>
  <si>
    <t>adidas-retro-white-mesh-leather-unisex-chunky-recvh0b9a72j2q</t>
  </si>
  <si>
    <t>{"choices":[{"finish_reason":"stop","index":0,"logprobs":null,"message":{"annotations":[],"content":"Adidas：白色复古运动休闲鞋，透气网面结合皮质拼接设计，厚底缓震舒适，简约街头风格，男女皆宜，展现现代都市运动时尚态度。","refusal":null,"role":"assistant"}}],"created":1776411932,"id":"chatcmpl-DVYBIEmSiZJBhoNTIBvOHg1wjjiwc","model":"gpt-5-chat-latest","object":"chat.completion","service_tier":"default","system_fingerprint":"fp_ad66631dec","usage":{"completion_tokens":52,"completion_tokens_details":{"accepted_prediction_tokens":0,"audio_tokens":0,"reasoning_tokens":0,"rejected_prediction_tokens":0},"prompt_tokens":1300,"prompt_tokens_details":{"audio_tokens":0,"cached_tokens":1280},"total_tokens":1352}}</t>
  </si>
  <si>
    <t>Adidas：白色复古运动休闲鞋，透气网面结合皮质拼接设计，厚底缓震舒适，简约街头风格，男女皆宜，展现现代都市运动时尚态度。</t>
  </si>
  <si>
    <t>{"choices":[{"finish_reason":"stop","index":0,"logprobs":null,"message":{"annotations":[],"content":"Yeezy Brown EVA Chunky Wave Sole Slides","refusal":null,"role":"assistant"}}],"created":1776415830,"id":"chatcmpl-DVZCAGyUmjBiSGlVCmLUR7uSYzxgP","model":"gpt-5-chat-latest","object":"chat.completion","service_tier":"default","system_fingerprint":"fp_ad66631dec","usage":{"completion_tokens":11,"completion_tokens_details":{"accepted_prediction_tokens":0,"audio_tokens":0,"reasoning_tokens":0,"rejected_prediction_tokens":0},"prompt_tokens":881,"prompt_tokens_details":{"audio_tokens":0,"cached_tokens":0},"total_tokens":892}}</t>
  </si>
  <si>
    <t>Yeezy Brown EVA Chunky Wave Sole Slides</t>
  </si>
  <si>
    <t>{"choices":[{"finish_reason":"stop","index":0,"logprobs":null,"message":{"annotations":[],"content":"ShoesYeezyYeezy brown chunky EVA molded slides feature lightweight flexibility, minimalist sleek design, wave sole for anti-slip cushioning, perfect for men and women in modern casual style.","refusal":null,"role":"assistant"}}],"created":1776414898,"id":"chatcmpl-DVYx8shIZHARql5OlMUMxRa4yIG86","model":"gpt-5-chat-latest","object":"chat.completion","service_tier":"default","system_fingerprint":"fp_ad66631dec","usage":{"completion_tokens":39,"completion_tokens_details":{"accepted_prediction_tokens":0,"audio_tokens":0,"reasoning_tokens":0,"rejected_prediction_tokens":0},"prompt_tokens":903,"prompt_tokens_details":{"audio_tokens":0,"cached_tokens":0},"total_tokens":942}}</t>
  </si>
  <si>
    <t>ShoesYeezyYeezy brown chunky EVA molded slides feature lightweight flexibility, minimalist sleek design, wave sole for anti-slip cushioning, perfect for men and women in modern casual style.</t>
  </si>
  <si>
    <t>{"choices":[{"finish_reason":"stop","index":0,"logprobs":null,"message":{"annotations":[],"content":"Yeezy, Slides, kakobuy, kakebuy2026, kekobuysheet, kakobuysheet2026, 2026kakobuy, kakobuyspreadsheeet, kakobuylink, kakebuylist, Kakobuy MEGA Spreadsheet, kakobuysheetfind, kakobuysheetfind2026, 2026kakobuysheetfind, kakobuysheet2026","refusal":null,"role":"assistant"}}],"created":1776416704,"id":"chatcmpl-DVZQG7fz1cAAAqgnMP5M6Hxwr1xek","model":"gpt-5-chat-latest","object":"chat.completion","service_tier":"default","system_fingerprint":"fp_ad66631dec","usage":{"completion_tokens":92,"completion_tokens_details":{"accepted_prediction_tokens":0,"audio_tokens":0,"reasoning_tokens":0,"rejected_prediction_tokens":0},"prompt_tokens":784,"prompt_tokens_details":{"audio_tokens":0,"cached_tokens":0},"total_tokens":876}}</t>
  </si>
  <si>
    <t>Yeezy, Slides, kakobuy, kakebuy2026, kekobuysheet, kakobuysheet2026, 2026kakobuy, kakobuyspreadsheeet, kakobuylink, kakebuylist, Kakobuy MEGA Spreadsheet, kakobuysheetfind, kakobuysheetfind2026, 2026kakobuysheetfind, kakobuysheet2026</t>
  </si>
  <si>
    <t>YEEZY, Brown, Slides, Men's And Women's, Minimalist, Sleek</t>
  </si>
  <si>
    <t>recvh0B9A719qP</t>
  </si>
  <si>
    <t>yeezy-brown-eva-chunky-wave-sole-slides-recvh0b9a719qp</t>
  </si>
  <si>
    <t>{"choices":[{"finish_reason":"stop","index":0,"logprobs":null,"message":{"annotations":[],"content":"Yeezy：棕色厚底拖鞋，采用一体成型EVA材质，轻盈柔韧，流线极简设计突显潮流美学。波浪齿纹鞋底增强防滑与缓震性能，男女皆宜，展现现代休闲风格。","refusal":null,"role":"assistant"}}],"created":1776412556,"id":"chatcmpl-DVYLMIlUNUswkebiCrJgOWFAV18ye","model":"gpt-5-chat-latest","object":"chat.completion","service_tier":"default","system_fingerprint":"fp_ad66631dec","usage":{"completion_tokens":68,"completion_tokens_details":{"accepted_prediction_tokens":0,"audio_tokens":0,"reasoning_tokens":0,"rejected_prediction_tokens":0},"prompt_tokens":1302,"prompt_tokens_details":{"audio_tokens":0,"cached_tokens":0},"total_tokens":1370}}</t>
  </si>
  <si>
    <t>Yeezy：棕色厚底拖鞋，采用一体成型EVA材质，轻盈柔韧，流线极简设计突显潮流美学。波浪齿纹鞋底增强防滑与缓震性能，男女皆宜，展现现代休闲风格。</t>
  </si>
  <si>
    <t>{"choices":[{"finish_reason":"stop","index":0,"logprobs":null,"message":{"annotations":[],"content":"Adidas Retro White Pink Y2K Mesh Running Shoes","refusal":null,"role":"assistant"}}],"created":1776415818,"id":"chatcmpl-DVZByrrEr6zoostubcpk014KMDeOP","model":"gpt-5-chat-latest","object":"chat.completion","service_tier":"default","system_fingerprint":"fp_ad66631dec","usage":{"completion_tokens":12,"completion_tokens_details":{"accepted_prediction_tokens":0,"audio_tokens":0,"reasoning_tokens":0,"rejected_prediction_tokens":0},"prompt_tokens":596,"prompt_tokens_details":{"audio_tokens":0,"cached_tokens":0},"total_tokens":608}}</t>
  </si>
  <si>
    <t>Adidas Retro White Pink Y2K Mesh Running Shoes</t>
  </si>
  <si>
    <t>{"choices":[{"finish_reason":"stop","index":0,"logprobs":null,"message":{"annotations":[],"content":"Adidas Retro White Pink Running Shoes with breathable mesh and TPU support frame, cushioned midsole and futuristic Y2K design, unisex stylish sneakers for everyday wear and training.","refusal":null,"role":"assistant"}}],"created":1776414940,"id":"chatcmpl-DVYxoxfwyFPohMIfBqQ76kZDFWSCr","model":"gpt-5-chat-latest","object":"chat.completion","service_tier":"default","system_fingerprint":"fp_ad66631dec","usage":{"completion_tokens":37,"completion_tokens_details":{"accepted_prediction_tokens":0,"audio_tokens":0,"reasoning_tokens":0,"rejected_prediction_tokens":0},"prompt_tokens":625,"prompt_tokens_details":{"audio_tokens":0,"cached_tokens":0},"total_tokens":662}}</t>
  </si>
  <si>
    <t>Adidas Retro White Pink Running Shoes with breathable mesh and TPU support frame, cushioned midsole and futuristic Y2K design, unisex stylish sneakers for everyday wear and training.</t>
  </si>
  <si>
    <t>{"choices":[{"finish_reason":"stop","index":0,"logprobs":null,"message":{"annotations":[],"content":"Adidas, Shoes, kakobuy, kakebuy2026, kekobuysheet, kakobuysheet2026, 2026kakobuy, kakobuyspreadsheeet, kakobuylink, kakebuylist, Kakobuy MEGA Spreadsheet, kakobuysheetfind, kakobuysheetfind2026, 2026kakobuysheetfind, kakobuysheet2026","refusal":null,"role":"assistant"}}],"created":1776416753,"id":"chatcmpl-DVZR35xGseWVMx2IER7mK64AnXWbJ","model":"gpt-5-chat-latest","object":"chat.completion","service_tier":"default","system_fingerprint":"fp_ad66631dec","usage":{"completion_tokens":91,"completion_tokens_details":{"accepted_prediction_tokens":0,"audio_tokens":0,"reasoning_tokens":0,"rejected_prediction_tokens":0},"prompt_tokens":503,"prompt_tokens_details":{"audio_tokens":0,"cached_tokens":0},"total_tokens":594}}</t>
  </si>
  <si>
    <t>ADIDAS, Running Shoes, White, Pink, Unisex, Sneakers</t>
  </si>
  <si>
    <t>recvh0B9A7o6TJ</t>
  </si>
  <si>
    <t>adidas-retro-white-pink-y2k-mesh-recvh0b9a7o6tj</t>
  </si>
  <si>
    <t>{"id":"chatcmpl-DVYCkUXLs3MMloFg1jyFwedeuYZZO","object":"chat.completion","created":1776412022,"model":"gpt-5-chat-latest","choices":[{"index":0,"message":{"role":"assistant","content":"Adidas：复古白粉拼色稳定支撑跑鞋，采用透气网面结合TPU支架结构，缓震中底设计融合未来感线条，彰显Y2K运动街头风格，男女皆宜，兼具时尚与机能，适合日常及训练穿搭。","refusal":null,"annotations":[]},"logprobs":null,"finish_reason":"stop"}],"usage":{"prompt_tokens":1020,"completion_tokens":71,"total_tokens":1091,"prompt_tokens_details":{"cached_tokens":0,"audio_tokens":0},"completion_tokens_details":{"reasoning_tokens":0,"audio_tokens":0,"accepted_prediction_tokens":0,"rejected_prediction_tokens":0}},"service_tier":"default","system_fingerprint":"fp_ad66631dec"}</t>
  </si>
  <si>
    <t>Adidas：复古白粉拼色稳定支撑跑鞋，采用透气网面结合TPU支架结构，缓震中底设计融合未来感线条，彰显Y2K运动街头风格，男女皆宜，兼具时尚与机能，适合日常及训练穿搭。</t>
  </si>
  <si>
    <t>{"id":"chatcmpl-DVZJPepY1rVaUvgiAh5Ke5oSG38Zo","object":"chat.completion","created":1776416279,"model":"gpt-5-chat-latest","choices":[{"index":0,"message":{"role":"assistant","content":"Adidas White Retro Tech Chunky Mesh Sneakers","refusal":null,"annotations":[]},"logprobs":null,"finish_reason":"stop"}],"usage":{"prompt_tokens":604,"completion_tokens":10,"total_tokens":614,"prompt_tokens_details":{"cached_tokens":0,"audio_tokens":0},"completion_tokens_details":{"reasoning_tokens":0,"audio_tokens":0,"accepted_prediction_tokens":0,"rejected_prediction_tokens":0}},"service_tier":"default","system_fingerprint":"fp_ad66631dec"}</t>
  </si>
  <si>
    <t>Adidas White Retro Tech Chunky Mesh Sneakers</t>
  </si>
  <si>
    <t>{"choices":[{"finish_reason":"stop","index":0,"logprobs":null,"message":{"annotations":[],"content":"Adidas White Retro Tech Sneakers feature breathable mesh and synthetic leather, sculpted chunky sole for futuristic style, Y2K urban fashion vibe, cushioned comfort and support, perfect for men and women.","refusal":null,"role":"assistant"}}],"created":1776414981,"id":"chatcmpl-DVYyTS3cvo6N6lFpcBRWzM3WIPBSB","model":"gpt-5-chat-latest","object":"chat.completion","service_tier":"default","system_fingerprint":"fp_ad66631dec","usage":{"completion_tokens":41,"completion_tokens_details":{"accepted_prediction_tokens":0,"audio_tokens":0,"reasoning_tokens":0,"rejected_prediction_tokens":0},"prompt_tokens":633,"prompt_tokens_details":{"audio_tokens":0,"cached_tokens":0},"total_tokens":674}}</t>
  </si>
  <si>
    <t>Adidas White Retro Tech Sneakers feature breathable mesh and synthetic leather, sculpted chunky sole for futuristic style, Y2K urban fashion vibe, cushioned comfort and support, perfect for men and women.</t>
  </si>
  <si>
    <t>{"id":"chatcmpl-DVZUMamxPugastYfXfkUv0K8RUWTb","object":"chat.completion","created":1776416958,"model":"gpt-5-chat-latest","choices":[{"index":0,"message":{"role":"assistant","content":"Adidas, Shoes, kakobuy, kakebuy2026, kekobuysheet, kakobuysheet2026, 2026kakobuy, kakobuyspreadsheeet, kakobuylink, kakebuylist, Kakobuy MEGA Spreadsheet, kakobuysheetfind, kakobuysheetfind2026, 2026kakobuysheetfind, kakobuysheet2026","refusal":null,"annotations":[]},"logprobs":null,"finish_reason":"stop"}],"usage":{"prompt_tokens":503,"completion_tokens":91,"total_tokens":594,"prompt_tokens_details":{"cached_tokens":0,"audio_tokens":0},"completion_tokens_details":{"reasoning_tokens":0,"audio_tokens":0,"accepted_prediction_tokens":0,"rejected_prediction_tokens":0}},"service_tier":"default","system_fingerprint":"fp_ad66631dec"}</t>
  </si>
  <si>
    <t>ADIDAS, Retro, White, Mesh, Synthetic Leather, Unisex</t>
  </si>
  <si>
    <t>recvh0B9A7tvji</t>
  </si>
  <si>
    <t>adidas-white-retro-tech-chunky-mesh-recvh0b9a7tvji</t>
  </si>
  <si>
    <t>{"choices":[{"finish_reason":"stop","index":0,"logprobs":null,"message":{"annotations":[],"content":"Adidas：白色复古机能运动鞋，采用透气网布与合成皮革拼接，搭配立体雕刻中底设计，展现未来感造型。厚底结构增强缓震与支撑性，男女皆宜，融合Y2K潮流与都市机能风格，兼具舒适与时尚。","refusal":null,"role":"assistant"}}],"created":1776412046,"id":"chatcmpl-DVYD8MERsAjrZPE3JWE1ofYjbTKyA","model":"gpt-5-chat-latest","object":"chat.completion","service_tier":"default","system_fingerprint":"fp_ad66631dec","usage":{"completion_tokens":79,"completion_tokens_details":{"accepted_prediction_tokens":0,"audio_tokens":0,"reasoning_tokens":0,"rejected_prediction_tokens":0},"prompt_tokens":1020,"prompt_tokens_details":{"audio_tokens":0,"cached_tokens":0},"total_tokens":1099}}</t>
  </si>
  <si>
    <t>Adidas：白色复古机能运动鞋，采用透气网布与合成皮革拼接，搭配立体雕刻中底设计，展现未来感造型。厚底结构增强缓震与支撑性，男女皆宜，融合Y2K潮流与都市机能风格，兼具舒适与时尚。</t>
  </si>
  <si>
    <t>{"id":"chatcmpl-DVZDsdpeWqC5eVO7aaGYkNknD9Qzm","object":"chat.completion","created":1776415936,"model":"gpt-5-chat-latest","choices":[{"index":0,"message":{"role":"assistant","content":"Adidas Yeezy Grey Adiprene Mesh Suede Running Shoes","refusal":null,"annotations":[]},"logprobs":null,"finish_reason":"stop"}],"usage":{"prompt_tokens":600,"completion_tokens":14,"total_tokens":614,"prompt_tokens_details":{"cached_tokens":0,"audio_tokens":0},"completion_tokens_details":{"reasoning_tokens":0,"audio_tokens":0,"accepted_prediction_tokens":0,"rejected_prediction_tokens":0}},"service_tier":"default","system_fingerprint":"fp_ad66631dec"}</t>
  </si>
  <si>
    <t>Adidas Yeezy Grey Adiprene Mesh Suede Running Shoes</t>
  </si>
  <si>
    <t>{"choices":[{"finish_reason":"stop","index":0,"logprobs":null,"message":{"annotations":[],"content":"Adidas Yeezy Grey Sneakers with mesh and suede design, lightweight and breathable, Adiprene midsole for superior cushioning, sleek futuristic style for men and women, perfect urban casual wear.","refusal":null,"role":"assistant"}}],"created":1776414772,"id":"chatcmpl-DVYv6uzLgbmEjmE4mvU6oCzbdKZRP","model":"gpt-5-chat-latest","object":"chat.completion","service_tier":"default","system_fingerprint":"fp_ad66631dec","usage":{"completion_tokens":39,"completion_tokens_details":{"accepted_prediction_tokens":0,"audio_tokens":0,"reasoning_tokens":0,"rejected_prediction_tokens":0},"prompt_tokens":643,"prompt_tokens_details":{"audio_tokens":0,"cached_tokens":0},"total_tokens":682}}</t>
  </si>
  <si>
    <t>Adidas Yeezy Grey Sneakers with mesh and suede design, lightweight and breathable, Adiprene midsole for superior cushioning, sleek futuristic style for men and women, perfect urban casual wear.</t>
  </si>
  <si>
    <t>{"choices":[{"finish_reason":"stop","index":0,"logprobs":null,"message":{"annotations":[],"content":"Adidas,Shoes,kakobuy,kakebuy2026,kekobuysheet,kakobuysheet2026,2026kakobuy,kakobuyspreadsheeet,kakobuylink,kakebuylist,Kakobuy MEGA Spreadsheet,kakobuysheetfind,kakobuysheetfind2026,2026kakobuysheetfind,kakobuysheet2026","refusal":null,"role":"assistant"}}],"created":1776417157,"id":"chatcmpl-DVZXZLYW1uiAjo3rXqA2VHHQ265TO","model":"gpt-5-chat-latest","object":"chat.completion","service_tier":"default","system_fingerprint":"fp_ad66631dec","usage":{"completion_tokens":87,"completion_tokens_details":{"accepted_prediction_tokens":0,"audio_tokens":0,"reasoning_tokens":0,"rejected_prediction_tokens":0},"prompt_tokens":503,"prompt_tokens_details":{"audio_tokens":0,"cached_tokens":0},"total_tokens":590}}</t>
  </si>
  <si>
    <t>YEEZY, Mesh, Suede, Lightweight, Breathable, Unisex</t>
  </si>
  <si>
    <t>recvh0B9A7XxIm</t>
  </si>
  <si>
    <t>adidas-yeezy-grey-adiprene-mesh-suede-recvh0b9a7xxim</t>
  </si>
  <si>
    <t>{"choices":[{"finish_reason":"stop","index":0,"logprobs":null,"message":{"annotations":[],"content":"Adidas：灰色Yeezy系列运动鞋，采用优质网布与麂皮拼接设计，轻盈透气兼具支撑性，Adiprene缓震中底提供卓越回弹体验，流线型鞋身展现未来科技感，男女皆宜，都市潮流休闲风格，打造舒适与时尚并存的全天候穿搭之选。","refusal":null,"role":"assistant"}}],"created":1776412503,"id":"chatcmpl-DVYKVEV89SMoaDuRJZWvNRY2mGpjj","model":"gpt-5-chat-latest","object":"chat.completion","service_tier":"default","system_fingerprint":"fp_ad66631dec","usage":{"completion_tokens":89,"completion_tokens_details":{"accepted_prediction_tokens":0,"audio_tokens":0,"reasoning_tokens":0,"rejected_prediction_tokens":0},"prompt_tokens":1020,"prompt_tokens_details":{"audio_tokens":0,"cached_tokens":0},"total_tokens":1109}}</t>
  </si>
  <si>
    <t>Adidas：灰色Yeezy系列运动鞋，采用优质网布与麂皮拼接设计，轻盈透气兼具支撑性，Adiprene缓震中底提供卓越回弹体验，流线型鞋身展现未来科技感，男女皆宜，都市潮流休闲风格，打造舒适与时尚并存的全天候穿搭之选。</t>
  </si>
  <si>
    <t>{"choices":[{"finish_reason":"stop","index":0,"logprobs":null,"message":{"annotations":[],"content":"Yeezy Red EVA Foam Slides Lightweight Non Slip Sandals","refusal":null,"role":"assistant"}}],"created":1776416022,"id":"chatcmpl-DVZFG2nH3rh05V8AXXiaCMCIqvuRX","model":"gpt-5-chat-latest","object":"chat.completion","service_tier":"default","system_fingerprint":"fp_ad66631dec","usage":{"completion_tokens":13,"completion_tokens_details":{"accepted_prediction_tokens":0,"audio_tokens":0,"reasoning_tokens":0,"rejected_prediction_tokens":0},"prompt_tokens":891,"prompt_tokens_details":{"audio_tokens":0,"cached_tokens":0},"total_tokens":904}}</t>
  </si>
  <si>
    <t>Yeezy Red EVA Foam Slides Lightweight Non Slip Sandals</t>
  </si>
  <si>
    <t>{"id":"chatcmpl-DVZ24ZI9W5HQ2WkTZABkdeI6mtpix","object":"chat.completion","created":1776415204,"model":"gpt-5-chat-latest","choices":[{"index":0,"message":{"role":"assistant","content":"ShoesYeezyYeezy Red EVA Foam Slides, ultra-light and soft with serrated sole for anti-slip grip and support, minimalist futuristic design for men and women, perfect for casual wear and travel.","refusal":null,"annotations":[]},"logprobs":null,"finish_reason":"stop"}],"usage":{"prompt_tokens":890,"completion_tokens":44,"total_tokens":934,"prompt_tokens_details":{"cached_tokens":0,"audio_tokens":0},"completion_tokens_details":{"reasoning_tokens":0,"audio_tokens":0,"accepted_prediction_tokens":0,"rejected_prediction_tokens":0}},"service_tier":"default","system_fingerprint":"fp_ad66631dec"}</t>
  </si>
  <si>
    <t>ShoesYeezyYeezy Red EVA Foam Slides, ultra-light and soft with serrated sole for anti-slip grip and support, minimalist futuristic design for men and women, perfect for casual wear and travel.</t>
  </si>
  <si>
    <t>{"id":"chatcmpl-DVZZ9jMnHw9gjG7tInChGpTabpWbb","object":"chat.completion","created":1776417255,"model":"gpt-5-chat-latest","choices":[{"index":0,"message":{"role":"assistant","content":"Yeezy, Shoes, kakobuy, kakebuy2026, kekobuysheet, kakobuysheet2026, 2026kakobuy, kakobuyspreadsheeet, kakobuylink, kakebuylist, Kakobuy MEGA Spreadsheet, kakobuysheetfind, kakobuysheetfind2026, 2026kakobuysheetfind, kakobuysheet2026","refusal":null,"annotations":[]},"logprobs":null,"finish_reason":"stop"}],"usage":{"prompt_tokens":784,"completion_tokens":92,"total_tokens":876,"prompt_tokens_details":{"cached_tokens":0,"audio_tokens":0},"completion_tokens_details":{"reasoning_tokens":0,"audio_tokens":0,"accepted_prediction_tokens":0,"rejected_prediction_tokens":0}},"service_tier":"default","system_fingerprint":"fp_ad66631dec"}</t>
  </si>
  <si>
    <t>YEEZY, YEEZY Slide, Red, Minimalist, Unisex, Casual Footwear</t>
  </si>
  <si>
    <t>recvh0B9A7vQzk</t>
  </si>
  <si>
    <t>yeezy-red-eva-foam-slides-recvh0b9a7vqzk</t>
  </si>
  <si>
    <t>{"id":"chatcmpl-DVYHlVq6Pec4tdulQbW8qIzMs8CGt","object":"chat.completion","created":1776412333,"model":"gpt-5-chat-latest","choices":[{"index":0,"message":{"role":"assistant","content":"Yeezy：红色EVA泡棉拖鞋，轻盈柔软，齿状鞋底设计提升防滑与支撑力，极简未来风格，男女皆宜，休闲出行必备单品。","refusal":null,"annotations":[]},"logprobs":null,"finish_reason":"stop"}],"usage":{"prompt_tokens":1306,"completion_tokens":53,"total_tokens":1359,"prompt_tokens_details":{"cached_tokens":0,"audio_tokens":0},"completion_tokens_details":{"reasoning_tokens":0,"audio_tokens":0,"accepted_prediction_tokens":0,"rejected_prediction_tokens":0}},"service_tier":"default","system_fingerprint":"fp_ad66631dec"}</t>
  </si>
  <si>
    <t>Yeezy：红色EVA泡棉拖鞋，轻盈柔软，齿状鞋底设计提升防滑与支撑力，极简未来风格，男女皆宜，休闲出行必备单品。</t>
  </si>
  <si>
    <t>{"choices":[{"finish_reason":"stop","index":0,"logprobs":null,"message":{"annotations":[],"content":"Adidas Yeezy Style Off White Gray Running Shoes","refusal":null,"role":"assistant"}}],"created":1776416017,"id":"chatcmpl-DVZFBG0tHxMBZ3VmDO6sPf546TB8q","model":"gpt-5-chat-latest","object":"chat.completion","service_tier":"default","system_fingerprint":"fp_ad66631dec","usage":{"completion_tokens":11,"completion_tokens_details":{"accepted_prediction_tokens":0,"audio_tokens":0,"reasoning_tokens":0,"rejected_prediction_tokens":0},"prompt_tokens":606,"prompt_tokens_details":{"audio_tokens":0,"cached_tokens":0},"total_tokens":617}}</t>
  </si>
  <si>
    <t>Adidas Yeezy Style Off White Gray Running Shoes</t>
  </si>
  <si>
    <t>{"choices":[{"finish_reason":"stop","index":0,"logprobs":null,"message":{"annotations":[],"content":"Adidas Yeezy-style off-white and light gray running shoes with breathable mesh, premium synthetic leather, thick cushioned sole, retro-futuristic design, stylish unisex sneaker for sport and casual wear.","refusal":null,"role":"assistant"}}],"created":1776415136,"id":"chatcmpl-DVZ0yCruUmaFt9CvO0oepKY9TmIR5","model":"gpt-5-chat-latest","object":"chat.completion","service_tier":"default","system_fingerprint":"fp_ad66631dec","usage":{"completion_tokens":42,"completion_tokens_details":{"accepted_prediction_tokens":0,"audio_tokens":0,"reasoning_tokens":0,"rejected_prediction_tokens":0},"prompt_tokens":618,"prompt_tokens_details":{"audio_tokens":0,"cached_tokens":0},"total_tokens":660}}</t>
  </si>
  <si>
    <t>Adidas Yeezy-style off-white and light gray running shoes with breathable mesh, premium synthetic leather, thick cushioned sole, retro-futuristic design, stylish unisex sneaker for sport and casual wear.</t>
  </si>
  <si>
    <t>{"id":"chatcmpl-DVZS9sDJoC9imo1rcDnKgHq0RHYOB","object":"chat.completion","created":1776416821,"model":"gpt-5-chat-latest","choices":[{"index":0,"message":{"role":"assistant","content":"Adidas, Shoes, kakobuy, kakebuy2026, kekobuysheet, kakobuysheet2026, 2026kakobuy, kakobuyspreadsheeet, kakobuylink, kakebuylist, Kakobuy MEGA Spreadsheet, kakobuysheetfind, kakobuysheetfind2026, 2026kakobuysheetfind, kakobuysheet2026","refusal":null,"annotations":[]},"logprobs":null,"finish_reason":"stop"}],"usage":{"prompt_tokens":503,"completion_tokens":91,"total_tokens":594,"prompt_tokens_details":{"cached_tokens":0,"audio_tokens":0},"completion_tokens_details":{"reasoning_tokens":0,"audio_tokens":0,"accepted_prediction_tokens":0,"rejected_prediction_tokens":0}},"service_tier":"default","system_fingerprint":"fp_ad66631dec"}</t>
  </si>
  <si>
    <t>ADIDAS, Running Shoes, Mesh, Synthetic Leather, Retro Futuristic, Unisex</t>
  </si>
  <si>
    <t>recvh0B9A7aHOc</t>
  </si>
  <si>
    <t>adidas-yeezy-off-white-gray-recvh0b9a7ahoc</t>
  </si>
  <si>
    <t>{"choices":[{"finish_reason":"stop","index":0,"logprobs":null,"message":{"annotations":[],"content":"Adidas：Yeezy风格米白浅灰跑鞋，轻盈透气网面与优质合成皮革拼接，厚底缓震设计兼具时尚与舒适，复古未来感造型，男女皆宜运动休闲鞋款。","refusal":null,"role":"assistant"}}],"created":1776412070,"id":"chatcmpl-DVYDWNWgVVN2uasqWGJLJzoMIDqFT","model":"gpt-5-chat-latest","object":"chat.completion","service_tier":"default","system_fingerprint":"fp_ad66631dec","usage":{"completion_tokens":61,"completion_tokens_details":{"accepted_prediction_tokens":0,"audio_tokens":0,"reasoning_tokens":0,"rejected_prediction_tokens":0},"prompt_tokens":1026,"prompt_tokens_details":{"audio_tokens":0,"cached_tokens":0},"total_tokens":1087}}</t>
  </si>
  <si>
    <t>Adidas：Yeezy风格米白浅灰跑鞋，轻盈透气网面与优质合成皮革拼接，厚底缓震设计兼具时尚与舒适，复古未来感造型，男女皆宜运动休闲鞋款。</t>
  </si>
  <si>
    <t>540</t>
  </si>
  <si>
    <t>{"choices":[{"finish_reason":"stop","index":0,"logprobs":null,"message":{"annotations":[],"content":"Adidas Retro Off-White Mesh Running Shoes","refusal":null,"role":"assistant"}}],"created":1776416361,"id":"chatcmpl-DVZKjU2G35p4PM37Q04EaFJ3K3zbh","model":"gpt-5-chat-latest","object":"chat.completion","service_tier":"default","system_fingerprint":"fp_ad66631dec","usage":{"completion_tokens":10,"completion_tokens_details":{"accepted_prediction_tokens":0,"audio_tokens":0,"reasoning_tokens":0,"rejected_prediction_tokens":0},"prompt_tokens":604,"prompt_tokens_details":{"audio_tokens":0,"cached_tokens":0},"total_tokens":614}}</t>
  </si>
  <si>
    <t>Adidas Retro Off-White Mesh Running Shoes</t>
  </si>
  <si>
    <t>{"choices":[{"finish_reason":"stop","index":0,"logprobs":null,"message":{"annotations":[],"content":"Adidas Retro Off-White Running Shoes feature breathable mesh and synthetic leather, iconic 3-Stripes detail, thick cushioned sole for comfort and stability, unisex design for urban vintage street style.","refusal":null,"role":"assistant"}}],"created":1776414870,"id":"chatcmpl-DVYwgWoPJjM7eh2UNw00H8vxrihxs","model":"gpt-5-chat-latest","object":"chat.completion","service_tier":"default","system_fingerprint":"fp_ad66631dec","usage":{"completion_tokens":41,"completion_tokens_details":{"accepted_prediction_tokens":0,"audio_tokens":0,"reasoning_tokens":0,"rejected_prediction_tokens":0},"prompt_tokens":633,"prompt_tokens_details":{"audio_tokens":0,"cached_tokens":0},"total_tokens":674}}</t>
  </si>
  <si>
    <t>Adidas Retro Off-White Running Shoes feature breathable mesh and synthetic leather, iconic 3-Stripes detail, thick cushioned sole for comfort and stability, unisex design for urban vintage street style.</t>
  </si>
  <si>
    <t>{"id":"chatcmpl-DVZUzm8taSNKrfFeysIaXYutQyGKr","object":"chat.completion","created":1776416997,"model":"gpt-5-chat-latest","choices":[{"index":0,"message":{"role":"assistant","content":"Adidas, Shoes, kakobuy, kakebuy2026, kekobuysheet, kakobuysheet2026, 2026kakobuy, kakobuyspreadsheeet, kakobuylink, kakebuylist, Kakobuy MEGA Spreadsheet, kakobuysheetfind, kakobuysheetfind2026, 2026kakobuysheetfind, kakobuysheet2026","refusal":null,"annotations":[]},"logprobs":null,"finish_reason":"stop"}],"usage":{"prompt_tokens":503,"completion_tokens":91,"total_tokens":594,"prompt_tokens_details":{"cached_tokens":0,"audio_tokens":0},"completion_tokens_details":{"reasoning_tokens":0,"audio_tokens":0,"accepted_prediction_tokens":0,"rejected_prediction_tokens":0}},"service_tier":"default","system_fingerprint":"fp_ad66631dec"}</t>
  </si>
  <si>
    <t>ADIDAS, Running Shoes, Mesh, Synthetic Leather, Retro, Unisex</t>
  </si>
  <si>
    <t>recvh0B9A7skPs</t>
  </si>
  <si>
    <t>adidas-retro-off-white-mesh-recvh0b9a7skps</t>
  </si>
  <si>
    <t>{"id":"chatcmpl-DVYAf43q0EvspkjhvJdhjfnlbvUxZ","object":"chat.completion","created":1776411893,"model":"gpt-5-chat-latest","choices":[{"index":0,"message":{"role":"assistant","content":"Adidas：复古米白色运动跑鞋，采用透气拼接网面与合成皮革材质，侧面标志性三条纹彰显品牌经典，厚底缓震设计提升舒适度与稳定性，兼具时尚街头与功能实穿感，男女皆宜，打造都市复古潮流风格。","refusal":null,"annotations":[]},"logprobs":null,"finish_reason":"stop"}],"usage":{"prompt_tokens":1020,"completion_tokens":79,"total_tokens":1099,"prompt_tokens_details":{"cached_tokens":0,"audio_tokens":0},"completion_tokens_details":{"reasoning_tokens":0,"audio_tokens":0,"accepted_prediction_tokens":0,"rejected_prediction_tokens":0}},"service_tier":"default","system_fingerprint":"fp_ad66631dec"}</t>
  </si>
  <si>
    <t>Adidas：复古米白色运动跑鞋，采用透气拼接网面与合成皮革材质，侧面标志性三条纹彰显品牌经典，厚底缓震设计提升舒适度与稳定性，兼具时尚街头与功能实穿感，男女皆宜，打造都市复古潮流风格。</t>
  </si>
  <si>
    <t>{"id":"chatcmpl-DVZKjOBvkdpL3SmL8cLkc2SjRCg6P","object":"chat.completion","created":1776416361,"model":"gpt-5-chat-latest","choices":[{"index":0,"message":{"role":"assistant","content":"Yeezy Sand Yellow EVA Unisex Lightweight Slide Shoes","refusal":null,"annotations":[]},"logprobs":null,"finish_reason":"stop"}],"usage":{"prompt_tokens":885,"completion_tokens":12,"total_tokens":897,"prompt_tokens_details":{"cached_tokens":0,"audio_tokens":0},"completion_tokens_details":{"reasoning_tokens":0,"audio_tokens":0,"accepted_prediction_tokens":0,"rejected_prediction_tokens":0}},"service_tier":"default","system_fingerprint":"fp_ad66631dec"}</t>
  </si>
  <si>
    <t>Yeezy Sand Yellow EVA Unisex Lightweight Slide Shoes</t>
  </si>
  <si>
    <t>{"id":"chatcmpl-DVYvxFtfHRPmF9GewIhgXSNF6xWcd","object":"chat.completion","created":1776414825,"model":"gpt-5-chat-latest","choices":[{"index":0,"message":{"role":"assistant","content":"ShoesYeezyYeezy Sand Yellow EVA Lightweight Slides, sleek one-piece design, flexible anti-slip serrated sole, unisex minimalist futuristic style, perfect for streetwear or home comfort.","refusal":null,"annotations":[]},"logprobs":null,"finish_reason":"stop"}],"usage":{"prompt_tokens":897,"completion_tokens":41,"total_tokens":938,"prompt_tokens_details":{"cached_tokens":0,"audio_tokens":0},"completion_tokens_details":{"reasoning_tokens":0,"audio_tokens":0,"accepted_prediction_tokens":0,"rejected_prediction_tokens":0}},"service_tier":"default","system_fingerprint":"fp_ad66631dec"}</t>
  </si>
  <si>
    <t>ShoesYeezyYeezy Sand Yellow EVA Lightweight Slides, sleek one-piece design, flexible anti-slip serrated sole, unisex minimalist futuristic style, perfect for streetwear or home comfort.</t>
  </si>
  <si>
    <t>{"choices":[{"finish_reason":"stop","index":0,"logprobs":null,"message":{"annotations":[],"content":"Yeezy,Slides,kakobuy,kakebuy2026,kekobuysheet,kakobuysheet2026,2026kakobuy,kakobuyspreadsheeet,kakobuylink,kakebuylist,Kakobuy MEGA Spreadsheet,kakobuysheetfind,kakobuysheetfind2026,2026kakobuysheetfind,kakobuysheet2026","refusal":null,"role":"assistant"}}],"created":1776416691,"id":"chatcmpl-DVZQ3h6fcUkKTVrnaoamTgqiSq00h","model":"gpt-5-chat-latest","object":"chat.completion","service_tier":"default","system_fingerprint":"fp_ad66631dec","usage":{"completion_tokens":88,"completion_tokens_details":{"accepted_prediction_tokens":0,"audio_tokens":0,"reasoning_tokens":0,"rejected_prediction_tokens":0},"prompt_tokens":784,"prompt_tokens_details":{"audio_tokens":0,"cached_tokens":0},"total_tokens":872}}</t>
  </si>
  <si>
    <t>YEEZY, Slides, Yellow, Unisex, Streetwear, Lightweight</t>
  </si>
  <si>
    <t>recvh0B9A7fTPv</t>
  </si>
  <si>
    <t>yeezy-sand-yellow-eva-recvh0b9a7ftpv</t>
  </si>
  <si>
    <t>{"choices":[{"finish_reason":"stop","index":0,"logprobs":null,"message":{"annotations":[],"content":"Yeezy：沙黄色EVA轻质拖鞋，流线型一体成型设计，柔韧防滑锯齿鞋底，男女皆宜，极简未来感风格，休闲出街与居家皆舒适百搭。","refusal":null,"role":"assistant"}}],"created":1776412246,"id":"chatcmpl-DVYGMQ9QcMaZMvgua0F4AVbJDaLe4","model":"gpt-5-chat-latest","object":"chat.completion","service_tier":"default","system_fingerprint":"fp_ad66631dec","usage":{"completion_tokens":59,"completion_tokens_details":{"accepted_prediction_tokens":0,"audio_tokens":0,"reasoning_tokens":0,"rejected_prediction_tokens":0},"prompt_tokens":1308,"prompt_tokens_details":{"audio_tokens":0,"cached_tokens":0},"total_tokens":1367}}</t>
  </si>
  <si>
    <t>Yeezy：沙黄色EVA轻质拖鞋，流线型一体成型设计，柔韧防滑锯齿鞋底，男女皆宜，极简未来感风格，休闲出街与居家皆舒适百搭。</t>
  </si>
  <si>
    <t>{"choices":[{"finish_reason":"stop","index":0,"logprobs":null,"message":{"annotations":[],"content":"Adidas Yeezy 700 V3 Cream White Mesh Running Shoes","refusal":null,"role":"assistant"}}],"created":1776416365,"id":"chatcmpl-DVZKnPneRg9z4QUaDw7A9ipo20IgY","model":"gpt-5-chat-latest","object":"chat.completion","service_tier":"default","system_fingerprint":"fp_ad66631dec","usage":{"completion_tokens":14,"completion_tokens_details":{"accepted_prediction_tokens":0,"audio_tokens":0,"reasoning_tokens":0,"rejected_prediction_tokens":0},"prompt_tokens":596,"prompt_tokens_details":{"audio_tokens":0,"cached_tokens":0},"total_tokens":610}}</t>
  </si>
  <si>
    <t>Adidas Yeezy 700 V3 Cream White Mesh Running Shoes</t>
  </si>
  <si>
    <t>{"id":"chatcmpl-DVYyDL2j3tlNJS2TNUTjQBzzTDyTn","object":"chat.completion","created":1776414965,"model":"gpt-5-chat-latest","choices":[{"index":0,"message":{"role":"assistant","content":"Adidas Yeezy 700 V3 Cream White sneakers blend mesh and premium synthetic leather, offering lightweight breathability and strong support with cushioned chunky sole for urban style and comfort.","refusal":null,"annotations":[]},"logprobs":null,"finish_reason":"stop"}],"usage":{"prompt_tokens":648,"completion_tokens":37,"total_tokens":685,"prompt_tokens_details":{"cached_tokens":0,"audio_tokens":0},"completion_tokens_details":{"reasoning_tokens":0,"audio_tokens":0,"accepted_prediction_tokens":0,"rejected_prediction_tokens":0}},"service_tier":"default","system_fingerprint":"fp_ad66631dec"}</t>
  </si>
  <si>
    <t>Adidas Yeezy 700 V3 Cream White sneakers blend mesh and premium synthetic leather, offering lightweight breathability and strong support with cushioned chunky sole for urban style and comfort.</t>
  </si>
  <si>
    <t>{"id":"chatcmpl-DVZTt7fTJxK8pCc45uuR8i3ajDqX3","object":"chat.completion","created":1776416929,"model":"gpt-5-chat-latest","choices":[{"index":0,"message":{"role":"assistant","content":"Adidas, Shoes, kakobuy, kakebuy2026, kekobuysheet, kakobuysheet2026, 2026kakobuy, kakobuyspreadsheeet, kakobuylink, kakebuylist, Kakobuy MEGA Spreadsheet, kakobuysheetfind, kakobuysheetfind2026, 2026kakobuysheetfind, kakobuysheet2026","refusal":null,"annotations":[]},"logprobs":null,"finish_reason":"stop"}],"usage":{"prompt_tokens":503,"completion_tokens":91,"total_tokens":594,"prompt_tokens_details":{"cached_tokens":0,"audio_tokens":0},"completion_tokens_details":{"reasoning_tokens":0,"audio_tokens":0,"accepted_prediction_tokens":0,"rejected_prediction_tokens":0}},"service_tier":"default","system_fingerprint":"fp_ad66631dec"}</t>
  </si>
  <si>
    <t>ADIDAS, YEEZY, YEEZY700, Mesh, Synthetic Leather, White</t>
  </si>
  <si>
    <t>recvh0B9A7c3Lx</t>
  </si>
  <si>
    <t>adidas-yeezy-700-v3-cream-white-recvh0b9a7c3lx</t>
  </si>
  <si>
    <t>{"choices":[{"finish_reason":"stop","index":0,"logprobs":null,"message":{"annotations":[],"content":"Adidas：Yeezy 700 V3 奶油白复古跑鞋，采用网面与优质合成皮革拼接材质，轻盈透气且支撑性出色。流线型设计结合厚底缓震科技，展现未来感造型与舒适脚感。中性款式，融合街头潮流与运动性能，适合日常穿搭与城市出行。","refusal":null,"role":"assistant"}}],"created":1776412243,"id":"chatcmpl-DVYGJt6VXwfoznAZDhaMQvWeu2CuD","model":"gpt-5-chat-latest","object":"chat.completion","service_tier":"default","system_fingerprint":"fp_ad66631dec","usage":{"completion_tokens":94,"completion_tokens_details":{"accepted_prediction_tokens":0,"audio_tokens":0,"reasoning_tokens":0,"rejected_prediction_tokens":0},"prompt_tokens":1020,"prompt_tokens_details":{"audio_tokens":0,"cached_tokens":0},"total_tokens":1114}}</t>
  </si>
  <si>
    <t>Adidas：Yeezy 700 V3 奶油白复古跑鞋，采用网面与优质合成皮革拼接材质，轻盈透气且支撑性出色。流线型设计结合厚底缓震科技，展现未来感造型与舒适脚感。中性款式，融合街头潮流与运动性能，适合日常穿搭与城市出行。</t>
  </si>
  <si>
    <t>{"choices":[{"finish_reason":"stop","index":0,"logprobs":null,"message":{"annotations":[],"content":"Yeezy Sand EVA Slides Unisex Lightweight Casual Slippers","refusal":null,"role":"assistant"}}],"created":1776416417,"id":"chatcmpl-DVZLdVaIjCLkkTnOlckx6RDwVFSSG","model":"gpt-5-chat-latest","object":"chat.completion","service_tier":"default","system_fingerprint":"fp_ad66631dec","usage":{"completion_tokens":13,"completion_tokens_details":{"accepted_prediction_tokens":0,"audio_tokens":0,"reasoning_tokens":0,"rejected_prediction_tokens":0},"prompt_tokens":875,"prompt_tokens_details":{"audio_tokens":0,"cached_tokens":0},"total_tokens":888}}</t>
  </si>
  <si>
    <t>Yeezy Sand EVA Slides Unisex Lightweight Casual Slippers</t>
  </si>
  <si>
    <t>{"choices":[{"finish_reason":"stop","index":0,"logprobs":null,"message":{"annotations":[],"content":"ShoesYeezyYeezy Sand EVA Slides feature a minimalist design with thick wavy soles, lightweight comfort, and unisex style for a modern casual fashion look.","refusal":null,"role":"assistant"}}],"created":1776415270,"id":"chatcmpl-DVZ38WZgdOzfsPzpS1dYo52x2uM00","model":"gpt-5-chat-latest","object":"chat.completion","service_tier":"default","system_fingerprint":"fp_ad66631dec","usage":{"completion_tokens":36,"completion_tokens_details":{"accepted_prediction_tokens":0,"audio_tokens":0,"reasoning_tokens":0,"rejected_prediction_tokens":0},"prompt_tokens":885,"prompt_tokens_details":{"audio_tokens":0,"cached_tokens":0},"total_tokens":921}}</t>
  </si>
  <si>
    <t>ShoesYeezyYeezy Sand EVA Slides feature a minimalist design with thick wavy soles, lightweight comfort, and unisex style for a modern casual fashion look.</t>
  </si>
  <si>
    <t>{"choices":[{"finish_reason":"stop","index":0,"logprobs":null,"message":{"annotations":[],"content":"Yeezy, shoes, kakobuy, kakebuy2026, kekobuysheet, kakobuysheet2026, 2026kakobuy, kakobuyspreadsheeet, kakobuylink, kakebuylist, Kakobuy MEGA Spreadsheet, kakobuysheetfind, kakobuysheetfind2026, 2026kakobuysheetfind, kakobuysheet2026","refusal":null,"role":"assistant"}}],"created":1776417289,"id":"chatcmpl-DVZZh8d2aXdlQim5Qe8YMOyRhaOUB","model":"gpt-5-chat-latest","object":"chat.completion","service_tier":"default","system_fingerprint":"fp_ad66631dec","usage":{"completion_tokens":92,"completion_tokens_details":{"accepted_prediction_tokens":0,"audio_tokens":0,"reasoning_tokens":0,"rejected_prediction_tokens":0},"prompt_tokens":784,"prompt_tokens_details":{"audio_tokens":0,"cached_tokens":0},"total_tokens":876}}</t>
  </si>
  <si>
    <t>Yeezy, shoes, kakobuy, kakebuy2026, kekobuysheet, kakobuysheet2026, 2026kakobuy, kakobuyspreadsheeet, kakobuylink, kakebuylist, Kakobuy MEGA Spreadsheet, kakobuysheetfind, kakobuysheetfind2026, 2026kakobuysheetfind, kakobuysheet2026</t>
  </si>
  <si>
    <t>YEEZY, Slides, Unisex, Minimalist, Lightweight</t>
  </si>
  <si>
    <t>recvh0B9A79dvL</t>
  </si>
  <si>
    <t>yeezy-sand-eva-slides-recvh0b9a79dvl</t>
  </si>
  <si>
    <t>{"choices":[{"finish_reason":"stop","index":0,"logprobs":null,"message":{"annotations":[],"content":"Yeezy：沙色EVA材质拖鞋，极简流线设计，厚底波浪齿型大底，轻盈舒适，男女皆宜，彰显现代休闲潮流风格。","refusal":null,"role":"assistant"}}],"created":1776412033,"id":"chatcmpl-DVYCv3ZDCDSiMtSKhKRgjSHo5nASK","model":"gpt-5-chat-latest","object":"chat.completion","service_tier":"default","system_fingerprint":"fp_ad66631dec","usage":{"completion_tokens":49,"completion_tokens_details":{"accepted_prediction_tokens":0,"audio_tokens":0,"reasoning_tokens":0,"rejected_prediction_tokens":0},"prompt_tokens":1304,"prompt_tokens_details":{"audio_tokens":0,"cached_tokens":0},"total_tokens":1353}}</t>
  </si>
  <si>
    <t>Yeezy：沙色EVA材质拖鞋，极简流线设计，厚底波浪齿型大底，轻盈舒适，男女皆宜，彰显现代休闲潮流风格。</t>
  </si>
  <si>
    <t>New Balance</t>
  </si>
  <si>
    <t>243</t>
  </si>
  <si>
    <t>{"id":"chatcmpl-DVZFhP0Q1QYsf7GYpBD7IMCDNXvzq","object":"chat.completion","created":1776416049,"model":"gpt-5-chat-latest","choices":[{"index":0,"message":{"role":"assistant","content":"New Balance 990 Military Green Retro Running Sneakers","refusal":null,"annotations":[]},"logprobs":null,"finish_reason":"stop"}],"usage":{"prompt_tokens":608,"completion_tokens":10,"total_tokens":618,"prompt_tokens_details":{"cached_tokens":0,"audio_tokens":0},"completion_tokens_details":{"reasoning_tokens":0,"audio_tokens":0,"accepted_prediction_tokens":0,"rejected_prediction_tokens":0}},"service_tier":"default","system_fingerprint":"fp_ad66631dec"}</t>
  </si>
  <si>
    <t>New Balance 990 Military Green Retro Running Sneakers</t>
  </si>
  <si>
    <t>{"choices":[{"finish_reason":"stop","index":0,"logprobs":null,"message":{"annotations":[],"content":"New Balance 990 Series Military Green Retro Running Shoes, featuring premium suede and mesh, cushioned thick sole for comfort, metal “N” logo, vintage 90s style for men and women everyday wear.","refusal":null,"role":"assistant"}}],"created":1776415356,"id":"chatcmpl-DVZ4WWmHWIVZgqz6YPGjcjpKODZZQ","model":"gpt-5-chat-latest","object":"chat.completion","service_tier":"default","system_fingerprint":"fp_ad66631dec","usage":{"completion_tokens":43,"completion_tokens_details":{"accepted_prediction_tokens":0,"audio_tokens":0,"reasoning_tokens":0,"rejected_prediction_tokens":0},"prompt_tokens":655,"prompt_tokens_details":{"audio_tokens":0,"cached_tokens":0},"total_tokens":698}}</t>
  </si>
  <si>
    <t>New Balance 990 Series Military Green Retro Running Shoes, featuring premium suede and mesh, cushioned thick sole for comfort, metal “N” logo, vintage 90s style for men and women everyday wear.</t>
  </si>
  <si>
    <t>{"id":"chatcmpl-DVZZ1Z8lG3hQOP6x8BDKFuOPhDDlM","object":"chat.completion","created":1776417247,"model":"gpt-5-chat-latest","choices":[{"index":0,"message":{"role":"assistant","content":"New Balance, shoes, kakobuy, kakebuy2026, kekobuysheet, kakobuysheet2026, 2026kakobuy, kakobuyspreadsheeet, kakobuylink, kakebuylist, Kakobuy MEGA Spreadsheet, kakobuysheetfind, kakobuysheetfind2026, 2026kakobuysheetfind, kakobuysheet2026","refusal":null,"annotations":[]},"logprobs":null,"finish_reason":"stop"}],"usage":{"prompt_tokens":503,"completion_tokens":91,"total_tokens":594,"prompt_tokens_details":{"cached_tokens":0,"audio_tokens":0},"completion_tokens_details":{"reasoning_tokens":0,"audio_tokens":0,"accepted_prediction_tokens":0,"rejected_prediction_tokens":0}},"service_tier":"default","system_fingerprint":"fp_ad66631dec"}</t>
  </si>
  <si>
    <t>New Balance, shoes, kakobuy, kakebuy2026, kekobuysheet, kakobuysheet2026, 2026kakobuy, kakobuyspreadsheeet, kakobuylink, kakebuylist, Kakobuy MEGA Spreadsheet, kakobuysheetfind, kakobuysheetfind2026, 2026kakobuysheetfind, kakobuysheet2026</t>
  </si>
  <si>
    <t>NB990, Suede, Mesh, Retro Running, Men's And Women's, Green</t>
  </si>
  <si>
    <t>recvh0B9A7SuOg</t>
  </si>
  <si>
    <t>new-balance-990-military-green-recvh0b9a7suog</t>
  </si>
  <si>
    <t>{"choices":[{"finish_reason":"stop","index":0,"logprobs":null,"message":{"annotations":[],"content":"New Balance：990系列军绿色复古慢跑鞋，采用优质麂皮与透气网面拼接设计，舒适支撑兼具时尚质感。厚底缓震中底提升行走稳定性，侧身金属质感“N”标彰显品牌识别度。复古休闲风格，男女皆宜，适合日常穿搭与运动出行，经典设计致敬90年代跑鞋美学。","refusal":null,"role":"assistant"}}],"created":1776412435,"id":"chatcmpl-DVYJPE8kvzASOpY5sa7TYZ2affwNA","model":"gpt-5-chat-latest","object":"chat.completion","service_tier":"default","system_fingerprint":"fp_ad66631dec","usage":{"completion_tokens":101,"completion_tokens_details":{"accepted_prediction_tokens":0,"audio_tokens":0,"reasoning_tokens":0,"rejected_prediction_tokens":0},"prompt_tokens":1020,"prompt_tokens_details":{"audio_tokens":0,"cached_tokens":0},"total_tokens":1121}}</t>
  </si>
  <si>
    <t>New Balance：990系列军绿色复古慢跑鞋，采用优质麂皮与透气网面拼接设计，舒适支撑兼具时尚质感。厚底缓震中底提升行走稳定性，侧身金属质感“N”标彰显品牌识别度。复古休闲风格，男女皆宜，适合日常穿搭与运动出行，经典设计致敬90年代跑鞋美学。</t>
  </si>
  <si>
    <t>MCM</t>
  </si>
  <si>
    <t>{"choices":[{"finish_reason":"stop","index":0,"logprobs":null,"message":{"annotations":[],"content":"MCM Bright Yellow Unisex Rubber Logo Slide Sandals","refusal":null,"role":"assistant"}}],"created":1776416106,"id":"chatcmpl-DVZGcLOjO5dKxTdJdkURavJNyadw3","model":"gpt-5-chat-latest","object":"chat.completion","service_tier":"default","system_fingerprint":"fp_ad66631dec","usage":{"completion_tokens":12,"completion_tokens_details":{"accepted_prediction_tokens":0,"audio_tokens":0,"reasoning_tokens":0,"rejected_prediction_tokens":0},"prompt_tokens":871,"prompt_tokens_details":{"audio_tokens":0,"cached_tokens":0},"total_tokens":883}}</t>
  </si>
  <si>
    <t>MCM Bright Yellow Unisex Rubber Logo Slide Sandals</t>
  </si>
  <si>
    <t>{"choices":[{"finish_reason":"stop","index":0,"logprobs":null,"message":{"annotations":[],"content":"MCM Shoes: Bright yellow unisex slide sandals made of flexible rubber, featuring iconic MCM logo print and one-piece design for summer street style and everyday casual comfort.","refusal":null,"role":"assistant"}}],"created":1776415074,"id":"chatcmpl-DVYzyAxLPWmYIbfRlbJXFMh2lgSK1","model":"gpt-5-chat-latest","object":"chat.completion","service_tier":"default","system_fingerprint":"fp_ad66631dec","usage":{"completion_tokens":35,"completion_tokens_details":{"accepted_prediction_tokens":0,"audio_tokens":0,"reasoning_tokens":0,"rejected_prediction_tokens":0},"prompt_tokens":899,"prompt_tokens_details":{"audio_tokens":0,"cached_tokens":0},"total_tokens":934}}</t>
  </si>
  <si>
    <t>MCM Shoes: Bright yellow unisex slide sandals made of flexible rubber, featuring iconic MCM logo print and one-piece design for summer street style and everyday casual comfort.</t>
  </si>
  <si>
    <t>{"choices":[{"finish_reason":"stop","index":0,"logprobs":null,"message":{"annotations":[],"content":"MCM, shoes, kakobuy, kakebuy2026, kekobuysheet, kakobuysheet2026, 2026kakobuy, kakobuyspreadsheeet, kakobuylink, kakebuylist, Kakobuy MEGA Spreadsheet, kakobuysheetfind, kakobuysheetfind2026, 2026kakobuysheetfind, kakobuysheet2026","refusal":null,"role":"assistant"}}],"created":1776416721,"id":"chatcmpl-DVZQXZYBDLBLZcErXlHVTffKsWtRp","model":"gpt-5-chat-latest","object":"chat.completion","service_tier":"default","system_fingerprint":"fp_ad66631dec","usage":{"completion_tokens":91,"completion_tokens_details":{"accepted_prediction_tokens":0,"audio_tokens":0,"reasoning_tokens":0,"rejected_prediction_tokens":0},"prompt_tokens":783,"prompt_tokens_details":{"audio_tokens":0,"cached_tokens":0},"total_tokens":874}}</t>
  </si>
  <si>
    <t>MCM, shoes, kakobuy, kakebuy2026, kekobuysheet, kakobuysheet2026, 2026kakobuy, kakobuyspreadsheeet, kakobuylink, kakebuylist, Kakobuy MEGA Spreadsheet, kakobuysheetfind, kakobuysheetfind2026, 2026kakobuysheetfind, kakobuysheet2026</t>
  </si>
  <si>
    <t>MCM, Yellow, Slide Sandals, Unisex, Summer, Streetwear</t>
  </si>
  <si>
    <t>recvh0B9A7vSF6</t>
  </si>
  <si>
    <t>mcm-bright-yellow-unisex-rubber-logo-slide-recvh0b9a7vsf6</t>
  </si>
  <si>
    <t>{"choices":[{"finish_reason":"stop","index":0,"logprobs":null,"message":{"annotations":[],"content":"MCM：亮黄色休闲拖鞋，采用柔韧橡胶材质，饰以经典品牌印花图案，简约一片式设计，展现活力街头风格，男女皆宜，适合夏季出行与日常休闲穿搭。","refusal":null,"role":"assistant"}}],"created":1776412055,"id":"chatcmpl-DVYDH4B3tPsYyuMNYwsQVnXupRktd","model":"gpt-5-chat-latest","object":"chat.completion","service_tier":"default","system_fingerprint":"fp_ad66631dec","usage":{"completion_tokens":64,"completion_tokens_details":{"accepted_prediction_tokens":0,"audio_tokens":0,"reasoning_tokens":0,"rejected_prediction_tokens":0},"prompt_tokens":1304,"prompt_tokens_details":{"audio_tokens":0,"cached_tokens":1280},"total_tokens":1368}}</t>
  </si>
  <si>
    <t>MCM：亮黄色休闲拖鞋，采用柔韧橡胶材质，饰以经典品牌印花图案，简约一片式设计，展现活力街头风格，男女皆宜，适合夏季出行与日常休闲穿搭。</t>
  </si>
  <si>
    <t>{"choices":[{"finish_reason":"stop","index":0,"logprobs":null,"message":{"annotations":[],"content":"MCM Visetos White Slides Unisex Beach Sandals","refusal":null,"role":"assistant"}}],"created":1776415945,"id":"chatcmpl-DVZE1mwv2kHU0VPDXOi1ZOqTNgSpf","model":"gpt-5-chat-latest","object":"chat.completion","service_tier":"default","system_fingerprint":"fp_ad66631dec","usage":{"completion_tokens":12,"completion_tokens_details":{"accepted_prediction_tokens":0,"audio_tokens":0,"reasoning_tokens":0,"rejected_prediction_tokens":0},"prompt_tokens":881,"prompt_tokens_details":{"audio_tokens":0,"cached_tokens":0},"total_tokens":893}}</t>
  </si>
  <si>
    <t>MCM Visetos White Slides Unisex Beach Sandals</t>
  </si>
  <si>
    <t>{"choices":[{"finish_reason":"stop","index":0,"logprobs":null,"message":{"annotations":[],"content":"MCM Visetos white slides feature premium PVC upper, soft rubber sole, classic monogram print, minimalist street style design for men and women, perfect for daily wear, beach, or home.","refusal":null,"role":"assistant"}}],"created":1776415145,"id":"chatcmpl-DVZ17jNBUwlTVIAGH1mB8uIMHBiQA","model":"gpt-5-chat-latest","object":"chat.completion","service_tier":"default","system_fingerprint":"fp_ad66631dec","usage":{"completion_tokens":40,"completion_tokens_details":{"accepted_prediction_tokens":0,"audio_tokens":0,"reasoning_tokens":0,"rejected_prediction_tokens":0},"prompt_tokens":914,"prompt_tokens_details":{"audio_tokens":0,"cached_tokens":0},"total_tokens":954}}</t>
  </si>
  <si>
    <t>MCM Visetos white slides feature premium PVC upper, soft rubber sole, classic monogram print, minimalist street style design for men and women, perfect for daily wear, beach, or home.</t>
  </si>
  <si>
    <t>{"id":"chatcmpl-DVZYibncXwrpjjpVhjdxjIRXHARRV","object":"chat.completion","created":1776417228,"model":"gpt-5-chat-latest","choices":[{"index":0,"message":{"role":"assistant","content":"MCM,Slippers,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88,"total_tokens":871,"prompt_tokens_details":{"cached_tokens":0,"audio_tokens":0},"completion_tokens_details":{"reasoning_tokens":0,"audio_tokens":0,"accepted_prediction_tokens":0,"rejected_prediction_tokens":0}},"service_tier":"default","system_fingerprint":"fp_ad66631dec"}</t>
  </si>
  <si>
    <t>MCM,Slippers,kakobuy,kakebuy2026,kekobuysheet,kakobuysheet2026,2026kakobuy,kakobuyspreadsheeet,kakobuylink,kakebuylist,Kakobuy MEGA Spreadsheet,kakobuysheetfind,kakobuysheetfind2026,2026kakobuysheetfind,kakobuysheet2026</t>
  </si>
  <si>
    <t>MCM, MCM Stark Visetos, White, Slides, Unisex, Streetwear</t>
  </si>
  <si>
    <t>recvh0B9A719Qp</t>
  </si>
  <si>
    <t>mcm-visetos-white-slides-recvh0b9a719qp</t>
  </si>
  <si>
    <t>{"choices":[{"finish_reason":"stop","index":0,"logprobs":null,"message":{"annotations":[],"content":"MCM：Visetos系列白色休闲拖鞋，采用柔软橡胶鞋底与优质PVC鞋面，印有经典字母与老花图腾，极具品牌辨识度。极简设计融合现代街头风格，轻盈舒适，适合男女日常休闲、海边度假或居家穿搭。","refusal":null,"role":"assistant"}}],"created":1776412020,"id":"chatcmpl-DVYCi44XvNB0NgxZoH0BzORH8gSNR","model":"gpt-5-chat-latest","object":"chat.completion","service_tier":"default","system_fingerprint":"fp_ad66631dec","usage":{"completion_tokens":80,"completion_tokens_details":{"accepted_prediction_tokens":0,"audio_tokens":0,"reasoning_tokens":0,"rejected_prediction_tokens":0},"prompt_tokens":1302,"prompt_tokens_details":{"audio_tokens":0,"cached_tokens":1280},"total_tokens":1382}}</t>
  </si>
  <si>
    <t>MCM：Visetos系列白色休闲拖鞋，采用柔软橡胶鞋底与优质PVC鞋面，印有经典字母与老花图腾，极具品牌辨识度。极简设计融合现代街头风格，轻盈舒适，适合男女日常休闲、海边度假或居家穿搭。</t>
  </si>
  <si>
    <t>{"choices":[{"content_filter_result":{"error":{"code":"content_filter_error","message":"The contents are not filtered"}},"finish_reason":"stop","index":0,"logprobs":null,"message":{"annotations":[],"content":"MCM Retro Colorblock Suede Leather Unisex Sneakers Shoes","refusal":null,"role":"assistant"}}],"created":1776416052,"id":"chatcmpl-DVZFk62yvYr7pyQ6ZGrJrIFhgL1iy","model":"gpt-5-chat-latest","object":"chat.completion","service_tier":"default","system_fingerprint":"fp_ad66631dec","usage":{"completion_tokens":13,"completion_tokens_details":{"accepted_prediction_tokens":0,"audio_tokens":0,"reasoning_tokens":0,"rejected_prediction_tokens":0},"prompt_tokens":867,"prompt_tokens_details":{"audio_tokens":0,"cached_tokens":0},"total_tokens":880}}</t>
  </si>
  <si>
    <t>MCM Retro Colorblock Suede Leather Unisex Sneakers Shoes</t>
  </si>
  <si>
    <t>{"choices":[{"finish_reason":"stop","index":0,"logprobs":null,"message":{"annotations":[],"content":"ShoesMCMMCM Retro Colorblock Sneakers feature beige suede and multicolor leather, lightweight cushioned sole, unisex design blending street style and luxury comfort.","refusal":null,"role":"assistant"}}],"created":1776414780,"id":"chatcmpl-DVYvE9zHr1co0pr66GXG4N4Dh05E7","model":"gpt-5-chat-latest","object":"chat.completion","service_tier":"default","system_fingerprint":"fp_ad66631dec","usage":{"completion_tokens":33,"completion_tokens_details":{"accepted_prediction_tokens":0,"audio_tokens":0,"reasoning_tokens":0,"rejected_prediction_tokens":0},"prompt_tokens":892,"prompt_tokens_details":{"audio_tokens":0,"cached_tokens":0},"total_tokens":925}}</t>
  </si>
  <si>
    <t>ShoesMCMMCM Retro Colorblock Sneakers feature beige suede and multicolor leather, lightweight cushioned sole, unisex design blending street style and luxury comfort.</t>
  </si>
  <si>
    <t>{"choices":[{"finish_reason":"stop","index":0,"logprobs":null,"message":{"annotations":[],"content":"MCM, shoes, kakobuy, kakebuy2026, kekobuysheet, kakobuysheet2026, 2026kakobuy, kakobuyspreadsheeet, kakobuylink, kakebuylist, Kakobuy MEGA Spreadsheet, kakobuysheetfind, kakobuysheetfind2026, 2026kakobuysheetfind, kakobuysheet2026","refusal":null,"role":"assistant"}}],"created":1776417101,"id":"chatcmpl-DVZWf08BxfuwB2GcXaHyIAc597Fhr","model":"gpt-5-chat-latest","object":"chat.completion","service_tier":"default","system_fingerprint":"fp_ad66631dec","usage":{"completion_tokens":91,"completion_tokens_details":{"accepted_prediction_tokens":0,"audio_tokens":0,"reasoning_tokens":0,"rejected_prediction_tokens":0},"prompt_tokens":783,"prompt_tokens_details":{"audio_tokens":0,"cached_tokens":0},"total_tokens":874}}</t>
  </si>
  <si>
    <t>MCM, Suede, Leather, Lightweight, Cushioning, Unisex</t>
  </si>
  <si>
    <t>recvh0B9A78SUz</t>
  </si>
  <si>
    <t>mcm-retro-colorblock-suede-leather-unisex-recvh0b9a78suz</t>
  </si>
  <si>
    <t>{"choices":[{"finish_reason":"stop","index":0,"logprobs":null,"message":{"annotations":[],"content":"MCM：复古拼色休闲运动鞋，米色麂皮与撞色皮革拼接，轻盈缓震厚底设计，融合街头与奢华风格，男女通用款，彰显摩登时尚与舒适机能。","refusal":null,"role":"assistant"}}],"created":1776411957,"id":"chatcmpl-DVYBhOe0fkLte2fBpiZEYqSenmNAH","model":"gpt-5-chat-latest","object":"chat.completion","service_tier":"default","system_fingerprint":"fp_ad66631dec","usage":{"completion_tokens":61,"completion_tokens_details":{"accepted_prediction_tokens":0,"audio_tokens":0,"reasoning_tokens":0,"rejected_prediction_tokens":0},"prompt_tokens":1296,"prompt_tokens_details":{"audio_tokens":0,"cached_tokens":1280},"total_tokens":1357}}</t>
  </si>
  <si>
    <t>MCM：复古拼色休闲运动鞋，米色麂皮与撞色皮革拼接，轻盈缓震厚底设计，融合街头与奢华风格，男女通用款，彰显摩登时尚与舒适机能。</t>
  </si>
  <si>
    <t>Maison Mihara Yasuhiro</t>
  </si>
  <si>
    <t>660</t>
  </si>
  <si>
    <t>{"choices":[{"finish_reason":"stop","index":0,"logprobs":null,"message":{"annotations":[],"content":"Maison Mihara Yasuhiro Blakey Black Leather Sneakers","refusal":null,"role":"assistant"}}],"created":1776416197,"id":"chatcmpl-DVZI5oZwCuzMK3ToGGYcpf7INPOIF","model":"gpt-5-chat-latest","object":"chat.completion","service_tier":"default","system_fingerprint":"fp_ad66631dec","usage":{"completion_tokens":12,"completion_tokens_details":{"accepted_prediction_tokens":0,"audio_tokens":0,"reasoning_tokens":0,"rejected_prediction_tokens":0},"prompt_tokens":884,"prompt_tokens_details":{"audio_tokens":0,"cached_tokens":0},"total_tokens":896}}</t>
  </si>
  <si>
    <t>Maison Mihara Yasuhiro Blakey Black Leather Sneakers</t>
  </si>
  <si>
    <t>{"choices":[{"finish_reason":"stop","index":0,"logprobs":null,"message":{"annotations":[],"content":"Maison Mihara Yasuhiro Blakey black low-top sneakers feature premium leather, a hand-deconstructed chunky sole, and a bold streetwear aesthetic for unisex comfort and avant-garde style.","refusal":null,"role":"assistant"}}],"created":1776415368,"id":"chatcmpl-DVZ4ilrkWBj97hWj2J8CnKVHNZdf7","model":"gpt-5-chat-latest","object":"chat.completion","service_tier":"default","system_fingerprint":"fp_ad66631dec","usage":{"completion_tokens":39,"completion_tokens_details":{"accepted_prediction_tokens":0,"audio_tokens":0,"reasoning_tokens":0,"rejected_prediction_tokens":0},"prompt_tokens":917,"prompt_tokens_details":{"audio_tokens":0,"cached_tokens":0},"total_tokens":956}}</t>
  </si>
  <si>
    <t>Maison Mihara Yasuhiro Blakey black low-top sneakers feature premium leather, a hand-deconstructed chunky sole, and a bold streetwear aesthetic for unisex comfort and avant-garde style.</t>
  </si>
  <si>
    <t>{"choices":[{"finish_reason":"stop","index":0,"logprobs":null,"message":{"annotations":[],"content":"Maison Mihara Yasuhiro, Shoes, kakobuy, kakebuy2026, kekobuysheet, kakobuysheet2026, 2026kakobuy, kakobuyspreadsheeet, kakobuylink, kakebuylist, Kakobuy MEGA Spreadsheet, kakobuysheetfind, kakobuysheetfind2026, 2026kakobuysheetfind, kakobuysheet2026","refusal":null,"role":"assistant"}}],"created":1776416808,"id":"chatcmpl-DVZRwbfkUoy0gTam2JWTc0Dql5qaZ","model":"gpt-5-chat-latest","object":"chat.completion","service_tier":"default","system_fingerprint":"fp_ad66631dec","usage":{"completion_tokens":95,"completion_tokens_details":{"accepted_prediction_tokens":0,"audio_tokens":0,"reasoning_tokens":0,"rejected_prediction_tokens":0},"prompt_tokens":787,"prompt_tokens_details":{"audio_tokens":0,"cached_tokens":0},"total_tokens":882}}</t>
  </si>
  <si>
    <t>Maison Mihara Yasuhiro, Shoes, kakobuy, kakebuy2026, kekobuysheet, kakobuysheet2026, 2026kakobuy, kakobuyspreadsheeet, kakobuylink, kakebuylist, Kakobuy MEGA Spreadsheet, kakobuysheetfind, kakobuysheetfind2026, 2026kakobuysheetfind, kakobuysheet2026</t>
  </si>
  <si>
    <t>Leather Sneakers, Streetwear, Unisex, Black, Deconstructed, Sneakers</t>
  </si>
  <si>
    <t>recvh0B9A77dSo</t>
  </si>
  <si>
    <t>mihara-yasuhiro-blakey-black-leather-recvh0b9a77dso</t>
  </si>
  <si>
    <t>{"choices":[{"finish_reason":"stop","index":0,"logprobs":null,"message":{"annotations":[],"content":"Maison Mihara Yasuhiro：Blakey系列黑色低帮厚底休闲鞋，优质皮革鞋面搭配独特手工解构鞋底设计，呈现前卫街头美学风格，男女皆宜，兼具舒适与潮流质感，彰显设计师独创视觉语言。","refusal":null,"role":"assistant"}}],"created":1776412355,"id":"chatcmpl-DVYI7L6dnjQan5MucAbGUseqhV1Ox","model":"gpt-5-chat-latest","object":"chat.completion","service_tier":"default","system_fingerprint":"fp_ad66631dec","usage":{"completion_tokens":73,"completion_tokens_details":{"accepted_prediction_tokens":0,"audio_tokens":0,"reasoning_tokens":0,"rejected_prediction_tokens":0},"prompt_tokens":1320,"prompt_tokens_details":{"audio_tokens":0,"cached_tokens":0},"total_tokens":1393}}</t>
  </si>
  <si>
    <t>Maison Mihara Yasuhiro：Blakey系列黑色低帮厚底休闲鞋，优质皮革鞋面搭配独特手工解构鞋底设计，呈现前卫街头美学风格，男女皆宜，兼具舒适与潮流质感，彰显设计师独创视觉语言。</t>
  </si>
  <si>
    <t>380</t>
  </si>
  <si>
    <t>{"choices":[{"finish_reason":"stop","index":0,"logprobs":null,"message":{"annotations":[],"content":"Maison Mihara Yasuhiro White Canvas Sneakers","refusal":null,"role":"assistant"}}],"created":1776416260,"id":"chatcmpl-DVZJ6rZSl3XUXYtaOACmcKWOS3ilz","model":"gpt-5-chat-latest","object":"chat.completion","service_tier":"default","system_fingerprint":"fp_ad66631dec","usage":{"completion_tokens":10,"completion_tokens_details":{"accepted_prediction_tokens":0,"audio_tokens":0,"reasoning_tokens":0,"rejected_prediction_tokens":0},"prompt_tokens":604,"prompt_tokens_details":{"audio_tokens":0,"cached_tokens":0},"total_tokens":614}}</t>
  </si>
  <si>
    <t>Maison Mihara Yasuhiro White Canvas Sneakers</t>
  </si>
  <si>
    <t>{"choices":[{"finish_reason":"stop","index":0,"logprobs":null,"message":{"annotations":[],"content":"Maison Mihara Yasuhiro white deconstructed canvas sneakers with asymmetric hand-stitched design, flexible fabric, wavy rubber sole, unisex style, bold street aesthetic and designer individuality.","refusal":null,"role":"assistant"}}],"created":1776415377,"id":"chatcmpl-DVZ4rEBvaUtfx0p9f0EHfrXoSgE9k","model":"gpt-5-chat-latest","object":"chat.completion","service_tier":"default","system_fingerprint":"fp_ad66631dec","usage":{"completion_tokens":39,"completion_tokens_details":{"accepted_prediction_tokens":0,"audio_tokens":0,"reasoning_tokens":0,"rejected_prediction_tokens":0},"prompt_tokens":632,"prompt_tokens_details":{"audio_tokens":0,"cached_tokens":0},"total_tokens":671}}</t>
  </si>
  <si>
    <t>Maison Mihara Yasuhiro white deconstructed canvas sneakers with asymmetric hand-stitched design, flexible fabric, wavy rubber sole, unisex style, bold street aesthetic and designer individuality.</t>
  </si>
  <si>
    <t>{"id":"chatcmpl-DVZRBUpDntChceBuUK9cyYNENjdTK","object":"chat.completion","created":1776416761,"model":"gpt-5-chat-latest","choices":[{"index":0,"message":{"role":"assistant","content":"Maison Mihara Yasuhiro, shoes, kakobuy, kakebuy2026, kekobuysheet, kakobuysheet2026, 2026kakobuy, kakobuyspreadsheeet, kakobuylink, kakebuylist, Kakobuy MEGA Spreadsheet, kakobuysheetfind, kakobuysheetfind2026, 2026kakobuysheetfind, kakobuysheet2026","refusal":null,"annotations":[]},"logprobs":null,"finish_reason":"stop"}],"usage":{"prompt_tokens":507,"completion_tokens":95,"total_tokens":602,"prompt_tokens_details":{"cached_tokens":0,"audio_tokens":0},"completion_tokens_details":{"reasoning_tokens":0,"audio_tokens":0,"accepted_prediction_tokens":0,"rejected_prediction_tokens":0}},"service_tier":"default","system_fingerprint":"fp_ad66631dec"}</t>
  </si>
  <si>
    <t>Maison Mihara Yasuhiro, shoes, kakobuy, kakebuy2026, kekobuysheet, kakobuysheet2026, 2026kakobuy, kakobuyspreadsheeet, kakobuylink, kakebuylist, Kakobuy MEGA Spreadsheet, kakobuysheetfind, kakobuysheetfind2026, 2026kakobuysheetfind, kakobuysheet2026</t>
  </si>
  <si>
    <t>Canvas, Deconstructed, Streetwear, Unisex, Sneakers, White</t>
  </si>
  <si>
    <t>recvh0B9A7rmG0</t>
  </si>
  <si>
    <t>mihara-yasuhiro-white-canvas-recvh0b9a7rmg0</t>
  </si>
  <si>
    <t>{"choices":[{"finish_reason":"stop","index":0,"logprobs":null,"message":{"annotations":[],"content":"Maison Mihara Yasuhiro：白色解构厚底帆布鞋，运用不对称手工拼接设计，呈现前卫街头风格，柔韧帆布搭配橡胶波浪鞋底，男女皆宜，彰显设计师独特美学与个性态度。","refusal":null,"role":"assistant"}}],"created":1776412262,"id":"chatcmpl-DVYGcYruKK8I9cP8dHbNubXdO0aFj","model":"gpt-5-chat-latest","object":"chat.completion","service_tier":"default","system_fingerprint":"fp_ad66631dec","usage":{"completion_tokens":73,"completion_tokens_details":{"accepted_prediction_tokens":0,"audio_tokens":0,"reasoning_tokens":0,"rejected_prediction_tokens":0},"prompt_tokens":1030,"prompt_tokens_details":{"audio_tokens":0,"cached_tokens":0},"total_tokens":1103}}</t>
  </si>
  <si>
    <t>Maison Mihara Yasuhiro：白色解构厚底帆布鞋，运用不对称手工拼接设计，呈现前卫街头风格，柔韧帆布搭配橡胶波浪鞋底，男女皆宜，彰显设计师独特美学与个性态度。</t>
  </si>
  <si>
    <t>320</t>
  </si>
  <si>
    <t>{"id":"chatcmpl-DVZEzXIardrpqlFnJnPD1bmNEOcul","object":"chat.completion","created":1776416005,"model":"gpt-5-chat-latest","choices":[{"index":0,"message":{"role":"assistant","content":"Maison Mihara Yasuhiro Blakey Black White Platform Sneakers","refusal":null,"annotations":[]},"logprobs":null,"finish_reason":"stop"}],"usage":{"prompt_tokens":876,"completion_tokens":13,"total_tokens":889,"prompt_tokens_details":{"cached_tokens":0,"audio_tokens":0},"completion_tokens_details":{"reasoning_tokens":0,"audio_tokens":0,"accepted_prediction_tokens":0,"rejected_prediction_tokens":0}},"service_tier":"default","system_fingerprint":"fp_ad66631dec"}</t>
  </si>
  <si>
    <t>Maison Mihara Yasuhiro Blakey Black White Platform Sneakers</t>
  </si>
  <si>
    <t>{"id":"chatcmpl-DVYyaWlKQZNcAcfEvrwd4bNcTeEIZ","object":"chat.completion","created":1776414988,"model":"gpt-5-chat-latest","choices":[{"index":0,"message":{"role":"assistant","content":"Maison Mihara Yasuhiro Blakey black and white platform canvas sneakers with 3D rubber trim, deconstructed street style design, unisex casual comfort fashion shoes.","refusal":null,"annotations":[]},"logprobs":null,"finish_reason":"stop"}],"usage":{"prompt_tokens":898,"completion_tokens":35,"total_tokens":933,"prompt_tokens_details":{"cached_tokens":0,"audio_tokens":0},"completion_tokens_details":{"reasoning_tokens":0,"audio_tokens":0,"accepted_prediction_tokens":0,"rejected_prediction_tokens":0}},"service_tier":"default","system_fingerprint":"fp_ad66631dec"}</t>
  </si>
  <si>
    <t>Maison Mihara Yasuhiro Blakey black and white platform canvas sneakers with 3D rubber trim, deconstructed street style design, unisex casual comfort fashion shoes.</t>
  </si>
  <si>
    <t>{"choices":[{"finish_reason":"stop","index":0,"logprobs":null,"message":{"annotations":[],"content":"Maison Mihara Yasuhiro, Shoes, kakobuy, kakebuy2026, kekobuysheet, kakobuysheet2026, 2026kakobuy, kakobuyspreadsheeet, kakobuylink, kakebuylist, Kakobuy MEGA Spreadsheet, kakobuysheetfind, kakobuysheetfind2026, 2026kakobuysheetfind, kakobuysheet2026","refusal":null,"role":"assistant"}}],"created":1776417370,"id":"chatcmpl-DVZb0Mu5ZNLwJT515NNnlK1UUYczO","model":"gpt-5-chat-latest","object":"chat.completion","service_tier":"default","system_fingerprint":"fp_ad66631dec","usage":{"completion_tokens":95,"completion_tokens_details":{"accepted_prediction_tokens":0,"audio_tokens":0,"reasoning_tokens":0,"rejected_prediction_tokens":0},"prompt_tokens":787,"prompt_tokens_details":{"audio_tokens":0,"cached_tokens":0},"total_tokens":882}}</t>
  </si>
  <si>
    <t>Canvas Shoes, Platform Shoes, Streetwear, Unisex, Casual Sneakers, Deconstructed</t>
  </si>
  <si>
    <t>recvh0B9A73FHM</t>
  </si>
  <si>
    <t>mihara-yasuhiro-blakey-black-white-platform-recvh0b9a73fhm</t>
  </si>
  <si>
    <t>{"choices":[{"finish_reason":"stop","index":0,"logprobs":null,"message":{"annotations":[],"content":"Maison Mihara Yasuhiro：Blakey系列黑白撞色厚底帆布休闲鞋，采用立体橡胶包边设计，独特解构美学风格，男女通用款，兼具街头潮流与舒适穿搭体验。","refusal":null,"role":"assistant"}}],"created":1776412494,"id":"chatcmpl-DVYKMepDwEh2TOxgFXmYOVD9sxar2","model":"gpt-5-chat-latest","object":"chat.completion","service_tier":"default","system_fingerprint":"fp_ad66631dec","usage":{"completion_tokens":61,"completion_tokens_details":{"accepted_prediction_tokens":0,"audio_tokens":0,"reasoning_tokens":0,"rejected_prediction_tokens":0},"prompt_tokens":1306,"prompt_tokens_details":{"audio_tokens":0,"cached_tokens":0},"total_tokens":1367}}</t>
  </si>
  <si>
    <t>Maison Mihara Yasuhiro：Blakey系列黑白撞色厚底帆布休闲鞋，采用立体橡胶包边设计，独特解构美学风格，男女通用款，兼具街头潮流与舒适穿搭体验。</t>
  </si>
  <si>
    <t>{"choices":[{"finish_reason":"stop","index":0,"logprobs":null,"message":{"annotations":[],"content":"Maison Mihara Yasuhiro Blakey White Canvas Sneakers","refusal":null,"role":"assistant"}}],"created":1776416102,"id":"chatcmpl-DVZGY6f51vJbUzlYdr0yXNJblSjyz","model":"gpt-5-chat-latest","object":"chat.completion","service_tier":"default","system_fingerprint":"fp_ad66631dec","usage":{"completion_tokens":12,"completion_tokens_details":{"accepted_prediction_tokens":0,"audio_tokens":0,"reasoning_tokens":0,"rejected_prediction_tokens":0},"prompt_tokens":874,"prompt_tokens_details":{"audio_tokens":0,"cached_tokens":0},"total_tokens":886}}</t>
  </si>
  <si>
    <t>Maison Mihara Yasuhiro Blakey White Canvas Sneakers</t>
  </si>
  <si>
    <t>{"choices":[{"finish_reason":"stop","index":0,"logprobs":null,"message":{"annotations":[],"content":"Maison Mihara Yasuhiro Blakey White Deconstructed Low Canvas Sneakers, featuring original irregular sole design, vintage street style, unisex comfort with timeless fashion appeal.","refusal":null,"role":"assistant"}}],"created":1776414894,"id":"chatcmpl-DVYx4FZf1qozFFxt3LErPWoH5DvLI","model":"gpt-5-chat-latest","object":"chat.completion","service_tier":"default","system_fingerprint":"fp_ad66631dec","usage":{"completion_tokens":34,"completion_tokens_details":{"accepted_prediction_tokens":0,"audio_tokens":0,"reasoning_tokens":0,"rejected_prediction_tokens":0},"prompt_tokens":888,"prompt_tokens_details":{"audio_tokens":0,"cached_tokens":0},"total_tokens":922}}</t>
  </si>
  <si>
    <t>Maison Mihara Yasuhiro Blakey White Deconstructed Low Canvas Sneakers, featuring original irregular sole design, vintage street style, unisex comfort with timeless fashion appeal.</t>
  </si>
  <si>
    <t>{"id":"chatcmpl-DVZPbCCUyrVmaR0ZmuXwqV9zOx21Y","object":"chat.completion","created":1776416663,"model":"gpt-5-chat-latest","choices":[{"index":0,"message":{"role":"assistant","content":"Maison Mihara Yasuhiro,Shoes,kakobuy,kakebuy2026,kekobuysheet,kakobuysheet2026,2026kakobuy,kakobuyspreadsheeet,kakobuylink,kakebuylist,Kakobuy MEGA Spreadsheet,kakobuysheetfind,kakobuysheetfind2026,2026kakobuysheetfind,kakobuysheet2026","refusal":null,"annotations":[]},"logprobs":null,"finish_reason":"stop"}],"usage":{"prompt_tokens":787,"completion_tokens":91,"total_tokens":878,"prompt_tokens_details":{"cached_tokens":0,"audio_tokens":0},"completion_tokens_details":{"reasoning_tokens":0,"audio_tokens":0,"accepted_prediction_tokens":0,"rejected_prediction_tokens":0}},"service_tier":"default","system_fingerprint":"fp_ad66631dec"}</t>
  </si>
  <si>
    <t>Maison Mihara Yasuhiro,Shoes,kakobuy,kakebuy2026,kekobuysheet,kakobuysheet2026,2026kakobuy,kakobuyspreadsheeet,kakobuylink,kakebuylist,Kakobuy MEGA Spreadsheet,kakobuysheetfind,kakobuysheetfind2026,2026kakobuysheetfind,kakobuysheet2026</t>
  </si>
  <si>
    <t>Deconstructed, Vintage, Street, Unisex</t>
  </si>
  <si>
    <t>recvh0B9A7a52i</t>
  </si>
  <si>
    <t>mihara-yasuhiro-blakey-white-recvh0b9a7a52i</t>
  </si>
  <si>
    <t>{"choices":[{"finish_reason":"stop","index":0,"logprobs":null,"message":{"annotations":[],"content":"Maison Mihara Yasuhiro：Blakey白色解构低帮帆布鞋，原创不规则鞋底设计，复古街头风格，男女通用款，兼具舒适与时尚质感。","refusal":null,"role":"assistant"}}],"created":1776412119,"id":"chatcmpl-DVYEJqWRsl0uTz9WHXAKkOjCgWwp3","model":"gpt-5-chat-latest","object":"chat.completion","service_tier":"default","system_fingerprint":"fp_ad66631dec","usage":{"completion_tokens":50,"completion_tokens_details":{"accepted_prediction_tokens":0,"audio_tokens":0,"reasoning_tokens":0,"rejected_prediction_tokens":0},"prompt_tokens":1308,"prompt_tokens_details":{"audio_tokens":0,"cached_tokens":1280},"total_tokens":1358}}</t>
  </si>
  <si>
    <t>Maison Mihara Yasuhiro：Blakey白色解构低帮帆布鞋，原创不规则鞋底设计，复古街头风格，男女通用款，兼具舒适与时尚质感。</t>
  </si>
  <si>
    <t>{"id":"chatcmpl-DVZGwHTEkh5cURf2Yt8nrXdrw1IBe","object":"chat.completion","created":1776416126,"model":"gpt-5-chat-latest","choices":[{"index":0,"message":{"role":"assistant","content":"Maison Mihara Yasuhiro White Platform Canvas Shoes","refusal":null,"annotations":[]},"logprobs":null,"finish_reason":"stop"}],"usage":{"prompt_tokens":596,"completion_tokens":11,"total_tokens":607,"prompt_tokens_details":{"cached_tokens":0,"audio_tokens":0},"completion_tokens_details":{"reasoning_tokens":0,"audio_tokens":0,"accepted_prediction_tokens":0,"rejected_prediction_tokens":0}},"service_tier":"default","system_fingerprint":"fp_ad66631dec"}</t>
  </si>
  <si>
    <t>Maison Mihara Yasuhiro White Platform Canvas Shoes</t>
  </si>
  <si>
    <t>{"id":"chatcmpl-DVZ59xrQLvtT1ANqmV64kaCw3puQR","object":"chat.completion","created":1776415395,"model":"gpt-5-chat-latest","choices":[{"index":0,"message":{"role":"assistant","content":"Maison Mihara Yasuhiro white deconstructed platform canvas sneakers feature premium cotton, black rubber sole, unisex design, bold contrast style blending vintage and modern street fashion.","refusal":null,"annotations":[]},"logprobs":null,"finish_reason":"stop"}],"usage":{"prompt_tokens":627,"completion_tokens":35,"total_tokens":662,"prompt_tokens_details":{"cached_tokens":0,"audio_tokens":0},"completion_tokens_details":{"reasoning_tokens":0,"audio_tokens":0,"accepted_prediction_tokens":0,"rejected_prediction_tokens":0}},"service_tier":"default","system_fingerprint":"fp_ad66631dec"}</t>
  </si>
  <si>
    <t>Maison Mihara Yasuhiro white deconstructed platform canvas sneakers feature premium cotton, black rubber sole, unisex design, bold contrast style blending vintage and modern street fashion.</t>
  </si>
  <si>
    <t>{"id":"chatcmpl-DVZUkDGMmLbX7FyV3oGxQMWpdXnyi","object":"chat.completion","created":1776416982,"model":"gpt-5-chat-latest","choices":[{"index":0,"message":{"role":"assistant","content":"Maison Mihara Yasuhiro, Shoes, kakobuy, kakebuy2026, kekobuysheet, kakobuysheet2026, 2026kakobuy, kakobuyspreadsheeet, kakobuylink, kakebuylist, Kakobuy MEGA Spreadsheet, kakobuysheetfind, kakobuysheetfind2026, 2026kakobuysheetfind, kakobuysheet2026","refusal":null,"annotations":[]},"logprobs":null,"finish_reason":"stop"}],"usage":{"prompt_tokens":507,"completion_tokens":95,"total_tokens":602,"prompt_tokens_details":{"cached_tokens":0,"audio_tokens":0},"completion_tokens_details":{"reasoning_tokens":0,"audio_tokens":0,"accepted_prediction_tokens":0,"rejected_prediction_tokens":0}},"service_tier":"default","system_fingerprint":"fp_ad66631dec"}</t>
  </si>
  <si>
    <t>Canvas, Deconstructed, Platform Shoes, White, Unisex, Streetwear</t>
  </si>
  <si>
    <t>recvh0B9A7r1LQ</t>
  </si>
  <si>
    <t>mihara-yasuhiro-white-platform-canvas-recvh0b9a7r1lq</t>
  </si>
  <si>
    <t>{"id":"chatcmpl-DVYBq2dYuG0jwC47qJNO7VUWKFKG3","object":"chat.completion","created":1776411966,"model":"gpt-5-chat-latest","choices":[{"index":0,"message":{"role":"assistant","content":"Maison Mihara Yasuhiro：白色解构厚底帆布鞋，采用优质棉质面料与橡胶鞋底，黑白撞色设计展现前卫街头风格，男女通用款，融合复古与现代美学，彰显设计师独特艺术感。","refusal":null,"annotations":[]},"logprobs":null,"finish_reason":"stop"}],"usage":{"prompt_tokens":1026,"completion_tokens":70,"total_tokens":1096,"prompt_tokens_details":{"cached_tokens":0,"audio_tokens":0},"completion_tokens_details":{"reasoning_tokens":0,"audio_tokens":0,"accepted_prediction_tokens":0,"rejected_prediction_tokens":0}},"service_tier":"default","system_fingerprint":"fp_ad66631dec"}</t>
  </si>
  <si>
    <t>Maison Mihara Yasuhiro：白色解构厚底帆布鞋，采用优质棉质面料与橡胶鞋底，黑白撞色设计展现前卫街头风格，男女通用款，融合复古与现代美学，彰显设计师独特艺术感。</t>
  </si>
  <si>
    <t>{"choices":[{"finish_reason":"stop","index":0,"logprobs":null,"message":{"annotations":[],"content":"Maison Mihara Yasuhiro Black Deconstructed Canvas Sneakers","refusal":null,"role":"assistant"}}],"created":1776416069,"id":"chatcmpl-DVZG1bCba4tHvS5buPHtTuU6hZdjJ","model":"gpt-5-chat-latest","object":"chat.completion","service_tier":"default","system_fingerprint":"fp_ad66631dec","usage":{"completion_tokens":12,"completion_tokens_details":{"accepted_prediction_tokens":0,"audio_tokens":0,"reasoning_tokens":0,"rejected_prediction_tokens":0},"prompt_tokens":596,"prompt_tokens_details":{"audio_tokens":0,"cached_tokens":0},"total_tokens":608}}</t>
  </si>
  <si>
    <t>Maison Mihara Yasuhiro Black Deconstructed Canvas Sneakers</t>
  </si>
  <si>
    <t>{"id":"chatcmpl-DVZ0MpwKNVBVNfgRftdeqLiGuJKBa","object":"chat.completion","created":1776415098,"model":"gpt-5-chat-latest","choices":[{"index":0,"message":{"role":"assistant","content":"Maison Mihara Yasuhiro black deconstructed canvas sneakers with signature melting thick sole, premium cotton for comfort and durability, unisex design blending retro and futuristic street style.","refusal":null,"annotations":[]},"logprobs":null,"finish_reason":"stop"}],"usage":{"prompt_tokens":632,"completion_tokens":35,"total_tokens":667,"prompt_tokens_details":{"cached_tokens":0,"audio_tokens":0},"completion_tokens_details":{"reasoning_tokens":0,"audio_tokens":0,"accepted_prediction_tokens":0,"rejected_prediction_tokens":0}},"service_tier":"default","system_fingerprint":"fp_ad66631dec"}</t>
  </si>
  <si>
    <t>Maison Mihara Yasuhiro black deconstructed canvas sneakers with signature melting thick sole, premium cotton for comfort and durability, unisex design blending retro and futuristic street style.</t>
  </si>
  <si>
    <t>{"choices":[{"finish_reason":"stop","index":0,"logprobs":null,"message":{"annotations":[],"content":"Maison Mihara Yasuhiro, Shoes, kakobuy, kakebuy2026, kekobuysheet, kakobuysheet2026, 2026kakobuy, kakobuyspreadsheeet, kakobuylink, kakebuylist, Kakobuy MEGA Spreadsheet, kakobuysheetfind, kakobuysheetfind2026, 2026kakobuysheetfind, kakobuysheet2026","refusal":null,"role":"assistant"}}],"created":1776416658,"id":"chatcmpl-DVZPW9OUgPUg7IERxawYQnoZrhyuc","model":"gpt-5-chat-latest","object":"chat.completion","service_tier":"default","system_fingerprint":"fp_ad66631dec","usage":{"completion_tokens":95,"completion_tokens_details":{"accepted_prediction_tokens":0,"audio_tokens":0,"reasoning_tokens":0,"rejected_prediction_tokens":0},"prompt_tokens":507,"prompt_tokens_details":{"audio_tokens":0,"cached_tokens":0},"total_tokens":602}}</t>
  </si>
  <si>
    <t>Canvas Shoes, Deconstructed, Retro, Streetwear, Unisex, Black</t>
  </si>
  <si>
    <t>recvh0B9A7x6zT</t>
  </si>
  <si>
    <t>mihara-yasuhiro-black-deconstructed-canvas-recvh0b9a7x6zt</t>
  </si>
  <si>
    <t>{"choices":[{"finish_reason":"stop","index":0,"logprobs":null,"message":{"annotations":[],"content":"Maison Mihara Yasuhiro 黑色解构厚底帆布鞋，以独特融化感鞋底设计呈现先锋街头美学，优质棉帆布材质兼顾舒适与耐磨，男女皆宜，复古与未来感并存，彰显设计师标志性解构艺术风格。","refusal":null,"role":"assistant"}}],"created":1776411986,"id":"chatcmpl-DVYCAnUldQxu5vcS2Xt1KStv7Ia2v","model":"gpt-5-chat-latest","object":"chat.completion","service_tier":"default","system_fingerprint":"fp_ad66631dec","usage":{"completion_tokens":76,"completion_tokens_details":{"accepted_prediction_tokens":0,"audio_tokens":0,"reasoning_tokens":0,"rejected_prediction_tokens":0},"prompt_tokens":1024,"prompt_tokens_details":{"audio_tokens":0,"cached_tokens":0},"total_tokens":1100}}</t>
  </si>
  <si>
    <t>Maison Mihara Yasuhiro 黑色解构厚底帆布鞋，以独特融化感鞋底设计呈现先锋街头美学，优质棉帆布材质兼顾舒适与耐磨，男女皆宜，复古与未来感并存，彰显设计师标志性解构艺术风格。</t>
  </si>
  <si>
    <t>{"id":"chatcmpl-DVZIkKNJP5CEw38x2F3UbUTNCoBc4","object":"chat.completion","created":1776416238,"model":"gpt-5-chat-latest","choices":[{"index":0,"message":{"role":"assistant","content":"Maison Mihara Yasuhiro Black Canvas Chunky Sneakers","refusal":null,"annotations":[]},"logprobs":null,"finish_reason":"stop"}],"usage":{"prompt_tokens":874,"completion_tokens":12,"total_tokens":886,"prompt_tokens_details":{"cached_tokens":0,"audio_tokens":0},"completion_tokens_details":{"reasoning_tokens":0,"audio_tokens":0,"accepted_prediction_tokens":0,"rejected_prediction_tokens":0}},"service_tier":"default","system_fingerprint":"fp_ad66631dec"}</t>
  </si>
  <si>
    <t>Maison Mihara Yasuhiro Black Canvas Chunky Sneakers</t>
  </si>
  <si>
    <t>{"choices":[{"finish_reason":"stop","index":0,"logprobs":null,"message":{"annotations":[],"content":"Maison Mihara Yasuhiro black vintage deconstructed canvas sneakers with thick sculpted rubber sole and irregular toe design, unisex streetwear style showing unique artistic aesthetics.","refusal":null,"role":"assistant"}}],"created":1776415130,"id":"chatcmpl-DVZ0sVAuCOTkwDrJhUrt1wfXQnD45","model":"gpt-5-chat-latest","object":"chat.completion","service_tier":"default","system_fingerprint":"fp_ad66631dec","usage":{"completion_tokens":34,"completion_tokens_details":{"accepted_prediction_tokens":0,"audio_tokens":0,"reasoning_tokens":0,"rejected_prediction_tokens":0},"prompt_tokens":896,"prompt_tokens_details":{"audio_tokens":0,"cached_tokens":0},"total_tokens":930}}</t>
  </si>
  <si>
    <t>Maison Mihara Yasuhiro black vintage deconstructed canvas sneakers with thick sculpted rubber sole and irregular toe design, unisex streetwear style showing unique artistic aesthetics.</t>
  </si>
  <si>
    <t>{"id":"chatcmpl-DVZTh39GW38NAERhrWpydX6dMbqX3","object":"chat.completion","created":1776416917,"model":"gpt-5-chat-latest","choices":[{"index":0,"message":{"role":"assistant","content":"Maison Mihara Yasuhiro, Shoes, kakobuy, kakebuy2026, kekobuysheet, kakobuysheet2026, 2026kakobuy, kakobuyspreadsheeet, kakobuylink, kakebuylist, Kakobuy MEGA Spreadsheet, kakobuysheetfind, kakobuysheetfind2026, 2026kakobuysheetfind, kakobuysheet2026","refusal":null,"annotations":[]},"logprobs":null,"finish_reason":"stop"}],"usage":{"prompt_tokens":787,"completion_tokens":95,"total_tokens":882,"prompt_tokens_details":{"cached_tokens":0,"audio_tokens":0},"completion_tokens_details":{"reasoning_tokens":0,"audio_tokens":0,"accepted_prediction_tokens":0,"rejected_prediction_tokens":0}},"service_tier":"default","system_fingerprint":"fp_ad66631dec"}</t>
  </si>
  <si>
    <t>Canvas, Rubber Sole, Deconstructed, Streetwear, Unisex, Vintage</t>
  </si>
  <si>
    <t>recvh0B9A7galG</t>
  </si>
  <si>
    <t>mihara-yasuhiro-black-canvas-chunky-recvh0b9a7galg</t>
  </si>
  <si>
    <t>{"choices":[{"finish_reason":"stop","index":0,"logprobs":null,"message":{"annotations":[],"content":"Maison Mihara Yasuhiro黑色复古解构帆布鞋，厚底橡胶造型鞋底搭配不规则鞋头设计，男女通用街头潮流款，彰显设计师独特美学与艺术感。","refusal":null,"role":"assistant"}}],"created":1776412154,"id":"chatcmpl-DVYEs2Nm1r4hHRDb3cqFXsUCSjJkO","model":"gpt-5-chat-latest","object":"chat.completion","service_tier":"default","system_fingerprint":"fp_ad66631dec","usage":{"completion_tokens":56,"completion_tokens_details":{"accepted_prediction_tokens":0,"audio_tokens":0,"reasoning_tokens":0,"rejected_prediction_tokens":0},"prompt_tokens":1312,"prompt_tokens_details":{"audio_tokens":0,"cached_tokens":1280},"total_tokens":1368}}</t>
  </si>
  <si>
    <t>Maison Mihara Yasuhiro黑色复古解构帆布鞋，厚底橡胶造型鞋底搭配不规则鞋头设计，男女通用街头潮流款，彰显设计师独特美学与艺术感。</t>
  </si>
  <si>
    <t>{"choices":[{"finish_reason":"stop","index":0,"logprobs":null,"message":{"annotations":[],"content":"MCM White Logo Print Unisex Leather Slides Sandals","refusal":null,"role":"assistant"}}],"created":1776415954,"id":"chatcmpl-DVZEAyiWEsoy0LcQw9HuAkcacBzW5","model":"gpt-5-chat-latest","object":"chat.completion","service_tier":"default","system_fingerprint":"fp_ad66631dec","usage":{"completion_tokens":12,"completion_tokens_details":{"accepted_prediction_tokens":0,"audio_tokens":0,"reasoning_tokens":0,"rejected_prediction_tokens":0},"prompt_tokens":875,"prompt_tokens_details":{"audio_tokens":0,"cached_tokens":0},"total_tokens":887}}</t>
  </si>
  <si>
    <t>MCM White Logo Print Unisex Leather Slides Sandals</t>
  </si>
  <si>
    <t>{"choices":[{"finish_reason":"stop","index":0,"logprobs":null,"message":{"annotations":[],"content":"MCM White Logo Print Slides feature lightweight anti-slip rubber soles, soft leather straps, and classic wing motif design for unisex luxury comfort, ideal for daily wear and vacation style.","refusal":null,"role":"assistant"}}],"created":1776415020,"id":"chatcmpl-DVYz6vfz5x6GYgNKSjfIXIPTmW7R7","model":"gpt-5-chat-latest","object":"chat.completion","service_tier":"default","system_fingerprint":"fp_ad66631dec","usage":{"completion_tokens":37,"completion_tokens_details":{"accepted_prediction_tokens":0,"audio_tokens":0,"reasoning_tokens":0,"rejected_prediction_tokens":0},"prompt_tokens":906,"prompt_tokens_details":{"audio_tokens":0,"cached_tokens":0},"total_tokens":943}}</t>
  </si>
  <si>
    <t>MCM White Logo Print Slides feature lightweight anti-slip rubber soles, soft leather straps, and classic wing motif design for unisex luxury comfort, ideal for daily wear and vacation style.</t>
  </si>
  <si>
    <t>{"choices":[{"finish_reason":"stop","index":0,"logprobs":null,"message":{"annotations":[],"content":"MCM, slippers, kakobuy, kakebuy2026, kekobuysheet, kakobuysheet2026, 2026kakobuy, kakobuyspreadsheeet, kakobuylink, kakebuylist, Kakobuy MEGA Spreadsheet, kakobuysheetfind, kakobuysheetfind2026, 2026kakobuysheetfind, kakobuysheet2026","refusal":null,"role":"assistant"}}],"created":1776417351,"id":"chatcmpl-DVZahELhzLIXoh2jbAPCyqoSWrvEU","model":"gpt-5-chat-latest","object":"chat.completion","service_tier":"default","system_fingerprint":"fp_ad66631dec","usage":{"completion_tokens":91,"completion_tokens_details":{"accepted_prediction_tokens":0,"audio_tokens":0,"reasoning_tokens":0,"rejected_prediction_tokens":0},"prompt_tokens":783,"prompt_tokens_details":{"audio_tokens":0,"cached_tokens":0},"total_tokens":874}}</t>
  </si>
  <si>
    <t>MCM, slippers, kakobuy, kakebuy2026, kekobuysheet, kakobuysheet2026, 2026kakobuy, kakobuyspreadsheeet, kakobuylink, kakebuylist, Kakobuy MEGA Spreadsheet, kakobuysheetfind, kakobuysheetfind2026, 2026kakobuysheetfind, kakobuysheet2026</t>
  </si>
  <si>
    <t>MCM, Slides, White, Unisex, Rubber, Anti-Slip</t>
  </si>
  <si>
    <t>recvh0B9A7SPmG</t>
  </si>
  <si>
    <t>mcm-white-logo-print-leather-slides-recvh0b9a7spmg</t>
  </si>
  <si>
    <t>{"choices":[{"finish_reason":"stop","index":0,"logprobs":null,"message":{"annotations":[],"content":"MCM：白色Logo印花休闲拖鞋，采用轻盈防滑橡胶鞋底与柔软皮质鞋带，搭配经典飞翼图腾设计，极简时尚风格，男女皆宜，彰显奢华休闲格调，适合日常穿搭与度假出行。","refusal":null,"role":"assistant"}}],"created":1776412089,"id":"chatcmpl-DVYDprRv5F9OO1HVtgwLxMZHgYO1b","model":"gpt-5-chat-latest","object":"chat.completion","service_tier":"default","system_fingerprint":"fp_ad66631dec","usage":{"completion_tokens":74,"completion_tokens_details":{"accepted_prediction_tokens":0,"audio_tokens":0,"reasoning_tokens":0,"rejected_prediction_tokens":0},"prompt_tokens":1298,"prompt_tokens_details":{"audio_tokens":0,"cached_tokens":0},"total_tokens":1372}}</t>
  </si>
  <si>
    <t>MCM：白色Logo印花休闲拖鞋，采用轻盈防滑橡胶鞋底与柔软皮质鞋带，搭配经典飞翼图腾设计，极简时尚风格，男女皆宜，彰显奢华休闲格调，适合日常穿搭与度假出行。</t>
  </si>
  <si>
    <t>{"choices":[{"finish_reason":"stop","index":0,"logprobs":null,"message":{"annotations":[],"content":"MCM Lago Fluorescent Green Visetos Rubber Slide Sandals","refusal":null,"role":"assistant"}}],"created":1776415919,"id":"chatcmpl-DVZDboOzcotsAvUzz7QzpZ2qn37cB","model":"gpt-5-chat-latest","object":"chat.completion","service_tier":"default","system_fingerprint":"fp_ad66631dec","usage":{"completion_tokens":14,"completion_tokens_details":{"accepted_prediction_tokens":0,"audio_tokens":0,"reasoning_tokens":0,"rejected_prediction_tokens":0},"prompt_tokens":873,"prompt_tokens_details":{"audio_tokens":0,"cached_tokens":0},"total_tokens":887}}</t>
  </si>
  <si>
    <t>MCM Lago Fluorescent Green Visetos Rubber Slide Sandals</t>
  </si>
  <si>
    <t>{"choices":[{"finish_reason":"stop","index":0,"logprobs":null,"message":{"annotations":[],"content":"MCM Lago Fluorescent Green Slides feature flexible rubber with iconic Visetos print, sleek one-piece design, lightweight non-slip sole for stylish comfort in city or resort wear.","refusal":null,"role":"assistant"}}],"created":1776414924,"id":"chatcmpl-DVYxYmhjmDr02r8FDGBMwgdtLIpmB","model":"gpt-5-chat-latest","object":"chat.completion","service_tier":"default","system_fingerprint":"fp_ad66631dec","usage":{"completion_tokens":36,"completion_tokens_details":{"accepted_prediction_tokens":0,"audio_tokens":0,"reasoning_tokens":0,"rejected_prediction_tokens":0},"prompt_tokens":910,"prompt_tokens_details":{"audio_tokens":0,"cached_tokens":0},"total_tokens":946}}</t>
  </si>
  <si>
    <t>MCM Lago Fluorescent Green Slides feature flexible rubber with iconic Visetos print, sleek one-piece design, lightweight non-slip sole for stylish comfort in city or resort wear.</t>
  </si>
  <si>
    <t>{"choices":[{"finish_reason":"stop","index":0,"logprobs":null,"message":{"annotations":[],"content":"MCM,Slippers,kakobuy,kakebuy2026,kekobuysheet,kakobuysheet2026,2026kakobuy,kakobuyspreadsheeet,kakobuylink,kakebuylist,Kakobuy MEGA Spreadsheet,kakobuysheetfind,kakobuysheetfind2026,2026kakobuysheetfind,kakobuysheet2026","refusal":null,"role":"assistant"}}],"created":1776416722,"id":"chatcmpl-DVZQYaVbzGjVDDYT4OGTQ3Khlrckq","model":"gpt-5-chat-latest","object":"chat.completion","service_tier":"default","system_fingerprint":"fp_ad66631dec","usage":{"completion_tokens":88,"completion_tokens_details":{"accepted_prediction_tokens":0,"audio_tokens":0,"reasoning_tokens":0,"rejected_prediction_tokens":0},"prompt_tokens":783,"prompt_tokens_details":{"audio_tokens":0,"cached_tokens":0},"total_tokens":871}}</t>
  </si>
  <si>
    <t>MCM, Slides, Green, Rubber, Lightweight</t>
  </si>
  <si>
    <t>recvh0B9A79Xrh</t>
  </si>
  <si>
    <t>mcm-lago-fluorescent-green-visor-rubber-slide-recvh0b9a79xrh</t>
  </si>
  <si>
    <t>{"id":"chatcmpl-DVYIw9XX8bfA8qVXswAzAZr0c5uVy","object":"chat.completion","created":1776412406,"model":"gpt-5-chat-latest","choices":[{"index":0,"message":{"role":"assistant","content":"MCM：Lago系列荧光绿男女款休闲拖鞋，采用柔韧橡胶材质搭配品牌经典Visetos图腾印花，简约一体成型设计透出现代潮流美感，轻盈防滑鞋底适合都市与度假穿搭，舒适时尚兼具实用功能。","refusal":null,"annotations":[]},"logprobs":null,"finish_reason":"stop"}],"usage":{"prompt_tokens":1298,"completion_tokens":78,"total_tokens":1376,"prompt_tokens_details":{"cached_tokens":0,"audio_tokens":0},"completion_tokens_details":{"reasoning_tokens":0,"audio_tokens":0,"accepted_prediction_tokens":0,"rejected_prediction_tokens":0}},"service_tier":"default","system_fingerprint":"fp_ad66631dec"}</t>
  </si>
  <si>
    <t>MCM：Lago系列荧光绿男女款休闲拖鞋，采用柔韧橡胶材质搭配品牌经典Visetos图腾印花，简约一体成型设计透出现代潮流美感，轻盈防滑鞋底适合都市与度假穿搭，舒适时尚兼具实用功能。</t>
  </si>
  <si>
    <t>{"id":"chatcmpl-DVZLY4NdE6GywoHe7sQ7MHKgPV4tC","object":"chat.completion","created":1776416412,"model":"gpt-5-chat-latest","choices":[{"index":0,"message":{"role":"assistant","content":"MCM Visetos Brown Leather Slides Unisex Luxury Sandals","refusal":null,"annotations":[]},"logprobs":null,"finish_reason":"stop"}],"usage":{"prompt_tokens":865,"completion_tokens":13,"total_tokens":878,"prompt_tokens_details":{"cached_tokens":0,"audio_tokens":0},"completion_tokens_details":{"reasoning_tokens":0,"audio_tokens":0,"accepted_prediction_tokens":0,"rejected_prediction_tokens":0}},"service_tier":"default","system_fingerprint":"fp_ad66631dec"}</t>
  </si>
  <si>
    <t>MCM Visetos Brown Leather Slides Unisex Luxury Sandals</t>
  </si>
  <si>
    <t>{"choices":[{"finish_reason":"stop","index":0,"logprobs":null,"message":{"annotations":[],"content":"MCM Visetos Brown Leather Slides featuring supple calfskin and signature logo print, offering a luxurious unisex design that blends modern urban elegance with ultimate comfort.","refusal":null,"role":"assistant"}}],"created":1776414997,"id":"chatcmpl-DVYyjYkCH7brj9eHYtFKTC8JPMSLN","model":"gpt-5-chat-latest","object":"chat.completion","service_tier":"default","system_fingerprint":"fp_ad66631dec","usage":{"completion_tokens":32,"completion_tokens_details":{"accepted_prediction_tokens":0,"audio_tokens":0,"reasoning_tokens":0,"rejected_prediction_tokens":0},"prompt_tokens":884,"prompt_tokens_details":{"audio_tokens":0,"cached_tokens":0},"total_tokens":916}}</t>
  </si>
  <si>
    <t>MCM Visetos Brown Leather Slides featuring supple calfskin and signature logo print, offering a luxurious unisex design that blends modern urban elegance with ultimate comfort.</t>
  </si>
  <si>
    <t>{"choices":[{"finish_reason":"stop","index":0,"logprobs":null,"message":{"annotations":[],"content":"MCM, slippers, kakobuy, kakebuy2026, kekobuysheet, kakobuysheet2026, 2026kakobuy, kakobuyspreadsheeet, kakobuylink, kakebuylist, Kakobuy MEGA Spreadsheet, kakobuysheetfind, kakobuysheetfind2026, 2026kakobuysheetfind, kakobuysheet2026","refusal":null,"role":"assistant"}}],"created":1776416894,"id":"chatcmpl-DVZTKk4FP9ZRdwXSkMeHb6wNPOUIN","model":"gpt-5-chat-latest","object":"chat.completion","service_tier":"default","system_fingerprint":"fp_ad66631dec","usage":{"completion_tokens":91,"completion_tokens_details":{"accepted_prediction_tokens":0,"audio_tokens":0,"reasoning_tokens":0,"rejected_prediction_tokens":0},"prompt_tokens":783,"prompt_tokens_details":{"audio_tokens":0,"cached_tokens":0},"total_tokens":874}}</t>
  </si>
  <si>
    <t>MCM, Slides, Leather, Brown, Unisex</t>
  </si>
  <si>
    <t>recvh0B9A7bOVK</t>
  </si>
  <si>
    <t>mcm-visetos-brown-leather-slides-recvh0b9a7bovk</t>
  </si>
  <si>
    <t>{"choices":[{"finish_reason":"stop","index":0,"logprobs":null,"message":{"annotations":[],"content":"MCM：经典Visetos系列棕色皮质拖鞋，采用柔韧牛皮与品牌Logo印花设计，奢华休闲风格，男女皆宜，彰显现代都市雅致品味。","refusal":null,"role":"assistant"}}],"created":1776412195,"id":"chatcmpl-DVYFXdyQVdZKnupj4kVNOeKPoNdT2","model":"gpt-5-chat-latest","object":"chat.completion","service_tier":"default","system_fingerprint":"fp_ad66631dec","usage":{"completion_tokens":50,"completion_tokens_details":{"accepted_prediction_tokens":0,"audio_tokens":0,"reasoning_tokens":0,"rejected_prediction_tokens":0},"prompt_tokens":1302,"prompt_tokens_details":{"audio_tokens":0,"cached_tokens":1280},"total_tokens":1352}}</t>
  </si>
  <si>
    <t>MCM：经典Visetos系列棕色皮质拖鞋，采用柔韧牛皮与品牌Logo印花设计，奢华休闲风格，男女皆宜，彰显现代都市雅致品味。</t>
  </si>
  <si>
    <t>{"choices":[{"finish_reason":"stop","index":0,"logprobs":null,"message":{"annotations":[],"content":"MCM Monogram Black White Rubber Slides Unisex Sandals","refusal":null,"role":"assistant"}}],"created":1776416319,"id":"chatcmpl-DVZK3E5hfCClZDBha5x79WsIKmQZs","model":"gpt-5-chat-latest","object":"chat.completion","service_tier":"default","system_fingerprint":"fp_ad66631dec","usage":{"completion_tokens":13,"completion_tokens_details":{"accepted_prediction_tokens":0,"audio_tokens":0,"reasoning_tokens":0,"rejected_prediction_tokens":0},"prompt_tokens":877,"prompt_tokens_details":{"audio_tokens":0,"cached_tokens":0},"total_tokens":890}}</t>
  </si>
  <si>
    <t>MCM Monogram Black White Rubber Slides Unisex Sandals</t>
  </si>
  <si>
    <t>{"choices":[{"finish_reason":"stop","index":0,"logprobs":null,"message":{"annotations":[],"content":"MCM Monogram Slides in Black and White, crafted from flexible rubber with a wide strap for perfect fit. Lightweight unisex design blends modern street fashion and luxurious comfort for everyday style.","refusal":null,"role":"assistant"}}],"created":1776414955,"id":"chatcmpl-DVYy3FCqRwz3pFFIwWPtRfDBJUSv1","model":"gpt-5-chat-latest","object":"chat.completion","service_tier":"default","system_fingerprint":"fp_ad66631dec","usage":{"completion_tokens":38,"completion_tokens_details":{"accepted_prediction_tokens":0,"audio_tokens":0,"reasoning_tokens":0,"rejected_prediction_tokens":0},"prompt_tokens":920,"prompt_tokens_details":{"audio_tokens":0,"cached_tokens":0},"total_tokens":958}}</t>
  </si>
  <si>
    <t>MCM Monogram Slides in Black and White, crafted from flexible rubber with a wide strap for perfect fit. Lightweight unisex design blends modern street fashion and luxurious comfort for everyday style.</t>
  </si>
  <si>
    <t>{"id":"chatcmpl-DVZSgSZn1TtoIR3KW6mI3CGwUNeFJ","object":"chat.completion","created":1776416854,"model":"gpt-5-chat-latest","choices":[{"index":0,"message":{"role":"assistant","content":"MCM,Sandals,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88,"total_tokens":871,"prompt_tokens_details":{"cached_tokens":0,"audio_tokens":0},"completion_tokens_details":{"reasoning_tokens":0,"audio_tokens":0,"accepted_prediction_tokens":0,"rejected_prediction_tokens":0}},"service_tier":"default","system_fingerprint":"fp_ad66631dec"}</t>
  </si>
  <si>
    <t>MCM,Sandals,kakobuy,kakebuy2026,kekobuysheet,kakobuysheet2026,2026kakobuy,kakobuyspreadsheeet,kakobuylink,kakebuylist,Kakobuy MEGA Spreadsheet,kakobuysheetfind,kakobuysheetfind2026,2026kakobuysheetfind,kakobuysheet2026</t>
  </si>
  <si>
    <t>MCM, Slides, Black, White, Rubber, Unisex</t>
  </si>
  <si>
    <t>recvh0B9A7ixPZ</t>
  </si>
  <si>
    <t>mcm-monogram-black-white-recvh0b9a7ixpz</t>
  </si>
  <si>
    <t>{"choices":[{"finish_reason":"stop","index":0,"logprobs":null,"message":{"annotations":[],"content":"MCM：黑白配色休闲拖鞋，采用柔韧橡胶材质，鞋面饰以品牌标志性Monogram印花，简约又具奢华质感。宽版鞋带设计贴合脚型，轻盈舒适，适合男女通用，呈现现代街头时尚风格，彰显高端休闲品味。","refusal":null,"role":"assistant"}}],"created":1776412188,"id":"chatcmpl-DVYFQsrLyqK3bsH71PeTI2GataiE1","model":"gpt-5-chat-latest","object":"chat.completion","service_tier":"default","system_fingerprint":"fp_ad66631dec","usage":{"completion_tokens":86,"completion_tokens_details":{"accepted_prediction_tokens":0,"audio_tokens":0,"reasoning_tokens":0,"rejected_prediction_tokens":0},"prompt_tokens":1302,"prompt_tokens_details":{"audio_tokens":0,"cached_tokens":0},"total_tokens":1388}}</t>
  </si>
  <si>
    <t>MCM：黑白配色休闲拖鞋，采用柔韧橡胶材质，鞋面饰以品牌标志性Monogram印花，简约又具奢华质感。宽版鞋带设计贴合脚型，轻盈舒适，适合男女通用，呈现现代街头时尚风格，彰显高端休闲品味。</t>
  </si>
  <si>
    <t>{"id":"chatcmpl-DVZDB4UlwN96p6scf0U0ZlyTAAozl","object":"chat.completion","created":1776415893,"model":"gpt-5-chat-latest","choices":[{"index":0,"message":{"role":"assistant","content":"MCM Visetos Brown Black Leather Unisex Slide Sandals","refusal":null,"annotations":[]},"logprobs":null,"finish_reason":"stop"}],"usage":{"prompt_tokens":867,"completion_tokens":13,"total_tokens":880,"prompt_tokens_details":{"cached_tokens":0,"audio_tokens":0},"completion_tokens_details":{"reasoning_tokens":0,"audio_tokens":0,"accepted_prediction_tokens":0,"rejected_prediction_tokens":0}},"service_tier":"default","system_fingerprint":"fp_ad66631dec"}</t>
  </si>
  <si>
    <t>MCM Visetos Brown Black Leather Unisex Slide Sandals</t>
  </si>
  <si>
    <t>{"choices":[{"finish_reason":"stop","index":0,"logprobs":null,"message":{"annotations":[],"content":"MCM Visetos Classic Brown and Black Unisex Slides, crafted from supple leather with signature logo print, blending comfort and luxury for urban casual and vacation style.","refusal":null,"role":"assistant"}}],"created":1776414795,"id":"chatcmpl-DVYvTJ8AJgeLFUyQBlG1AdvUYxA6k","model":"gpt-5-chat-latest","object":"chat.completion","service_tier":"default","system_fingerprint":"fp_ad66631dec","usage":{"completion_tokens":33,"completion_tokens_details":{"accepted_prediction_tokens":0,"audio_tokens":0,"reasoning_tokens":0,"rejected_prediction_tokens":0},"prompt_tokens":901,"prompt_tokens_details":{"audio_tokens":0,"cached_tokens":0},"total_tokens":934}}</t>
  </si>
  <si>
    <t>MCM Visetos Classic Brown and Black Unisex Slides, crafted from supple leather with signature logo print, blending comfort and luxury for urban casual and vacation style.</t>
  </si>
  <si>
    <t>{"choices":[{"finish_reason":"stop","index":0,"logprobs":null,"message":{"annotations":[],"content":"MCM,slides,kakobuy,kakebuy2026,kekobuysheet,kakobuysheet2026,2026kakobuy,kakobuyspreadsheeet,kakobuylink,kakebuylist,Kakobuy MEGA Spreadsheet,kakobuysheetfind,kakobuysheetfind2026,2026kakobuysheetfind,kakobuysheet2026","refusal":null,"role":"assistant"}}],"created":1776416790,"id":"chatcmpl-DVZReoR6Qz3bdtZ7CUDDyImNku7Cq","model":"gpt-5-chat-latest","object":"chat.completion","service_tier":"default","system_fingerprint":"fp_ad66631dec","usage":{"completion_tokens":87,"completion_tokens_details":{"accepted_prediction_tokens":0,"audio_tokens":0,"reasoning_tokens":0,"rejected_prediction_tokens":0},"prompt_tokens":783,"prompt_tokens_details":{"audio_tokens":0,"cached_tokens":0},"total_tokens":870}}</t>
  </si>
  <si>
    <t>MCM,slides,kakobuy,kakebuy2026,kekobuysheet,kakobuysheet2026,2026kakobuy,kakobuyspreadsheeet,kakobuylink,kakebuylist,Kakobuy MEGA Spreadsheet,kakobuysheetfind,kakobuysheetfind2026,2026kakobuysheetfind,kakobuysheet2026</t>
  </si>
  <si>
    <t>MCM, Slides, Leather, Brown, Black, Unisex</t>
  </si>
  <si>
    <t>recvh0B9A7tW2F</t>
  </si>
  <si>
    <t>mcm-visetos-brown-black-leather-slide-recvh0b9a7tw2f</t>
  </si>
  <si>
    <t>{"choices":[{"finish_reason":"stop","index":0,"logprobs":null,"message":{"annotations":[],"content":"MCM：经典Visetos系列棕黑配色男女通用休闲拖鞋，甄选柔韧皮革材质，品牌字母印花彰显奢华格调，简约设计兼具舒适与时尚，适合都市休闲与度假穿搭。","refusal":null,"role":"assistant"}}],"created":1776412555,"id":"chatcmpl-DVYLLsSJxYEBhIhK0ShULOK4FpzdC","model":"gpt-5-chat-latest","object":"chat.completion","service_tier":"default","system_fingerprint":"fp_ad66631dec","usage":{"completion_tokens":67,"completion_tokens_details":{"accepted_prediction_tokens":0,"audio_tokens":0,"reasoning_tokens":0,"rejected_prediction_tokens":0},"prompt_tokens":1302,"prompt_tokens_details":{"audio_tokens":0,"cached_tokens":1280},"total_tokens":1369}}</t>
  </si>
  <si>
    <t>MCM：经典Visetos系列棕黑配色男女通用休闲拖鞋，甄选柔韧皮革材质，品牌字母印花彰显奢华格调，简约设计兼具舒适与时尚，适合都市休闲与度假穿搭。</t>
  </si>
  <si>
    <t>{"id":"chatcmpl-DVZF7lRnNdhjl5YKhh33rgQ2WRfzQ","object":"chat.completion","created":1776416013,"model":"gpt-5-chat-latest","choices":[{"index":0,"message":{"role":"assistant","content":"MCM Black White Vintage Calfskin Unisex Sneakers","refusal":null,"annotations":[]},"logprobs":null,"finish_reason":"stop"}],"usage":{"prompt_tokens":875,"completion_tokens":12,"total_tokens":887,"prompt_tokens_details":{"cached_tokens":0,"audio_tokens":0},"completion_tokens_details":{"reasoning_tokens":0,"audio_tokens":0,"accepted_prediction_tokens":0,"rejected_prediction_tokens":0}},"service_tier":"default","system_fingerprint":"fp_ad66631dec"}</t>
  </si>
  <si>
    <t>MCM Black White Vintage Calfskin Unisex Sneakers</t>
  </si>
  <si>
    <t>{"id":"chatcmpl-DVYwgtkWMrPCU2lMNd3ozhz51p7xr","object":"chat.completion","created":1776414870,"model":"gpt-5-chat-latest","choices":[{"index":0,"message":{"role":"assistant","content":"ShoesMCMMCM black white vintage sneakers, crafted from premium calfskin and fabric with embossed logo plate, thick sole cushioning, unisex design mixing street fashion and luxury style.","refusal":null,"annotations":[]},"logprobs":null,"finish_reason":"stop"}],"usage":{"prompt_tokens":901,"completion_tokens":37,"total_tokens":938,"prompt_tokens_details":{"cached_tokens":0,"audio_tokens":0},"completion_tokens_details":{"reasoning_tokens":0,"audio_tokens":0,"accepted_prediction_tokens":0,"rejected_prediction_tokens":0}},"service_tier":"default","system_fingerprint":"fp_ad66631dec"}</t>
  </si>
  <si>
    <t>ShoesMCMMCM black white vintage sneakers, crafted from premium calfskin and fabric with embossed logo plate, thick sole cushioning, unisex design mixing street fashion and luxury style.</t>
  </si>
  <si>
    <t>{"id":"chatcmpl-DVZajGg4PA6uoD9OIpL8Z09kHsf2y","object":"chat.completion","created":1776417353,"model":"gpt-5-chat-latest","choices":[{"index":0,"message":{"role":"assistant","content":"MCM,Shoes,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87,"total_tokens":870,"prompt_tokens_details":{"cached_tokens":0,"audio_tokens":0},"completion_tokens_details":{"reasoning_tokens":0,"audio_tokens":0,"accepted_prediction_tokens":0,"rejected_prediction_tokens":0}},"service_tier":"default","system_fingerprint":"fp_ad66631dec"}</t>
  </si>
  <si>
    <t>MCM,Shoes,kakobuy,kakebuy2026,kekobuysheet,kakobuysheet2026,2026kakobuy,kakobuyspreadsheeet,kakobuylink,kakebuylist,Kakobuy MEGA Spreadsheet,kakobuysheetfind,kakobuysheetfind2026,2026kakobuysheetfind,kakobuysheet2026</t>
  </si>
  <si>
    <t>MCM, Sneakers, Black, White, Vintage, Unisex</t>
  </si>
  <si>
    <t>recvh0B9A7AwNa</t>
  </si>
  <si>
    <t>mcm-black-white-vintage-calfskin-unisex-recvh0b9a7awna</t>
  </si>
  <si>
    <t>{"choices":[{"finish_reason":"stop","index":0,"logprobs":null,"message":{"annotations":[],"content":"MCM：黑白拼色复古运动鞋，甄选头层小牛皮与织物拼接，搭配浮雕Logo饰牌，厚底缓震设计，融合街头潮流与奢华质感，男女皆宜，演绎现代都市时尚格调。","refusal":null,"role":"assistant"}}],"created":1776412141,"id":"chatcmpl-DVYEfWtpMMpX6UygNqN3ZRXvofWVt","model":"gpt-5-chat-latest","object":"chat.completion","service_tier":"default","system_fingerprint":"fp_ad66631dec","usage":{"completion_tokens":67,"completion_tokens_details":{"accepted_prediction_tokens":0,"audio_tokens":0,"reasoning_tokens":0,"rejected_prediction_tokens":0},"prompt_tokens":1302,"prompt_tokens_details":{"audio_tokens":0,"cached_tokens":0},"total_tokens":1369}}</t>
  </si>
  <si>
    <t>MCM：黑白拼色复古运动鞋，甄选头层小牛皮与织物拼接，搭配浮雕Logo饰牌，厚底缓震设计，融合街头潮流与奢华质感，男女皆宜，演绎现代都市时尚格调。</t>
  </si>
  <si>
    <t>{"choices":[{"finish_reason":"stop","index":0,"logprobs":null,"message":{"annotations":[],"content":"MCM Visetos Brown Luxury Leather Sneakers","refusal":null,"role":"assistant"}}],"created":1776416413,"id":"chatcmpl-DVZLZoN9D41hvux3vUUSZ1WaFlkus","model":"gpt-5-chat-latest","object":"chat.completion","service_tier":"default","system_fingerprint":"fp_ad66631dec","usage":{"completion_tokens":9,"completion_tokens_details":{"accepted_prediction_tokens":0,"audio_tokens":0,"reasoning_tokens":0,"rejected_prediction_tokens":0},"prompt_tokens":877,"prompt_tokens_details":{"audio_tokens":0,"cached_tokens":0},"total_tokens":886}}</t>
  </si>
  <si>
    <t>MCM Visetos Brown Luxury Leather Sneakers</t>
  </si>
  <si>
    <t>{"id":"chatcmpl-DVYxFCBAXp0Bc9HuV0hvPB6yZaf8h","object":"chat.completion","created":1776414905,"model":"gpt-5-chat-latest","choices":[{"index":0,"message":{"role":"assistant","content":"MCM Visetos Brown Sneakers blend luxury leather and fabric with signature logo prints, cushioned thick sole for shock absorption, unisex vintage-meets-street design, stylish and comfortable.","refusal":null,"annotations":[]},"logprobs":null,"finish_reason":"stop"}],"usage":{"prompt_tokens":905,"completion_tokens":38,"total_tokens":943,"prompt_tokens_details":{"cached_tokens":0,"audio_tokens":0},"completion_tokens_details":{"reasoning_tokens":0,"audio_tokens":0,"accepted_prediction_tokens":0,"rejected_prediction_tokens":0}},"service_tier":"default","system_fingerprint":"fp_ad66631dec"}</t>
  </si>
  <si>
    <t>MCM Visetos Brown Sneakers blend luxury leather and fabric with signature logo prints, cushioned thick sole for shock absorption, unisex vintage-meets-street design, stylish and comfortable.</t>
  </si>
  <si>
    <t>{"id":"chatcmpl-DVZV8BVKrPpz9QCg2YXZ8Sb7p5AWu","object":"chat.completion","created":1776417006,"model":"gpt-5-chat-latest","choices":[{"index":0,"message":{"role":"assistant","content":"MCM, Shoes, kakobuy, kakebuy2026, kekobuysheet, kakobuysheet2026, 2026kakobuy, kakobuyspreadsheeet, kakobuylink, kakebuylist, Kakobuy MEGA Spreadsheet, kakobuysheetfind, kakobuysheetfind2026, 2026kakobuysheetfind, kakobuysheet2026","refusal":null,"annotations":[]},"logprobs":null,"finish_reason":"stop"}],"usage":{"prompt_tokens":783,"completion_tokens":91,"total_tokens":874,"prompt_tokens_details":{"cached_tokens":0,"audio_tokens":0},"completion_tokens_details":{"reasoning_tokens":0,"audio_tokens":0,"accepted_prediction_tokens":0,"rejected_prediction_tokens":0}},"service_tier":"default","system_fingerprint":"fp_ad66631dec"}</t>
  </si>
  <si>
    <t>MCM, Shoes, kakobuy, kakebuy2026, kekobuysheet, kakobuysheet2026, 2026kakobuy, kakobuyspreadsheeet, kakobuylink, kakebuylist, Kakobuy MEGA Spreadsheet, kakobuysheetfind, kakobuysheetfind2026, 2026kakobuysheetfind, kakobuysheet2026</t>
  </si>
  <si>
    <t>MCM, Leather, Unisex, Vintage, Streetwear, Sneakers</t>
  </si>
  <si>
    <t>recvh0B9A7SLQB</t>
  </si>
  <si>
    <t>mcm-visetos-brown-luxury-leather-recvh0b9a7slqb</t>
  </si>
  <si>
    <t>{"choices":[{"finish_reason":"stop","index":0,"logprobs":null,"message":{"annotations":[],"content":"MCM：Visetos棕色休闲运动鞋，以奢华皮革与织物拼接打造，饰标志性徽章图腾，厚底减震设计，融合复古与现代街头风格，男女皆宜，彰显高端时尚态度与舒适机能。","refusal":null,"role":"assistant"}}],"created":1776412398,"id":"chatcmpl-DVYIolgKIqwe8WOokdwxX2jLgjjar","model":"gpt-5-chat-latest","object":"chat.completion","service_tier":"default","system_fingerprint":"fp_ad66631dec","usage":{"completion_tokens":69,"completion_tokens_details":{"accepted_prediction_tokens":0,"audio_tokens":0,"reasoning_tokens":0,"rejected_prediction_tokens":0},"prompt_tokens":1306,"prompt_tokens_details":{"audio_tokens":0,"cached_tokens":0},"total_tokens":1375}}</t>
  </si>
  <si>
    <t>MCM：Visetos棕色休闲运动鞋，以奢华皮革与织物拼接打造，饰标志性徽章图腾，厚底减震设计，融合复古与现代街头风格，男女皆宜，彰显高端时尚态度与舒适机能。</t>
  </si>
  <si>
    <t>{"id":"chatcmpl-DVZGDTImbBj6Z8bodh8IEz8k7iY4R","object":"chat.completion","created":1776416081,"model":"gpt-5-chat-latest","choices":[{"index":0,"message":{"role":"assistant","content":"Maison Mihara Yasuhiro White Platform Canvas Sneakers","refusal":null,"annotations":[]},"logprobs":null,"finish_reason":"stop"}],"usage":{"prompt_tokens":596,"completion_tokens":11,"total_tokens":607,"prompt_tokens_details":{"cached_tokens":0,"audio_tokens":0},"completion_tokens_details":{"reasoning_tokens":0,"audio_tokens":0,"accepted_prediction_tokens":0,"rejected_prediction_tokens":0}},"service_tier":"default","system_fingerprint":"fp_ad66631dec"}</t>
  </si>
  <si>
    <t>Maison Mihara Yasuhiro White Platform Canvas Sneakers</t>
  </si>
  <si>
    <t>{"choices":[{"finish_reason":"stop","index":0,"logprobs":null,"message":{"annotations":[],"content":"Maison Mihara Yasuhiro White Deconstructed Platform Canvas Sneakers, vintage handmade design with street style flair, unisex casual shoes, comfortable and durable for unique fashion expression.","refusal":null,"role":"assistant"}}],"created":1776415286,"id":"chatcmpl-DVZ3Ovm2kd60jXoYeqAkXivpMyfvq","model":"gpt-5-chat-latest","object":"chat.completion","service_tier":"default","system_fingerprint":"fp_ad66631dec","usage":{"completion_tokens":35,"completion_tokens_details":{"accepted_prediction_tokens":0,"audio_tokens":0,"reasoning_tokens":0,"rejected_prediction_tokens":0},"prompt_tokens":612,"prompt_tokens_details":{"audio_tokens":0,"cached_tokens":0},"total_tokens":647}}</t>
  </si>
  <si>
    <t>Maison Mihara Yasuhiro White Deconstructed Platform Canvas Sneakers, vintage handmade design with street style flair, unisex casual shoes, comfortable and durable for unique fashion expression.</t>
  </si>
  <si>
    <t>{"choices":[{"finish_reason":"stop","index":0,"logprobs":null,"message":{"annotations":[],"content":"Maison Mihara Yasuhiro,Shoes,kakobuy,kakebuy2026,kekobuysheet,kakobuysheet2026,2026kakobuy,kakobuyspreadsheeet,kakobuylink,kakebuylist,Kakobuy MEGA Spreadsheet,kakobuysheetfind,kakobuysheetfind2026,2026kakobuysheetfind,kakobuysheet2026","refusal":null,"role":"assistant"}}],"created":1776416729,"id":"chatcmpl-DVZQfYlkxBs4UaxScLLAK2CXXNSDR","model":"gpt-5-chat-latest","object":"chat.completion","service_tier":"default","system_fingerprint":"fp_ad66631dec","usage":{"completion_tokens":91,"completion_tokens_details":{"accepted_prediction_tokens":0,"audio_tokens":0,"reasoning_tokens":0,"rejected_prediction_tokens":0},"prompt_tokens":507,"prompt_tokens_details":{"audio_tokens":0,"cached_tokens":0},"total_tokens":598}}</t>
  </si>
  <si>
    <t>Canvas Shoes, Deconstructed, Vintage, Street, Unisex, Casual Shoes</t>
  </si>
  <si>
    <t>recvh0B9A71aK3</t>
  </si>
  <si>
    <t>mihara-yasuhiro-white-platform-canvas-recvh0b9a71aK3</t>
  </si>
  <si>
    <t>{"choices":[{"finish_reason":"stop","index":0,"logprobs":null,"message":{"annotations":[],"content":"Maison Mihara Yasuhiro 白色解构厚底帆布鞋，复古手工质感设计，凸显潮流街头风格，男女通用休闲鞋款，舒适耐穿展现独特个性美学。","refusal":null,"role":"assistant"}}],"created":1776411922,"id":"chatcmpl-DVYB81AOf1HRIxRG7jLdbfbz95gDA","model":"gpt-5-chat-latest","object":"chat.completion","service_tier":"default","system_fingerprint":"fp_ad66631dec","usage":{"completion_tokens":56,"completion_tokens_details":{"accepted_prediction_tokens":0,"audio_tokens":0,"reasoning_tokens":0,"rejected_prediction_tokens":0},"prompt_tokens":1024,"prompt_tokens_details":{"audio_tokens":0,"cached_tokens":0},"total_tokens":1080}}</t>
  </si>
  <si>
    <t>Maison Mihara Yasuhiro 白色解构厚底帆布鞋，复古手工质感设计，凸显潮流街头风格，男女通用休闲鞋款，舒适耐穿展现独特个性美学。</t>
  </si>
  <si>
    <t>{"id":"chatcmpl-DVZIGSpPMfbDCb8njVPooOVlHMpCn","object":"chat.completion","created":1776416208,"model":"gpt-5-chat-latest","choices":[{"index":0,"message":{"role":"assistant","content":"Maison Mihara Yasuhiro Green Platform Canvas Shoes","refusal":null,"annotations":[]},"logprobs":null,"finish_reason":"stop"}],"usage":{"prompt_tokens":598,"completion_tokens":11,"total_tokens":609,"prompt_tokens_details":{"cached_tokens":0,"audio_tokens":0},"completion_tokens_details":{"reasoning_tokens":0,"audio_tokens":0,"accepted_prediction_tokens":0,"rejected_prediction_tokens":0}},"service_tier":"default","system_fingerprint":"fp_ad66631dec"}</t>
  </si>
  <si>
    <t>Maison Mihara Yasuhiro Green Platform Canvas Shoes</t>
  </si>
  <si>
    <t>{"id":"chatcmpl-DVZ2VigFUzDUatYIIaJWnj5edAhA7","object":"chat.completion","created":1776415231,"model":"gpt-5-chat-latest","choices":[{"index":0,"message":{"role":"assistant","content":"Maison Mihara Yasuhiro Green Platform Canvas Sneakers made from premium cotton, featuring deconstructed silhouette, vintage bubble sole, unisex street style, comfort meets avant-garde design.","refusal":null,"annotations":[]},"logprobs":null,"finish_reason":"stop"}],"usage":{"prompt_tokens":636,"completion_tokens":36,"total_tokens":672,"prompt_tokens_details":{"cached_tokens":0,"audio_tokens":0},"completion_tokens_details":{"reasoning_tokens":0,"audio_tokens":0,"accepted_prediction_tokens":0,"rejected_prediction_tokens":0}},"service_tier":"default","system_fingerprint":"fp_ad66631dec"}</t>
  </si>
  <si>
    <t>Maison Mihara Yasuhiro Green Platform Canvas Sneakers made from premium cotton, featuring deconstructed silhouette, vintage bubble sole, unisex street style, comfort meets avant-garde design.</t>
  </si>
  <si>
    <t>{"choices":[{"finish_reason":"stop","index":0,"logprobs":null,"message":{"annotations":[],"content":"Maison Mihara Yasuhiro, Shoes, kakobuy, kakebuy2026, kekobuysheet, kakobuysheet2026, 2026kakobuy, kakobuyspreadsheeet, kakobuylink, kakebuylist, Kakobuy MEGA Spreadsheet, kakobuysheetfind, kakobuysheetfind2026, 2026kakobuysheetfind, kakobuysheet2026","refusal":null,"role":"assistant"}}],"created":1776416748,"id":"chatcmpl-DVZQysgkM2wvzmV1KMX2iPDyey4BC","model":"gpt-5-chat-latest","object":"chat.completion","service_tier":"default","system_fingerprint":"fp_ad66631dec","usage":{"completion_tokens":95,"completion_tokens_details":{"accepted_prediction_tokens":0,"audio_tokens":0,"reasoning_tokens":0,"rejected_prediction_tokens":0},"prompt_tokens":507,"prompt_tokens_details":{"audio_tokens":0,"cached_tokens":0},"total_tokens":602}}</t>
  </si>
  <si>
    <t>Unisex, Green, Street, Vintage, Deconstructed</t>
  </si>
  <si>
    <t>recvh0B9A7kqdw</t>
  </si>
  <si>
    <t>miy-green-platform-recvh0b9a7kqdw</t>
  </si>
  <si>
    <t>{"id":"chatcmpl-DVYIBRazlbkcS9bDgPRGufw4vyub4","object":"chat.completion","created":1776412359,"model":"gpt-5-chat-latest","choices":[{"index":0,"message":{"role":"assistant","content":"Maison Mihara Yasuhiro 绿色厚底帆布鞋，采用优质棉质面料打造，立体解构鞋型设计，复古泡泡鞋底融合街头艺术感，男女同款休闲风格，兼具舒适与时尚，展现设计师独特美学与前卫态度。","refusal":null,"annotations":[]},"logprobs":null,"finish_reason":"stop"}],"usage":{"prompt_tokens":1032,"completion_tokens":76,"total_tokens":1108,"prompt_tokens_details":{"cached_tokens":0,"audio_tokens":0},"completion_tokens_details":{"reasoning_tokens":0,"audio_tokens":0,"accepted_prediction_tokens":0,"rejected_prediction_tokens":0}},"service_tier":"default","system_fingerprint":"fp_ad66631dec"}</t>
  </si>
  <si>
    <t>Maison Mihara Yasuhiro 绿色厚底帆布鞋，采用优质棉质面料打造，立体解构鞋型设计，复古泡泡鞋底融合街头艺术感，男女同款休闲风格，兼具舒适与时尚，展现设计师独特美学与前卫态度。</t>
  </si>
  <si>
    <t>{"id":"chatcmpl-DVZKREDZ4QWzQDy6g4rNAf1Ha3KAx","object":"chat.completion","created":1776416343,"model":"gpt-5-chat-latest","choices":[{"index":0,"message":{"role":"assistant","content":"Maison Mihara Yasuhiro Black Canvas Platform Sneakers","refusal":null,"annotations":[]},"logprobs":null,"finish_reason":"stop"}],"usage":{"prompt_tokens":596,"completion_tokens":11,"total_tokens":607,"prompt_tokens_details":{"cached_tokens":0,"audio_tokens":0},"completion_tokens_details":{"reasoning_tokens":0,"audio_tokens":0,"accepted_prediction_tokens":0,"rejected_prediction_tokens":0}},"service_tier":"default","system_fingerprint":"fp_ad66631dec"}</t>
  </si>
  <si>
    <t>Maison Mihara Yasuhiro Black Canvas Platform Sneakers</t>
  </si>
  <si>
    <t>{"choices":[{"finish_reason":"stop","index":0,"logprobs":null,"message":{"annotations":[],"content":"Maison Mihara Yasuhiro Black Platform Canvas Sneakers with deconstructed wavy sole, minimalist urban style, durable cotton upper, gender-neutral design for trendy streetwear comfort.","refusal":null,"role":"assistant"}}],"created":1776415248,"id":"chatcmpl-DVZ2mXKTqqfoO6BBiVY3oEQYl6RHv","model":"gpt-5-chat-latest","object":"chat.completion","service_tier":"default","system_fingerprint":"fp_ad66631dec","usage":{"completion_tokens":35,"completion_tokens_details":{"accepted_prediction_tokens":0,"audio_tokens":0,"reasoning_tokens":0,"rejected_prediction_tokens":0},"prompt_tokens":669,"prompt_tokens_details":{"audio_tokens":0,"cached_tokens":0},"total_tokens":704}}</t>
  </si>
  <si>
    <t>Maison Mihara Yasuhiro Black Platform Canvas Sneakers with deconstructed wavy sole, minimalist urban style, durable cotton upper, gender-neutral design for trendy streetwear comfort.</t>
  </si>
  <si>
    <t>{"choices":[{"finish_reason":"stop","index":0,"logprobs":null,"message":{"annotations":[],"content":"Maison Mihara Yasuhiro, Shoes, kakobuy, kakebuy2026, kekobuysheet, kakobuysheet2026, 2026kakobuy, kakobuyspreadsheeet, kakobuylink, kakebuylist, Kakobuy MEGA Spreadsheet, kakobuysheetfind, kakobuysheetfind2026, 2026kakobuysheetfind, kakobuysheet2026","refusal":null,"role":"assistant"}}],"created":1776416791,"id":"chatcmpl-DVZRfWQ90xVzDstB2b4ktS2T6kyTZ","model":"gpt-5-chat-latest","object":"chat.completion","service_tier":"default","system_fingerprint":"fp_ad66631dec","usage":{"completion_tokens":95,"completion_tokens_details":{"accepted_prediction_tokens":0,"audio_tokens":0,"reasoning_tokens":0,"rejected_prediction_tokens":0},"prompt_tokens":507,"prompt_tokens_details":{"audio_tokens":0,"cached_tokens":0},"total_tokens":602}}</t>
  </si>
  <si>
    <t>Canvas, Canvas Shoes, Minimalist, Streetwear, Unisex, Platform Shoes</t>
  </si>
  <si>
    <t>recvh0B9A7mk8X</t>
  </si>
  <si>
    <t>mihara-yasuhiro-black-canvas-platform-recvh0b9a7mk8x</t>
  </si>
  <si>
    <t>{"choices":[{"finish_reason":"stop","index":0,"logprobs":null,"message":{"annotations":[],"content":"Maison Mihara Yasuhiro 黑色厚底帆布鞋，采用解构艺术设计，鞋底呈不规则波纹造型，展现先锋街头美学。高品质棉质帆布材质搭配橡胶拼接厚底，兼具舒适与耐磨性，黑色全身彰显极简酷感。男女通穿款，延续品牌复古解构风格与日系设计精神，适合都市休闲与潮流穿搭。","refusal":null,"role":"assistant"}}],"created":1776412033,"id":"chatcmpl-DVYCvmjt95wcAjAzI9iRrAP8aYIYW","model":"gpt-5-chat-latest","object":"chat.completion","service_tier":"default","system_fingerprint":"fp_ad66631dec","usage":{"completion_tokens":111,"completion_tokens_details":{"accepted_prediction_tokens":0,"audio_tokens":0,"reasoning_tokens":0,"rejected_prediction_tokens":0},"prompt_tokens":1028,"prompt_tokens_details":{"audio_tokens":0,"cached_tokens":0},"total_tokens":1139}}</t>
  </si>
  <si>
    <t>Maison Mihara Yasuhiro 黑色厚底帆布鞋，采用解构艺术设计，鞋底呈不规则波纹造型，展现先锋街头美学。高品质棉质帆布材质搭配橡胶拼接厚底，兼具舒适与耐磨性，黑色全身彰显极简酷感。男女通穿款，延续品牌复古解构风格与日系设计精神，适合都市休闲与潮流穿搭。</t>
  </si>
  <si>
    <t>{"choices":[{"finish_reason":"stop","index":0,"logprobs":null,"message":{"annotations":[],"content":"Maison Mihara Yasuhiro Blakey Army Green Sneakers","refusal":null,"role":"assistant"}}],"created":1776416316,"id":"chatcmpl-DVZK09QIVU0Oi6Y3VN6UYLdKMH2ow","model":"gpt-5-chat-latest","object":"chat.completion","service_tier":"default","system_fingerprint":"fp_ad66631dec","usage":{"completion_tokens":12,"completion_tokens_details":{"accepted_prediction_tokens":0,"audio_tokens":0,"reasoning_tokens":0,"rejected_prediction_tokens":0},"prompt_tokens":594,"prompt_tokens_details":{"audio_tokens":0,"cached_tokens":0},"total_tokens":606}}</t>
  </si>
  <si>
    <t>Maison Mihara Yasuhiro Blakey Army Green Sneakers</t>
  </si>
  <si>
    <t>{"choices":[{"finish_reason":"stop","index":0,"logprobs":null,"message":{"annotations":[],"content":"Maison Mihara Yasuhiro Blakey Army Green Canvas Platform Sneakers with flexible wavy rubber sole, unisex design blending street vintage and modern deconstruction Japanese style.","refusal":null,"role":"assistant"}}],"created":1776415218,"id":"chatcmpl-DVZ2IpUTynWOGiEzXCYhipi2hVAR8","model":"gpt-5-chat-latest","object":"chat.completion","service_tier":"default","system_fingerprint":"fp_ad66631dec","usage":{"completion_tokens":34,"completion_tokens_details":{"accepted_prediction_tokens":0,"audio_tokens":0,"reasoning_tokens":0,"rejected_prediction_tokens":0},"prompt_tokens":621,"prompt_tokens_details":{"audio_tokens":0,"cached_tokens":0},"total_tokens":655}}</t>
  </si>
  <si>
    <t>Maison Mihara Yasuhiro Blakey Army Green Canvas Platform Sneakers with flexible wavy rubber sole, unisex design blending street vintage and modern deconstruction Japanese style.</t>
  </si>
  <si>
    <t>{"id":"chatcmpl-DVZUL69WZsm2tBFid0NUy0qoZwsXI","object":"chat.completion","created":1776416957,"model":"gpt-5-chat-latest","choices":[{"index":0,"message":{"role":"assistant","content":"Maison Mihara Yasuhiro, Shoes, kakobuy, kakebuy2026, kekobuysheet, kakobuysheet2026, 2026kakobuy, kakobuyspreadsheeet, kakobuylink, kakebuylist, Kakobuy MEGA Spreadsheet, kakobuysheetfind, kakobuysheetfind2026, 2026kakobuysheetfind, kakobuysheet2026","refusal":null,"annotations":[]},"logprobs":null,"finish_reason":"stop"}],"usage":{"prompt_tokens":507,"completion_tokens":95,"total_tokens":602,"prompt_tokens_details":{"cached_tokens":0,"audio_tokens":0},"completion_tokens_details":{"reasoning_tokens":0,"audio_tokens":0,"accepted_prediction_tokens":0,"rejected_prediction_tokens":0}},"service_tier":"default","system_fingerprint":"fp_ad66631dec"}</t>
  </si>
  <si>
    <t>Canvas, Platform Shoes, Sneakers, Unisex, Street</t>
  </si>
  <si>
    <t>recvh0B9A7SHkA</t>
  </si>
  <si>
    <t>mihara-yasuhiro-blakey-army-green-recvh0b9a7shka</t>
  </si>
  <si>
    <t>{"choices":[{"finish_reason":"stop","index":0,"logprobs":null,"message":{"annotations":[],"content":"Maison Mihara Yasuhiro：Blakey系列军绿色帆布厚底休闲鞋，柔韧橡胶波浪鞋底设计，兼具街头复古与现代解构美学，男女同款，彰显日系潮流态度。","refusal":null,"role":"assistant"}}],"created":1776411893,"id":"chatcmpl-DVYAfKQnNYnvQ1vmdOgGp5dLj1A2m","model":"gpt-5-chat-latest","object":"chat.completion","service_tier":"default","system_fingerprint":"fp_ad66631dec","usage":{"completion_tokens":60,"completion_tokens_details":{"accepted_prediction_tokens":0,"audio_tokens":0,"reasoning_tokens":0,"rejected_prediction_tokens":0},"prompt_tokens":1034,"prompt_tokens_details":{"audio_tokens":0,"cached_tokens":0},"total_tokens":1094}}</t>
  </si>
  <si>
    <t>Maison Mihara Yasuhiro：Blakey系列军绿色帆布厚底休闲鞋，柔韧橡胶波浪鞋底设计，兼具街头复古与现代解构美学，男女同款，彰显日系潮流态度。</t>
  </si>
  <si>
    <t>{"choices":[{"finish_reason":"stop","index":0,"logprobs":null,"message":{"annotations":[],"content":"Maison Mihara Yasuhiro Black White Twisted Sole Sneakers","refusal":null,"role":"assistant"}}],"created":1776416158,"id":"chatcmpl-DVZHSS4g6HbLeHqTOtYJ2eM0cbwbz","model":"gpt-5-chat-latest","object":"chat.completion","service_tier":"default","system_fingerprint":"fp_ad66631dec","usage":{"completion_tokens":13,"completion_tokens_details":{"accepted_prediction_tokens":0,"audio_tokens":0,"reasoning_tokens":0,"rejected_prediction_tokens":0},"prompt_tokens":594,"prompt_tokens_details":{"audio_tokens":0,"cached_tokens":0},"total_tokens":607}}</t>
  </si>
  <si>
    <t>Maison Mihara Yasuhiro Black White Twisted Sole Sneakers</t>
  </si>
  <si>
    <t>{"choices":[{"finish_reason":"stop","index":0,"logprobs":null,"message":{"annotations":[],"content":"Maison Mihara Yasuhiro black white platform sneakers with twisted sole, canvas and rubber design, embodying deconstruction aesthetics and retro street style for men and women.","refusal":null,"role":"assistant"}}],"created":1776415161,"id":"chatcmpl-DVZ1NupsepYCE6kgtgZAwrhsmRn6w","model":"gpt-5-chat-latest","object":"chat.completion","service_tier":"default","system_fingerprint":"fp_ad66631dec","usage":{"completion_tokens":34,"completion_tokens_details":{"accepted_prediction_tokens":0,"audio_tokens":0,"reasoning_tokens":0,"rejected_prediction_tokens":0},"prompt_tokens":634,"prompt_tokens_details":{"audio_tokens":0,"cached_tokens":0},"total_tokens":668}}</t>
  </si>
  <si>
    <t>Maison Mihara Yasuhiro black white platform sneakers with twisted sole, canvas and rubber design, embodying deconstruction aesthetics and retro street style for men and women.</t>
  </si>
  <si>
    <t>{"choices":[{"finish_reason":"stop","index":0,"logprobs":null,"message":{"annotations":[],"content":"Maison Mihara Yasuhiro, Shoes, kakobuy, kakebuy2026, kekobuysheet, kakobuysheet2026, 2026kakobuy, kakobuyspreadsheeet, kakobuylink, kakebuylist, Kakobuy MEGA Spreadsheet, kakobuysheetfind, kakobuysheetfind2026, 2026kakobuysheetfind, kakobuysheet2026","refusal":null,"role":"assistant"}}],"created":1776417130,"id":"chatcmpl-DVZX85wnS3AH3HtVK9XB3bVk2ulXG","model":"gpt-5-chat-latest","object":"chat.completion","service_tier":"default","system_fingerprint":"fp_ad66631dec","usage":{"completion_tokens":95,"completion_tokens_details":{"accepted_prediction_tokens":0,"audio_tokens":0,"reasoning_tokens":0,"rejected_prediction_tokens":0},"prompt_tokens":507,"prompt_tokens_details":{"audio_tokens":0,"cached_tokens":0},"total_tokens":602}}</t>
  </si>
  <si>
    <t>Canvas, Rubber, Deconstructed, Retro, Streetwear, Unisex</t>
  </si>
  <si>
    <t>recvh0B9A7aGWh</t>
  </si>
  <si>
    <t>mihara-yasuhiro-black-white-twisted-sole-recvh0b9a7agwh</t>
  </si>
  <si>
    <t>{"choices":[{"finish_reason":"stop","index":0,"logprobs":null,"message":{"annotations":[],"content":"Maison Mihara Yasuhiro黑白拼色厚底休闲鞋，采用优质帆布与橡胶材质，独特扭曲鞋底设计展现解构美学，复古街头风格男女皆宜，结合设计师前卫理念打造舒适与时尚兼具的潮流板鞋。","refusal":null,"role":"assistant"}}],"created":1776412413,"id":"chatcmpl-DVYJ3kfkDfYNqNI5hs0NKYY0b44qf","model":"gpt-5-chat-latest","object":"chat.completion","service_tier":"default","system_fingerprint":"fp_ad66631dec","usage":{"completion_tokens":75,"completion_tokens_details":{"accepted_prediction_tokens":0,"audio_tokens":0,"reasoning_tokens":0,"rejected_prediction_tokens":0},"prompt_tokens":1030,"prompt_tokens_details":{"audio_tokens":0,"cached_tokens":0},"total_tokens":1105}}</t>
  </si>
  <si>
    <t>Maison Mihara Yasuhiro黑白拼色厚底休闲鞋，采用优质帆布与橡胶材质，独特扭曲鞋底设计展现解构美学，复古街头风格男女皆宜，结合设计师前卫理念打造舒适与时尚兼具的潮流板鞋。</t>
  </si>
  <si>
    <t>240</t>
  </si>
  <si>
    <t>{"choices":[{"finish_reason":"stop","index":0,"logprobs":null,"message":{"annotations":[],"content":"Maison Mihara Yasuhiro Blakey Off White Sneakers","refusal":null,"role":"assistant"}}],"created":1776416187,"id":"chatcmpl-DVZHvkGrcAGkkKqCUDc6ufFocPqqJ","model":"gpt-5-chat-latest","object":"chat.completion","service_tier":"default","system_fingerprint":"fp_ad66631dec","usage":{"completion_tokens":12,"completion_tokens_details":{"accepted_prediction_tokens":0,"audio_tokens":0,"reasoning_tokens":0,"rejected_prediction_tokens":0},"prompt_tokens":876,"prompt_tokens_details":{"audio_tokens":0,"cached_tokens":0},"total_tokens":888}}</t>
  </si>
  <si>
    <t>Maison Mihara Yasuhiro Blakey Off White Sneakers</t>
  </si>
  <si>
    <t>{"id":"chatcmpl-DVZ3oY45ag1MS0qSB4rGFxF0xwuod","object":"chat.completion","created":1776415312,"model":"gpt-5-chat-latest","choices":[{"index":0,"message":{"role":"assistant","content":"Maison Mihara Yasuhiro Blakey Off-White Canvas Sneakers with Vintage Yellow Irregular Sole, Unisex Chunky Casual Shoes for Streetwear Style and Artistic Personality.","refusal":null,"annotations":[]},"logprobs":null,"finish_reason":"stop"}],"usage":{"prompt_tokens":900,"completion_tokens":35,"total_tokens":935,"prompt_tokens_details":{"cached_tokens":0,"audio_tokens":0},"completion_tokens_details":{"reasoning_tokens":0,"audio_tokens":0,"accepted_prediction_tokens":0,"rejected_prediction_tokens":0}},"service_tier":"default","system_fingerprint":"fp_ad66631dec"}</t>
  </si>
  <si>
    <t>Maison Mihara Yasuhiro Blakey Off-White Canvas Sneakers with Vintage Yellow Irregular Sole, Unisex Chunky Casual Shoes for Streetwear Style and Artistic Personality.</t>
  </si>
  <si>
    <t>{"choices":[{"finish_reason":"stop","index":0,"logprobs":null,"message":{"annotations":[],"content":"Maison Mihara Yasuhiro, shoes, kakobuy, kakebuy2026, kekobuysheet, kakobuysheet2026, 2026kakobuy, kakobuyspreadsheeet, kakobuylink, kakebuylist, Kakobuy MEGA Spreadsheet, kakobuysheetfind, kakobuysheetfind2026, 2026kakobuysheetfind, kakobuysheet2026","refusal":null,"role":"assistant"}}],"created":1776416957,"id":"chatcmpl-DVZULy2ZhgTzDm79RuSePgcYdvgsH","model":"gpt-5-chat-latest","object":"chat.completion","service_tier":"default","system_fingerprint":"fp_ad66631dec","usage":{"completion_tokens":95,"completion_tokens_details":{"accepted_prediction_tokens":0,"audio_tokens":0,"reasoning_tokens":0,"rejected_prediction_tokens":0},"prompt_tokens":787,"prompt_tokens_details":{"audio_tokens":0,"cached_tokens":0},"total_tokens":882}}</t>
  </si>
  <si>
    <t>White, Yellow, Canvas, Casual Shoes, Streetwear, Artistic Style</t>
  </si>
  <si>
    <t>recvh0B9A7Ca1j</t>
  </si>
  <si>
    <t>mihara-yasuhiro-blakey-off-white-recvh0b9a7ca1j</t>
  </si>
  <si>
    <t>{"choices":[{"finish_reason":"stop","index":0,"logprobs":null,"message":{"annotations":[],"content":"Maison Mihara Yasuhiro：Blakey系列米白厚底帆布鞋，复古黄橡胶不规则鞋底设计，兼具街头潮流与艺术感，男女通用休闲鞋款，展现独立个性风格。","refusal":null,"role":"assistant"}}],"created":1776412274,"id":"chatcmpl-DVYGoaJpKJXjOaRGXIYmTgAPO3Z00","model":"gpt-5-chat-latest","object":"chat.completion","service_tier":"default","system_fingerprint":"fp_ad66631dec","usage":{"completion_tokens":59,"completion_tokens_details":{"accepted_prediction_tokens":0,"audio_tokens":0,"reasoning_tokens":0,"rejected_prediction_tokens":0},"prompt_tokens":1314,"prompt_tokens_details":{"audio_tokens":0,"cached_tokens":0},"total_tokens":1373}}</t>
  </si>
  <si>
    <t>Maison Mihara Yasuhiro：Blakey系列米白厚底帆布鞋，复古黄橡胶不规则鞋底设计，兼具街头潮流与艺术感，男女通用休闲鞋款，展现独立个性风格。</t>
  </si>
  <si>
    <t>{"choices":[{"finish_reason":"stop","index":0,"logprobs":null,"message":{"annotations":[],"content":"MCM Classic Caramel Brown Leather Logo Slides","refusal":null,"role":"assistant"}}],"created":1776415985,"id":"chatcmpl-DVZEfzSOlcnHQNRj5MnLWKXkiGQsH","model":"gpt-5-chat-latest","object":"chat.completion","service_tier":"default","system_fingerprint":"fp_ad66631dec","usage":{"completion_tokens":10,"completion_tokens_details":{"accepted_prediction_tokens":0,"audio_tokens":0,"reasoning_tokens":0,"rejected_prediction_tokens":0},"prompt_tokens":879,"prompt_tokens_details":{"audio_tokens":0,"cached_tokens":0},"total_tokens":889}}</t>
  </si>
  <si>
    <t>MCM Classic Caramel Brown Leather Logo Slides</t>
  </si>
  <si>
    <t>{"choices":[{"finish_reason":"stop","index":0,"logprobs":null,"message":{"annotations":[],"content":"MCM Classic Caramel Brown Logo Slides feature premium leather uppers, copper-orange soles, and minimalist emblem design, offering luxury street style for men and women, ideal for modern casual wear.","refusal":null,"role":"assistant"}}],"created":1776415181,"id":"chatcmpl-DVZ1hH6DLMlENBZPIH0nns6G0Q8GE","model":"gpt-5-chat-latest","object":"chat.completion","service_tier":"default","system_fingerprint":"fp_ad66631dec","usage":{"completion_tokens":39,"completion_tokens_details":{"accepted_prediction_tokens":0,"audio_tokens":0,"reasoning_tokens":0,"rejected_prediction_tokens":0},"prompt_tokens":890,"prompt_tokens_details":{"audio_tokens":0,"cached_tokens":0},"total_tokens":929}}</t>
  </si>
  <si>
    <t>MCM Classic Caramel Brown Logo Slides feature premium leather uppers, copper-orange soles, and minimalist emblem design, offering luxury street style for men and women, ideal for modern casual wear.</t>
  </si>
  <si>
    <t>{"id":"chatcmpl-DVZbXKrqiltQMpVVLO1AVAjiji9jg","object":"chat.completion","created":1776417403,"model":"gpt-5-chat-latest","choices":[{"index":0,"message":{"role":"assistant","content":"MCM,Slippers,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88,"total_tokens":871,"prompt_tokens_details":{"cached_tokens":0,"audio_tokens":0},"completion_tokens_details":{"reasoning_tokens":0,"audio_tokens":0,"accepted_prediction_tokens":0,"rejected_prediction_tokens":0}},"service_tier":"default","system_fingerprint":"fp_ad66631dec"}</t>
  </si>
  <si>
    <t>MCM, Slides, Brown, Leather, Unisex</t>
  </si>
  <si>
    <t>recvh0B9A7TbGy</t>
  </si>
  <si>
    <t>mcm-classic-caramel-brown-leather-logo-slides-recvh0b9a7tbGy</t>
  </si>
  <si>
    <t>{"choices":[{"finish_reason":"stop","index":0,"logprobs":null,"message":{"annotations":[],"content":"MCM：经典焦糖棕Logo拖鞋，优质皮质鞋面搭配橙铜色鞋底，简约徽章图腾设计，彰显奢潮格调，男女皆宜，适合现代休闲出行。","refusal":null,"role":"assistant"}}],"created":1776412325,"id":"chatcmpl-DVYHd4wKS3GCzE0KWmkfFehLkIt9f","model":"gpt-5-chat-latest","object":"chat.completion","service_tier":"default","system_fingerprint":"fp_ad66631dec","usage":{"completion_tokens":56,"completion_tokens_details":{"accepted_prediction_tokens":0,"audio_tokens":0,"reasoning_tokens":0,"rejected_prediction_tokens":0},"prompt_tokens":1302,"prompt_tokens_details":{"audio_tokens":0,"cached_tokens":0},"total_tokens":1358}}</t>
  </si>
  <si>
    <t>MCM：经典焦糖棕Logo拖鞋，优质皮质鞋面搭配橙铜色鞋底，简约徽章图腾设计，彰显奢潮格调，男女皆宜，适合现代休闲出行。</t>
  </si>
  <si>
    <t>{"choices":[{"finish_reason":"stop","index":0,"logprobs":null,"message":{"annotations":[],"content":"MCM Blue Logo Print Unisex PVC Slide Sandals","refusal":null,"role":"assistant"}}],"created":1776416372,"id":"chatcmpl-DVZKuoKDNDj6Mwd3q5mpAJmNs5Amv","model":"gpt-5-chat-latest","object":"chat.completion","service_tier":"default","system_fingerprint":"fp_ad66631dec","usage":{"completion_tokens":12,"completion_tokens_details":{"accepted_prediction_tokens":0,"audio_tokens":0,"reasoning_tokens":0,"rejected_prediction_tokens":0},"prompt_tokens":875,"prompt_tokens_details":{"audio_tokens":0,"cached_tokens":0},"total_tokens":887}}</t>
  </si>
  <si>
    <t>MCM Blue Logo Print Unisex PVC Slide Sandals</t>
  </si>
  <si>
    <t>{"choices":[{"finish_reason":"stop","index":0,"logprobs":null,"message":{"annotations":[],"content":"MCM Blue Logo Print Slides made of premium PVC, lightweight, non-slip, soft, and comfortable. Unisex design blends modern urban style and luxury for a chic summer look.","refusal":null,"role":"assistant"}}],"created":1776415292,"id":"chatcmpl-DVZ3UllqLOXAvm5Na8UJ76qEnvjkO","model":"gpt-5-chat-latest","object":"chat.completion","service_tier":"default","system_fingerprint":"fp_ad66631dec","usage":{"completion_tokens":37,"completion_tokens_details":{"accepted_prediction_tokens":0,"audio_tokens":0,"reasoning_tokens":0,"rejected_prediction_tokens":0},"prompt_tokens":922,"prompt_tokens_details":{"audio_tokens":0,"cached_tokens":0},"total_tokens":959}}</t>
  </si>
  <si>
    <t>MCM Blue Logo Print Slides made of premium PVC, lightweight, non-slip, soft, and comfortable. Unisex design blends modern urban style and luxury for a chic summer look.</t>
  </si>
  <si>
    <t>{"choices":[{"finish_reason":"stop","index":0,"logprobs":null,"message":{"annotations":[],"content":"MCM, slippers, kakobuy, kakebuy2026, kekobuysheet, kakobuysheet2026, 2026kakobuy, kakobuyspreadsheeet, kakobuylink, kakebuylist, Kakobuy MEGA Spreadsheet, kakobuysheetfind, kakobuysheetfind2026, 2026kakobuysheetfind, kakobuysheet2026","refusal":null,"role":"assistant"}}],"created":1776417043,"id":"chatcmpl-DVZVjFg1JTVKF3Yht2R3SMAEgDkAo","model":"gpt-5-chat-latest","object":"chat.completion","service_tier":"default","system_fingerprint":"fp_ad66631dec","usage":{"completion_tokens":91,"completion_tokens_details":{"accepted_prediction_tokens":0,"audio_tokens":0,"reasoning_tokens":0,"rejected_prediction_tokens":0},"prompt_tokens":783,"prompt_tokens_details":{"audio_tokens":0,"cached_tokens":0},"total_tokens":874}}</t>
  </si>
  <si>
    <t>MCM, Slides, Blue, Summer, Unisex</t>
  </si>
  <si>
    <t>recvh0B9A7INPk</t>
  </si>
  <si>
    <t>mcm-blue-logo-print-pvc-slide-recvh0b9a7inpk</t>
  </si>
  <si>
    <t>{"id":"chatcmpl-DVYCiwtmXRR6rsbjNArcqh52JVgpS","object":"chat.completion","created":1776412020,"model":"gpt-5-chat-latest","choices":[{"index":0,"message":{"role":"assistant","content":"MCM：蓝色经典Logo图腾印花拖鞋，采用优质PVC材质制成，轻盈防滑，脚感柔软舒适。简约一片式鞋面搭配品牌标志性印纹设计，展现奢华休闲格调。适合男女通用穿搭，融合现代都市与潮流元素，打造时尚夏日休闲造型。","refusal":null,"annotations":[]},"logprobs":null,"finish_reason":"stop"}],"usage":{"prompt_tokens":1300,"completion_tokens":89,"total_tokens":1389,"prompt_tokens_details":{"cached_tokens":0,"audio_tokens":0},"completion_tokens_details":{"reasoning_tokens":0,"audio_tokens":0,"accepted_prediction_tokens":0,"rejected_prediction_tokens":0}},"service_tier":"default","system_fingerprint":"fp_ad66631dec"}</t>
  </si>
  <si>
    <t>MCM：蓝色经典Logo图腾印花拖鞋，采用优质PVC材质制成，轻盈防滑，脚感柔软舒适。简约一片式鞋面搭配品牌标志性印纹设计，展现奢华休闲格调。适合男女通用穿搭，融合现代都市与潮流元素，打造时尚夏日休闲造型。</t>
  </si>
  <si>
    <t>{"id":"chatcmpl-DVZFwkDg7d5PmhbUso32NVKITkZNZ","object":"chat.completion","created":1776416064,"model":"gpt-5-chat-latest","choices":[{"index":0,"message":{"role":"assistant","content":"MCM Classic Logo Black White Rubber Slides Unisex","refusal":null,"annotations":[]},"logprobs":null,"finish_reason":"stop"}],"usage":{"prompt_tokens":867,"completion_tokens":11,"total_tokens":878,"prompt_tokens_details":{"cached_tokens":0,"audio_tokens":0},"completion_tokens_details":{"reasoning_tokens":0,"audio_tokens":0,"accepted_prediction_tokens":0,"rejected_prediction_tokens":0}},"service_tier":"default","system_fingerprint":"fp_ad66631dec"}</t>
  </si>
  <si>
    <t>MCM Classic Logo Black White Rubber Slides Unisex</t>
  </si>
  <si>
    <t>{"choices":[{"finish_reason":"stop","index":0,"logprobs":null,"message":{"annotations":[],"content":"MCM classic logo black and white slides, made from lightweight anti-slip rubber with a sleek one-piece design. Unisex style blending comfort and modern urban fashion.","refusal":null,"role":"assistant"}}],"created":1776414972,"id":"chatcmpl-DVYyKiSQj6aWUIZI8yZ11IPBhn6GQ","model":"gpt-5-chat-latest","object":"chat.completion","service_tier":"default","system_fingerprint":"fp_ad66631dec","usage":{"completion_tokens":33,"completion_tokens_details":{"accepted_prediction_tokens":0,"audio_tokens":0,"reasoning_tokens":0,"rejected_prediction_tokens":0},"prompt_tokens":886,"prompt_tokens_details":{"audio_tokens":0,"cached_tokens":0},"total_tokens":919}}</t>
  </si>
  <si>
    <t>MCM classic logo black and white slides, made from lightweight anti-slip rubber with a sleek one-piece design. Unisex style blending comfort and modern urban fashion.</t>
  </si>
  <si>
    <t>{"choices":[{"finish_reason":"stop","index":0,"logprobs":null,"message":{"annotations":[],"content":"MCM, slides, kakobuy, kakebuy2026, kekobuysheet, kakobuysheet2026, 2026kakobuy, kakobuyspreadsheeet, kakobuylink, kakebuylist, Kakobuy MEGA Spreadsheet, kakobuysheetfind, kakobuysheetfind2026, 2026kakobuysheetfind, kakobuysheet2026","refusal":null,"role":"assistant"}}],"created":1776416853,"id":"chatcmpl-DVZSfwKCs6tSupXPGG0myQKtLVfFK","model":"gpt-5-chat-latest","object":"chat.completion","service_tier":"default","system_fingerprint":"fp_ad66631dec","usage":{"completion_tokens":91,"completion_tokens_details":{"accepted_prediction_tokens":0,"audio_tokens":0,"reasoning_tokens":0,"rejected_prediction_tokens":0},"prompt_tokens":783,"prompt_tokens_details":{"audio_tokens":0,"cached_tokens":0},"total_tokens":874}}</t>
  </si>
  <si>
    <t>MCM, slides, kakobuy, kakebuy2026, kekobuysheet, kakobuysheet2026, 2026kakobuy, kakobuyspreadsheeet, kakobuylink, kakebuylist, Kakobuy MEGA Spreadsheet, kakobuysheetfind, kakobuysheetfind2026, 2026kakobuysheetfind, kakobuysheet2026</t>
  </si>
  <si>
    <t>MCM, Slides, Black, White, Unisex, Anti-Slip</t>
  </si>
  <si>
    <t>recvh0B9A73e2g</t>
  </si>
  <si>
    <t>mcm-classic-logo-black-white-rubber-slides-unisex-recvh0b9a73e2g</t>
  </si>
  <si>
    <t>{"choices":[{"finish_reason":"stop","index":0,"logprobs":null,"message":{"annotations":[],"content":"MCM：经典Logo黑白配色拖鞋，轻盈防滑橡胶材质打造，简约一片式设计，男女皆宜，展现现代都市休闲风格，舒适与时尚并存。","refusal":null,"role":"assistant"}}],"created":1776412272,"id":"chatcmpl-DVYGmBZwLo3qqlB9mJqal1HptRKkO","model":"gpt-5-chat-latest","object":"chat.completion","service_tier":"default","system_fingerprint":"fp_ad66631dec","usage":{"completion_tokens":52,"completion_tokens_details":{"accepted_prediction_tokens":0,"audio_tokens":0,"reasoning_tokens":0,"rejected_prediction_tokens":0},"prompt_tokens":1302,"prompt_tokens_details":{"audio_tokens":0,"cached_tokens":0},"total_tokens":1354}}</t>
  </si>
  <si>
    <t>MCM：经典Logo黑白配色拖鞋，轻盈防滑橡胶材质打造，简约一片式设计，男女皆宜，展现现代都市休闲风格，舒适与时尚并存。</t>
  </si>
  <si>
    <t>{"id":"chatcmpl-DVZIlR3fhdWpUcn3yxzKRxcwMi6Vd","object":"chat.completion","created":1776416239,"model":"gpt-5-chat-latest","choices":[{"index":0,"message":{"role":"assistant","content":"MCM Visetos Grey White Logo Slides Unisex Summer Comfort","refusal":null,"annotations":[]},"logprobs":null,"finish_reason":"stop"}],"usage":{"prompt_tokens":877,"completion_tokens":13,"total_tokens":890,"prompt_tokens_details":{"cached_tokens":0,"audio_tokens":0},"completion_tokens_details":{"reasoning_tokens":0,"audio_tokens":0,"accepted_prediction_tokens":0,"rejected_prediction_tokens":0}},"service_tier":"default","system_fingerprint":"fp_ad66631dec"}</t>
  </si>
  <si>
    <t>MCM Visetos Grey White Logo Slides Unisex Summer Comfort</t>
  </si>
  <si>
    <t>{"choices":[{"finish_reason":"stop","index":0,"logprobs":null,"message":{"annotations":[],"content":"MCM Visetos Grey White Slides for Men and Women, featuring signature logo and diamond motif, soft leather strap, flexible rubber sole, minimalist street style, lightweight comfort for summer wear.","refusal":null,"role":"assistant"}}],"created":1776415381,"id":"chatcmpl-DVZ4vv2FkgkEBCJgL5K1pwm2kTjuD","model":"gpt-5-chat-latest","object":"chat.completion","service_tier":"default","system_fingerprint":"fp_ad66631dec","usage":{"completion_tokens":38,"completion_tokens_details":{"accepted_prediction_tokens":0,"audio_tokens":0,"reasoning_tokens":0,"rejected_prediction_tokens":0},"prompt_tokens":904,"prompt_tokens_details":{"audio_tokens":0,"cached_tokens":0},"total_tokens":942}}</t>
  </si>
  <si>
    <t>MCM Visetos Grey White Slides for Men and Women, featuring signature logo and diamond motif, soft leather strap, flexible rubber sole, minimalist street style, lightweight comfort for summer wear.</t>
  </si>
  <si>
    <t>{"id":"chatcmpl-DVZZDFqPkV07q2Y8t7DdMA9wZMNUm","object":"chat.completion","created":1776417259,"model":"gpt-5-chat-latest","choices":[{"index":0,"message":{"role":"assistant","content":"MCM, slides, kakobuy, kakebuy2026, kekobuysheet, kakobuysheet2026, 2026kakobuy, kakobuyspreadsheeet, kakobuylink, kakebuylist, Kakobuy MEGA Spreadsheet, kakobuysheetfind, kakobuysheetfind2026, 2026kakobuysheetfind, kakobuysheet2026","refusal":null,"annotations":[]},"logprobs":null,"finish_reason":"stop"}],"usage":{"prompt_tokens":783,"completion_tokens":91,"total_tokens":874,"prompt_tokens_details":{"cached_tokens":0,"audio_tokens":0},"completion_tokens_details":{"reasoning_tokens":0,"audio_tokens":0,"accepted_prediction_tokens":0,"rejected_prediction_tokens":0}},"service_tier":"default","system_fingerprint":"fp_ad66631dec"}</t>
  </si>
  <si>
    <t>MCM, Slides, Grey, White, Summer, Unisex</t>
  </si>
  <si>
    <t>recvh0B9A7Ipvc</t>
  </si>
  <si>
    <t>mcm-visetos-grey-white-logo-slides-recvh0b9a7ipvc</t>
  </si>
  <si>
    <t>{"id":"chatcmpl-DVYJV2CrClDQ5YzZh9vQzOLiWtp4I","object":"chat.completion","created":1776412441,"model":"gpt-5-chat-latest","choices":[{"index":0,"message":{"role":"assistant","content":"MCM：经典Visetos灰白配色男女同款凉拖，采用柔韧橡胶鞋底与皮质鞋带，印有标志性Logo字母与菱形图腾，极简街头风设计，轻盈舒适，适合夏日休闲穿搭。","refusal":null,"annotations":[]},"logprobs":null,"finish_reason":"stop"}],"usage":{"prompt_tokens":1306,"completion_tokens":68,"total_tokens":1374,"prompt_tokens_details":{"cached_tokens":0,"audio_tokens":0},"completion_tokens_details":{"reasoning_tokens":0,"audio_tokens":0,"accepted_prediction_tokens":0,"rejected_prediction_tokens":0}},"service_tier":"default","system_fingerprint":"fp_ad66631dec"}</t>
  </si>
  <si>
    <t>MCM：经典Visetos灰白配色男女同款凉拖，采用柔韧橡胶鞋底与皮质鞋带，印有标志性Logo字母与菱形图腾，极简街头风设计，轻盈舒适，适合夏日休闲穿搭。</t>
  </si>
  <si>
    <t>{"choices":[{"finish_reason":"stop","index":0,"logprobs":null,"message":{"annotations":[],"content":"MCM Logo Black White Luxury Unisex EVA Slides","refusal":null,"role":"assistant"}}],"created":1776416028,"id":"chatcmpl-DVZFMVkAFsmvnY4L9dKigfzXnFBcJ","model":"gpt-5-chat-latest","object":"chat.completion","service_tier":"default","system_fingerprint":"fp_ad66631dec","usage":{"completion_tokens":11,"completion_tokens_details":{"accepted_prediction_tokens":0,"audio_tokens":0,"reasoning_tokens":0,"rejected_prediction_tokens":0},"prompt_tokens":871,"prompt_tokens_details":{"audio_tokens":0,"cached_tokens":0},"total_tokens":882}}</t>
  </si>
  <si>
    <t>MCM Logo Black White Luxury Unisex EVA Slides</t>
  </si>
  <si>
    <t>{"choices":[{"finish_reason":"stop","index":0,"logprobs":null,"message":{"annotations":[],"content":"ShoesMCM MCM Logo Black White Luxury Slides, made with flexible waterproof EVA and ergonomic sole, unisex minimalist street style, breathable comfort for modern fashion lovers.","refusal":null,"role":"assistant"}}],"created":1776415021,"id":"chatcmpl-DVYz77B1le1OHDzanmX4b3y7Vl6mK","model":"gpt-5-chat-latest","object":"chat.completion","service_tier":"default","system_fingerprint":"fp_ad66631dec","usage":{"completion_tokens":35,"completion_tokens_details":{"accepted_prediction_tokens":0,"audio_tokens":0,"reasoning_tokens":0,"rejected_prediction_tokens":0},"prompt_tokens":897,"prompt_tokens_details":{"audio_tokens":0,"cached_tokens":0},"total_tokens":932}}</t>
  </si>
  <si>
    <t>ShoesMCM MCM Logo Black White Luxury Slides, made with flexible waterproof EVA and ergonomic sole, unisex minimalist street style, breathable comfort for modern fashion lovers.</t>
  </si>
  <si>
    <t>{"choices":[{"finish_reason":"stop","index":0,"logprobs":null,"message":{"annotations":[],"content":"MCM,Slippers,kakobuy,kakebuy2026,kekobuysheet,kakobuysheet2026,2026kakobuy,kakobuyspreadsheeet,kakobuylink,kakebuylist,Kakobuy MEGA Spreadsheet,kakobuysheetfind,kakobuysheetfind2026,2026kakobuysheetfind,kakobuysheet2026","refusal":null,"role":"assistant"}}],"created":1776416886,"id":"chatcmpl-DVZTCR6lDKDy3YfNoHoFpWcVn8YrJ","model":"gpt-5-chat-latest","object":"chat.completion","service_tier":"default","system_fingerprint":"fp_ad66631dec","usage":{"completion_tokens":88,"completion_tokens_details":{"accepted_prediction_tokens":0,"audio_tokens":0,"reasoning_tokens":0,"rejected_prediction_tokens":0},"prompt_tokens":783,"prompt_tokens_details":{"audio_tokens":0,"cached_tokens":0},"total_tokens":871}}</t>
  </si>
  <si>
    <t>MCM, Slides, Black, White, Unisex, Streetwear</t>
  </si>
  <si>
    <t>recvh0B9A7PRXV</t>
  </si>
  <si>
    <t>mcm-logo-black-white-eva-slides-recvh0b9a7prxv</t>
  </si>
  <si>
    <t>{"choices":[{"finish_reason":"stop","index":0,"logprobs":null,"message":{"annotations":[],"content":"MCM：黑白Logo图腾轻奢休闲拖鞋，采用柔韧防水EVA材质与人体工学鞋底设计，男女通用款，极简街头风格，舒适透气，彰显现代奢潮品味。","refusal":null,"role":"assistant"}}],"created":1776412380,"id":"chatcmpl-DVYIWQfXNVe4nAiHqL7RbsiDMslCy","model":"gpt-5-chat-latest","object":"chat.completion","service_tier":"default","system_fingerprint":"fp_ad66631dec","usage":{"completion_tokens":61,"completion_tokens_details":{"accepted_prediction_tokens":0,"audio_tokens":0,"reasoning_tokens":0,"rejected_prediction_tokens":0},"prompt_tokens":1306,"prompt_tokens_details":{"audio_tokens":0,"cached_tokens":1280},"total_tokens":1367}}</t>
  </si>
  <si>
    <t>MCM：黑白Logo图腾轻奢休闲拖鞋，采用柔韧防水EVA材质与人体工学鞋底设计，男女通用款，极简街头风格，舒适透气，彰显现代奢潮品味。</t>
  </si>
  <si>
    <t>820</t>
  </si>
  <si>
    <t>{"id":"chatcmpl-DVZJqnLUny6TNzFGGGFQO6rSPt2ou","object":"chat.completion","created":1776416306,"model":"gpt-5-chat-latest","choices":[{"index":0,"message":{"role":"assistant","content":"MCM Lago Beige Visetos Leather Unisex Sneakers","refusal":null,"annotations":[]},"logprobs":null,"finish_reason":"stop"}],"usage":{"prompt_tokens":877,"completion_tokens":11,"total_tokens":888,"prompt_tokens_details":{"cached_tokens":0,"audio_tokens":0},"completion_tokens_details":{"reasoning_tokens":0,"audio_tokens":0,"accepted_prediction_tokens":0,"rejected_prediction_tokens":0}},"service_tier":"default","system_fingerprint":"fp_ad66631dec"}</t>
  </si>
  <si>
    <t>MCM Lago Beige Visetos Leather Unisex Sneakers</t>
  </si>
  <si>
    <t>{"choices":[{"finish_reason":"stop","index":0,"logprobs":null,"message":{"annotations":[],"content":"MCM Lago Beige Printed Sneakers feature premium leather and fabric mix, iconic Visetos motif, thick cushioned sole for comfort and support, unisex design merging classic luxury with street style.","refusal":null,"role":"assistant"}}],"created":1776414782,"id":"chatcmpl-DVYvGBCxpfWG7PiB5qJ2JVvcjfErk","model":"gpt-5-chat-latest","object":"chat.completion","service_tier":"default","system_fingerprint":"fp_ad66631dec","usage":{"completion_tokens":38,"completion_tokens_details":{"accepted_prediction_tokens":0,"audio_tokens":0,"reasoning_tokens":0,"rejected_prediction_tokens":0},"prompt_tokens":906,"prompt_tokens_details":{"audio_tokens":0,"cached_tokens":0},"total_tokens":944}}</t>
  </si>
  <si>
    <t>MCM Lago Beige Printed Sneakers feature premium leather and fabric mix, iconic Visetos motif, thick cushioned sole for comfort and support, unisex design merging classic luxury with street style.</t>
  </si>
  <si>
    <t>{"choices":[{"finish_reason":"stop","index":0,"logprobs":null,"message":{"annotations":[],"content":"MCM, Shoes, kakobuy, kakebuy2026, kekobuysheet, kakobuysheet2026, 2026kakobuy, kakobuyspreadsheeet, kakobuylink, kakebuylist, Kakobuy MEGA Spreadsheet, kakobuysheetfind, kakobuysheetfind2026, 2026kakobuysheetfind, kakobuysheet2026","refusal":null,"role":"assistant"}}],"created":1776417092,"id":"chatcmpl-DVZWWznEg8wzPmynf7b19t8xXTRsR","model":"gpt-5-chat-latest","object":"chat.completion","service_tier":"default","system_fingerprint":"fp_ad66631dec","usage":{"completion_tokens":91,"completion_tokens_details":{"accepted_prediction_tokens":0,"audio_tokens":0,"reasoning_tokens":0,"rejected_prediction_tokens":0},"prompt_tokens":783,"prompt_tokens_details":{"audio_tokens":0,"cached_tokens":0},"total_tokens":874}}</t>
  </si>
  <si>
    <t>MCM, Leather, Unisex, Classic, Streetwear, Sneakers</t>
  </si>
  <si>
    <t>recvh0B9A7nVTj</t>
  </si>
  <si>
    <t>mcm-lago-beige-visetos-leather-recvh0b9a7nvtj</t>
  </si>
  <si>
    <t>{"choices":[{"finish_reason":"stop","index":0,"logprobs":null,"message":{"annotations":[],"content":"MCM：Lago系列米色印花休闲运动鞋，甄选高级皮革与织物拼接材质，标志性Visetos图腾彰显奢潮格调，厚底缓震设计提升舒适度与支撑力，男女通用款，融合经典与未来街头风。","refusal":null,"role":"assistant"}}],"created":1776412521,"id":"chatcmpl-DVYKnHhMb7MtvGKfwCLuJYtSiPdBl","model":"gpt-5-chat-latest","object":"chat.completion","service_tier":"default","system_fingerprint":"fp_ad66631dec","usage":{"completion_tokens":72,"completion_tokens_details":{"accepted_prediction_tokens":0,"audio_tokens":0,"reasoning_tokens":0,"rejected_prediction_tokens":0},"prompt_tokens":1302,"prompt_tokens_details":{"audio_tokens":0,"cached_tokens":0},"total_tokens":1374}}</t>
  </si>
  <si>
    <t>MCM：Lago系列米色印花休闲运动鞋，甄选高级皮革与织物拼接材质，标志性Visetos图腾彰显奢潮格调，厚底缓震设计提升舒适度与支撑力，男女通用款，融合经典与未来街头风。</t>
  </si>
  <si>
    <t>{"choices":[{"finish_reason":"stop","index":0,"logprobs":null,"message":{"annotations":[],"content":"MCM Retro Colorblock Beige Green Suede Mesh Sneakers","refusal":null,"role":"assistant"}}],"created":1776415814,"id":"chatcmpl-DVZBupf9be3TR5srAAnhlTZNWTI6D","model":"gpt-5-chat-latest","object":"chat.completion","service_tier":"default","system_fingerprint":"fp_ad66631dec","usage":{"completion_tokens":12,"completion_tokens_details":{"accepted_prediction_tokens":0,"audio_tokens":0,"reasoning_tokens":0,"rejected_prediction_tokens":0},"prompt_tokens":883,"prompt_tokens_details":{"audio_tokens":0,"cached_tokens":0},"total_tokens":895}}</t>
  </si>
  <si>
    <t>MCM Retro Colorblock Beige Green Suede Mesh Sneakers</t>
  </si>
  <si>
    <t>{"choices":[{"finish_reason":"stop","index":0,"logprobs":null,"message":{"annotations":[],"content":"ShoesMCM Retro Colorblock Sneakers feature suede and mesh mix in beige, green, and caramel with signature yellow logo. Lightweight cushioned sole for comfort and style, perfect unisex urban fashion.","refusal":null,"role":"assistant"}}],"created":1776415166,"id":"chatcmpl-DVZ1SDxZM4JqTLrdSMlvuOJiRjNJM","model":"gpt-5-chat-latest","object":"chat.completion","service_tier":"default","system_fingerprint":"fp_ad66631dec","usage":{"completion_tokens":41,"completion_tokens_details":{"accepted_prediction_tokens":0,"audio_tokens":0,"reasoning_tokens":0,"rejected_prediction_tokens":0},"prompt_tokens":915,"prompt_tokens_details":{"audio_tokens":0,"cached_tokens":0},"total_tokens":956}}</t>
  </si>
  <si>
    <t>ShoesMCM Retro Colorblock Sneakers feature suede and mesh mix in beige, green, and caramel with signature yellow logo. Lightweight cushioned sole for comfort and style, perfect unisex urban fashion.</t>
  </si>
  <si>
    <t>{"id":"chatcmpl-DVZXFlarVfuB8zjG1iwdr3wsaHLCf","object":"chat.completion","created":1776417137,"model":"gpt-5-chat-latest","choices":[{"index":0,"message":{"role":"assistant","content":"MCM,Shoes,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87,"total_tokens":870,"prompt_tokens_details":{"cached_tokens":0,"audio_tokens":0},"completion_tokens_details":{"reasoning_tokens":0,"audio_tokens":0,"accepted_prediction_tokens":0,"rejected_prediction_tokens":0}},"service_tier":"default","system_fingerprint":"fp_ad66631dec"}</t>
  </si>
  <si>
    <t>MCM, Suede, Mesh, Beige, Green, Unisex</t>
  </si>
  <si>
    <t>recvh0B9A7Q52A</t>
  </si>
  <si>
    <t>mcm-retro-colorblock-beige-green-suede-mesh-recvh0b9a7q52a</t>
  </si>
  <si>
    <t>{"choices":[{"finish_reason":"stop","index":0,"logprobs":null,"message":{"annotations":[],"content":"MCM：复古拼色运动休闲鞋，采用麂皮与织物拼接材质，米色、绿色与焦糖色撞色设计，搭配标志性Logo黄标点缀。轻盈厚底缓震结构，兼具时尚与舒适性能，男女皆宜，演绎都市复古潮流格调。","refusal":null,"role":"assistant"}}],"created":1776412230,"id":"chatcmpl-DVYG6a1NRkaeqclGifnBz32RqwOfc","model":"gpt-5-chat-latest","object":"chat.completion","service_tier":"default","system_fingerprint":"fp_ad66631dec","usage":{"completion_tokens":81,"completion_tokens_details":{"accepted_prediction_tokens":0,"audio_tokens":0,"reasoning_tokens":0,"rejected_prediction_tokens":0},"prompt_tokens":1302,"prompt_tokens_details":{"audio_tokens":0,"cached_tokens":0},"total_tokens":1383}}</t>
  </si>
  <si>
    <t>MCM：复古拼色运动休闲鞋，采用麂皮与织物拼接材质，米色、绿色与焦糖色撞色设计，搭配标志性Logo黄标点缀。轻盈厚底缓震结构，兼具时尚与舒适性能，男女皆宜，演绎都市复古潮流格调。</t>
  </si>
  <si>
    <t>760</t>
  </si>
  <si>
    <t>{"choices":[{"finish_reason":"stop","index":0,"logprobs":null,"message":{"annotations":[],"content":"Air Jordan Retro 4 White Grey Basketball Sneakers","refusal":null,"role":"assistant"}}],"created":1776416322,"id":"chatcmpl-DVZK6aPr11VaCLiECoDNSBzE2xhe9","model":"gpt-5-chat-latest","object":"chat.completion","service_tier":"default","system_fingerprint":"fp_ad66631dec","usage":{"completion_tokens":10,"completion_tokens_details":{"accepted_prediction_tokens":0,"audio_tokens":0,"reasoning_tokens":0,"rejected_prediction_tokens":0},"prompt_tokens":872,"prompt_tokens_details":{"audio_tokens":0,"cached_tokens":0},"total_tokens":882}}</t>
  </si>
  <si>
    <t>Air Jordan Retro 4 White Grey Basketball Sneakers</t>
  </si>
  <si>
    <t>{"choices":[{"finish_reason":"stop","index":0,"logprobs":null,"message":{"annotations":[],"content":"Air Jordan Retro 4 White Grey Basketball Shoes feature premium leather and breathable mesh design with Air cushioning midsole, offering classic 90s street style for men and women.","refusal":null,"role":"assistant"}}],"created":1776414838,"id":"chatcmpl-DVYwALZra7lNxz6F5sxUay7bTCcFv","model":"gpt-5-chat-latest","object":"chat.completion","service_tier":"default","system_fingerprint":"fp_ad66631dec","usage":{"completion_tokens":35,"completion_tokens_details":{"accepted_prediction_tokens":0,"audio_tokens":0,"reasoning_tokens":0,"rejected_prediction_tokens":0},"prompt_tokens":895,"prompt_tokens_details":{"audio_tokens":0,"cached_tokens":0},"total_tokens":930}}</t>
  </si>
  <si>
    <t>Air Jordan Retro 4 White Grey Basketball Shoes feature premium leather and breathable mesh design with Air cushioning midsole, offering classic 90s street style for men and women.</t>
  </si>
  <si>
    <t>{"choices":[{"finish_reason":"stop","index":0,"logprobs":null,"message":{"annotations":[],"content":"Air Jordan,Shoes,kakobuy,kakebuy2026,kekobuysheet,kakobuysheet2026,2026kakobuy,kakobuyspreadsheeet,kakobuylink,kakebuylist,Kakobuy MEGA Spreadsheet,kakobuysheetfind,kakobuysheetfind2026,2026kakobuysheetfind,kakobuysheet2026","refusal":null,"role":"assistant"}}],"created":1776416968,"id":"chatcmpl-DVZUWnWyH0l1SsP231tCwX122YFLl","model":"gpt-5-chat-latest","object":"chat.completion","service_tier":"default","system_fingerprint":"fp_ad66631dec","usage":{"completion_tokens":87,"completion_tokens_details":{"accepted_prediction_tokens":0,"audio_tokens":0,"reasoning_tokens":0,"rejected_prediction_tokens":0},"prompt_tokens":783,"prompt_tokens_details":{"audio_tokens":0,"cached_tokens":0},"total_tokens":870}}</t>
  </si>
  <si>
    <t>AJ4, Retro, Leather, Mesh, Air Cushion, Basketball Shoes</t>
  </si>
  <si>
    <t>recvh0B9A7YvT7</t>
  </si>
  <si>
    <t>air-jordan-retro-4-white-grey-recvh0b9a7yvT7</t>
  </si>
  <si>
    <t>{"choices":[{"finish_reason":"stop","index":0,"logprobs":null,"message":{"annotations":[],"content":"Air Jordan：复古白灰配色篮球鞋，优质皮革与透气网眼拼接设计，搭载气垫缓震中底，展现街头运动风格，男女皆宜，经典四代款式重释90年代潮流。","refusal":null,"role":"assistant"}}],"created":1776412339,"id":"chatcmpl-DVYHryd2mYQdnW3j8IbchKoonNkG7","model":"gpt-5-chat-latest","object":"chat.completion","service_tier":"default","system_fingerprint":"fp_ad66631dec","usage":{"completion_tokens":60,"completion_tokens_details":{"accepted_prediction_tokens":0,"audio_tokens":0,"reasoning_tokens":0,"rejected_prediction_tokens":0},"prompt_tokens":1302,"prompt_tokens_details":{"audio_tokens":0,"cached_tokens":1280},"total_tokens":1362}}</t>
  </si>
  <si>
    <t>Air Jordan：复古白灰配色篮球鞋，优质皮革与透气网眼拼接设计，搭载气垫缓震中底，展现街头运动风格，男女皆宜，经典四代款式重释90年代潮流。</t>
  </si>
  <si>
    <t>{"id":"chatcmpl-DVZFVT8D7kaS02YzeD29WybSd73da","object":"chat.completion","created":1776416037,"model":"gpt-5-chat-latest","choices":[{"index":0,"message":{"role":"assistant","content":"Maison Mihara Yasuhiro Red Deconstructed Platform Canvas Sneakers","refusal":null,"annotations":[]},"logprobs":null,"finish_reason":"stop"}],"usage":{"prompt_tokens":598,"completion_tokens":13,"total_tokens":611,"prompt_tokens_details":{"cached_tokens":0,"audio_tokens":0},"completion_tokens_details":{"reasoning_tokens":0,"audio_tokens":0,"accepted_prediction_tokens":0,"rejected_prediction_tokens":0}},"service_tier":"default","system_fingerprint":"fp_ad66631dec"}</t>
  </si>
  <si>
    <t>Maison Mihara Yasuhiro Red Deconstructed Platform Canvas Sneakers</t>
  </si>
  <si>
    <t>{"choices":[{"finish_reason":"stop","index":0,"logprobs":null,"message":{"annotations":[],"content":"Maison Mihara Yasuhiro red deconstructed platform sneakers with premium cotton canvas upper and wavy rubber sole, unisex streetwear style blending retro charm and avant-garde fashion.","refusal":null,"role":"assistant"}}],"created":1776415245,"id":"chatcmpl-DVZ2jjLnZYFZfJnafCbLlCUVTKALP","model":"gpt-5-chat-latest","object":"chat.completion","service_tier":"default","system_fingerprint":"fp_ad66631dec","usage":{"completion_tokens":36,"completion_tokens_details":{"accepted_prediction_tokens":0,"audio_tokens":0,"reasoning_tokens":0,"rejected_prediction_tokens":0},"prompt_tokens":621,"prompt_tokens_details":{"audio_tokens":0,"cached_tokens":0},"total_tokens":657}}</t>
  </si>
  <si>
    <t>Maison Mihara Yasuhiro red deconstructed platform sneakers with premium cotton canvas upper and wavy rubber sole, unisex streetwear style blending retro charm and avant-garde fashion.</t>
  </si>
  <si>
    <t>{"choices":[{"finish_reason":"stop","index":0,"logprobs":null,"message":{"annotations":[],"content":"Maison Mihara Yasuhiro, Shoes, kakobuy, kakebuy2026, kekobuysheet, kakobuysheet2026, 2026kakobuy, kakobuyspreadsheeet, kakobuylink, kakebuylist, Kakobuy MEGA Spreadsheet, kakobuysheetfind, kakobuysheetfind2026, 2026kakobuysheetfind, kakobuysheet2026","refusal":null,"role":"assistant"}}],"created":1776417326,"id":"chatcmpl-DVZaIkLmqqkW5VPYFLFviiDlNgEgf","model":"gpt-5-chat-latest","object":"chat.completion","service_tier":"default","system_fingerprint":"fp_ad66631dec","usage":{"completion_tokens":95,"completion_tokens_details":{"accepted_prediction_tokens":0,"audio_tokens":0,"reasoning_tokens":0,"rejected_prediction_tokens":0},"prompt_tokens":507,"prompt_tokens_details":{"audio_tokens":0,"cached_tokens":0},"total_tokens":602}}</t>
  </si>
  <si>
    <t>Deconstructed, Platform Shoes, Streetwear, Retro, Unisex, Canvas</t>
  </si>
  <si>
    <t>recvh0B9A7nbgh</t>
  </si>
  <si>
    <t>mihara-yasuhiro-red-deconstructed-platform-recvh0b9a7nbgh</t>
  </si>
  <si>
    <t>{"choices":[{"finish_reason":"stop","index":0,"logprobs":null,"message":{"annotations":[],"content":"Maison Mihara Yasuhiro 红色解构厚底帆布鞋，采用优质棉质鞋面与橡胶波浪底设计，男女皆宜，复古街头风格融合前卫解构美学，舒适耐磨兼具时尚个性。","refusal":null,"role":"assistant"}}],"created":1776412429,"id":"chatcmpl-DVYJJWQRSTw37wUq8GCxpp6u8BNAi","model":"gpt-5-chat-latest","object":"chat.completion","service_tier":"default","system_fingerprint":"fp_ad66631dec","usage":{"completion_tokens":64,"completion_tokens_details":{"accepted_prediction_tokens":0,"audio_tokens":0,"reasoning_tokens":0,"rejected_prediction_tokens":0},"prompt_tokens":1026,"prompt_tokens_details":{"audio_tokens":0,"cached_tokens":0},"total_tokens":1090}}</t>
  </si>
  <si>
    <t>Maison Mihara Yasuhiro 红色解构厚底帆布鞋，采用优质棉质鞋面与橡胶波浪底设计，男女皆宜，复古街头风格融合前卫解构美学，舒适耐磨兼具时尚个性。</t>
  </si>
  <si>
    <t>{"id":"chatcmpl-DVZFNlv5ncMJwuLJg06OdHOId0tL9","object":"chat.completion","created":1776416029,"model":"gpt-5-chat-latest","choices":[{"index":0,"message":{"role":"assistant","content":"Maison Mihara Yasuhiro Blakey Yellow Canvas Sneakers","refusal":null,"annotations":[]},"logprobs":null,"finish_reason":"stop"}],"usage":{"prompt_tokens":602,"completion_tokens":12,"total_tokens":614,"prompt_tokens_details":{"cached_tokens":0,"audio_tokens":0},"completion_tokens_details":{"reasoning_tokens":0,"audio_tokens":0,"accepted_prediction_tokens":0,"rejected_prediction_tokens":0}},"service_tier":"default","system_fingerprint":"fp_ad66631dec"}</t>
  </si>
  <si>
    <t>Maison Mihara Yasuhiro Blakey Yellow Canvas Sneakers</t>
  </si>
  <si>
    <t>{"choices":[{"finish_reason":"stop","index":0,"logprobs":null,"message":{"annotations":[],"content":"Maison Mihara Yasuhiro BLAKEY yellow low-top canvas sneakers with patchwork design and retro chunky sole, offering deconstructed style and soft rubber comfort for unisex street fashion.","refusal":null,"role":"assistant"}}],"created":1776414732,"id":"chatcmpl-DVYuSST1yq2ctC6MP9MtWZvDomccg","model":"gpt-5-chat-latest","object":"chat.completion","service_tier":"default","system_fingerprint":"fp_ad66631dec","usage":{"completion_tokens":38,"completion_tokens_details":{"accepted_prediction_tokens":0,"audio_tokens":0,"reasoning_tokens":0,"rejected_prediction_tokens":0},"prompt_tokens":628,"prompt_tokens_details":{"audio_tokens":0,"cached_tokens":0},"total_tokens":666}}</t>
  </si>
  <si>
    <t>Maison Mihara Yasuhiro BLAKEY yellow low-top canvas sneakers with patchwork design and retro chunky sole, offering deconstructed style and soft rubber comfort for unisex street fashion.</t>
  </si>
  <si>
    <t>{"choices":[{"finish_reason":"stop","index":0,"logprobs":null,"message":{"annotations":[],"content":"Maison Mihara Yasuhiro, Shoes, kakobuy, kakebuy2026, kekobuysheet, kakobuysheet2026, 2026kakobuy, kakobuyspreadsheeet, kakobuylink, kakebuylist, Kakobuy MEGA Spreadsheet, kakobuysheetfind, kakobuysheetfind2026, 2026kakobuysheetfind, kakobuysheet2026","refusal":null,"role":"assistant"}}],"created":1776416678,"id":"chatcmpl-DVZPqON6SMUiI1W1pgtgxrE7vmyEP","model":"gpt-5-chat-latest","object":"chat.completion","service_tier":"default","system_fingerprint":"fp_ad66631dec","usage":{"completion_tokens":95,"completion_tokens_details":{"accepted_prediction_tokens":0,"audio_tokens":0,"reasoning_tokens":0,"rejected_prediction_tokens":0},"prompt_tokens":507,"prompt_tokens_details":{"audio_tokens":0,"cached_tokens":0},"total_tokens":602}}</t>
  </si>
  <si>
    <t>Canvas, Yellow, Deconstructed, Retro, Unisex, Streetwear</t>
  </si>
  <si>
    <t>recvh0B9A7pOvH</t>
  </si>
  <si>
    <t>mihara-yasuhiro-blakey-yellow-recvh0b9a7povh</t>
  </si>
  <si>
    <t>{"id":"chatcmpl-DVYDXzHp0IwYiR5R90LggPpZRYwda","object":"chat.completion","created":1776412071,"model":"gpt-5-chat-latest","choices":[{"index":0,"message":{"role":"assistant","content":"Maison Mihara Yasuhiro：BLAKEY系列黄色低帮休闲帆布鞋，采用拼接设计与复古厚底造型，展现独特解构美学，柔软橡胶鞋底提升舒适度，男女皆宜，兼具街头潮流与艺术感。","refusal":null,"annotations":[]},"logprobs":null,"finish_reason":"stop"}],"usage":{"prompt_tokens":1030,"completion_tokens":69,"total_tokens":1099,"prompt_tokens_details":{"cached_tokens":0,"audio_tokens":0},"completion_tokens_details":{"reasoning_tokens":0,"audio_tokens":0,"accepted_prediction_tokens":0,"rejected_prediction_tokens":0}},"service_tier":"default","system_fingerprint":"fp_ad66631dec"}</t>
  </si>
  <si>
    <t>Maison Mihara Yasuhiro：BLAKEY系列黄色低帮休闲帆布鞋，采用拼接设计与复古厚底造型，展现独特解构美学，柔软橡胶鞋底提升舒适度，男女皆宜，兼具街头潮流与艺术感。</t>
  </si>
  <si>
    <t>{"choices":[{"finish_reason":"stop","index":0,"logprobs":null,"message":{"annotations":[],"content":"Maison Mihara Yasuhiro Blakey White Platform Sneakers","refusal":null,"role":"assistant"}}],"created":1776415988,"id":"chatcmpl-DVZEiNn7lvQFyo2d8PSWM9MaWF1EZ","model":"gpt-5-chat-latest","object":"chat.completion","service_tier":"default","system_fingerprint":"fp_ad66631dec","usage":{"completion_tokens":12,"completion_tokens_details":{"accepted_prediction_tokens":0,"audio_tokens":0,"reasoning_tokens":0,"rejected_prediction_tokens":0},"prompt_tokens":606,"prompt_tokens_details":{"audio_tokens":0,"cached_tokens":0},"total_tokens":618}}</t>
  </si>
  <si>
    <t>Maison Mihara Yasuhiro Blakey White Platform Sneakers</t>
  </si>
  <si>
    <t>{"choices":[{"finish_reason":"stop","index":0,"logprobs":null,"message":{"annotations":[],"content":"Maison Mihara Yasuhiro Blakey White Platform Canvas Sneakers, premium cotton, deconstructed sole, black-white contrast, retro meets avant-garde, unisex, breathable comfort for casual street style.","refusal":null,"role":"assistant"}}],"created":1776414874,"id":"chatcmpl-DVYwkH9nITmW0RAkk9DxJ8UGHa7jO","model":"gpt-5-chat-latest","object":"chat.completion","service_tier":"default","system_fingerprint":"fp_ad66631dec","usage":{"completion_tokens":40,"completion_tokens_details":{"accepted_prediction_tokens":0,"audio_tokens":0,"reasoning_tokens":0,"rejected_prediction_tokens":0},"prompt_tokens":651,"prompt_tokens_details":{"audio_tokens":0,"cached_tokens":0},"total_tokens":691}}</t>
  </si>
  <si>
    <t>Maison Mihara Yasuhiro Blakey White Platform Canvas Sneakers, premium cotton, deconstructed sole, black-white contrast, retro meets avant-garde, unisex, breathable comfort for casual street style.</t>
  </si>
  <si>
    <t>{"id":"chatcmpl-DVZPaj5kUugvWR5SFy2Muih5OsNwp","object":"chat.completion","created":1776416662,"model":"gpt-5-chat-latest","choices":[{"index":0,"message":{"role":"assistant","content":"Maison Mihara Yasuhiro, Shoes, kakobuy, kakebuy2026, kekobuysheet, kakobuysheet2026, 2026kakobuy, kakobuyspreadsheeet, kakobuylink, kakebuylist, Kakobuy MEGA Spreadsheet, kakobuysheetfind, kakobuysheetfind2026, 2026kakobuysheetfind, kakobuysheet2026","refusal":null,"annotations":[]},"logprobs":null,"finish_reason":"stop"}],"usage":{"prompt_tokens":507,"completion_tokens":95,"total_tokens":602,"prompt_tokens_details":{"cached_tokens":0,"audio_tokens":0},"completion_tokens_details":{"reasoning_tokens":0,"audio_tokens":0,"accepted_prediction_tokens":0,"rejected_prediction_tokens":0}},"service_tier":"default","system_fingerprint":"fp_ad66631dec"}</t>
  </si>
  <si>
    <t>Deconstructed, Retro, Unisex, Breathable</t>
  </si>
  <si>
    <t>recvh0B9A7vJOi</t>
  </si>
  <si>
    <t>miy-blakey-white-platform-recvh0b9a7vjoi</t>
  </si>
  <si>
    <t>{"choices":[{"finish_reason":"stop","index":0,"logprobs":null,"message":{"annotations":[],"content":"Maison Mihara Yasuhiro：Blakey系列白色厚底帆布鞋，采用优质棉质面料，柔软透气，解构式外底设计彰显品牌标志性不规则线条，黑白撞色细节增添街头潮感，男女同款，融合复古与先锋美学，舒适百搭，适合日常休闲与个性穿搭。","refusal":null,"role":"assistant"}}],"created":1776412302,"id":"chatcmpl-DVYHGv4ogf5EVRnbwEEDP3DGPjdrK","model":"gpt-5-chat-latest","object":"chat.completion","service_tier":"default","system_fingerprint":"fp_ad66631dec","usage":{"completion_tokens":93,"completion_tokens_details":{"accepted_prediction_tokens":0,"audio_tokens":0,"reasoning_tokens":0,"rejected_prediction_tokens":0},"prompt_tokens":1028,"prompt_tokens_details":{"audio_tokens":0,"cached_tokens":0},"total_tokens":1121}}</t>
  </si>
  <si>
    <t>Maison Mihara Yasuhiro：Blakey系列白色厚底帆布鞋，采用优质棉质面料，柔软透气，解构式外底设计彰显品牌标志性不规则线条，黑白撞色细节增添街头潮感，男女同款，融合复古与先锋美学，舒适百搭，适合日常休闲与个性穿搭。</t>
  </si>
  <si>
    <t>{"choices":[{"finish_reason":"stop","index":0,"logprobs":null,"message":{"annotations":[],"content":"Maison Mihara Yasuhiro Blakey Black Chunky Canvas Sneakers","refusal":null,"role":"assistant"}}],"created":1776416130,"id":"chatcmpl-DVZH0wn7shDSPDO7RQOinOrJ6Nhrx","model":"gpt-5-chat-latest","object":"chat.completion","service_tier":"default","system_fingerprint":"fp_ad66631dec","usage":{"completion_tokens":14,"completion_tokens_details":{"accepted_prediction_tokens":0,"audio_tokens":0,"reasoning_tokens":0,"rejected_prediction_tokens":0},"prompt_tokens":600,"prompt_tokens_details":{"audio_tokens":0,"cached_tokens":0},"total_tokens":614}}</t>
  </si>
  <si>
    <t>Maison Mihara Yasuhiro Blakey Black Chunky Canvas Sneakers</t>
  </si>
  <si>
    <t>{"choices":[{"finish_reason":"stop","index":0,"logprobs":null,"message":{"annotations":[],"content":"Maison Mihara Yasuhiro BLAKEY black low-top canvas sneakers feature a deconstructed chunky rubber sole, blending retro and modern street style for a unique unisex urban look.","refusal":null,"role":"assistant"}}],"created":1776415026,"id":"chatcmpl-DVYzCho3UI0KQaC1rFXRJ1vaTOR8U","model":"gpt-5-chat-latest","object":"chat.completion","service_tier":"default","system_fingerprint":"fp_ad66631dec","usage":{"completion_tokens":37,"completion_tokens_details":{"accepted_prediction_tokens":0,"audio_tokens":0,"reasoning_tokens":0,"rejected_prediction_tokens":0},"prompt_tokens":626,"prompt_tokens_details":{"audio_tokens":0,"cached_tokens":0},"total_tokens":663}}</t>
  </si>
  <si>
    <t>Maison Mihara Yasuhiro BLAKEY black low-top canvas sneakers feature a deconstructed chunky rubber sole, blending retro and modern street style for a unique unisex urban look.</t>
  </si>
  <si>
    <t>{"choices":[{"finish_reason":"stop","index":0,"logprobs":null,"message":{"annotations":[],"content":"Maison Mihara Yasuhiro, Shoes, kakobuy, kakebuy2026, kekobuysheet, kakobuysheet2026, 2026kakobuy, kakobuyspreadsheeet, kakobuylink, kakebuylist, Kakobuy MEGA Spreadsheet, kakobuysheetfind, kakobuysheetfind2026, 2026kakobuysheetfind, kakobuysheet2026","refusal":null,"role":"assistant"}}],"created":1776417124,"id":"chatcmpl-DVZX2wYSmBwy3JgImAbp8gdGlTcM6","model":"gpt-5-chat-latest","object":"chat.completion","service_tier":"default","system_fingerprint":"fp_ad66631dec","usage":{"completion_tokens":95,"completion_tokens_details":{"accepted_prediction_tokens":0,"audio_tokens":0,"reasoning_tokens":0,"rejected_prediction_tokens":0},"prompt_tokens":507,"prompt_tokens_details":{"audio_tokens":0,"cached_tokens":0},"total_tokens":602}}</t>
  </si>
  <si>
    <t>Canvas Shoes, Deconstructed, Retro, Modern, Streetwear, Unisex</t>
  </si>
  <si>
    <t>recvh0B9A7qQ2f</t>
  </si>
  <si>
    <t>mihara-yasuhiro-blakey-black-chunky-canvas-recvh0b9a7q2f</t>
  </si>
  <si>
    <t>{"choices":[{"finish_reason":"stop","index":0,"logprobs":null,"message":{"annotations":[],"content":"Maison Mihara Yasuhiro 黑色BLAKEY低帮厚底休闲鞋，采用优质帆布与橡胶材质，解构式鞋底设计彰显先锋街头风格，男女皆宜，融合复古与现代质感，打造独特都市潮流造型。","refusal":null,"role":"assistant"}}],"created":1776412297,"id":"chatcmpl-DVYHB7Np0Z2gp2AJ4wFkYeQy5HUBb","model":"gpt-5-chat-latest","object":"chat.completion","service_tier":"default","system_fingerprint":"fp_ad66631dec","usage":{"completion_tokens":68,"completion_tokens_details":{"accepted_prediction_tokens":0,"audio_tokens":0,"reasoning_tokens":0,"rejected_prediction_tokens":0},"prompt_tokens":1028,"prompt_tokens_details":{"audio_tokens":0,"cached_tokens":0},"total_tokens":1096}}</t>
  </si>
  <si>
    <t>Maison Mihara Yasuhiro 黑色BLAKEY低帮厚底休闲鞋，采用优质帆布与橡胶材质，解构式鞋底设计彰显先锋街头风格，男女皆宜，融合复古与现代质感，打造独特都市潮流造型。</t>
  </si>
  <si>
    <t>{"choices":[{"finish_reason":"stop","index":0,"logprobs":null,"message":{"annotations":[],"content":"MCM Visetos Brown Unisex Leather Slide Sandals","refusal":null,"role":"assistant"}}],"created":1776416224,"id":"chatcmpl-DVZIWeMZtLsjYopKn3jcE95KiGlbK","model":"gpt-5-chat-latest","object":"chat.completion","service_tier":"default","system_fingerprint":"fp_ad66631dec","usage":{"completion_tokens":12,"completion_tokens_details":{"accepted_prediction_tokens":0,"audio_tokens":0,"reasoning_tokens":0,"rejected_prediction_tokens":0},"prompt_tokens":877,"prompt_tokens_details":{"audio_tokens":0,"cached_tokens":0},"total_tokens":889}}</t>
  </si>
  <si>
    <t>MCM Visetos Brown Unisex Leather Slide Sandals</t>
  </si>
  <si>
    <t>{"id":"chatcmpl-DVYwfHAY4jrdEEBS1miY6JzafkNKN","object":"chat.completion","created":1776414869,"model":"gpt-5-chat-latest","choices":[{"index":0,"message":{"role":"assistant","content":"MCM Visetos Brown Unisex Slide Sandals featuring signature logo and laurel motif, soft leather strap, non-slip rubber sole, blending minimalist luxury with street style comfort and versatility.","refusal":null,"annotations":[]},"logprobs":null,"finish_reason":"stop"}],"usage":{"prompt_tokens":905,"completion_tokens":38,"total_tokens":943,"prompt_tokens_details":{"cached_tokens":0,"audio_tokens":0},"completion_tokens_details":{"reasoning_tokens":0,"audio_tokens":0,"accepted_prediction_tokens":0,"rejected_prediction_tokens":0}},"service_tier":"default","system_fingerprint":"fp_ad66631dec"}</t>
  </si>
  <si>
    <t>MCM Visetos Brown Unisex Slide Sandals featuring signature logo and laurel motif, soft leather strap, non-slip rubber sole, blending minimalist luxury with street style comfort and versatility.</t>
  </si>
  <si>
    <t>{"choices":[{"finish_reason":"stop","index":0,"logprobs":null,"message":{"annotations":[],"content":"MCM,Slides,kakobuy,kakebuy2026,kekobuysheet,kakobuysheet2026,2026kakobuy,kakobuyspreadsheeet,kakobuylink,kakebuylist,Kakobuy MEGA Spreadsheet,kakobuysheetfind,kakobuysheetfind2026,2026kakobuysheetfind,kakobuysheet2026","refusal":null,"role":"assistant"}}],"created":1776416875,"id":"chatcmpl-DVZT1AK59zrfZr7UXNVC546fUE8WO","model":"gpt-5-chat-latest","object":"chat.completion","service_tier":"default","system_fingerprint":"fp_ad66631dec","usage":{"completion_tokens":87,"completion_tokens_details":{"accepted_prediction_tokens":0,"audio_tokens":0,"reasoning_tokens":0,"rejected_prediction_tokens":0},"prompt_tokens":783,"prompt_tokens_details":{"audio_tokens":0,"cached_tokens":0},"total_tokens":870}}</t>
  </si>
  <si>
    <t>MCM,Slides,kakobuy,kakebuy2026,kekobuysheet,kakobuysheet2026,2026kakobuy,kakobuyspreadsheeet,kakobuylink,kakebuylist,Kakobuy MEGA Spreadsheet,kakobuysheetfind,kakobuysheetfind2026,2026kakobuysheetfind,kakobuysheet2026</t>
  </si>
  <si>
    <t>MCM, Brown, Unisex, Slide Sandals, Leather</t>
  </si>
  <si>
    <t>recvh0B9A7gGHt</t>
  </si>
  <si>
    <t>mcm-visetos-brown-leather-slide-recvh0b9a7gght</t>
  </si>
  <si>
    <t>{"id":"chatcmpl-DVYBJMXWfFUy3grma1wfJRnhldDSQ","object":"chat.completion","created":1776411933,"model":"gpt-5-chat-latest","choices":[{"index":0,"message":{"role":"assistant","content":"MCM：经典Visetos系列棕色男女同款休闲拖鞋，采用柔韧皮革与防滑橡胶底设计，宽带印有标志性Logo与月桂叶图腾，融合简约奢华街头风格，舒适百搭，彰显时尚品味。","refusal":null,"annotations":[]},"logprobs":null,"finish_reason":"stop"}],"usage":{"prompt_tokens":1300,"completion_tokens":72,"total_tokens":1372,"prompt_tokens_details":{"cached_tokens":0,"audio_tokens":0},"completion_tokens_details":{"reasoning_tokens":0,"audio_tokens":0,"accepted_prediction_tokens":0,"rejected_prediction_tokens":0}},"service_tier":"default","system_fingerprint":"fp_ad66631dec"}</t>
  </si>
  <si>
    <t>MCM：经典Visetos系列棕色男女同款休闲拖鞋，采用柔韧皮革与防滑橡胶底设计，宽带印有标志性Logo与月桂叶图腾，融合简约奢华街头风格，舒适百搭，彰显时尚品味。</t>
  </si>
  <si>
    <t>{"choices":[{"finish_reason":"stop","index":0,"logprobs":null,"message":{"annotations":[],"content":"MCM Classic Visetos Brown Black Leather Logo Slides","refusal":null,"role":"assistant"}}],"created":1776416031,"id":"chatcmpl-DVZFPkeb9ve9r3KszQRnq3Jv9VqLD","model":"gpt-5-chat-latest","object":"chat.completion","service_tier":"default","system_fingerprint":"fp_ad66631dec","usage":{"completion_tokens":11,"completion_tokens_details":{"accepted_prediction_tokens":0,"audio_tokens":0,"reasoning_tokens":0,"rejected_prediction_tokens":0},"prompt_tokens":875,"prompt_tokens_details":{"audio_tokens":0,"cached_tokens":0},"total_tokens":886}}</t>
  </si>
  <si>
    <t>MCM Classic Visetos Brown Black Leather Logo Slides</t>
  </si>
  <si>
    <t>{"choices":[{"finish_reason":"stop","index":0,"logprobs":null,"message":{"annotations":[],"content":"MCM Classic Visetos Brown Black Slides crafted from premium leather with iconic logo print, offering modern luxury street style for men and women. Lightweight, comfy, ideal for casual wear.","refusal":null,"role":"assistant"}}],"created":1776415209,"id":"chatcmpl-DVZ297Jrnh8JmmT0lyJGzVMNWlw3E","model":"gpt-5-chat-latest","object":"chat.completion","service_tier":"default","system_fingerprint":"fp_ad66631dec","usage":{"completion_tokens":37,"completion_tokens_details":{"accepted_prediction_tokens":0,"audio_tokens":0,"reasoning_tokens":0,"rejected_prediction_tokens":0},"prompt_tokens":901,"prompt_tokens_details":{"audio_tokens":0,"cached_tokens":0},"total_tokens":938}}</t>
  </si>
  <si>
    <t>MCM Classic Visetos Brown Black Slides crafted from premium leather with iconic logo print, offering modern luxury street style for men and women. Lightweight, comfy, ideal for casual wear.</t>
  </si>
  <si>
    <t>{"choices":[{"finish_reason":"stop","index":0,"logprobs":null,"message":{"annotations":[],"content":"MCM,Slides,kakobuy,kakebuy2026,kekobuysheet,kakobuysheet2026,2026kakobuy,kakobuyspreadsheeet,kakobuylink,kakebuylist,Kakobuy MEGA Spreadsheet,kakobuysheetfind,kakobuysheetfind2026,2026kakobuysheetfind,kakobuysheet2026","refusal":null,"role":"assistant"}}],"created":1776416974,"id":"chatcmpl-DVZUcjW1pqOZf9ck096VUAZYMczH4","model":"gpt-5-chat-latest","object":"chat.completion","service_tier":"default","system_fingerprint":"fp_ad66631dec","usage":{"completion_tokens":87,"completion_tokens_details":{"accepted_prediction_tokens":0,"audio_tokens":0,"reasoning_tokens":0,"rejected_prediction_tokens":0},"prompt_tokens":783,"prompt_tokens_details":{"audio_tokens":0,"cached_tokens":0},"total_tokens":870}}</t>
  </si>
  <si>
    <t>MCM, Slides, Brown, Black, Leather, Unisex</t>
  </si>
  <si>
    <t>recvh0B9A77giV</t>
  </si>
  <si>
    <t>mcm-classic-visetos-brown-black-leather-logo-slides-recvh0b9a77giv</t>
  </si>
  <si>
    <t>{"choices":[{"finish_reason":"stop","index":0,"logprobs":null,"message":{"annotations":[],"content":"MCM：经典Visetos系列棕黑配色拖鞋，选用优质皮革材质，饰以品牌标志性字母印花，极简设计融合现代奢华街头风，男女通用款，舒适轻盈，休闲出行理想之选。","refusal":null,"role":"assistant"}}],"created":1776412285,"id":"chatcmpl-DVYGz7VOqAWolGK9NkomS1luCHRAS","model":"gpt-5-chat-latest","object":"chat.completion","service_tier":"default","system_fingerprint":"fp_ad66631dec","usage":{"completion_tokens":67,"completion_tokens_details":{"accepted_prediction_tokens":0,"audio_tokens":0,"reasoning_tokens":0,"rejected_prediction_tokens":0},"prompt_tokens":1302,"prompt_tokens_details":{"audio_tokens":0,"cached_tokens":1280},"total_tokens":1369}}</t>
  </si>
  <si>
    <t>MCM：经典Visetos系列棕黑配色拖鞋，选用优质皮革材质，饰以品牌标志性字母印花，极简设计融合现代奢华街头风，男女通用款，舒适轻盈，休闲出行理想之选。</t>
  </si>
  <si>
    <t>860</t>
  </si>
  <si>
    <t>{"choices":[{"finish_reason":"stop","index":0,"logprobs":null,"message":{"annotations":[],"content":"MCM Löwe Blue Orange Leather Mesh Sneakers","refusal":null,"role":"assistant"}}],"created":1776416184,"id":"chatcmpl-DVZHsECfJNry4f3T1VLt3QMoSB9ZJ","model":"gpt-5-chat-latest","object":"chat.completion","service_tier":"default","system_fingerprint":"fp_ad66631dec","usage":{"completion_tokens":10,"completion_tokens_details":{"accepted_prediction_tokens":0,"audio_tokens":0,"reasoning_tokens":0,"rejected_prediction_tokens":0},"prompt_tokens":879,"prompt_tokens_details":{"audio_tokens":0,"cached_tokens":0},"total_tokens":889}}</t>
  </si>
  <si>
    <t>MCM Löwe Blue Orange Leather Mesh Sneakers</t>
  </si>
  <si>
    <t>{"choices":[{"finish_reason":"stop","index":0,"logprobs":null,"message":{"annotations":[],"content":"ShoesMCM Löwe Series sneakers blend premium leather and mesh in blue-orange tones, featuring a diamond logo, cushioned sole, and breathable support for unisex urban luxury athletic style.","refusal":null,"role":"assistant"}}],"created":1776415146,"id":"chatcmpl-DVZ18fqQnL5W3njAB7fZpE3qLAWYc","model":"gpt-5-chat-latest","object":"chat.completion","service_tier":"default","system_fingerprint":"fp_ad66631dec","usage":{"completion_tokens":39,"completion_tokens_details":{"accepted_prediction_tokens":0,"audio_tokens":0,"reasoning_tokens":0,"rejected_prediction_tokens":0},"prompt_tokens":941,"prompt_tokens_details":{"audio_tokens":0,"cached_tokens":0},"total_tokens":980}}</t>
  </si>
  <si>
    <t>ShoesMCM Löwe Series sneakers blend premium leather and mesh in blue-orange tones, featuring a diamond logo, cushioned sole, and breathable support for unisex urban luxury athletic style.</t>
  </si>
  <si>
    <t>{"id":"chatcmpl-DVZaBa4zgZwdNtPlEyVePUN7Q2m8V","object":"chat.completion","created":1776417319,"model":"gpt-5-chat-latest","choices":[{"index":0,"message":{"role":"assistant","content":"MCM,Shoes,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87,"total_tokens":870,"prompt_tokens_details":{"cached_tokens":0,"audio_tokens":0},"completion_tokens_details":{"reasoning_tokens":0,"audio_tokens":0,"accepted_prediction_tokens":0,"rejected_prediction_tokens":0}},"service_tier":"default","system_fingerprint":"fp_ad66631dec"}</t>
  </si>
  <si>
    <t>MCM, Leather, Mesh, Blue, Orange, Unisex</t>
  </si>
  <si>
    <t>recvh0B9A7rppN</t>
  </si>
  <si>
    <t>mcm-lowe-blue-orange-leather-mesh-recvh0b9a7rppn</t>
  </si>
  <si>
    <t>{"choices":[{"finish_reason":"stop","index":0,"logprobs":null,"message":{"annotations":[],"content":"MCM：Löwe系列浅蓝橘拼色休闲运动鞋，采用优质皮革与织物拼接材质，轻盈透气兼具支撑性。流线型鞋身搭配标志性菱形徽标与亮黄Logo图腾，展现都市街头潮流美学。厚底缓震设计提升舒适脚感，男女皆宜，时尚与功能并重，演绎现代奢华运动风格。","refusal":null,"role":"assistant"}}],"created":1776412327,"id":"chatcmpl-DVYHfHDNVWqOlfQV7P4QVDGgU9voY","model":"gpt-5-chat-latest","object":"chat.completion","service_tier":"default","system_fingerprint":"fp_ad66631dec","usage":{"completion_tokens":107,"completion_tokens_details":{"accepted_prediction_tokens":0,"audio_tokens":0,"reasoning_tokens":0,"rejected_prediction_tokens":0},"prompt_tokens":1302,"prompt_tokens_details":{"audio_tokens":0,"cached_tokens":0},"total_tokens":1409}}</t>
  </si>
  <si>
    <t>MCM：Löwe系列浅蓝橘拼色休闲运动鞋，采用优质皮革与织物拼接材质，轻盈透气兼具支撑性。流线型鞋身搭配标志性菱形徽标与亮黄Logo图腾，展现都市街头潮流美学。厚底缓震设计提升舒适脚感，男女皆宜，时尚与功能并重，演绎现代奢华运动风格。</t>
  </si>
  <si>
    <t>{"choices":[{"finish_reason":"stop","index":0,"logprobs":null,"message":{"annotations":[],"content":"MCM Berlin Green Visetos Leather Sneakers","refusal":null,"role":"assistant"}}],"created":1776415975,"id":"chatcmpl-DVZEV4LLQPrCMl59z3x5G2OX7ZUZC","model":"gpt-5-chat-latest","object":"chat.completion","service_tier":"default","system_fingerprint":"fp_ad66631dec","usage":{"completion_tokens":9,"completion_tokens_details":{"accepted_prediction_tokens":0,"audio_tokens":0,"reasoning_tokens":0,"rejected_prediction_tokens":0},"prompt_tokens":881,"prompt_tokens_details":{"audio_tokens":0,"cached_tokens":0},"total_tokens":890}}</t>
  </si>
  <si>
    <t>MCM Berlin Green Visetos Leather Sneakers</t>
  </si>
  <si>
    <t>{"choices":[{"finish_reason":"stop","index":0,"logprobs":null,"message":{"annotations":[],"content":"MCM Berlin Green Sneakers blend premium leather and fabric with iconic Visetos print, a lightweight cushioned sole, and retro-modern urban style for a vibrant, fashion-forward look for men and women.","refusal":null,"role":"assistant"}}],"created":1776415026,"id":"chatcmpl-DVYzCuMz2cmuw3Abx1aTtnul3Hhr2","model":"gpt-5-chat-latest","object":"chat.completion","service_tier":"default","system_fingerprint":"fp_ad66631dec","usage":{"completion_tokens":40,"completion_tokens_details":{"accepted_prediction_tokens":0,"audio_tokens":0,"reasoning_tokens":0,"rejected_prediction_tokens":0},"prompt_tokens":901,"prompt_tokens_details":{"audio_tokens":0,"cached_tokens":0},"total_tokens":941}}</t>
  </si>
  <si>
    <t>MCM Berlin Green Sneakers blend premium leather and fabric with iconic Visetos print, a lightweight cushioned sole, and retro-modern urban style for a vibrant, fashion-forward look for men and women.</t>
  </si>
  <si>
    <t>{"choices":[{"finish_reason":"stop","index":0,"logprobs":null,"message":{"annotations":[],"content":"MCM,Shoes,kakobuy,kakebuy2026,kekobuysheet,kakobuysheet2026,2026kakobuy,kakobuyspreadsheeet,kakobuylink,kakebuylist,Kakobuy MEGA Spreadsheet,kakobuysheetfind,kakobuysheetfind2026,2026kakobuysheetfind,kakobuysheet2026","refusal":null,"role":"assistant"}}],"created":1776416661,"id":"chatcmpl-DVZPZiCibC2iWCjTDllF4sZHvy3mB","model":"gpt-5-chat-latest","object":"chat.completion","service_tier":"default","system_fingerprint":"fp_ad66631dec","usage":{"completion_tokens":87,"completion_tokens_details":{"accepted_prediction_tokens":0,"audio_tokens":0,"reasoning_tokens":0,"rejected_prediction_tokens":0},"prompt_tokens":783,"prompt_tokens_details":{"audio_tokens":0,"cached_tokens":0},"total_tokens":870}}</t>
  </si>
  <si>
    <t>MCM, Leather, Retro, Unisex, Sneakers, Green</t>
  </si>
  <si>
    <t>recvh0B9A78v3b</t>
  </si>
  <si>
    <t>mcm-berlin-green-visetos-leather-recvh0b9a78v3b</t>
  </si>
  <si>
    <t>{"choices":[{"finish_reason":"stop","index":0,"logprobs":null,"message":{"annotations":[],"content":"MCM：Berlin系列绿色男女休闲运动鞋，甄选优质皮革与织物拼接材质，饰以品牌经典Visetos印花图腾，搭配轻盈缓震厚底设计，融合复古与现代都市风格，展现活力与时尚品味。","refusal":null,"role":"assistant"}}],"created":1776412002,"id":"chatcmpl-DVYCQHyn4qu9dSaWTwVBrKtNEFp3f","model":"gpt-5-chat-latest","object":"chat.completion","service_tier":"default","system_fingerprint":"fp_ad66631dec","usage":{"completion_tokens":68,"completion_tokens_details":{"accepted_prediction_tokens":0,"audio_tokens":0,"reasoning_tokens":0,"rejected_prediction_tokens":0},"prompt_tokens":1300,"prompt_tokens_details":{"audio_tokens":0,"cached_tokens":1280},"total_tokens":1368}}</t>
  </si>
  <si>
    <t>MCM：Berlin系列绿色男女休闲运动鞋，甄选优质皮革与织物拼接材质，饰以品牌经典Visetos印花图腾，搭配轻盈缓震厚底设计，融合复古与现代都市风格，展现活力与时尚品味。</t>
  </si>
  <si>
    <t>{"choices":[{"finish_reason":"stop","index":0,"logprobs":null,"message":{"annotations":[],"content":"Maison Mihara Yasuhiro Black Canvas Low Top Sneakers","refusal":null,"role":"assistant"}}],"created":1776416106,"id":"chatcmpl-DVZGcwDCgrAyZmm0iRfTagWtLGAny","model":"gpt-5-chat-latest","object":"chat.completion","service_tier":"default","system_fingerprint":"fp_ad66631dec","usage":{"completion_tokens":12,"completion_tokens_details":{"accepted_prediction_tokens":0,"audio_tokens":0,"reasoning_tokens":0,"rejected_prediction_tokens":0},"prompt_tokens":888,"prompt_tokens_details":{"audio_tokens":0,"cached_tokens":0},"total_tokens":900}}</t>
  </si>
  <si>
    <t>Maison Mihara Yasuhiro Black Canvas Low Top Sneakers</t>
  </si>
  <si>
    <t>{"choices":[{"finish_reason":"stop","index":0,"logprobs":null,"message":{"annotations":[],"content":"Maison Mihara Yasuhiro classic black low-top canvas sneakers with soft thick rubber sole and deconstructed wavy design, unisex style fusing comfort, fashion, and avant-garde Japanese street aesthetics.","refusal":null,"role":"assistant"}}],"created":1776415179,"id":"chatcmpl-DVZ1fjCLQCZpOhQ20ISZZasBZY7N9","model":"gpt-5-chat-latest","object":"chat.completion","service_tier":"default","system_fingerprint":"fp_ad66631dec","usage":{"completion_tokens":41,"completion_tokens_details":{"accepted_prediction_tokens":0,"audio_tokens":0,"reasoning_tokens":0,"rejected_prediction_tokens":0},"prompt_tokens":910,"prompt_tokens_details":{"audio_tokens":0,"cached_tokens":0},"total_tokens":951}}</t>
  </si>
  <si>
    <t>Maison Mihara Yasuhiro classic black low-top canvas sneakers with soft thick rubber sole and deconstructed wavy design, unisex style fusing comfort, fashion, and avant-garde Japanese street aesthetics.</t>
  </si>
  <si>
    <t>{"id":"chatcmpl-DVZZ8OHfDYq8XzO5UHGm9aHtaeZ9l","object":"chat.completion","created":1776417254,"model":"gpt-5-chat-latest","choices":[{"index":0,"message":{"role":"assistant","content":"Maison Mihara Yasuhiro, Shoes, kakobuy, kakebuy2026, kekobuysheet, kakobuysheet2026, 2026kakobuy, kakobuyspreadsheeet, kakobuylink, kakebuylist, Kakobuy MEGA Spreadsheet, kakobuysheetfind, kakobuysheetfind2026, 2026kakobuysheetfind, kakobuysheet2026","refusal":null,"annotations":[]},"logprobs":null,"finish_reason":"stop"}],"usage":{"prompt_tokens":787,"completion_tokens":95,"total_tokens":882,"prompt_tokens_details":{"cached_tokens":0,"audio_tokens":0},"completion_tokens_details":{"reasoning_tokens":0,"audio_tokens":0,"accepted_prediction_tokens":0,"rejected_prediction_tokens":0}},"service_tier":"default","system_fingerprint":"fp_ad66631dec"}</t>
  </si>
  <si>
    <t>Canvas Shoes, Black, Deconstructed, Unisex, Streetwear, Casual Sneakers</t>
  </si>
  <si>
    <t>recvh0B9A7ffEz</t>
  </si>
  <si>
    <t>mihara-yasuhiro-black-canvas-low-top-recvh0b9a7ffez</t>
  </si>
  <si>
    <t>{"choices":[{"finish_reason":"stop","index":0,"logprobs":null,"message":{"annotations":[],"content":"Maison Mihara Yasuhiro：经典黑色帆布低帮运动鞋，柔软橡胶厚底搭配解构波浪纹设计，凸显前卫日系街头风格，男女皆宜，兼具舒适与时尚感，展现独立设计师独特美学。","refusal":null,"role":"assistant"}}],"created":1776412206,"id":"chatcmpl-DVYFisKb5IzTG9DSuOZIkSaoBHwpn","model":"gpt-5-chat-latest","object":"chat.completion","service_tier":"default","system_fingerprint":"fp_ad66631dec","usage":{"completion_tokens":70,"completion_tokens_details":{"accepted_prediction_tokens":0,"audio_tokens":0,"reasoning_tokens":0,"rejected_prediction_tokens":0},"prompt_tokens":1312,"prompt_tokens_details":{"audio_tokens":0,"cached_tokens":1280},"total_tokens":1382}}</t>
  </si>
  <si>
    <t>Maison Mihara Yasuhiro：经典黑色帆布低帮运动鞋，柔软橡胶厚底搭配解构波浪纹设计，凸显前卫日系街头风格，男女皆宜，兼具舒适与时尚感，展现独立设计师独特美学。</t>
  </si>
  <si>
    <t>{"id":"chatcmpl-DVZJheDQAgz7ydTDkmOfBP6fpSGlU","object":"chat.completion","created":1776416297,"model":"gpt-5-chat-latest","choices":[{"index":0,"message":{"role":"assistant","content":"Maison Mihara Yasuhiro Blakey Black Canvas Platform Sneakers","refusal":null,"annotations":[]},"logprobs":null,"finish_reason":"stop"}],"usage":{"prompt_tokens":880,"completion_tokens":13,"total_tokens":893,"prompt_tokens_details":{"cached_tokens":0,"audio_tokens":0},"completion_tokens_details":{"reasoning_tokens":0,"audio_tokens":0,"accepted_prediction_tokens":0,"rejected_prediction_tokens":0}},"service_tier":"default","system_fingerprint":"fp_ad66631dec"}</t>
  </si>
  <si>
    <t>Maison Mihara Yasuhiro Blakey Black Canvas Platform Sneakers</t>
  </si>
  <si>
    <t>{"choices":[{"finish_reason":"stop","index":0,"logprobs":null,"message":{"annotations":[],"content":"Maison Mihara Yasuhiro Blakey Black Deconstructed Platform Canvas Sneakers feature premium cotton, rubber sole, unique melted design, retro street style, unisex urban avant-garde look.","refusal":null,"role":"assistant"}}],"created":1776415135,"id":"chatcmpl-DVZ0xqdoqkYbOG2bHs6M4gSRL1d0U","model":"gpt-5-chat-latest","object":"chat.completion","service_tier":"default","system_fingerprint":"fp_ad66631dec","usage":{"completion_tokens":37,"completion_tokens_details":{"accepted_prediction_tokens":0,"audio_tokens":0,"reasoning_tokens":0,"rejected_prediction_tokens":0},"prompt_tokens":906,"prompt_tokens_details":{"audio_tokens":0,"cached_tokens":0},"total_tokens":943}}</t>
  </si>
  <si>
    <t>Maison Mihara Yasuhiro Blakey Black Deconstructed Platform Canvas Sneakers feature premium cotton, rubber sole, unique melted design, retro street style, unisex urban avant-garde look.</t>
  </si>
  <si>
    <t>{"choices":[{"finish_reason":"stop","index":0,"logprobs":null,"message":{"annotations":[],"content":"Maison Mihara Yasuhiro, Shoes, kakobuy, kakebuy2026, kekobuysheet, kakobuysheet2026, 2026kakobuy, kakobuyspreadsheeet, kakobuylink, kakebuylist, Kakobuy MEGA Spreadsheet, kakobuysheetfind, kakobuysheetfind2026, 2026kakobuysheetfind, kakobuysheet2026","refusal":null,"role":"assistant"}}],"created":1776416715,"id":"chatcmpl-DVZQRsgjwhGtAfawx7WZPv5yq1GwU","model":"gpt-5-chat-latest","object":"chat.completion","service_tier":"default","system_fingerprint":"fp_ad66631dec","usage":{"completion_tokens":95,"completion_tokens_details":{"accepted_prediction_tokens":0,"audio_tokens":0,"reasoning_tokens":0,"rejected_prediction_tokens":0},"prompt_tokens":787,"prompt_tokens_details":{"audio_tokens":0,"cached_tokens":0},"total_tokens":882}}</t>
  </si>
  <si>
    <t>Canvas, Rubber Sole, Deconstructed, Retro, Street, Unisex</t>
  </si>
  <si>
    <t>recvh0B9A7dsZA</t>
  </si>
  <si>
    <t>mihara-blakey-black-canvas-platform-recvh0b9a7dsza</t>
  </si>
  <si>
    <t>{"choices":[{"finish_reason":"stop","index":0,"logprobs":null,"message":{"annotations":[],"content":"Maison Mihara Yasuhiro 黑色Blakey系列解构厚底帆布鞋，采用优质棉质与橡胶材质，独特溶解鞋底设计融合复古街头风格，男女皆宜，展现先锋艺术感与都市潮流态度。","refusal":null,"role":"assistant"}}],"created":1776411966,"id":"chatcmpl-DVYBq27rpSc8xwCIfgRl4LURU2BL6","model":"gpt-5-chat-latest","object":"chat.completion","service_tier":"default","system_fingerprint":"fp_ad66631dec","usage":{"completion_tokens":66,"completion_tokens_details":{"accepted_prediction_tokens":0,"audio_tokens":0,"reasoning_tokens":0,"rejected_prediction_tokens":0},"prompt_tokens":1312,"prompt_tokens_details":{"audio_tokens":0,"cached_tokens":0},"total_tokens":1378}}</t>
  </si>
  <si>
    <t>Maison Mihara Yasuhiro 黑色Blakey系列解构厚底帆布鞋，采用优质棉质与橡胶材质，独特溶解鞋底设计融合复古街头风格，男女皆宜，展现先锋艺术感与都市潮流态度。</t>
  </si>
  <si>
    <t>{"id":"chatcmpl-DVZCJC6BQqxkhnytG4uBWyJIg2b5P","object":"chat.completion","created":1776415839,"model":"gpt-5-chat-latest","choices":[{"index":0,"message":{"role":"assistant","content":"Maison Mihara Yasuhiro Black Platform Canvas Sneakers","refusal":null,"annotations":[]},"logprobs":null,"finish_reason":"stop"}],"usage":{"prompt_tokens":606,"completion_tokens":11,"total_tokens":617,"prompt_tokens_details":{"cached_tokens":0,"audio_tokens":0},"completion_tokens_details":{"reasoning_tokens":0,"audio_tokens":0,"accepted_prediction_tokens":0,"rejected_prediction_tokens":0}},"service_tier":"default","system_fingerprint":"fp_ad66631dec"}</t>
  </si>
  <si>
    <t>Maison Mihara Yasuhiro Black Platform Canvas Sneakers</t>
  </si>
  <si>
    <t>{"choices":[{"finish_reason":"stop","index":0,"logprobs":null,"message":{"annotations":[],"content":"Maison Mihara Yasuhiro black deconstructed platform canvas sneakers, premium canvas with rubber patchwork, 3D misaligned sole, unisex street fashion, showcasing original designer aesthetics and individuality.","refusal":null,"role":"assistant"}}],"created":1776414731,"id":"chatcmpl-DVYuR5rDZv6KVjkgMyrefiPfsg3Nh","model":"gpt-5-chat-latest","object":"chat.completion","service_tier":"default","system_fingerprint":"fp_ad66631dec","usage":{"completion_tokens":40,"completion_tokens_details":{"accepted_prediction_tokens":0,"audio_tokens":0,"reasoning_tokens":0,"rejected_prediction_tokens":0},"prompt_tokens":623,"prompt_tokens_details":{"audio_tokens":0,"cached_tokens":0},"total_tokens":663}}</t>
  </si>
  <si>
    <t>Maison Mihara Yasuhiro black deconstructed platform canvas sneakers, premium canvas with rubber patchwork, 3D misaligned sole, unisex street fashion, showcasing original designer aesthetics and individuality.</t>
  </si>
  <si>
    <t>{"choices":[{"finish_reason":"stop","index":0,"logprobs":null,"message":{"annotations":[],"content":"Maison Mihara Yasuhiro, Shoes, kakobuy, kakebuy2026, kekobuysheet, kakobuysheet2026, 2026kakobuy, kakobuyspreadsheeet, kakobuylink, kakebuylist, Kakobuy MEGA Spreadsheet, kakobuysheetfind, kakobuysheetfind2026, 2026kakobuysheetfind, kakobuysheet2026","refusal":null,"role":"assistant"}}],"created":1776416791,"id":"chatcmpl-DVZRf7GxjVy465fXXO2dEisKBb715","model":"gpt-5-chat-latest","object":"chat.completion","service_tier":"default","system_fingerprint":"fp_ad66631dec","usage":{"completion_tokens":95,"completion_tokens_details":{"accepted_prediction_tokens":0,"audio_tokens":0,"reasoning_tokens":0,"rejected_prediction_tokens":0},"prompt_tokens":507,"prompt_tokens_details":{"audio_tokens":0,"cached_tokens":0},"total_tokens":602}}</t>
  </si>
  <si>
    <t>Canvas, Platform Shoes, Black, Deconstructed, Streetwear, Unisex</t>
  </si>
  <si>
    <t>recvh0B9A7FFJN</t>
  </si>
  <si>
    <t>mihara-yasuhiro-black-platform-canvas-recvh0b9a7ffjn</t>
  </si>
  <si>
    <t>{"choices":[{"finish_reason":"stop","index":0,"logprobs":null,"message":{"annotations":[],"content":"Maison Mihara Yasuhiro：黑色解构厚底帆布鞋，优质帆布拼接橡胶材质，立体错位鞋底设计，街头潮流风格，男女同款，彰显设计师独创美学与个性态度。","refusal":null,"role":"assistant"}}],"created":1776412081,"id":"chatcmpl-DVYDh02IaGrPPIpelh2ykVl3DNJ2s","model":"gpt-5-chat-latest","object":"chat.completion","service_tier":"default","system_fingerprint":"fp_ad66631dec","usage":{"completion_tokens":65,"completion_tokens_details":{"accepted_prediction_tokens":0,"audio_tokens":0,"reasoning_tokens":0,"rejected_prediction_tokens":0},"prompt_tokens":1028,"prompt_tokens_details":{"audio_tokens":0,"cached_tokens":0},"total_tokens":1093}}</t>
  </si>
  <si>
    <t>Maison Mihara Yasuhiro：黑色解构厚底帆布鞋，优质帆布拼接橡胶材质，立体错位鞋底设计，街头潮流风格，男女同款，彰显设计师独创美学与个性态度。</t>
  </si>
  <si>
    <t>{"choices":[{"finish_reason":"stop","index":0,"logprobs":null,"message":{"annotations":[],"content":"Maison Mihara Yasuhiro Blakey Black Suede Sneakers","refusal":null,"role":"assistant"}}],"created":1776416161,"id":"chatcmpl-DVZHVTREw91iaQj7Y7TySXDrosko9","model":"gpt-5-chat-latest","object":"chat.completion","service_tier":"default","system_fingerprint":"fp_ad66631dec","usage":{"completion_tokens":13,"completion_tokens_details":{"accepted_prediction_tokens":0,"audio_tokens":0,"reasoning_tokens":0,"rejected_prediction_tokens":0},"prompt_tokens":882,"prompt_tokens_details":{"audio_tokens":0,"cached_tokens":0},"total_tokens":895}}</t>
  </si>
  <si>
    <t>Maison Mihara Yasuhiro Blakey Black Suede Sneakers</t>
  </si>
  <si>
    <t>{"choices":[{"finish_reason":"stop","index":0,"logprobs":null,"message":{"annotations":[],"content":"Maison Mihara Yasuhiro Blakey Black Suede Platform Sneakers blend retro and modern style with deconstructed handmade design, unique sculpted sole, and comfortable unisex streetwear appeal.","refusal":null,"role":"assistant"}}],"created":1776415298,"id":"chatcmpl-DVZ3aL7UarqA6EDwwijZsaN23zcvx","model":"gpt-5-chat-latest","object":"chat.completion","service_tier":"default","system_fingerprint":"fp_ad66631dec","usage":{"completion_tokens":38,"completion_tokens_details":{"accepted_prediction_tokens":0,"audio_tokens":0,"reasoning_tokens":0,"rejected_prediction_tokens":0},"prompt_tokens":910,"prompt_tokens_details":{"audio_tokens":0,"cached_tokens":0},"total_tokens":948}}</t>
  </si>
  <si>
    <t>Maison Mihara Yasuhiro Blakey Black Suede Platform Sneakers blend retro and modern style with deconstructed handmade design, unique sculpted sole, and comfortable unisex streetwear appeal.</t>
  </si>
  <si>
    <t>{"choices":[{"finish_reason":"stop","index":0,"logprobs":null,"message":{"annotations":[],"content":"Maison Mihara Yasuhiro,Shoes,kakobuy,kakebuy2026,kekobuysheet,kakobuysheet2026,2026kakobuy,kakobuyspreadsheeet,kakobuylink,kakebuylist,Kakobuy MEGA Spreadsheet,kakobuysheetfind,kakobuysheetfind2026,2026kakobuysheetfind,kakobuysheet2026","refusal":null,"role":"assistant"}}],"created":1776417369,"id":"chatcmpl-DVZazINtnlKJoJ7c011FbkjCJhsqw","model":"gpt-5-chat-latest","object":"chat.completion","service_tier":"default","system_fingerprint":"fp_ad66631dec","usage":{"completion_tokens":91,"completion_tokens_details":{"accepted_prediction_tokens":0,"audio_tokens":0,"reasoning_tokens":0,"rejected_prediction_tokens":0},"prompt_tokens":787,"prompt_tokens_details":{"audio_tokens":0,"cached_tokens":0},"total_tokens":878}}</t>
  </si>
  <si>
    <t>Suede, Platform Shoes, Unisex, Streetwear, Retro, Sneakers</t>
  </si>
  <si>
    <t>recvh0B9A72OwA</t>
  </si>
  <si>
    <t>miy-blakey-black-suede-recvh0b9a72owa</t>
  </si>
  <si>
    <t>{"choices":[{"finish_reason":"stop","index":0,"logprobs":null,"message":{"annotations":[],"content":"Maison Mihara Yasuhiro黑色Blakey系列厚底休闲鞋，采用柔软翻毛皮材质与手工解构设计，展现街头前卫美学。男女皆宜，复古与现代融合，舒适脚感与独特鞋底造型彰显设计师艺术个性。","refusal":null,"role":"assistant"}}],"created":1776412169,"id":"chatcmpl-DVYF7d3mVb0pTRERDwIaZYOLaxPOE","model":"gpt-5-chat-latest","object":"chat.completion","service_tier":"default","system_fingerprint":"fp_ad66631dec","usage":{"completion_tokens":71,"completion_tokens_details":{"accepted_prediction_tokens":0,"audio_tokens":0,"reasoning_tokens":0,"rejected_prediction_tokens":0},"prompt_tokens":1310,"prompt_tokens_details":{"audio_tokens":0,"cached_tokens":0},"total_tokens":1381}}</t>
  </si>
  <si>
    <t>Maison Mihara Yasuhiro黑色Blakey系列厚底休闲鞋，采用柔软翻毛皮材质与手工解构设计，展现街头前卫美学。男女皆宜，复古与现代融合，舒适脚感与独特鞋底造型彰显设计师艺术个性。</t>
  </si>
  <si>
    <t>{"choices":[{"finish_reason":"stop","index":0,"logprobs":null,"message":{"annotations":[],"content":"Maison Mihara Yasuhiro Original Sole Black Canvas Shoes","refusal":null,"role":"assistant"}}],"created":1776415908,"id":"chatcmpl-DVZDQSgtxsxxQ088nzkNfQT4QMmGn","model":"gpt-5-chat-latest","object":"chat.completion","service_tier":"default","system_fingerprint":"fp_ad66631dec","usage":{"completion_tokens":12,"completion_tokens_details":{"accepted_prediction_tokens":0,"audio_tokens":0,"reasoning_tokens":0,"rejected_prediction_tokens":0},"prompt_tokens":602,"prompt_tokens_details":{"audio_tokens":0,"cached_tokens":0},"total_tokens":614}}</t>
  </si>
  <si>
    <t>Maison Mihara Yasuhiro Original Sole Black Canvas Shoes</t>
  </si>
  <si>
    <t>{"choices":[{"finish_reason":"stop","index":0,"logprobs":null,"message":{"annotations":[],"content":"Maison Mihara Yasuhiro Original Sole black low-top canvas sneakers combine soft flexible canvas and thick rubber sole with handmade distressed detail, offering vintage street style, comfort, and breathability.","refusal":null,"role":"assistant"}}],"created":1776415137,"id":"chatcmpl-DVZ0zuZuGMZgR3MWJGwAahVbbqXcr","model":"gpt-5-chat-latest","object":"chat.completion","service_tier":"default","system_fingerprint":"fp_ad66631dec","usage":{"completion_tokens":38,"completion_tokens_details":{"accepted_prediction_tokens":0,"audio_tokens":0,"reasoning_tokens":0,"rejected_prediction_tokens":0},"prompt_tokens":628,"prompt_tokens_details":{"audio_tokens":0,"cached_tokens":0},"total_tokens":666}}</t>
  </si>
  <si>
    <t>Maison Mihara Yasuhiro Original Sole black low-top canvas sneakers combine soft flexible canvas and thick rubber sole with handmade distressed detail, offering vintage street style, comfort, and breathability.</t>
  </si>
  <si>
    <t>{"id":"chatcmpl-DVZakayWOz2KFkSRQ3LFb98pIfyiE","object":"chat.completion","created":1776417354,"model":"gpt-5-chat-latest","choices":[{"index":0,"message":{"role":"assistant","content":"Maison Mihara Yasuhiro, shoes, kakobuy, kakebuy2026, kekobuysheet, kakobuysheet2026, 2026kakobuy, kakobuyspreadsheeet, kakobuylink, kakebuylist, Kakobuy MEGA Spreadsheet, kakobuysheetfind, kakobuysheetfind2026, 2026kakobuysheetfind, kakobuysheet2026","refusal":null,"annotations":[]},"logprobs":null,"finish_reason":"stop"}],"usage":{"prompt_tokens":507,"completion_tokens":95,"total_tokens":602,"prompt_tokens_details":{"cached_tokens":0,"audio_tokens":0},"completion_tokens_details":{"reasoning_tokens":0,"audio_tokens":0,"accepted_prediction_tokens":0,"rejected_prediction_tokens":0}},"service_tier":"default","system_fingerprint":"fp_ad66631dec"}</t>
  </si>
  <si>
    <t>Canvas Shoes, Vintage, Streetwear, Black, Casual Sneakers, Breathable</t>
  </si>
  <si>
    <t>recvh0B9A7yEt6</t>
  </si>
  <si>
    <t>mihara-yasuhiro-original-sole-black-canvas-recvh0b9a7yet6</t>
  </si>
  <si>
    <t>{"choices":[{"finish_reason":"stop","index":0,"logprobs":null,"message":{"annotations":[],"content":"Maison Mihara Yasuhiro：Original Sole黑色低帮帆布鞋，柔韧帆布与厚质橡胶鞋底结合，手工做旧设计彰显解构美学，复古街头风格，男女通用款，舒适透气又具时尚个性。","refusal":null,"role":"assistant"}}],"created":1776411992,"id":"chatcmpl-DVYCG5vwkGlnnSj5jpix9Lx0YipUO","model":"gpt-5-chat-latest","object":"chat.completion","service_tier":"default","system_fingerprint":"fp_ad66631dec","usage":{"completion_tokens":70,"completion_tokens_details":{"accepted_prediction_tokens":0,"audio_tokens":0,"reasoning_tokens":0,"rejected_prediction_tokens":0},"prompt_tokens":1028,"prompt_tokens_details":{"audio_tokens":0,"cached_tokens":0},"total_tokens":1098}}</t>
  </si>
  <si>
    <t>Maison Mihara Yasuhiro：Original Sole黑色低帮帆布鞋，柔韧帆布与厚质橡胶鞋底结合，手工做旧设计彰显解构美学，复古街头风格，男女通用款，舒适透气又具时尚个性。</t>
  </si>
  <si>
    <t>{"choices":[{"finish_reason":"stop","index":0,"logprobs":null,"message":{"annotations":[],"content":"Maison Mihara Yasuhiro Blue Canvas Chunky Sole Sneakers","refusal":null,"role":"assistant"}}],"created":1776416392,"id":"chatcmpl-DVZLEOHby1VvZBBz4nX3Jeo1NsdKP","model":"gpt-5-chat-latest","object":"chat.completion","service_tier":"default","system_fingerprint":"fp_ad66631dec","usage":{"completion_tokens":13,"completion_tokens_details":{"accepted_prediction_tokens":0,"audio_tokens":0,"reasoning_tokens":0,"rejected_prediction_tokens":0},"prompt_tokens":600,"prompt_tokens_details":{"audio_tokens":0,"cached_tokens":0},"total_tokens":613}}</t>
  </si>
  <si>
    <t>Maison Mihara Yasuhiro Blue Canvas Chunky Sole Sneakers</t>
  </si>
  <si>
    <t>{"choices":[{"finish_reason":"stop","index":0,"logprobs":null,"message":{"annotations":[],"content":"Maison Mihara Yasuhiro blue canvas sneakers feature soft cotton upper, wavy chunky rubber sole, retro deconstructed style, gender-neutral street design with unique avant-garde fashion aesthetics.","refusal":null,"role":"assistant"}}],"created":1776414843,"id":"chatcmpl-DVYwFGvmotcujqKCbphTKJf7lP0Dj","model":"gpt-5-chat-latest","object":"chat.completion","service_tier":"default","system_fingerprint":"fp_ad66631dec","usage":{"completion_tokens":37,"completion_tokens_details":{"accepted_prediction_tokens":0,"audio_tokens":0,"reasoning_tokens":0,"rejected_prediction_tokens":0},"prompt_tokens":622,"prompt_tokens_details":{"audio_tokens":0,"cached_tokens":0},"total_tokens":659}}</t>
  </si>
  <si>
    <t>Maison Mihara Yasuhiro blue canvas sneakers feature soft cotton upper, wavy chunky rubber sole, retro deconstructed style, gender-neutral street design with unique avant-garde fashion aesthetics.</t>
  </si>
  <si>
    <t>{"choices":[{"finish_reason":"stop","index":0,"logprobs":null,"message":{"annotations":[],"content":"Maison Mihara Yasuhiro, Shoes, kakobuy, kakebuy2026, kekobuysheet, kakobuysheet2026, 2026kakobuy, kakobuyspreadsheeet, kakobuylink, kakebuylist, Kakobuy MEGA Spreadsheet, kakobuysheetfind, kakobuysheetfind2026, 2026kakobuysheetfind, kakobuysheet2026","refusal":null,"role":"assistant"}}],"created":1776417243,"id":"chatcmpl-DVZYxG68y245QxKsAxp3tDdaamEv1","model":"gpt-5-chat-latest","object":"chat.completion","service_tier":"default","system_fingerprint":"fp_ad66631dec","usage":{"completion_tokens":95,"completion_tokens_details":{"accepted_prediction_tokens":0,"audio_tokens":0,"reasoning_tokens":0,"rejected_prediction_tokens":0},"prompt_tokens":507,"prompt_tokens_details":{"audio_tokens":0,"cached_tokens":0},"total_tokens":602}}</t>
  </si>
  <si>
    <t>Canvas, Rubber Sole, Retro, Deconstructed, Street, Unisex</t>
  </si>
  <si>
    <t>recvh0B9A7WF2i</t>
  </si>
  <si>
    <t>mihara-yasuhiro-blue-canvas-chunky-sole-recvh0b9a7wf2i</t>
  </si>
  <si>
    <t>{"id":"chatcmpl-DVYCDxV58jYHKlVn3u92oE1tSqfWg","object":"chat.completion","created":1776411989,"model":"gpt-5-chat-latest","choices":[{"index":0,"message":{"role":"assistant","content":"Maison Mihara Yasuhiro 蓝色厚底帆布球鞋，采用柔韧橡胶波浪鞋底与棉质鞋面，复古解构设计，街头先锋风格，男女通用款，彰显设计师独特审美与潮流个性。","refusal":null,"annotations":[]},"logprobs":null,"finish_reason":"stop"}],"usage":{"prompt_tokens":1024,"completion_tokens":66,"total_tokens":1090,"prompt_tokens_details":{"cached_tokens":0,"audio_tokens":0},"completion_tokens_details":{"reasoning_tokens":0,"audio_tokens":0,"accepted_prediction_tokens":0,"rejected_prediction_tokens":0}},"service_tier":"default","system_fingerprint":"fp_ad66631dec"}</t>
  </si>
  <si>
    <t>Maison Mihara Yasuhiro 蓝色厚底帆布球鞋，采用柔韧橡胶波浪鞋底与棉质鞋面，复古解构设计，街头先锋风格，男女通用款，彰显设计师独特审美与潮流个性。</t>
  </si>
  <si>
    <t>{"id":"chatcmpl-DVZEJU1ublnl6wdElqMXdfF7NXVCk","object":"chat.completion","created":1776415963,"model":"gpt-5-chat-latest","choices":[{"index":0,"message":{"role":"assistant","content":"Maison Mihara Yasuhiro Black White Deconstructed Canvas Sneakers","refusal":null,"annotations":[]},"logprobs":null,"finish_reason":"stop"}],"usage":{"prompt_tokens":874,"completion_tokens":13,"total_tokens":887,"prompt_tokens_details":{"cached_tokens":0,"audio_tokens":0},"completion_tokens_details":{"reasoning_tokens":0,"audio_tokens":0,"accepted_prediction_tokens":0,"rejected_prediction_tokens":0}},"service_tier":"default","system_fingerprint":"fp_ad66631dec"}</t>
  </si>
  <si>
    <t>Maison Mihara Yasuhiro Black White Deconstructed Canvas Sneakers</t>
  </si>
  <si>
    <t>{"choices":[{"finish_reason":"stop","index":0,"logprobs":null,"message":{"annotations":[],"content":"Maison Mihara Yasuhiro black and white deconstructed canvas sneakers with thick wavy rubber sole, vintage handmade look, unisex casual street style expressing modern individuality.","refusal":null,"role":"assistant"}}],"created":1776414871,"id":"chatcmpl-DVYwhxNSJjAGqoU3ioUFT5at8pi1t","model":"gpt-5-chat-latest","object":"chat.completion","service_tier":"default","system_fingerprint":"fp_ad66631dec","usage":{"completion_tokens":34,"completion_tokens_details":{"accepted_prediction_tokens":0,"audio_tokens":0,"reasoning_tokens":0,"rejected_prediction_tokens":0},"prompt_tokens":910,"prompt_tokens_details":{"audio_tokens":0,"cached_tokens":0},"total_tokens":944}}</t>
  </si>
  <si>
    <t>Maison Mihara Yasuhiro black and white deconstructed canvas sneakers with thick wavy rubber sole, vintage handmade look, unisex casual street style expressing modern individuality.</t>
  </si>
  <si>
    <t>{"choices":[{"finish_reason":"stop","index":0,"logprobs":null,"message":{"annotations":[],"content":"Maison Mihara Yasuhiro,Shoes,kakobuy,kakebuy2026,kekobuysheet,kakobuysheet2026,2026kakobuy,kakobuyspreadsheeet,kakobuylink,kakebuylist,Kakobuy MEGA Spreadsheet,kakobuysheetfind,kakobuysheetfind2026,2026kakobuysheetfind,kakobuysheet2026","refusal":null,"role":"assistant"}}],"created":1776416689,"id":"chatcmpl-DVZQ1YYe5LtB1HlHfLTyOutwTpFG7","model":"gpt-5-chat-latest","object":"chat.completion","service_tier":"default","system_fingerprint":"fp_ad66631dec","usage":{"completion_tokens":91,"completion_tokens_details":{"accepted_prediction_tokens":0,"audio_tokens":0,"reasoning_tokens":0,"rejected_prediction_tokens":0},"prompt_tokens":787,"prompt_tokens_details":{"audio_tokens":0,"cached_tokens":0},"total_tokens":878}}</t>
  </si>
  <si>
    <t>Canvas Shoes, Deconstructed, Unisex, Street, Vintage</t>
  </si>
  <si>
    <t>recvh0B9A78yMx</t>
  </si>
  <si>
    <t>mihara-yasuhiro-black-white-deconstructed-canvas-recvh0b9a78ymx</t>
  </si>
  <si>
    <t>{"choices":[{"finish_reason":"stop","index":0,"logprobs":null,"message":{"annotations":[],"content":"Maison Mihara Yasuhiro：黑白拼色解构厚底帆布鞋，柔韧橡胶波浪大底结合复古手工廓形，展现先锋街头设计美学，男女通用休闲运动款，彰显独立态度与摩登个性。","refusal":null,"role":"assistant"}}],"created":1776412558,"id":"chatcmpl-DVYLOEGJzBrPAbX68ybHluEJ8cKPG","model":"gpt-5-chat-latest","object":"chat.completion","service_tier":"default","system_fingerprint":"fp_ad66631dec","usage":{"completion_tokens":69,"completion_tokens_details":{"accepted_prediction_tokens":0,"audio_tokens":0,"reasoning_tokens":0,"rejected_prediction_tokens":0},"prompt_tokens":1314,"prompt_tokens_details":{"audio_tokens":0,"cached_tokens":0},"total_tokens":1383}}</t>
  </si>
  <si>
    <t>Maison Mihara Yasuhiro：黑白拼色解构厚底帆布鞋，柔韧橡胶波浪大底结合复古手工廓形，展现先锋街头设计美学，男女通用休闲运动款，彰显独立态度与摩登个性。</t>
  </si>
  <si>
    <t>{"choices":[{"finish_reason":"stop","index":0,"logprobs":null,"message":{"annotations":[],"content":"Maison Mihara Yasuhiro Off White Deconstructed Platform Sneakers","refusal":null,"role":"assistant"}}],"created":1776415815,"id":"chatcmpl-DVZBvWohjLqvAInw3ZwD9a9aMrSkr","model":"gpt-5-chat-latest","object":"chat.completion","service_tier":"default","system_fingerprint":"fp_ad66631dec","usage":{"completion_tokens":13,"completion_tokens_details":{"accepted_prediction_tokens":0,"audio_tokens":0,"reasoning_tokens":0,"rejected_prediction_tokens":0},"prompt_tokens":878,"prompt_tokens_details":{"audio_tokens":0,"cached_tokens":0},"total_tokens":891}}</t>
  </si>
  <si>
    <t>Maison Mihara Yasuhiro Off White Deconstructed Platform Sneakers</t>
  </si>
  <si>
    <t>{"choices":[{"finish_reason":"stop","index":0,"logprobs":null,"message":{"annotations":[],"content":"Maison Mihara Yasuhiro Off-White Deconstructed Platform Sneakers, leather and canvas mix, twisted sole design for avant-garde street style, unisex comfort with artistic flair.","refusal":null,"role":"assistant"}}],"created":1776414948,"id":"chatcmpl-DVYxwMeGliFOxHhCMmJ3OmAsNcHGS","model":"gpt-5-chat-latest","object":"chat.completion","service_tier":"default","system_fingerprint":"fp_ad66631dec","usage":{"completion_tokens":36,"completion_tokens_details":{"accepted_prediction_tokens":0,"audio_tokens":0,"reasoning_tokens":0,"rejected_prediction_tokens":0},"prompt_tokens":906,"prompt_tokens_details":{"audio_tokens":0,"cached_tokens":0},"total_tokens":942}}</t>
  </si>
  <si>
    <t>Maison Mihara Yasuhiro Off-White Deconstructed Platform Sneakers, leather and canvas mix, twisted sole design for avant-garde street style, unisex comfort with artistic flair.</t>
  </si>
  <si>
    <t>{"id":"chatcmpl-DVZXUO9XNDXjjlAn2YXfurFYQodIi","object":"chat.completion","created":1776417152,"model":"gpt-5-chat-latest","choices":[{"index":0,"message":{"role":"assistant","content":"Maison Mihara Yasuhiro, Shoes, kakobuy, kakebuy2026, kekobuysheet, kakobuysheet2026, 2026kakobuy, kakobuyspreadsheeet, kakobuylink, kakebuylist, Kakobuy MEGA Spreadsheet, kakobuysheetfind, kakobuysheetfind2026, 2026kakobuysheetfind, kakobuysheet2026","refusal":null,"annotations":[]},"logprobs":null,"finish_reason":"stop"}],"usage":{"prompt_tokens":787,"completion_tokens":95,"total_tokens":882,"prompt_tokens_details":{"cached_tokens":0,"audio_tokens":0},"completion_tokens_details":{"reasoning_tokens":0,"audio_tokens":0,"accepted_prediction_tokens":0,"rejected_prediction_tokens":0}},"service_tier":"default","system_fingerprint":"fp_ad66631dec"}</t>
  </si>
  <si>
    <t>Deconstructed, Leather, Canvas, Unisex, Streetwear, Artistic Style</t>
  </si>
  <si>
    <t>recvh0B9A76vZC</t>
  </si>
  <si>
    <t>mihara-yasuhiro-off-white-deconstructed-platform-recvh0b9a76vzc</t>
  </si>
  <si>
    <t>{"choices":[{"finish_reason":"stop","index":0,"logprobs":null,"message":{"annotations":[],"content":"Maison Mihara Yasuhiro 米白解构厚底休闲鞋，牛皮与帆布拼接设计，独特扭曲鞋底造型，呈现前卫街头风格，男女通用款，兼具舒适与艺术感，彰显设计师先锋美学。","refusal":null,"role":"assistant"}}],"created":1776412291,"id":"chatcmpl-DVYH5OCU4xkntoayJ5y6dJo4rMBle","model":"gpt-5-chat-latest","object":"chat.completion","service_tier":"default","system_fingerprint":"fp_ad66631dec","usage":{"completion_tokens":67,"completion_tokens_details":{"accepted_prediction_tokens":0,"audio_tokens":0,"reasoning_tokens":0,"rejected_prediction_tokens":0},"prompt_tokens":1310,"prompt_tokens_details":{"audio_tokens":0,"cached_tokens":1280},"total_tokens":1377}}</t>
  </si>
  <si>
    <t>Maison Mihara Yasuhiro 米白解构厚底休闲鞋，牛皮与帆布拼接设计，独特扭曲鞋底造型，呈现前卫街头风格，男女通用款，兼具舒适与艺术感，彰显设计师先锋美学。</t>
  </si>
  <si>
    <t>Onitsuka Tiger</t>
  </si>
  <si>
    <t>280</t>
  </si>
  <si>
    <t>{"choices":[{"finish_reason":"stop","index":0,"logprobs":null,"message":{"annotations":[],"content":"Onitsuka Tiger Blue Gray Suede RetroSneakers","refusal":null,"role":"assistant"}}],"created":1776416248,"id":"chatcmpl-DVZIuYzNEUGtacRfBCjKNqDGn1Avt","model":"gpt-5-chat-latest","object":"chat.completion","service_tier":"default","system_fingerprint":"fp_ad66631dec","usage":{"completion_tokens":12,"completion_tokens_details":{"accepted_prediction_tokens":0,"audio_tokens":0,"reasoning_tokens":0,"rejected_prediction_tokens":0},"prompt_tokens":880,"prompt_tokens_details":{"audio_tokens":0,"cached_tokens":0},"total_tokens":892}}</t>
  </si>
  <si>
    <t>Onitsuka Tiger Blue Gray Suede RetroSneakers</t>
  </si>
  <si>
    <t>{"choices":[{"finish_reason":"stop","index":0,"logprobs":null,"message":{"annotations":[],"content":"Onitsuka Tiger classic blue-gray sneakers with suede texture and signature tiger stripes, durable anti-slip rubber sole, retro meets modern design, unisex casual style for timeless Japanese minimalism.","refusal":null,"role":"assistant"}}],"created":1776414861,"id":"chatcmpl-DVYwXdqRZDowXzmHU17PMpvNUw4ML","model":"gpt-5-chat-latest","object":"chat.completion","service_tier":"default","system_fingerprint":"fp_ad66631dec","usage":{"completion_tokens":38,"completion_tokens_details":{"accepted_prediction_tokens":0,"audio_tokens":0,"reasoning_tokens":0,"rejected_prediction_tokens":0},"prompt_tokens":915,"prompt_tokens_details":{"audio_tokens":0,"cached_tokens":0},"total_tokens":953}}</t>
  </si>
  <si>
    <t>Onitsuka Tiger classic blue-gray sneakers with suede texture and signature tiger stripes, durable anti-slip rubber sole, retro meets modern design, unisex casual style for timeless Japanese minimalism.</t>
  </si>
  <si>
    <t>{"id":"chatcmpl-DVZVjNsPRTks5czUl6RKKA312SsWe","object":"chat.completion","created":1776417043,"model":"gpt-5-chat-latest","choices":[{"index":0,"message":{"role":"assistant","content":"Onitsuka Tiger,Shoes,kakobuy,kakebuy2026,kekobuysheet,kakobuysheet2026,2026kakobuy,kakobuyspreadsheeet,kakobuylink,kakebuylist,Kakobuy MEGA Spreadsheet,kakobuysheetfind,kakobuysheetfind2026,2026kakobuysheetfind,kakobuysheet2026","refusal":null,"annotations":[]},"logprobs":null,"finish_reason":"stop"}],"usage":{"prompt_tokens":785,"completion_tokens":89,"total_tokens":874,"prompt_tokens_details":{"cached_tokens":0,"audio_tokens":0},"completion_tokens_details":{"reasoning_tokens":0,"audio_tokens":0,"accepted_prediction_tokens":0,"rejected_prediction_tokens":0}},"service_tier":"default","system_fingerprint":"fp_ad66631dec"}</t>
  </si>
  <si>
    <t>Onitsuka Tiger,Shoes,kakobuy,kakebuy2026,kekobuysheet,kakobuysheet2026,2026kakobuy,kakobuyspreadsheeet,kakobuylink,kakebuylist,Kakobuy MEGA Spreadsheet,kakobuysheetfind,kakobuysheetfind2026,2026kakobuysheetfind,kakobuysheet2026</t>
  </si>
  <si>
    <t>Onitsuka Tiger, Suede, Rubber Sole, Anti-Slip, Retro, Unisex</t>
  </si>
  <si>
    <t>recvh0B9A7QPTN</t>
  </si>
  <si>
    <t>onitsuka-tiger-blue-gray-suede-retrosneakers-recvh0b9a7qptn</t>
  </si>
  <si>
    <t>{"choices":[{"finish_reason":"stop","index":0,"logprobs":null,"message":{"annotations":[],"content":"Onitsuka Tiger 蓝灰色经典休闲运动鞋，麂皮拼接质感设计，侧面标志性虎纹条纹彰显品牌识别度，舒适橡胶鞋底防滑耐磨，复古灵感结合现代剪裁，男女皆宜百搭款，尽显日式简约运动美学。","refusal":null,"role":"assistant"}}],"created":1776412594,"id":"chatcmpl-DVYLyqFDONkiWzAmPgAp9tCcS2YN3","model":"gpt-5-chat-latest","object":"chat.completion","service_tier":"default","system_fingerprint":"fp_ad66631dec","usage":{"completion_tokens":77,"completion_tokens_details":{"accepted_prediction_tokens":0,"audio_tokens":0,"reasoning_tokens":0,"rejected_prediction_tokens":0},"prompt_tokens":1308,"prompt_tokens_details":{"audio_tokens":0,"cached_tokens":0},"total_tokens":1385}}</t>
  </si>
  <si>
    <t>Onitsuka Tiger 蓝灰色经典休闲运动鞋，麂皮拼接质感设计，侧面标志性虎纹条纹彰显品牌识别度，舒适橡胶鞋底防滑耐磨，复古灵感结合现代剪裁，男女皆宜百搭款，尽显日式简约运动美学。</t>
  </si>
  <si>
    <t>{"choices":[{"finish_reason":"stop","index":0,"logprobs":null,"message":{"annotations":[],"content":"Onitsuka Tiger Mexico 66 White Rose Gold Shoes","refusal":null,"role":"assistant"}}],"created":1776416257,"id":"chatcmpl-DVZJ30zjkeUZi6x2QqesHLRXX30m0","model":"gpt-5-chat-latest","object":"chat.completion","service_tier":"default","system_fingerprint":"fp_ad66631dec","usage":{"completion_tokens":12,"completion_tokens_details":{"accepted_prediction_tokens":0,"audio_tokens":0,"reasoning_tokens":0,"rejected_prediction_tokens":0},"prompt_tokens":888,"prompt_tokens_details":{"audio_tokens":0,"cached_tokens":0},"total_tokens":900}}</t>
  </si>
  <si>
    <t>Onitsuka Tiger Mexico 66 White Rose Gold Shoes</t>
  </si>
  <si>
    <t>{"choices":[{"finish_reason":"stop","index":0,"logprobs":null,"message":{"annotations":[],"content":"Onitsuka Tiger Mexico 66 White Rose Gold Sneakers—crafted with soft leather and vintage suede for lightweight comfort, durable rubber sole, and iconic 60s retro design blending modern urban style for all.","refusal":null,"role":"assistant"}}],"created":1776414807,"id":"chatcmpl-DVYvfgWEhkRLMb7TsyHw719qc8Pbc","model":"gpt-5-chat-latest","object":"chat.completion","service_tier":"default","system_fingerprint":"fp_ad66631dec","usage":{"completion_tokens":42,"completion_tokens_details":{"accepted_prediction_tokens":0,"audio_tokens":0,"reasoning_tokens":0,"rejected_prediction_tokens":0},"prompt_tokens":914,"prompt_tokens_details":{"audio_tokens":0,"cached_tokens":0},"total_tokens":956}}</t>
  </si>
  <si>
    <t>Onitsuka Tiger Mexico 66 White Rose Gold Sneakers—crafted with soft leather and vintage suede for lightweight comfort, durable rubber sole, and iconic 60s retro design blending modern urban style for all.</t>
  </si>
  <si>
    <t>{"choices":[{"finish_reason":"stop","index":0,"logprobs":null,"message":{"annotations":[],"content":"Onitsuka Tiger, Shoes, kakobuy, kakebuy2026, kekobuysheet, kakobuysheet2026, 2026kakobuy, kakobuyspreadsheeet, kakobuylink, kakebuylist, Kakobuy MEGA Spreadsheet, kakobuysheetfind, kakobuysheetfind2026, 2026kakobuysheetfind, kakobuysheet2026","refusal":null,"role":"assistant"}}],"created":1776416854,"id":"chatcmpl-DVZSgNYkdnv22w7a1p006qx8s58QW","model":"gpt-5-chat-latest","object":"chat.completion","service_tier":"default","system_fingerprint":"fp_ad66631dec","usage":{"completion_tokens":93,"completion_tokens_details":{"accepted_prediction_tokens":0,"audio_tokens":0,"reasoning_tokens":0,"rejected_prediction_tokens":0},"prompt_tokens":785,"prompt_tokens_details":{"audio_tokens":0,"cached_tokens":0},"total_tokens":878}}</t>
  </si>
  <si>
    <t>Onitsuka Tiger, Shoes, kakobuy, kakebuy2026, kekobuysheet, kakobuysheet2026, 2026kakobuy, kakobuyspreadsheeet, kakobuylink, kakebuylist, Kakobuy MEGA Spreadsheet, kakobuysheetfind, kakobuysheetfind2026, 2026kakobuysheetfind, kakobuysheet2026</t>
  </si>
  <si>
    <t>Onitsuka Tiger, Sneakers, Leather, Suede, Retro, White</t>
  </si>
  <si>
    <t>recvh0B9A7V9du</t>
  </si>
  <si>
    <t>onitsuka-tiger-mexico-66-white-rose-gold-recvh0b9a7v9du</t>
  </si>
  <si>
    <t>{"choices":[{"finish_reason":"stop","index":0,"logprobs":null,"message":{"annotations":[],"content":"Onitsuka Tiger：Mexico 66白玫瑰金休闲运动鞋，采用柔软皮革结合复古麂皮拼接，轻盈透气耐磨橡胶鞋底，极简复古设计融合都市时尚，男女皆宜，展现经典60年代复刻风格与现代舒适体验。","refusal":null,"role":"assistant"}}],"created":1776412528,"id":"chatcmpl-DVYKuHGRyOWpECcp3B9wMZJjdtMWk","model":"gpt-5-chat-latest","object":"chat.completion","service_tier":"default","system_fingerprint":"fp_ad66631dec","usage":{"completion_tokens":75,"completion_tokens_details":{"accepted_prediction_tokens":0,"audio_tokens":0,"reasoning_tokens":0,"rejected_prediction_tokens":0},"prompt_tokens":1310,"prompt_tokens_details":{"audio_tokens":0,"cached_tokens":0},"total_tokens":1385}}</t>
  </si>
  <si>
    <t>Onitsuka Tiger：Mexico 66白玫瑰金休闲运动鞋，采用柔软皮革结合复古麂皮拼接，轻盈透气耐磨橡胶鞋底，极简复古设计融合都市时尚，男女皆宜，展现经典60年代复刻风格与现代舒适体验。</t>
  </si>
  <si>
    <t>{"choices":[{"finish_reason":"stop","index":0,"logprobs":null,"message":{"annotations":[],"content":"Onitsuka Tiger Mexico 66 Beige Suede Sneakers","refusal":null,"role":"assistant"}}],"created":1776416378,"id":"chatcmpl-DVZL0iYlqm8Hzb39fzIUzxbw5vplW","model":"gpt-5-chat-latest","object":"chat.completion","service_tier":"default","system_fingerprint":"fp_ad66631dec","usage":{"completion_tokens":12,"completion_tokens_details":{"accepted_prediction_tokens":0,"audio_tokens":0,"reasoning_tokens":0,"rejected_prediction_tokens":0},"prompt_tokens":870,"prompt_tokens_details":{"audio_tokens":0,"cached_tokens":0},"total_tokens":882}}</t>
  </si>
  <si>
    <t>Onitsuka Tiger Mexico 66 Beige Suede Sneakers</t>
  </si>
  <si>
    <t>{"choices":[{"finish_reason":"stop","index":0,"logprobs":null,"message":{"annotations":[],"content":"Onitsuka Tiger Mexico 66 Beige Sneakers blend premium suede and fabric for lightweight comfort. Retro minimalist unisex design brings refined Japanese street style to everyday wear.","refusal":null,"role":"assistant"}}],"created":1776414944,"id":"chatcmpl-DVYxsgPthSrLIRmaQnLap6OKDsQ0m","model":"gpt-5-chat-latest","object":"chat.completion","service_tier":"default","system_fingerprint":"fp_ad66631dec","usage":{"completion_tokens":33,"completion_tokens_details":{"accepted_prediction_tokens":0,"audio_tokens":0,"reasoning_tokens":0,"rejected_prediction_tokens":0},"prompt_tokens":899,"prompt_tokens_details":{"audio_tokens":0,"cached_tokens":0},"total_tokens":932}}</t>
  </si>
  <si>
    <t>Onitsuka Tiger Mexico 66 Beige Sneakers blend premium suede and fabric for lightweight comfort. Retro minimalist unisex design brings refined Japanese street style to everyday wear.</t>
  </si>
  <si>
    <t>{"choices":[{"finish_reason":"stop","index":0,"logprobs":null,"message":{"annotations":[],"content":"Onitsuka Tiger, Shoes, kakobuy, kakebuy2026, kekobuysheet, kakobuysheet2026, 2026kakobuy, kakobuyspreadsheeet, kakobuylink, kakebuylist, Kakobuy MEGA Spreadsheet, kakobuysheetfind, kakobuysheetfind2026, 2026kakobuysheetfind, kakobuysheet2026","refusal":null,"role":"assistant"}}],"created":1776417147,"id":"chatcmpl-DVZXPCn8bEdhBoyBOj0LT05O6sVun","model":"gpt-5-chat-latest","object":"chat.completion","service_tier":"default","system_fingerprint":"fp_ad66631dec","usage":{"completion_tokens":93,"completion_tokens_details":{"accepted_prediction_tokens":0,"audio_tokens":0,"reasoning_tokens":0,"rejected_prediction_tokens":0},"prompt_tokens":785,"prompt_tokens_details":{"audio_tokens":0,"cached_tokens":0},"total_tokens":878}}</t>
  </si>
  <si>
    <t>Onitsuka Tiger, Sneakers, Suede, Retro, Minimalist, Unisex</t>
  </si>
  <si>
    <t>recvh0B9A7pdNz</t>
  </si>
  <si>
    <t>onitsuka-tiger-mexico-66-beige-suede-recvh0b9a7pdnz</t>
  </si>
  <si>
    <t>{"id":"chatcmpl-DVYFqbeh9mAG7vcWVWDk0DThyi9oG","object":"chat.completion","created":1776412214,"model":"gpt-5-chat-latest","choices":[{"index":0,"message":{"role":"assistant","content":"Onitsuka Tiger：经典Mexico 66米卡其配色休闲运动鞋，甄选优质麂皮与织物拼接，轻盈舒适，复古极简设计，男女通用款，展现日式街头优雅风格。","refusal":null,"annotations":[]},"logprobs":null,"finish_reason":"stop"}],"usage":{"prompt_tokens":1308,"completion_tokens":61,"total_tokens":1369,"prompt_tokens_details":{"cached_tokens":0,"audio_tokens":0},"completion_tokens_details":{"reasoning_tokens":0,"audio_tokens":0,"accepted_prediction_tokens":0,"rejected_prediction_tokens":0}},"service_tier":"default","system_fingerprint":"fp_ad66631dec"}</t>
  </si>
  <si>
    <t>Onitsuka Tiger：经典Mexico 66米卡其配色休闲运动鞋，甄选优质麂皮与织物拼接，轻盈舒适，复古极简设计，男女通用款，展现日式街头优雅风格。</t>
  </si>
  <si>
    <t>{"id":"chatcmpl-DVZDwq6WjphU0nwDRCUg05ObvmFPe","object":"chat.completion","created":1776415940,"model":"gpt-5-chat-latest","choices":[{"index":0,"message":{"role":"assistant","content":"Onitsuka Tiger Classic Lemon Yellow Sneakers","refusal":null,"annotations":[]},"logprobs":null,"finish_reason":"stop"}],"usage":{"prompt_tokens":874,"completion_tokens":9,"total_tokens":883,"prompt_tokens_details":{"cached_tokens":0,"audio_tokens":0},"completion_tokens_details":{"reasoning_tokens":0,"audio_tokens":0,"accepted_prediction_tokens":0,"rejected_prediction_tokens":0}},"service_tier":"default","system_fingerprint":"fp_ad66631dec"}</t>
  </si>
  <si>
    <t>Onitsuka Tiger Classic Lemon Yellow Sneakers</t>
  </si>
  <si>
    <t>{"choices":[{"finish_reason":"stop","index":0,"logprobs":null,"message":{"annotations":[],"content":"Onitsuka Tiger CLASSIC Lemon Yellow Sneakers—lightweight suede and nylon design, breathable, unisex retro street style, showcasing Japanese minimalism and sporty fashion energy.","refusal":null,"role":"assistant"}}],"created":1776414845,"id":"chatcmpl-DVYwHMA7QvCsxUESrbyrBkVSEKTcV","model":"gpt-5-chat-latest","object":"chat.completion","service_tier":"default","system_fingerprint":"fp_ad66631dec","usage":{"completion_tokens":35,"completion_tokens_details":{"accepted_prediction_tokens":0,"audio_tokens":0,"reasoning_tokens":0,"rejected_prediction_tokens":0},"prompt_tokens":894,"prompt_tokens_details":{"audio_tokens":0,"cached_tokens":0},"total_tokens":929}}</t>
  </si>
  <si>
    <t>Onitsuka Tiger CLASSIC Lemon Yellow Sneakers—lightweight suede and nylon design, breathable, unisex retro street style, showcasing Japanese minimalism and sporty fashion energy.</t>
  </si>
  <si>
    <t>{"id":"chatcmpl-DVZU4617ED4erlqKkDqn9EVQ300Po","object":"chat.completion","created":1776416940,"model":"gpt-5-chat-latest","choices":[{"index":0,"message":{"role":"assistant","content":"Onitsuka Tiger, Shoes, kakobuy, kakebuy2026, kekobuysheet, kakobuysheet2026, 2026kakobuy, kakobuyspreadsheeet, kakobuylink, kakebuylist, Kakobuy MEGA Spreadsheet, kakobuysheetfind, kakobuysheetfind2026, 2026kakobuysheetfind, kakobuysheet2026","refusal":null,"annotations":[]},"logprobs":null,"finish_reason":"stop"}],"usage":{"prompt_tokens":785,"completion_tokens":93,"total_tokens":878,"prompt_tokens_details":{"cached_tokens":0,"audio_tokens":0},"completion_tokens_details":{"reasoning_tokens":0,"audio_tokens":0,"accepted_prediction_tokens":0,"rejected_prediction_tokens":0}},"service_tier":"default","system_fingerprint":"fp_ad66631dec"}</t>
  </si>
  <si>
    <t>Onitsuka Tiger, Sneakers, Yellow, Retro, Street, Unisex</t>
  </si>
  <si>
    <t>recvh0B9A7jG4D</t>
  </si>
  <si>
    <t>onitsuka-tiger-classic-lemon-yellow-recvh0b9a7jg4d</t>
  </si>
  <si>
    <t>{"choices":[{"finish_reason":"stop","index":0,"logprobs":null,"message":{"annotations":[],"content":"Onitsuka Tiger：CLASSIC系列柠檬黄休闲运动鞋，麂皮与尼龙拼接设计，轻盈透气，复古街头风格，男女皆宜，展现日系简约与时尚活力。","refusal":null,"role":"assistant"}}],"created":1776412005,"id":"chatcmpl-DVYCTrZYK4EokBD59wh82lcLnAGqL","model":"gpt-5-chat-latest","object":"chat.completion","service_tier":"default","system_fingerprint":"fp_ad66631dec","usage":{"completion_tokens":57,"completion_tokens_details":{"accepted_prediction_tokens":0,"audio_tokens":0,"reasoning_tokens":0,"rejected_prediction_tokens":0},"prompt_tokens":1306,"prompt_tokens_details":{"audio_tokens":0,"cached_tokens":0},"total_tokens":1363}}</t>
  </si>
  <si>
    <t>Onitsuka Tiger：CLASSIC系列柠檬黄休闲运动鞋，麂皮与尼龙拼接设计，轻盈透气，复古街头风格，男女皆宜，展现日系简约与时尚活力。</t>
  </si>
  <si>
    <t>250</t>
  </si>
  <si>
    <t>{"id":"chatcmpl-DVZEtRargmyQOnvA9zAhiASDdN87d","object":"chat.completion","created":1776415999,"model":"gpt-5-chat-latest","choices":[{"index":0,"message":{"role":"assistant","content":"Onitsuka Tiger Mexico 66 Beige Suede Canvas Sneakers","refusal":null,"annotations":[]},"logprobs":null,"finish_reason":"stop"}],"usage":{"prompt_tokens":602,"completion_tokens":13,"total_tokens":615,"prompt_tokens_details":{"cached_tokens":0,"audio_tokens":0},"completion_tokens_details":{"reasoning_tokens":0,"audio_tokens":0,"accepted_prediction_tokens":0,"rejected_prediction_tokens":0}},"service_tier":"default","system_fingerprint":"fp_ad66631dec"}</t>
  </si>
  <si>
    <t>Onitsuka Tiger Mexico 66 Beige Suede Canvas Sneakers</t>
  </si>
  <si>
    <t>{"id":"chatcmpl-DVYvibcAwt9tffPGhUqb85KgHgyQu","object":"chat.completion","created":1776414810,"model":"gpt-5-chat-latest","choices":[{"index":0,"message":{"role":"assistant","content":"Onitsuka Tiger Mexico 66 beige sneakers blend soft suede and canvas with iconic cross stripes, featuring a lightweight non-slip sole for comfort and a retro-meets-modern unisex street style.","refusal":null,"annotations":[]},"logprobs":null,"finish_reason":"stop"}],"usage":{"prompt_tokens":646,"completion_tokens":39,"total_tokens":685,"prompt_tokens_details":{"cached_tokens":0,"audio_tokens":0},"completion_tokens_details":{"reasoning_tokens":0,"audio_tokens":0,"accepted_prediction_tokens":0,"rejected_prediction_tokens":0}},"service_tier":"default","system_fingerprint":"fp_ad66631dec"}</t>
  </si>
  <si>
    <t>Onitsuka Tiger Mexico 66 beige sneakers blend soft suede and canvas with iconic cross stripes, featuring a lightweight non-slip sole for comfort and a retro-meets-modern unisex street style.</t>
  </si>
  <si>
    <t>{"choices":[{"finish_reason":"stop","index":0,"logprobs":null,"message":{"annotations":[],"content":"Onitsuka Tiger, Shoes, kakobuy, kakebuy2026, kekobuysheet, kakobuysheet2026, 2026kakobuy, kakobuyspreadsheeet, kakobuylink, kakebuylist, Kakobuy MEGA Spreadsheet, kakobuysheetfind, kakobuysheetfind2026, 2026kakobuysheetfind, kakobuysheet2026","refusal":null,"role":"assistant"}}],"created":1776417119,"id":"chatcmpl-DVZWxz8aqSEdNvNVFhB4pZ7qyAuOh","model":"gpt-5-chat-latest","object":"chat.completion","service_tier":"default","system_fingerprint":"fp_ad66631dec","usage":{"completion_tokens":93,"completion_tokens_details":{"accepted_prediction_tokens":0,"audio_tokens":0,"reasoning_tokens":0,"rejected_prediction_tokens":0},"prompt_tokens":505,"prompt_tokens_details":{"audio_tokens":0,"cached_tokens":0},"total_tokens":598}}</t>
  </si>
  <si>
    <t>Onitsuka Tiger, Sneakers, Beige, Retro, Unisex, Streetwear</t>
  </si>
  <si>
    <t>recvh0B9A7gySh</t>
  </si>
  <si>
    <t>onitsuka-tiger-mexico-66-beige-suede-canvas-recvh0b9a7gysh</t>
  </si>
  <si>
    <t>{"id":"chatcmpl-DVYCOcZlBCDrX6rqGVLVC4Q24BeBH","object":"chat.completion","created":1776412000,"model":"gpt-5-chat-latest","choices":[{"index":0,"message":{"role":"assistant","content":"Onitsuka Tiger：Mexico 66 米色休闲运动鞋，采用柔软翻毛皮与帆布拼接设计，经典交叉虎爪纹标识彰显复古运动风格，轻盈防滑橡胶鞋底提供舒适穿着体验，男女皆宜，融合60年代跑鞋灵感与现代简约美学，适合日常通勤与街头穿搭。","refusal":null,"annotations":[]},"logprobs":null,"finish_reason":"stop"}],"usage":{"prompt_tokens":1018,"completion_tokens":93,"total_tokens":1111,"prompt_tokens_details":{"cached_tokens":0,"audio_tokens":0},"completion_tokens_details":{"reasoning_tokens":0,"audio_tokens":0,"accepted_prediction_tokens":0,"rejected_prediction_tokens":0}},"service_tier":"default","system_fingerprint":"fp_ad66631dec"}</t>
  </si>
  <si>
    <t>Onitsuka Tiger：Mexico 66 米色休闲运动鞋，采用柔软翻毛皮与帆布拼接设计，经典交叉虎爪纹标识彰显复古运动风格，轻盈防滑橡胶鞋底提供舒适穿着体验，男女皆宜，融合60年代跑鞋灵感与现代简约美学，适合日常通勤与街头穿搭。</t>
  </si>
  <si>
    <t>{"id":"chatcmpl-DVZJyqKoHx3zRp0zLn5b9FJTAnwoJ","object":"chat.completion","created":1776416314,"model":"gpt-5-chat-latest","choices":[{"index":0,"message":{"role":"assistant","content":"Onitsuka Tiger Mexico 66 Slip-On Cream Blue Shoes","refusal":null,"annotations":[]},"logprobs":null,"finish_reason":"stop"}],"usage":{"prompt_tokens":880,"completion_tokens":13,"total_tokens":893,"prompt_tokens_details":{"cached_tokens":0,"audio_tokens":0},"completion_tokens_details":{"reasoning_tokens":0,"audio_tokens":0,"accepted_prediction_tokens":0,"rejected_prediction_tokens":0}},"service_tier":"default","system_fingerprint":"fp_ad66631dec"}</t>
  </si>
  <si>
    <t>Onitsuka Tiger Mexico 66 Slip-On Cream Blue Shoes</t>
  </si>
  <si>
    <t>{"choices":[{"finish_reason":"stop","index":0,"logprobs":null,"message":{"annotations":[],"content":"Onitsuka Tiger MEXICO 66 Slip-On Cream Blue sneakers, premium leather upper, breathable, laceless retro design, lightweight anti-slip sole, unisex street fashion style.","refusal":null,"role":"assistant"}}],"created":1776415197,"id":"chatcmpl-DVZ1xhOq69ZYFSYNfmXvhHNTwmHyw","model":"gpt-5-chat-latest","object":"chat.completion","service_tier":"default","system_fingerprint":"fp_ad66631dec","usage":{"completion_tokens":38,"completion_tokens_details":{"accepted_prediction_tokens":0,"audio_tokens":0,"reasoning_tokens":0,"rejected_prediction_tokens":0},"prompt_tokens":914,"prompt_tokens_details":{"audio_tokens":0,"cached_tokens":0},"total_tokens":952}}</t>
  </si>
  <si>
    <t>Onitsuka Tiger MEXICO 66 Slip-On Cream Blue sneakers, premium leather upper, breathable, laceless retro design, lightweight anti-slip sole, unisex street fashion style.</t>
  </si>
  <si>
    <t>{"choices":[{"finish_reason":"stop","index":0,"logprobs":null,"message":{"annotations":[],"content":"Onitsuka Tiger,Shoes,kakobuy,kakebuy2026,kekobuysheet,kakobuysheet2026,2026kakobuy,kakobuyspreadsheeet,kakobuylink,kakebuylist,Kakobuy MEGA Spreadsheet,kakobuysheetfind,kakobuysheetfind2026,2026kakobuysheetfind,kakobuysheet2026","refusal":null,"role":"assistant"}}],"created":1776416834,"id":"chatcmpl-DVZSMN3kv5ePPMMSiU71ag6MwRP0T","model":"gpt-5-chat-latest","object":"chat.completion","service_tier":"default","system_fingerprint":"fp_ad66631dec","usage":{"completion_tokens":89,"completion_tokens_details":{"accepted_prediction_tokens":0,"audio_tokens":0,"reasoning_tokens":0,"rejected_prediction_tokens":0},"prompt_tokens":785,"prompt_tokens_details":{"audio_tokens":0,"cached_tokens":0},"total_tokens":874}}</t>
  </si>
  <si>
    <t>Onitsuka Tiger, Leather, Breathable, Anti-Slip, Unisex, Streetwear</t>
  </si>
  <si>
    <t>recvh0B9A7qe78</t>
  </si>
  <si>
    <t>onitsuka-tiger-mexico-66-slip-on-cream-blue-recvh0b9a7qe78</t>
  </si>
  <si>
    <t>{"id":"chatcmpl-DVYAKZMAmTXjhVp14jRkJvCjtOtXV","object":"chat.completion","created":1776411872,"model":"gpt-5-chat-latest","choices":[{"index":0,"message":{"role":"assistant","content":"Onitsuka Tiger：经典MEXICO 66 SLIP-ON奶白蓝配色休闲运动鞋，优质头层牛皮鞋面柔韧透气，复古无鞋带设计简约便捷，轻盈橡胶大底防滑耐磨，男女皆宜，展现日系复古街头潮流。","refusal":null,"annotations":[]},"logprobs":null,"finish_reason":"stop"}],"usage":{"prompt_tokens":1304,"completion_tokens":78,"total_tokens":1382,"prompt_tokens_details":{"cached_tokens":0,"audio_tokens":0},"completion_tokens_details":{"reasoning_tokens":0,"audio_tokens":0,"accepted_prediction_tokens":0,"rejected_prediction_tokens":0}},"service_tier":"default","system_fingerprint":"fp_ad66631dec"}</t>
  </si>
  <si>
    <t>Onitsuka Tiger：经典MEXICO 66 SLIP-ON奶白蓝配色休闲运动鞋，优质头层牛皮鞋面柔韧透气，复古无鞋带设计简约便捷，轻盈橡胶大底防滑耐磨，男女皆宜，展现日系复古街头潮流。</t>
  </si>
  <si>
    <t>{"id":"chatcmpl-DVZEPAnx9andaOkjea35lGqDnnGSE","object":"chat.completion","created":1776415969,"model":"gpt-5-chat-latest","choices":[{"index":0,"message":{"role":"assistant","content":"Onitsuka Tiger LIMBER Navy White Retro Running Shoes","refusal":null,"annotations":[]},"logprobs":null,"finish_reason":"stop"}],"usage":{"prompt_tokens":878,"completion_tokens":12,"total_tokens":890,"prompt_tokens_details":{"cached_tokens":0,"audio_tokens":0},"completion_tokens_details":{"reasoning_tokens":0,"audio_tokens":0,"accepted_prediction_tokens":0,"rejected_prediction_tokens":0}},"service_tier":"default","system_fingerprint":"fp_ad66631dec"}</t>
  </si>
  <si>
    <t>Onitsuka Tiger LIMBER Navy White Retro Running Shoes</t>
  </si>
  <si>
    <t>{"choices":[{"finish_reason":"stop","index":0,"logprobs":null,"message":{"annotations":[],"content":"Onitsuka Tiger LIMBER Series classic navy and white sneakers feature premium leather and fabric design, breathable comfort, and vintage running style blended with modern street fashion for men and women.","refusal":null,"role":"assistant"}}],"created":1776415238,"id":"chatcmpl-DVZ2ccNBN6ttLZk4KTJ1NORs6bR2Z","model":"gpt-5-chat-latest","object":"chat.completion","service_tier":"default","system_fingerprint":"fp_ad66631dec","usage":{"completion_tokens":37,"completion_tokens_details":{"accepted_prediction_tokens":0,"audio_tokens":0,"reasoning_tokens":0,"rejected_prediction_tokens":0},"prompt_tokens":901,"prompt_tokens_details":{"audio_tokens":0,"cached_tokens":0},"total_tokens":938}}</t>
  </si>
  <si>
    <t>Onitsuka Tiger LIMBER Series classic navy and white sneakers feature premium leather and fabric design, breathable comfort, and vintage running style blended with modern street fashion for men and women.</t>
  </si>
  <si>
    <t>{"choices":[{"finish_reason":"stop","index":0,"logprobs":null,"message":{"annotations":[],"content":"Onitsuka Tiger,Shoes,kakobuy,kakebuy2026,kekobuysheet,kakobuysheet2026,2026kakobuy,kakobuyspreadsheeet,kakobuylink,kakebuylist,Kakobuy MEGA Spreadsheet,kakobuysheetfind,kakobuysheetfind2026,2026kakobuysheetfind,kakobuysheet2026","refusal":null,"role":"assistant"}}],"created":1776417347,"id":"chatcmpl-DVZaddRy3QCoTEgi1F3IB7EF1oc0H","model":"gpt-5-chat-latest","object":"chat.completion","service_tier":"default","system_fingerprint":"fp_ad66631dec","usage":{"completion_tokens":89,"completion_tokens_details":{"accepted_prediction_tokens":0,"audio_tokens":0,"reasoning_tokens":0,"rejected_prediction_tokens":0},"prompt_tokens":785,"prompt_tokens_details":{"audio_tokens":0,"cached_tokens":0},"total_tokens":874}}</t>
  </si>
  <si>
    <t>Onitsuka Tiger, Navy, White, Vintage, Unisex, Leather</t>
  </si>
  <si>
    <t>recvh0B9A7fDJ5</t>
  </si>
  <si>
    <t>onitsuka-tiger-limber-navy-white-recvh0b9a7fdj5</t>
  </si>
  <si>
    <t>{"choices":[{"finish_reason":"stop","index":0,"logprobs":null,"message":{"annotations":[],"content":"Onitsuka Tiger：日本经典LIMBER系列深蓝白拼色运动鞋，优质皮革与织物拼接设计，轻盈透气，复古跑鞋造型融合现代街头风格，男女皆宜，彰显日系简约与匠心工艺。","refusal":null,"role":"assistant"}}],"created":1776412496,"id":"chatcmpl-DVYKOwRBZOyIvg6ZLwlMWc51AwFjm","model":"gpt-5-chat-latest","object":"chat.completion","service_tier":"default","system_fingerprint":"fp_ad66631dec","usage":{"completion_tokens":66,"completion_tokens_details":{"accepted_prediction_tokens":0,"audio_tokens":0,"reasoning_tokens":0,"rejected_prediction_tokens":0},"prompt_tokens":1302,"prompt_tokens_details":{"audio_tokens":0,"cached_tokens":0},"total_tokens":1368}}</t>
  </si>
  <si>
    <t>Onitsuka Tiger：日本经典LIMBER系列深蓝白拼色运动鞋，优质皮革与织物拼接设计，轻盈透气，复古跑鞋造型融合现代街头风格，男女皆宜，彰显日系简约与匠心工艺。</t>
  </si>
  <si>
    <t>220</t>
  </si>
  <si>
    <t>{"id":"chatcmpl-DVZFI3ZvfSQUXYFsDGcn6bqVeyLMu","object":"chat.completion","created":1776416024,"model":"gpt-5-chat-latest","choices":[{"index":0,"message":{"role":"assistant","content":"Onitsuka Tiger Mexico 66 Black White Leather Sneakers","refusal":null,"annotations":[]},"logprobs":null,"finish_reason":"stop"}],"usage":{"prompt_tokens":606,"completion_tokens":12,"total_tokens":618,"prompt_tokens_details":{"cached_tokens":0,"audio_tokens":0},"completion_tokens_details":{"reasoning_tokens":0,"audio_tokens":0,"accepted_prediction_tokens":0,"rejected_prediction_tokens":0}},"service_tier":"default","system_fingerprint":"fp_ad66631dec"}</t>
  </si>
  <si>
    <t>Onitsuka Tiger Mexico 66 Black White Leather Sneakers</t>
  </si>
  <si>
    <t>{"id":"chatcmpl-DVYxU5LTgcUZe4YmZPT1Sa1B4TSGF","object":"chat.completion","created":1776414920,"model":"gpt-5-chat-latest","choices":[{"index":0,"message":{"role":"assistant","content":"Onitsuka Tiger MEXICO 66 black white sneakers, premium leather upper, lightweight breathable design, low-cut fit, rubber non-slip sole, unisex vintage Japanese style for urban casual wear.","refusal":null,"annotations":[]},"logprobs":null,"finish_reason":"stop"}],"usage":{"prompt_tokens":640,"completion_tokens":41,"total_tokens":681,"prompt_tokens_details":{"cached_tokens":0,"audio_tokens":0},"completion_tokens_details":{"reasoning_tokens":0,"audio_tokens":0,"accepted_prediction_tokens":0,"rejected_prediction_tokens":0}},"service_tier":"default","system_fingerprint":"fp_ad66631dec"}</t>
  </si>
  <si>
    <t>Onitsuka Tiger MEXICO 66 black white sneakers, premium leather upper, lightweight breathable design, low-cut fit, rubber non-slip sole, unisex vintage Japanese style for urban casual wear.</t>
  </si>
  <si>
    <t>{"choices":[{"content_filter_result":{"error":{"code":"content_filter_error","message":"The contents are not filtered"}},"finish_reason":"stop","index":0,"logprobs":null,"message":{"annotations":[],"content":"Onitsuka Tiger,Shoes,kakobuy,kakebuy2026,kekobuysheet,kakobuysheet2026,2026kakobuy,kakobuyspreadsheeet,kakobuylink,kakebuylist,Kakobuy MEGA Spreadsheet,kakobuysheetfind,kakobuysheetfind2026,2026kakobuysheetfind,kakobuysheet2026","refusal":null,"role":"assistant"}}],"created":1776416976,"id":"chatcmpl-DVZUewIm5tUrrqAaIh4KpdgngFjA3","model":"gpt-5-chat-latest","object":"chat.completion","service_tier":"default","system_fingerprint":"fp_ad66631dec","usage":{"completion_tokens":89,"completion_tokens_details":{"accepted_prediction_tokens":0,"audio_tokens":0,"reasoning_tokens":0,"rejected_prediction_tokens":0},"prompt_tokens":505,"prompt_tokens_details":{"audio_tokens":0,"cached_tokens":0},"total_tokens":594}}</t>
  </si>
  <si>
    <t>Onitsuka Tiger, Leather Sneakers, Black, White, Vintage, Unisex</t>
  </si>
  <si>
    <t>recvh0B9A7omnY</t>
  </si>
  <si>
    <t>onitsuka-tiger-mexico-66-black-white-leather-recvh0b9a7omny</t>
  </si>
  <si>
    <t>{"choices":[{"finish_reason":"stop","index":0,"logprobs":null,"message":{"annotations":[],"content":"Onitsuka Tiger：经典MEXICO 66黑白配色休闲运动鞋，优质头层牛皮鞋面，轻盈透气，复古极简设计，低帮剪裁贴合脚型，橡胶防滑鞋底提供稳固支撑，男女皆宜，重塑60年代日系复古风格，彰显都市休闲品味。","refusal":null,"role":"assistant"}}],"created":1776412573,"id":"chatcmpl-DVYLdmjYSFSMLjc52xl0zMYjkEr4C","model":"gpt-5-chat-latest","object":"chat.completion","service_tier":"default","system_fingerprint":"fp_ad66631dec","usage":{"completion_tokens":86,"completion_tokens_details":{"accepted_prediction_tokens":0,"audio_tokens":0,"reasoning_tokens":0,"rejected_prediction_tokens":0},"prompt_tokens":1020,"prompt_tokens_details":{"audio_tokens":0,"cached_tokens":0},"total_tokens":1106}}</t>
  </si>
  <si>
    <t>Onitsuka Tiger：经典MEXICO 66黑白配色休闲运动鞋，优质头层牛皮鞋面，轻盈透气，复古极简设计，低帮剪裁贴合脚型，橡胶防滑鞋底提供稳固支撑，男女皆宜，重塑60年代日系复古风格，彰显都市休闲品味。</t>
  </si>
  <si>
    <t>{"choices":[{"finish_reason":"stop","index":0,"logprobs":null,"message":{"annotations":[],"content":"Onitsuka Tiger Mexico 66 Off White Black Sneakers Shoes","refusal":null,"role":"assistant"}}],"created":1776416154,"id":"chatcmpl-DVZHOaTzFv075HIVe6cHMYiSo2gWz","model":"gpt-5-chat-latest","object":"chat.completion","service_tier":"default","system_fingerprint":"fp_ad66631dec","usage":{"completion_tokens":13,"completion_tokens_details":{"accepted_prediction_tokens":0,"audio_tokens":0,"reasoning_tokens":0,"rejected_prediction_tokens":0},"prompt_tokens":612,"prompt_tokens_details":{"audio_tokens":0,"cached_tokens":0},"total_tokens":625}}</t>
  </si>
  <si>
    <t>Onitsuka Tiger Mexico 66 Off White Black Sneakers Shoes</t>
  </si>
  <si>
    <t>{"choices":[{"finish_reason":"stop","index":0,"logprobs":null,"message":{"annotations":[],"content":"Onitsuka Tiger MEXICO 66 Off White Black Sneakers – retro Japanese minimalist design with soft leather upper, iconic tiger stripes, lightweight rubber sole, unisex casual style inspired by 1960s runners.","refusal":null,"role":"assistant"}}],"created":1776414864,"id":"chatcmpl-DVYwaIBkB3n128zhpprQVSUuGqeaZ","model":"gpt-5-chat-latest","object":"chat.completion","service_tier":"default","system_fingerprint":"fp_ad66631dec","usage":{"completion_tokens":44,"completion_tokens_details":{"accepted_prediction_tokens":0,"audio_tokens":0,"reasoning_tokens":0,"rejected_prediction_tokens":0},"prompt_tokens":643,"prompt_tokens_details":{"audio_tokens":0,"cached_tokens":0},"total_tokens":687}}</t>
  </si>
  <si>
    <t>Onitsuka Tiger MEXICO 66 Off White Black Sneakers – retro Japanese minimalist design with soft leather upper, iconic tiger stripes, lightweight rubber sole, unisex casual style inspired by 1960s runners.</t>
  </si>
  <si>
    <t>{"choices":[{"finish_reason":"stop","index":0,"logprobs":null,"message":{"annotations":[],"content":"Onitsuka Tiger, Shoes, kakobuy, kakebuy2026, kekobuysheet, kakobuysheet2026, 2026kakobuy, kakobuyspreadsheeet, kakobuylink, kakebuylist, Kakobuy MEGA Spreadsheet, kakobuysheetfind, kakobuysheetfind2026, 2026kakobuysheetfind, kakobuysheet2026","refusal":null,"role":"assistant"}}],"created":1776416699,"id":"chatcmpl-DVZQB2pEli0e0ItpGZwz8M0qoEgA1","model":"gpt-5-chat-latest","object":"chat.completion","service_tier":"default","system_fingerprint":"fp_ad66631dec","usage":{"completion_tokens":93,"completion_tokens_details":{"accepted_prediction_tokens":0,"audio_tokens":0,"reasoning_tokens":0,"rejected_prediction_tokens":0},"prompt_tokens":505,"prompt_tokens_details":{"audio_tokens":0,"cached_tokens":0},"total_tokens":598}}</t>
  </si>
  <si>
    <t>Onitsuka Tiger, Retro, Minimalist, Unisex, Leather, Casual Sneakers</t>
  </si>
  <si>
    <t>recvh0B9A7kCsc</t>
  </si>
  <si>
    <t>onitsuka-tiger-mexico-66-off-white-black-recvh0b9a7kcsc</t>
  </si>
  <si>
    <t>{"choices":[{"finish_reason":"stop","index":0,"logprobs":null,"message":{"annotations":[],"content":"Onitsuka Tiger：MEXICO 66 米白黑配色复古休闲运动鞋，甄选柔软皮革鞋面，经典虎爪纹设计彰显日系简约美学，轻盈橡胶鞋底提供舒适支撑，男女皆宜，致敬1960年代复古跑鞋风格，演绎都市休闲新格调。","refusal":null,"role":"assistant"}}],"created":1776412400,"id":"chatcmpl-DVYIqgogJTsvCCIUoNMElONAcR8PT","model":"gpt-5-chat-latest","object":"chat.completion","service_tier":"default","system_fingerprint":"fp_ad66631dec","usage":{"completion_tokens":87,"completion_tokens_details":{"accepted_prediction_tokens":0,"audio_tokens":0,"reasoning_tokens":0,"rejected_prediction_tokens":0},"prompt_tokens":1024,"prompt_tokens_details":{"audio_tokens":0,"cached_tokens":0},"total_tokens":1111}}</t>
  </si>
  <si>
    <t>Onitsuka Tiger：MEXICO 66 米白黑配色复古休闲运动鞋，甄选柔软皮革鞋面，经典虎爪纹设计彰显日系简约美学，轻盈橡胶鞋底提供舒适支撑，男女皆宜，致敬1960年代复古跑鞋风格，演绎都市休闲新格调。</t>
  </si>
  <si>
    <t>{"choices":[{"finish_reason":"stop","index":0,"logprobs":null,"message":{"annotations":[],"content":"Onitsuka Tiger Mexico 66 Pink Casual Sneakers Shoes","refusal":null,"role":"assistant"}}],"created":1776416274,"id":"chatcmpl-DVZJKdHCRtnzHKK9NkEPw1d38trWu","model":"gpt-5-chat-latest","object":"chat.completion","service_tier":"default","system_fingerprint":"fp_ad66631dec","usage":{"completion_tokens":12,"completion_tokens_details":{"accepted_prediction_tokens":0,"audio_tokens":0,"reasoning_tokens":0,"rejected_prediction_tokens":0},"prompt_tokens":884,"prompt_tokens_details":{"audio_tokens":0,"cached_tokens":0},"total_tokens":896}}</t>
  </si>
  <si>
    <t>Onitsuka Tiger Mexico 66 Pink Casual Sneakers Shoes</t>
  </si>
  <si>
    <t>{"choices":[{"finish_reason":"stop","index":0,"logprobs":null,"message":{"annotations":[],"content":"Onitsuka Tiger Mexico 66 Pink Sneakers – classic low-top design with soft canvas and leather mix, lightweight and breathable, featuring signature white stripes for a vintage sporty look and daily casual style.","refusal":null,"role":"assistant"}}],"created":1776414947,"id":"chatcmpl-DVYxvT4unGdvfUNxPB2ADbNpwbEkQ","model":"gpt-5-chat-latest","object":"chat.completion","service_tier":"default","system_fingerprint":"fp_ad66631dec","usage":{"completion_tokens":40,"completion_tokens_details":{"accepted_prediction_tokens":0,"audio_tokens":0,"reasoning_tokens":0,"rejected_prediction_tokens":0},"prompt_tokens":908,"prompt_tokens_details":{"audio_tokens":0,"cached_tokens":0},"total_tokens":948}}</t>
  </si>
  <si>
    <t>Onitsuka Tiger Mexico 66 Pink Sneakers – classic low-top design with soft canvas and leather mix, lightweight and breathable, featuring signature white stripes for a vintage sporty look and daily casual style.</t>
  </si>
  <si>
    <t>{"id":"chatcmpl-DVZWAOlzCsaZsZWbDsvmFYkxQzEJY","object":"chat.completion","created":1776417070,"model":"gpt-5-chat-latest","choices":[{"index":0,"message":{"role":"assistant","content":"Onitsuka Tiger, Shoes, kakobuy, kakebuy2026, kekobuysheet, kakobuysheet2026, 2026kakobuy, kakobuyspreadsheeet, kakobuylink, kakebuylist, Kakobuy MEGA Spreadsheet, kakobuysheetfind, kakobuysheetfind2026, 2026kakobuysheetfind, kakobuysheet2026","refusal":null,"annotations":[]},"logprobs":null,"finish_reason":"stop"}],"usage":{"prompt_tokens":785,"completion_tokens":93,"total_tokens":878,"prompt_tokens_details":{"cached_tokens":0,"audio_tokens":0},"completion_tokens_details":{"reasoning_tokens":0,"audio_tokens":0,"accepted_prediction_tokens":0,"rejected_prediction_tokens":0}},"service_tier":"default","system_fingerprint":"fp_ad66631dec"}</t>
  </si>
  <si>
    <t>Onitsuka Tiger, Pink, Canvas, Leather, Vintage, Casual Sneakers</t>
  </si>
  <si>
    <t>recvh0B9A7QuLj</t>
  </si>
  <si>
    <t>onitsuka-tiger-mexico-66-pink-recvh0b9a7qullj</t>
  </si>
  <si>
    <t>{"choices":[{"finish_reason":"stop","index":0,"logprobs":null,"message":{"annotations":[],"content":"Onitsuka Tiger：Mexico 66粉色休闲鞋，经典低帮设计，柔软帆布与皮革拼接材质，轻盈透气，白色虎爪纹标志彰显复古运动风，适合男女日常穿搭，展现日系简约时尚格调。","refusal":null,"role":"assistant"}}],"created":1776412164,"id":"chatcmpl-DVYF2XtcnlqtAzDhWBje5ZOnA8gdN","model":"gpt-5-chat-latest","object":"chat.completion","service_tier":"default","system_fingerprint":"fp_ad66631dec","usage":{"completion_tokens":72,"completion_tokens_details":{"accepted_prediction_tokens":0,"audio_tokens":0,"reasoning_tokens":0,"rejected_prediction_tokens":0},"prompt_tokens":1304,"prompt_tokens_details":{"audio_tokens":0,"cached_tokens":0},"total_tokens":1376}}</t>
  </si>
  <si>
    <t>Onitsuka Tiger：Mexico 66粉色休闲鞋，经典低帮设计，柔软帆布与皮革拼接材质，轻盈透气，白色虎爪纹标志彰显复古运动风，适合男女日常穿搭，展现日系简约时尚格调。</t>
  </si>
  <si>
    <t>{"id":"chatcmpl-DVZH1J4kLsrXsaxU8N4y9DdQDF1hu","object":"chat.completion","created":1776416131,"model":"gpt-5-chat-latest","choices":[{"index":0,"message":{"role":"assistant","content":"Onitsuka Tiger Mexico 66 Black Retro Leather Sneakers","refusal":null,"annotations":[]},"logprobs":null,"finish_reason":"stop"}],"usage":{"prompt_tokens":602,"completion_tokens":12,"total_tokens":614,"prompt_tokens_details":{"cached_tokens":0,"audio_tokens":0},"completion_tokens_details":{"reasoning_tokens":0,"audio_tokens":0,"accepted_prediction_tokens":0,"rejected_prediction_tokens":0}},"service_tier":"default","system_fingerprint":"fp_ad66631dec"}</t>
  </si>
  <si>
    <t>Onitsuka Tiger Mexico 66 Black Retro Leather Sneakers</t>
  </si>
  <si>
    <t>{"choices":[{"content_filter_result":{"error":{"code":"content_filter_error","message":"The contents are not filtered"}},"finish_reason":"stop","index":0,"logprobs":null,"message":{"annotations":[],"content":"Onitsuka Tiger Mexico 66 Black Sneakers—premium leather and fabric blend with subtle shimmer, iconic tiger stripe design, lightweight non-slip sole, perfect retro style for daily wear and travel.","refusal":null,"role":"assistant"}}],"created":1776414922,"id":"chatcmpl-DVYxWYKWCpHr2ZyKpZaw4h8MltWsX","model":"gpt-5-chat-latest","object":"chat.completion","service_tier":"default","system_fingerprint":"fp_ad66631dec","usage":{"completion_tokens":39,"completion_tokens_details":{"accepted_prediction_tokens":0,"audio_tokens":0,"reasoning_tokens":0,"rejected_prediction_tokens":0},"prompt_tokens":656,"prompt_tokens_details":{"audio_tokens":0,"cached_tokens":0},"total_tokens":695}}</t>
  </si>
  <si>
    <t>Onitsuka Tiger Mexico 66 Black Sneakers—premium leather and fabric blend with subtle shimmer, iconic tiger stripe design, lightweight non-slip sole, perfect retro style for daily wear and travel.</t>
  </si>
  <si>
    <t>{"id":"chatcmpl-DVZYf7ORq7aOvjMZ2ldQ3uV7liakm","object":"chat.completion","created":1776417225,"model":"gpt-5-chat-latest","choices":[{"index":0,"message":{"role":"assistant","content":"Onitsuka Tiger, Shoes, kakobuy, kakebuy2026, kekobuysheet, kakobuysheet2026, 2026kakobuy, kakobuyspreadsheeet, kakobuylink, kakebuylist, Kakobuy MEGA Spreadsheet, kakobuysheetfind, kakobuysheetfind2026, 2026kakobuysheetfind, kakobuysheet2026","refusal":null,"annotations":[]},"logprobs":null,"finish_reason":"stop"}],"usage":{"prompt_tokens":505,"completion_tokens":93,"total_tokens":598,"prompt_tokens_details":{"cached_tokens":0,"audio_tokens":0},"completion_tokens_details":{"reasoning_tokens":0,"audio_tokens":0,"accepted_prediction_tokens":0,"rejected_prediction_tokens":0}},"service_tier":"default","system_fingerprint":"fp_ad66631dec"}</t>
  </si>
  <si>
    <t>Onitsuka Tiger, Sneakers, Leather, Black, Retro, Casual Sneakers</t>
  </si>
  <si>
    <t>recvh0B9A7PXSQ</t>
  </si>
  <si>
    <t>onitsuka-tiger-mexico-66-black-retro-leather-recvh0b9a7pxsq</t>
  </si>
  <si>
    <t>{"choices":[{"content_filter_result":{"error":{"code":"content_filter_error","message":"The contents are not filtered"}},"finish_reason":"stop","index":0,"logprobs":null,"message":{"annotations":[],"content":"Onitsuka Tiger：经典Mexico 66系列黑色休闲运动鞋，采用优质皮革与织物拼接材质，通体细闪质感展现低调奢华。流线型鞋身搭配品牌标志性虎爪条纹设计，延续复古跑鞋风格。轻盈橡胶鞋底防滑耐磨，舒适贴合脚型，适合男女日常穿搭与出行。","refusal":null,"role":"assistant"}}],"created":1776412518,"id":"chatcmpl-DVYKkAD8rqNAPvmbYt8Ujd9ALyjX5","model":"gpt-5-chat-latest","object":"chat.completion","service_tier":"default","system_fingerprint":"fp_ad66631dec","usage":{"completion_tokens":102,"completion_tokens_details":{"accepted_prediction_tokens":0,"audio_tokens":0,"reasoning_tokens":0,"rejected_prediction_tokens":0},"prompt_tokens":1020,"prompt_tokens_details":{"audio_tokens":0,"cached_tokens":0},"total_tokens":1122}}</t>
  </si>
  <si>
    <t>Onitsuka Tiger：经典Mexico 66系列黑色休闲运动鞋，采用优质皮革与织物拼接材质，通体细闪质感展现低调奢华。流线型鞋身搭配品牌标志性虎爪条纹设计，延续复古跑鞋风格。轻盈橡胶鞋底防滑耐磨，舒适贴合脚型，适合男女日常穿搭与出行。</t>
  </si>
  <si>
    <t>{"choices":[{"finish_reason":"stop","index":0,"logprobs":null,"message":{"annotations":[],"content":"Maison Mihara Yasuhiro Blakey Black White Platform Sneakers","refusal":null,"role":"assistant"}}],"created":1776416305,"id":"chatcmpl-DVZJpLlFiT85Lo7rwbEFu6FkEVfFP","model":"gpt-5-chat-latest","object":"chat.completion","service_tier":"default","system_fingerprint":"fp_ad66631dec","usage":{"completion_tokens":13,"completion_tokens_details":{"accepted_prediction_tokens":0,"audio_tokens":0,"reasoning_tokens":0,"rejected_prediction_tokens":0},"prompt_tokens":886,"prompt_tokens_details":{"audio_tokens":0,"cached_tokens":0},"total_tokens":899}}</t>
  </si>
  <si>
    <t>{"id":"chatcmpl-DVZ21t9sxbdlE42S9OQpBCxD941GO","object":"chat.completion","created":1776415201,"model":"gpt-5-chat-latest","choices":[{"index":0,"message":{"role":"assistant","content":"Maison Mihara Yasuhiro BLAKEY black and white platform canvas sneakers feature a deconstructed vintage design with wrinkled rubber toe, unisex street style with bold Japanese avant-garde flair.","refusal":null,"annotations":[]},"logprobs":null,"finish_reason":"stop"}],"usage":{"prompt_tokens":894,"completion_tokens":40,"total_tokens":934,"prompt_tokens_details":{"cached_tokens":0,"audio_tokens":0},"completion_tokens_details":{"reasoning_tokens":0,"audio_tokens":0,"accepted_prediction_tokens":0,"rejected_prediction_tokens":0}},"service_tier":"default","system_fingerprint":"fp_ad66631dec"}</t>
  </si>
  <si>
    <t>Maison Mihara Yasuhiro BLAKEY black and white platform canvas sneakers feature a deconstructed vintage design with wrinkled rubber toe, unisex street style with bold Japanese avant-garde flair.</t>
  </si>
  <si>
    <t>{"choices":[{"finish_reason":"stop","index":0,"logprobs":null,"message":{"annotations":[],"content":"Maison Mihara Yasuhiro,Shoes,kakobuy,kakebuy2026,kekobuysheet,kakobuysheet2026,2026kakobuy,kakobuyspreadsheeet,kakobuylink,kakebuylist,Kakobuy MEGA Spreadsheet,kakobuysheetfind,kakobuysheetfind2026,2026kakobuysheetfind,kakobuysheet2026","refusal":null,"role":"assistant"}}],"created":1776416912,"id":"chatcmpl-DVZTcJGrpnhLkXvPvYMss05RSvCIh","model":"gpt-5-chat-latest","object":"chat.completion","service_tier":"default","system_fingerprint":"fp_ad66631dec","usage":{"completion_tokens":91,"completion_tokens_details":{"accepted_prediction_tokens":0,"audio_tokens":0,"reasoning_tokens":0,"rejected_prediction_tokens":0},"prompt_tokens":787,"prompt_tokens_details":{"audio_tokens":0,"cached_tokens":0},"total_tokens":878}}</t>
  </si>
  <si>
    <t>Canvas Shoes, Platform Shoes, Unisex, Streetwear, Vintage, Deconstructed</t>
  </si>
  <si>
    <t>recvh0B9A7IQrC</t>
  </si>
  <si>
    <t>miy-blakey-black-white-recvh0b9a7iqrc</t>
  </si>
  <si>
    <t>{"id":"chatcmpl-DVYHkzvGfrGgRZB8S8kwiPRkODYDW","object":"chat.completion","created":1776412332,"model":"gpt-5-chat-latest","choices":[{"index":0,"message":{"role":"assistant","content":"Maison Mihara Yasuhiro：BLAKEY系列黑白拼色厚底帆布鞋，以解构复古造型结合橡胶皱褶鞋头设计，男女皆宜，彰显日系先锋街头风格。","refusal":null,"annotations":[]},"logprobs":null,"finish_reason":"stop"}],"usage":{"prompt_tokens":1310,"completion_tokens":55,"total_tokens":1365,"prompt_tokens_details":{"cached_tokens":0,"audio_tokens":0},"completion_tokens_details":{"reasoning_tokens":0,"audio_tokens":0,"accepted_prediction_tokens":0,"rejected_prediction_tokens":0}},"service_tier":"default","system_fingerprint":"fp_ad66631dec"}</t>
  </si>
  <si>
    <t>Maison Mihara Yasuhiro：BLAKEY系列黑白拼色厚底帆布鞋，以解构复古造型结合橡胶皱褶鞋头设计，男女皆宜，彰显日系先锋街头风格。</t>
  </si>
  <si>
    <t>{"choices":[{"finish_reason":"stop","index":0,"logprobs":null,"message":{"annotations":[],"content":"Maison Mihara Yasuhiro Black Canvas Sneakers","refusal":null,"role":"assistant"}}],"created":1776416382,"id":"chatcmpl-DVZL4JU3LmYGQHBrum4s35Hb5lqCx","model":"gpt-5-chat-latest","object":"chat.completion","service_tier":"default","system_fingerprint":"fp_ad66631dec","usage":{"completion_tokens":10,"completion_tokens_details":{"accepted_prediction_tokens":0,"audio_tokens":0,"reasoning_tokens":0,"rejected_prediction_tokens":0},"prompt_tokens":880,"prompt_tokens_details":{"audio_tokens":0,"cached_tokens":0},"total_tokens":890}}</t>
  </si>
  <si>
    <t>Maison Mihara Yasuhiro Black Canvas Sneakers</t>
  </si>
  <si>
    <t>{"choices":[{"finish_reason":"stop","index":0,"logprobs":null,"message":{"annotations":[],"content":"Maison Mihara Yasuhiro black deconstructed canvas sneakers with layered handmade rubber sole, unisex design, vintage look, street avant-garde style, expressing bold individuality and fashion attitude.","refusal":null,"role":"assistant"}}],"created":1776415233,"id":"chatcmpl-DVZ2Xl1kQphApVlmkfWNyVg2UiuLP","model":"gpt-5-chat-latest","object":"chat.completion","service_tier":"default","system_fingerprint":"fp_ad66631dec","usage":{"completion_tokens":37,"completion_tokens_details":{"accepted_prediction_tokens":0,"audio_tokens":0,"reasoning_tokens":0,"rejected_prediction_tokens":0},"prompt_tokens":902,"prompt_tokens_details":{"audio_tokens":0,"cached_tokens":0},"total_tokens":939}}</t>
  </si>
  <si>
    <t>Maison Mihara Yasuhiro black deconstructed canvas sneakers with layered handmade rubber sole, unisex design, vintage look, street avant-garde style, expressing bold individuality and fashion attitude.</t>
  </si>
  <si>
    <t>{"id":"chatcmpl-DVZW0Mq9B4Q6bxghNJsG3sa1jRzXc","object":"chat.completion","created":1776417060,"model":"gpt-5-chat-latest","choices":[{"index":0,"message":{"role":"assistant","content":"Maison Mihara Yasuhiro, Shoes, kakobuy, kakebuy2026, kekobuysheet, kakobuysheet2026, 2026kakobuy, kakobuyspreadsheeet, kakobuylink, kakebuylist, Kakobuy MEGA Spreadsheet, kakobuysheetfind, kakobuysheetfind2026, 2026kakobuysheetfind, kakobuysheet2026","refusal":null,"annotations":[]},"logprobs":null,"finish_reason":"stop"}],"usage":{"prompt_tokens":787,"completion_tokens":95,"total_tokens":882,"prompt_tokens_details":{"cached_tokens":0,"audio_tokens":0},"completion_tokens_details":{"reasoning_tokens":0,"audio_tokens":0,"accepted_prediction_tokens":0,"rejected_prediction_tokens":0}},"service_tier":"default","system_fingerprint":"fp_ad66631dec"}</t>
  </si>
  <si>
    <t>Canvas, Deconstructed, Vintage, Streetwear, Unisex, Sneakers</t>
  </si>
  <si>
    <t>recvh0B9A7EmTL</t>
  </si>
  <si>
    <t>mihara-yasuhiro-black-canvas-recvh0b9a7emtl</t>
  </si>
  <si>
    <t>{"choices":[{"finish_reason":"stop","index":0,"logprobs":null,"message":{"annotations":[],"content":"Maison Mihara Yasuhiro 黑色复古解构厚底帆布鞋，手工感错层橡胶鞋底设计，质感独特，男女同款，街头先锋风格，彰显前卫个性与时尚态度。","refusal":null,"role":"assistant"}}],"created":1776412097,"id":"chatcmpl-DVYDxy2r4eQSO4RlUNeZ30exswFKb","model":"gpt-5-chat-latest","object":"chat.completion","service_tier":"default","system_fingerprint":"fp_ad66631dec","usage":{"completion_tokens":59,"completion_tokens_details":{"accepted_prediction_tokens":0,"audio_tokens":0,"reasoning_tokens":0,"rejected_prediction_tokens":0},"prompt_tokens":1318,"prompt_tokens_details":{"audio_tokens":0,"cached_tokens":0},"total_tokens":1377}}</t>
  </si>
  <si>
    <t>Maison Mihara Yasuhiro 黑色复古解构厚底帆布鞋，手工感错层橡胶鞋底设计，质感独特，男女同款，街头先锋风格，彰显前卫个性与时尚态度。</t>
  </si>
  <si>
    <t>{"choices":[{"finish_reason":"stop","index":0,"logprobs":null,"message":{"annotations":[],"content":"Onitsuka Tiger Mexico 66 Grey Black Retro Running Shoes","refusal":null,"role":"assistant"}}],"created":1776416233,"id":"chatcmpl-DVZIfc5GfXkPeEoesNKkRPEmz03K3","model":"gpt-5-chat-latest","object":"chat.completion","service_tier":"default","system_fingerprint":"fp_ad66631dec","usage":{"completion_tokens":13,"completion_tokens_details":{"accepted_prediction_tokens":0,"audio_tokens":0,"reasoning_tokens":0,"rejected_prediction_tokens":0},"prompt_tokens":902,"prompt_tokens_details":{"audio_tokens":0,"cached_tokens":0},"total_tokens":915}}</t>
  </si>
  <si>
    <t>Onitsuka Tiger Mexico 66 Grey Black Retro Running Shoes</t>
  </si>
  <si>
    <t>{"id":"chatcmpl-DVZ4Xe3F88kXzGsMILzIPMFbgxDW6","object":"chat.completion","created":1776415357,"model":"gpt-5-chat-latest","choices":[{"index":0,"message":{"role":"assistant","content":"Onitsuka Tiger Mexico 66 Grey Black Retro Sneakers—premium leather and nylon blend, durable and flexible. Iconic tiger stripes, 1970s classic running style, breathable comfort for men and women, perfect for urban casual wear.","refusal":null,"annotations":[]},"logprobs":null,"finish_reason":"stop"}],"usage":{"prompt_tokens":929,"completion_tokens":49,"total_tokens":978,"prompt_tokens_details":{"cached_tokens":0,"audio_tokens":0},"completion_tokens_details":{"reasoning_tokens":0,"audio_tokens":0,"accepted_prediction_tokens":0,"rejected_prediction_tokens":0}},"service_tier":"default","system_fingerprint":"fp_ad66631dec"}</t>
  </si>
  <si>
    <t>Onitsuka Tiger Mexico 66 Grey Black Retro Sneakers—premium leather and nylon blend, durable and flexible. Iconic tiger stripes, 1970s classic running style, breathable comfort for men and women, perfect for urban casual wear.</t>
  </si>
  <si>
    <t>{"choices":[{"finish_reason":"stop","index":0,"logprobs":null,"message":{"annotations":[],"content":"Onitsuka Tiger, Shoes, kakobuy, kakebuy2026, kekobuysheet, kakobuysheet2026, 2026kakobuy, kakobuyspreadsheeet, kakobuylink, kakebuylist, Kakobuy MEGA Spreadsheet, kakobuysheetfind, kakobuysheetfind2026, 2026kakobuysheetfind, kakobuysheet2026","refusal":null,"role":"assistant"}}],"created":1776417318,"id":"chatcmpl-DVZaAM8iQf40DcxtbE4d5BywcQXhs","model":"gpt-5-chat-latest","object":"chat.completion","service_tier":"default","system_fingerprint":"fp_ad66631dec","usage":{"completion_tokens":93,"completion_tokens_details":{"accepted_prediction_tokens":0,"audio_tokens":0,"reasoning_tokens":0,"rejected_prediction_tokens":0},"prompt_tokens":785,"prompt_tokens_details":{"audio_tokens":0,"cached_tokens":0},"total_tokens":878}}</t>
  </si>
  <si>
    <t>Onitsuka Tiger, Retro, Grey, Black, Leather, Nylon</t>
  </si>
  <si>
    <t>recvh0B9A7Buxz</t>
  </si>
  <si>
    <t>onitsuka-tiger-mexico-66-grey-black-recvh0b9a7buxz</t>
  </si>
  <si>
    <t>{"choices":[{"finish_reason":"stop","index":0,"logprobs":null,"message":{"annotations":[],"content":"Onitsuka Tiger：经典Mexico 66灰黑配色复古运动鞋，优质皮革拼接尼龙材质，柔韧耐穿。简约流线设计搭配品牌标志虎爪纹，展现1970年代经典跑鞋风格，兼具都市休闲与复古格调，男女皆宜，舒适透气，适合日常街头穿搭。","refusal":null,"role":"assistant"}}],"created":1776412327,"id":"chatcmpl-DVYHfLFDCiEkzd5JYNdlJWirxZGjw","model":"gpt-5-chat-latest","object":"chat.completion","service_tier":"default","system_fingerprint":"fp_ad66631dec","usage":{"completion_tokens":91,"completion_tokens_details":{"accepted_prediction_tokens":0,"audio_tokens":0,"reasoning_tokens":0,"rejected_prediction_tokens":0},"prompt_tokens":1308,"prompt_tokens_details":{"audio_tokens":0,"cached_tokens":0},"total_tokens":1399}}</t>
  </si>
  <si>
    <t>Onitsuka Tiger：经典Mexico 66灰黑配色复古运动鞋，优质皮革拼接尼龙材质，柔韧耐穿。简约流线设计搭配品牌标志虎爪纹，展现1970年代经典跑鞋风格，兼具都市休闲与复古格调，男女皆宜，舒适透气，适合日常街头穿搭。</t>
  </si>
  <si>
    <t>{"choices":[{"finish_reason":"stop","index":0,"logprobs":null,"message":{"annotations":[],"content":"Onitsuka Tiger Retro Gray Brown Suede Sneakers","refusal":null,"role":"assistant"}}],"created":1776415954,"id":"chatcmpl-DVZEAzxXUCMLJKHpKqaXj5F3WBtlE","model":"gpt-5-chat-latest","object":"chat.completion","service_tier":"default","system_fingerprint":"fp_ad66631dec","usage":{"completion_tokens":11,"completion_tokens_details":{"accepted_prediction_tokens":0,"audio_tokens":0,"reasoning_tokens":0,"rejected_prediction_tokens":0},"prompt_tokens":874,"prompt_tokens_details":{"audio_tokens":0,"cached_tokens":0},"total_tokens":885}}</t>
  </si>
  <si>
    <t>Onitsuka Tiger Retro Gray Brown Suede Sneakers</t>
  </si>
  <si>
    <t>{"choices":[{"finish_reason":"stop","index":0,"logprobs":null,"message":{"annotations":[],"content":"Onitsuka Tiger retro casual sneakers in gray-brown suede and mesh. Lightweight, breathable, minimalist Japanese design with signature stripes and flexible rubber sole for men and women.","refusal":null,"role":"assistant"}}],"created":1776414975,"id":"chatcmpl-DVYyNVwp7Oof2AbGHxNkEXTO9xlop","model":"gpt-5-chat-latest","object":"chat.completion","service_tier":"default","system_fingerprint":"fp_ad66631dec","usage":{"completion_tokens":35,"completion_tokens_details":{"accepted_prediction_tokens":0,"audio_tokens":0,"reasoning_tokens":0,"rejected_prediction_tokens":0},"prompt_tokens":932,"prompt_tokens_details":{"audio_tokens":0,"cached_tokens":0},"total_tokens":967}}</t>
  </si>
  <si>
    <t>Onitsuka Tiger retro casual sneakers in gray-brown suede and mesh. Lightweight, breathable, minimalist Japanese design with signature stripes and flexible rubber sole for men and women.</t>
  </si>
  <si>
    <t>{"choices":[{"finish_reason":"stop","index":0,"logprobs":null,"message":{"annotations":[],"content":"Onitsuka Tiger, Shoes, kakobuy, kakebuy2026, kekobuysheet, kakobuysheet2026, 2026kakobuy, kakobuyspreadsheeet, kakobuylink, kakebuylist, Kakobuy MEGA Spreadsheet, kakobuysheetfind, kakobuysheetfind2026, 2026kakobuysheetfind, kakobuysheet2026","refusal":null,"role":"assistant"}}],"created":1776417255,"id":"chatcmpl-DVZZ9Z7ISqO3LKdeGvQPiiBatEOqu","model":"gpt-5-chat-latest","object":"chat.completion","service_tier":"default","system_fingerprint":"fp_ad66631dec","usage":{"completion_tokens":93,"completion_tokens_details":{"accepted_prediction_tokens":0,"audio_tokens":0,"reasoning_tokens":0,"rejected_prediction_tokens":0},"prompt_tokens":785,"prompt_tokens_details":{"audio_tokens":0,"cached_tokens":0},"total_tokens":878}}</t>
  </si>
  <si>
    <t>Onitsuka Tiger, Retro, Suede, Mesh, Minimalist, Unisex</t>
  </si>
  <si>
    <t>recvh0B9A7k70B</t>
  </si>
  <si>
    <t>onitsuka-tiger-retro-gray-brown-suede-recvh0b9a7k70b</t>
  </si>
  <si>
    <t>{"choices":[{"finish_reason":"stop","index":0,"logprobs":null,"message":{"annotations":[],"content":"Onitsuka Tiger：灰褐色复古休闲跑鞋，麂皮与织物拼接鞋面，轻盈透气手感细腻。流线型设计勾勒日系极简风格，标志虎爪纹彰显品牌经典，柔韧橡胶鞋底提供舒适支撑，男女皆宜，适合日常出行与街头穿搭。","refusal":null,"role":"assistant"}}],"created":1776412178,"id":"chatcmpl-DVYFGtstQf4JMSEPyZeIqpy1f9DSO","model":"gpt-5-chat-latest","object":"chat.completion","service_tier":"default","system_fingerprint":"fp_ad66631dec","usage":{"completion_tokens":93,"completion_tokens_details":{"accepted_prediction_tokens":0,"audio_tokens":0,"reasoning_tokens":0,"rejected_prediction_tokens":0},"prompt_tokens":1310,"prompt_tokens_details":{"audio_tokens":0,"cached_tokens":0},"total_tokens":1403}}</t>
  </si>
  <si>
    <t>Onitsuka Tiger：灰褐色复古休闲跑鞋，麂皮与织物拼接鞋面，轻盈透气手感细腻。流线型设计勾勒日系极简风格，标志虎爪纹彰显品牌经典，柔韧橡胶鞋底提供舒适支撑，男女皆宜，适合日常出行与街头穿搭。</t>
  </si>
  <si>
    <t>{"choices":[{"finish_reason":"stop","index":0,"logprobs":null,"message":{"annotations":[],"content":"Onitsuka Tiger Mexico 66 Khaki Green Retro Sneakers","refusal":null,"role":"assistant"}}],"created":1776416196,"id":"chatcmpl-DVZI460aBvRW95QIkmZStVer6gh5y","model":"gpt-5-chat-latest","object":"chat.completion","service_tier":"default","system_fingerprint":"fp_ad66631dec","usage":{"completion_tokens":13,"completion_tokens_details":{"accepted_prediction_tokens":0,"audio_tokens":0,"reasoning_tokens":0,"rejected_prediction_tokens":0},"prompt_tokens":878,"prompt_tokens_details":{"audio_tokens":0,"cached_tokens":0},"total_tokens":891}}</t>
  </si>
  <si>
    <t>Onitsuka Tiger Mexico 66 Khaki Green Retro Sneakers</t>
  </si>
  <si>
    <t>{"choices":[{"finish_reason":"stop","index":0,"logprobs":null,"message":{"annotations":[],"content":"Onitsuka Tiger MEXICO 66 Khaki Green Sneakers blend suede and nylon for a retro look, offering lightweight comfort and unisex style inspired by Japanese urban sports aesthetics.","refusal":null,"role":"assistant"}}],"created":1776414812,"id":"chatcmpl-DVYvk55cxzgWXDaAXKlCn9ng7b7Ed","model":"gpt-5-chat-latest","object":"chat.completion","service_tier":"default","system_fingerprint":"fp_ad66631dec","usage":{"completion_tokens":37,"completion_tokens_details":{"accepted_prediction_tokens":0,"audio_tokens":0,"reasoning_tokens":0,"rejected_prediction_tokens":0},"prompt_tokens":895,"prompt_tokens_details":{"audio_tokens":0,"cached_tokens":0},"total_tokens":932}}</t>
  </si>
  <si>
    <t>Onitsuka Tiger MEXICO 66 Khaki Green Sneakers blend suede and nylon for a retro look, offering lightweight comfort and unisex style inspired by Japanese urban sports aesthetics.</t>
  </si>
  <si>
    <t>{"choices":[{"finish_reason":"stop","index":0,"logprobs":null,"message":{"annotations":[],"content":"Onitsuka Tiger, Shoes, kakobuy, kakebuy2026, kekobuysheet, kakobuysheet2026, 2026kakobuy, kakobuyspreadsheeet, kakobuylink, kakebuylist, Kakobuy MEGA Spreadsheet, kakobuysheetfind, kakobuysheetfind2026, 2026kakobuysheetfind, kakobuysheet2026","refusal":null,"role":"assistant"}}],"created":1776417112,"id":"chatcmpl-DVZWqTtLPU0rGX6MZWlSJ45jTuhJh","model":"gpt-5-chat-latest","object":"chat.completion","service_tier":"default","system_fingerprint":"fp_ad66631dec","usage":{"completion_tokens":93,"completion_tokens_details":{"accepted_prediction_tokens":0,"audio_tokens":0,"reasoning_tokens":0,"rejected_prediction_tokens":0},"prompt_tokens":785,"prompt_tokens_details":{"audio_tokens":0,"cached_tokens":0},"total_tokens":878}}</t>
  </si>
  <si>
    <t>Onitsuka Tiger, Sneakers, Suede, Nylon, Retro, Unisex</t>
  </si>
  <si>
    <t>recvh0B9A7bb6Y</t>
  </si>
  <si>
    <t>onitsuka-tiger-mexico-66-khaki-green-recvh0b9a7bb6y</t>
  </si>
  <si>
    <t>{"choices":[{"finish_reason":"stop","index":0,"logprobs":null,"message":{"annotations":[],"content":"Onitsuka Tiger：经典MEXICO 66卡其绿休闲低帮鞋，拼接麂皮与尼龙材质，复古流线设计，男女皆宜，轻盈舒适，彰显日式都市运动美学。","refusal":null,"role":"assistant"}}],"created":1776411903,"id":"chatcmpl-DVYApunanwWeKDCDGn7KQjcg5KKTr","model":"gpt-5-chat-latest","object":"chat.completion","service_tier":"default","system_fingerprint":"fp_ad66631dec","usage":{"completion_tokens":56,"completion_tokens_details":{"accepted_prediction_tokens":0,"audio_tokens":0,"reasoning_tokens":0,"rejected_prediction_tokens":0},"prompt_tokens":1310,"prompt_tokens_details":{"audio_tokens":0,"cached_tokens":0},"total_tokens":1366}}</t>
  </si>
  <si>
    <t>Onitsuka Tiger：经典MEXICO 66卡其绿休闲低帮鞋，拼接麂皮与尼龙材质，复古流线设计，男女皆宜，轻盈舒适，彰显日式都市运动美学。</t>
  </si>
  <si>
    <t>{"choices":[{"finish_reason":"stop","index":0,"logprobs":null,"message":{"annotations":[],"content":"Onitsuka Tiger Retro Yellow Suede Knit Unisex Sneakers","refusal":null,"role":"assistant"}}],"created":1776416244,"id":"chatcmpl-DVZIqHXEHO6JOTcUP2NfRZPgzYJa5","model":"gpt-5-chat-latest","object":"chat.completion","service_tier":"default","system_fingerprint":"fp_ad66631dec","usage":{"completion_tokens":13,"completion_tokens_details":{"accepted_prediction_tokens":0,"audio_tokens":0,"reasoning_tokens":0,"rejected_prediction_tokens":0},"prompt_tokens":882,"prompt_tokens_details":{"audio_tokens":0,"cached_tokens":0},"total_tokens":895}}</t>
  </si>
  <si>
    <t>Onitsuka Tiger Retro Yellow Suede Knit Unisex Sneakers</t>
  </si>
  <si>
    <t>{"id":"chatcmpl-DVYubUGVlSeJLMsYhvYA6lfWerqyH","object":"chat.completion","created":1776414741,"model":"gpt-5-chat-latest","choices":[{"index":0,"message":{"role":"assistant","content":"Onitsuka Tiger retro yellow sneakers blend soft suede and knit for a lightweight, breathable feel. Featuring iconic tiger stripe design, these unisex shoes deliver modern Japanese street style and urban energy.","refusal":null,"annotations":[]},"logprobs":null,"finish_reason":"stop"}],"usage":{"prompt_tokens":900,"completion_tokens":39,"total_tokens":939,"prompt_tokens_details":{"cached_tokens":0,"audio_tokens":0},"completion_tokens_details":{"reasoning_tokens":0,"audio_tokens":0,"accepted_prediction_tokens":0,"rejected_prediction_tokens":0}},"service_tier":"default","system_fingerprint":"fp_ad66631dec"}</t>
  </si>
  <si>
    <t>Onitsuka Tiger retro yellow sneakers blend soft suede and knit for a lightweight, breathable feel. Featuring iconic tiger stripe design, these unisex shoes deliver modern Japanese street style and urban energy.</t>
  </si>
  <si>
    <t>{"choices":[{"finish_reason":"stop","index":0,"logprobs":null,"message":{"annotations":[],"content":"Onitsuka Tiger, Shoes, kakobuy, kakebuy2026, kekobuysheet, kakobuysheet2026, 2026kakobuy, kakobuyspreadsheeet, kakobuylink, kakebuylist, Kakobuy MEGA Spreadsheet, kakobuysheetfind, kakobuysheetfind2026, 2026kakobuysheetfind, kakobuysheet2026","refusal":null,"role":"assistant"}}],"created":1776417089,"id":"chatcmpl-DVZWT1aamlFov7CKDbwJlzTHbl2UR","model":"gpt-5-chat-latest","object":"chat.completion","service_tier":"default","system_fingerprint":"fp_ad66631dec","usage":{"completion_tokens":93,"completion_tokens_details":{"accepted_prediction_tokens":0,"audio_tokens":0,"reasoning_tokens":0,"rejected_prediction_tokens":0},"prompt_tokens":785,"prompt_tokens_details":{"audio_tokens":0,"cached_tokens":0},"total_tokens":878}}</t>
  </si>
  <si>
    <t>Onitsuka Tiger, Sneakers, Suede, Knit, Yellow, Unisex</t>
  </si>
  <si>
    <t>recvh0B9A7x0PV</t>
  </si>
  <si>
    <t>onitsuka-tiger-retro-yellow-suede-knit-recvh0b9a7x0pv</t>
  </si>
  <si>
    <t>{"choices":[{"finish_reason":"stop","index":0,"logprobs":null,"message":{"annotations":[],"content":"Onitsuka Tiger：复古黄系休闲运动鞋，采用柔软麂皮与针织拼接设计，轻盈透气，结合品牌经典虎爪纹理，呈现日系简约街头风格，男女皆宜，彰显现代都市活力。","refusal":null,"role":"assistant"}}],"created":1776412449,"id":"chatcmpl-DVYJd3DQxYZp9aF6dEtO4UbYFpOaj","model":"gpt-5-chat-latest","object":"chat.completion","service_tier":"default","system_fingerprint":"fp_ad66631dec","usage":{"completion_tokens":64,"completion_tokens_details":{"accepted_prediction_tokens":0,"audio_tokens":0,"reasoning_tokens":0,"rejected_prediction_tokens":0},"prompt_tokens":1304,"prompt_tokens_details":{"audio_tokens":0,"cached_tokens":0},"total_tokens":1368}}</t>
  </si>
  <si>
    <t>Onitsuka Tiger：复古黄系休闲运动鞋，采用柔软麂皮与针织拼接设计，轻盈透气，结合品牌经典虎爪纹理，呈现日系简约街头风格，男女皆宜，彰显现代都市活力。</t>
  </si>
  <si>
    <t>230</t>
  </si>
  <si>
    <t>{"choices":[{"finish_reason":"stop","index":0,"logprobs":null,"message":{"annotations":[],"content":"Onitsuka Tiger Vintage 70s Off White Purple Sneakers","refusal":null,"role":"assistant"}}],"created":1776416388,"id":"chatcmpl-DVZLAeEg60yRppz435hXStUSlqTll","model":"gpt-5-chat-latest","object":"chat.completion","service_tier":"default","system_fingerprint":"fp_ad66631dec","usage":{"completion_tokens":13,"completion_tokens_details":{"accepted_prediction_tokens":0,"audio_tokens":0,"reasoning_tokens":0,"rejected_prediction_tokens":0},"prompt_tokens":604,"prompt_tokens_details":{"audio_tokens":0,"cached_tokens":0},"total_tokens":617}}</t>
  </si>
  <si>
    <t>Onitsuka Tiger Vintage 70s Off White Purple Sneakers</t>
  </si>
  <si>
    <t>{"choices":[{"finish_reason":"stop","index":0,"logprobs":null,"message":{"annotations":[],"content":"Onitsuka Tiger Classic Vintage Sneakers in off-white and purple, crafted from premium leather and fabric for breathable comfort, featuring iconic stripes, 70s retro style, perfect for daily urban wear.","refusal":null,"role":"assistant"}}],"created":1776415078,"id":"chatcmpl-DVZ027jKyu1BbTuZ1IR2KE3VjXsXO","model":"gpt-5-chat-latest","object":"chat.completion","service_tier":"default","system_fingerprint":"fp_ad66631dec","usage":{"completion_tokens":40,"completion_tokens_details":{"accepted_prediction_tokens":0,"audio_tokens":0,"reasoning_tokens":0,"rejected_prediction_tokens":0},"prompt_tokens":643,"prompt_tokens_details":{"audio_tokens":0,"cached_tokens":0},"total_tokens":683}}</t>
  </si>
  <si>
    <t>Onitsuka Tiger Classic Vintage Sneakers in off-white and purple, crafted from premium leather and fabric for breathable comfort, featuring iconic stripes, 70s retro style, perfect for daily urban wear.</t>
  </si>
  <si>
    <t>{"id":"chatcmpl-DVZVGOoxpPH7lEslUly6d3TlLtQTW","object":"chat.completion","created":1776417014,"model":"gpt-5-chat-latest","choices":[{"index":0,"message":{"role":"assistant","content":"Onitsuka Tiger,Shoes,kakobuy,kakebuy2026,kekobuysheet,kakobuysheet2026,2026kakobuy,kakobuyspreadsheeet,kakobuylink,kakebuylist,Kakobuy MEGA Spreadsheet,kakobuysheetfind,kakobuysheetfind2026,2026kakobuysheetfind,kakobuysheet2026","refusal":null,"annotations":[]},"logprobs":null,"finish_reason":"stop"}],"usage":{"prompt_tokens":505,"completion_tokens":89,"total_tokens":594,"prompt_tokens_details":{"cached_tokens":0,"audio_tokens":0},"completion_tokens_details":{"reasoning_tokens":0,"audio_tokens":0,"accepted_prediction_tokens":0,"rejected_prediction_tokens":0}},"service_tier":"default","system_fingerprint":"fp_ad66631dec"}</t>
  </si>
  <si>
    <t>Onitsuka Tiger, Sneakers, Leather, Breathable, Retro</t>
  </si>
  <si>
    <t>recvh0B9A7Ig63</t>
  </si>
  <si>
    <t>onitsuka-tiger-vintage-70s-off-white-purple-recvh0b9a7ig63</t>
  </si>
  <si>
    <t>{"id":"chatcmpl-DVYGo8xBq1oov57xsf4OExV2GLYZp","object":"chat.completion","created":1776412274,"model":"gpt-5-chat-latest","choices":[{"index":0,"message":{"role":"assistant","content":"Onitsuka Tiger：经典复古系列米白紫拼色休闲运动鞋，甄选优质皮革与织物材质，轻盈透气兼具舒适脚感。标志性交叉虎纹线条彰显品牌辨识度，复古街头风格设计，适合男女日常穿搭与都市出行，融合70年代经典跑鞋美学。","refusal":null,"annotations":[]},"logprobs":null,"finish_reason":"stop"}],"usage":{"prompt_tokens":1022,"completion_tokens":89,"total_tokens":1111,"prompt_tokens_details":{"cached_tokens":0,"audio_tokens":0},"completion_tokens_details":{"reasoning_tokens":0,"audio_tokens":0,"accepted_prediction_tokens":0,"rejected_prediction_tokens":0}},"service_tier":"default","system_fingerprint":"fp_ad66631dec"}</t>
  </si>
  <si>
    <t>Onitsuka Tiger：经典复古系列米白紫拼色休闲运动鞋，甄选优质皮革与织物材质，轻盈透气兼具舒适脚感。标志性交叉虎纹线条彰显品牌辨识度，复古街头风格设计，适合男女日常穿搭与都市出行，融合70年代经典跑鞋美学。</t>
  </si>
  <si>
    <t>{"id":"chatcmpl-DVZBvS4GzIIZKmvWeDQnaQc6tCzGo","object":"chat.completion","created":1776415815,"model":"gpt-5-chat-latest","choices":[{"index":0,"message":{"role":"assistant","content":"Onitsuka Tiger Mexico 66 Black Pink Leather Sneakers","refusal":null,"annotations":[]},"logprobs":null,"finish_reason":"stop"}],"usage":{"prompt_tokens":872,"completion_tokens":12,"total_tokens":884,"prompt_tokens_details":{"cached_tokens":0,"audio_tokens":0},"completion_tokens_details":{"reasoning_tokens":0,"audio_tokens":0,"accepted_prediction_tokens":0,"rejected_prediction_tokens":0}},"service_tier":"default","system_fingerprint":"fp_ad66631dec"}</t>
  </si>
  <si>
    <t>Onitsuka Tiger Mexico 66 Black Pink Leather Sneakers</t>
  </si>
  <si>
    <t>{"choices":[{"finish_reason":"stop","index":0,"logprobs":null,"message":{"annotations":[],"content":"Onitsuka Tiger Mexico 66 Black Pink Sneakers, crafted with premium leather panels for lightweight comfort and urban retro style, perfect for men and women casual sports fashion.","refusal":null,"role":"assistant"}}],"created":1776415372,"id":"chatcmpl-DVZ4mJHOLu04R09KH03u4A29OKidv","model":"gpt-5-chat-latest","object":"chat.completion","service_tier":"default","system_fingerprint":"fp_ad66631dec","usage":{"completion_tokens":34,"completion_tokens_details":{"accepted_prediction_tokens":0,"audio_tokens":0,"reasoning_tokens":0,"rejected_prediction_tokens":0},"prompt_tokens":883,"prompt_tokens_details":{"audio_tokens":0,"cached_tokens":0},"total_tokens":917}}</t>
  </si>
  <si>
    <t>Onitsuka Tiger Mexico 66 Black Pink Sneakers, crafted with premium leather panels for lightweight comfort and urban retro style, perfect for men and women casual sports fashion.</t>
  </si>
  <si>
    <t>{"choices":[{"finish_reason":"stop","index":0,"logprobs":null,"message":{"annotations":[],"content":"Onitsuka Tiger, Shoes, kakobuy, kakebuy2026, kekobuysheet, kakobuysheet2026, 2026kakobuy, kakobuyspreadsheeet, kakobuylink, kakebuylist, Kakobuy MEGA Spreadsheet, kakobuysheetfind, kakobuysheetfind2026, 2026kakobuysheetfind, kakobuysheet2026","refusal":null,"role":"assistant"}}],"created":1776417162,"id":"chatcmpl-DVZXeALln7tWOzvgNFsC9SzzTGCJl","model":"gpt-5-chat-latest","object":"chat.completion","service_tier":"default","system_fingerprint":"fp_ad66631dec","usage":{"completion_tokens":93,"completion_tokens_details":{"accepted_prediction_tokens":0,"audio_tokens":0,"reasoning_tokens":0,"rejected_prediction_tokens":0},"prompt_tokens":785,"prompt_tokens_details":{"audio_tokens":0,"cached_tokens":0},"total_tokens":878}}</t>
  </si>
  <si>
    <t>Onitsuka Tiger, Leather Sneakers, Retro, Unisex, Casual Sneakers</t>
  </si>
  <si>
    <t>recvh0B9A7aEoO</t>
  </si>
  <si>
    <t>onitsuka-tiger-mexico-66-black-pink-leather-recvh0b9a7aeoo</t>
  </si>
  <si>
    <t>{"choices":[{"finish_reason":"stop","index":0,"logprobs":null,"message":{"annotations":[],"content":"Onitsuka Tiger: 经典Mexico 66系列黑粉配色休闲运动鞋，优质皮革拼接设计，轻盈舒适，展现都市复古潮流风格，男女皆宜。","refusal":null,"role":"assistant"}}],"created":1776411967,"id":"chatcmpl-DVYBruPeLizQ6RqzWwQcqP64cmSpE","model":"gpt-5-chat-latest","object":"chat.completion","service_tier":"default","system_fingerprint":"fp_ad66631dec","usage":{"completion_tokens":48,"completion_tokens_details":{"accepted_prediction_tokens":0,"audio_tokens":0,"reasoning_tokens":0,"rejected_prediction_tokens":0},"prompt_tokens":1302,"prompt_tokens_details":{"audio_tokens":0,"cached_tokens":0},"total_tokens":1350}}</t>
  </si>
  <si>
    <t>Onitsuka Tiger: 经典Mexico 66系列黑粉配色休闲运动鞋，优质皮革拼接设计，轻盈舒适，展现都市复古潮流风格，男女皆宜。</t>
  </si>
  <si>
    <t>{"choices":[{"finish_reason":"stop","index":0,"logprobs":null,"message":{"annotations":[],"content":"Onitsuka Tiger Mexico 66 Off White Orange Shoes","refusal":null,"role":"assistant"}}],"created":1776415960,"id":"chatcmpl-DVZEGSGMtPbPTEae92pdt5DAcZ8iG","model":"gpt-5-chat-latest","object":"chat.completion","service_tier":"default","system_fingerprint":"fp_ad66631dec","usage":{"completion_tokens":12,"completion_tokens_details":{"accepted_prediction_tokens":0,"audio_tokens":0,"reasoning_tokens":0,"rejected_prediction_tokens":0},"prompt_tokens":890,"prompt_tokens_details":{"audio_tokens":0,"cached_tokens":0},"total_tokens":902}}</t>
  </si>
  <si>
    <t>Onitsuka Tiger Mexico 66 Off White Orange Shoes</t>
  </si>
  <si>
    <t>{"choices":[{"finish_reason":"stop","index":0,"logprobs":null,"message":{"annotations":[],"content":"Onitsuka Tiger Mexico 66 Off White Orange sneakers blend premium leather and suede for comfort and breathability. Retro 60s-inspired low-top design suits men and women, perfect for street and casual wear.","refusal":null,"role":"assistant"}}],"created":1776414706,"id":"chatcmpl-DVYu2T5zVuwl1WqItzSrYqWiZmJpz","model":"gpt-5-chat-latest","object":"chat.completion","service_tier":"default","system_fingerprint":"fp_ad66631dec","usage":{"completion_tokens":43,"completion_tokens_details":{"accepted_prediction_tokens":0,"audio_tokens":0,"reasoning_tokens":0,"rejected_prediction_tokens":0},"prompt_tokens":921,"prompt_tokens_details":{"audio_tokens":0,"cached_tokens":0},"total_tokens":964}}</t>
  </si>
  <si>
    <t>Onitsuka Tiger Mexico 66 Off White Orange sneakers blend premium leather and suede for comfort and breathability. Retro 60s-inspired low-top design suits men and women, perfect for street and casual wear.</t>
  </si>
  <si>
    <t>{"choices":[{"finish_reason":"stop","index":0,"logprobs":null,"message":{"annotations":[],"content":"Onitsuka Tiger, Shoes, kakobuy, kakebuy2026, kekobuysheet, kakobuysheet2026, 2026kakobuy, kakobuyspreadsheet, kakobuylink, kakebuylist, Kakobuy MEGA Spreadsheet, kakobuysheetfind, kakobuysheetfind2026, 2026kakobuysheetfind, kakobuysheet2026","refusal":null,"role":"assistant"}}],"created":1776416831,"id":"chatcmpl-DVZSJMUgt7VkMh7CE9MDvWSFMnICM","model":"gpt-5-chat-latest","object":"chat.completion","service_tier":"default","system_fingerprint":"fp_ad66631dec","usage":{"completion_tokens":91,"completion_tokens_details":{"accepted_prediction_tokens":0,"audio_tokens":0,"reasoning_tokens":0,"rejected_prediction_tokens":0},"prompt_tokens":785,"prompt_tokens_details":{"audio_tokens":0,"cached_tokens":0},"total_tokens":876}}</t>
  </si>
  <si>
    <t>Onitsuka Tiger, Shoes, kakobuy, kakebuy2026, kekobuysheet, kakobuysheet2026, 2026kakobuy, kakobuyspreadsheet, kakobuylink, kakebuylist, Kakobuy MEGA Spreadsheet, kakobuysheetfind, kakobuysheetfind2026, 2026kakobuysheetfind, kakobuysheet2026</t>
  </si>
  <si>
    <t>Onitsuka Tiger, Leather, Suede, Retro, Street, Unisex</t>
  </si>
  <si>
    <t>recvh0B9A7bsJV</t>
  </si>
  <si>
    <t>onitsuka-tiger-mexico-66-off-white-orange-recvh0b9a7bsjv</t>
  </si>
  <si>
    <t>{"choices":[{"finish_reason":"stop","index":0,"logprobs":null,"message":{"annotations":[],"content":"Onitsuka Tiger：Mexico 66米白橙色经典复古跑鞋，以优质头层牛皮与麂皮拼接打造，柔软透气舒适。标志性虎爪条纹彰显品牌传承，低帮流线设计融合六十年代运动灵感，男女皆宜，兼具街头时尚与日常休闲功能。","refusal":null,"role":"assistant"}}],"created":1776411933,"id":"chatcmpl-DVYBJYi2VwVRE5ydsITF52Z5aTvw1","model":"gpt-5-chat-latest","object":"chat.completion","service_tier":"default","system_fingerprint":"fp_ad66631dec","usage":{"completion_tokens":85,"completion_tokens_details":{"accepted_prediction_tokens":0,"audio_tokens":0,"reasoning_tokens":0,"rejected_prediction_tokens":0},"prompt_tokens":1304,"prompt_tokens_details":{"audio_tokens":0,"cached_tokens":1280},"total_tokens":1389}}</t>
  </si>
  <si>
    <t>Onitsuka Tiger：Mexico 66米白橙色经典复古跑鞋，以优质头层牛皮与麂皮拼接打造，柔软透气舒适。标志性虎爪条纹彰显品牌传承，低帮流线设计融合六十年代运动灵感，男女皆宜，兼具街头时尚与日常休闲功能。</t>
  </si>
  <si>
    <t>{"choices":[{"finish_reason":"stop","index":0,"logprobs":null,"message":{"annotations":[],"content":"Onitsuka Tiger White Gray Retro Casual Sneakers Shoes","refusal":null,"role":"assistant"}}],"created":1776416173,"id":"chatcmpl-DVZHhGhrdWSDpQiKeOBeWvv4XokaT","model":"gpt-5-chat-latest","object":"chat.completion","service_tier":"default","system_fingerprint":"fp_ad66631dec","usage":{"completion_tokens":11,"completion_tokens_details":{"accepted_prediction_tokens":0,"audio_tokens":0,"reasoning_tokens":0,"rejected_prediction_tokens":0},"prompt_tokens":870,"prompt_tokens_details":{"audio_tokens":0,"cached_tokens":0},"total_tokens":881}}</t>
  </si>
  <si>
    <t>Onitsuka Tiger White Gray Retro Casual Sneakers Shoes</t>
  </si>
  <si>
    <t>{"choices":[{"finish_reason":"stop","index":0,"logprobs":null,"message":{"annotations":[],"content":"Onitsuka Tiger white-gray casual sneakers combine premium leather and fabric for lightweight breathability, featuring a retro streamlined design with modern street style for men and women.","refusal":null,"role":"assistant"}}],"created":1776415027,"id":"chatcmpl-DVYzDL4MMXOp82Nk9RZJ8S8sV8gS0","model":"gpt-5-chat-latest","object":"chat.completion","service_tier":"default","system_fingerprint":"fp_ad66631dec","usage":{"completion_tokens":33,"completion_tokens_details":{"accepted_prediction_tokens":0,"audio_tokens":0,"reasoning_tokens":0,"rejected_prediction_tokens":0},"prompt_tokens":896,"prompt_tokens_details":{"audio_tokens":0,"cached_tokens":0},"total_tokens":929}}</t>
  </si>
  <si>
    <t>Onitsuka Tiger white-gray casual sneakers combine premium leather and fabric for lightweight breathability, featuring a retro streamlined design with modern street style for men and women.</t>
  </si>
  <si>
    <t>{"choices":[{"finish_reason":"stop","index":0,"logprobs":null,"message":{"annotations":[],"content":"Onitsuka Tiger, Shoes, kakobuy, kakebuy2026, kekobuysheet, kakobuysheet2026, 2026kakobuy, kakobuyspreadsheeet, kakobuylink, kakebuylist, Kakobuy MEGA Spreadsheet, kakobuysheetfind, kakobuysheetfind2026, 2026kakobuysheetfind, kakobuysheet2026","refusal":null,"role":"assistant"}}],"created":1776417282,"id":"chatcmpl-DVZZaMnl3f5mj5CazrUA5Wc55kRxn","model":"gpt-5-chat-latest","object":"chat.completion","service_tier":"default","system_fingerprint":"fp_ad66631dec","usage":{"completion_tokens":93,"completion_tokens_details":{"accepted_prediction_tokens":0,"audio_tokens":0,"reasoning_tokens":0,"rejected_prediction_tokens":0},"prompt_tokens":785,"prompt_tokens_details":{"audio_tokens":0,"cached_tokens":0},"total_tokens":878}}</t>
  </si>
  <si>
    <t>Onitsuka Tiger, White, Grey, Casual Sneakers, Leather, Retro</t>
  </si>
  <si>
    <t>recvh0B9A7182K</t>
  </si>
  <si>
    <t>onitsuka-tiger-white-gray-retro-casual-recvh0b9a7182k</t>
  </si>
  <si>
    <t>{"choices":[{"finish_reason":"stop","index":0,"logprobs":null,"message":{"annotations":[],"content":"Onitsuka Tiger：白灰拼色休闲运动鞋，采用优质皮革与织物拼接，轻盈透气，复古流线设计融合现代街头风格，男女皆宜，展现日系简约美学与都市活力。","refusal":null,"role":"assistant"}}],"created":1776412358,"id":"chatcmpl-DVYIADPonl6zKAYvbiftz06vbVMqE","model":"gpt-5-chat-latest","object":"chat.completion","service_tier":"default","system_fingerprint":"fp_ad66631dec","usage":{"completion_tokens":60,"completion_tokens_details":{"accepted_prediction_tokens":0,"audio_tokens":0,"reasoning_tokens":0,"rejected_prediction_tokens":0},"prompt_tokens":1304,"prompt_tokens_details":{"audio_tokens":0,"cached_tokens":0},"total_tokens":1364}}</t>
  </si>
  <si>
    <t>Onitsuka Tiger：白灰拼色休闲运动鞋，采用优质皮革与织物拼接，轻盈透气，复古流线设计融合现代街头风格，男女皆宜，展现日系简约美学与都市活力。</t>
  </si>
  <si>
    <t>{"choices":[{"finish_reason":"stop","index":0,"logprobs":null,"message":{"annotations":[],"content":"Onitsuka Tiger Mexico 66 Deep Blue Sneakers","refusal":null,"role":"assistant"}}],"created":1776415909,"id":"chatcmpl-DVZDRxpMSVCISGzLU9Ibzqyj2GM65","model":"gpt-5-chat-latest","object":"chat.completion","service_tier":"default","system_fingerprint":"fp_ad66631dec","usage":{"completion_tokens":11,"completion_tokens_details":{"accepted_prediction_tokens":0,"audio_tokens":0,"reasoning_tokens":0,"rejected_prediction_tokens":0},"prompt_tokens":886,"prompt_tokens_details":{"audio_tokens":0,"cached_tokens":0},"total_tokens":897}}</t>
  </si>
  <si>
    <t>Onitsuka Tiger Mexico 66 Deep Blue Sneakers</t>
  </si>
  <si>
    <t>{"choices":[{"finish_reason":"stop","index":0,"logprobs":null,"message":{"annotations":[],"content":"Onitsuka Tiger Mexico 66 Deep Blue Patent Leather Sneakers, sleek retro design with signature stripes, lightweight non-slip sole, unisex fit, blending 70s vintage charm and modern urban style.","refusal":null,"role":"assistant"}}],"created":1776415048,"id":"chatcmpl-DVYzYkAr8LzdKbFqeuOQvEJB7nOSf","model":"gpt-5-chat-latest","object":"chat.completion","service_tier":"default","system_fingerprint":"fp_ad66631dec","usage":{"completion_tokens":41,"completion_tokens_details":{"accepted_prediction_tokens":0,"audio_tokens":0,"reasoning_tokens":0,"rejected_prediction_tokens":0},"prompt_tokens":931,"prompt_tokens_details":{"audio_tokens":0,"cached_tokens":0},"total_tokens":972}}</t>
  </si>
  <si>
    <t>Onitsuka Tiger Mexico 66 Deep Blue Patent Leather Sneakers, sleek retro design with signature stripes, lightweight non-slip sole, unisex fit, blending 70s vintage charm and modern urban style.</t>
  </si>
  <si>
    <t>{"choices":[{"finish_reason":"stop","index":0,"logprobs":null,"message":{"annotations":[],"content":"Onitsuka Tiger, Shoes, kakobuy, kakebuy2026, kekobuysheet, kakobuysheet2026, 2026kakobuy, kakobuyspreadsheeet, kakobuylink, kakebuylist, Kakobuy MEGA Spreadsheet, kakobuysheetfind, kakobuysheetfind2026, 2026kakobuysheetfind, kakobuysheet2026","refusal":null,"role":"assistant"}}],"created":1776417231,"id":"chatcmpl-DVZYljKStNx39tNHjowRThHtMlqcu","model":"gpt-5-chat-latest","object":"chat.completion","service_tier":"default","system_fingerprint":"fp_ad66631dec","usage":{"completion_tokens":93,"completion_tokens_details":{"accepted_prediction_tokens":0,"audio_tokens":0,"reasoning_tokens":0,"rejected_prediction_tokens":0},"prompt_tokens":785,"prompt_tokens_details":{"audio_tokens":0,"cached_tokens":0},"total_tokens":878}}</t>
  </si>
  <si>
    <t>Onitsuka Tiger, Sneakers, Retro, Unisex</t>
  </si>
  <si>
    <t>recvh0B9A7QR11</t>
  </si>
  <si>
    <t>onitsuka-tiger-mexico-66-deep-blue-recvh0b9a7qr11</t>
  </si>
  <si>
    <t>{"id":"chatcmpl-DVYBILfT1BtUE2OrmuuYGuzRPiOSX","object":"chat.completion","created":1776411932,"model":"gpt-5-chat-latest","choices":[{"index":0,"message":{"role":"assistant","content":"Onitsuka Tiger：Mexico 66 深蓝漆皮复古运动鞋，光面皮革质感彰显精致品味，流畅鞋身线条结合经典虎爪纹设计，轻盈防滑橡胶鞋底，舒适贴合脚型，男女皆宜。融合1970年代复古风格与现代都市休闲元素，展现品牌独特的日式时尚态度。","refusal":null,"annotations":[]},"logprobs":null,"finish_reason":"stop"}],"usage":{"prompt_tokens":1304,"completion_tokens":95,"total_tokens":1399,"prompt_tokens_details":{"cached_tokens":0,"audio_tokens":0},"completion_tokens_details":{"reasoning_tokens":0,"audio_tokens":0,"accepted_prediction_tokens":0,"rejected_prediction_tokens":0}},"service_tier":"default","system_fingerprint":"fp_ad66631dec"}</t>
  </si>
  <si>
    <t>Onitsuka Tiger：Mexico 66 深蓝漆皮复古运动鞋，光面皮革质感彰显精致品味，流畅鞋身线条结合经典虎爪纹设计，轻盈防滑橡胶鞋底，舒适贴合脚型，男女皆宜。融合1970年代复古风格与现代都市休闲元素，展现品牌独特的日式时尚态度。</t>
  </si>
  <si>
    <t>{"choices":[{"finish_reason":"stop","index":0,"logprobs":null,"message":{"annotations":[],"content":"Onitsuka Tiger Retro White Black Sneakers Shoes","refusal":null,"role":"assistant"}}],"created":1776416070,"id":"chatcmpl-DVZG22VkRKgjmIiM2SOhtzcBH2KUT","model":"gpt-5-chat-latest","object":"chat.completion","service_tier":"default","system_fingerprint":"fp_ad66631dec","usage":{"completion_tokens":10,"completion_tokens_details":{"accepted_prediction_tokens":0,"audio_tokens":0,"reasoning_tokens":0,"rejected_prediction_tokens":0},"prompt_tokens":876,"prompt_tokens_details":{"audio_tokens":0,"cached_tokens":0},"total_tokens":886}}</t>
  </si>
  <si>
    <t>Onitsuka Tiger Retro White Black Sneakers Shoes</t>
  </si>
  <si>
    <t>{"id":"chatcmpl-DVZ0zq2lWxtWAhmhrEI1auEKmdxrv","object":"chat.completion","created":1776415137,"model":"gpt-5-chat-latest","choices":[{"index":0,"message":{"role":"assistant","content":"Onitsuka Tiger white black retro sneakers blend premium leather and textile with an urban-sculpted sole, offering lightweight comfort and timeless Japanese streetwear style for men and women.","refusal":null,"annotations":[]},"logprobs":null,"finish_reason":"stop"}],"usage":{"prompt_tokens":914,"completion_tokens":36,"total_tokens":950,"prompt_tokens_details":{"cached_tokens":0,"audio_tokens":0},"completion_tokens_details":{"reasoning_tokens":0,"audio_tokens":0,"accepted_prediction_tokens":0,"rejected_prediction_tokens":0}},"service_tier":"default","system_fingerprint":"fp_ad66631dec"}</t>
  </si>
  <si>
    <t>Onitsuka Tiger white black retro sneakers blend premium leather and textile with an urban-sculpted sole, offering lightweight comfort and timeless Japanese streetwear style for men and women.</t>
  </si>
  <si>
    <t>{"id":"chatcmpl-DVZQfCe5LiA6FCXKVHwBcTfcUOK2B","object":"chat.completion","created":1776416729,"model":"gpt-5-chat-latest","choices":[{"index":0,"message":{"role":"assistant","content":"Onitsuka Tiger,Shoes,kakobuy,kakebuy2026,kekobuysheet,kakobuysheet2026,2026kakobuy,kakobuyspreadsheeet,kakobuylink,kakebuylist,Kakobuy MEGA Spreadsheet,kakobuysheetfind,kakobuysheetfind2026,2026kakobuysheetfind,kakobuysheet2026","refusal":null,"annotations":[]},"logprobs":null,"finish_reason":"stop"}],"usage":{"prompt_tokens":785,"completion_tokens":89,"total_tokens":874,"prompt_tokens_details":{"cached_tokens":0,"audio_tokens":0},"completion_tokens_details":{"reasoning_tokens":0,"audio_tokens":0,"accepted_prediction_tokens":0,"rejected_prediction_tokens":0}},"service_tier":"default","system_fingerprint":"fp_ad66631dec"}</t>
  </si>
  <si>
    <t>Onitsuka Tiger, Sneakers, White, Black, Retro, Unisex</t>
  </si>
  <si>
    <t>recvh0B9A78SxP</t>
  </si>
  <si>
    <t>onitsuka-tiger-retro-white-black-recvh0b9a78sxp</t>
  </si>
  <si>
    <t>{"choices":[{"finish_reason":"stop","index":0,"logprobs":null,"message":{"annotations":[],"content":"Onitsuka Tiger：白黑拼色复古运动休闲鞋，采用优质皮革与织物拼接材质，流线型鞋底设计灵感源自都市建筑雕刻工艺，轻盈缓震兼备时尚格调，男女同款百搭之选，演绎经典日式街头复古风。","refusal":null,"role":"assistant"}}],"created":1776412145,"id":"chatcmpl-DVYEjfRkcU373GhqBQCkOhSdAY6aq","model":"gpt-5-chat-latest","object":"chat.completion","service_tier":"default","system_fingerprint":"fp_ad66631dec","usage":{"completion_tokens":78,"completion_tokens_details":{"accepted_prediction_tokens":0,"audio_tokens":0,"reasoning_tokens":0,"rejected_prediction_tokens":0},"prompt_tokens":1304,"prompt_tokens_details":{"audio_tokens":0,"cached_tokens":0},"total_tokens":1382}}</t>
  </si>
  <si>
    <t>Onitsuka Tiger：白黑拼色复古运动休闲鞋，采用优质皮革与织物拼接材质，流线型鞋底设计灵感源自都市建筑雕刻工艺，轻盈缓震兼备时尚格调，男女同款百搭之选，演绎经典日式街头复古风。</t>
  </si>
  <si>
    <t>{"id":"chatcmpl-DVZCTnwWPEOfLpqCIJ88CsvXHc3Df","object":"chat.completion","created":1776415849,"model":"gpt-5-chat-latest","choices":[{"index":0,"message":{"role":"assistant","content":"Onitsuka Tiger Classic Green Retro Running Shoes","refusal":null,"annotations":[]},"logprobs":null,"finish_reason":"stop"}],"usage":{"prompt_tokens":880,"completion_tokens":10,"total_tokens":890,"prompt_tokens_details":{"cached_tokens":0,"audio_tokens":0},"completion_tokens_details":{"reasoning_tokens":0,"audio_tokens":0,"accepted_prediction_tokens":0,"rejected_prediction_tokens":0}},"service_tier":"default","system_fingerprint":"fp_ad66631dec"}</t>
  </si>
  <si>
    <t>Onitsuka Tiger Classic Green Retro Running Shoes</t>
  </si>
  <si>
    <t>{"choices":[{"finish_reason":"stop","index":0,"logprobs":null,"message":{"annotations":[],"content":"Onitsuka Tiger Classic Green Retro Sneakers feature premium suede and nylon, lightweight breathable design, anti-slip durable sole, Japanese minimalist style for men and women, blending vintage and modern comfort.","refusal":null,"role":"assistant"}}],"created":1776414919,"id":"chatcmpl-DVYxTpcggJS83NlMlgLiWp733807E","model":"gpt-5-chat-latest","object":"chat.completion","service_tier":"default","system_fingerprint":"fp_ad66631dec","usage":{"completion_tokens":38,"completion_tokens_details":{"accepted_prediction_tokens":0,"audio_tokens":0,"reasoning_tokens":0,"rejected_prediction_tokens":0},"prompt_tokens":907,"prompt_tokens_details":{"audio_tokens":0,"cached_tokens":0},"total_tokens":945}}</t>
  </si>
  <si>
    <t>Onitsuka Tiger Classic Green Retro Sneakers feature premium suede and nylon, lightweight breathable design, anti-slip durable sole, Japanese minimalist style for men and women, blending vintage and modern comfort.</t>
  </si>
  <si>
    <t>{"choices":[{"finish_reason":"stop","index":0,"logprobs":null,"message":{"annotations":[],"content":"Onitsuka Tiger, Shoes, kakobuy, kakebuy2026, kekobuysheet, kakobuysheet2026, 2026kakobuy, kakobuyspreadsheeet, kakobuylink, kakebuylist, Kakobuy MEGA Spreadsheet, kakobuysheetfind, kakobuysheetfind2026, 2026kakobuysheetfind, kakobuysheet2026","refusal":null,"role":"assistant"}}],"created":1776417313,"id":"chatcmpl-DVZa5FxsUwUAxX2rP98dbOqREQkBB","model":"gpt-5-chat-latest","object":"chat.completion","service_tier":"default","system_fingerprint":"fp_ad66631dec","usage":{"completion_tokens":93,"completion_tokens_details":{"accepted_prediction_tokens":0,"audio_tokens":0,"reasoning_tokens":0,"rejected_prediction_tokens":0},"prompt_tokens":785,"prompt_tokens_details":{"audio_tokens":0,"cached_tokens":0},"total_tokens":878}}</t>
  </si>
  <si>
    <t>recvh0B9A7Oxtt</t>
  </si>
  <si>
    <t>onitsuka-tiger-classic-green-recvh0b9a7oxtt</t>
  </si>
  <si>
    <t>{"choices":[{"finish_reason":"stop","index":0,"logprobs":null,"message":{"annotations":[],"content":"Onitsuka Tiger：经典墨绿色休闲跑鞋，采用复古拼接设计与优质麂皮+尼龙材质，轻盈透气，鞋底防滑耐磨，彰显日系简约运动风格，男女皆宜，复古现代融合之作，兼具舒适与时尚。","refusal":null,"role":"assistant"}}],"created":1776412246,"id":"chatcmpl-DVYGMJSxLObOlsToPwqrNUgzaSolh","model":"gpt-5-chat-latest","object":"chat.completion","service_tier":"default","system_fingerprint":"fp_ad66631dec","usage":{"completion_tokens":73,"completion_tokens_details":{"accepted_prediction_tokens":0,"audio_tokens":0,"reasoning_tokens":0,"rejected_prediction_tokens":0},"prompt_tokens":1300,"prompt_tokens_details":{"audio_tokens":0,"cached_tokens":0},"total_tokens":1373}}</t>
  </si>
  <si>
    <t>Onitsuka Tiger：经典墨绿色休闲跑鞋，采用复古拼接设计与优质麂皮+尼龙材质，轻盈透气，鞋底防滑耐磨，彰显日系简约运动风格，男女皆宜，复古现代融合之作，兼具舒适与时尚。</t>
  </si>
  <si>
    <t>{"choices":[{"finish_reason":"stop","index":0,"logprobs":null,"message":{"annotations":[],"content":"Onitsuka Tiger Silver Sequin Retro Unisex Sneakers","refusal":null,"role":"assistant"}}],"created":1776416110,"id":"chatcmpl-DVZGgrJYcgdDVdu6KniGRrhXM7lNq","model":"gpt-5-chat-latest","object":"chat.completion","service_tier":"default","system_fingerprint":"fp_ad66631dec","usage":{"completion_tokens":12,"completion_tokens_details":{"accepted_prediction_tokens":0,"audio_tokens":0,"reasoning_tokens":0,"rejected_prediction_tokens":0},"prompt_tokens":588,"prompt_tokens_details":{"audio_tokens":0,"cached_tokens":0},"total_tokens":600}}</t>
  </si>
  <si>
    <t>Onitsuka Tiger Silver Sequin Retro Unisex Sneakers</t>
  </si>
  <si>
    <t>{"choices":[{"finish_reason":"stop","index":0,"logprobs":null,"message":{"annotations":[],"content":"Onitsuka Tiger Silver Retro Sneakers—shiny sequin leather mix, lightweight breathable rubber sole, unisex design, showcasing timeless Japanese street fashion style.","refusal":null,"role":"assistant"}}],"created":1776415028,"id":"chatcmpl-DVYzE4Dzi0a1c16ED7FCNShqUuOfR","model":"gpt-5-chat-latest","object":"chat.completion","service_tier":"default","system_fingerprint":"fp_ad66631dec","usage":{"completion_tokens":32,"completion_tokens_details":{"accepted_prediction_tokens":0,"audio_tokens":0,"reasoning_tokens":0,"rejected_prediction_tokens":0},"prompt_tokens":609,"prompt_tokens_details":{"audio_tokens":0,"cached_tokens":0},"total_tokens":641}}</t>
  </si>
  <si>
    <t>Onitsuka Tiger Silver Retro Sneakers—shiny sequin leather mix, lightweight breathable rubber sole, unisex design, showcasing timeless Japanese street fashion style.</t>
  </si>
  <si>
    <t>{"choices":[{"finish_reason":"stop","index":0,"logprobs":null,"message":{"annotations":[],"content":"Onitsuka Tiger, Shoes, kakobuy, kakebuy2026, kekobuysheet, kakobuysheet2026, 2026kakobuy, kakobuyspreadsheeet, kakobuylink, kakebuylist, Kakobuy MEGA Spreadsheet, kakobuysheetfind, kakobuysheetfind2026, 2026kakobuysheetfind, kakobuysheet2026","refusal":null,"role":"assistant"}}],"created":1776416884,"id":"chatcmpl-DVZTAmBapSSkTdHbZnXSzFzzu7u4W","model":"gpt-5-chat-latest","object":"chat.completion","service_tier":"default","system_fingerprint":"fp_ad66631dec","usage":{"completion_tokens":93,"completion_tokens_details":{"accepted_prediction_tokens":0,"audio_tokens":0,"reasoning_tokens":0,"rejected_prediction_tokens":0},"prompt_tokens":505,"prompt_tokens_details":{"audio_tokens":0,"cached_tokens":0},"total_tokens":598}}</t>
  </si>
  <si>
    <t>Onitsuka Tiger, Silver, Retro, Sneakers, Unisex, Streetwear</t>
  </si>
  <si>
    <t>recvh0B9A7NQx6</t>
  </si>
  <si>
    <t>onitsuka-tiger-silver-sequin-retro-recvh0b9a7nqx6</t>
  </si>
  <si>
    <t>{"choices":[{"finish_reason":"stop","index":0,"logprobs":null,"message":{"annotations":[],"content":"Onitsuka Tiger：银色复古休闲运动鞋，闪耀亮片皮革拼接设计，轻盈透气橡胶鞋底，男女通用款，彰显经典日系街头时尚魅力。","refusal":null,"role":"assistant"}}],"created":1776412230,"id":"chatcmpl-DVYG6R9TA58RfUPT9A5YIW7qyHWel","model":"gpt-5-chat-latest","object":"chat.completion","service_tier":"default","system_fingerprint":"fp_ad66631dec","usage":{"completion_tokens":52,"completion_tokens_details":{"accepted_prediction_tokens":0,"audio_tokens":0,"reasoning_tokens":0,"rejected_prediction_tokens":0},"prompt_tokens":1026,"prompt_tokens_details":{"audio_tokens":0,"cached_tokens":0},"total_tokens":1078}}</t>
  </si>
  <si>
    <t>Onitsuka Tiger：银色复古休闲运动鞋，闪耀亮片皮革拼接设计，轻盈透气橡胶鞋底，男女通用款，彰显经典日系街头时尚魅力。</t>
  </si>
  <si>
    <t>{"choices":[{"finish_reason":"stop","index":0,"logprobs":null,"message":{"annotations":[],"content":"Onitsuka Tiger Silver Retro Glitter Sneakers Unisex Shoes","refusal":null,"role":"assistant"}}],"created":1776415935,"id":"chatcmpl-DVZDrSzZ7Ff6HTuOEoYOQE5GrtFIn","model":"gpt-5-chat-latest","object":"chat.completion","service_tier":"default","system_fingerprint":"fp_ad66631dec","usage":{"completion_tokens":12,"completion_tokens_details":{"accepted_prediction_tokens":0,"audio_tokens":0,"reasoning_tokens":0,"rejected_prediction_tokens":0},"prompt_tokens":870,"prompt_tokens_details":{"audio_tokens":0,"cached_tokens":0},"total_tokens":882}}</t>
  </si>
  <si>
    <t>Onitsuka Tiger Silver Retro Glitter Sneakers Unisex Shoes</t>
  </si>
  <si>
    <t>{"id":"chatcmpl-DVYxtsbUwqUDd6zFWbc4xaVCN9XTe","object":"chat.completion","created":1776414945,"model":"gpt-5-chat-latest","choices":[{"index":0,"message":{"role":"assistant","content":"Onitsuka Tiger Silver Retro Sneakers feature metallic and glitter panels, breathable lightweight design, iconic stripes, unisex street fashion vibe blending vintage charm with modern style.","refusal":null,"annotations":[]},"logprobs":null,"finish_reason":"stop"}],"usage":{"prompt_tokens":906,"completion_tokens":33,"total_tokens":939,"prompt_tokens_details":{"cached_tokens":0,"audio_tokens":0},"completion_tokens_details":{"reasoning_tokens":0,"audio_tokens":0,"accepted_prediction_tokens":0,"rejected_prediction_tokens":0}},"service_tier":"default","system_fingerprint":"fp_ad66631dec"}</t>
  </si>
  <si>
    <t>Onitsuka Tiger Silver Retro Sneakers feature metallic and glitter panels, breathable lightweight design, iconic stripes, unisex street fashion vibe blending vintage charm with modern style.</t>
  </si>
  <si>
    <t>{"id":"chatcmpl-DVZSel0NKhwjfRr8pn0no8Wwn5ry7","object":"chat.completion","created":1776416852,"model":"gpt-5-chat-latest","choices":[{"index":0,"message":{"role":"assistant","content":"Onitsuka Tiger, Shoes, kakobuy, kakebuy2026, kekobuysheet, kakobuysheet2026, 2026kakobuy, kakobuyspreadsheeet, kakobuylink, kakebuylist, Kakobuy MEGA Spreadsheet, kakobuysheetfind, kakobuysheetfind2026, 2026kakobuysheetfind, kakobuysheet2026","refusal":null,"annotations":[]},"logprobs":null,"finish_reason":"stop"}],"usage":{"prompt_tokens":785,"completion_tokens":93,"total_tokens":878,"prompt_tokens_details":{"cached_tokens":0,"audio_tokens":0},"completion_tokens_details":{"reasoning_tokens":0,"audio_tokens":0,"accepted_prediction_tokens":0,"rejected_prediction_tokens":0}},"service_tier":"default","system_fingerprint":"fp_ad66631dec"}</t>
  </si>
  <si>
    <t>recvh0B9A7GVKs</t>
  </si>
  <si>
    <t>onitsuka-tiger-silver-retro-glitter-recvh0b9a7gvks</t>
  </si>
  <si>
    <t>{"choices":[{"finish_reason":"stop","index":0,"logprobs":null,"message":{"annotations":[],"content":"Onitsuka Tiger：银色复古系运动休闲鞋，采用亮面与闪粉拼接材质，轻盈透气，经典横条设计彰显品牌标志性风格，男女皆宜，复古街头灵感融合现代潮流元素，展现个性时尚态度。","refusal":null,"role":"assistant"}}],"created":1776412336,"id":"chatcmpl-DVYHoz3U6oRPvH62ikdcQ2Y5tXxnd","model":"gpt-5-chat-latest","object":"chat.completion","service_tier":"default","system_fingerprint":"fp_ad66631dec","usage":{"completion_tokens":70,"completion_tokens_details":{"accepted_prediction_tokens":0,"audio_tokens":0,"reasoning_tokens":0,"rejected_prediction_tokens":0},"prompt_tokens":1304,"prompt_tokens_details":{"audio_tokens":0,"cached_tokens":1280},"total_tokens":1374}}</t>
  </si>
  <si>
    <t>Onitsuka Tiger：银色复古系运动休闲鞋，采用亮面与闪粉拼接材质，轻盈透气，经典横条设计彰显品牌标志性风格，男女皆宜，复古街头灵感融合现代潮流元素，展现个性时尚态度。</t>
  </si>
  <si>
    <t>{"choices":[{"finish_reason":"stop","index":0,"logprobs":null,"message":{"annotations":[],"content":"Maison Mihara Yasuhiro Original Sole Cream Canvas Sneakers","refusal":null,"role":"assistant"}}],"created":1776416373,"id":"chatcmpl-DVZKvXonESfIOMP0dX2nUxdG0lFUV","model":"gpt-5-chat-latest","object":"chat.completion","service_tier":"default","system_fingerprint":"fp_ad66631dec","usage":{"completion_tokens":12,"completion_tokens_details":{"accepted_prediction_tokens":0,"audio_tokens":0,"reasoning_tokens":0,"rejected_prediction_tokens":0},"prompt_tokens":876,"prompt_tokens_details":{"audio_tokens":0,"cached_tokens":0},"total_tokens":888}}</t>
  </si>
  <si>
    <t>Maison Mihara Yasuhiro Original Sole Cream Canvas Sneakers</t>
  </si>
  <si>
    <t>{"choices":[{"finish_reason":"stop","index":0,"logprobs":null,"message":{"annotations":[],"content":"Maison Mihara Yasuhiro Original Sole Cream Canvas Sneakers feature a deconstructed rubber sole, offset toe cap, vintage-inspired chunky design for unisex Japanese street fashion style.","refusal":null,"role":"assistant"}}],"created":1776415394,"id":"chatcmpl-DVZ58jehsj0KN2QD9nszfmvsdgJle","model":"gpt-5-chat-latest","object":"chat.completion","service_tier":"default","system_fingerprint":"fp_ad66631dec","usage":{"completion_tokens":35,"completion_tokens_details":{"accepted_prediction_tokens":0,"audio_tokens":0,"reasoning_tokens":0,"rejected_prediction_tokens":0},"prompt_tokens":900,"prompt_tokens_details":{"audio_tokens":0,"cached_tokens":0},"total_tokens":935}}</t>
  </si>
  <si>
    <t>Maison Mihara Yasuhiro Original Sole Cream Canvas Sneakers feature a deconstructed rubber sole, offset toe cap, vintage-inspired chunky design for unisex Japanese street fashion style.</t>
  </si>
  <si>
    <t>{"choices":[{"finish_reason":"stop","index":0,"logprobs":null,"message":{"annotations":[],"content":"Maison Mihara Yasuhiro,Shoes,kakobuy,kakebuy2026,kekobuysheet,kakobuysheet2026,2026kakobuy,kakobuyspreadsheeet,kakobuylink,kakebuylist,Kakobuy MEGA Spreadsheet,kakobuysheetfind,kakobuysheetfind2026,2026kakobuysheetfind,kakobuysheet2026","refusal":null,"role":"assistant"}}],"created":1776417000,"id":"chatcmpl-DVZV2Ri7eRnYsciQwmZDFLE3Ih5ej","model":"gpt-5-chat-latest","object":"chat.completion","service_tier":"default","system_fingerprint":"fp_ad66631dec","usage":{"completion_tokens":91,"completion_tokens_details":{"accepted_prediction_tokens":0,"audio_tokens":0,"reasoning_tokens":0,"rejected_prediction_tokens":0},"prompt_tokens":787,"prompt_tokens_details":{"audio_tokens":0,"cached_tokens":0},"total_tokens":878}}</t>
  </si>
  <si>
    <t>Deconstructed, Vintage, Unisex, Streetwear, Japanese</t>
  </si>
  <si>
    <t>recvh0B9A7aa46</t>
  </si>
  <si>
    <t>mihara-yasuhiro-original-sole-cream-canvas-recvh0b9a7aa46</t>
  </si>
  <si>
    <t>{"choices":[{"finish_reason":"stop","index":0,"logprobs":null,"message":{"annotations":[],"content":"Maison Mihara Yasuhiro：Original Sole 奶油白帆布厚底运动鞋，错位橡胶鞋头与解构鞋底设计，呈现复古解构潮流风格，男女皆宜，日系街头时尚必备款。","refusal":null,"role":"assistant"}}],"created":1776412351,"id":"chatcmpl-DVYI3cJzjQudKIhBjl0OvQqyTWVOr","model":"gpt-5-chat-latest","object":"chat.completion","service_tier":"default","system_fingerprint":"fp_ad66631dec","usage":{"completion_tokens":61,"completion_tokens_details":{"accepted_prediction_tokens":0,"audio_tokens":0,"reasoning_tokens":0,"rejected_prediction_tokens":0},"prompt_tokens":1310,"prompt_tokens_details":{"audio_tokens":0,"cached_tokens":0},"total_tokens":1371}}</t>
  </si>
  <si>
    <t>Maison Mihara Yasuhiro：Original Sole 奶油白帆布厚底运动鞋，错位橡胶鞋头与解构鞋底设计，呈现复古解构潮流风格，男女皆宜，日系街头时尚必备款。</t>
  </si>
  <si>
    <t>700</t>
  </si>
  <si>
    <t>{"choices":[{"finish_reason":"stop","index":0,"logprobs":null,"message":{"annotations":[],"content":"Maison Mihara Yasuhiro Blakey White Platform Canvas Sneakers","refusal":null,"role":"assistant"}}],"created":1776415917,"id":"chatcmpl-DVZDZ3B63Qn0Mq1yNNvH1Fn44Jq1q","model":"gpt-5-chat-latest","object":"chat.completion","service_tier":"default","system_fingerprint":"fp_ad66631dec","usage":{"completion_tokens":13,"completion_tokens_details":{"accepted_prediction_tokens":0,"audio_tokens":0,"reasoning_tokens":0,"rejected_prediction_tokens":0},"prompt_tokens":878,"prompt_tokens_details":{"audio_tokens":0,"cached_tokens":0},"total_tokens":891}}</t>
  </si>
  <si>
    <t>Maison Mihara Yasuhiro Blakey White Platform Canvas Sneakers</t>
  </si>
  <si>
    <t>{"choices":[{"finish_reason":"stop","index":0,"logprobs":null,"message":{"annotations":[],"content":"Maison Mihara Yasuhiro BLAKEY white platform canvas sneakers feature deconstructed vintage design, flexible rubber sole, unisex style, delivering cutting-edge avant-garde street fashion.","refusal":null,"role":"assistant"}}],"created":1776415252,"id":"chatcmpl-DVZ2qRd2n2vOnyYQ4ZT8kPwiCOjw6","model":"gpt-5-chat-latest","object":"chat.completion","service_tier":"default","system_fingerprint":"fp_ad66631dec","usage":{"completion_tokens":36,"completion_tokens_details":{"accepted_prediction_tokens":0,"audio_tokens":0,"reasoning_tokens":0,"rejected_prediction_tokens":0},"prompt_tokens":889,"prompt_tokens_details":{"audio_tokens":0,"cached_tokens":0},"total_tokens":925}}</t>
  </si>
  <si>
    <t>Maison Mihara Yasuhiro BLAKEY white platform canvas sneakers feature deconstructed vintage design, flexible rubber sole, unisex style, delivering cutting-edge avant-garde street fashion.</t>
  </si>
  <si>
    <t>{"id":"chatcmpl-DVZSbBt8V7n1gLGCrW4sXF8Hdl2QB","object":"chat.completion","created":1776416849,"model":"gpt-5-chat-latest","choices":[{"index":0,"message":{"role":"assistant","content":"Maison Mihara Yasuhiro,Shoes,kakobuy,kakebuy2026,kekobuysheet,kakobuysheet2026,2026kakobuy,kakobuyspreadsheeet,kakobuylink,kakebuylist,Kakobuy MEGA Spreadsheet,kakobuysheetfind,kakobuysheetfind2026,2026kakobuysheetfind,kakobuysheet2026","refusal":null,"annotations":[]},"logprobs":null,"finish_reason":"stop"}],"usage":{"prompt_tokens":787,"completion_tokens":91,"total_tokens":878,"prompt_tokens_details":{"cached_tokens":0,"audio_tokens":0},"completion_tokens_details":{"reasoning_tokens":0,"audio_tokens":0,"accepted_prediction_tokens":0,"rejected_prediction_tokens":0}},"service_tier":"default","system_fingerprint":"fp_ad66631dec"}</t>
  </si>
  <si>
    <t>Canvas Shoes, Platform Shoes, Deconstructed, Vintage, Unisex, Streetwear</t>
  </si>
  <si>
    <t>recvh0B9A7Zr5L</t>
  </si>
  <si>
    <t>mihara-blakey-white-platform-recvh0b9a7zr5l</t>
  </si>
  <si>
    <t>{"id":"chatcmpl-DVYJXeKQTtyXjeNHXyOJO8NqBO5uZ","object":"chat.completion","created":1776412443,"model":"gpt-5-chat-latest","choices":[{"index":0,"message":{"role":"assistant","content":"Maison Mihara Yasuhiro 白色BLAKEY系列厚底帆布鞋，采用解构复古设计与柔韧橡胶包边鞋底，男女皆宜，呈现前卫街头美学。","refusal":null,"annotations":[]},"logprobs":null,"finish_reason":"stop"}],"usage":{"prompt_tokens":1308,"completion_tokens":51,"total_tokens":1359,"prompt_tokens_details":{"cached_tokens":0,"audio_tokens":0},"completion_tokens_details":{"reasoning_tokens":0,"audio_tokens":0,"accepted_prediction_tokens":0,"rejected_prediction_tokens":0}},"service_tier":"default","system_fingerprint":"fp_ad66631dec"}</t>
  </si>
  <si>
    <t>Maison Mihara Yasuhiro 白色BLAKEY系列厚底帆布鞋，采用解构复古设计与柔韧橡胶包边鞋底，男女皆宜，呈现前卫街头美学。</t>
  </si>
  <si>
    <t>{"id":"chatcmpl-DVZD4g3R2gh9FSE2xezrLCQK7i92K","object":"chat.completion","created":1776415886,"model":"gpt-5-chat-latest","choices":[{"index":0,"message":{"role":"assistant","content":"Maison Mihara Yasuhiro Blakey Vintage Canvas Sneakers","refusal":null,"annotations":[]},"logprobs":null,"finish_reason":"stop"}],"usage":{"prompt_tokens":886,"completion_tokens":12,"total_tokens":898,"prompt_tokens_details":{"cached_tokens":0,"audio_tokens":0},"completion_tokens_details":{"reasoning_tokens":0,"audio_tokens":0,"accepted_prediction_tokens":0,"rejected_prediction_tokens":0}},"service_tier":"default","system_fingerprint":"fp_ad66631dec"}</t>
  </si>
  <si>
    <t>Maison Mihara Yasuhiro Blakey Vintage Canvas Sneakers</t>
  </si>
  <si>
    <t>{"id":"chatcmpl-DVYuPC4IugAMTBzx2zuVgqesPOY47","object":"chat.completion","created":1776414729,"model":"gpt-5-chat-latest","choices":[{"index":0,"message":{"role":"assistant","content":"Maison Mihara Yasuhiro Blakey black and white canvas sneakers feature a deconstructed midsole, vintage street style, durable non-slip rubber sole, unisex design, combining fashion and comfort.","refusal":null,"annotations":[]},"logprobs":null,"finish_reason":"stop"}],"usage":{"prompt_tokens":904,"completion_tokens":40,"total_tokens":944,"prompt_tokens_details":{"cached_tokens":0,"audio_tokens":0},"completion_tokens_details":{"reasoning_tokens":0,"audio_tokens":0,"accepted_prediction_tokens":0,"rejected_prediction_tokens":0}},"service_tier":"default","system_fingerprint":"fp_ad66631dec"}</t>
  </si>
  <si>
    <t>Maison Mihara Yasuhiro Blakey black and white canvas sneakers feature a deconstructed midsole, vintage street style, durable non-slip rubber sole, unisex design, combining fashion and comfort.</t>
  </si>
  <si>
    <t>{"id":"chatcmpl-DVZPYAuwSV88sFDio6m9vzKVRlx3D","object":"chat.completion","created":1776416660,"model":"gpt-5-chat-latest","choices":[{"index":0,"message":{"role":"assistant","content":"Maison Mihara Yasuhiro, Shoes, kakobuy, kakebuy2026, kekobuysheet, kakobuysheet2026, 2026kakobuy, kakobuyspreadsheeet, kakobuylink, kakebuylist, Kakobuy MEGA Spreadsheet, kakobuysheetfind, kakobuysheetfind2026, 2026kakobuysheetfind, kakobuysheet2026","refusal":null,"annotations":[]},"logprobs":null,"finish_reason":"stop"}],"usage":{"prompt_tokens":787,"completion_tokens":95,"total_tokens":882,"prompt_tokens_details":{"cached_tokens":0,"audio_tokens":0},"completion_tokens_details":{"reasoning_tokens":0,"audio_tokens":0,"accepted_prediction_tokens":0,"rejected_prediction_tokens":0}},"service_tier":"default","system_fingerprint":"fp_ad66631dec"}</t>
  </si>
  <si>
    <t>Canvas, Deconstructed, Vintage, Streetwear, Rubber Sole, Unisex</t>
  </si>
  <si>
    <t>recvh0B9A7CsMn</t>
  </si>
  <si>
    <t>mihara-blakey-vintage-canvas-recvh0b9a7csmn</t>
  </si>
  <si>
    <t>{"id":"chatcmpl-DVYAObNFTqxjUNbonwWiVgQFDhtiY","object":"chat.completion","created":1776411876,"model":"gpt-5-chat-latest","choices":[{"index":0,"message":{"role":"assistant","content":"Maison Mihara Yasuhiro：Blakey系列黑白拼色帆布休闲鞋，以独特解构中底设计展现复古街头美学，橡胶鞋底耐磨防滑，男女皆宜，兼具时尚与舒适感。","refusal":null,"annotations":[]},"logprobs":null,"finish_reason":"stop"}],"usage":{"prompt_tokens":1318,"completion_tokens":61,"total_tokens":1379,"prompt_tokens_details":{"cached_tokens":0,"audio_tokens":0},"completion_tokens_details":{"reasoning_tokens":0,"audio_tokens":0,"accepted_prediction_tokens":0,"rejected_prediction_tokens":0}},"service_tier":"default","system_fingerprint":"fp_ad66631dec"}</t>
  </si>
  <si>
    <t>Maison Mihara Yasuhiro：Blakey系列黑白拼色帆布休闲鞋，以独特解构中底设计展现复古街头美学，橡胶鞋底耐磨防滑，男女皆宜，兼具时尚与舒适感。</t>
  </si>
  <si>
    <t>{"choices":[{"finish_reason":"stop","index":0,"logprobs":null,"message":{"annotations":[],"content":"Onitsuka Tiger Mexico 66 Off White Purple Sneakers","refusal":null,"role":"assistant"}}],"created":1776416015,"id":"chatcmpl-DVZF92u3o4jiod8tByxm9Hq3cMJ2z","model":"gpt-5-chat-latest","object":"chat.completion","service_tier":"default","system_fingerprint":"fp_ad66631dec","usage":{"completion_tokens":12,"completion_tokens_details":{"accepted_prediction_tokens":0,"audio_tokens":0,"reasoning_tokens":0,"rejected_prediction_tokens":0},"prompt_tokens":888,"prompt_tokens_details":{"audio_tokens":0,"cached_tokens":0},"total_tokens":900}}</t>
  </si>
  <si>
    <t>Onitsuka Tiger Mexico 66 Off White Purple Sneakers</t>
  </si>
  <si>
    <t>{"choices":[{"finish_reason":"stop","index":0,"logprobs":null,"message":{"annotations":[],"content":"Onitsuka Tiger MEXICO 66 retro sneakers in off-white and purple, crafted from soft leather and suede, lightweight and breathable, featuring classic tiger stripes, unisex casual style for everyday comfort.","refusal":null,"role":"assistant"}}],"created":1776414923,"id":"chatcmpl-DVYxXrcYszi1i4hWQDBrtzetjCuf6","model":"gpt-5-chat-latest","object":"chat.completion","service_tier":"default","system_fingerprint":"fp_ad66631dec","usage":{"completion_tokens":42,"completion_tokens_details":{"accepted_prediction_tokens":0,"audio_tokens":0,"reasoning_tokens":0,"rejected_prediction_tokens":0},"prompt_tokens":911,"prompt_tokens_details":{"audio_tokens":0,"cached_tokens":0},"total_tokens":953}}</t>
  </si>
  <si>
    <t>Onitsuka Tiger MEXICO 66 retro sneakers in off-white and purple, crafted from soft leather and suede, lightweight and breathable, featuring classic tiger stripes, unisex casual style for everyday comfort.</t>
  </si>
  <si>
    <t>{"choices":[{"finish_reason":"stop","index":0,"logprobs":null,"message":{"annotations":[],"content":"Onitsuka Tiger,Shoes,kakobuy,kakebuy2026,kekobuysheet,kakobuysheet2026,2026kakobuy,kakobuyspreadsheeet,kakobuylink,kakebuylist,Kakobuy MEGA Spreadsheet,kakobuysheetfind,kakobuysheetfind2026,2026kakobuysheetfind,kakobuysheet2026","refusal":null,"role":"assistant"}}],"created":1776417028,"id":"chatcmpl-DVZVUX79WaKbUwPyynV4U9mgZIY5l","model":"gpt-5-chat-latest","object":"chat.completion","service_tier":"default","system_fingerprint":"fp_ad66631dec","usage":{"completion_tokens":89,"completion_tokens_details":{"accepted_prediction_tokens":0,"audio_tokens":0,"reasoning_tokens":0,"rejected_prediction_tokens":0},"prompt_tokens":785,"prompt_tokens_details":{"audio_tokens":0,"cached_tokens":0},"total_tokens":874}}</t>
  </si>
  <si>
    <t>Onitsuka Tiger, Retro, Leather, Suede, Unisex, Casual Sneakers</t>
  </si>
  <si>
    <t>recvh0B9A75Jh3</t>
  </si>
  <si>
    <t>onitsuka-tiger-mexico-66-off-white-purple-recvh0b9a75jh3</t>
  </si>
  <si>
    <t>{"choices":[{"finish_reason":"stop","index":0,"logprobs":null,"message":{"annotations":[],"content":"Onitsuka Tiger：MEXICO 66 米白紫拼色复古运动鞋，柔软牛皮与麂皮拼接鞋面，轻盈透气，经典虎爪条纹设计，男女同款复古休闲风，舒适缓震适合日常穿搭与街头运动。","refusal":null,"role":"assistant"}}],"created":1776412366,"id":"chatcmpl-DVYIIx2WBepF8SZtDhnHHlANewiOj","model":"gpt-5-chat-latest","object":"chat.completion","service_tier":"default","system_fingerprint":"fp_ad66631dec","usage":{"completion_tokens":71,"completion_tokens_details":{"accepted_prediction_tokens":0,"audio_tokens":0,"reasoning_tokens":0,"rejected_prediction_tokens":0},"prompt_tokens":1312,"prompt_tokens_details":{"audio_tokens":0,"cached_tokens":0},"total_tokens":1383}}</t>
  </si>
  <si>
    <t>Onitsuka Tiger：MEXICO 66 米白紫拼色复古运动鞋，柔软牛皮与麂皮拼接鞋面，轻盈透气，经典虎爪条纹设计，男女同款复古休闲风，舒适缓震适合日常穿搭与街头运动。</t>
  </si>
  <si>
    <t>{"choices":[{"finish_reason":"stop","index":0,"logprobs":null,"message":{"annotations":[],"content":"Onitsuka Tiger Mexico 66 Mint Green Suede Shoes","refusal":null,"role":"assistant"}}],"created":1776416184,"id":"chatcmpl-DVZHsXDKTBcibgGZkMVcVpy3rOAif","model":"gpt-5-chat-latest","object":"chat.completion","service_tier":"default","system_fingerprint":"fp_ad66631dec","usage":{"completion_tokens":13,"completion_tokens_details":{"accepted_prediction_tokens":0,"audio_tokens":0,"reasoning_tokens":0,"rejected_prediction_tokens":0},"prompt_tokens":876,"prompt_tokens_details":{"audio_tokens":0,"cached_tokens":0},"total_tokens":889}}</t>
  </si>
  <si>
    <t>Onitsuka Tiger Mexico 66 Mint Green Suede Shoes</t>
  </si>
  <si>
    <t>{"choices":[{"finish_reason":"stop","index":0,"logprobs":null,"message":{"annotations":[],"content":"Onitsuka Tiger Mexico 66 Mint Green Suede Sneakers – Classic retro design, lightweight and breathable, unisex casual shoes blending vintage Japanese minimalism with modern urban style.","refusal":null,"role":"assistant"}}],"created":1776415395,"id":"chatcmpl-DVZ59LnD3TGM3EFz0CSF8b3qMSqMM","model":"gpt-5-chat-latest","object":"chat.completion","service_tier":"default","system_fingerprint":"fp_ad66631dec","usage":{"completion_tokens":36,"completion_tokens_details":{"accepted_prediction_tokens":0,"audio_tokens":0,"reasoning_tokens":0,"rejected_prediction_tokens":0},"prompt_tokens":884,"prompt_tokens_details":{"audio_tokens":0,"cached_tokens":0},"total_tokens":920}}</t>
  </si>
  <si>
    <t>Onitsuka Tiger Mexico 66 Mint Green Suede Sneakers – Classic retro design, lightweight and breathable, unisex casual shoes blending vintage Japanese minimalism with modern urban style.</t>
  </si>
  <si>
    <t>{"choices":[{"finish_reason":"stop","index":0,"logprobs":null,"message":{"annotations":[],"content":"Onitsuka Tiger, Shoes, kakobuy, kakebuy2026, kekobuysheet, kakobuysheet2026, 2026kakobuy, kakobuyspreadsheeet, kakobuylink, kakebuylist, Kakobuy MEGA Spreadsheet, kakobuysheetfind, kakobuysheetfind2026, 2026kakobuysheetfind, kakobuysheet2026","refusal":null,"role":"assistant"}}],"created":1776417315,"id":"chatcmpl-DVZa79GJlFkQRRcnrfalEJEzPRkRu","model":"gpt-5-chat-latest","object":"chat.completion","service_tier":"default","system_fingerprint":"fp_ad66631dec","usage":{"completion_tokens":93,"completion_tokens_details":{"accepted_prediction_tokens":0,"audio_tokens":0,"reasoning_tokens":0,"rejected_prediction_tokens":0},"prompt_tokens":785,"prompt_tokens_details":{"audio_tokens":0,"cached_tokens":0},"total_tokens":878}}</t>
  </si>
  <si>
    <t>Onitsuka Tiger, Suede, Mint, Retro, Unisex, Casual Sneakers</t>
  </si>
  <si>
    <t>recvh0B9A75WB1</t>
  </si>
  <si>
    <t>onitsuka-tiger-mexico-66-mint-green-suede-recvh0b9a75wb1</t>
  </si>
  <si>
    <t>{"choices":[{"finish_reason":"stop","index":0,"logprobs":null,"message":{"annotations":[],"content":"Onitsuka Tiger：经典Mexico 66系列薄荷绿麂皮休闲运动鞋，复古流线设计，轻盈透气，男女通用，展现日系简约都市风格。","refusal":null,"role":"assistant"}}],"created":1776412501,"id":"chatcmpl-DVYKTEqWLmdGA6IicEBWoUZKFcTHa","model":"gpt-5-chat-latest","object":"chat.completion","service_tier":"default","system_fingerprint":"fp_ad66631dec","usage":{"completion_tokens":47,"completion_tokens_details":{"accepted_prediction_tokens":0,"audio_tokens":0,"reasoning_tokens":0,"rejected_prediction_tokens":0},"prompt_tokens":1306,"prompt_tokens_details":{"audio_tokens":0,"cached_tokens":1280},"total_tokens":1353}}</t>
  </si>
  <si>
    <t>Onitsuka Tiger：经典Mexico 66系列薄荷绿麂皮休闲运动鞋，复古流线设计，轻盈透气，男女通用，展现日系简约都市风格。</t>
  </si>
  <si>
    <t>{"choices":[{"finish_reason":"stop","index":0,"logprobs":null,"message":{"annotations":[],"content":"Onitsuka Tiger Mexico 66 White Red Blue Shoes","refusal":null,"role":"assistant"}}],"created":1776416031,"id":"chatcmpl-DVZFPTu02DQW6eZgBlh3Jw7yAeOLj","model":"gpt-5-chat-latest","object":"chat.completion","service_tier":"default","system_fingerprint":"fp_ad66631dec","usage":{"completion_tokens":12,"completion_tokens_details":{"accepted_prediction_tokens":0,"audio_tokens":0,"reasoning_tokens":0,"rejected_prediction_tokens":0},"prompt_tokens":882,"prompt_tokens_details":{"audio_tokens":0,"cached_tokens":0},"total_tokens":894}}</t>
  </si>
  <si>
    <t>Onitsuka Tiger Mexico 66 White Red Blue Shoes</t>
  </si>
  <si>
    <t>{"id":"chatcmpl-DVYyWDg6Bt73yN5OYnfBCgKQqN4Wu","object":"chat.completion","created":1776414984,"model":"gpt-5-chat-latest","choices":[{"index":0,"message":{"role":"assistant","content":"Onitsuka Tiger Mexico 66 sneakers in white with red and blue accents, crafted from premium leather, featuring a retro running design, lightweight unisex fit, showcasing classic Japanese street style.","refusal":null,"annotations":[]},"logprobs":null,"finish_reason":"stop"}],"usage":{"prompt_tokens":891,"completion_tokens":39,"total_tokens":930,"prompt_tokens_details":{"cached_tokens":0,"audio_tokens":0},"completion_tokens_details":{"reasoning_tokens":0,"audio_tokens":0,"accepted_prediction_tokens":0,"rejected_prediction_tokens":0}},"service_tier":"default","system_fingerprint":"fp_ad66631dec"}</t>
  </si>
  <si>
    <t>Onitsuka Tiger Mexico 66 sneakers in white with red and blue accents, crafted from premium leather, featuring a retro running design, lightweight unisex fit, showcasing classic Japanese street style.</t>
  </si>
  <si>
    <t>{"choices":[{"finish_reason":"stop","index":0,"logprobs":null,"message":{"annotations":[],"content":"Onitsuka Tiger, Shoes, kakobuy, kakebuy2026, kekobuysheet, kakobuysheet2026, 2026kakobuy, kakobuyspreadsheeet, kakobuylink, kakebuylist, Kakobuy MEGA Spreadsheet, kakobuysheetfind, kakobuysheetfind2026, 2026kakobuysheetfind, kakobuysheet2026","refusal":null,"role":"assistant"}}],"created":1776416902,"id":"chatcmpl-DVZTSm1kpptt5dYw7uH583vCeJJaC","model":"gpt-5-chat-latest","object":"chat.completion","service_tier":"default","system_fingerprint":"fp_ad66631dec","usage":{"completion_tokens":93,"completion_tokens_details":{"accepted_prediction_tokens":0,"audio_tokens":0,"reasoning_tokens":0,"rejected_prediction_tokens":0},"prompt_tokens":785,"prompt_tokens_details":{"audio_tokens":0,"cached_tokens":0},"total_tokens":878}}</t>
  </si>
  <si>
    <t>Onitsuka Tiger, Leather, Retro Running, White, Unisex, Streetwear</t>
  </si>
  <si>
    <t>recvh0B9A7Fuke</t>
  </si>
  <si>
    <t>onitsuka-tiger-mexico-66-white-red-blue-recvh0b9a7fuke</t>
  </si>
  <si>
    <t>{"choices":[{"finish_reason":"stop","index":0,"logprobs":null,"message":{"annotations":[],"content":"Onitsuka Tiger：Mexico 66系列白酒红拼青蓝休闲运动鞋，优质皮革面料，复古跑鞋设计，男女通用款，舒适轻盈，彰显经典日系街头风格。","refusal":null,"role":"assistant"}}],"created":1776412091,"id":"chatcmpl-DVYDrbut98LiKWbk2ZKHkBT23GfjM","model":"gpt-5-chat-latest","object":"chat.completion","service_tier":"default","system_fingerprint":"fp_ad66631dec","usage":{"completion_tokens":54,"completion_tokens_details":{"accepted_prediction_tokens":0,"audio_tokens":0,"reasoning_tokens":0,"rejected_prediction_tokens":0},"prompt_tokens":1306,"prompt_tokens_details":{"audio_tokens":0,"cached_tokens":0},"total_tokens":1360}}</t>
  </si>
  <si>
    <t>Onitsuka Tiger：Mexico 66系列白酒红拼青蓝休闲运动鞋，优质皮革面料，复古跑鞋设计，男女通用款，舒适轻盈，彰显经典日系街头风格。</t>
  </si>
  <si>
    <t>{"choices":[{"finish_reason":"stop","index":0,"logprobs":null,"message":{"annotations":[],"content":"Onitsuka Tiger Mexico 66 Yellow Suede Leather Sneakers","refusal":null,"role":"assistant"}}],"created":1776416328,"id":"chatcmpl-DVZKCILu9vRuyn5qOmBJqxDseSRWc","model":"gpt-5-chat-latest","object":"chat.completion","service_tier":"default","system_fingerprint":"fp_ad66631dec","usage":{"completion_tokens":13,"completion_tokens_details":{"accepted_prediction_tokens":0,"audio_tokens":0,"reasoning_tokens":0,"rejected_prediction_tokens":0},"prompt_tokens":884,"prompt_tokens_details":{"audio_tokens":0,"cached_tokens":0},"total_tokens":897}}</t>
  </si>
  <si>
    <t>Onitsuka Tiger Mexico 66 Yellow Suede Leather Sneakers</t>
  </si>
  <si>
    <t>{"choices":[{"finish_reason":"stop","index":0,"logprobs":null,"message":{"annotations":[],"content":"Onitsuka Tiger Mexico 66 Retro Yellow Sneakers blend premium suede and leather with a lightweight rubber sole, classic tiger-stripe design, unisex comfort, breathable style, and urban Japanese flair.","refusal":null,"role":"assistant"}}],"created":1776415175,"id":"chatcmpl-DVZ1bYaULHxrm8Enzo4iQLD2qVloH","model":"gpt-5-chat-latest","object":"chat.completion","service_tier":"default","system_fingerprint":"fp_ad66631dec","usage":{"completion_tokens":40,"completion_tokens_details":{"accepted_prediction_tokens":0,"audio_tokens":0,"reasoning_tokens":0,"rejected_prediction_tokens":0},"prompt_tokens":911,"prompt_tokens_details":{"audio_tokens":0,"cached_tokens":0},"total_tokens":951}}</t>
  </si>
  <si>
    <t>Onitsuka Tiger Mexico 66 Retro Yellow Sneakers blend premium suede and leather with a lightweight rubber sole, classic tiger-stripe design, unisex comfort, breathable style, and urban Japanese flair.</t>
  </si>
  <si>
    <t>{"choices":[{"finish_reason":"stop","index":0,"logprobs":null,"message":{"annotations":[],"content":"Onitsuka Tiger, Shoes, kakobuy, kakebuy2026, kekobuysheet, kakobuysheet2026, 2026kakobuy, kakobuyspreadsheeet, kakobuylink, kakebuylist, Kakobuy MEGA Spreadsheet, kakobuysheetfind, kakobuysheetfind2026, 2026kakobuysheetfind, kakobuysheet2026","refusal":null,"role":"assistant"}}],"created":1776417386,"id":"chatcmpl-DVZbGb4r6jP7ScIlZ7qRazeJFMsp2","model":"gpt-5-chat-latest","object":"chat.completion","service_tier":"default","system_fingerprint":"fp_ad66631dec","usage":{"completion_tokens":93,"completion_tokens_details":{"accepted_prediction_tokens":0,"audio_tokens":0,"reasoning_tokens":0,"rejected_prediction_tokens":0},"prompt_tokens":785,"prompt_tokens_details":{"audio_tokens":0,"cached_tokens":0},"total_tokens":878}}</t>
  </si>
  <si>
    <t>Onitsuka Tiger, Retro, Yellow, Sneakers, Unisex, Japanese</t>
  </si>
  <si>
    <t>recvh0B9A7GIB1</t>
  </si>
  <si>
    <t>onitsuka-tiger-mexico-66-yellow-suede-recvh0b9a7gib1</t>
  </si>
  <si>
    <t>{"choices":[{"finish_reason":"stop","index":0,"logprobs":null,"message":{"annotations":[],"content":"Onitsuka Tiger：复古黄款Mexico 66系列休闲运动鞋，优质麂皮与皮革拼接鞋面，轻盈橡胶大底，延续经典虎爪纹设计，融合日式复古美学，男女皆宜，舒适透气，彰显都市潮流格调。","refusal":null,"role":"assistant"}}],"created":1776412531,"id":"chatcmpl-DVYKxf2T3N5vBmMwx0PEft1Ls4ULh","model":"gpt-5-chat-latest","object":"chat.completion","service_tier":"default","system_fingerprint":"fp_ad66631dec","usage":{"completion_tokens":74,"completion_tokens_details":{"accepted_prediction_tokens":0,"audio_tokens":0,"reasoning_tokens":0,"rejected_prediction_tokens":0},"prompt_tokens":1306,"prompt_tokens_details":{"audio_tokens":0,"cached_tokens":0},"total_tokens":1380}}</t>
  </si>
  <si>
    <t>Onitsuka Tiger：复古黄款Mexico 66系列休闲运动鞋，优质麂皮与皮革拼接鞋面，轻盈橡胶大底，延续经典虎爪纹设计，融合日式复古美学，男女皆宜，舒适透气，彰显都市潮流格调。</t>
  </si>
  <si>
    <t>{"id":"chatcmpl-DVZJfHpwYjrbGJAHhMa1TO9VJkWIl","object":"chat.completion","created":1776416295,"model":"gpt-5-chat-latest","choices":[{"index":0,"message":{"role":"assistant","content":"Onitsuka Tiger Mexico 66 Cream White Burgundy Shoes","refusal":null,"annotations":[]},"logprobs":null,"finish_reason":"stop"}],"usage":{"prompt_tokens":600,"completion_tokens":12,"total_tokens":612,"prompt_tokens_details":{"cached_tokens":0,"audio_tokens":0},"completion_tokens_details":{"reasoning_tokens":0,"audio_tokens":0,"accepted_prediction_tokens":0,"rejected_prediction_tokens":0}},"service_tier":"default","system_fingerprint":"fp_ad66631dec"}</t>
  </si>
  <si>
    <t>Onitsuka Tiger Mexico 66 Cream White Burgundy Shoes</t>
  </si>
  <si>
    <t>{"choices":[{"finish_reason":"stop","index":0,"logprobs":null,"message":{"annotations":[],"content":"Onitsuka Tiger MEXICO 66 Cream White Burgundy Sneakers feature soft genuine leather, iconic Tiger stripes, lightweight durable rubber sole, unisex retro casual style, classic Japanese design.","refusal":null,"role":"assistant"}}],"created":1776415103,"id":"chatcmpl-DVZ0RvYd2uuQlVnTshj83CdIn6xEz","model":"gpt-5-chat-latest","object":"chat.completion","service_tier":"default","system_fingerprint":"fp_ad66631dec","usage":{"completion_tokens":38,"completion_tokens_details":{"accepted_prediction_tokens":0,"audio_tokens":0,"reasoning_tokens":0,"rejected_prediction_tokens":0},"prompt_tokens":621,"prompt_tokens_details":{"audio_tokens":0,"cached_tokens":0},"total_tokens":659}}</t>
  </si>
  <si>
    <t>Onitsuka Tiger MEXICO 66 Cream White Burgundy Sneakers feature soft genuine leather, iconic Tiger stripes, lightweight durable rubber sole, unisex retro casual style, classic Japanese design.</t>
  </si>
  <si>
    <t>{"id":"chatcmpl-DVZRO1OZlLCN4tlNyKpY2IF7SQnWK","object":"chat.completion","created":1776416774,"model":"gpt-5-chat-latest","choices":[{"index":0,"message":{"role":"assistant","content":"Onitsuka Tiger, Shoes, kakobuy, kakebuy2026, kekobuysheet, kakobuysheet2026, 2026kakobuy, kakobuyspreadsheeet, kakobuylink, kakebuylist, Kakobuy MEGA Spreadsheet, kakobuysheetfind, kakobuysheetfind2026, 2026kakobuysheetfind, kakobuysheet2026","refusal":null,"annotations":[]},"logprobs":null,"finish_reason":"stop"}],"usage":{"prompt_tokens":505,"completion_tokens":93,"total_tokens":598,"prompt_tokens_details":{"cached_tokens":0,"audio_tokens":0},"completion_tokens_details":{"reasoning_tokens":0,"audio_tokens":0,"accepted_prediction_tokens":0,"rejected_prediction_tokens":0}},"service_tier":"default","system_fingerprint":"fp_ad66631dec"}</t>
  </si>
  <si>
    <t>Onitsuka Tiger, Genuine Leather, Rubber Sole, Unisex, Retro, Casual Sneakers</t>
  </si>
  <si>
    <t>recvh0B9A76qC8</t>
  </si>
  <si>
    <t>onitsuka-tiger-mexico-66-cream-white-burgundy-recvh0b9a76qc8</t>
  </si>
  <si>
    <t>{"id":"chatcmpl-DVYBH622iP210oUN8mN0M2oxyg901","object":"chat.completion","created":1776411931,"model":"gpt-5-chat-latest","choices":[{"index":0,"message":{"role":"assistant","content":"Onitsuka Tiger：MEXICO 66 奶油白酒红拼色复古运动鞋，柔软真皮鞋面结合标志性虎爪条纹，轻盈耐磨橡胶底，男女同款，复古休闲风格诠释经典日系设计。","refusal":null,"annotations":[]},"logprobs":null,"finish_reason":"stop"}],"usage":{"prompt_tokens":1020,"completion_tokens":67,"total_tokens":1087,"prompt_tokens_details":{"cached_tokens":0,"audio_tokens":0},"completion_tokens_details":{"reasoning_tokens":0,"audio_tokens":0,"accepted_prediction_tokens":0,"rejected_prediction_tokens":0}},"service_tier":"default","system_fingerprint":"fp_ad66631dec"}</t>
  </si>
  <si>
    <t>Onitsuka Tiger：MEXICO 66 奶油白酒红拼色复古运动鞋，柔软真皮鞋面结合标志性虎爪条纹，轻盈耐磨橡胶底，男女同款，复古休闲风格诠释经典日系设计。</t>
  </si>
  <si>
    <t>{"id":"chatcmpl-DVZCd1VGZMZSbfv9URgQZZ49PfyKJ","object":"chat.completion","created":1776415859,"model":"gpt-5-chat-latest","choices":[{"index":0,"message":{"role":"assistant","content":"Onitsuka Tiger Mexico 66 Off White Gold Sneakers","refusal":null,"annotations":[]},"logprobs":null,"finish_reason":"stop"}],"usage":{"prompt_tokens":890,"completion_tokens":12,"total_tokens":902,"prompt_tokens_details":{"cached_tokens":0,"audio_tokens":0},"completion_tokens_details":{"reasoning_tokens":0,"audio_tokens":0,"accepted_prediction_tokens":0,"rejected_prediction_tokens":0}},"service_tier":"default","system_fingerprint":"fp_ad66631dec"}</t>
  </si>
  <si>
    <t>Onitsuka Tiger Mexico 66 Off White Gold Sneakers</t>
  </si>
  <si>
    <t>{"id":"chatcmpl-DVYvYe1oBCMAJfYlN8gfHfjNADldE","object":"chat.completion","created":1776414800,"model":"gpt-5-chat-latest","choices":[{"index":0,"message":{"role":"assistant","content":"Onitsuka Tiger Mexico 66 Off-White &amp; Gold Brown sneakers blend vintage 70s style with modern comfort, crafted from premium leather and fabric for a unisex, lightweight, and timeless urban look.","refusal":null,"annotations":[]},"logprobs":null,"finish_reason":"stop"}],"usage":{"prompt_tokens":902,"completion_tokens":43,"total_tokens":945,"prompt_tokens_details":{"cached_tokens":0,"audio_tokens":0},"completion_tokens_details":{"reasoning_tokens":0,"audio_tokens":0,"accepted_prediction_tokens":0,"rejected_prediction_tokens":0}},"service_tier":"default","system_fingerprint":"fp_ad66631dec"}</t>
  </si>
  <si>
    <t>Onitsuka Tiger Mexico 66 Off-White &amp; Gold Brown sneakers blend vintage 70s style with modern comfort, crafted from premium leather and fabric for a unisex, lightweight, and timeless urban look.</t>
  </si>
  <si>
    <t>{"id":"chatcmpl-DVZRPVGmWsvHIhIhAoQs7VPyjOcRZ","object":"chat.completion","created":1776416775,"model":"gpt-5-chat-latest","choices":[{"index":0,"message":{"role":"assistant","content":"Onitsuka Tiger, Shoes, kakobuy, kakebuy2026, kekobuysheet, kakobuysheet2026, 2026kakobuy, kakobuyspreadsheeet, kakobuylink, kakebuylist, Kakobuy MEGA Spreadsheet, kakobuysheetfind, kakobuysheetfind2026, 2026kakobuysheetfind, kakobuysheet2026","refusal":null,"annotations":[]},"logprobs":null,"finish_reason":"stop"}],"usage":{"prompt_tokens":785,"completion_tokens":93,"total_tokens":878,"prompt_tokens_details":{"cached_tokens":0,"audio_tokens":0},"completion_tokens_details":{"reasoning_tokens":0,"audio_tokens":0,"accepted_prediction_tokens":0,"rejected_prediction_tokens":0}},"service_tier":"default","system_fingerprint":"fp_ad66631dec"}</t>
  </si>
  <si>
    <t>Onitsuka Tiger, Leather, Unisex, Lightweight, Retro, Sneakers</t>
  </si>
  <si>
    <t>recvh0B9A7NE4l</t>
  </si>
  <si>
    <t>onitsuka-tiger-mexico-66-off-white-gold-recvh0b9a7ne4l</t>
  </si>
  <si>
    <t>{"id":"chatcmpl-DVYCtQTQpnJtsGBk8uRNNM9iBNLeL","object":"chat.completion","created":1776412031,"model":"gpt-5-chat-latest","choices":[{"index":0,"message":{"role":"assistant","content":"Onitsuka Tiger：经典Mexico 66米白配金棕拼色休闲鞋，甄选优质皮革与织物材质，复古跑鞋设计融合都市简约风格，男女通用款，轻盈舒适，彰显70年代复古运动美学。","refusal":null,"annotations":[]},"logprobs":null,"finish_reason":"stop"}],"usage":{"prompt_tokens":1302,"completion_tokens":67,"total_tokens":1369,"prompt_tokens_details":{"cached_tokens":0,"audio_tokens":0},"completion_tokens_details":{"reasoning_tokens":0,"audio_tokens":0,"accepted_prediction_tokens":0,"rejected_prediction_tokens":0}},"service_tier":"default","system_fingerprint":"fp_ad66631dec"}</t>
  </si>
  <si>
    <t>Onitsuka Tiger：经典Mexico 66米白配金棕拼色休闲鞋，甄选优质皮革与织物材质，复古跑鞋设计融合都市简约风格，男女通用款，轻盈舒适，彰显70年代复古运动美学。</t>
  </si>
  <si>
    <t>{"choices":[{"finish_reason":"stop","index":0,"logprobs":null,"message":{"annotations":[],"content":"Onitsuka Tiger Mexico 66 Off White Orange Green Shoes","refusal":null,"role":"assistant"}}],"created":1776416324,"id":"chatcmpl-DVZK8xDO0d5IO2ZzG50Pyn29eoWlO","model":"gpt-5-chat-latest","object":"chat.completion","service_tier":"default","system_fingerprint":"fp_ad66631dec","usage":{"completion_tokens":13,"completion_tokens_details":{"accepted_prediction_tokens":0,"audio_tokens":0,"reasoning_tokens":0,"rejected_prediction_tokens":0},"prompt_tokens":890,"prompt_tokens_details":{"audio_tokens":0,"cached_tokens":0},"total_tokens":903}}</t>
  </si>
  <si>
    <t>Onitsuka Tiger Mexico 66 Off White Orange Green Shoes</t>
  </si>
  <si>
    <t>{"id":"chatcmpl-DVYztoO3eCPtzSbYmsV2xf2b4wTmc","object":"chat.completion","created":1776415069,"model":"gpt-5-chat-latest","choices":[{"index":0,"message":{"role":"assistant","content":"Onitsuka Tiger Mexico 66 Off-White Orange Green sneakers, crafted from premium leather, breathable and lightweight, slip-on low-top design, unisex retro 70s running style for stylish urban comfort.","refusal":null,"annotations":[]},"logprobs":null,"finish_reason":"stop"}],"usage":{"prompt_tokens":911,"completion_tokens":43,"total_tokens":954,"prompt_tokens_details":{"cached_tokens":0,"audio_tokens":0},"completion_tokens_details":{"reasoning_tokens":0,"audio_tokens":0,"accepted_prediction_tokens":0,"rejected_prediction_tokens":0}},"service_tier":"default","system_fingerprint":"fp_ad66631dec"}</t>
  </si>
  <si>
    <t>Onitsuka Tiger Mexico 66 Off-White Orange Green sneakers, crafted from premium leather, breathable and lightweight, slip-on low-top design, unisex retro 70s running style for stylish urban comfort.</t>
  </si>
  <si>
    <t>{"choices":[{"finish_reason":"stop","index":0,"logprobs":null,"message":{"annotations":[],"content":"Onitsuka Tiger, Shoes, kakobuy, kakebuy2026, kekobuysheet, kakobuysheet2026, 2026kakobuy, kakobuyspreadsheeet, kakobuylink, kakebuylist, Kakobuy MEGA Spreadsheet, kakobuysheetfind, kakobuysheetfind2026, 2026kakobuysheetfind, kakobuysheet2026","refusal":null,"role":"assistant"}}],"created":1776416943,"id":"chatcmpl-DVZU7n1JkPVxRbssYxM7BekOcLHiG","model":"gpt-5-chat-latest","object":"chat.completion","service_tier":"default","system_fingerprint":"fp_ad66631dec","usage":{"completion_tokens":93,"completion_tokens_details":{"accepted_prediction_tokens":0,"audio_tokens":0,"reasoning_tokens":0,"rejected_prediction_tokens":0},"prompt_tokens":785,"prompt_tokens_details":{"audio_tokens":0,"cached_tokens":0},"total_tokens":878}}</t>
  </si>
  <si>
    <t>Onitsuka Tiger, Leather, Breathable, Lightweight, Retro, Unisex</t>
  </si>
  <si>
    <t>recvh0B9A7NzSO</t>
  </si>
  <si>
    <t>onitsuka-tiger-mexico-66-off-white-orange-green-recvh0b9a7nzso</t>
  </si>
  <si>
    <t>{"choices":[{"finish_reason":"stop","index":0,"logprobs":null,"message":{"annotations":[],"content":"Onitsuka Tiger：Mexico 66米白拼橙绿复古休闲鞋，优质头层牛皮打造，轻盈透气，低帮无鞋带设计，展现简约时尚质感，男女皆宜，复古70年代跑鞋风格，舒适耐穿，都市休闲必备。","refusal":null,"role":"assistant"}}],"created":1776412206,"id":"chatcmpl-DVYFidBUqrM3ahjqaYPhV804FdKov","model":"gpt-5-chat-latest","object":"chat.completion","service_tier":"default","system_fingerprint":"fp_ad66631dec","usage":{"completion_tokens":74,"completion_tokens_details":{"accepted_prediction_tokens":0,"audio_tokens":0,"reasoning_tokens":0,"rejected_prediction_tokens":0},"prompt_tokens":1306,"prompt_tokens_details":{"audio_tokens":0,"cached_tokens":0},"total_tokens":1380}}</t>
  </si>
  <si>
    <t>Onitsuka Tiger：Mexico 66米白拼橙绿复古休闲鞋，优质头层牛皮打造，轻盈透气，低帮无鞋带设计，展现简约时尚质感，男女皆宜，复古70年代跑鞋风格，舒适耐穿，都市休闲必备。</t>
  </si>
  <si>
    <t>{"choices":[{"finish_reason":"stop","index":0,"logprobs":null,"message":{"annotations":[],"content":"Onitsuka Tiger Mexico 66 Off White Yellow Shoes","refusal":null,"role":"assistant"}}],"created":1776416271,"id":"chatcmpl-DVZJHGtpinvtSLu3Vn166Mp64VgTE","model":"gpt-5-chat-latest","object":"chat.completion","service_tier":"default","system_fingerprint":"fp_ad66631dec","usage":{"completion_tokens":12,"completion_tokens_details":{"accepted_prediction_tokens":0,"audio_tokens":0,"reasoning_tokens":0,"rejected_prediction_tokens":0},"prompt_tokens":888,"prompt_tokens_details":{"audio_tokens":0,"cached_tokens":0},"total_tokens":900}}</t>
  </si>
  <si>
    <t>Onitsuka Tiger Mexico 66 Off White Yellow Shoes</t>
  </si>
  <si>
    <t>{"id":"chatcmpl-DVZ3zBmfL3prEiSZA4iqQwfJbVzs9","object":"chat.completion","created":1776415323,"model":"gpt-5-chat-latest","choices":[{"index":0,"message":{"role":"assistant","content":"Onitsuka Tiger Mexico 66 Off-White Yellow sneakers, crafted from premium full-grain leather, feature a retro laceless design, lightweight comfort, unisex fit, and timeless urban vintage style.","refusal":null,"annotations":[]},"logprobs":null,"finish_reason":"stop"}],"usage":{"prompt_tokens":894,"completion_tokens":42,"total_tokens":936,"prompt_tokens_details":{"cached_tokens":0,"audio_tokens":0},"completion_tokens_details":{"reasoning_tokens":0,"audio_tokens":0,"accepted_prediction_tokens":0,"rejected_prediction_tokens":0}},"service_tier":"default","system_fingerprint":"fp_ad66631dec"}</t>
  </si>
  <si>
    <t>Onitsuka Tiger Mexico 66 Off-White Yellow sneakers, crafted from premium full-grain leather, feature a retro laceless design, lightweight comfort, unisex fit, and timeless urban vintage style.</t>
  </si>
  <si>
    <t>{"choices":[{"finish_reason":"stop","index":0,"logprobs":null,"message":{"annotations":[],"content":"Onitsuka Tiger,Shoes,kakobuy,kakebuy2026,kekobuysheet,kakobuysheet2026,2026kakobuy,kakobuyspreadsheeet,kakobuylink,kakebuylist,Kakobuy MEGA Spreadsheet,kakobuysheetfind,kakobuysheetfind2026,2026kakobuysheetfind,kakobuysheet2026","refusal":null,"role":"assistant"}}],"created":1776417136,"id":"chatcmpl-DVZXEjA4aETLBWnSoSkWXDiBjjxxB","model":"gpt-5-chat-latest","object":"chat.completion","service_tier":"default","system_fingerprint":"fp_ad66631dec","usage":{"completion_tokens":89,"completion_tokens_details":{"accepted_prediction_tokens":0,"audio_tokens":0,"reasoning_tokens":0,"rejected_prediction_tokens":0},"prompt_tokens":785,"prompt_tokens_details":{"audio_tokens":0,"cached_tokens":0},"total_tokens":874}}</t>
  </si>
  <si>
    <t>Onitsuka Tiger, Leather, Retro, Unisex, Yellow, Off-White</t>
  </si>
  <si>
    <t>recvh0B9A7Qcsr</t>
  </si>
  <si>
    <t>onitsuka-tiger-mexico-66-off-white-yellow-recvh0b9a7qcsr</t>
  </si>
  <si>
    <t>{"choices":[{"finish_reason":"stop","index":0,"logprobs":null,"message":{"annotations":[],"content":"Onitsuka Tiger：Mexico 66米白黄拼色休闲运动鞋，优质头层牛皮材质，复古无鞋带设计，轻盈舒适脚感，男女皆宜，彰显都市简约复古风格。","refusal":null,"role":"assistant"}}],"created":1776412287,"id":"chatcmpl-DVYH1n5tMHSoBlL4jhBilQfdgjUUx","model":"gpt-5-chat-latest","object":"chat.completion","service_tier":"default","system_fingerprint":"fp_ad66631dec","usage":{"completion_tokens":56,"completion_tokens_details":{"accepted_prediction_tokens":0,"audio_tokens":0,"reasoning_tokens":0,"rejected_prediction_tokens":0},"prompt_tokens":1308,"prompt_tokens_details":{"audio_tokens":0,"cached_tokens":1280},"total_tokens":1364}}</t>
  </si>
  <si>
    <t>Onitsuka Tiger：Mexico 66米白黄拼色休闲运动鞋，优质头层牛皮材质，复古无鞋带设计，轻盈舒适脚感，男女皆宜，彰显都市简约复古风格。</t>
  </si>
  <si>
    <t>{"choices":[{"finish_reason":"stop","index":0,"logprobs":null,"message":{"annotations":[],"content":"Onitsuka Tiger Mexico 66 Red Patent Leather Sneakers","refusal":null,"role":"assistant"}}],"created":1776415950,"id":"chatcmpl-DVZE6WhcWxJH6vHAiOwfVjobgkx6l","model":"gpt-5-chat-latest","object":"chat.completion","service_tier":"default","system_fingerprint":"fp_ad66631dec","usage":{"completion_tokens":12,"completion_tokens_details":{"accepted_prediction_tokens":0,"audio_tokens":0,"reasoning_tokens":0,"rejected_prediction_tokens":0},"prompt_tokens":886,"prompt_tokens_details":{"audio_tokens":0,"cached_tokens":0},"total_tokens":898}}</t>
  </si>
  <si>
    <t>Onitsuka Tiger Mexico 66 Red Patent Leather Sneakers</t>
  </si>
  <si>
    <t>{"choices":[{"finish_reason":"stop","index":0,"logprobs":null,"message":{"annotations":[],"content":"Onitsuka Tiger Mexico 66 Bright Red Patent Leather Sneakers, featuring iconic side stripes, retro-modern design, anti-slip sole, unisex style, perfect blend of Japanese minimalism and urban fashion.","refusal":null,"role":"assistant"}}],"created":1776415096,"id":"chatcmpl-DVZ0KjhLpXptbcDMXAwJHqHVJa22X","model":"gpt-5-chat-latest","object":"chat.completion","service_tier":"default","system_fingerprint":"fp_ad66631dec","usage":{"completion_tokens":41,"completion_tokens_details":{"accepted_prediction_tokens":0,"audio_tokens":0,"reasoning_tokens":0,"rejected_prediction_tokens":0},"prompt_tokens":910,"prompt_tokens_details":{"audio_tokens":0,"cached_tokens":0},"total_tokens":951}}</t>
  </si>
  <si>
    <t>Onitsuka Tiger Mexico 66 Bright Red Patent Leather Sneakers, featuring iconic side stripes, retro-modern design, anti-slip sole, unisex style, perfect blend of Japanese minimalism and urban fashion.</t>
  </si>
  <si>
    <t>{"id":"chatcmpl-DVZa0V0nQCqeC78giZpy3X0dE0Md9","object":"chat.completion","created":1776417308,"model":"gpt-5-chat-latest","choices":[{"index":0,"message":{"role":"assistant","content":"Onitsuka Tiger, Shoes, kakobuy, kakebuy2026, kekobuysheet, kakobuysheet2026, 2026kakobuy, kakobuyspreadsheeet, kakobuylink, kakebuylist, Kakobuy MEGA Spreadsheet, kakobuysheetfind, kakobuysheetfind2026, 2026kakobuysheetfind, kakobuysheet2026","refusal":null,"annotations":[]},"logprobs":null,"finish_reason":"stop"}],"usage":{"prompt_tokens":785,"completion_tokens":93,"total_tokens":878,"prompt_tokens_details":{"cached_tokens":0,"audio_tokens":0},"completion_tokens_details":{"reasoning_tokens":0,"audio_tokens":0,"accepted_prediction_tokens":0,"rejected_prediction_tokens":0}},"service_tier":"default","system_fingerprint":"fp_ad66631dec"}</t>
  </si>
  <si>
    <t>Onitsuka Tiger, Sneakers, Red, Retro, Unisex, Anti-Slip</t>
  </si>
  <si>
    <t>recvh0B9A7GeYX</t>
  </si>
  <si>
    <t>onitsuka-tiger-mexico-66-red-patent-recvh0b9a7geyx</t>
  </si>
  <si>
    <t>{"choices":[{"finish_reason":"stop","index":0,"logprobs":null,"message":{"annotations":[],"content":"Onitsuka Tiger：Mexico 66系列亮红色运动休闲鞋，采用漆皮材质打造高光质感，经典虎爪纹侧标设计，复古与现代融合，鞋底防滑耐磨，男女皆宜，彰显日系简约美学与都会时尚格调。","refusal":null,"role":"assistant"}}],"created":1776412205,"id":"chatcmpl-DVYFhmWlVwyPBUeTzhVOS5P5Ib8AX","model":"gpt-5-chat-latest","object":"chat.completion","service_tier":"default","system_fingerprint":"fp_ad66631dec","usage":{"completion_tokens":71,"completion_tokens_details":{"accepted_prediction_tokens":0,"audio_tokens":0,"reasoning_tokens":0,"rejected_prediction_tokens":0},"prompt_tokens":1310,"prompt_tokens_details":{"audio_tokens":0,"cached_tokens":1280},"total_tokens":1381}}</t>
  </si>
  <si>
    <t>Onitsuka Tiger：Mexico 66系列亮红色运动休闲鞋，采用漆皮材质打造高光质感，经典虎爪纹侧标设计，复古与现代融合，鞋底防滑耐磨，男女皆宜，彰显日系简约美学与都会时尚格调。</t>
  </si>
  <si>
    <t>{"choices":[{"finish_reason":"stop","index":0,"logprobs":null,"message":{"annotations":[],"content":"Onitsuka Tiger Mexico 66 White Green Retro Sneakers","refusal":null,"role":"assistant"}}],"created":1776415815,"id":"chatcmpl-DVZBvYzU6uD17A4TUDSjJd7oKpD6C","model":"gpt-5-chat-latest","object":"chat.completion","service_tier":"default","system_fingerprint":"fp_ad66631dec","usage":{"completion_tokens":12,"completion_tokens_details":{"accepted_prediction_tokens":0,"audio_tokens":0,"reasoning_tokens":0,"rejected_prediction_tokens":0},"prompt_tokens":886,"prompt_tokens_details":{"audio_tokens":0,"cached_tokens":0},"total_tokens":898}}</t>
  </si>
  <si>
    <t>Onitsuka Tiger Mexico 66 White Green Retro Sneakers</t>
  </si>
  <si>
    <t>{"id":"chatcmpl-DVYvhcbkPyVNFGH9JK2EZENGHVLok","object":"chat.completion","created":1776414809,"model":"gpt-5-chat-latest","choices":[{"index":0,"message":{"role":"assistant","content":"Onitsuka Tiger Mexico 66 White Green Sneakers, classic retro design with soft leather upper, lightweight rubber sole, low-top 60s vintage sporty style, unisex comfort and modern urban fashion.","refusal":null,"annotations":[]},"logprobs":null,"finish_reason":"stop"}],"usage":{"prompt_tokens":906,"completion_tokens":41,"total_tokens":947,"prompt_tokens_details":{"cached_tokens":0,"audio_tokens":0},"completion_tokens_details":{"reasoning_tokens":0,"audio_tokens":0,"accepted_prediction_tokens":0,"rejected_prediction_tokens":0}},"service_tier":"default","system_fingerprint":"fp_ad66631dec"}</t>
  </si>
  <si>
    <t>Onitsuka Tiger Mexico 66 White Green Sneakers, classic retro design with soft leather upper, lightweight rubber sole, low-top 60s vintage sporty style, unisex comfort and modern urban fashion.</t>
  </si>
  <si>
    <t>{"choices":[{"finish_reason":"stop","index":0,"logprobs":null,"message":{"annotations":[],"content":"Onitsuka Tiger, Shoes, kakobuy, kakebuy2026, kekobuysheet, kakobuysheet2026, 2026kakobuy, kakobuyspreadsheeet, kakobuylink, kakebuylist, Kakobuy MEGA Spreadsheet, kakobuysheetfind, kakobuysheetfind2026, 2026kakobuysheetfind, kakobuysheet2026","refusal":null,"role":"assistant"}}],"created":1776417034,"id":"chatcmpl-DVZVawW5oUN2wS4s2PVzDeg99oa6A","model":"gpt-5-chat-latest","object":"chat.completion","service_tier":"default","system_fingerprint":"fp_ad66631dec","usage":{"completion_tokens":93,"completion_tokens_details":{"accepted_prediction_tokens":0,"audio_tokens":0,"reasoning_tokens":0,"rejected_prediction_tokens":0},"prompt_tokens":785,"prompt_tokens_details":{"audio_tokens":0,"cached_tokens":0},"total_tokens":878}}</t>
  </si>
  <si>
    <t>Onitsuka Tiger, Sneakers, Leather, Retro, Unisex, White</t>
  </si>
  <si>
    <t>recvh0B9A7co6l</t>
  </si>
  <si>
    <t>onitsuka-tiger-mexico-66-white-green-recvh0b9a7co6l</t>
  </si>
  <si>
    <t>{"choices":[{"finish_reason":"stop","index":0,"logprobs":null,"message":{"annotations":[],"content":"Onitsuka Tiger：经典Mexico 66白绿配色复古休闲鞋，柔韧牛皮革鞋面，轻盈橡胶鞋底，低帮流线设计融合60年代复古运动风格，男女皆宜，兼具舒适脚感与都市时尚格调。","refusal":null,"role":"assistant"}}],"created":1776412021,"id":"chatcmpl-DVYCj2mkZGxf5ifKokmmyGujnZTcE","model":"gpt-5-chat-latest","object":"chat.completion","service_tier":"default","system_fingerprint":"fp_ad66631dec","usage":{"completion_tokens":68,"completion_tokens_details":{"accepted_prediction_tokens":0,"audio_tokens":0,"reasoning_tokens":0,"rejected_prediction_tokens":0},"prompt_tokens":1308,"prompt_tokens_details":{"audio_tokens":0,"cached_tokens":0},"total_tokens":1376}}</t>
  </si>
  <si>
    <t>Onitsuka Tiger：经典Mexico 66白绿配色复古休闲鞋，柔韧牛皮革鞋面，轻盈橡胶鞋底，低帮流线设计融合60年代复古运动风格，男女皆宜，兼具舒适脚感与都市时尚格调。</t>
  </si>
  <si>
    <t>{"choices":[{"finish_reason":"stop","index":0,"logprobs":null,"message":{"annotations":[],"content":"Onitsuka Tiger Mexico 66 Off White Gray Blue Shoes","refusal":null,"role":"assistant"}}],"created":1776415980,"id":"chatcmpl-DVZEapFYLFOq5MhBWuh5Qm3ykgoYR","model":"gpt-5-chat-latest","object":"chat.completion","service_tier":"default","system_fingerprint":"fp_ad66631dec","usage":{"completion_tokens":13,"completion_tokens_details":{"accepted_prediction_tokens":0,"audio_tokens":0,"reasoning_tokens":0,"rejected_prediction_tokens":0},"prompt_tokens":886,"prompt_tokens_details":{"audio_tokens":0,"cached_tokens":0},"total_tokens":899}}</t>
  </si>
  <si>
    <t>Onitsuka Tiger Mexico 66 Off White Gray Blue Shoes</t>
  </si>
  <si>
    <t>{"choices":[{"finish_reason":"stop","index":0,"logprobs":null,"message":{"annotations":[],"content":"Onitsuka Tiger Mexico 66 off-white gray blue sneakers, leather and suede upper, lightweight non-slip sole, unisex retro running shoes blending 60s Japanese minimalism with modern urban style.","refusal":null,"role":"assistant"}}],"created":1776414684,"id":"chatcmpl-DVYtgP3N2NWXpLiFoPxxW9okBhNa6","model":"gpt-5-chat-latest","object":"chat.completion","service_tier":"default","system_fingerprint":"fp_ad66631dec","usage":{"completion_tokens":41,"completion_tokens_details":{"accepted_prediction_tokens":0,"audio_tokens":0,"reasoning_tokens":0,"rejected_prediction_tokens":0},"prompt_tokens":910,"prompt_tokens_details":{"audio_tokens":0,"cached_tokens":0},"total_tokens":951}}</t>
  </si>
  <si>
    <t>Onitsuka Tiger Mexico 66 off-white gray blue sneakers, leather and suede upper, lightweight non-slip sole, unisex retro running shoes blending 60s Japanese minimalism with modern urban style.</t>
  </si>
  <si>
    <t>{"choices":[{"finish_reason":"stop","index":0,"logprobs":null,"message":{"annotations":[],"content":"Onitsuka Tiger, Shoes, kakobuy, kakebuy2026, kekobuysheet, kakobuysheet2026, 2026kakobuy, kakobuyspreadsheeet, kakobuylink, kakebuylist, Kakobuy MEGA Spreadsheet, kakobuysheetfind, kakobuysheetfind2026, 2026kakobuysheetfind, kakobuysheet2026","refusal":null,"role":"assistant"}}],"created":1776417179,"id":"chatcmpl-DVZXvyR6wZiAvNy1Yilk92Ht6lKwX","model":"gpt-5-chat-latest","object":"chat.completion","service_tier":"default","system_fingerprint":"fp_ad66631dec","usage":{"completion_tokens":93,"completion_tokens_details":{"accepted_prediction_tokens":0,"audio_tokens":0,"reasoning_tokens":0,"rejected_prediction_tokens":0},"prompt_tokens":785,"prompt_tokens_details":{"audio_tokens":0,"cached_tokens":0},"total_tokens":878}}</t>
  </si>
  <si>
    <t>Onitsuka Tiger, Leather, Suede, Unisex, Retro, Running Shoes</t>
  </si>
  <si>
    <t>recvh0B9A7YLNY</t>
  </si>
  <si>
    <t>onitsuka-tiger-mexico-66-off-white-gray-blue-recvh0b9a7ylny</t>
  </si>
  <si>
    <t>{"choices":[{"finish_reason":"stop","index":0,"logprobs":null,"message":{"annotations":[],"content":"Onitsuka Tiger：Mexico 66米白灰蓝拼色休闲运动鞋，柔软皮革拼接麂皮鞋面，经典复古跑鞋设计，轻盈防滑橡胶底，男女皆宜，重现60年代日系简约美学，彰显都市复古时尚。","refusal":null,"role":"assistant"}}],"created":1776412516,"id":"chatcmpl-DVYKiarFNfhmY99jLkwixFNkZRwon","model":"gpt-5-chat-latest","object":"chat.completion","service_tier":"default","system_fingerprint":"fp_ad66631dec","usage":{"completion_tokens":71,"completion_tokens_details":{"accepted_prediction_tokens":0,"audio_tokens":0,"reasoning_tokens":0,"rejected_prediction_tokens":0},"prompt_tokens":1310,"prompt_tokens_details":{"audio_tokens":0,"cached_tokens":0},"total_tokens":1381}}</t>
  </si>
  <si>
    <t>Onitsuka Tiger：Mexico 66米白灰蓝拼色休闲运动鞋，柔软皮革拼接麂皮鞋面，经典复古跑鞋设计，轻盈防滑橡胶底，男女皆宜，重现60年代日系简约美学，彰显都市复古时尚。</t>
  </si>
  <si>
    <t>{"choices":[{"finish_reason":"stop","index":0,"logprobs":null,"message":{"annotations":[],"content":"Onitsuka Tiger Lago Yellow Retro Running Shoes","refusal":null,"role":"assistant"}}],"created":1776416037,"id":"chatcmpl-DVZFV6O6SY7nMJ974rQx5j4ibPWNp","model":"gpt-5-chat-latest","object":"chat.completion","service_tier":"default","system_fingerprint":"fp_ad66631dec","usage":{"completion_tokens":10,"completion_tokens_details":{"accepted_prediction_tokens":0,"audio_tokens":0,"reasoning_tokens":0,"rejected_prediction_tokens":0},"prompt_tokens":880,"prompt_tokens_details":{"audio_tokens":0,"cached_tokens":0},"total_tokens":890}}</t>
  </si>
  <si>
    <t>Onitsuka Tiger Lago Yellow Retro Running Shoes</t>
  </si>
  <si>
    <t>{"choices":[{"finish_reason":"stop","index":0,"logprobs":null,"message":{"annotations":[],"content":"Onitsuka Tiger Lago Fluorescent Yellow Sneakers—retro running style, breathable nylon and suede blend, classic tiger stripes, unisex casual shoes with 70s Japanese street vibe.","refusal":null,"role":"assistant"}}],"created":1776415166,"id":"chatcmpl-DVZ1S3mSe1noI9kY33wWZtMG9SPsm","model":"gpt-5-chat-latest","object":"chat.completion","service_tier":"default","system_fingerprint":"fp_ad66631dec","usage":{"completion_tokens":38,"completion_tokens_details":{"accepted_prediction_tokens":0,"audio_tokens":0,"reasoning_tokens":0,"rejected_prediction_tokens":0},"prompt_tokens":901,"prompt_tokens_details":{"audio_tokens":0,"cached_tokens":0},"total_tokens":939}}</t>
  </si>
  <si>
    <t>Onitsuka Tiger Lago Fluorescent Yellow Sneakers—retro running style, breathable nylon and suede blend, classic tiger stripes, unisex casual shoes with 70s Japanese street vibe.</t>
  </si>
  <si>
    <t>{"choices":[{"finish_reason":"stop","index":0,"logprobs":null,"message":{"annotations":[],"content":"Onitsuka Tiger, Shoes, kakobuy, kakebuy2026, kekobuysheet, kakobuysheet2026, 2026kakobuy, kakobuyspreadsheeet, kakobuylink, kakebuylist, Kakobuy MEGA Spreadsheet, kakobuysheetfind, kakobuysheetfind2026, 2026kakobuysheetfind, kakobuysheet2026","refusal":null,"role":"assistant"}}],"created":1776417033,"id":"chatcmpl-DVZVZCUOCpx1qQbJyc7wlMmAgKXlZ","model":"gpt-5-chat-latest","object":"chat.completion","service_tier":"default","system_fingerprint":"fp_ad66631dec","usage":{"completion_tokens":93,"completion_tokens_details":{"accepted_prediction_tokens":0,"audio_tokens":0,"reasoning_tokens":0,"rejected_prediction_tokens":0},"prompt_tokens":785,"prompt_tokens_details":{"audio_tokens":0,"cached_tokens":0},"total_tokens":878}}</t>
  </si>
  <si>
    <t>Onitsuka Tiger, Retro Running, Yellow, Nylon, Suede, Unisex</t>
  </si>
  <si>
    <t>recvh0B9A74Gh8</t>
  </si>
  <si>
    <t>onitsuka-tiger-lago-yellow-recvh0b9a74gh8</t>
  </si>
  <si>
    <t>{"choices":[{"finish_reason":"stop","index":0,"logprobs":null,"message":{"annotations":[],"content":"Onitsuka Tiger：Lago系列荧光黄休闲运动鞋，复古跑鞋造型，拼接麂皮与尼龙材质，轻盈透气，经典虎纹侧条设计，男女通用款，展现70年代日系街头活力风格。","refusal":null,"role":"assistant"}}],"created":1776412465,"id":"chatcmpl-DVYJtVlTyJL4zEqjDOBH111unxFAJ","model":"gpt-5-chat-latest","object":"chat.completion","service_tier":"default","system_fingerprint":"fp_ad66631dec","usage":{"completion_tokens":66,"completion_tokens_details":{"accepted_prediction_tokens":0,"audio_tokens":0,"reasoning_tokens":0,"rejected_prediction_tokens":0},"prompt_tokens":1302,"prompt_tokens_details":{"audio_tokens":0,"cached_tokens":0},"total_tokens":1368}}</t>
  </si>
  <si>
    <t>Onitsuka Tiger：Lago系列荧光黄休闲运动鞋，复古跑鞋造型，拼接麂皮与尼龙材质，轻盈透气，经典虎纹侧条设计，男女通用款，展现70年代日系街头活力风格。</t>
  </si>
  <si>
    <t>{"choices":[{"finish_reason":"stop","index":0,"logprobs":null,"message":{"annotations":[],"content":"Onitsuka Tiger Mexico 66 White Red Sneakers","refusal":null,"role":"assistant"}}],"created":1776416140,"id":"chatcmpl-DVZHAY9hXCGQvFofDmZpxtWGQbmpy","model":"gpt-5-chat-latest","object":"chat.completion","service_tier":"default","system_fingerprint":"fp_ad66631dec","usage":{"completion_tokens":11,"completion_tokens_details":{"accepted_prediction_tokens":0,"audio_tokens":0,"reasoning_tokens":0,"rejected_prediction_tokens":0},"prompt_tokens":606,"prompt_tokens_details":{"audio_tokens":0,"cached_tokens":0},"total_tokens":617}}</t>
  </si>
  <si>
    <t>Onitsuka Tiger Mexico 66 White Red Sneakers</t>
  </si>
  <si>
    <t>{"id":"chatcmpl-DVZ1mc2S2lt9QnqtLKVIlViTX5ncu","object":"chat.completion","created":1776415186,"model":"gpt-5-chat-latest","choices":[{"index":0,"message":{"role":"assistant","content":"Onitsuka Tiger Mexico 66 White Red Retro Sneakers, premium leather &amp; textile, lightweight breathable design, unisex style inspired by 1960s Japanese minimalism, perfect comfort meets street fashion.","refusal":null,"annotations":[]},"logprobs":null,"finish_reason":"stop"}],"usage":{"prompt_tokens":632,"completion_tokens":41,"total_tokens":673,"prompt_tokens_details":{"cached_tokens":0,"audio_tokens":0},"completion_tokens_details":{"reasoning_tokens":0,"audio_tokens":0,"accepted_prediction_tokens":0,"rejected_prediction_tokens":0}},"service_tier":"default","system_fingerprint":"fp_ad66631dec"}</t>
  </si>
  <si>
    <t>Onitsuka Tiger Mexico 66 White Red Retro Sneakers, premium leather &amp; textile, lightweight breathable design, unisex style inspired by 1960s Japanese minimalism, perfect comfort meets street fashion.</t>
  </si>
  <si>
    <t>{"choices":[{"finish_reason":"stop","index":0,"logprobs":null,"message":{"annotations":[],"content":"Onitsuka Tiger, Shoes, kakobuy, kakebuy2026, kekobuysheet, kakobuysheet2026, 2026kakobuy, kakobuyspreadsheeet, kakobuylink, kakebuylist, Kakobuy MEGA Spreadsheet, kakobuysheetfind, kakobuysheetfind2026, 2026kakobuysheetfind, kakobuysheet2026","refusal":null,"role":"assistant"}}],"created":1776416969,"id":"chatcmpl-DVZUXQX6iHmNWIRmzPflrt6LkVVA1","model":"gpt-5-chat-latest","object":"chat.completion","service_tier":"default","system_fingerprint":"fp_ad66631dec","usage":{"completion_tokens":93,"completion_tokens_details":{"accepted_prediction_tokens":0,"audio_tokens":0,"reasoning_tokens":0,"rejected_prediction_tokens":0},"prompt_tokens":505,"prompt_tokens_details":{"audio_tokens":0,"cached_tokens":0},"total_tokens":598}}</t>
  </si>
  <si>
    <t>Onitsuka Tiger, Retro, Leather, Unisex, Sneakers</t>
  </si>
  <si>
    <t>recvh0B9A7kwt0</t>
  </si>
  <si>
    <t>onitsuka-tiger-mexico-66-white-red-recvh0b9a7kwt0</t>
  </si>
  <si>
    <t>{"id":"chatcmpl-DVYIWZMyXxTe641SizRb9XDtsxJXa","object":"chat.completion","created":1776412380,"model":"gpt-5-chat-latest","choices":[{"index":0,"message":{"role":"assistant","content":"Onitsuka Tiger：经典Mexico 66白红配色复古休闲鞋，优质牛皮拼接织物材质，轻盈透气，流线型低帮设计彰显日系简约风格，男女皆宜，融合1960年代复古运动灵感，兼具舒适与街头时尚元素。","refusal":null,"annotations":[]},"logprobs":null,"finish_reason":"stop"}],"usage":{"prompt_tokens":1024,"completion_tokens":76,"total_tokens":1100,"prompt_tokens_details":{"cached_tokens":0,"audio_tokens":0},"completion_tokens_details":{"reasoning_tokens":0,"audio_tokens":0,"accepted_prediction_tokens":0,"rejected_prediction_tokens":0}},"service_tier":"default","system_fingerprint":"fp_ad66631dec"}</t>
  </si>
  <si>
    <t>Onitsuka Tiger：经典Mexico 66白红配色复古休闲鞋，优质牛皮拼接织物材质，轻盈透气，流线型低帮设计彰显日系简约风格，男女皆宜，融合1960年代复古运动灵感，兼具舒适与街头时尚元素。</t>
  </si>
  <si>
    <t>{"choices":[{"finish_reason":"stop","index":0,"logprobs":null,"message":{"annotations":[],"content":"Onitsuka Tiger Retro White Leather Sneakers Unisex Shoes","refusal":null,"role":"assistant"}}],"created":1776416123,"id":"chatcmpl-DVZGtBlG7UFmhzqKAZrafDT68phxA","model":"gpt-5-chat-latest","object":"chat.completion","service_tier":"default","system_fingerprint":"fp_ad66631dec","usage":{"completion_tokens":12,"completion_tokens_details":{"accepted_prediction_tokens":0,"audio_tokens":0,"reasoning_tokens":0,"rejected_prediction_tokens":0},"prompt_tokens":872,"prompt_tokens_details":{"audio_tokens":0,"cached_tokens":0},"total_tokens":884}}</t>
  </si>
  <si>
    <t>Onitsuka Tiger Retro White Leather Sneakers Unisex Shoes</t>
  </si>
  <si>
    <t>{"id":"chatcmpl-DVYzNJoEhyatZe3b3WZaQIZKtTE17","object":"chat.completion","created":1776415037,"model":"gpt-5-chat-latest","choices":[{"index":0,"message":{"role":"assistant","content":"Onitsuka Tiger Retro White Sneakers – Premium leather patchwork with red and green stripes, lightweight and unisex, blending vintage Japanese street style with modern sporty flair.","refusal":null,"annotations":[]},"logprobs":null,"finish_reason":"stop"}],"usage":{"prompt_tokens":901,"completion_tokens":34,"total_tokens":935,"prompt_tokens_details":{"cached_tokens":0,"audio_tokens":0},"completion_tokens_details":{"reasoning_tokens":0,"audio_tokens":0,"accepted_prediction_tokens":0,"rejected_prediction_tokens":0}},"service_tier":"default","system_fingerprint":"fp_ad66631dec"}</t>
  </si>
  <si>
    <t>Onitsuka Tiger Retro White Sneakers – Premium leather patchwork with red and green stripes, lightweight and unisex, blending vintage Japanese street style with modern sporty flair.</t>
  </si>
  <si>
    <t>{"choices":[{"finish_reason":"stop","index":0,"logprobs":null,"message":{"annotations":[],"content":"Onitsuka Tiger, Shoes, kakobuy, kakebuy2026, kekobuysheet, kakobuysheet2026, 2026kakobuy, kakobuyspreadsheeet, kakobuylink, kakebuylist, Kakobuy MEGA Spreadsheet, kakobuysheetfind, kakobuysheetfind2026, 2026kakobuysheetfind, kakobuysheet2026","refusal":null,"role":"assistant"}}],"created":1776417344,"id":"chatcmpl-DVZaazOe26tTwUGeAvg4CAxv11bqe","model":"gpt-5-chat-latest","object":"chat.completion","service_tier":"default","system_fingerprint":"fp_ad66631dec","usage":{"completion_tokens":93,"completion_tokens_details":{"accepted_prediction_tokens":0,"audio_tokens":0,"reasoning_tokens":0,"rejected_prediction_tokens":0},"prompt_tokens":785,"prompt_tokens_details":{"audio_tokens":0,"cached_tokens":0},"total_tokens":878}}</t>
  </si>
  <si>
    <t>Onitsuka Tiger, Sneakers, White, Retro, Unisex, Leather</t>
  </si>
  <si>
    <t>recvh0B9A7Uj4g</t>
  </si>
  <si>
    <t>onitsuka-tiger-retro-white-leather-recvh0b9a7uj4g</t>
  </si>
  <si>
    <t>{"choices":[{"finish_reason":"stop","index":0,"logprobs":null,"message":{"annotations":[],"content":"Onitsuka Tiger：白色复古联名休闲运动鞋，采用优质皮革拼接设计，红绿撞色条纹彰显经典日系街头风格，轻盈舒适，男女皆宜，展现摩登复古格调与潮流运动精神。","refusal":null,"role":"assistant"}}],"created":1776412413,"id":"chatcmpl-DVYJ3ySH2rlnbyo26ZYFB4e1vCNSI","model":"gpt-5-chat-latest","object":"chat.completion","service_tier":"default","system_fingerprint":"fp_ad66631dec","usage":{"completion_tokens":65,"completion_tokens_details":{"accepted_prediction_tokens":0,"audio_tokens":0,"reasoning_tokens":0,"rejected_prediction_tokens":0},"prompt_tokens":1304,"prompt_tokens_details":{"audio_tokens":0,"cached_tokens":0},"total_tokens":1369}}</t>
  </si>
  <si>
    <t>Onitsuka Tiger：白色复古联名休闲运动鞋，采用优质皮革拼接设计，红绿撞色条纹彰显经典日系街头风格，轻盈舒适，男女皆宜，展现摩登复古格调与潮流运动精神。</t>
  </si>
  <si>
    <t>Rick Owens</t>
  </si>
  <si>
    <t>720</t>
  </si>
  <si>
    <t>{"id":"chatcmpl-DVZDa9pudqbhQOnfp4GLF2RshwolH","object":"chat.completion","created":1776415918,"model":"gpt-5-chat-latest","choices":[{"index":0,"message":{"role":"assistant","content":"Rick Owens DRKSHDW Black White High Top Sneakers","refusal":null,"annotations":[]},"logprobs":null,"finish_reason":"stop"}],"usage":{"prompt_tokens":876,"completion_tokens":12,"total_tokens":888,"prompt_tokens_details":{"cached_tokens":0,"audio_tokens":0},"completion_tokens_details":{"reasoning_tokens":0,"audio_tokens":0,"accepted_prediction_tokens":0,"rejected_prediction_tokens":0}},"service_tier":"default","system_fingerprint":"fp_ad66631dec"}</t>
  </si>
  <si>
    <t>Rick Owens DRKSHDW Black White High Top Sneakers</t>
  </si>
  <si>
    <t>{"choices":[{"finish_reason":"stop","index":0,"logprobs":null,"message":{"annotations":[],"content":"Rick Owens DRKSHDW black and white high-top sneakers with premium canvas, side zipper, and transparent chunky sole. Unisex design blending street avant-garde and deconstruction style.","refusal":null,"role":"assistant"}}],"created":1776415094,"id":"chatcmpl-DVZ0I7loAHdv1waJu8MJYXIg0DgMB","model":"gpt-5-chat-latest","object":"chat.completion","service_tier":"default","system_fingerprint":"fp_ad66631dec","usage":{"completion_tokens":37,"completion_tokens_details":{"accepted_prediction_tokens":0,"audio_tokens":0,"reasoning_tokens":0,"rejected_prediction_tokens":0},"prompt_tokens":925,"prompt_tokens_details":{"audio_tokens":0,"cached_tokens":0},"total_tokens":962}}</t>
  </si>
  <si>
    <t>Rick Owens DRKSHDW black and white high-top sneakers with premium canvas, side zipper, and transparent chunky sole. Unisex design blending street avant-garde and deconstruction style.</t>
  </si>
  <si>
    <t>{"id":"chatcmpl-DVZVh187yIZ0efVR2Ld3POkLQiauZ","object":"chat.completion","created":1776417041,"model":"gpt-5-chat-latest","choices":[{"index":0,"message":{"role":"assistant","content":"Rick Owens, Shoes, kakobuy, kakebuy2026, kekobuysheet, kakobuysheet2026, 2026kakobuy, kakobuyspreadsheeet, kakobuylink, kakebuylist, Kakobuy MEGA Spreadsheet, kakobuysheetfind, kakobuysheetfind2026, 2026kakobuysheetfind, kakobuysheet2026","refusal":null,"annotations":[]},"logprobs":null,"finish_reason":"stop"}],"usage":{"prompt_tokens":783,"completion_tokens":91,"total_tokens":874,"prompt_tokens_details":{"cached_tokens":0,"audio_tokens":0},"completion_tokens_details":{"reasoning_tokens":0,"audio_tokens":0,"accepted_prediction_tokens":0,"rejected_prediction_tokens":0}},"service_tier":"default","system_fingerprint":"fp_ad66631dec"}</t>
  </si>
  <si>
    <t>Rick Owens, Shoes, kakobuy, kakebuy2026, kekobuysheet, kakobuysheet2026, 2026kakobuy, kakobuyspreadsheeet, kakobuylink, kakebuylist, Kakobuy MEGA Spreadsheet, kakobuysheetfind, kakobuysheetfind2026, 2026kakobuysheetfind, kakobuysheet2026</t>
  </si>
  <si>
    <t>Rick Owens DRKSHDW, Sneakers, Canvas, Black, White, Unisex</t>
  </si>
  <si>
    <t>recvh0B9A7PvcF</t>
  </si>
  <si>
    <t>rick-owens-drkshdw-black-white-high-recvh0b9a7pvcF</t>
  </si>
  <si>
    <t>{"id":"chatcmpl-DVYHPT9sP0nkLEv3wfk0P7kUI6Irh","object":"chat.completion","created":1776412311,"model":"gpt-5-chat-latest","choices":[{"index":0,"message":{"role":"assistant","content":"Rick Owens：DRKSHDW 黑白拼色高帮厚底运动靴，采用优质帆布与橡胶材质，侧拉链设计便捷穿脱，透明厚底凸显未来感。男女同款，融合先锋街头与解构主义风格，彰显Rick Owens标志性地下美学，适合日常穿搭与时尚造型。","refusal":null,"annotations":[]},"logprobs":null,"finish_reason":"stop"}],"usage":{"prompt_tokens":1306,"completion_tokens":88,"total_tokens":1394,"prompt_tokens_details":{"cached_tokens":0,"audio_tokens":0},"completion_tokens_details":{"reasoning_tokens":0,"audio_tokens":0,"accepted_prediction_tokens":0,"rejected_prediction_tokens":0}},"service_tier":"default","system_fingerprint":"fp_ad66631dec"}</t>
  </si>
  <si>
    <t>Rick Owens：DRKSHDW 黑白拼色高帮厚底运动靴，采用优质帆布与橡胶材质，侧拉链设计便捷穿脱，透明厚底凸显未来感。男女同款，融合先锋街头与解构主义风格，彰显Rick Owens标志性地下美学，适合日常穿搭与时尚造型。</t>
  </si>
  <si>
    <t>{"id":"chatcmpl-DVZJI7IoAsGtJ8t2DY9nj91OHSFV3","object":"chat.completion","created":1776416272,"model":"gpt-5-chat-latest","choices":[{"index":0,"message":{"role":"assistant","content":"Rick Owens DRKSHDW Orange Platform Canvas Sneakers  ","refusal":null,"annotations":[]},"logprobs":null,"finish_reason":"stop"}],"usage":{"prompt_tokens":872,"completion_tokens":12,"total_tokens":884,"prompt_tokens_details":{"cached_tokens":0,"audio_tokens":0},"completion_tokens_details":{"reasoning_tokens":0,"audio_tokens":0,"accepted_prediction_tokens":0,"rejected_prediction_tokens":0}},"service_tier":"default","system_fingerprint":"fp_ad66631dec"}</t>
  </si>
  <si>
    <t xml:space="preserve">Rick Owens DRKSHDW Orange Platform Canvas Sneakers  </t>
  </si>
  <si>
    <t>{"id":"chatcmpl-DVYxR31gsDZX7xKhSVavXxv3wDWZr","object":"chat.completion","created":1776414917,"model":"gpt-5-chat-latest","choices":[{"index":0,"message":{"role":"assistant","content":"Rick Owens DRKSHDW orange platform sneakers with cotton canvas upper, wide laces, sculptural rubber sole, unisex design, showcasing avant-garde street fashion style.","refusal":null,"annotations":[]},"logprobs":null,"finish_reason":"stop"}],"usage":{"prompt_tokens":897,"completion_tokens":35,"total_tokens":932,"prompt_tokens_details":{"cached_tokens":0,"audio_tokens":0},"completion_tokens_details":{"reasoning_tokens":0,"audio_tokens":0,"accepted_prediction_tokens":0,"rejected_prediction_tokens":0}},"service_tier":"default","system_fingerprint":"fp_ad66631dec"}</t>
  </si>
  <si>
    <t>Rick Owens DRKSHDW orange platform sneakers with cotton canvas upper, wide laces, sculptural rubber sole, unisex design, showcasing avant-garde street fashion style.</t>
  </si>
  <si>
    <t>{"id":"chatcmpl-DVZW2m4jLpeQyqIegUQirDdBXvwZP","object":"chat.completion","created":1776417062,"model":"gpt-5-chat-latest","choices":[{"index":0,"message":{"role":"assistant","content":"Rick Owens, Shoes, kakobuy, kakebuy2026, kekobuysheet, kakobuysheet2026, 2026kakobuy, kakobuyspreadsheeet, kakobuylink, kakebuylist, Kakobuy MEGA Spreadsheet, kakobuysheetfind, kakobuysheetfind2026, 2026kakobuysheetfind, kakobuysheet2026","refusal":null,"annotations":[]},"logprobs":null,"finish_reason":"stop"}],"usage":{"prompt_tokens":783,"completion_tokens":91,"total_tokens":874,"prompt_tokens_details":{"cached_tokens":0,"audio_tokens":0},"completion_tokens_details":{"reasoning_tokens":0,"audio_tokens":0,"accepted_prediction_tokens":0,"rejected_prediction_tokens":0}},"service_tier":"default","system_fingerprint":"fp_ad66631dec"}</t>
  </si>
  <si>
    <t>Rick Owens DRKSHDW, Platform Shoes, Orange, Streetwear, Unisex, Canvas</t>
  </si>
  <si>
    <t>recvh0B9A7wvOG</t>
  </si>
  <si>
    <t>rick-owens-drkshdw-orange-platform-canvas-recvh0b9a7wvog</t>
  </si>
  <si>
    <t>{"choices":[{"finish_reason":"stop","index":0,"logprobs":null,"message":{"annotations":[],"content":"Rick Owens：DRKSHDW 橙色厚底休闲帆布鞋，棉质鞋面搭配宽版鞋带与雕塑感橡胶鞋底，前卫解构设计，男女皆宜，彰显先锋街头美学。","refusal":null,"role":"assistant"}}],"created":1776412172,"id":"chatcmpl-DVYFAs7IMPUgVVpJ3T3pxWNfJdicT","model":"gpt-5-chat-latest","object":"chat.completion","service_tier":"default","system_fingerprint":"fp_ad66631dec","usage":{"completion_tokens":60,"completion_tokens_details":{"accepted_prediction_tokens":0,"audio_tokens":0,"reasoning_tokens":0,"rejected_prediction_tokens":0},"prompt_tokens":1306,"prompt_tokens_details":{"audio_tokens":0,"cached_tokens":0},"total_tokens":1366}}</t>
  </si>
  <si>
    <t>Rick Owens：DRKSHDW 橙色厚底休闲帆布鞋，棉质鞋面搭配宽版鞋带与雕塑感橡胶鞋底，前卫解构设计，男女皆宜，彰显先锋街头美学。</t>
  </si>
  <si>
    <t>780</t>
  </si>
  <si>
    <t>{"id":"chatcmpl-DVZDtSPJLe2aCCFY2CSWkHHZUUwBu","object":"chat.completion","created":1776415937,"model":"gpt-5-chat-latest","choices":[{"index":0,"message":{"role":"assistant","content":"Rick Owens Black White Leather Platform Sneakers","refusal":null,"annotations":[]},"logprobs":null,"finish_reason":"stop"}],"usage":{"prompt_tokens":874,"completion_tokens":8,"total_tokens":882,"prompt_tokens_details":{"cached_tokens":0,"audio_tokens":0},"completion_tokens_details":{"reasoning_tokens":0,"audio_tokens":0,"accepted_prediction_tokens":0,"rejected_prediction_tokens":0}},"service_tier":"default","system_fingerprint":"fp_ad66631dec"}</t>
  </si>
  <si>
    <t>Rick Owens Black White Leather Platform Sneakers</t>
  </si>
  <si>
    <t>{"choices":[{"finish_reason":"stop","index":0,"logprobs":null,"message":{"annotations":[],"content":"Rick Owens black and white high-top platform sneakers crafted from premium leather, featuring soft wrap fit, side zipper, and sculpted tongue for a unisex futuristic streetwear look.","refusal":null,"role":"assistant"}}],"created":1776414970,"id":"chatcmpl-DVYyIdSi8o8OJUszJNuYzaveCugPH","model":"gpt-5-chat-latest","object":"chat.completion","service_tier":"default","system_fingerprint":"fp_ad66631dec","usage":{"completion_tokens":36,"completion_tokens_details":{"accepted_prediction_tokens":0,"audio_tokens":0,"reasoning_tokens":0,"rejected_prediction_tokens":0},"prompt_tokens":896,"prompt_tokens_details":{"audio_tokens":0,"cached_tokens":0},"total_tokens":932}}</t>
  </si>
  <si>
    <t>Rick Owens black and white high-top platform sneakers crafted from premium leather, featuring soft wrap fit, side zipper, and sculpted tongue for a unisex futuristic streetwear look.</t>
  </si>
  <si>
    <t>{"choices":[{"finish_reason":"stop","index":0,"logprobs":null,"message":{"annotations":[],"content":"Rick Owens, Shoes, kakobuy, kakebuy2026, kekobuysheet, kakobuysheet2026, 2026kakobuy, kakobuyspreadsheeet, kakobuylink, kakebuylist, Kakobuy MEGA Spreadsheet, kakobuysheetfind, kakobuysheetfind2026, 2026kakobuysheetfind, kakobuysheet2026","refusal":null,"role":"assistant"}}],"created":1776417213,"id":"chatcmpl-DVZYTFpLx3JiQ7C0ihefam75OzFOd","model":"gpt-5-chat-latest","object":"chat.completion","service_tier":"default","system_fingerprint":"fp_ad66631dec","usage":{"completion_tokens":91,"completion_tokens_details":{"accepted_prediction_tokens":0,"audio_tokens":0,"reasoning_tokens":0,"rejected_prediction_tokens":0},"prompt_tokens":783,"prompt_tokens_details":{"audio_tokens":0,"cached_tokens":0},"total_tokens":874}}</t>
  </si>
  <si>
    <t>Rick Owens, Leather Sneakers, Platform Shoes, Black, White, Unisex, Streetwear</t>
  </si>
  <si>
    <t>recvh0B9A7b0Tf</t>
  </si>
  <si>
    <t>rick-owens-black-white-leather-platform-recvh0b9a7b0tf</t>
  </si>
  <si>
    <t>{"choices":[{"finish_reason":"stop","index":0,"logprobs":null,"message":{"annotations":[],"content":"Rick Owens 黑白拼色高帮厚底运动鞋，甄选优质皮革材质，柔软包脚，侧拉链与立体鞋舌设计彰显先锋美学，男女皆宜，呈现未来感街头风格。","refusal":null,"role":"assistant"}}],"created":1776412124,"id":"chatcmpl-DVYEOIMf8THgNcxm2AKFi7lTEdJoU","model":"gpt-5-chat-latest","object":"chat.completion","service_tier":"default","system_fingerprint":"fp_ad66631dec","usage":{"completion_tokens":58,"completion_tokens_details":{"accepted_prediction_tokens":0,"audio_tokens":0,"reasoning_tokens":0,"rejected_prediction_tokens":0},"prompt_tokens":1308,"prompt_tokens_details":{"audio_tokens":0,"cached_tokens":1280},"total_tokens":1366}}</t>
  </si>
  <si>
    <t>Rick Owens 黑白拼色高帮厚底运动鞋，甄选优质皮革材质，柔软包脚，侧拉链与立体鞋舌设计彰显先锋美学，男女皆宜，呈现未来感街头风格。</t>
  </si>
  <si>
    <t>582</t>
  </si>
  <si>
    <t>{"choices":[{"finish_reason":"stop","index":0,"logprobs":null,"message":{"annotations":[],"content":"Rick Owens DRKSHDW Black White High Top Sneakers","refusal":null,"role":"assistant"}}],"created":1776416351,"id":"chatcmpl-DVZKZZWmrnb3L1uiOp140visfJr1t","model":"gpt-5-chat-latest","object":"chat.completion","service_tier":"default","system_fingerprint":"fp_ad66631dec","usage":{"completion_tokens":12,"completion_tokens_details":{"accepted_prediction_tokens":0,"audio_tokens":0,"reasoning_tokens":0,"rejected_prediction_tokens":0},"prompt_tokens":880,"prompt_tokens_details":{"audio_tokens":0,"cached_tokens":0},"total_tokens":892}}</t>
  </si>
  <si>
    <t>{"choices":[{"finish_reason":"stop","index":0,"logprobs":null,"message":{"annotations":[],"content":"Rick Owens DRKSHDW black and white high-top sneakers with canvas upper, thick rubber sole and toe cap, side zipper design, unisex avant-garde street style showcasing dark aesthetic allure.","refusal":null,"role":"assistant"}}],"created":1776415011,"id":"chatcmpl-DVYyx1a7Ng1jXFXx2KZ64eFt519bN","model":"gpt-5-chat-latest","object":"chat.completion","service_tier":"default","system_fingerprint":"fp_ad66631dec","usage":{"completion_tokens":39,"completion_tokens_details":{"accepted_prediction_tokens":0,"audio_tokens":0,"reasoning_tokens":0,"rejected_prediction_tokens":0},"prompt_tokens":906,"prompt_tokens_details":{"audio_tokens":0,"cached_tokens":0},"total_tokens":945}}</t>
  </si>
  <si>
    <t>Rick Owens DRKSHDW black and white high-top sneakers with canvas upper, thick rubber sole and toe cap, side zipper design, unisex avant-garde street style showcasing dark aesthetic allure.</t>
  </si>
  <si>
    <t>{"choices":[{"finish_reason":"stop","index":0,"logprobs":null,"message":{"annotations":[],"content":"Rick Owens,Shoes,kakobuy,kakebuy2026,kekobuysheet,kakobuysheet2026,2026kakobuy,kakobuyspreadsheeet,kakobuylink,kakebuylist,Kakobuy MEGA Spreadsheet,kakobuysheetfind,kakobuysheetfind2026,2026kakobuysheetfind,kakobuysheet2026","refusal":null,"role":"assistant"}}],"created":1776416821,"id":"chatcmpl-DVZS9aufZyo99VQVfFI9IA9HQJFcS","model":"gpt-5-chat-latest","object":"chat.completion","service_tier":"default","system_fingerprint":"fp_ad66631dec","usage":{"completion_tokens":87,"completion_tokens_details":{"accepted_prediction_tokens":0,"audio_tokens":0,"reasoning_tokens":0,"rejected_prediction_tokens":0},"prompt_tokens":783,"prompt_tokens_details":{"audio_tokens":0,"cached_tokens":0},"total_tokens":870}}</t>
  </si>
  <si>
    <t>Rick Owens,Shoes,kakobuy,kakebuy2026,kekobuysheet,kakobuysheet2026,2026kakobuy,kakobuyspreadsheeet,kakobuylink,kakebuylist,Kakobuy MEGA Spreadsheet,kakobuysheetfind,kakobuysheetfind2026,2026kakobuysheetfind,kakobuysheet2026</t>
  </si>
  <si>
    <t>Rick Owens DRKSHDW, Sneakers, Canvas, Rubber Sole, Unisex, Street</t>
  </si>
  <si>
    <t>recvh0B9A73sxI</t>
  </si>
  <si>
    <t>rick-owens-drkshdw-black-white-high-recvh0b9a73sxi</t>
  </si>
  <si>
    <t>{"choices":[{"finish_reason":"stop","index":0,"logprobs":null,"message":{"annotations":[],"content":"Rick Owens：DRKSHDW黑白厚底高帮球鞋，帆布鞋面搭配橡胶包头与厚底设计，侧拉链便捷穿脱，展现解构前卫美学，男女皆可，街头先锋风格彰显品牌标志性暗黑魅力。","refusal":null,"role":"assistant"}}],"created":1776412014,"id":"chatcmpl-DVYCcsX60jmoFgJsGN7jGYpmyGAJG","model":"gpt-5-chat-latest","object":"chat.completion","service_tier":"default","system_fingerprint":"fp_ad66631dec","usage":{"completion_tokens":71,"completion_tokens_details":{"accepted_prediction_tokens":0,"audio_tokens":0,"reasoning_tokens":0,"rejected_prediction_tokens":0},"prompt_tokens":1302,"prompt_tokens_details":{"audio_tokens":0,"cached_tokens":0},"total_tokens":1373}}</t>
  </si>
  <si>
    <t>Rick Owens：DRKSHDW黑白厚底高帮球鞋，帆布鞋面搭配橡胶包头与厚底设计，侧拉链便捷穿脱，展现解构前卫美学，男女皆可，街头先锋风格彰显品牌标志性暗黑魅力。</t>
  </si>
  <si>
    <t>620</t>
  </si>
  <si>
    <t>{"choices":[{"finish_reason":"stop","index":0,"logprobs":null,"message":{"annotations":[],"content":"Rick Owens Black Leather High-Top Platform Boots","refusal":null,"role":"assistant"}}],"created":1776416402,"id":"chatcmpl-DVZLOVJ2jin918Y7KWg0uULDQP8UB","model":"gpt-5-chat-latest","object":"chat.completion","service_tier":"default","system_fingerprint":"fp_ad66631dec","usage":{"completion_tokens":10,"completion_tokens_details":{"accepted_prediction_tokens":0,"audio_tokens":0,"reasoning_tokens":0,"rejected_prediction_tokens":0},"prompt_tokens":874,"prompt_tokens_details":{"audio_tokens":0,"cached_tokens":0},"total_tokens":884}}</t>
  </si>
  <si>
    <t>Rick Owens Black Leather High-Top Platform Boots</t>
  </si>
  <si>
    <t>{"choices":[{"finish_reason":"stop","index":0,"logprobs":null,"message":{"annotations":[],"content":"Rick Owens Black High-Top Platform Leather Boots crafted from supple cowhide, featuring minimalist lines and an industrial sole, offering avant-garde style for men and women in any setting.","refusal":null,"role":"assistant"}}],"created":1776414931,"id":"chatcmpl-DVYxfsVb2ma2ITwhgFCOGi6l6mqXT","model":"gpt-5-chat-latest","object":"chat.completion","service_tier":"default","system_fingerprint":"fp_ad66631dec","usage":{"completion_tokens":36,"completion_tokens_details":{"accepted_prediction_tokens":0,"audio_tokens":0,"reasoning_tokens":0,"rejected_prediction_tokens":0},"prompt_tokens":921,"prompt_tokens_details":{"audio_tokens":0,"cached_tokens":0},"total_tokens":957}}</t>
  </si>
  <si>
    <t>Rick Owens Black High-Top Platform Leather Boots crafted from supple cowhide, featuring minimalist lines and an industrial sole, offering avant-garde style for men and women in any setting.</t>
  </si>
  <si>
    <t>{"choices":[{"finish_reason":"stop","index":0,"logprobs":null,"message":{"annotations":[],"content":"Rick Owens, Shoes, kakobuy, kakebuy2026, kekobuysheet, kakobuysheet2026, 2026kakobuy, kakobuyspreadsheeet, kakobuylink, kakebuylist, Kakobuy MEGA Spreadsheet, kakobuysheetfind, kakobuysheetfind2026, 2026kakobuysheetfind, kakobuysheet2026","refusal":null,"role":"assistant"}}],"created":1776416864,"id":"chatcmpl-DVZSqngZQ6eacBRKHpFXCXF36k41b","model":"gpt-5-chat-latest","object":"chat.completion","service_tier":"default","system_fingerprint":"fp_ad66631dec","usage":{"completion_tokens":91,"completion_tokens_details":{"accepted_prediction_tokens":0,"audio_tokens":0,"reasoning_tokens":0,"rejected_prediction_tokens":0},"prompt_tokens":783,"prompt_tokens_details":{"audio_tokens":0,"cached_tokens":0},"total_tokens":874}}</t>
  </si>
  <si>
    <t>Rick Owens, Platform Boots, Black, Leather, Minimalist, Unisex</t>
  </si>
  <si>
    <t>recvh0B9A7QeuB</t>
  </si>
  <si>
    <t>rick-owens-black-leather-high-top-platform-boots-recvh0b9a7qeuB</t>
  </si>
  <si>
    <t>{"choices":[{"finish_reason":"stop","index":0,"logprobs":null,"message":{"annotations":[],"content":"Rick Owens：黑色高帮厚底皮革靴，选用柔韧头层牛皮材质，极简线条搭配工业风鞋底设计，展现前卫解构美学。中性复古造型兼具机能与时尚感，凸显Rick Owens前卫暗黑潮流气质，适合男女多场景穿搭。","refusal":null,"role":"assistant"}}],"created":1776412581,"id":"chatcmpl-DVYLllaUhsODvGDMGcajPyyEzyfFP","model":"gpt-5-chat-latest","object":"chat.completion","service_tier":"default","system_fingerprint":"fp_ad66631dec","usage":{"completion_tokens":85,"completion_tokens_details":{"accepted_prediction_tokens":0,"audio_tokens":0,"reasoning_tokens":0,"rejected_prediction_tokens":0},"prompt_tokens":1304,"prompt_tokens_details":{"audio_tokens":0,"cached_tokens":1280},"total_tokens":1389}}</t>
  </si>
  <si>
    <t>Rick Owens：黑色高帮厚底皮革靴，选用柔韧头层牛皮材质，极简线条搭配工业风鞋底设计，展现前卫解构美学。中性复古造型兼具机能与时尚感，凸显Rick Owens前卫暗黑潮流气质，适合男女多场景穿搭。</t>
  </si>
  <si>
    <t>680</t>
  </si>
  <si>
    <t>{"id":"chatcmpl-DVZKow8Tj9DjsFMhhoRfwe8QtX1kv","object":"chat.completion","created":1776416366,"model":"gpt-5-chat-latest","choices":[{"index":0,"message":{"role":"assistant","content":"Rick Owens Green Leather High Top Sneakers Shoes","refusal":null,"annotations":[]},"logprobs":null,"finish_reason":"stop"}],"usage":{"prompt_tokens":876,"completion_tokens":9,"total_tokens":885,"prompt_tokens_details":{"cached_tokens":0,"audio_tokens":0},"completion_tokens_details":{"reasoning_tokens":0,"audio_tokens":0,"accepted_prediction_tokens":0,"rejected_prediction_tokens":0}},"service_tier":"default","system_fingerprint":"fp_ad66631dec"}</t>
  </si>
  <si>
    <t>Rick Owens Green Leather High Top Sneakers Shoes</t>
  </si>
  <si>
    <t>{"choices":[{"finish_reason":"stop","index":0,"logprobs":null,"message":{"annotations":[],"content":"Rick Owens avant-garde fluorescent green high-top sneakers crafted from premium cowhide leather, featuring thick soles, metal side zippers, and minimalist deconstructed design for unisex urban style.","refusal":null,"role":"assistant"}}],"created":1776414829,"id":"chatcmpl-DVYw1OBz99v83S7hcnSUxj3waZDyG","model":"gpt-5-chat-latest","object":"chat.completion","service_tier":"default","system_fingerprint":"fp_ad66631dec","usage":{"completion_tokens":37,"completion_tokens_details":{"accepted_prediction_tokens":0,"audio_tokens":0,"reasoning_tokens":0,"rejected_prediction_tokens":0},"prompt_tokens":901,"prompt_tokens_details":{"audio_tokens":0,"cached_tokens":0},"total_tokens":938}}</t>
  </si>
  <si>
    <t>Rick Owens avant-garde fluorescent green high-top sneakers crafted from premium cowhide leather, featuring thick soles, metal side zippers, and minimalist deconstructed design for unisex urban style.</t>
  </si>
  <si>
    <t>{"choices":[{"finish_reason":"stop","index":0,"logprobs":null,"message":{"annotations":[],"content":"Rick Owens, Shoes, kakobuy, kakebuy2026, kekobuysheet, kakobuysheet2026, 2026kakobuy, kakobuyspreadsheeet, kakobuylink, kakebuylist, Kakobuy MEGA Spreadsheet, kakobuysheetfind, kakobuysheetfind2026, 2026kakobuysheetfind, kakobuysheet2026","refusal":null,"role":"assistant"}}],"created":1776416794,"id":"chatcmpl-DVZRiDnqMxTdNmtEu7q1wtZxKCoV1","model":"gpt-5-chat-latest","object":"chat.completion","service_tier":"default","system_fingerprint":"fp_ad66631dec","usage":{"completion_tokens":91,"completion_tokens_details":{"accepted_prediction_tokens":0,"audio_tokens":0,"reasoning_tokens":0,"rejected_prediction_tokens":0},"prompt_tokens":783,"prompt_tokens_details":{"audio_tokens":0,"cached_tokens":0},"total_tokens":874}}</t>
  </si>
  <si>
    <t>Rick Owens, Cowhide, Green, Deconstructed, Unisex, Sneakers</t>
  </si>
  <si>
    <t>recvh0B9A7Lp6O</t>
  </si>
  <si>
    <t>rick-owens-green-leather-high-top-recvh0b9a7lp6o</t>
  </si>
  <si>
    <t>{"choices":[{"finish_reason":"stop","index":0,"logprobs":null,"message":{"annotations":[],"content":"Rick Owens：前卫系列荧光绿高帮休闲鞋，甄选头层牛皮材质，搭配厚底设计与金属侧拉链，极简解构风格彰显个性潮流，男女皆宜，展现Rick Owens前卫美学魅力。","refusal":null,"role":"assistant"}}],"created":1776412237,"id":"chatcmpl-DVYGD4fvuljA44yToth6jVMwppnKd","model":"gpt-5-chat-latest","object":"chat.completion","service_tier":"default","system_fingerprint":"fp_ad66631dec","usage":{"completion_tokens":67,"completion_tokens_details":{"accepted_prediction_tokens":0,"audio_tokens":0,"reasoning_tokens":0,"rejected_prediction_tokens":0},"prompt_tokens":1300,"prompt_tokens_details":{"audio_tokens":0,"cached_tokens":1280},"total_tokens":1367}}</t>
  </si>
  <si>
    <t>Rick Owens：前卫系列荧光绿高帮休闲鞋，甄选头层牛皮材质，搭配厚底设计与金属侧拉链，极简解构风格彰显个性潮流，男女皆宜，展现Rick Owens前卫美学魅力。</t>
  </si>
  <si>
    <t>500</t>
  </si>
  <si>
    <t>{"choices":[{"finish_reason":"stop","index":0,"logprobs":null,"message":{"annotations":[],"content":"Rick Owens Black Star High Top Canvas Sneakers","refusal":null,"role":"assistant"}}],"created":1776416084,"id":"chatcmpl-DVZGGLLSx1SDPlgZhbACEGrD27J06","model":"gpt-5-chat-latest","object":"chat.completion","service_tier":"default","system_fingerprint":"fp_ad66631dec","usage":{"completion_tokens":9,"completion_tokens_details":{"accepted_prediction_tokens":0,"audio_tokens":0,"reasoning_tokens":0,"rejected_prediction_tokens":0},"prompt_tokens":870,"prompt_tokens_details":{"audio_tokens":0,"cached_tokens":0},"total_tokens":879}}</t>
  </si>
  <si>
    <t>Rick Owens Black Star High Top Canvas Sneakers</t>
  </si>
  <si>
    <t>{"choices":[{"finish_reason":"stop","index":0,"logprobs":null,"message":{"annotations":[],"content":"Rick Owens black high-top canvas sneakers, crafted from premium cotton blend with thick rubber sole, white contrast toe, star embroidery, unisex avant-garde urban style essential.","refusal":null,"role":"assistant"}}],"created":1776415104,"id":"chatcmpl-DVZ0SBDtSUwFBjPeOy5V4WSDtukNm","model":"gpt-5-chat-latest","object":"chat.completion","service_tier":"default","system_fingerprint":"fp_ad66631dec","usage":{"completion_tokens":34,"completion_tokens_details":{"accepted_prediction_tokens":0,"audio_tokens":0,"reasoning_tokens":0,"rejected_prediction_tokens":0},"prompt_tokens":921,"prompt_tokens_details":{"audio_tokens":0,"cached_tokens":0},"total_tokens":955}}</t>
  </si>
  <si>
    <t>Rick Owens black high-top canvas sneakers, crafted from premium cotton blend with thick rubber sole, white contrast toe, star embroidery, unisex avant-garde urban style essential.</t>
  </si>
  <si>
    <t>{"id":"chatcmpl-DVZSB9msDQFoo7bvyghsV5DhY4nSJ","object":"chat.completion","created":1776416823,"model":"gpt-5-chat-latest","choices":[{"index":0,"message":{"role":"assistant","content":"Rick Owens,Shoes,kakobuy,kakebuy2026,kekobuysheet,kakobuysheet2026,2026kakobuy,kakobuyspreadsheeet,kakobuylink,kakebuylist,Kakobuy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87,"total_tokens":870,"prompt_tokens_details":{"cached_tokens":0,"audio_tokens":0},"completion_tokens_details":{"reasoning_tokens":0,"audio_tokens":0,"accepted_prediction_tokens":0,"rejected_prediction_tokens":0}},"service_tier":"default","system_fingerprint":"fp_ad66631dec"}</t>
  </si>
  <si>
    <t>Rick Owens, Canvas Shoes, Black, Unisex, Streetwear</t>
  </si>
  <si>
    <t>recvh0B9A7dvcj</t>
  </si>
  <si>
    <t>rick-owens-black-star-high-top-recvh0b9a7dvcj</t>
  </si>
  <si>
    <t>{"choices":[{"finish_reason":"stop","index":0,"logprobs":null,"message":{"annotations":[],"content":"Rick Owens：黑色高帮休闲帆布鞋，采用优质棉混纺材质打造，厚底橡胶鞋底与反差白色鞋头设计，侧边星形刺绣彰显先锋极简美学，男女皆宜，延续Rick Owens标志性暗黑前卫风格，都市潮流穿搭必备。","refusal":null,"role":"assistant"}}],"created":1776411899,"id":"chatcmpl-DVYAltywxiDEGJX5wb2AHx1apsDR8","model":"gpt-5-chat-latest","object":"chat.completion","service_tier":"default","system_fingerprint":"fp_ad66631dec","usage":{"completion_tokens":84,"completion_tokens_details":{"accepted_prediction_tokens":0,"audio_tokens":0,"reasoning_tokens":0,"rejected_prediction_tokens":0},"prompt_tokens":1306,"prompt_tokens_details":{"audio_tokens":0,"cached_tokens":1280},"total_tokens":1390}}</t>
  </si>
  <si>
    <t>Rick Owens：黑色高帮休闲帆布鞋，采用优质棉混纺材质打造，厚底橡胶鞋底与反差白色鞋头设计，侧边星形刺绣彰显先锋极简美学，男女皆宜，延续Rick Owens标志性暗黑前卫风格，都市潮流穿搭必备。</t>
  </si>
  <si>
    <t>{"choices":[{"finish_reason":"stop","index":0,"logprobs":null,"message":{"annotations":[],"content":"Rick Owens White Leather Low Top Sneakers Shoes","refusal":null,"role":"assistant"}}],"created":1776416376,"id":"chatcmpl-DVZKyVfnP3grtmTk2RcVKwfcShJKV","model":"gpt-5-chat-latest","object":"chat.completion","service_tier":"default","system_fingerprint":"fp_ad66631dec","usage":{"completion_tokens":9,"completion_tokens_details":{"accepted_prediction_tokens":0,"audio_tokens":0,"reasoning_tokens":0,"rejected_prediction_tokens":0},"prompt_tokens":868,"prompt_tokens_details":{"audio_tokens":0,"cached_tokens":0},"total_tokens":877}}</t>
  </si>
  <si>
    <t>Rick Owens White Leather Low Top Sneakers Shoes</t>
  </si>
  <si>
    <t>{"choices":[{"finish_reason":"stop","index":0,"logprobs":null,"message":{"annotations":[],"content":"Rick Owens white low-top leather sneakers crafted from soft calfskin, minimalist and gender-neutral, combining comfort with urban avant-garde style for everyday and streetwear looks.","refusal":null,"role":"assistant"}}],"created":1776415370,"id":"chatcmpl-DVZ4kTj96Z8GhTneZ8Ni73N79R7si","model":"gpt-5-chat-latest","object":"chat.completion","service_tier":"default","system_fingerprint":"fp_ad66631dec","usage":{"completion_tokens":33,"completion_tokens_details":{"accepted_prediction_tokens":0,"audio_tokens":0,"reasoning_tokens":0,"rejected_prediction_tokens":0},"prompt_tokens":905,"prompt_tokens_details":{"audio_tokens":0,"cached_tokens":0},"total_tokens":938}}</t>
  </si>
  <si>
    <t>Rick Owens white low-top leather sneakers crafted from soft calfskin, minimalist and gender-neutral, combining comfort with urban avant-garde style for everyday and streetwear looks.</t>
  </si>
  <si>
    <t>{"choices":[{"finish_reason":"stop","index":0,"logprobs":null,"message":{"annotations":[],"content":"Rick Owens, Shoes, kakobuy, kakebuy2026, kekobuysheet, kakobuysheet2026, 2026kakobuy, kakobuyspreadsheeet, kakobuylink, kakebuylist, Kakobuy MEGA Spreadsheet, kakobuysheetfind, kakobuysheetfind2026, 2026kakobuysheetfind, kakobuysheet2026","refusal":null,"role":"assistant"}}],"created":1776416688,"id":"chatcmpl-DVZQ0IDXkSuztD988PqljXoYiqSlQ","model":"gpt-5-chat-latest","object":"chat.completion","service_tier":"default","system_fingerprint":"fp_ad66631dec","usage":{"completion_tokens":91,"completion_tokens_details":{"accepted_prediction_tokens":0,"audio_tokens":0,"reasoning_tokens":0,"rejected_prediction_tokens":0},"prompt_tokens":783,"prompt_tokens_details":{"audio_tokens":0,"cached_tokens":0},"total_tokens":874}}</t>
  </si>
  <si>
    <t>Rick Owens, Leather Sneakers, White, Minimalist, Streetwear, Unisex</t>
  </si>
  <si>
    <t>recvh0B9A79hWU</t>
  </si>
  <si>
    <t>rick-owens-white-leather-low-top-recvh0b9a79hw</t>
  </si>
  <si>
    <t>{"choices":[{"finish_reason":"stop","index":0,"logprobs":null,"message":{"annotations":[],"content":"Rick Owens：白色简约低帮皮革运动鞋，甄选柔软小牛皮材质，极简线条彰显先锋设计感。男女通用款，兼具舒适穿着体验与都市冷峻美学，适合日常休闲与街头搭配。","refusal":null,"role":"assistant"}}],"created":1776412224,"id":"chatcmpl-DVYG0r1NR4xlcHzsWPE71qOYnjLVp","model":"gpt-5-chat-latest","object":"chat.completion","service_tier":"default","system_fingerprint":"fp_ad66631dec","usage":{"completion_tokens":68,"completion_tokens_details":{"accepted_prediction_tokens":0,"audio_tokens":0,"reasoning_tokens":0,"rejected_prediction_tokens":0},"prompt_tokens":1306,"prompt_tokens_details":{"audio_tokens":0,"cached_tokens":0},"total_tokens":1374}}</t>
  </si>
  <si>
    <t>Rick Owens：白色简约低帮皮革运动鞋，甄选柔软小牛皮材质，极简线条彰显先锋设计感。男女通用款，兼具舒适穿着体验与都市冷峻美学，适合日常休闲与街头搭配。</t>
  </si>
  <si>
    <t>{"choices":[{"finish_reason":"stop","index":0,"logprobs":null,"message":{"annotations":[],"content":"Rick Owens Retro Teal Suede Low Top Sneakers","refusal":null,"role":"assistant"}}],"created":1776415837,"id":"chatcmpl-DVZCHDSvCuGv1dfzOyKozpX4gWSe2","model":"gpt-5-chat-latest","object":"chat.completion","service_tier":"default","system_fingerprint":"fp_ad66631dec","usage":{"completion_tokens":11,"completion_tokens_details":{"accepted_prediction_tokens":0,"audio_tokens":0,"reasoning_tokens":0,"rejected_prediction_tokens":0},"prompt_tokens":866,"prompt_tokens_details":{"audio_tokens":0,"cached_tokens":0},"total_tokens":877}}</t>
  </si>
  <si>
    <t>Rick Owens Retro Teal Suede Low Top Sneakers</t>
  </si>
  <si>
    <t>{"id":"chatcmpl-DVZ44czm2sGvNMjkyP0nlUkPsSwDM","object":"chat.completion","created":1776415328,"model":"gpt-5-chat-latest","choices":[{"index":0,"message":{"role":"assistant","content":"Rick Owens retro teal low-top sneakers crafted from premium suede, featuring white geometric panels, chunky sole for comfort and lift, unisex minimalist urban street style.","refusal":null,"annotations":[]},"logprobs":null,"finish_reason":"stop"}],"usage":{"prompt_tokens":908,"completion_tokens":32,"total_tokens":940,"prompt_tokens_details":{"cached_tokens":0,"audio_tokens":0},"completion_tokens_details":{"reasoning_tokens":0,"audio_tokens":0,"accepted_prediction_tokens":0,"rejected_prediction_tokens":0}},"service_tier":"default","system_fingerprint":"fp_ad66631dec"}</t>
  </si>
  <si>
    <t>Rick Owens retro teal low-top sneakers crafted from premium suede, featuring white geometric panels, chunky sole for comfort and lift, unisex minimalist urban street style.</t>
  </si>
  <si>
    <t>{"choices":[{"finish_reason":"stop","index":0,"logprobs":null,"message":{"annotations":[],"content":"Rick Owens,Shoes,kakobuy,kakebuy2026,kekobuysheet,kakobuysheet2026,2026kakobuy,kakobuyspreadsheeet,kakobuylink,kakebuylist,Kakobuy MEGA Spreadsheet,kakobuysheetfind,kakobuysheetfind2026,2026kakobuysheetfind,kakobuysheet2026","refusal":null,"role":"assistant"}}],"created":1776417350,"id":"chatcmpl-DVZagHvezzBzzGU3OfaNzQK69IpXF","model":"gpt-5-chat-latest","object":"chat.completion","service_tier":"default","system_fingerprint":"fp_ad66631dec","usage":{"completion_tokens":87,"completion_tokens_details":{"accepted_prediction_tokens":0,"audio_tokens":0,"reasoning_tokens":0,"rejected_prediction_tokens":0},"prompt_tokens":783,"prompt_tokens_details":{"audio_tokens":0,"cached_tokens":0},"total_tokens":870}}</t>
  </si>
  <si>
    <t>Rick Owens, Suede, Teal, Minimalist, Streetwear, Unisex</t>
  </si>
  <si>
    <t>recvh0B9A7Itfn</t>
  </si>
  <si>
    <t>rick-owens-retro-teal-suede-recvh0b9a7itfn</t>
  </si>
  <si>
    <t>{"choices":[{"finish_reason":"stop","index":0,"logprobs":null,"message":{"annotations":[],"content":"Rick Owens：复古系列蓝绿色低帮休闲鞋，采用优质反绒皮革打造，白色几何嵌片设计彰显前卫美学，厚底结构提供舒适缓震与增高效果，男女皆宜的极简潮流风格，完美融合都市与高街元素。","refusal":null,"role":"assistant"}}],"created":1776411927,"id":"chatcmpl-DVYBDUN3opex22pefAalsCWhFUVAd","model":"gpt-5-chat-latest","object":"chat.completion","service_tier":"default","system_fingerprint":"fp_ad66631dec","usage":{"completion_tokens":74,"completion_tokens_details":{"accepted_prediction_tokens":0,"audio_tokens":0,"reasoning_tokens":0,"rejected_prediction_tokens":0},"prompt_tokens":1300,"prompt_tokens_details":{"audio_tokens":0,"cached_tokens":1280},"total_tokens":1374}}</t>
  </si>
  <si>
    <t>Rick Owens：复古系列蓝绿色低帮休闲鞋，采用优质反绒皮革打造，白色几何嵌片设计彰显前卫美学，厚底结构提供舒适缓震与增高效果，男女皆宜的极简潮流风格，完美融合都市与高街元素。</t>
  </si>
  <si>
    <t>Hoodies</t>
  </si>
  <si>
    <t>{"choices":[{"finish_reason":"stop","index":0,"logprobs":null,"message":{"annotations":[],"content":"Rick Owens Black Signature Print Hoodie","refusal":null,"role":"assistant"}}],"created":1776415954,"id":"chatcmpl-DVZEAd4mUULNNdLdZRSChgqnbDx0V","model":"gpt-5-chat-latest","object":"chat.completion","service_tier":"default","system_fingerprint":"fp_ad66631dec","usage":{"completion_tokens":7,"completion_tokens_details":{"accepted_prediction_tokens":0,"audio_tokens":0,"reasoning_tokens":0,"rejected_prediction_tokens":0},"prompt_tokens":869,"prompt_tokens_details":{"audio_tokens":0,"cached_tokens":0},"total_tokens":876}}</t>
  </si>
  <si>
    <t>Rick Owens Black Signature Print Hoodie</t>
  </si>
  <si>
    <t>{"choices":[{"finish_reason":"stop","index":0,"logprobs":null,"message":{"annotations":[],"content":"Rick Owens black signature print hoodie in soft cotton, featuring white handwritten graphics on front and back, unisex loose fit, merging street luxury with modern minimalist style.","refusal":null,"role":"assistant"}}],"created":1776415384,"id":"chatcmpl-DVZ4yQe69hgen1NcIuOFzKrO0egk5","model":"gpt-5-chat-latest","object":"chat.completion","service_tier":"default","system_fingerprint":"fp_ad66631dec","usage":{"completion_tokens":33,"completion_tokens_details":{"accepted_prediction_tokens":0,"audio_tokens":0,"reasoning_tokens":0,"rejected_prediction_tokens":0},"prompt_tokens":909,"prompt_tokens_details":{"audio_tokens":0,"cached_tokens":0},"total_tokens":942}}</t>
  </si>
  <si>
    <t>Rick Owens black signature print hoodie in soft cotton, featuring white handwritten graphics on front and back, unisex loose fit, merging street luxury with modern minimalist style.</t>
  </si>
  <si>
    <t>{"choices":[{"finish_reason":"stop","index":0,"logprobs":null,"message":{"annotations":[],"content":"Rick Owens, Hoodies, kakobuy, kakebuy2026, kekobuysheet, kakobuysheet2026, 2026kakobuy, kakobuyspreadsheeet, kakobuylink, kakebuylist, Kakobuy MEGA Spreadsheet, kakobuysheetfind, kakobuysheetfind2026, 2026kakobuysheetfind, kakobuysheet2026","refusal":null,"role":"assistant"}}],"created":1776417102,"id":"chatcmpl-DVZWgomv5fyjuUDuJZ8Bbfx6QgGLi","model":"gpt-5-chat-latest","object":"chat.completion","service_tier":"default","system_fingerprint":"fp_ad66631dec","usage":{"completion_tokens":92,"completion_tokens_details":{"accepted_prediction_tokens":0,"audio_tokens":0,"reasoning_tokens":0,"rejected_prediction_tokens":0},"prompt_tokens":784,"prompt_tokens_details":{"audio_tokens":0,"cached_tokens":0},"total_tokens":876}}</t>
  </si>
  <si>
    <t>Rick Owens, Hoodies, kakobuy, kakebuy2026, kekobuysheet, kakobuysheet2026, 2026kakobuy, kakobuyspreadsheeet, kakobuylink, kakebuylist, Kakobuy MEGA Spreadsheet, kakobuysheetfind, kakobuysheetfind2026, 2026kakobuysheetfind, kakobuysheet2026</t>
  </si>
  <si>
    <t>Rick Owens, Black, Unisex, Minimalist, Streetwear</t>
  </si>
  <si>
    <t>recvh0B9A7CHvr</t>
  </si>
  <si>
    <t>rick-owens-black-signature-print-hoodie-recvh0b9a7chvr</t>
  </si>
  <si>
    <t>{"choices":[{"finish_reason":"stop","index":0,"logprobs":null,"message":{"annotations":[],"content":"Rick Owens：黑色签名印花连帽卫衣，柔软棉质面料打造，正反面白色手写字母设计彰显先锋艺术感，宽松中性版型适合男女穿着，街头高奢风格融合现代极简美学，尽显个性与舒适。","refusal":null,"role":"assistant"}}],"created":1776412185,"id":"chatcmpl-DVYFNs0bCRO1l6Wb6JIBzkLJyKTl0","model":"gpt-5-chat-latest","object":"chat.completion","service_tier":"default","system_fingerprint":"fp_ad66631dec","usage":{"completion_tokens":74,"completion_tokens_details":{"accepted_prediction_tokens":0,"audio_tokens":0,"reasoning_tokens":0,"rejected_prediction_tokens":0},"prompt_tokens":1301,"prompt_tokens_details":{"audio_tokens":0,"cached_tokens":0},"total_tokens":1375}}</t>
  </si>
  <si>
    <t>Rick Owens：黑色签名印花连帽卫衣，柔软棉质面料打造，正反面白色手写字母设计彰显先锋艺术感，宽松中性版型适合男女穿着，街头高奢风格融合现代极简美学，尽显个性与舒适。</t>
  </si>
  <si>
    <t>{"id":"chatcmpl-DVZISemYWYWA1m7yQO12xb6Axd1N5","object":"chat.completion","created":1776416220,"model":"gpt-5-chat-latest","choices":[{"index":0,"message":{"role":"assistant","content":"Rick Owens Black Cotton Oversized Hoodie Unisex Streetwear","refusal":null,"annotations":[]},"logprobs":null,"finish_reason":"stop"}],"usage":{"prompt_tokens":865,"completion_tokens":12,"total_tokens":877,"prompt_tokens_details":{"cached_tokens":0,"audio_tokens":0},"completion_tokens_details":{"reasoning_tokens":0,"audio_tokens":0,"accepted_prediction_tokens":0,"rejected_prediction_tokens":0}},"service_tier":"default","system_fingerprint":"fp_ad66631dec"}</t>
  </si>
  <si>
    <t>Rick Owens Black Cotton Oversized Hoodie Unisex Streetwear</t>
  </si>
  <si>
    <t>{"id":"chatcmpl-DVZ3Nnt3ePJHuEXQzHhtEIPF9waZn","object":"chat.completion","created":1776415285,"model":"gpt-5-chat-latest","choices":[{"index":0,"message":{"role":"assistant","content":"Rick Owens black cotton hoodie featuring white handwritten signature print on the back, minimalist oversized fit, unisex style blending avant-garde design and dark street fashion.","refusal":null,"annotations":[]},"logprobs":null,"finish_reason":"stop"}],"usage":{"prompt_tokens":906,"completion_tokens":31,"total_tokens":937,"prompt_tokens_details":{"cached_tokens":0,"audio_tokens":0},"completion_tokens_details":{"reasoning_tokens":0,"audio_tokens":0,"accepted_prediction_tokens":0,"rejected_prediction_tokens":0}},"service_tier":"default","system_fingerprint":"fp_ad66631dec"}</t>
  </si>
  <si>
    <t>Rick Owens black cotton hoodie featuring white handwritten signature print on the back, minimalist oversized fit, unisex style blending avant-garde design and dark street fashion.</t>
  </si>
  <si>
    <t>{"choices":[{"finish_reason":"stop","index":0,"logprobs":null,"message":{"annotations":[],"content":"Rick Owens,Hoodies,kakobuy,kakebuy2026,kekobuysheet,kakobuysheet2026,2026kakobuy,kakobuyspreadsheeet,kakobuylink,kakebuylist,Kakobuy MEGA Spreadsheet,kakobuysheetfind,kakobuysheetfind2026,2026kakobuysheetfind,kakobuysheet2026","refusal":null,"role":"assistant"}}],"created":1776417299,"id":"chatcmpl-DVZZrbrRzJGtSQjXhunZklGZgMwGq","model":"gpt-5-chat-latest","object":"chat.completion","service_tier":"default","system_fingerprint":"fp_ad66631dec","usage":{"completion_tokens":88,"completion_tokens_details":{"accepted_prediction_tokens":0,"audio_tokens":0,"reasoning_tokens":0,"rejected_prediction_tokens":0},"prompt_tokens":784,"prompt_tokens_details":{"audio_tokens":0,"cached_tokens":0},"total_tokens":872}}</t>
  </si>
  <si>
    <t>Rick Owens,Hoodies,kakobuy,kakebuy2026,kekobuysheet,kakobuysheet2026,2026kakobuy,kakobuyspreadsheeet,kakobuylink,kakebuylist,Kakobuy MEGA Spreadsheet,kakobuysheetfind,kakobuysheetfind2026,2026kakobuysheetfind,kakobuysheet2026</t>
  </si>
  <si>
    <t>Rick Owens, Black, Minimalist, Streetwear, Unisex</t>
  </si>
  <si>
    <t>recvh0B9A7YD0i</t>
  </si>
  <si>
    <t>rick-owens-black-cotton-oversized-hoodie-recvh0b9a7yd0i</t>
  </si>
  <si>
    <t>{"choices":[{"finish_reason":"stop","index":0,"logprobs":null,"message":{"annotations":[],"content":"Rick Owens：黑色签名印花连帽卫衣，柔软纯棉材质打造，背部白色手写图腾彰显先锋美学，极简廓形融入街头暗黑风格，男女皆宜，展现当代设计师前卫时尚态度。","refusal":null,"role":"assistant"}}],"created":1776412503,"id":"chatcmpl-DVYKVG6GOT9yLlWa5CgiUY0B0H4MD","model":"gpt-5-chat-latest","object":"chat.completion","service_tier":"default","system_fingerprint":"fp_ad66631dec","usage":{"completion_tokens":69,"completion_tokens_details":{"accepted_prediction_tokens":0,"audio_tokens":0,"reasoning_tokens":0,"rejected_prediction_tokens":0},"prompt_tokens":1305,"prompt_tokens_details":{"audio_tokens":0,"cached_tokens":0},"total_tokens":1374}}</t>
  </si>
  <si>
    <t>Rick Owens：黑色签名印花连帽卫衣，柔软纯棉材质打造，背部白色手写图腾彰显先锋美学，极简廓形融入街头暗黑风格，男女皆宜，展现当代设计师前卫时尚态度。</t>
  </si>
  <si>
    <t>{"choices":[{"finish_reason":"stop","index":0,"logprobs":null,"message":{"annotations":[],"content":"Rick Owens DRKSHDW Orange White Canvas Low Sneakers","refusal":null,"role":"assistant"}}],"created":1776415929,"id":"chatcmpl-DVZDlMEUHPoLat75Se9z8nnKkTXuO","model":"gpt-5-chat-latest","object":"chat.completion","service_tier":"default","system_fingerprint":"fp_ad66631dec","usage":{"completion_tokens":12,"completion_tokens_details":{"accepted_prediction_tokens":0,"audio_tokens":0,"reasoning_tokens":0,"rejected_prediction_tokens":0},"prompt_tokens":886,"prompt_tokens_details":{"audio_tokens":0,"cached_tokens":0},"total_tokens":898}}</t>
  </si>
  <si>
    <t>Rick Owens DRKSHDW Orange White Canvas Low Sneakers</t>
  </si>
  <si>
    <t>{"id":"chatcmpl-DVZ1AanMp46XTLk9n7qzDzOm4tZb9","object":"chat.completion","created":1776415148,"model":"gpt-5-chat-latest","choices":[{"index":0,"message":{"role":"assistant","content":"Rick Owens DRKSHDW orange and white low-top canvas sneakers feature a thick cotton upper, wide laces, and a rubber round toe, showcasing avant-garde style and unisex versatility for everyday wear.","refusal":null,"annotations":[]},"logprobs":null,"finish_reason":"stop"}],"usage":{"prompt_tokens":908,"completion_tokens":42,"total_tokens":950,"prompt_tokens_details":{"cached_tokens":0,"audio_tokens":0},"completion_tokens_details":{"reasoning_tokens":0,"audio_tokens":0,"accepted_prediction_tokens":0,"rejected_prediction_tokens":0}},"service_tier":"default","system_fingerprint":"fp_ad66631dec"}</t>
  </si>
  <si>
    <t>Rick Owens DRKSHDW orange and white low-top canvas sneakers feature a thick cotton upper, wide laces, and a rubber round toe, showcasing avant-garde style and unisex versatility for everyday wear.</t>
  </si>
  <si>
    <t>{"choices":[{"finish_reason":"stop","index":0,"logprobs":null,"message":{"annotations":[],"content":"Rick Owens, Shoes, kakobuy, kakebuy2026, kekobuysheet, kakobuysheet2026, 2026kakobuy, kakobuyspreadsheeet, kakobuylink, kakebuylist, Kakobuy MEGA Spreadsheet, kakobuysheetfind, kakobuysheetfind2026, 2026kakobuysheetfind, kakobuysheet2026","refusal":null,"role":"assistant"}}],"created":1776416883,"id":"chatcmpl-DVZT9Q2GsNaBDpWuynm8Eqczpjqfi","model":"gpt-5-chat-latest","object":"chat.completion","service_tier":"default","system_fingerprint":"fp_ad66631dec","usage":{"completion_tokens":91,"completion_tokens_details":{"accepted_prediction_tokens":0,"audio_tokens":0,"reasoning_tokens":0,"rejected_prediction_tokens":0},"prompt_tokens":783,"prompt_tokens_details":{"audio_tokens":0,"cached_tokens":0},"total_tokens":874}}</t>
  </si>
  <si>
    <t>Rick Owens DRKSHDW, Canvas, Unisex, Orange, White</t>
  </si>
  <si>
    <t>recvh0B9A7zhjz</t>
  </si>
  <si>
    <t>rick-owens-drkshdw-orange-white-canvas-low-recvh0b9a7zhjz</t>
  </si>
  <si>
    <t>{"choices":[{"finish_reason":"stop","index":0,"logprobs":null,"message":{"annotations":[],"content":"Rick Owens：DRKSHDW系列橙白拼色低帮帆布球鞋，厚实棉质鞋面搭配宽版系带与橡胶圆头设计，彰显解构先锋美学风格，休闲百搭男女通用款，展现Rick Owens独特前卫设计。","refusal":null,"role":"assistant"}}],"created":1776411938,"id":"chatcmpl-DVYBOlT9YZzOiJ5YOapg4Icziz25G","model":"gpt-5-chat-latest","object":"chat.completion","service_tier":"default","system_fingerprint":"fp_ad66631dec","usage":{"completion_tokens":72,"completion_tokens_details":{"accepted_prediction_tokens":0,"audio_tokens":0,"reasoning_tokens":0,"rejected_prediction_tokens":0},"prompt_tokens":1304,"prompt_tokens_details":{"audio_tokens":0,"cached_tokens":0},"total_tokens":1376}}</t>
  </si>
  <si>
    <t>Rick Owens：DRKSHDW系列橙白拼色低帮帆布球鞋，厚实棉质鞋面搭配宽版系带与橡胶圆头设计，彰显解构先锋美学风格，休闲百搭男女通用款，展现Rick Owens独特前卫设计。</t>
  </si>
  <si>
    <t>{"id":"chatcmpl-DVZL97Zq6siyLqjA4d4ltb7cul6TA","object":"chat.completion","created":1776416387,"model":"gpt-5-chat-latest","choices":[{"index":0,"message":{"role":"assistant","content":"Acne Studios Black Genuine Leather Lace-Up Shoes","refusal":null,"annotations":[]},"logprobs":null,"finish_reason":"stop"}],"usage":{"prompt_tokens":875,"completion_tokens":10,"total_tokens":885,"prompt_tokens_details":{"cached_tokens":0,"audio_tokens":0},"completion_tokens_details":{"reasoning_tokens":0,"audio_tokens":0,"accepted_prediction_tokens":0,"rejected_prediction_tokens":0}},"service_tier":"default","system_fingerprint":"fp_ad66631dec"}</t>
  </si>
  <si>
    <t>Acne Studios Black Genuine Leather Lace-Up Shoes</t>
  </si>
  <si>
    <t>{"choices":[{"finish_reason":"stop","index":0,"logprobs":null,"message":{"annotations":[],"content":"Acne Studios Black Leather Lace-Up Shoes crafted from premium genuine leather with a sleek glossy finish, thick sole for support, unisex Nordic minimalist style for urban and casual wear.","refusal":null,"role":"assistant"}}],"created":1776415001,"id":"chatcmpl-DVYynDvj1YxnmyQWohTjQpCAT82ek","model":"gpt-5-chat-latest","object":"chat.completion","service_tier":"default","system_fingerprint":"fp_ad66631dec","usage":{"completion_tokens":36,"completion_tokens_details":{"accepted_prediction_tokens":0,"audio_tokens":0,"reasoning_tokens":0,"rejected_prediction_tokens":0},"prompt_tokens":923,"prompt_tokens_details":{"audio_tokens":0,"cached_tokens":0},"total_tokens":959}}</t>
  </si>
  <si>
    <t>Acne Studios Black Leather Lace-Up Shoes crafted from premium genuine leather with a sleek glossy finish, thick sole for support, unisex Nordic minimalist style for urban and casual wear.</t>
  </si>
  <si>
    <t>{"choices":[{"finish_reason":"stop","index":0,"logprobs":null,"message":{"annotations":[],"content":"Acne Studios,Shoes,kakobuy,kakebuy2026,kekobuysheet,kakobuysheet2026,2026kakobuy,kakobuyspreadsheeet,kakobuylink,kakebuylist,Kakobuy MEGA Spreadsheet,kakobuysheetfind,kakobuysheetfind2026,2026kakobuysheetfind,kakobuysheet2026","refusal":null,"role":"assistant"}}],"created":1776416801,"id":"chatcmpl-DVZRpubcAX99YZI5LiqPAjwfZqM2X","model":"gpt-5-chat-latest","object":"chat.completion","service_tier":"default","system_fingerprint":"fp_ad66631dec","usage":{"completion_tokens":88,"completion_tokens_details":{"accepted_prediction_tokens":0,"audio_tokens":0,"reasoning_tokens":0,"rejected_prediction_tokens":0},"prompt_tokens":784,"prompt_tokens_details":{"audio_tokens":0,"cached_tokens":0},"total_tokens":872}}</t>
  </si>
  <si>
    <t>Acne Studios,Shoes,kakobuy,kakebuy2026,kekobuysheet,kakobuysheet2026,2026kakobuy,kakobuyspreadsheeet,kakobuylink,kakebuylist,Kakobuy MEGA Spreadsheet,kakobuysheetfind,kakobuysheetfind2026,2026kakobuysheetfind,kakobuysheet2026</t>
  </si>
  <si>
    <t>Genuine Leather, Minimalist, Unisex, Casual Shoes, Black, Leather Shoes</t>
  </si>
  <si>
    <t>recvh0B9A7HeH4</t>
  </si>
  <si>
    <t>acne-studios-black-genuine-leather-lace-up-recvh0b9a7heh4</t>
  </si>
  <si>
    <t>{"choices":[{"finish_reason":"stop","index":0,"logprobs":null,"message":{"annotations":[],"content":"Acne Studios：黑色简约系带皮鞋，甄选优质真皮打造，光泽质感细腻。厚底设计增添立体比例与稳固支撑，融合北欧极简风格与实用功能，男女皆宜。适合都市通勤与休闲穿搭，展现低调奢华的现代时尚格调。","refusal":null,"role":"assistant"}}],"created":1776412074,"id":"chatcmpl-DVYDaIoxx1FEHWtaq02YUWMzf9U4Y","model":"gpt-5-chat-latest","object":"chat.completion","service_tier":"default","system_fingerprint":"fp_ad66631dec","usage":{"completion_tokens":86,"completion_tokens_details":{"accepted_prediction_tokens":0,"audio_tokens":0,"reasoning_tokens":0,"rejected_prediction_tokens":0},"prompt_tokens":1306,"prompt_tokens_details":{"audio_tokens":0,"cached_tokens":0},"total_tokens":1392}}</t>
  </si>
  <si>
    <t>Acne Studios：黑色简约系带皮鞋，甄选优质真皮打造，光泽质感细腻。厚底设计增添立体比例与稳固支撑，融合北欧极简风格与实用功能，男女皆宜。适合都市通勤与休闲穿搭，展现低调奢华的现代时尚格调。</t>
  </si>
  <si>
    <t>462</t>
  </si>
  <si>
    <t>{"choices":[{"finish_reason":"stop","index":0,"logprobs":null,"message":{"annotations":[],"content":"Acne Studios Green Gray Leather Suede Unisex Sneakers","refusal":null,"role":"assistant"}}],"created":1776416220,"id":"chatcmpl-DVZISuxLz7URkh7q0e5hf3u4FUhM4","model":"gpt-5-chat-latest","object":"chat.completion","service_tier":"default","system_fingerprint":"fp_ad66631dec","usage":{"completion_tokens":12,"completion_tokens_details":{"accepted_prediction_tokens":0,"audio_tokens":0,"reasoning_tokens":0,"rejected_prediction_tokens":0},"prompt_tokens":875,"prompt_tokens_details":{"audio_tokens":0,"cached_tokens":0},"total_tokens":887}}</t>
  </si>
  <si>
    <t>Acne Studios Green Gray Leather Suede Unisex Sneakers</t>
  </si>
  <si>
    <t>{"id":"chatcmpl-DVYuQtuYYGlE8c6gxNzNLQMxFpyJ9","object":"chat.completion","created":1776414730,"model":"gpt-5-chat-latest","choices":[{"index":0,"message":{"role":"assistant","content":"Acne Studios green and gray leather sneakers feature suede and soft calfskin panels, a retro minimalist Nordic design, and a durable non-slip rubber sole for unisex casual comfort.","refusal":null,"annotations":[]},"logprobs":null,"finish_reason":"stop"}],"usage":{"prompt_tokens":902,"completion_tokens":36,"total_tokens":938,"prompt_tokens_details":{"cached_tokens":0,"audio_tokens":0},"completion_tokens_details":{"reasoning_tokens":0,"audio_tokens":0,"accepted_prediction_tokens":0,"rejected_prediction_tokens":0}},"service_tier":"default","system_fingerprint":"fp_ad66631dec"}</t>
  </si>
  <si>
    <t>Acne Studios green and gray leather sneakers feature suede and soft calfskin panels, a retro minimalist Nordic design, and a durable non-slip rubber sole for unisex casual comfort.</t>
  </si>
  <si>
    <t>{"choices":[{"content_filter_result":{"error":{"code":"content_filter_error","message":"The contents are not filtered"}},"finish_reason":"stop","index":0,"logprobs":null,"message":{"annotations":[],"content":"Acne Studios, Shoes, kakobuy, kakebuy2026, kekobuysheet, kakobuysheet2026, 2026kakobuy, kakobuyspreadsheeet, kakobuylink, kakebuylist, Kakobuy MEGA Spreadsheet, kakobuysheetfind, kakobuysheetfind2026, 2026kakobuysheetfind, kakobuysheet2026","refusal":null,"role":"assistant"}}],"created":1776417397,"id":"chatcmpl-DVZbR1sazyGgttcNPCPjoVwjrpafM","model":"gpt-5-chat-latest","object":"chat.completion","service_tier":"default","system_fingerprint":"fp_ad66631dec","usage":{"completion_tokens":92,"completion_tokens_details":{"accepted_prediction_tokens":0,"audio_tokens":0,"reasoning_tokens":0,"rejected_prediction_tokens":0},"prompt_tokens":784,"prompt_tokens_details":{"audio_tokens":0,"cached_tokens":0},"total_tokens":876}}</t>
  </si>
  <si>
    <t>Leather Sneakers, Suede, Retro, Minimalist, Unisex, Casual Sneakers</t>
  </si>
  <si>
    <t>recvh0B9A7byAC</t>
  </si>
  <si>
    <t>acne-green-gray-leather-suede-unisex-recvh0b9a7byac</t>
  </si>
  <si>
    <t>{"choices":[{"finish_reason":"stop","index":0,"logprobs":null,"message":{"annotations":[],"content":"Acne Studios 绿色拼灰色皮革休闲运动鞋，选用磨砂皮与柔软牛皮拼接设计，低调复古风格，橡胶鞋底防滑耐磨，男女通用款，简约又彰显北欧极简美学。","refusal":null,"role":"assistant"}}],"created":1776412259,"id":"chatcmpl-DVYGZL9cS4kGP3tOhkcuF0kTP0tLF","model":"gpt-5-chat-latest","object":"chat.completion","service_tier":"default","system_fingerprint":"fp_ad66631dec","usage":{"completion_tokens":64,"completion_tokens_details":{"accepted_prediction_tokens":0,"audio_tokens":0,"reasoning_tokens":0,"rejected_prediction_tokens":0},"prompt_tokens":1308,"prompt_tokens_details":{"audio_tokens":0,"cached_tokens":1280},"total_tokens":1372}}</t>
  </si>
  <si>
    <t>Acne Studios 绿色拼灰色皮革休闲运动鞋，选用磨砂皮与柔软牛皮拼接设计，低调复古风格，橡胶鞋底防滑耐磨，男女通用款，简约又彰显北欧极简美学。</t>
  </si>
  <si>
    <t>{"choices":[{"finish_reason":"stop","index":0,"logprobs":null,"message":{"annotations":[],"content":"Acne Studios White Leather Platform Sneakers Unisex Shoes","refusal":null,"role":"assistant"}}],"created":1776416268,"id":"chatcmpl-DVZJE7cPPzxWhWN3DhFiBsx4u8eS8","model":"gpt-5-chat-latest","object":"chat.completion","service_tier":"default","system_fingerprint":"fp_ad66631dec","usage":{"completion_tokens":11,"completion_tokens_details":{"accepted_prediction_tokens":0,"audio_tokens":0,"reasoning_tokens":0,"rejected_prediction_tokens":0},"prompt_tokens":867,"prompt_tokens_details":{"audio_tokens":0,"cached_tokens":0},"total_tokens":878}}</t>
  </si>
  <si>
    <t>Acne Studios White Leather Platform Sneakers Unisex Shoes</t>
  </si>
  <si>
    <t>{"id":"chatcmpl-DVZ3UFL27paW5D4BJnD2JAwrFsJnY","object":"chat.completion","created":1776415292,"model":"gpt-5-chat-latest","choices":[{"index":0,"message":{"role":"assistant","content":"Acne Studios white calf leather platform sneakers feature a sleek minimalist design, cushioned rubber sole, unisex fit, blending Nordic simplicity with modern urban style.","refusal":null,"annotations":[]},"logprobs":null,"finish_reason":"stop"}],"usage":{"prompt_tokens":889,"completion_tokens":32,"total_tokens":921,"prompt_tokens_details":{"cached_tokens":0,"audio_tokens":0},"completion_tokens_details":{"reasoning_tokens":0,"audio_tokens":0,"accepted_prediction_tokens":0,"rejected_prediction_tokens":0}},"service_tier":"default","system_fingerprint":"fp_ad66631dec"}</t>
  </si>
  <si>
    <t>Acne Studios white calf leather platform sneakers feature a sleek minimalist design, cushioned rubber sole, unisex fit, blending Nordic simplicity with modern urban style.</t>
  </si>
  <si>
    <t>{"choices":[{"finish_reason":"stop","index":0,"logprobs":null,"message":{"annotations":[],"content":"Acne Studios, Shoes, kakobuy, kakebuy2026, kekobuysheet, kakobuysheet2026, 2026kakobuy, kakobuyspreadsheeet, kakobuylink, kakebuylist, Kakobuy MEGA Spreadsheet, kakobuysheetfind, kakobuysheetfind2026, 2026kakobuysheetfind, kakobuysheet2026","refusal":null,"role":"assistant"}}],"created":1776417032,"id":"chatcmpl-DVZVYGQcC0hktB5x5h7WYEh6aBwuK","model":"gpt-5-chat-latest","object":"chat.completion","service_tier":"default","system_fingerprint":"fp_ad66631dec","usage":{"completion_tokens":92,"completion_tokens_details":{"accepted_prediction_tokens":0,"audio_tokens":0,"reasoning_tokens":0,"rejected_prediction_tokens":0},"prompt_tokens":784,"prompt_tokens_details":{"audio_tokens":0,"cached_tokens":0},"total_tokens":876}}</t>
  </si>
  <si>
    <t>Leather Sneakers, Platform Shoes, White, Minimalist, Unisex, Sleek</t>
  </si>
  <si>
    <t>recvh0B9A7afb3</t>
  </si>
  <si>
    <t>acne-studios-white-leather-platform-recvh0b9a7afb3</t>
  </si>
  <si>
    <t>{"choices":[{"finish_reason":"stop","index":0,"logprobs":null,"message":{"annotations":[],"content":"Acne Studios：白色厚底小牛皮休闲运动鞋，简约流线设计，橡胶鞋底缓震舒适，男女皆宜，融合北欧极简美学，展现现代都市时尚气质。","refusal":null,"role":"assistant"}}],"created":1776412361,"id":"chatcmpl-DVYIDjzgHDNgi5mUJDWOUggtbJLOj","model":"gpt-5-chat-latest","object":"chat.completion","service_tier":"default","system_fingerprint":"fp_ad66631dec","usage":{"completion_tokens":54,"completion_tokens_details":{"accepted_prediction_tokens":0,"audio_tokens":0,"reasoning_tokens":0,"rejected_prediction_tokens":0},"prompt_tokens":1302,"prompt_tokens_details":{"audio_tokens":0,"cached_tokens":0},"total_tokens":1356}}</t>
  </si>
  <si>
    <t>Acne Studios：白色厚底小牛皮休闲运动鞋，简约流线设计，橡胶鞋底缓震舒适，男女皆宜，融合北欧极简美学，展现现代都市时尚气质。</t>
  </si>
  <si>
    <t>{"choices":[{"finish_reason":"stop","index":0,"logprobs":null,"message":{"annotations":[],"content":"Acne Studios Silver Platform Velcro Sneakers Unisex Shoes","refusal":null,"role":"assistant"}}],"created":1776416287,"id":"chatcmpl-DVZJXMabP6rnZRnBYOSSSg4C8kETe","model":"gpt-5-chat-latest","object":"chat.completion","service_tier":"default","system_fingerprint":"fp_ad66631dec","usage":{"completion_tokens":12,"completion_tokens_details":{"accepted_prediction_tokens":0,"audio_tokens":0,"reasoning_tokens":0,"rejected_prediction_tokens":0},"prompt_tokens":871,"prompt_tokens_details":{"audio_tokens":0,"cached_tokens":0},"total_tokens":883}}</t>
  </si>
  <si>
    <t>Acne Studios Silver Platform Velcro Sneakers Unisex Shoes</t>
  </si>
  <si>
    <t>{"id":"chatcmpl-DVZ0ifk2X7VMxjr6fTEIFVtoXfe52","object":"chat.completion","created":1776415120,"model":"gpt-5-chat-latest","choices":[{"index":0,"message":{"role":"assistant","content":"Acne Studios Silver Platform Velcro Sneakers – glossy leather design with a futuristic minimalist look, unisex street style, comfortable height boost, perfect for modern fashion lovers.","refusal":null,"annotations":[]},"logprobs":null,"finish_reason":"stop"}],"usage":{"prompt_tokens":888,"completion_tokens":34,"total_tokens":922,"prompt_tokens_details":{"cached_tokens":0,"audio_tokens":0},"completion_tokens_details":{"reasoning_tokens":0,"audio_tokens":0,"accepted_prediction_tokens":0,"rejected_prediction_tokens":0}},"service_tier":"default","system_fingerprint":"fp_ad66631dec"}</t>
  </si>
  <si>
    <t>Acne Studios Silver Platform Velcro Sneakers – glossy leather design with a futuristic minimalist look, unisex street style, comfortable height boost, perfect for modern fashion lovers.</t>
  </si>
  <si>
    <t>{"choices":[{"finish_reason":"stop","index":0,"logprobs":null,"message":{"annotations":[],"content":"Acne Studios, Shoes, kakobuy, kakebuy2026, kekobuysheet, kakobuysheet2026, 2026kakobuy, kakobuyspreadsheeet, kakobuylink, kakebuylist, Kakobuy MEGA Spreadsheet, kakobuysheetfind, kakobuysheetfind2026, 2026kakobuysheetfind, kakobuysheet2026","refusal":null,"role":"assistant"}}],"created":1776416897,"id":"chatcmpl-DVZTNjJ2R3Y3cbPTeXJChiwtAhbpb","model":"gpt-5-chat-latest","object":"chat.completion","service_tier":"default","system_fingerprint":"fp_ad66631dec","usage":{"completion_tokens":92,"completion_tokens_details":{"accepted_prediction_tokens":0,"audio_tokens":0,"reasoning_tokens":0,"rejected_prediction_tokens":0},"prompt_tokens":784,"prompt_tokens_details":{"audio_tokens":0,"cached_tokens":0},"total_tokens":876}}</t>
  </si>
  <si>
    <t>Silver, Platform Shoes, Leather, Minimalist, Streetwear, Unisex</t>
  </si>
  <si>
    <t>recvh0B9A7Pi9U</t>
  </si>
  <si>
    <t>acne-studios-silver-platform-velcro-recvh0b9a7pi9u</t>
  </si>
  <si>
    <t>{"id":"chatcmpl-DVYDEA1kUgwTKpgAF76VyIVWTeoiF","object":"chat.completion","created":1776412052,"model":"gpt-5-chat-latest","choices":[{"index":0,"message":{"role":"assistant","content":"Acne Studios：银色厚底魔术贴休闲鞋，光泽皮革打造，简约未来感设计，男女皆宜，潮流街头风格，舒适增高，彰显时尚个性。","refusal":null,"annotations":[]},"logprobs":null,"finish_reason":"stop"}],"usage":{"prompt_tokens":1306,"completion_tokens":51,"total_tokens":1357,"prompt_tokens_details":{"cached_tokens":0,"audio_tokens":0},"completion_tokens_details":{"reasoning_tokens":0,"audio_tokens":0,"accepted_prediction_tokens":0,"rejected_prediction_tokens":0}},"service_tier":"default","system_fingerprint":"fp_ad66631dec"}</t>
  </si>
  <si>
    <t>Acne Studios：银色厚底魔术贴休闲鞋，光泽皮革打造，简约未来感设计，男女皆宜，潮流街头风格，舒适增高，彰显时尚个性。</t>
  </si>
  <si>
    <t>{"choices":[{"finish_reason":"stop","index":0,"logprobs":null,"message":{"annotations":[],"content":"Acne Studios Pink Leather Platform Velcro Sneakers","refusal":null,"role":"assistant"}}],"created":1776416366,"id":"chatcmpl-DVZKop21lRl96F7KZcJclc4Cl1njn","model":"gpt-5-chat-latest","object":"chat.completion","service_tier":"default","system_fingerprint":"fp_ad66631dec","usage":{"completion_tokens":10,"completion_tokens_details":{"accepted_prediction_tokens":0,"audio_tokens":0,"reasoning_tokens":0,"rejected_prediction_tokens":0},"prompt_tokens":861,"prompt_tokens_details":{"audio_tokens":0,"cached_tokens":0},"total_tokens":871}}</t>
  </si>
  <si>
    <t>Acne Studios Pink Leather Platform Velcro Sneakers</t>
  </si>
  <si>
    <t>{"choices":[{"finish_reason":"stop","index":0,"logprobs":null,"message":{"annotations":[],"content":"Acne Studios pink platform sneakers crafted from smooth leather with velcro straps, offering comfort and modern Nordic minimalism for both men and women.","refusal":null,"role":"assistant"}}],"created":1776415072,"id":"chatcmpl-DVYzwiBI8lAWWlUpl03UgdGNxTSHs","model":"gpt-5-chat-latest","object":"chat.completion","service_tier":"default","system_fingerprint":"fp_ad66631dec","usage":{"completion_tokens":29,"completion_tokens_details":{"accepted_prediction_tokens":0,"audio_tokens":0,"reasoning_tokens":0,"rejected_prediction_tokens":0},"prompt_tokens":890,"prompt_tokens_details":{"audio_tokens":0,"cached_tokens":0},"total_tokens":919}}</t>
  </si>
  <si>
    <t>Acne Studios pink platform sneakers crafted from smooth leather with velcro straps, offering comfort and modern Nordic minimalism for both men and women.</t>
  </si>
  <si>
    <t>{"id":"chatcmpl-DVZU2mcjd0pdIeZgXLlKAjeJVYUfy","object":"chat.completion","created":1776416938,"model":"gpt-5-chat-latest","choices":[{"index":0,"message":{"role":"assistant","content":"Acne Studios, Shoes, kakobuy, kakebuy2026, kekobuysheet, kakobuysheet2026, 2026kakobuy, kakobuyspreadsheeet, kakobuylink, kakebuylist, Kakobuy MEGA Spreadsheet, kakobuysheetfind, kakobuysheetfind2026, 2026kakobuysheetfind, kakobuysheet2026","refusal":null,"annotations":[]},"logprobs":null,"finish_reason":"stop"}],"usage":{"prompt_tokens":784,"completion_tokens":92,"total_tokens":876,"prompt_tokens_details":{"cached_tokens":0,"audio_tokens":0},"completion_tokens_details":{"reasoning_tokens":0,"audio_tokens":0,"accepted_prediction_tokens":0,"rejected_prediction_tokens":0}},"service_tier":"default","system_fingerprint":"fp_ad66631dec"}</t>
  </si>
  <si>
    <t>Leather Sneakers, Platform Shoes, Pink, Minimalist, Unisex, Comfort</t>
  </si>
  <si>
    <t>recvh0B9A7FFRu</t>
  </si>
  <si>
    <t>acne-pink-leather-platform-velcro-recvh0b9a7ffru</t>
  </si>
  <si>
    <t>{"id":"chatcmpl-DVYDzw7OF1T5lis9IN7zzSubRJGSK","object":"chat.completion","created":1776412099,"model":"gpt-5-chat-latest","choices":[{"index":0,"message":{"role":"assistant","content":"Acne Studios：粉色厚底休闲运动鞋，细腻皮革材质搭配魔术贴设计，舒适包裹脚型，极简北欧风格，男女皆宜，彰显现代都市时尚感。","refusal":null,"annotations":[]},"logprobs":null,"finish_reason":"stop"}],"usage":{"prompt_tokens":1302,"completion_tokens":55,"total_tokens":1357,"prompt_tokens_details":{"cached_tokens":0,"audio_tokens":0},"completion_tokens_details":{"reasoning_tokens":0,"audio_tokens":0,"accepted_prediction_tokens":0,"rejected_prediction_tokens":0}},"service_tier":"default","system_fingerprint":"fp_ad66631dec"}</t>
  </si>
  <si>
    <t>Acne Studios：粉色厚底休闲运动鞋，细腻皮革材质搭配魔术贴设计，舒适包裹脚型，极简北欧风格，男女皆宜，彰显现代都市时尚感。</t>
  </si>
  <si>
    <t>{"choices":[{"finish_reason":"stop","index":0,"logprobs":null,"message":{"annotations":[],"content":"Onitsuka Tiger Mexico 66 Off White Brown Sneakers","refusal":null,"role":"assistant"}}],"created":1776415869,"id":"chatcmpl-DVZCnT0VyyZLaxIKSBvCfKA6UYf3b","model":"gpt-5-chat-latest","object":"chat.completion","service_tier":"default","system_fingerprint":"fp_ad66631dec","usage":{"completion_tokens":12,"completion_tokens_details":{"accepted_prediction_tokens":0,"audio_tokens":0,"reasoning_tokens":0,"rejected_prediction_tokens":0},"prompt_tokens":886,"prompt_tokens_details":{"audio_tokens":0,"cached_tokens":0},"total_tokens":898}}</t>
  </si>
  <si>
    <t>Onitsuka Tiger Mexico 66 Off White Brown Sneakers</t>
  </si>
  <si>
    <t>{"choices":[{"finish_reason":"stop","index":0,"logprobs":null,"message":{"annotations":[],"content":"Onitsuka Tiger MEXICO 66 sneakers feature vintage off-white with brown stripes, premium leather stitching, classic Japanese retro style, lightweight rubber sole, ideal for men and women’s casual wear.","refusal":null,"role":"assistant"}}],"created":1776414879,"id":"chatcmpl-DVYwpn773hyEKcxuQM9TIFdLiCn5V","model":"gpt-5-chat-latest","object":"chat.completion","service_tier":"default","system_fingerprint":"fp_ad66631dec","usage":{"completion_tokens":41,"completion_tokens_details":{"accepted_prediction_tokens":0,"audio_tokens":0,"reasoning_tokens":0,"rejected_prediction_tokens":0},"prompt_tokens":924,"prompt_tokens_details":{"audio_tokens":0,"cached_tokens":0},"total_tokens":965}}</t>
  </si>
  <si>
    <t>Onitsuka Tiger MEXICO 66 sneakers feature vintage off-white with brown stripes, premium leather stitching, classic Japanese retro style, lightweight rubber sole, ideal for men and women’s casual wear.</t>
  </si>
  <si>
    <t>{"id":"chatcmpl-DVZZlr4ieSjOHLMEWHvG74Qs8PmUL","object":"chat.completion","created":1776417293,"model":"gpt-5-chat-latest","choices":[{"index":0,"message":{"role":"assistant","content":"Onitsuka Tiger, Shoes, kakobuy, kakebuy2026, kekobuysheet, kakobuysheet2026, 2026kakobuy, kakobuyspreadsheeet, kakobuylink, kakebuylist, Kakobuy MEGA Spreadsheet, kakobuysheetfind, kakobuysheetfind2026, 2026kakobuysheetfind, kakobuysheet2026","refusal":null,"annotations":[]},"logprobs":null,"finish_reason":"stop"}],"usage":{"prompt_tokens":785,"completion_tokens":93,"total_tokens":878,"prompt_tokens_details":{"cached_tokens":0,"audio_tokens":0},"completion_tokens_details":{"reasoning_tokens":0,"audio_tokens":0,"accepted_prediction_tokens":0,"rejected_prediction_tokens":0}},"service_tier":"default","system_fingerprint":"fp_ad66631dec"}</t>
  </si>
  <si>
    <t>Onitsuka Tiger, Leather, Japanese Retro, Rubber Sole, Men's And Women's, Casual Sneakers</t>
  </si>
  <si>
    <t>recvh0B9A7tsUk</t>
  </si>
  <si>
    <t>onitsuka-tiger-mexico-66-off-white-brown-recvh0b9a7tsuk</t>
  </si>
  <si>
    <t>{"choices":[{"finish_reason":"stop","index":0,"logprobs":null,"message":{"annotations":[],"content":"Onitsuka Tiger：复古米白配棕色MEXICO 66系列休闲鞋，采用优质皮革拼接鞋面，经典虎爪条纹设计彰显日系简约复古风格，轻盈橡胶鞋底提供出色抓地力与舒适脚感，男女皆宜，都市休闲与复古运动兼备。","refusal":null,"role":"assistant"}}],"created":1776412587,"id":"chatcmpl-DVYLrWlUzZmKJTBdZfiINnhOmBE8X","model":"gpt-5-chat-latest","object":"chat.completion","service_tier":"default","system_fingerprint":"fp_ad66631dec","usage":{"completion_tokens":85,"completion_tokens_details":{"accepted_prediction_tokens":0,"audio_tokens":0,"reasoning_tokens":0,"rejected_prediction_tokens":0},"prompt_tokens":1310,"prompt_tokens_details":{"audio_tokens":0,"cached_tokens":0},"total_tokens":1395}}</t>
  </si>
  <si>
    <t>Onitsuka Tiger：复古米白配棕色MEXICO 66系列休闲鞋，采用优质皮革拼接鞋面，经典虎爪条纹设计彰显日系简约复古风格，轻盈橡胶鞋底提供出色抓地力与舒适脚感，男女皆宜，都市休闲与复古运动兼备。</t>
  </si>
  <si>
    <t>{"choices":[{"finish_reason":"stop","index":0,"logprobs":null,"message":{"annotations":[],"content":"Rick Owens Black Canvas High-Top Platform Sneakers Shoes","refusal":null,"role":"assistant"}}],"created":1776416083,"id":"chatcmpl-DVZGFClawZ5WF6gAuQmGkLLMDdM2A","model":"gpt-5-chat-latest","object":"chat.completion","service_tier":"default","system_fingerprint":"fp_ad66631dec","usage":{"completion_tokens":11,"completion_tokens_details":{"accepted_prediction_tokens":0,"audio_tokens":0,"reasoning_tokens":0,"rejected_prediction_tokens":0},"prompt_tokens":874,"prompt_tokens_details":{"audio_tokens":0,"cached_tokens":0},"total_tokens":885}}</t>
  </si>
  <si>
    <t>Rick Owens Black Canvas High-Top Platform Sneakers Shoes</t>
  </si>
  <si>
    <t>{"id":"chatcmpl-DVZ0pmKEMeuwYJwN0vDDPPfqg1MkP","object":"chat.completion","created":1776415127,"model":"gpt-5-chat-latest","choices":[{"index":0,"message":{"role":"assistant","content":"Rick Owens Black High-Top Platform Canvas Sneakers, crafted from premium cotton and rubber with side zipper and white lace details, unisex avant-garde design offering comfort and futuristic style.","refusal":null,"annotations":[]},"logprobs":null,"finish_reason":"stop"}],"usage":{"prompt_tokens":906,"completion_tokens":36,"total_tokens":942,"prompt_tokens_details":{"cached_tokens":0,"audio_tokens":0},"completion_tokens_details":{"reasoning_tokens":0,"audio_tokens":0,"accepted_prediction_tokens":0,"rejected_prediction_tokens":0}},"service_tier":"default","system_fingerprint":"fp_ad66631dec"}</t>
  </si>
  <si>
    <t>Rick Owens Black High-Top Platform Canvas Sneakers, crafted from premium cotton and rubber with side zipper and white lace details, unisex avant-garde design offering comfort and futuristic style.</t>
  </si>
  <si>
    <t>{"id":"chatcmpl-DVZRZezP5nCIzQCuVzIV7ezsNXtQw","object":"chat.completion","created":1776416785,"model":"gpt-5-chat-latest","choices":[{"index":0,"message":{"role":"assistant","content":"Rick Owens, Shoes, kakobuy, kakebuy2026, kekobuysheet, kakobuysheet2026, 2026kakobuy, kakobuyspreadsheeet, kakobuylink, kakebuylist, Kakobuy MEGA Spreadsheet, kakobuysheetfind, kakobuysheetfind2026, 2026kakobuysheetfind, kakobuysheet2026","refusal":null,"annotations":[]},"logprobs":null,"finish_reason":"stop"}],"usage":{"prompt_tokens":783,"completion_tokens":91,"total_tokens":874,"prompt_tokens_details":{"cached_tokens":0,"audio_tokens":0},"completion_tokens_details":{"reasoning_tokens":0,"audio_tokens":0,"accepted_prediction_tokens":0,"rejected_prediction_tokens":0}},"service_tier":"default","system_fingerprint":"fp_ad66631dec"}</t>
  </si>
  <si>
    <t>Rick Owens, Canvas, Black, Platform Shoes, Unisex</t>
  </si>
  <si>
    <t>recvh0B9A7M2sL</t>
  </si>
  <si>
    <t>rick-owens-black-canvas-high-top-platform-recvh0b9a7m2sl</t>
  </si>
  <si>
    <t>{"choices":[{"finish_reason":"stop","index":0,"logprobs":null,"message":{"annotations":[],"content":"Rick Owens：黑色高帮厚底帆布靴，采用优质棉布与橡胶材质，侧拉链与对比白色鞋带设计彰显先锋解构美学，男女通用，延续品牌前卫未来主义风格，兼具舒适与时尚功能。","refusal":null,"role":"assistant"}}],"created":1776412141,"id":"chatcmpl-DVYEfSjmfMPE9QpdwKZ43qa240vP1","model":"gpt-5-chat-latest","object":"chat.completion","service_tier":"default","system_fingerprint":"fp_ad66631dec","usage":{"completion_tokens":71,"completion_tokens_details":{"accepted_prediction_tokens":0,"audio_tokens":0,"reasoning_tokens":0,"rejected_prediction_tokens":0},"prompt_tokens":1302,"prompt_tokens_details":{"audio_tokens":0,"cached_tokens":1280},"total_tokens":1373}}</t>
  </si>
  <si>
    <t>Rick Owens：黑色高帮厚底帆布靴，采用优质棉布与橡胶材质，侧拉链与对比白色鞋带设计彰显先锋解构美学，男女通用，延续品牌前卫未来主义风格，兼具舒适与时尚功能。</t>
  </si>
  <si>
    <t>840</t>
  </si>
  <si>
    <t>{"choices":[{"finish_reason":"stop","index":0,"logprobs":null,"message":{"annotations":[],"content":"Rick Owens Black White Platform High Top Sneakers","refusal":null,"role":"assistant"}}],"created":1776415834,"id":"chatcmpl-DVZCEz4cOCziKnyWQcNhB6mb8TsFu","model":"gpt-5-chat-latest","object":"chat.completion","service_tier":"default","system_fingerprint":"fp_ad66631dec","usage":{"completion_tokens":9,"completion_tokens_details":{"accepted_prediction_tokens":0,"audio_tokens":0,"reasoning_tokens":0,"rejected_prediction_tokens":0},"prompt_tokens":872,"prompt_tokens_details":{"audio_tokens":0,"cached_tokens":0},"total_tokens":881}}</t>
  </si>
  <si>
    <t>Rick Owens Black White Platform High Top Sneakers</t>
  </si>
  <si>
    <t>{"choices":[{"finish_reason":"stop","index":0,"logprobs":null,"message":{"annotations":[],"content":"Rick Owens black and white platform high-top sneakers crafted from premium calf leather with wide beige laces, geometric sole for superior comfort, unisex avant-garde street fashion style.","refusal":null,"role":"assistant"}}],"created":1776415321,"id":"chatcmpl-DVZ3xu1aIDOdNRuRTFngEcQUdZXVf","model":"gpt-5-chat-latest","object":"chat.completion","service_tier":"default","system_fingerprint":"fp_ad66631dec","usage":{"completion_tokens":35,"completion_tokens_details":{"accepted_prediction_tokens":0,"audio_tokens":0,"reasoning_tokens":0,"rejected_prediction_tokens":0},"prompt_tokens":923,"prompt_tokens_details":{"audio_tokens":0,"cached_tokens":0},"total_tokens":958}}</t>
  </si>
  <si>
    <t>Rick Owens black and white platform high-top sneakers crafted from premium calf leather with wide beige laces, geometric sole for superior comfort, unisex avant-garde street fashion style.</t>
  </si>
  <si>
    <t>{"choices":[{"finish_reason":"stop","index":0,"logprobs":null,"message":{"annotations":[],"content":"Rick Owens, Shoes, kakobuy, kakebuy2026, kekobuysheet, kakobuysheet2026, 2026kakobuy, kakobuyspreadsheeet, kakobuylink, kakebuylist, Kakobuy MEGA Spreadsheet, kakobuysheetfind, kakobuysheetfind2026, 2026kakobuysheetfind, kakobuysheet2026","refusal":null,"role":"assistant"}}],"created":1776417092,"id":"chatcmpl-DVZWWk9NQ6OnKe9qcSmVpKyteRrQq","model":"gpt-5-chat-latest","object":"chat.completion","service_tier":"default","system_fingerprint":"fp_ad66631dec","usage":{"completion_tokens":91,"completion_tokens_details":{"accepted_prediction_tokens":0,"audio_tokens":0,"reasoning_tokens":0,"rejected_prediction_tokens":0},"prompt_tokens":783,"prompt_tokens_details":{"audio_tokens":0,"cached_tokens":0},"total_tokens":874}}</t>
  </si>
  <si>
    <t>Rick Owens, Platform Boots, Leather, Black, White, Unisex</t>
  </si>
  <si>
    <t>recvh0B9A7XLGd</t>
  </si>
  <si>
    <t>rick-owens-black-white-platform-high-recvh0b9a7xlgd</t>
  </si>
  <si>
    <t>{"id":"chatcmpl-DVYD1eKCC0feD3O4wpJxwzaZ11Sjc","object":"chat.completion","created":1776412039,"model":"gpt-5-chat-latest","choices":[{"index":0,"message":{"role":"assistant","content":"Rick Owens：黑白拼色厚底高帮运动靴，精选上乘小牛皮材质，搭配宽版米色系带设计，极具未来感与解构美学。厚实几何鞋底提供卓越缓震与支撑性能，兼具街头与高定风格，男女皆宜，展现Rick Owens前卫暗黑美学魅力。","refusal":null,"annotations":[]},"logprobs":null,"finish_reason":"stop"}],"usage":{"prompt_tokens":1302,"completion_tokens":88,"total_tokens":1390,"prompt_tokens_details":{"cached_tokens":0,"audio_tokens":0},"completion_tokens_details":{"reasoning_tokens":0,"audio_tokens":0,"accepted_prediction_tokens":0,"rejected_prediction_tokens":0}},"service_tier":"default","system_fingerprint":"fp_ad66631dec"}</t>
  </si>
  <si>
    <t>Rick Owens：黑白拼色厚底高帮运动靴，精选上乘小牛皮材质，搭配宽版米色系带设计，极具未来感与解构美学。厚实几何鞋底提供卓越缓震与支撑性能，兼具街头与高定风格，男女皆宜，展现Rick Owens前卫暗黑美学魅力。</t>
  </si>
  <si>
    <t>{"id":"chatcmpl-DVZBqPy20QKz6sswseLur2JN9Hc3P","object":"chat.completion","created":1776415810,"model":"gpt-5-chat-latest","choices":[{"index":0,"message":{"role":"assistant","content":"Rick Owens Yellow Geobasket High Top Sneakers Shoes","refusal":null,"annotations":[]},"logprobs":null,"finish_reason":"stop"}],"usage":{"prompt_tokens":882,"completion_tokens":11,"total_tokens":893,"prompt_tokens_details":{"cached_tokens":0,"audio_tokens":0},"completion_tokens_details":{"reasoning_tokens":0,"audio_tokens":0,"accepted_prediction_tokens":0,"rejected_prediction_tokens":0}},"service_tier":"default","system_fingerprint":"fp_ad66631dec"}</t>
  </si>
  <si>
    <t>Rick Owens Yellow Geobasket High Top Sneakers Shoes</t>
  </si>
  <si>
    <t>{"id":"chatcmpl-DVZ01XbcIDrhFC2HUN5UdOkWaPwE0","object":"chat.completion","created":1776415077,"model":"gpt-5-chat-latest","choices":[{"index":0,"message":{"role":"assistant","content":"Rick Owens Yellow Geobasket High Top Sneakers blend premium leather and canvas in bold yellow and white. With side metal zipper and chunky sole, unisex design for edgy streetwear and everyday style.","refusal":null,"annotations":[]},"logprobs":null,"finish_reason":"stop"}],"usage":{"prompt_tokens":924,"completion_tokens":40,"total_tokens":964,"prompt_tokens_details":{"cached_tokens":0,"audio_tokens":0},"completion_tokens_details":{"reasoning_tokens":0,"audio_tokens":0,"accepted_prediction_tokens":0,"rejected_prediction_tokens":0}},"service_tier":"default","system_fingerprint":"fp_ad66631dec"}</t>
  </si>
  <si>
    <t>Rick Owens Yellow Geobasket High Top Sneakers blend premium leather and canvas in bold yellow and white. With side metal zipper and chunky sole, unisex design for edgy streetwear and everyday style.</t>
  </si>
  <si>
    <t>{"id":"chatcmpl-DVZb8Kr28ZPcI3N1H8hVaz8GHMbkv","object":"chat.completion","created":1776417378,"model":"gpt-5-chat-latest","choices":[{"index":0,"message":{"role":"assistant","content":"Rick Owens,Shoes,kakobuy,kakebuy2026,kekobuysheet,kakobuysheet2026,2026kakobuy,kakobuyspreadsheeet,kakobuylink,kakebuylist,Kakobuy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87,"total_tokens":870,"prompt_tokens_details":{"cached_tokens":0,"audio_tokens":0},"completion_tokens_details":{"reasoning_tokens":0,"audio_tokens":0,"accepted_prediction_tokens":0,"rejected_prediction_tokens":0}},"service_tier":"default","system_fingerprint":"fp_ad66631dec"}</t>
  </si>
  <si>
    <t>Rick Owens, Yellow, Leather, Canvas, Edgy, Streetwear</t>
  </si>
  <si>
    <t>recvh0B9A7jy1K</t>
  </si>
  <si>
    <t>rick-owens-yellow-geobasket-high-recvh0b9a7jy1k</t>
  </si>
  <si>
    <t>{"id":"chatcmpl-DVYIENGX3DNNKfQ0fPFP5JxE3QUSy","object":"chat.completion","created":1776412362,"model":"gpt-5-chat-latest","choices":[{"index":0,"message":{"role":"assistant","content":"Rick Owens：Yellow Geobasket高帮运动鞋，采用优质皮革拼接帆布设计，亮黄色与白色撞色展现先锋街头美学。侧边金属拉链搭配厚底结构，兼具造型感与实穿性。中性款式，延续Rick Owens标志性解构风格，适合潮流街头与日常穿搭。","refusal":null,"annotations":[]},"logprobs":null,"finish_reason":"stop"}],"usage":{"prompt_tokens":1298,"completion_tokens":91,"total_tokens":1389,"prompt_tokens_details":{"cached_tokens":0,"audio_tokens":0},"completion_tokens_details":{"reasoning_tokens":0,"audio_tokens":0,"accepted_prediction_tokens":0,"rejected_prediction_tokens":0}},"service_tier":"default","system_fingerprint":"fp_ad66631dec"}</t>
  </si>
  <si>
    <t>Rick Owens：Yellow Geobasket高帮运动鞋，采用优质皮革拼接帆布设计，亮黄色与白色撞色展现先锋街头美学。侧边金属拉链搭配厚底结构，兼具造型感与实穿性。中性款式，延续Rick Owens标志性解构风格，适合潮流街头与日常穿搭。</t>
  </si>
  <si>
    <t>270</t>
  </si>
  <si>
    <t>{"choices":[{"finish_reason":"stop","index":0,"logprobs":null,"message":{"annotations":[],"content":"Rick Owens Black Star Leather Low Top Sneakers","refusal":null,"role":"assistant"}}],"created":1776415925,"id":"chatcmpl-DVZDh1MeIys1IHMmQUdCjatp3n4wq","model":"gpt-5-chat-latest","object":"chat.completion","service_tier":"default","system_fingerprint":"fp_ad66631dec","usage":{"completion_tokens":9,"completion_tokens_details":{"accepted_prediction_tokens":0,"audio_tokens":0,"reasoning_tokens":0,"rejected_prediction_tokens":0},"prompt_tokens":870,"prompt_tokens_details":{"audio_tokens":0,"cached_tokens":0},"total_tokens":879}}</t>
  </si>
  <si>
    <t>Rick Owens Black Star Leather Low Top Sneakers</t>
  </si>
  <si>
    <t>{"choices":[{"finish_reason":"stop","index":0,"logprobs":null,"message":{"annotations":[],"content":"Rick Owens black star low-top sneakers crafted from premium leather with contrast details and thick sole, blending retro and futuristic minimalism. Unisex design for stylish urban comfort.","refusal":null,"role":"assistant"}}],"created":1776415400,"id":"chatcmpl-DVZ5E22x2aOOmWTP53xx5DvRjBMPZ","model":"gpt-5-chat-latest","object":"chat.completion","service_tier":"default","system_fingerprint":"fp_ad66631dec","usage":{"completion_tokens":34,"completion_tokens_details":{"accepted_prediction_tokens":0,"audio_tokens":0,"reasoning_tokens":0,"rejected_prediction_tokens":0},"prompt_tokens":911,"prompt_tokens_details":{"audio_tokens":0,"cached_tokens":0},"total_tokens":945}}</t>
  </si>
  <si>
    <t>Rick Owens black star low-top sneakers crafted from premium leather with contrast details and thick sole, blending retro and futuristic minimalism. Unisex design for stylish urban comfort.</t>
  </si>
  <si>
    <t>{"choices":[{"finish_reason":"stop","index":0,"logprobs":null,"message":{"annotations":[],"content":"Rick Owens, Shoes, kakobuy, kakebuy2026, kekobuysheet, kakobuysheet2026, 2026kakobuy, kakobuyspreadsheeet, kakobuylink, kakebuylist, Kakobuy MEGA Spreadsheet, kakobuysheetfind, kakobuysheetfind2026, 2026kakobuysheetfind, kakobuysheet2026","refusal":null,"role":"assistant"}}],"created":1776417171,"id":"chatcmpl-DVZXnjfQrsivrkziiDN577TJKyMs5","model":"gpt-5-chat-latest","object":"chat.completion","service_tier":"default","system_fingerprint":"fp_ad66631dec","usage":{"completion_tokens":91,"completion_tokens_details":{"accepted_prediction_tokens":0,"audio_tokens":0,"reasoning_tokens":0,"rejected_prediction_tokens":0},"prompt_tokens":783,"prompt_tokens_details":{"audio_tokens":0,"cached_tokens":0},"total_tokens":874}}</t>
  </si>
  <si>
    <t>Rick Owens, Leather Sneakers, Black, Minimalist, Retro, Unisex</t>
  </si>
  <si>
    <t>recvh0B9A7DgHp</t>
  </si>
  <si>
    <t>rick-owens-black-star-leather-low-top-recvh0b9a7dghp</t>
  </si>
  <si>
    <t>{"id":"chatcmpl-DVYHl9YmoBcGew0UHRDMsyCSdtqoT","object":"chat.completion","created":1776412333,"model":"gpt-5-chat-latest","choices":[{"index":0,"message":{"role":"assistant","content":"Rick Owens：黑色星标低帮休闲鞋，甄选优质皮革材质，简约拼色设计搭配厚底结构，彰显先锋极简美学。中性款式，适合都市男女穿搭，融合复古与未来感，舒适耐穿，轻松点亮日常造型。","refusal":null,"annotations":[]},"logprobs":null,"finish_reason":"stop"}],"usage":{"prompt_tokens":1302,"completion_tokens":76,"total_tokens":1378,"prompt_tokens_details":{"cached_tokens":0,"audio_tokens":0},"completion_tokens_details":{"reasoning_tokens":0,"audio_tokens":0,"accepted_prediction_tokens":0,"rejected_prediction_tokens":0}},"service_tier":"default","system_fingerprint":"fp_ad66631dec"}</t>
  </si>
  <si>
    <t>Rick Owens：黑色星标低帮休闲鞋，甄选优质皮革材质，简约拼色设计搭配厚底结构，彰显先锋极简美学。中性款式，适合都市男女穿搭，融合复古与未来感，舒适耐穿，轻松点亮日常造型。</t>
  </si>
  <si>
    <t>{"id":"chatcmpl-DVZIJEcEQdx2gxMPYMZdYjxxpLie7","object":"chat.completion","created":1776416211,"model":"gpt-5-chat-latest","choices":[{"index":0,"message":{"role":"assistant","content":"Rick Owens Black White Suede Low Top Sneakers","refusal":null,"annotations":[]},"logprobs":null,"finish_reason":"stop"}],"usage":{"prompt_tokens":874,"completion_tokens":10,"total_tokens":884,"prompt_tokens_details":{"cached_tokens":0,"audio_tokens":0},"completion_tokens_details":{"reasoning_tokens":0,"audio_tokens":0,"accepted_prediction_tokens":0,"rejected_prediction_tokens":0}},"service_tier":"default","system_fingerprint":"fp_ad66631dec"}</t>
  </si>
  <si>
    <t>Rick Owens Black White Suede Low Top Sneakers</t>
  </si>
  <si>
    <t>{"choices":[{"finish_reason":"stop","index":0,"logprobs":null,"message":{"annotations":[],"content":"Rick Owens black and white low-top sneakers feature soft suede leather panels, minimalist silhouette, and thick rubber sole for comfort. Unisex design merges avant-garde style with everyday versatility.","refusal":null,"role":"assistant"}}],"created":1776415085,"id":"chatcmpl-DVZ09nnXeNdIKr8JwsBcu6WkSwcHl","model":"gpt-5-chat-latest","object":"chat.completion","service_tier":"default","system_fingerprint":"fp_ad66631dec","usage":{"completion_tokens":36,"completion_tokens_details":{"accepted_prediction_tokens":0,"audio_tokens":0,"reasoning_tokens":0,"rejected_prediction_tokens":0},"prompt_tokens":907,"prompt_tokens_details":{"audio_tokens":0,"cached_tokens":0},"total_tokens":943}}</t>
  </si>
  <si>
    <t>Rick Owens black and white low-top sneakers feature soft suede leather panels, minimalist silhouette, and thick rubber sole for comfort. Unisex design merges avant-garde style with everyday versatility.</t>
  </si>
  <si>
    <t>{"id":"chatcmpl-DVZV8JWjdYTTLYkaQulexjGxBS6me","object":"chat.completion","created":1776417006,"model":"gpt-5-chat-latest","choices":[{"index":0,"message":{"role":"assistant","content":"Rick Owens, Shoes, kakobuy, kakebuy2026, kekobuysheet, kakobuysheet2026, 2026kakobuy, kakobuyspreadsheeet, kakobuylink, kakebuylist, Kakobuy MEGA Spreadsheet, kakobuysheetfind, kakobuysheetfind2026, 2026kakobuysheetfind, kakobuysheet2026","refusal":null,"annotations":[]},"logprobs":null,"finish_reason":"stop"}],"usage":{"prompt_tokens":783,"completion_tokens":91,"total_tokens":874,"prompt_tokens_details":{"cached_tokens":0,"audio_tokens":0},"completion_tokens_details":{"reasoning_tokens":0,"audio_tokens":0,"accepted_prediction_tokens":0,"rejected_prediction_tokens":0}},"service_tier":"default","system_fingerprint":"fp_ad66631dec"}</t>
  </si>
  <si>
    <t>Rick Owens, Suede Leather, Rubber, Minimalist, Unisex, Sneakers</t>
  </si>
  <si>
    <t>recvh0B9A7b7jb</t>
  </si>
  <si>
    <t>rick-owens-black-white-suede-low-top-recvh0b9a7b7jb</t>
  </si>
  <si>
    <t>{"choices":[{"finish_reason":"stop","index":0,"logprobs":null,"message":{"annotations":[],"content":"Rick Owens：黑白配色低帮休闲鞋，柔软翻毛皮革拼接设计，简约流线型轮廓，橡胶厚底提升舒适脚感，男女皆宜。极简先锋风格融合品牌解构美学，日常穿搭与街头造型皆出众。","refusal":null,"role":"assistant"}}],"created":1776412053,"id":"chatcmpl-DVYDFXVfL6PjeudHtOxZkUUqoRtk5","model":"gpt-5-chat-latest","object":"chat.completion","service_tier":"default","system_fingerprint":"fp_ad66631dec","usage":{"completion_tokens":73,"completion_tokens_details":{"accepted_prediction_tokens":0,"audio_tokens":0,"reasoning_tokens":0,"rejected_prediction_tokens":0},"prompt_tokens":1300,"prompt_tokens_details":{"audio_tokens":0,"cached_tokens":1280},"total_tokens":1373}}</t>
  </si>
  <si>
    <t>Rick Owens：黑白配色低帮休闲鞋，柔软翻毛皮革拼接设计，简约流线型轮廓，橡胶厚底提升舒适脚感，男女皆宜。极简先锋风格融合品牌解构美学，日常穿搭与街头造型皆出众。</t>
  </si>
  <si>
    <t>{"choices":[{"finish_reason":"stop","index":0,"logprobs":null,"message":{"annotations":[],"content":"Rick Owens DRKSHDW Off White Leather Low Sneakers","refusal":null,"role":"assistant"}}],"created":1776415961,"id":"chatcmpl-DVZEH1RoFS77qWvDzg54lTwmljRdo","model":"gpt-5-chat-latest","object":"chat.completion","service_tier":"default","system_fingerprint":"fp_ad66631dec","usage":{"completion_tokens":12,"completion_tokens_details":{"accepted_prediction_tokens":0,"audio_tokens":0,"reasoning_tokens":0,"rejected_prediction_tokens":0},"prompt_tokens":880,"prompt_tokens_details":{"audio_tokens":0,"cached_tokens":0},"total_tokens":892}}</t>
  </si>
  <si>
    <t>Rick Owens DRKSHDW Off White Leather Low Sneakers</t>
  </si>
  <si>
    <t>{"choices":[{"finish_reason":"stop","index":0,"logprobs":null,"message":{"annotations":[],"content":"Rick Owens DRKSHDW off-white low-top sneakers crafted from soft leather and suede, featuring thick cushioned soles for comfort and a minimalist avant-garde design for modern unisex urban style.","refusal":null,"role":"assistant"}}],"created":1776415371,"id":"chatcmpl-DVZ4lUf1nXeURRP2LtTxL6eMGBfVu","model":"gpt-5-chat-latest","object":"chat.completion","service_tier":"default","system_fingerprint":"fp_ad66631dec","usage":{"completion_tokens":39,"completion_tokens_details":{"accepted_prediction_tokens":0,"audio_tokens":0,"reasoning_tokens":0,"rejected_prediction_tokens":0},"prompt_tokens":902,"prompt_tokens_details":{"audio_tokens":0,"cached_tokens":0},"total_tokens":941}}</t>
  </si>
  <si>
    <t>Rick Owens DRKSHDW off-white low-top sneakers crafted from soft leather and suede, featuring thick cushioned soles for comfort and a minimalist avant-garde design for modern unisex urban style.</t>
  </si>
  <si>
    <t>{"choices":[{"finish_reason":"stop","index":0,"logprobs":null,"message":{"annotations":[],"content":"Rick Owens, Shoes, kakobuy, kakebuy2026, kekobuysheet, kakobuysheet2026, 2026kakobuy, kakobuyspreadsheeet, kakobuylink, kakebuylist, Kakobuy MEGA Spreadsheet, kakobuysheetfind, kakobuysheetfind2026, 2026kakobuysheetfind, kakobuysheet2026","refusal":null,"role":"assistant"}}],"created":1776417016,"id":"chatcmpl-DVZVIx0MKrdZ9OjUaE8yWEx9apymR","model":"gpt-5-chat-latest","object":"chat.completion","service_tier":"default","system_fingerprint":"fp_ad66631dec","usage":{"completion_tokens":91,"completion_tokens_details":{"accepted_prediction_tokens":0,"audio_tokens":0,"reasoning_tokens":0,"rejected_prediction_tokens":0},"prompt_tokens":783,"prompt_tokens_details":{"audio_tokens":0,"cached_tokens":0},"total_tokens":874}}</t>
  </si>
  <si>
    <t>Rick Owens DRKSHDW, Leather, Suede, Minimalist, Unisex, Sneakers</t>
  </si>
  <si>
    <t>recvh0B9A7HyIP</t>
  </si>
  <si>
    <t>rick-owens-drkshdw-off-white-leather-low-recvh0b9a7hyip</t>
  </si>
  <si>
    <t>{"choices":[{"finish_reason":"stop","index":0,"logprobs":null,"message":{"annotations":[],"content":"Rick Owens：DRKSHDW米白色简约低帮皮质休闲鞋，采用柔软牛皮与麂皮拼接设计，厚底缓震结构提升舒适度，极简线条呈现先锋风格，男女皆宜，现代都市高级时尚之选。","refusal":null,"role":"assistant"}}],"created":1776412368,"id":"chatcmpl-DVYIKyvVELJLADkVQy3y6BOIJc6g8","model":"gpt-5-chat-latest","object":"chat.completion","service_tier":"default","system_fingerprint":"fp_ad66631dec","usage":{"completion_tokens":66,"completion_tokens_details":{"accepted_prediction_tokens":0,"audio_tokens":0,"reasoning_tokens":0,"rejected_prediction_tokens":0},"prompt_tokens":1304,"prompt_tokens_details":{"audio_tokens":0,"cached_tokens":0},"total_tokens":1370}}</t>
  </si>
  <si>
    <t>Rick Owens：DRKSHDW米白色简约低帮皮质休闲鞋，采用柔软牛皮与麂皮拼接设计，厚底缓震结构提升舒适度，极简线条呈现先锋风格，男女皆宜，现代都市高级时尚之选。</t>
  </si>
  <si>
    <t>{"choices":[{"finish_reason":"stop","index":0,"logprobs":null,"message":{"annotations":[],"content":"Rick Owens DRKSHDW Black White Canvas Sneakers","refusal":null,"role":"assistant"}}],"created":1776416146,"id":"chatcmpl-DVZHGpnvzgpuClzAGNo5FYbJcdKtT","model":"gpt-5-chat-latest","object":"chat.completion","service_tier":"default","system_fingerprint":"fp_ad66631dec","usage":{"completion_tokens":11,"completion_tokens_details":{"accepted_prediction_tokens":0,"audio_tokens":0,"reasoning_tokens":0,"rejected_prediction_tokens":0},"prompt_tokens":878,"prompt_tokens_details":{"audio_tokens":0,"cached_tokens":0},"total_tokens":889}}</t>
  </si>
  <si>
    <t>Rick Owens DRKSHDW Black White Canvas Sneakers</t>
  </si>
  <si>
    <t>{"choices":[{"finish_reason":"stop","index":0,"logprobs":null,"message":{"annotations":[],"content":"Rick Owens DRKSHDW black and white canvas sneakers feature premium cotton, thick rubber sole, minimalist silhouette, and avant-garde deconstruction design for unisex streetwear dark aesthetic style.","refusal":null,"role":"assistant"}}],"created":1776415363,"id":"chatcmpl-DVZ4dIgOswWJTeStqedjKx7LxafVx","model":"gpt-5-chat-latest","object":"chat.completion","service_tier":"default","system_fingerprint":"fp_ad66631dec","usage":{"completion_tokens":38,"completion_tokens_details":{"accepted_prediction_tokens":0,"audio_tokens":0,"reasoning_tokens":0,"rejected_prediction_tokens":0},"prompt_tokens":919,"prompt_tokens_details":{"audio_tokens":0,"cached_tokens":0},"total_tokens":957}}</t>
  </si>
  <si>
    <t>Rick Owens DRKSHDW black and white canvas sneakers feature premium cotton, thick rubber sole, minimalist silhouette, and avant-garde deconstruction design for unisex streetwear dark aesthetic style.</t>
  </si>
  <si>
    <t>{"choices":[{"finish_reason":"stop","index":0,"logprobs":null,"message":{"annotations":[],"content":"Rick Owens, Shoes, kakobuy, kakebuy2026, kekobuysheet, kakobuysheet2026, 2026kakobuy, kakobuyspreadsheeet, kakobuylink, kakebuylist, Kakobuy MEGA Spreadsheet, kakobuysheetfind, kakobuysheetfind2026, 2026kakobuysheetfind, kakobuysheet2026","refusal":null,"role":"assistant"}}],"created":1776416650,"id":"chatcmpl-DVZPO57yqrIavHBoSo7NyQ6gfxBfg","model":"gpt-5-chat-latest","object":"chat.completion","service_tier":"default","system_fingerprint":"fp_ad66631dec","usage":{"completion_tokens":91,"completion_tokens_details":{"accepted_prediction_tokens":0,"audio_tokens":0,"reasoning_tokens":0,"rejected_prediction_tokens":0},"prompt_tokens":783,"prompt_tokens_details":{"audio_tokens":0,"cached_tokens":0},"total_tokens":874}}</t>
  </si>
  <si>
    <t>Rick Owens DRKSHDW, Canvas, Rubber Sole, Minimalist, Unisex, Streetwear</t>
  </si>
  <si>
    <t>recvh0B9A7c8Jf</t>
  </si>
  <si>
    <t>rick-owens-drkshdw-black-white-canvas-recvh0b9a7c8jf</t>
  </si>
  <si>
    <t>{"choices":[{"finish_reason":"stop","index":0,"logprobs":null,"message":{"annotations":[],"content":"Rick Owens：经典DRKSHDW系列黑白拼色帆布休闲运动鞋，采用优质棉质帆布与橡胶鞋底设计，极简廓形融合前卫解构美学，厚底造型彰显街头先锋风格，男女通用，展现品牌独特暗黑美学魅力。","refusal":null,"role":"assistant"}}],"created":1776412574,"id":"chatcmpl-DVYLewwhpZhJlYTpKMUwpfUwtG8xq","model":"gpt-5-chat-latest","object":"chat.completion","service_tier":"default","system_fingerprint":"fp_ad66631dec","usage":{"completion_tokens":80,"completion_tokens_details":{"accepted_prediction_tokens":0,"audio_tokens":0,"reasoning_tokens":0,"rejected_prediction_tokens":0},"prompt_tokens":1310,"prompt_tokens_details":{"audio_tokens":0,"cached_tokens":0},"total_tokens":1390}}</t>
  </si>
  <si>
    <t>Rick Owens：经典DRKSHDW系列黑白拼色帆布休闲运动鞋，采用优质棉质帆布与橡胶鞋底设计，极简廓形融合前卫解构美学，厚底造型彰显街头先锋风格，男女通用，展现品牌独特暗黑美学魅力。</t>
  </si>
  <si>
    <t>{"choices":[{"finish_reason":"stop","index":0,"logprobs":null,"message":{"annotations":[],"content":"Rick Owens Black Gray Leather Platform Sneakers","refusal":null,"role":"assistant"}}],"created":1776416169,"id":"chatcmpl-DVZHd3uulSZJ7B1GfTS02JgXdfqq3","model":"gpt-5-chat-latest","object":"chat.completion","service_tier":"default","system_fingerprint":"fp_ad66631dec","usage":{"completion_tokens":8,"completion_tokens_details":{"accepted_prediction_tokens":0,"audio_tokens":0,"reasoning_tokens":0,"rejected_prediction_tokens":0},"prompt_tokens":864,"prompt_tokens_details":{"audio_tokens":0,"cached_tokens":0},"total_tokens":872}}</t>
  </si>
  <si>
    <t>Rick Owens Black Gray Leather Platform Sneakers</t>
  </si>
  <si>
    <t>{"choices":[{"finish_reason":"stop","index":0,"logprobs":null,"message":{"annotations":[],"content":"Rick Owens black and gray calf leather platform sneakers blend minimalist form with avant-garde design, offering unisex modern urban style and edgy comfort for everyday wear.","refusal":null,"role":"assistant"}}],"created":1776414814,"id":"chatcmpl-DVYvmlIRi38LlU8DwY4vW5MNEifon","model":"gpt-5-chat-latest","object":"chat.completion","service_tier":"default","system_fingerprint":"fp_ad66631dec","usage":{"completion_tokens":31,"completion_tokens_details":{"accepted_prediction_tokens":0,"audio_tokens":0,"reasoning_tokens":0,"rejected_prediction_tokens":0},"prompt_tokens":874,"prompt_tokens_details":{"audio_tokens":0,"cached_tokens":0},"total_tokens":905}}</t>
  </si>
  <si>
    <t>Rick Owens black and gray calf leather platform sneakers blend minimalist form with avant-garde design, offering unisex modern urban style and edgy comfort for everyday wear.</t>
  </si>
  <si>
    <t>{"id":"chatcmpl-DVZWBhNKgsY0PORPHUgGNP00uGogV","object":"chat.completion","created":1776417071,"model":"gpt-5-chat-latest","choices":[{"index":0,"message":{"role":"assistant","content":"Rick Owens, Shoes, kakobuy, kakebuy2026, kekobuysheet, kakobuysheet2026, 2026kakobuy, kakobuyspreadsheeet, kakobuylink, kakebuylist, Kakobuy MEGA Spreadsheet, kakobuysheetfind, kakobuysheetfind2026, 2026kakobuysheetfind, kakobuysheet2026","refusal":null,"annotations":[]},"logprobs":null,"finish_reason":"stop"}],"usage":{"prompt_tokens":783,"completion_tokens":91,"total_tokens":874,"prompt_tokens_details":{"cached_tokens":0,"audio_tokens":0},"completion_tokens_details":{"reasoning_tokens":0,"audio_tokens":0,"accepted_prediction_tokens":0,"rejected_prediction_tokens":0}},"service_tier":"default","system_fingerprint":"fp_ad66631dec"}</t>
  </si>
  <si>
    <t>Rick Owens, Leather Sneakers, Platform Shoes, Black, Gray, Unisex</t>
  </si>
  <si>
    <t>recvh0B9A73Zew</t>
  </si>
  <si>
    <t>rick-owens-black-gray-leather-platform-recvh0b9a73zew</t>
  </si>
  <si>
    <t>{"choices":[{"finish_reason":"stop","index":0,"logprobs":null,"message":{"annotations":[],"content":"Rick Owens：黑灰拼色厚底休闲小牛皮运动鞋，以极简结构结合先锋设计，男女皆宜，展现现代都市前卫风格。","refusal":null,"role":"assistant"}}],"created":1776412480,"id":"chatcmpl-DVYK8QCCRljJg4SOnQ2SM8MYKRHCE","model":"gpt-5-chat-latest","object":"chat.completion","service_tier":"default","system_fingerprint":"fp_ad66631dec","usage":{"completion_tokens":38,"completion_tokens_details":{"accepted_prediction_tokens":0,"audio_tokens":0,"reasoning_tokens":0,"rejected_prediction_tokens":0},"prompt_tokens":1304,"prompt_tokens_details":{"audio_tokens":0,"cached_tokens":0},"total_tokens":1342}}</t>
  </si>
  <si>
    <t>Rick Owens：黑灰拼色厚底休闲小牛皮运动鞋，以极简结构结合先锋设计，男女皆宜，展现现代都市前卫风格。</t>
  </si>
  <si>
    <t>{"choices":[{"finish_reason":"stop","index":0,"logprobs":null,"message":{"annotations":[],"content":"Rick Owens DRKSHDW Beige Calfskin Low Sneakers","refusal":null,"role":"assistant"}}],"created":1776416056,"id":"chatcmpl-DVZFo4ICvgTI0i0GWyLF6OVx7FckI","model":"gpt-5-chat-latest","object":"chat.completion","service_tier":"default","system_fingerprint":"fp_ad66631dec","usage":{"completion_tokens":13,"completion_tokens_details":{"accepted_prediction_tokens":0,"audio_tokens":0,"reasoning_tokens":0,"rejected_prediction_tokens":0},"prompt_tokens":878,"prompt_tokens_details":{"audio_tokens":0,"cached_tokens":0},"total_tokens":891}}</t>
  </si>
  <si>
    <t>Rick Owens DRKSHDW Beige Calfskin Low Sneakers</t>
  </si>
  <si>
    <t>{"choices":[{"finish_reason":"stop","index":0,"logprobs":null,"message":{"annotations":[],"content":"Rick Owens DRKSHDW beige calfskin low-top sneakers feature soft leather and suede panels, thick rubber sole for height and comfort, minimalist futuristic style for unisex urban streetwear.","refusal":null,"role":"assistant"}}],"created":1776414876,"id":"chatcmpl-DVYwmRoE001lR1HZjCYlL15NiEM5f","model":"gpt-5-chat-latest","object":"chat.completion","service_tier":"default","system_fingerprint":"fp_ad66631dec","usage":{"completion_tokens":38,"completion_tokens_details":{"accepted_prediction_tokens":0,"audio_tokens":0,"reasoning_tokens":0,"rejected_prediction_tokens":0},"prompt_tokens":906,"prompt_tokens_details":{"audio_tokens":0,"cached_tokens":0},"total_tokens":944}}</t>
  </si>
  <si>
    <t>Rick Owens DRKSHDW beige calfskin low-top sneakers feature soft leather and suede panels, thick rubber sole for height and comfort, minimalist futuristic style for unisex urban streetwear.</t>
  </si>
  <si>
    <t>{"choices":[{"finish_reason":"stop","index":0,"logprobs":null,"message":{"annotations":[],"content":"Rick Owens, Shoes, kakobuy, kakebuy2026, kekobuysheet, kakobuysheet2026, 2026kakobuy, kakobuyspreadsheeet, kakobuylink, kakebuylist, Kakobuy MEGA Spreadsheet, kakobuysheetfind, kakobuysheetfind2026, 2026kakobuysheetfind, kakobuysheet2026","refusal":null,"role":"assistant"}}],"created":1776416723,"id":"chatcmpl-DVZQZVozIQ1E7T4u27VI7aYPongvD","model":"gpt-5-chat-latest","object":"chat.completion","service_tier":"default","system_fingerprint":"fp_ad66631dec","usage":{"completion_tokens":91,"completion_tokens_details":{"accepted_prediction_tokens":0,"audio_tokens":0,"reasoning_tokens":0,"rejected_prediction_tokens":0},"prompt_tokens":783,"prompt_tokens_details":{"audio_tokens":0,"cached_tokens":0},"total_tokens":874}}</t>
  </si>
  <si>
    <t>Rick Owens DRKSHDW, Beige, Leather, Suede, Minimalist, Unisex</t>
  </si>
  <si>
    <t>recvh0B9A7wmP8</t>
  </si>
  <si>
    <t>rick-owens-drkshdw-beige-calfskin-low-recvh0b9a7wmp8</t>
  </si>
  <si>
    <t>{"choices":[{"finish_reason":"stop","index":0,"logprobs":null,"message":{"annotations":[],"content":"Rick Owens：DRKSHDW系列米色小牛皮低帮运动鞋，柔软皮革与绒面拼接设计，厚底橡胶鞋底增高减震，极简未来感轮廓彰显先锋潮流气质，男女皆宜，都市休闲与高级街头兼备。","refusal":null,"role":"assistant"}}],"created":1776412322,"id":"chatcmpl-DVYHaqrF2y81CpMLGBEpxhSnar1ym","model":"gpt-5-chat-latest","object":"chat.completion","service_tier":"default","system_fingerprint":"fp_ad66631dec","usage":{"completion_tokens":72,"completion_tokens_details":{"accepted_prediction_tokens":0,"audio_tokens":0,"reasoning_tokens":0,"rejected_prediction_tokens":0},"prompt_tokens":1300,"prompt_tokens_details":{"audio_tokens":0,"cached_tokens":0},"total_tokens":1372}}</t>
  </si>
  <si>
    <t>Rick Owens：DRKSHDW系列米色小牛皮低帮运动鞋，柔软皮革与绒面拼接设计，厚底橡胶鞋底增高减震，极简未来感轮廓彰显先锋潮流气质，男女皆宜，都市休闲与高级街头兼备。</t>
  </si>
  <si>
    <t>{"choices":[{"finish_reason":"stop","index":0,"logprobs":null,"message":{"annotations":[],"content":"Rick Owens Retro Pink Suede Low Top Sneakers","refusal":null,"role":"assistant"}}],"created":1776416086,"id":"chatcmpl-DVZGItI2Ru68QkSNMzb6hZWHA7KrT","model":"gpt-5-chat-latest","object":"chat.completion","service_tier":"default","system_fingerprint":"fp_ad66631dec","usage":{"completion_tokens":10,"completion_tokens_details":{"accepted_prediction_tokens":0,"audio_tokens":0,"reasoning_tokens":0,"rejected_prediction_tokens":0},"prompt_tokens":882,"prompt_tokens_details":{"audio_tokens":0,"cached_tokens":0},"total_tokens":892}}</t>
  </si>
  <si>
    <t>Rick Owens Retro Pink Suede Low Top Sneakers</t>
  </si>
  <si>
    <t>{"choices":[{"finish_reason":"stop","index":0,"logprobs":null,"message":{"annotations":[],"content":"Rick Owens Retro Pink Low-Top Sneakers crafted in premium suede, featuring a soft matte texture, thick sole for comfort and height, minimalist stitching, gender-neutral design, and avant-garde urban style.","refusal":null,"role":"assistant"}}],"created":1776415169,"id":"chatcmpl-DVZ1VMwLiIdzMpaawUnPtg7ue0O8x","model":"gpt-5-chat-latest","object":"chat.completion","service_tier":"default","system_fingerprint":"fp_ad66631dec","usage":{"completion_tokens":40,"completion_tokens_details":{"accepted_prediction_tokens":0,"audio_tokens":0,"reasoning_tokens":0,"rejected_prediction_tokens":0},"prompt_tokens":918,"prompt_tokens_details":{"audio_tokens":0,"cached_tokens":0},"total_tokens":958}}</t>
  </si>
  <si>
    <t>Rick Owens Retro Pink Low-Top Sneakers crafted in premium suede, featuring a soft matte texture, thick sole for comfort and height, minimalist stitching, gender-neutral design, and avant-garde urban style.</t>
  </si>
  <si>
    <t>{"choices":[{"finish_reason":"stop","index":0,"logprobs":null,"message":{"annotations":[],"content":"Rick Owens, Shoes, kakobuy, kakebuy2026, kekobuysheet, kakobuysheet2026, 2026kakobuy, kakobuyspreadsheeet, kakobuylink, kakebuylist, Kakobuy MEGA Spreadsheet, kakobuysheetfind, kakobuysheetfind2026, 2026kakobuysheetfind, kakobuysheet2026","refusal":null,"role":"assistant"}}],"created":1776416747,"id":"chatcmpl-DVZQxabYbLsuyDFebQKZUKze0vqB8","model":"gpt-5-chat-latest","object":"chat.completion","service_tier":"default","system_fingerprint":"fp_ad66631dec","usage":{"completion_tokens":91,"completion_tokens_details":{"accepted_prediction_tokens":0,"audio_tokens":0,"reasoning_tokens":0,"rejected_prediction_tokens":0},"prompt_tokens":783,"prompt_tokens_details":{"audio_tokens":0,"cached_tokens":0},"total_tokens":874}}</t>
  </si>
  <si>
    <t>Rick Owens, Suede, Pink, Minimalist, Unisex, Retro</t>
  </si>
  <si>
    <t>recvh0B9A7jMYB</t>
  </si>
  <si>
    <t>rick-owens-retro-pink-suede-low-top-recvh0b9a7jmyb</t>
  </si>
  <si>
    <t>{"id":"chatcmpl-DVYLETCStkCo73d4hEFxH48J0BdJt","object":"chat.completion","created":1776412548,"model":"gpt-5-chat-latest","choices":[{"index":0,"message":{"role":"assistant","content":"Rick Owens：复古粉色低帮休闲鞋，以高级磨砂皮革打造，柔软细腻质感。厚底设计提升舒适度与层次感，简约拼接线条展现极简主义美学，男女皆宜。融合品牌前卫解构风格，凸显摩登都市格调与高街艺术气息。","refusal":null,"annotations":[]},"logprobs":null,"finish_reason":"stop"}],"usage":{"prompt_tokens":1304,"completion_tokens":82,"total_tokens":1386,"prompt_tokens_details":{"cached_tokens":1280,"audio_tokens":0},"completion_tokens_details":{"reasoning_tokens":0,"audio_tokens":0,"accepted_prediction_tokens":0,"rejected_prediction_tokens":0}},"service_tier":"default","system_fingerprint":"fp_ad66631dec"}</t>
  </si>
  <si>
    <t>Rick Owens：复古粉色低帮休闲鞋，以高级磨砂皮革打造，柔软细腻质感。厚底设计提升舒适度与层次感，简约拼接线条展现极简主义美学，男女皆宜。融合品牌前卫解构风格，凸显摩登都市格调与高街艺术气息。</t>
  </si>
  <si>
    <t>{"id":"chatcmpl-DVZCo6kppfsC0cDMNUPqJT8yHH4UL","object":"chat.completion","created":1776415870,"model":"gpt-5-chat-latest","choices":[{"index":0,"message":{"role":"assistant","content":"Rick Owens Gray Blue Leather Chunky Sole Sneakers","refusal":null,"annotations":[]},"logprobs":null,"finish_reason":"stop"}],"usage":{"prompt_tokens":878,"completion_tokens":10,"total_tokens":888,"prompt_tokens_details":{"cached_tokens":0,"audio_tokens":0},"completion_tokens_details":{"reasoning_tokens":0,"audio_tokens":0,"accepted_prediction_tokens":0,"rejected_prediction_tokens":0}},"service_tier":"default","system_fingerprint":"fp_ad66631dec"}</t>
  </si>
  <si>
    <t>Rick Owens Gray Blue Leather Chunky Sole Sneakers</t>
  </si>
  <si>
    <t>{"choices":[{"finish_reason":"stop","index":0,"logprobs":null,"message":{"annotations":[],"content":"Rick Owens gray-blue low-top sneakers crafted from premium leather and suede, featuring a chunky sole for comfort, minimalist futuristic design, unisex fit, perfect for streetwear and daily style.","refusal":null,"role":"assistant"}}],"created":1776414798,"id":"chatcmpl-DVYvWWGVYrfknRsZ9QU3i9LFw86Yk","model":"gpt-5-chat-latest","object":"chat.completion","service_tier":"default","system_fingerprint":"fp_ad66631dec","usage":{"completion_tokens":38,"completion_tokens_details":{"accepted_prediction_tokens":0,"audio_tokens":0,"reasoning_tokens":0,"rejected_prediction_tokens":0},"prompt_tokens":931,"prompt_tokens_details":{"audio_tokens":0,"cached_tokens":0},"total_tokens":969}}</t>
  </si>
  <si>
    <t>Rick Owens gray-blue low-top sneakers crafted from premium leather and suede, featuring a chunky sole for comfort, minimalist futuristic design, unisex fit, perfect for streetwear and daily style.</t>
  </si>
  <si>
    <t>{"id":"chatcmpl-DVZZWpFpLf7OEHEs0rHDQpa7pKuqu","object":"chat.completion","created":1776417278,"model":"gpt-5-chat-latest","choices":[{"index":0,"message":{"role":"assistant","content":"Rick Owens, Shoes, kakobuy, kakebuy2026, kekobuysheet, kakobuysheet2026, 2026kakobuy, kakobuyspreadsheeet, kakobuylink, kakebuylist, Kakobuy MEGA Spreadsheet, kakobuysheetfind, kakobuysheetfind2026, 2026kakobuysheetfind, kakobuysheet2026","refusal":null,"annotations":[]},"logprobs":null,"finish_reason":"stop"}],"usage":{"prompt_tokens":783,"completion_tokens":91,"total_tokens":874,"prompt_tokens_details":{"cached_tokens":0,"audio_tokens":0},"completion_tokens_details":{"reasoning_tokens":0,"audio_tokens":0,"accepted_prediction_tokens":0,"rejected_prediction_tokens":0}},"service_tier":"default","system_fingerprint":"fp_ad66631dec"}</t>
  </si>
  <si>
    <t>Rick Owens, Leather, Suede, Minimalist, Unisex, Streetwear</t>
  </si>
  <si>
    <t>recvh0B9A7XP1e</t>
  </si>
  <si>
    <t>rick-owens-gray-blue-leather-chunky-sole-recvh0b9a7xp1e</t>
  </si>
  <si>
    <t>{"choices":[{"finish_reason":"stop","index":0,"logprobs":null,"message":{"annotations":[],"content":"Rick Owens：灰蓝色低帮休闲运动鞋，采用优质皮革拼接麂皮材质，厚底设计增高舒适，线条简洁利落，彰显极简先锋风格。中性款式适合男女穿搭，搭配品牌标志性未来感设计元素，完美融合街头时尚与高端工艺，适合日常出街或潮流造型。","refusal":null,"role":"assistant"}}],"created":1776412092,"id":"chatcmpl-DVYDsU3z8EsBnPGh7pHGf0nZE8GaN","model":"gpt-5-chat-latest","object":"chat.completion","service_tier":"default","system_fingerprint":"fp_ad66631dec","usage":{"completion_tokens":96,"completion_tokens_details":{"accepted_prediction_tokens":0,"audio_tokens":0,"reasoning_tokens":0,"rejected_prediction_tokens":0},"prompt_tokens":1302,"prompt_tokens_details":{"audio_tokens":0,"cached_tokens":1280},"total_tokens":1398}}</t>
  </si>
  <si>
    <t>Rick Owens：灰蓝色低帮休闲运动鞋，采用优质皮革拼接麂皮材质，厚底设计增高舒适，线条简洁利落，彰显极简先锋风格。中性款式适合男女穿搭，搭配品牌标志性未来感设计元素，完美融合街头时尚与高端工艺，适合日常出街或潮流造型。</t>
  </si>
  <si>
    <t>{"choices":[{"finish_reason":"stop","index":0,"logprobs":null,"message":{"annotations":[],"content":"Rick Owens Gray Leather Platform Sneakers","refusal":null,"role":"assistant"}}],"created":1776416210,"id":"chatcmpl-DVZIIbPqjownBRydm0QEQT5fBMSCZ","model":"gpt-5-chat-latest","object":"chat.completion","service_tier":"default","system_fingerprint":"fp_ad66631dec","usage":{"completion_tokens":7,"completion_tokens_details":{"accepted_prediction_tokens":0,"audio_tokens":0,"reasoning_tokens":0,"rejected_prediction_tokens":0},"prompt_tokens":866,"prompt_tokens_details":{"audio_tokens":0,"cached_tokens":0},"total_tokens":873}}</t>
  </si>
  <si>
    <t>Rick Owens Gray Leather Platform Sneakers</t>
  </si>
  <si>
    <t>{"id":"chatcmpl-DVYx8RbXlX0QzAzV6UAUOWFCg2PW7","object":"chat.completion","created":1776414898,"model":"gpt-5-chat-latest","choices":[{"index":0,"message":{"role":"assistant","content":"Rick Owens gray low-top platform sneakers in premium leather with a rubber sole, minimalist geometric design, avant-garde unisex style, futuristic urban streetwear fit.","refusal":null,"annotations":[]},"logprobs":null,"finish_reason":"stop"}],"usage":{"prompt_tokens":903,"completion_tokens":32,"total_tokens":935,"prompt_tokens_details":{"cached_tokens":0,"audio_tokens":0},"completion_tokens_details":{"reasoning_tokens":0,"audio_tokens":0,"accepted_prediction_tokens":0,"rejected_prediction_tokens":0}},"service_tier":"default","system_fingerprint":"fp_ad66631dec"}</t>
  </si>
  <si>
    <t>Rick Owens gray low-top platform sneakers in premium leather with a rubber sole, minimalist geometric design, avant-garde unisex style, futuristic urban streetwear fit.</t>
  </si>
  <si>
    <t>{"choices":[{"finish_reason":"stop","index":0,"logprobs":null,"message":{"annotations":[],"content":"Rick Owens, Shoes, kakobuy, kakebuy2026, kekobuysheet, kakobuysheet2026, 2026kakobuy, kakobuyspreadsheet, kakobuylink, kakebuylist, Kakobuy MEGA Spreadsheet, kakobuysheetfind, kakobuysheetfind2026, 2026kakobuysheetfind, kakobuysheet2026","refusal":null,"role":"assistant"}}],"created":1776416858,"id":"chatcmpl-DVZSkmy81zYgDhg5mPY6gkBej88FQ","model":"gpt-5-chat-latest","object":"chat.completion","service_tier":"default","system_fingerprint":"fp_ad66631dec","usage":{"completion_tokens":89,"completion_tokens_details":{"accepted_prediction_tokens":0,"audio_tokens":0,"reasoning_tokens":0,"rejected_prediction_tokens":0},"prompt_tokens":783,"prompt_tokens_details":{"audio_tokens":0,"cached_tokens":0},"total_tokens":872}}</t>
  </si>
  <si>
    <t>Rick Owens, Shoes, kakobuy, kakebuy2026, kekobuysheet, kakobuysheet2026, 2026kakobuy, kakobuyspreadsheet, kakobuylink, kakebuylist, Kakobuy MEGA Spreadsheet, kakobuysheetfind, kakobuysheetfind2026, 2026kakobuysheetfind, kakobuysheet2026</t>
  </si>
  <si>
    <t>Rick Owens, Leather, Rubber Sole, Minimalist, Geometric, Unisex</t>
  </si>
  <si>
    <t>recvh0B9A71YCQ</t>
  </si>
  <si>
    <t>rick-owens-gray-leather-platform-recvh0b9a71ycq</t>
  </si>
  <si>
    <t>{"choices":[{"finish_reason":"stop","index":0,"logprobs":null,"message":{"annotations":[],"content":"Rick Owens：灰色低帮厚底休闲鞋，采用优质皮革与橡胶大底，极简几何线条设计，彰显先锋美学。中性款式，都市冷感风格，融合未来感与实穿性，适合日常街头穿搭。","refusal":null,"role":"assistant"}}],"created":1776411949,"id":"chatcmpl-DVYBZBMqfSiKXWOjtK0xLZAUGKe28","model":"gpt-5-chat-latest","object":"chat.completion","service_tier":"default","system_fingerprint":"fp_ad66631dec","usage":{"completion_tokens":68,"completion_tokens_details":{"accepted_prediction_tokens":0,"audio_tokens":0,"reasoning_tokens":0,"rejected_prediction_tokens":0},"prompt_tokens":1302,"prompt_tokens_details":{"audio_tokens":0,"cached_tokens":0},"total_tokens":1370}}</t>
  </si>
  <si>
    <t>Rick Owens：灰色低帮厚底休闲鞋，采用优质皮革与橡胶大底，极简几何线条设计，彰显先锋美学。中性款式，都市冷感风格，融合未来感与实穿性，适合日常街头穿搭。</t>
  </si>
  <si>
    <t>T-Shirts</t>
  </si>
  <si>
    <t>156</t>
  </si>
  <si>
    <t>{"id":"chatcmpl-DVZCyuGGGGdHNRfAZqFwSwX4TEl6H","object":"chat.completion","created":1776415880,"model":"gpt-5-chat-latest","choices":[{"index":0,"message":{"role":"assistant","content":"Rick Owens Black Handwritten Print Cotton T-Shirt","refusal":null,"annotations":[]},"logprobs":null,"finish_reason":"stop"}],"usage":{"prompt_tokens":862,"completion_tokens":10,"total_tokens":872,"prompt_tokens_details":{"cached_tokens":0,"audio_tokens":0},"completion_tokens_details":{"reasoning_tokens":0,"audio_tokens":0,"accepted_prediction_tokens":0,"rejected_prediction_tokens":0}},"service_tier":"default","system_fingerprint":"fp_ad66631dec"}</t>
  </si>
  <si>
    <t>Rick Owens Black Handwritten Print Cotton T-Shirt</t>
  </si>
  <si>
    <t>{"id":"chatcmpl-DVYwRo65neOdv80uUeRy1kV2h5J3k","object":"chat.completion","created":1776414855,"model":"gpt-5-chat-latest","choices":[{"index":0,"message":{"role":"assistant","content":"Rick Owens black print T-shirt crafted from soft cotton, featuring signature handwritten design front and back. Unisex minimalist style for modern urban casual look.","refusal":null,"annotations":[]},"logprobs":null,"finish_reason":"stop"}],"usage":{"prompt_tokens":891,"completion_tokens":30,"total_tokens":921,"prompt_tokens_details":{"cached_tokens":0,"audio_tokens":0},"completion_tokens_details":{"reasoning_tokens":0,"audio_tokens":0,"accepted_prediction_tokens":0,"rejected_prediction_tokens":0}},"service_tier":"default","system_fingerprint":"fp_ad66631dec"}</t>
  </si>
  <si>
    <t>Rick Owens black print T-shirt crafted from soft cotton, featuring signature handwritten design front and back. Unisex minimalist style for modern urban casual look.</t>
  </si>
  <si>
    <t>{"choices":[{"finish_reason":"stop","index":0,"logprobs":null,"message":{"annotations":[],"content":"Rick Owens, T-Shirts, kakobuy, kakebuy2026, kekobuysheet, kakobuysheet2026, 2026kakobuy, kakobuyspreadsheeet, kakobuylink, kakebuylist, Kakobuy MEGA Spreadsheet, kakobuysheetfind, kakobuysheetfind2026, 2026kakobuysheetfind, kakobuysheet2026","refusal":null,"role":"assistant"}}],"created":1776416825,"id":"chatcmpl-DVZSDEJxziYGJ2SrLtUxAd1rknnim","model":"gpt-5-chat-latest","object":"chat.completion","service_tier":"default","system_fingerprint":"fp_ad66631dec","usage":{"completion_tokens":92,"completion_tokens_details":{"accepted_prediction_tokens":0,"audio_tokens":0,"reasoning_tokens":0,"rejected_prediction_tokens":0},"prompt_tokens":783,"prompt_tokens_details":{"audio_tokens":0,"cached_tokens":0},"total_tokens":875}}</t>
  </si>
  <si>
    <t>Rick Owens, T-Shirts, kakobuy, kakebuy2026, kekobuysheet, kakobuysheet2026, 2026kakobuy, kakobuyspreadsheeet, kakobuylink, kakebuylist, Kakobuy MEGA Spreadsheet, kakobuysheetfind, kakobuysheetfind2026, 2026kakobuysheetfind, kakobuysheet2026</t>
  </si>
  <si>
    <t>Rick Owens, Black, Minimalist, Modern, Unisex</t>
  </si>
  <si>
    <t>recvh0B9A7Vxuj</t>
  </si>
  <si>
    <t>rick-owens-black-handwritten-print-cotton-tshirt-recvh0b9a7vxuj</t>
  </si>
  <si>
    <t>{"id":"chatcmpl-DVYAlGdAa3D6ceD6WE5fYweRqRSa9","object":"chat.completion","created":1776411899,"model":"gpt-5-chat-latest","choices":[{"index":0,"message":{"role":"assistant","content":"Rick Owens黑色印花T恤，柔软纯棉面料打造，正反面签名式手写字样设计，简约中彰显前卫艺术美学，男女皆宜，适合现代都市休闲穿搭。","refusal":null,"annotations":[]},"logprobs":null,"finish_reason":"stop"}],"usage":{"prompt_tokens":1302,"completion_tokens":56,"total_tokens":1358,"prompt_tokens_details":{"cached_tokens":0,"audio_tokens":0},"completion_tokens_details":{"reasoning_tokens":0,"audio_tokens":0,"accepted_prediction_tokens":0,"rejected_prediction_tokens":0}},"service_tier":"default","system_fingerprint":"fp_ad66631dec"}</t>
  </si>
  <si>
    <t>Rick Owens黑色印花T恤，柔软纯棉面料打造，正反面签名式手写字样设计，简约中彰显前卫艺术美学，男女皆宜，适合现代都市休闲穿搭。</t>
  </si>
  <si>
    <t>176</t>
  </si>
  <si>
    <t>{"id":"chatcmpl-DVZHsOn2baS4sxDzFwQCIIB2DiEyU","object":"chat.completion","created":1776416184,"model":"gpt-5-chat-latest","choices":[{"index":0,"message":{"role":"assistant","content":"Rick Owens White Cotton Unisex Minimalist T-Shirt","refusal":null,"annotations":[]},"logprobs":null,"finish_reason":"stop"}],"usage":{"prompt_tokens":874,"completion_tokens":11,"total_tokens":885,"prompt_tokens_details":{"cached_tokens":0,"audio_tokens":0},"completion_tokens_details":{"reasoning_tokens":0,"audio_tokens":0,"accepted_prediction_tokens":0,"rejected_prediction_tokens":0}},"service_tier":"default","system_fingerprint":"fp_ad66631dec"}</t>
  </si>
  <si>
    <t>Rick Owens White Cotton Unisex Minimalist T-Shirt</t>
  </si>
  <si>
    <t>{"choices":[{"finish_reason":"stop","index":0,"logprobs":null,"message":{"annotations":[],"content":"Rick Owens White Minimalist T-Shirt crafted from premium high-density cotton, soft and breathable. Features black signature embroidery, sleek unisex fit, blending street style with modern elegance.","refusal":null,"role":"assistant"}}],"created":1776415221,"id":"chatcmpl-DVZ2LSIuvLkodhQXrS6Y7c5fEpRWR","model":"gpt-5-chat-latest","object":"chat.completion","service_tier":"default","system_fingerprint":"fp_ad66631dec","usage":{"completion_tokens":36,"completion_tokens_details":{"accepted_prediction_tokens":0,"audio_tokens":0,"reasoning_tokens":0,"rejected_prediction_tokens":0},"prompt_tokens":914,"prompt_tokens_details":{"audio_tokens":0,"cached_tokens":0},"total_tokens":950}}</t>
  </si>
  <si>
    <t>Rick Owens White Minimalist T-Shirt crafted from premium high-density cotton, soft and breathable. Features black signature embroidery, sleek unisex fit, blending street style with modern elegance.</t>
  </si>
  <si>
    <t>{"choices":[{"finish_reason":"stop","index":0,"logprobs":null,"message":{"annotations":[],"content":"Rick Owens, T-Shirts, kakobuy, kakebuy2026, kekobuysheet, kakobuysheet2026, 2026kakobuy, kakobuyspreadsheeet, kakobuylink, kakebuylist, Kakobuy MEGA Spreadsheet, kakobuysheetfind, kakobuysheetfind2026, 2026kakobuysheetfind, kakobuysheet2026","refusal":null,"role":"assistant"}}],"created":1776417099,"id":"chatcmpl-DVZWdIUyqLjcHjfgBsiGYqL2Z6Mws","model":"gpt-5-chat-latest","object":"chat.completion","service_tier":"default","system_fingerprint":"fp_ad66631dec","usage":{"completion_tokens":92,"completion_tokens_details":{"accepted_prediction_tokens":0,"audio_tokens":0,"reasoning_tokens":0,"rejected_prediction_tokens":0},"prompt_tokens":783,"prompt_tokens_details":{"audio_tokens":0,"cached_tokens":0},"total_tokens":875}}</t>
  </si>
  <si>
    <t>Rick Owens, White, Minimalist, Street, Unisex</t>
  </si>
  <si>
    <t>recvh0B9A7hoBG</t>
  </si>
  <si>
    <t>rick-owens-white-cotton-unisex-minimalist-t-shirt-recvh0b9a7hobg</t>
  </si>
  <si>
    <t>{"choices":[{"finish_reason":"stop","index":0,"logprobs":null,"message":{"annotations":[],"content":"Rick Owens：白色极简系列短袖T恤，甄选高密度纯棉材质，柔软透气。胸前黑色签名刺绣彰显品牌先锋设计感，整体剪裁利落，适合男女通穿，融合极简与街头风格，展现当代时尚态度。","refusal":null,"role":"assistant"}}],"created":1776412050,"id":"chatcmpl-DVYDCex2CdG01doOnYbJ17bCyWSRh","model":"gpt-5-chat-latest","object":"chat.completion","service_tier":"default","system_fingerprint":"fp_ad66631dec","usage":{"completion_tokens":78,"completion_tokens_details":{"accepted_prediction_tokens":0,"audio_tokens":0,"reasoning_tokens":0,"rejected_prediction_tokens":0},"prompt_tokens":1304,"prompt_tokens_details":{"audio_tokens":0,"cached_tokens":1280},"total_tokens":1382}}</t>
  </si>
  <si>
    <t>Rick Owens：白色极简系列短袖T恤，甄选高密度纯棉材质，柔软透气。胸前黑色签名刺绣彰显品牌先锋设计感，整体剪裁利落，适合男女通穿，融合极简与街头风格，展现当代时尚态度。</t>
  </si>
  <si>
    <t>{"choices":[{"finish_reason":"stop","index":0,"logprobs":null,"message":{"annotations":[],"content":"Rick Owens Black Logo Unisex Cotton T-Shirt","refusal":null,"role":"assistant"}}],"created":1776416387,"id":"chatcmpl-DVZL90q9KqEj4nSZ1cxaCSLZ0JxoE","model":"gpt-5-chat-latest","object":"chat.completion","service_tier":"default","system_fingerprint":"fp_ad66631dec","usage":{"completion_tokens":10,"completion_tokens_details":{"accepted_prediction_tokens":0,"audio_tokens":0,"reasoning_tokens":0,"rejected_prediction_tokens":0},"prompt_tokens":882,"prompt_tokens_details":{"audio_tokens":0,"cached_tokens":0},"total_tokens":892}}</t>
  </si>
  <si>
    <t>Rick Owens Black Logo Unisex Cotton T-Shirt</t>
  </si>
  <si>
    <t>{"choices":[{"finish_reason":"stop","index":0,"logprobs":null,"message":{"annotations":[],"content":"Rick Owens black signature logo T-shirt in high-density cotton, soft yet structured with minimalist crew neck, white hand-stitched logo, unisex loose fit, modern street dark avant-garde style.","refusal":null,"role":"assistant"}}],"created":1776414894,"id":"chatcmpl-DVYx4YpmMEgu43FBqKZe8qeho7P71","model":"gpt-5-chat-latest","object":"chat.completion","service_tier":"default","system_fingerprint":"fp_ad66631dec","usage":{"completion_tokens":40,"completion_tokens_details":{"accepted_prediction_tokens":0,"audio_tokens":0,"reasoning_tokens":0,"rejected_prediction_tokens":0},"prompt_tokens":930,"prompt_tokens_details":{"audio_tokens":0,"cached_tokens":0},"total_tokens":970}}</t>
  </si>
  <si>
    <t>Rick Owens black signature logo T-shirt in high-density cotton, soft yet structured with minimalist crew neck, white hand-stitched logo, unisex loose fit, modern street dark avant-garde style.</t>
  </si>
  <si>
    <t>{"choices":[{"finish_reason":"stop","index":0,"logprobs":null,"message":{"annotations":[],"content":"Rick Owens,T-Shirts,kakobuy,kakebuy2026,kekobuysheet,kakobuysheet2026,2026kakobuy,kakobuyspreadsheeet,kakobuylink,kakebuylist,Kakobuy MEGA Spreadsheet,kakobuysheetfind,kakobuysheetfind2026,2026kakobuysheetfind,kakobuysheet2026","refusal":null,"role":"assistant"}}],"created":1776417201,"id":"chatcmpl-DVZYHcUU8x2YxYC8noehrvDJtgPGu","model":"gpt-5-chat-latest","object":"chat.completion","service_tier":"default","system_fingerprint":"fp_ad66631dec","usage":{"completion_tokens":87,"completion_tokens_details":{"accepted_prediction_tokens":0,"audio_tokens":0,"reasoning_tokens":0,"rejected_prediction_tokens":0},"prompt_tokens":783,"prompt_tokens_details":{"audio_tokens":0,"cached_tokens":0},"total_tokens":870}}</t>
  </si>
  <si>
    <t>Rick Owens,T-Shirts,kakobuy,kakebuy2026,kekobuysheet,kakobuysheet2026,2026kakobuy,kakobuyspreadsheeet,kakobuylink,kakebuylist,Kakobuy MEGA Spreadsheet,kakobuysheetfind,kakobuysheetfind2026,2026kakobuysheetfind,kakobuysheet2026</t>
  </si>
  <si>
    <t>Rick Owens, Black, Minimalist, Street, Unisex</t>
  </si>
  <si>
    <t>recvh0B9A7ElOM</t>
  </si>
  <si>
    <t>rick-owens-black-logo-cotton-tshirt-recvh0b9a7elom</t>
  </si>
  <si>
    <t>{"choices":[{"finish_reason":"stop","index":0,"logprobs":null,"message":{"annotations":[],"content":"Rick Owens 黑色签名字母印花短袖T恤，甄选高密度棉质面料，质感柔软挺括。极简圆领设计搭配白色品牌手写Logo刺绣，展现先锋暗黑美学。宽松中性版型，适合男女穿搭，融合当代极简与街头风格，彰显独立个性与前卫态度。","refusal":null,"role":"assistant"}}],"created":1776412171,"id":"chatcmpl-DVYF9pReR5O8WCOvJKhfPFUYUUMDE","model":"gpt-5-chat-latest","object":"chat.completion","service_tier":"default","system_fingerprint":"fp_ad66631dec","usage":{"completion_tokens":96,"completion_tokens_details":{"accepted_prediction_tokens":0,"audio_tokens":0,"reasoning_tokens":0,"rejected_prediction_tokens":0},"prompt_tokens":1300,"prompt_tokens_details":{"audio_tokens":0,"cached_tokens":1280},"total_tokens":1396}}</t>
  </si>
  <si>
    <t>Rick Owens 黑色签名字母印花短袖T恤，甄选高密度棉质面料，质感柔软挺括。极简圆领设计搭配白色品牌手写Logo刺绣，展现先锋暗黑美学。宽松中性版型，适合男女穿搭，融合当代极简与街头风格，彰显独立个性与前卫态度。</t>
  </si>
  <si>
    <t>{"choices":[{"finish_reason":"stop","index":0,"logprobs":null,"message":{"annotations":[],"content":"Acne Studios Silver Metallic Velcro Chunky Unisex Sneakers","refusal":null,"role":"assistant"}}],"created":1776415859,"id":"chatcmpl-DVZCdOg7mHJ9msXbP9YyIiS992mtZ","model":"gpt-5-chat-latest","object":"chat.completion","service_tier":"default","system_fingerprint":"fp_ad66631dec","usage":{"completion_tokens":13,"completion_tokens_details":{"accepted_prediction_tokens":0,"audio_tokens":0,"reasoning_tokens":0,"rejected_prediction_tokens":0},"prompt_tokens":597,"prompt_tokens_details":{"audio_tokens":0,"cached_tokens":0},"total_tokens":610}}</t>
  </si>
  <si>
    <t>Acne Studios Silver Metallic Velcro Chunky Unisex Sneakers</t>
  </si>
  <si>
    <t>{"choices":[{"finish_reason":"stop","index":0,"logprobs":null,"message":{"annotations":[],"content":"Acne Studios Silver Futuristic Chunky Sneakers – crafted from metallic leather with triple Velcro straps, unisex design, modern streetwear look, ultimate comfort for everyday urban style.","refusal":null,"role":"assistant"}}],"created":1776415046,"id":"chatcmpl-DVYzWLosCZ9CMDUnHRlaZI09csPp0","model":"gpt-5-chat-latest","object":"chat.completion","service_tier":"default","system_fingerprint":"fp_ad66631dec","usage":{"completion_tokens":37,"completion_tokens_details":{"accepted_prediction_tokens":0,"audio_tokens":0,"reasoning_tokens":0,"rejected_prediction_tokens":0},"prompt_tokens":613,"prompt_tokens_details":{"audio_tokens":0,"cached_tokens":0},"total_tokens":650}}</t>
  </si>
  <si>
    <t>Acne Studios Silver Futuristic Chunky Sneakers – crafted from metallic leather with triple Velcro straps, unisex design, modern streetwear look, ultimate comfort for everyday urban style.</t>
  </si>
  <si>
    <t>{"choices":[{"finish_reason":"stop","index":0,"logprobs":null,"message":{"annotations":[],"content":"Acne Studios, Shoes, kakobuy, kakebuy2026, kekobuysheet, kakobuysheet2026, 2026kakobuy, kakobuyspreadsheeet, kakobuylink, kakebuylist, Kakobuy MEGA Spreadsheet, kakobuysheetfind, kakobuysheetfind2026, 2026kakobuysheetfind, kakobuysheet2026","refusal":null,"role":"assistant"}}],"created":1776417166,"id":"chatcmpl-DVZXiNLx40czyej8wCdGoWYa4xVlH","model":"gpt-5-chat-latest","object":"chat.completion","service_tier":"default","system_fingerprint":"fp_ad66631dec","usage":{"completion_tokens":92,"completion_tokens_details":{"accepted_prediction_tokens":0,"audio_tokens":0,"reasoning_tokens":0,"rejected_prediction_tokens":0},"prompt_tokens":504,"prompt_tokens_details":{"audio_tokens":0,"cached_tokens":0},"total_tokens":596}}</t>
  </si>
  <si>
    <t>Silver, Streetwear, Unisex, Leather, Sneakers, Modern</t>
  </si>
  <si>
    <t>recvh0B9A7FV0s</t>
  </si>
  <si>
    <t>acne-studios-silver-metallic-velcro-chunky-unisex-recvh0b9a7fv0s</t>
  </si>
  <si>
    <t>{"id":"chatcmpl-DVYEDJ3bQ9hUXdEzAZumHlMfN9Yo8","object":"chat.completion","created":1776412113,"model":"gpt-5-chat-latest","choices":[{"index":0,"message":{"role":"assistant","content":"Acne Studios 银色未来感厚底运动鞋，采用闪亮金属质感皮革打造，配三重魔术贴设计，极具街头先锋风格与舒适脚感，男女通用款，现代都市休闲必备。","refusal":null,"annotations":[]},"logprobs":null,"finish_reason":"stop"}],"usage":{"prompt_tokens":1024,"completion_tokens":57,"total_tokens":1081,"prompt_tokens_details":{"cached_tokens":0,"audio_tokens":0},"completion_tokens_details":{"reasoning_tokens":0,"audio_tokens":0,"accepted_prediction_tokens":0,"rejected_prediction_tokens":0}},"service_tier":"default","system_fingerprint":"fp_ad66631dec"}</t>
  </si>
  <si>
    <t>Acne Studios 银色未来感厚底运动鞋，采用闪亮金属质感皮革打造，配三重魔术贴设计，极具街头先锋风格与舒适脚感，男女通用款，现代都市休闲必备。</t>
  </si>
  <si>
    <t>{"id":"chatcmpl-DVZBt1R3hCwlgHouiDLGqe17Ng7nu","object":"chat.completion","created":1776415813,"model":"gpt-5-chat-latest","choices":[{"index":0,"message":{"role":"assistant","content":"Acne Studios Grey Silver Leather Suede Low Top Sneakers","refusal":null,"annotations":[]},"logprobs":null,"finish_reason":"stop"}],"usage":{"prompt_tokens":875,"completion_tokens":12,"total_tokens":887,"prompt_tokens_details":{"cached_tokens":0,"audio_tokens":0},"completion_tokens_details":{"reasoning_tokens":0,"audio_tokens":0,"accepted_prediction_tokens":0,"rejected_prediction_tokens":0}},"service_tier":"default","system_fingerprint":"fp_ad66631dec"}</t>
  </si>
  <si>
    <t>Acne Studios Grey Silver Leather Suede Low Top Sneakers</t>
  </si>
  <si>
    <t>{"choices":[{"content_filter_result":{"error":{"code":"content_filter_error","message":"The contents are not filtered"}},"finish_reason":"stop","index":0,"logprobs":null,"message":{"annotations":[],"content":"Acne Studios Grey Silver Low-Top Sneakers blend leather and suede with a sleek metallic finish, non-slip rubber sole, and minimalist Nordic style for everyday urban and street fashion.","refusal":null,"role":"assistant"}}],"created":1776414947,"id":"chatcmpl-DVYxv5txi6S08pywt9ol4YUpKZnUu","model":"gpt-5-chat-latest","object":"chat.completion","service_tier":"default","system_fingerprint":"fp_ad66631dec","usage":{"completion_tokens":36,"completion_tokens_details":{"accepted_prediction_tokens":0,"audio_tokens":0,"reasoning_tokens":0,"rejected_prediction_tokens":0},"prompt_tokens":944,"prompt_tokens_details":{"audio_tokens":0,"cached_tokens":0},"total_tokens":980}}</t>
  </si>
  <si>
    <t>Acne Studios Grey Silver Low-Top Sneakers blend leather and suede with a sleek metallic finish, non-slip rubber sole, and minimalist Nordic style for everyday urban and street fashion.</t>
  </si>
  <si>
    <t>{"choices":[{"finish_reason":"stop","index":0,"logprobs":null,"message":{"annotations":[],"content":"Acne Studios, Shoes, kakobuy, kakebuy2026, kekobuysheet, kakobuysheet2026, 2026kakobuy, kakobuyspreadsheeet, kakobuylink, kakebuylist, Kakobuy MEGA Spreadsheet, kakobuysheetfind, kakobuysheetfind2026, 2026kakobuysheetfind, kakobuysheet2026","refusal":null,"role":"assistant"}}],"created":1776417357,"id":"chatcmpl-DVZanbnynFmW8mLxK1Vov1tSkfgdA","model":"gpt-5-chat-latest","object":"chat.completion","service_tier":"default","system_fingerprint":"fp_ad66631dec","usage":{"completion_tokens":92,"completion_tokens_details":{"accepted_prediction_tokens":0,"audio_tokens":0,"reasoning_tokens":0,"rejected_prediction_tokens":0},"prompt_tokens":784,"prompt_tokens_details":{"audio_tokens":0,"cached_tokens":0},"total_tokens":876}}</t>
  </si>
  <si>
    <t>Leather, Suede, Minimalist, Streetwear</t>
  </si>
  <si>
    <t>recvh0B9A7o98K</t>
  </si>
  <si>
    <t>acne-studios-grey-silver-leather-suede-recvh0b9a7o98k</t>
  </si>
  <si>
    <t>{"choices":[{"finish_reason":"stop","index":0,"logprobs":null,"message":{"annotations":[],"content":"Acne Studios：灰银拼色低帮运动鞋，采用真皮与麂皮混搭材质，质感细腻舒适。银色金属光泽营造未来感视觉，搭配经典胶底设计，防滑耐磨。流线造型结合北欧极简风格，男女皆可穿搭，适合日常休闲与街头时尚造型。简约中彰显前卫设计理念，尽显现代都市品味。","refusal":null,"role":"assistant"}}],"created":1776412218,"id":"chatcmpl-DVYFuVGt8Ky0Y6EFfnDPTmFEg8pnU","model":"gpt-5-chat-latest","object":"chat.completion","service_tier":"default","system_fingerprint":"fp_ad66631dec","usage":{"completion_tokens":107,"completion_tokens_details":{"accepted_prediction_tokens":0,"audio_tokens":0,"reasoning_tokens":0,"rejected_prediction_tokens":0},"prompt_tokens":1306,"prompt_tokens_details":{"audio_tokens":0,"cached_tokens":0},"total_tokens":1413}}</t>
  </si>
  <si>
    <t>Acne Studios：灰银拼色低帮运动鞋，采用真皮与麂皮混搭材质，质感细腻舒适。银色金属光泽营造未来感视觉，搭配经典胶底设计，防滑耐磨。流线造型结合北欧极简风格，男女皆可穿搭，适合日常休闲与街头时尚造型。简约中彰显前卫设计理念，尽显现代都市品味。</t>
  </si>
  <si>
    <t>{"choices":[{"finish_reason":"stop","index":0,"logprobs":null,"message":{"annotations":[],"content":"Acne Studios Silver Grey Leather Suede Sneakers","refusal":null,"role":"assistant"}}],"created":1776416075,"id":"chatcmpl-DVZG7x6RqF3MeEAmI8AqbnvpD1yBM","model":"gpt-5-chat-latest","object":"chat.completion","service_tier":"default","system_fingerprint":"fp_ad66631dec","usage":{"completion_tokens":10,"completion_tokens_details":{"accepted_prediction_tokens":0,"audio_tokens":0,"reasoning_tokens":0,"rejected_prediction_tokens":0},"prompt_tokens":877,"prompt_tokens_details":{"audio_tokens":0,"cached_tokens":0},"total_tokens":887}}</t>
  </si>
  <si>
    <t>Acne Studios Silver Grey Leather Suede Sneakers</t>
  </si>
  <si>
    <t>{"choices":[{"finish_reason":"stop","index":0,"logprobs":null,"message":{"annotations":[],"content":"Acne Studios silver-grey patchwork sneakers blend premium leather and suede for a futuristic metallic sheen and retro vibe. Thick rubber sole offers comfort and durability. Unisex urban luxury style.","refusal":null,"role":"assistant"}}],"created":1776414834,"id":"chatcmpl-DVYw64o8sulkX61e7NFigNsl59bil","model":"gpt-5-chat-latest","object":"chat.completion","service_tier":"default","system_fingerprint":"fp_ad66631dec","usage":{"completion_tokens":37,"completion_tokens_details":{"accepted_prediction_tokens":0,"audio_tokens":0,"reasoning_tokens":0,"rejected_prediction_tokens":0},"prompt_tokens":919,"prompt_tokens_details":{"audio_tokens":0,"cached_tokens":0},"total_tokens":956}}</t>
  </si>
  <si>
    <t>Acne Studios silver-grey patchwork sneakers blend premium leather and suede for a futuristic metallic sheen and retro vibe. Thick rubber sole offers comfort and durability. Unisex urban luxury style.</t>
  </si>
  <si>
    <t>{"choices":[{"finish_reason":"stop","index":0,"logprobs":null,"message":{"annotations":[],"content":"Acne Studios, Shoes, kakobuy, kakebuy2026, kekobuysheet, kakobuysheet2026, 2026kakobuy, kakobuyspreadsheeet, kakobuylink, kakebuylist, Kakobuy MEGA Spreadsheet, kakobuysheetfind, kakobuysheetfind2026, 2026kakobuysheetfind, kakobuysheet2026","refusal":null,"role":"assistant"}}],"created":1776416953,"id":"chatcmpl-DVZUHeCpDtOLLpQDPD3M8GJwzXZYb","model":"gpt-5-chat-latest","object":"chat.completion","service_tier":"default","system_fingerprint":"fp_ad66631dec","usage":{"completion_tokens":92,"completion_tokens_details":{"accepted_prediction_tokens":0,"audio_tokens":0,"reasoning_tokens":0,"rejected_prediction_tokens":0},"prompt_tokens":784,"prompt_tokens_details":{"audio_tokens":0,"cached_tokens":0},"total_tokens":876}}</t>
  </si>
  <si>
    <t>Leather, Suede, Retro, Unisex, Silver, Grey</t>
  </si>
  <si>
    <t>recvh0B9A79DMz</t>
  </si>
  <si>
    <t>acne-studios-silver-grey-leather-suede-recvh0b9a79dmz</t>
  </si>
  <si>
    <t>{"choices":[{"finish_reason":"stop","index":0,"logprobs":null,"message":{"annotations":[],"content":"Acne Studios 银灰拼接休闲鞋，采用优质皮革与绒面材质融合设计，呈现未来感金属光泽与复古质感对比，厚底橡胶鞋底减震耐磨，简约系带造型男女皆宜，都市轻奢风格彰显前卫时尚魅力。","refusal":null,"role":"assistant"}}],"created":1776411867,"id":"chatcmpl-DVYAFosapQtDDGcPlYLmNuBhl5bTA","model":"gpt-5-chat-latest","object":"chat.completion","service_tier":"default","system_fingerprint":"fp_ad66631dec","usage":{"completion_tokens":79,"completion_tokens_details":{"accepted_prediction_tokens":0,"audio_tokens":0,"reasoning_tokens":0,"rejected_prediction_tokens":0},"prompt_tokens":1312,"prompt_tokens_details":{"audio_tokens":0,"cached_tokens":0},"total_tokens":1391}}</t>
  </si>
  <si>
    <t>Acne Studios 银灰拼接休闲鞋，采用优质皮革与绒面材质融合设计，呈现未来感金属光泽与复古质感对比，厚底橡胶鞋底减震耐磨，简约系带造型男女皆宜，都市轻奢风格彰显前卫时尚魅力。</t>
  </si>
  <si>
    <t>{"choices":[{"finish_reason":"stop","index":0,"logprobs":null,"message":{"annotations":[],"content":"Acne Studios White Pink Platform Leather Sneakers","refusal":null,"role":"assistant"}}],"created":1776415913,"id":"chatcmpl-DVZDVi03XPqQTgpeEEGhWcMnmYN9E","model":"gpt-5-chat-latest","object":"chat.completion","service_tier":"default","system_fingerprint":"fp_ad66631dec","usage":{"completion_tokens":9,"completion_tokens_details":{"accepted_prediction_tokens":0,"audio_tokens":0,"reasoning_tokens":0,"rejected_prediction_tokens":0},"prompt_tokens":871,"prompt_tokens_details":{"audio_tokens":0,"cached_tokens":0},"total_tokens":880}}</t>
  </si>
  <si>
    <t>Acne Studios White Pink Platform Leather Sneakers</t>
  </si>
  <si>
    <t>{"choices":[{"finish_reason":"stop","index":0,"logprobs":null,"message":{"annotations":[],"content":"Acne Studios white and pink platform sneakers crafted from soft leather, featuring a sleek minimalist Nordic design. Gender-neutral style enhances body proportions with a modern urban fashion vibe.","refusal":null,"role":"assistant"}}],"created":1776415033,"id":"chatcmpl-DVYzJ9GwHxulX6fiI9QydiNs1mp2f","model":"gpt-5-chat-latest","object":"chat.completion","service_tier":"default","system_fingerprint":"fp_ad66631dec","usage":{"completion_tokens":34,"completion_tokens_details":{"accepted_prediction_tokens":0,"audio_tokens":0,"reasoning_tokens":0,"rejected_prediction_tokens":0},"prompt_tokens":895,"prompt_tokens_details":{"audio_tokens":0,"cached_tokens":0},"total_tokens":929}}</t>
  </si>
  <si>
    <t>Acne Studios white and pink platform sneakers crafted from soft leather, featuring a sleek minimalist Nordic design. Gender-neutral style enhances body proportions with a modern urban fashion vibe.</t>
  </si>
  <si>
    <t>{"choices":[{"finish_reason":"stop","index":0,"logprobs":null,"message":{"annotations":[],"content":"Acne Studios, Shoes, kakobuy, kakebuy2026, kekobuysheet, kakobuysheet2026, 2026kakobuy, kakobuyspreadsheeet, kakobuylink, kakebuylist, Kakobuy MEGA Spreadsheet, kakobuysheetfind, kakobuysheetfind2026, 2026kakobuysheetfind, kakobuysheet2026","refusal":null,"role":"assistant"}}],"created":1776416669,"id":"chatcmpl-DVZPhpJff6DIcpgtndPVceEHwtcGK","model":"gpt-5-chat-latest","object":"chat.completion","service_tier":"default","system_fingerprint":"fp_ad66631dec","usage":{"completion_tokens":92,"completion_tokens_details":{"accepted_prediction_tokens":0,"audio_tokens":0,"reasoning_tokens":0,"rejected_prediction_tokens":0},"prompt_tokens":784,"prompt_tokens_details":{"audio_tokens":0,"cached_tokens":0},"total_tokens":876}}</t>
  </si>
  <si>
    <t>Leather Sneakers, Platform Shoes, Minimalist, White, Pink, Unisex</t>
  </si>
  <si>
    <t>recvh0B9A7EGPE</t>
  </si>
  <si>
    <t>acne-studios-white-pink-platform-leather-recvh0b9a7egpe</t>
  </si>
  <si>
    <t>{"choices":[{"finish_reason":"stop","index":0,"logprobs":null,"message":{"annotations":[],"content":"Acne Studios：白粉拼色厚底休闲鞋，甄选柔软牛皮材质，简约流线设计融合北欧极简风格，男女皆宜，提升身形比例，彰显现代都市时尚感。","refusal":null,"role":"assistant"}}],"created":1776412440,"id":"chatcmpl-DVYJUwv4G2AcHZ4Mwg2PqEQABPB36","model":"gpt-5-chat-latest","object":"chat.completion","service_tier":"default","system_fingerprint":"fp_ad66631dec","usage":{"completion_tokens":55,"completion_tokens_details":{"accepted_prediction_tokens":0,"audio_tokens":0,"reasoning_tokens":0,"rejected_prediction_tokens":0},"prompt_tokens":1312,"prompt_tokens_details":{"audio_tokens":0,"cached_tokens":0},"total_tokens":1367}}</t>
  </si>
  <si>
    <t>Acne Studios：白粉拼色厚底休闲鞋，甄选柔软牛皮材质，简约流线设计融合北欧极简风格，男女皆宜，提升身形比例，彰显现代都市时尚感。</t>
  </si>
  <si>
    <t>{"choices":[{"finish_reason":"stop","index":0,"logprobs":null,"message":{"annotations":[],"content":"MCM Orange Logo Rubber Slides Unisex Luxury Sandals","refusal":null,"role":"assistant"}}],"created":1776416202,"id":"chatcmpl-DVZIAcckNk3gUtcQdzQykMySKVvfV","model":"gpt-5-chat-latest","object":"chat.completion","service_tier":"default","system_fingerprint":"fp_ad66631dec","usage":{"completion_tokens":12,"completion_tokens_details":{"accepted_prediction_tokens":0,"audio_tokens":0,"reasoning_tokens":0,"rejected_prediction_tokens":0},"prompt_tokens":865,"prompt_tokens_details":{"audio_tokens":0,"cached_tokens":0},"total_tokens":877}}</t>
  </si>
  <si>
    <t>MCM Orange Logo Rubber Slides Unisex Luxury Sandals</t>
  </si>
  <si>
    <t>{"choices":[{"finish_reason":"stop","index":0,"logprobs":null,"message":{"annotations":[],"content":"MCM Orange Logo Embossed Slides, crafted from flexible rubber with thick anti-slip sole, unisex design blending luxury street style and modern minimalist comfort.","refusal":null,"role":"assistant"}}],"created":1776415049,"id":"chatcmpl-DVYzZCyzP2Asp7OyqP0jISQnPa0Qz","model":"gpt-5-chat-latest","object":"chat.completion","service_tier":"default","system_fingerprint":"fp_ad66631dec","usage":{"completion_tokens":32,"completion_tokens_details":{"accepted_prediction_tokens":0,"audio_tokens":0,"reasoning_tokens":0,"rejected_prediction_tokens":0},"prompt_tokens":886,"prompt_tokens_details":{"audio_tokens":0,"cached_tokens":0},"total_tokens":918}}</t>
  </si>
  <si>
    <t>MCM Orange Logo Embossed Slides, crafted from flexible rubber with thick anti-slip sole, unisex design blending luxury street style and modern minimalist comfort.</t>
  </si>
  <si>
    <t>{"id":"chatcmpl-DVZQ75yMLpmSDXZkX8LJWCMG8uGm5","object":"chat.completion","created":1776416695,"model":"gpt-5-chat-latest","choices":[{"index":0,"message":{"role":"assistant","content":"MCM,slides,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87,"total_tokens":870,"prompt_tokens_details":{"cached_tokens":0,"audio_tokens":0},"completion_tokens_details":{"reasoning_tokens":0,"audio_tokens":0,"accepted_prediction_tokens":0,"rejected_prediction_tokens":0}},"service_tier":"default","system_fingerprint":"fp_ad66631dec"}</t>
  </si>
  <si>
    <t>MCM, Orange, Slides, Rubber, Anti-Slip, Unisex</t>
  </si>
  <si>
    <t>recvh0B9A79FN0</t>
  </si>
  <si>
    <t>mcm-orange-logo-rubber-slides-recvh0b9a79fn0</t>
  </si>
  <si>
    <t>{"id":"chatcmpl-DVYDxRG2paQlVlvqFEVdyyAq0TBOs","object":"chat.completion","created":1776412097,"model":"gpt-5-chat-latest","choices":[{"index":0,"message":{"role":"assistant","content":"MCM：橙色Logo浮雕拖鞋，采用柔韧橡胶材质，厚底防滑设计，彰显奢潮街头风格，男女通用，现代简约休闲鞋履。","refusal":null,"annotations":[]},"logprobs":null,"finish_reason":"stop"}],"usage":{"prompt_tokens":1304,"completion_tokens":51,"total_tokens":1355,"prompt_tokens_details":{"cached_tokens":0,"audio_tokens":0},"completion_tokens_details":{"reasoning_tokens":0,"audio_tokens":0,"accepted_prediction_tokens":0,"rejected_prediction_tokens":0}},"service_tier":"default","system_fingerprint":"fp_ad66631dec"}</t>
  </si>
  <si>
    <t>MCM：橙色Logo浮雕拖鞋，采用柔韧橡胶材质，厚底防滑设计，彰显奢潮街头风格，男女通用，现代简约休闲鞋履。</t>
  </si>
  <si>
    <t>{"choices":[{"finish_reason":"stop","index":0,"logprobs":null,"message":{"annotations":[],"content":"MCM Black Leather Logo Embossed Unisex Slides Sandals","refusal":null,"role":"assistant"}}],"created":1776416328,"id":"chatcmpl-DVZKCBVudXVwF196ZzVxWEVQtJbsC","model":"gpt-5-chat-latest","object":"chat.completion","service_tier":"default","system_fingerprint":"fp_ad66631dec","usage":{"completion_tokens":14,"completion_tokens_details":{"accepted_prediction_tokens":0,"audio_tokens":0,"reasoning_tokens":0,"rejected_prediction_tokens":0},"prompt_tokens":883,"prompt_tokens_details":{"audio_tokens":0,"cached_tokens":0},"total_tokens":897}}</t>
  </si>
  <si>
    <t>MCM Black Leather Logo Embossed Unisex Slides Sandals</t>
  </si>
  <si>
    <t>{"choices":[{"finish_reason":"stop","index":0,"logprobs":null,"message":{"annotations":[],"content":"MCM Black Logo Embossed Slides feature supple leather upper with braided accents, lightweight wear-resistant sole for comfort; unisex design blends modern luxury and casual style, perfect for daily or vacation use.","refusal":null,"role":"assistant"}}],"created":1776415152,"id":"chatcmpl-DVZ1EGdVp5o8PEHDscQPn1iXVBPHj","model":"gpt-5-chat-latest","object":"chat.completion","service_tier":"default","system_fingerprint":"fp_ad66631dec","usage":{"completion_tokens":41,"completion_tokens_details":{"accepted_prediction_tokens":0,"audio_tokens":0,"reasoning_tokens":0,"rejected_prediction_tokens":0},"prompt_tokens":914,"prompt_tokens_details":{"audio_tokens":0,"cached_tokens":0},"total_tokens":955}}</t>
  </si>
  <si>
    <t>MCM Black Logo Embossed Slides feature supple leather upper with braided accents, lightweight wear-resistant sole for comfort; unisex design blends modern luxury and casual style, perfect for daily or vacation use.</t>
  </si>
  <si>
    <t>{"choices":[{"finish_reason":"stop","index":0,"logprobs":null,"message":{"annotations":[],"content":"MCM,shoes,kakobuy,kakebuy2026,kekobuysheet,kakobuysheet2026,2026kakobuy,kakobuyspreadsheeet,kakobuylink,kakebuylist,Kakobuy MEGA Spreadsheet,kakobuysheetfind,kakobuysheetfind2026,2026kakobuysheetfind,kakobuysheet2026","refusal":null,"role":"assistant"}}],"created":1776416823,"id":"chatcmpl-DVZSBgpzcXAfCN6zCh4VE0wJXPX8G","model":"gpt-5-chat-latest","object":"chat.completion","service_tier":"default","system_fingerprint":"fp_ad66631dec","usage":{"completion_tokens":88,"completion_tokens_details":{"accepted_prediction_tokens":0,"audio_tokens":0,"reasoning_tokens":0,"rejected_prediction_tokens":0},"prompt_tokens":783,"prompt_tokens_details":{"audio_tokens":0,"cached_tokens":0},"total_tokens":871}}</t>
  </si>
  <si>
    <t>MCM,shoes,kakobuy,kakebuy2026,kekobuysheet,kakobuysheet2026,2026kakobuy,kakobuyspreadsheeet,kakobuylink,kakebuylist,Kakobuy MEGA Spreadsheet,kakobuysheetfind,kakobuysheetfind2026,2026kakobuysheetfind,kakobuysheet2026</t>
  </si>
  <si>
    <t>MCM, Slides, Leather, Unisex, Black</t>
  </si>
  <si>
    <t>recvh0B9A7dTGy</t>
  </si>
  <si>
    <t>mcm-black-leather-logo-embossed-unisex-slides-recvh0b9a7dtgy</t>
  </si>
  <si>
    <t>{"choices":[{"finish_reason":"stop","index":0,"logprobs":null,"message":{"annotations":[],"content":"MCM：黑色经典Logo压纹休闲拖鞋，精选柔韧皮质鞋面，搭配立体编织装饰设计，质感十足。轻量耐磨鞋底提供舒适穿着体验，男女皆宜，彰显现代都市简约奢华风格，适合日常休闲与度假出行。","refusal":null,"role":"assistant"}}],"created":1776412084,"id":"chatcmpl-DVYDkCMuesTnFZsGs0kqAl7b0ZrON","model":"gpt-5-chat-latest","object":"chat.completion","service_tier":"default","system_fingerprint":"fp_ad66631dec","usage":{"completion_tokens":80,"completion_tokens_details":{"accepted_prediction_tokens":0,"audio_tokens":0,"reasoning_tokens":0,"rejected_prediction_tokens":0},"prompt_tokens":1302,"prompt_tokens_details":{"audio_tokens":0,"cached_tokens":0},"total_tokens":1382}}</t>
  </si>
  <si>
    <t>MCM：黑色经典Logo压纹休闲拖鞋，精选柔韧皮质鞋面，搭配立体编织装饰设计，质感十足。轻量耐磨鞋底提供舒适穿着体验，男女皆宜，彰显现代都市简约奢华风格，适合日常休闲与度假出行。</t>
  </si>
  <si>
    <t>{"id":"chatcmpl-DVZEZMqRr2jw8MaWtGjvv1eGLYtR8","object":"chat.completion","created":1776415979,"model":"gpt-5-chat-latest","choices":[{"index":0,"message":{"role":"assistant","content":"MCM Checkerboard Black White Logo Leather Slide Sandals","refusal":null,"annotations":[]},"logprobs":null,"finish_reason":"stop"}],"usage":{"prompt_tokens":867,"completion_tokens":12,"total_tokens":879,"prompt_tokens_details":{"cached_tokens":0,"audio_tokens":0},"completion_tokens_details":{"reasoning_tokens":0,"audio_tokens":0,"accepted_prediction_tokens":0,"rejected_prediction_tokens":0}},"service_tier":"default","system_fingerprint":"fp_ad66631dec"}</t>
  </si>
  <si>
    <t>MCM Checkerboard Black White Logo Leather Slide Sandals</t>
  </si>
  <si>
    <t>{"choices":[{"finish_reason":"stop","index":0,"logprobs":null,"message":{"annotations":[],"content":"MCM Checkerboard Black White Slides with Logo Leather Strap and Flexible Rubber Sole, Lightweight Unisex Design Blending Street Style and Luxury for Trendy Summer Comfort.","refusal":null,"role":"assistant"}}],"created":1776415150,"id":"chatcmpl-DVZ1CC7U6U8qo9XjCPzRPpvu6Cobb","model":"gpt-5-chat-latest","object":"chat.completion","service_tier":"default","system_fingerprint":"fp_ad66631dec","usage":{"completion_tokens":33,"completion_tokens_details":{"accepted_prediction_tokens":0,"audio_tokens":0,"reasoning_tokens":0,"rejected_prediction_tokens":0},"prompt_tokens":898,"prompt_tokens_details":{"audio_tokens":0,"cached_tokens":0},"total_tokens":931}}</t>
  </si>
  <si>
    <t>MCM Checkerboard Black White Slides with Logo Leather Strap and Flexible Rubber Sole, Lightweight Unisex Design Blending Street Style and Luxury for Trendy Summer Comfort.</t>
  </si>
  <si>
    <t>{"choices":[{"finish_reason":"stop","index":0,"logprobs":null,"message":{"annotations":[],"content":"MCM,slides,kakobuy,kakebuy2026,kekobuysheet,kakobuysheet2026,2026kakobuy,kakobuyspreadsheeet,kakobuylink,kakebuylist,Kakobuy MEGA Spreadsheet,kakobuysheetfind,kakobuysheetfind2026,2026kakobuysheetfind,kakobuysheet2026","refusal":null,"role":"assistant"}}],"created":1776417381,"id":"chatcmpl-DVZbB1G30IEfiOfqQ84OpbaozdqrM","model":"gpt-5-chat-latest","object":"chat.completion","service_tier":"default","system_fingerprint":"fp_ad66631dec","usage":{"completion_tokens":87,"completion_tokens_details":{"accepted_prediction_tokens":0,"audio_tokens":0,"reasoning_tokens":0,"rejected_prediction_tokens":0},"prompt_tokens":783,"prompt_tokens_details":{"audio_tokens":0,"cached_tokens":0},"total_tokens":870}}</t>
  </si>
  <si>
    <t>MCM, Slides, Leather, Rubber Sole, Summer</t>
  </si>
  <si>
    <t>recvh0B9A7TuHg</t>
  </si>
  <si>
    <t>mcm-checkerboard-black-white-logo-slide-sandals-recvh0b9a7tuhg</t>
  </si>
  <si>
    <t>{"choices":[{"finish_reason":"stop","index":0,"logprobs":null,"message":{"annotations":[],"content":"MCM：棋盘格黑白拼色休闲拖鞋，柔韧橡胶鞋底搭配品牌Logo印花皮质鞋带，轻盈舒适，男女皆宜，融合街头潮流与奢华设计，打造夏日时尚百搭单品。","refusal":null,"role":"assistant"}}],"created":1776412060,"id":"chatcmpl-DVYDMEksrwvBQ6dcxKUHuvF7uL70W","model":"gpt-5-chat-latest","object":"chat.completion","service_tier":"default","system_fingerprint":"fp_ad66631dec","usage":{"completion_tokens":65,"completion_tokens_details":{"accepted_prediction_tokens":0,"audio_tokens":0,"reasoning_tokens":0,"rejected_prediction_tokens":0},"prompt_tokens":1300,"prompt_tokens_details":{"audio_tokens":0,"cached_tokens":0},"total_tokens":1365}}</t>
  </si>
  <si>
    <t>MCM：棋盘格黑白拼色休闲拖鞋，柔韧橡胶鞋底搭配品牌Logo印花皮质鞋带，轻盈舒适，男女皆宜，融合街头潮流与奢华设计，打造夏日时尚百搭单品。</t>
  </si>
  <si>
    <t>{"choices":[{"finish_reason":"stop","index":0,"logprobs":null,"message":{"annotations":[],"content":"MCM Classic Orange Checkerboard Leather Slides Sandals","refusal":null,"role":"assistant"}}],"created":1776416108,"id":"chatcmpl-DVZGe6guznLgJ1KdsxvkByBSJJUdI","model":"gpt-5-chat-latest","object":"chat.completion","service_tier":"default","system_fingerprint":"fp_ad66631dec","usage":{"completion_tokens":11,"completion_tokens_details":{"accepted_prediction_tokens":0,"audio_tokens":0,"reasoning_tokens":0,"rejected_prediction_tokens":0},"prompt_tokens":867,"prompt_tokens_details":{"audio_tokens":0,"cached_tokens":0},"total_tokens":878}}</t>
  </si>
  <si>
    <t>MCM Classic Orange Checkerboard Leather Slides Sandals</t>
  </si>
  <si>
    <t>{"id":"chatcmpl-DVZ4TThIjHPJ3Tot4U8oIp3smPyLO","object":"chat.completion","created":1776415353,"model":"gpt-5-chat-latest","choices":[{"index":0,"message":{"role":"assistant","content":"MCM Classic Checkerboard Orange Slides – premium leather upper with logo print, lightweight non-slip rubber sole, unisex summer street style showing luxury and vibrant energy.","refusal":null,"annotations":[]},"logprobs":null,"finish_reason":"stop"}],"usage":{"prompt_tokens":896,"completion_tokens":33,"total_tokens":929,"prompt_tokens_details":{"cached_tokens":0,"audio_tokens":0},"completion_tokens_details":{"reasoning_tokens":0,"audio_tokens":0,"accepted_prediction_tokens":0,"rejected_prediction_tokens":0}},"service_tier":"default","system_fingerprint":"fp_ad66631dec"}</t>
  </si>
  <si>
    <t>MCM Classic Checkerboard Orange Slides – premium leather upper with logo print, lightweight non-slip rubber sole, unisex summer street style showing luxury and vibrant energy.</t>
  </si>
  <si>
    <t>{"choices":[{"finish_reason":"stop","index":0,"logprobs":null,"message":{"annotations":[],"content":"MCM,Shoes,kakobuy,kakebuy2026,kekobuysheet,kakobuysheet2026,2026kakobuy,kakobuyspreadsheeet,kakobuylink,kakebuylist,Kakobuy MEGA Spreadsheet,kakobuysheetfind,kakobuysheetfind2026,2026kakobuysheetfind,kakobuysheet2026","refusal":null,"role":"assistant"}}],"created":1776416768,"id":"chatcmpl-DVZRIIegoFWcS4dZgW7iFaeGa6J2A","model":"gpt-5-chat-latest","object":"chat.completion","service_tier":"default","system_fingerprint":"fp_ad66631dec","usage":{"completion_tokens":87,"completion_tokens_details":{"accepted_prediction_tokens":0,"audio_tokens":0,"reasoning_tokens":0,"rejected_prediction_tokens":0},"prompt_tokens":783,"prompt_tokens_details":{"audio_tokens":0,"cached_tokens":0},"total_tokens":870}}</t>
  </si>
  <si>
    <t>MCM, Slides, Orange, Summer, Leather, Unisex</t>
  </si>
  <si>
    <t>recvh0B9A7l7vE</t>
  </si>
  <si>
    <t>mcm-classic-orange-checkerboard-leather-slides-recvh0b9a7l7ve</t>
  </si>
  <si>
    <t>{"choices":[{"finish_reason":"stop","index":0,"logprobs":null,"message":{"annotations":[],"content":"MCM：经典棋盘格橙色休闲沙滩拖鞋，优质皮革鞋面搭配品牌Logo印花设计，轻盈橡胶鞋底舒适防滑，中性款夏日街头风，彰显奢华活力格调。","refusal":null,"role":"assistant"}}],"created":1776412176,"id":"chatcmpl-DVYFE6qN3B8RfMXWia3VmdFk7jywQ","model":"gpt-5-chat-latest","object":"chat.completion","service_tier":"default","system_fingerprint":"fp_ad66631dec","usage":{"completion_tokens":63,"completion_tokens_details":{"accepted_prediction_tokens":0,"audio_tokens":0,"reasoning_tokens":0,"rejected_prediction_tokens":0},"prompt_tokens":1300,"prompt_tokens_details":{"audio_tokens":0,"cached_tokens":0},"total_tokens":1363}}</t>
  </si>
  <si>
    <t>MCM：经典棋盘格橙色休闲沙滩拖鞋，优质皮革鞋面搭配品牌Logo印花设计，轻盈橡胶鞋底舒适防滑，中性款夏日街头风，彰显奢华活力格调。</t>
  </si>
  <si>
    <t>{"id":"chatcmpl-DVZGowzujfqleNi64qa9cCyPYD6tQ","object":"chat.completion","created":1776416118,"model":"gpt-5-chat-latest","choices":[{"index":0,"message":{"role":"assistant","content":"MCM White Embossed Logo Rubber Slides Sandals","refusal":null,"annotations":[]},"logprobs":null,"finish_reason":"stop"}],"usage":{"prompt_tokens":873,"completion_tokens":12,"total_tokens":885,"prompt_tokens_details":{"cached_tokens":0,"audio_tokens":0},"completion_tokens_details":{"reasoning_tokens":0,"audio_tokens":0,"accepted_prediction_tokens":0,"rejected_prediction_tokens":0}},"service_tier":"default","system_fingerprint":"fp_ad66631dec"}</t>
  </si>
  <si>
    <t>MCM White Embossed Logo Rubber Slides Sandals</t>
  </si>
  <si>
    <t>{"id":"chatcmpl-DVYwWHzyoTUrbNByVqo0vffUG8axF","object":"chat.completion","created":1776414860,"model":"gpt-5-chat-latest","choices":[{"index":0,"message":{"role":"assistant","content":"MCM White Embossed Logo Slides – crafted from soft rubber, minimalist design with iconic branding, lightweight comfort for men and women, embodying modern urban luxury casual style.","refusal":null,"annotations":[]},"logprobs":null,"finish_reason":"stop"}],"usage":{"prompt_tokens":886,"completion_tokens":36,"total_tokens":922,"prompt_tokens_details":{"cached_tokens":0,"audio_tokens":0},"completion_tokens_details":{"reasoning_tokens":0,"audio_tokens":0,"accepted_prediction_tokens":0,"rejected_prediction_tokens":0}},"service_tier":"default","system_fingerprint":"fp_ad66631dec"}</t>
  </si>
  <si>
    <t>MCM White Embossed Logo Slides – crafted from soft rubber, minimalist design with iconic branding, lightweight comfort for men and women, embodying modern urban luxury casual style.</t>
  </si>
  <si>
    <t>{"id":"chatcmpl-DVZb5ew6hnCQHpbSTvEmdvGPaIi2J","object":"chat.completion","created":1776417375,"model":"gpt-5-chat-latest","choices":[{"index":0,"message":{"role":"assistant","content":"MCM, shoes, kakobuy, kakebuy2026, kekobuysheet, kakobuysheet2026, 2026kakobuy, kakobuyspreadsheeet, kakobuylink, kakebuylist, Kakobuy MEGA Spreadsheet, kakobuysheetfind, kakobuysheetfind2026, 2026kakobuysheetfind, kakobuysheet2026","refusal":null,"annotations":[]},"logprobs":null,"finish_reason":"stop"}],"usage":{"prompt_tokens":783,"completion_tokens":91,"total_tokens":874,"prompt_tokens_details":{"cached_tokens":0,"audio_tokens":0},"completion_tokens_details":{"reasoning_tokens":0,"audio_tokens":0,"accepted_prediction_tokens":0,"rejected_prediction_tokens":0}},"service_tier":"default","system_fingerprint":"fp_ad66631dec"}</t>
  </si>
  <si>
    <t>MCM, Slides, White, Rubber, Minimalist, Unisex</t>
  </si>
  <si>
    <t>recvh0B9A7CXfN</t>
  </si>
  <si>
    <t>mcm-white-embossed-logo-rubber-slides-recvh0b9a7cxfn</t>
  </si>
  <si>
    <t>{"choices":[{"finish_reason":"stop","index":0,"logprobs":null,"message":{"annotations":[],"content":"MCM：白色浮雕Logo休闲拖鞋，采用柔软橡胶材质，极简设计融合品牌标志性经典元素，舒适轻盈，男女皆宜，展现现代都市奢华休闲风格。","refusal":null,"role":"assistant"}}],"created":1776412546,"id":"chatcmpl-DVYLCbFB1ggloQNjWc7yiNrgt7saP","model":"gpt-5-chat-latest","object":"chat.completion","service_tier":"default","system_fingerprint":"fp_ad66631dec","usage":{"completion_tokens":55,"completion_tokens_details":{"accepted_prediction_tokens":0,"audio_tokens":0,"reasoning_tokens":0,"rejected_prediction_tokens":0},"prompt_tokens":1296,"prompt_tokens_details":{"audio_tokens":0,"cached_tokens":0},"total_tokens":1351}}</t>
  </si>
  <si>
    <t>MCM：白色浮雕Logo休闲拖鞋，采用柔软橡胶材质，极简设计融合品牌标志性经典元素，舒适轻盈，男女皆宜，展现现代都市奢华休闲风格。</t>
  </si>
  <si>
    <t>{"choices":[{"finish_reason":"stop","index":0,"logprobs":null,"message":{"annotations":[],"content":"MCM Brown Logo Embossed Unisex Luxury Rubber Slides","refusal":null,"role":"assistant"}}],"created":1776416254,"id":"chatcmpl-DVZJ0RMYqB6EtSRCvXetLOrWr3CfQ","model":"gpt-5-chat-latest","object":"chat.completion","service_tier":"default","system_fingerprint":"fp_ad66631dec","usage":{"completion_tokens":13,"completion_tokens_details":{"accepted_prediction_tokens":0,"audio_tokens":0,"reasoning_tokens":0,"rejected_prediction_tokens":0},"prompt_tokens":873,"prompt_tokens_details":{"audio_tokens":0,"cached_tokens":0},"total_tokens":886}}</t>
  </si>
  <si>
    <t>MCM Brown Logo Embossed Unisex Luxury Rubber Slides</t>
  </si>
  <si>
    <t>{"choices":[{"finish_reason":"stop","index":0,"logprobs":null,"message":{"annotations":[],"content":"MCM Brown Logo Embossed Rubber Slides – crafted from premium synthetic leather with woven texture, lightweight and anti-slip, unisex design for modern luxury casual and resort style.","refusal":null,"role":"assistant"}}],"created":1776415085,"id":"chatcmpl-DVZ09cJyyg614td8JhlM3b30p1uSU","model":"gpt-5-chat-latest","object":"chat.completion","service_tier":"default","system_fingerprint":"fp_ad66631dec","usage":{"completion_tokens":36,"completion_tokens_details":{"accepted_prediction_tokens":0,"audio_tokens":0,"reasoning_tokens":0,"rejected_prediction_tokens":0},"prompt_tokens":891,"prompt_tokens_details":{"audio_tokens":0,"cached_tokens":0},"total_tokens":927}}</t>
  </si>
  <si>
    <t>MCM Brown Logo Embossed Rubber Slides – crafted from premium synthetic leather with woven texture, lightweight and anti-slip, unisex design for modern luxury casual and resort style.</t>
  </si>
  <si>
    <t>{"choices":[{"finish_reason":"stop","index":0,"logprobs":null,"message":{"annotations":[],"content":"MCM,slippers,kakobuy,kakebuy2026,kekobuysheet,kakobuysheet2026,2026kakobuy,kakobuyspreadsheeet,kakobuylink,kakebuylist,Kakobuy MEGA Spreadsheet,kakobuysheetfind,kakobuysheetfind2026,2026kakobuysheetfind,kakobuysheet2026","refusal":null,"role":"assistant"}}],"created":1776416655,"id":"chatcmpl-DVZPTqLJbdlOjfpv5KHmfoyAtEiOM","model":"gpt-5-chat-latest","object":"chat.completion","service_tier":"default","system_fingerprint":"fp_ad66631dec","usage":{"completion_tokens":88,"completion_tokens_details":{"accepted_prediction_tokens":0,"audio_tokens":0,"reasoning_tokens":0,"rejected_prediction_tokens":0},"prompt_tokens":783,"prompt_tokens_details":{"audio_tokens":0,"cached_tokens":0},"total_tokens":871}}</t>
  </si>
  <si>
    <t>MCM,slippers,kakobuy,kakebuy2026,kekobuysheet,kakobuysheet2026,2026kakobuy,kakobuyspreadsheeet,kakobuylink,kakebuylist,Kakobuy MEGA Spreadsheet,kakobuysheetfind,kakobuysheetfind2026,2026kakobuysheetfind,kakobuysheet2026</t>
  </si>
  <si>
    <t>MCM, Slides, Brown, Synthetic Leather, Anti-Slip, Unisex</t>
  </si>
  <si>
    <t>recvh0B9A7UdBr</t>
  </si>
  <si>
    <t>mcm-brown-logo-embossed-unisex-luxury-rubber-slides-recvh0b9a7udbr</t>
  </si>
  <si>
    <t>{"choices":[{"finish_reason":"stop","index":0,"logprobs":null,"message":{"annotations":[],"content":"MCM：棕色经典Logo浮雕橡胶拖鞋，采用高质感合成皮革与编织纹设计，轻盈防滑，男女皆宜，休闲度假风格彰显现代奢华品味。","refusal":null,"role":"assistant"}}],"created":1776411957,"id":"chatcmpl-DVYBhzDujt9uB8p0HHgdnULlAvsTR","model":"gpt-5-chat-latest","object":"chat.completion","service_tier":"default","system_fingerprint":"fp_ad66631dec","usage":{"completion_tokens":55,"completion_tokens_details":{"accepted_prediction_tokens":0,"audio_tokens":0,"reasoning_tokens":0,"rejected_prediction_tokens":0},"prompt_tokens":1306,"prompt_tokens_details":{"audio_tokens":0,"cached_tokens":1280},"total_tokens":1361}}</t>
  </si>
  <si>
    <t>MCM：棕色经典Logo浮雕橡胶拖鞋，采用高质感合成皮革与编织纹设计，轻盈防滑，男女皆宜，休闲度假风格彰显现代奢华品味。</t>
  </si>
  <si>
    <t>{"choices":[{"finish_reason":"stop","index":0,"logprobs":null,"message":{"annotations":[],"content":"MCM Black Monogram Rubber Slides Unisex Casual Sandals","refusal":null,"role":"assistant"}}],"created":1776416135,"id":"chatcmpl-DVZH5TJaUUWVWHdYjuXwd1ffjMywt","model":"gpt-5-chat-latest","object":"chat.completion","service_tier":"default","system_fingerprint":"fp_ad66631dec","usage":{"completion_tokens":13,"completion_tokens_details":{"accepted_prediction_tokens":0,"audio_tokens":0,"reasoning_tokens":0,"rejected_prediction_tokens":0},"prompt_tokens":877,"prompt_tokens_details":{"audio_tokens":0,"cached_tokens":0},"total_tokens":890}}</t>
  </si>
  <si>
    <t>MCM Black Monogram Rubber Slides Unisex Casual Sandals</t>
  </si>
  <si>
    <t>{"choices":[{"finish_reason":"stop","index":0,"logprobs":null,"message":{"annotations":[],"content":"MCM Black Logo Print Slides – made from flexible rubber with an all-over monogram design. Minimal one-piece style for light comfort. Unisex, ideal for modern urban casual wear.","refusal":null,"role":"assistant"}}],"created":1776415091,"id":"chatcmpl-DVZ0FYMZAN9Q8Q5TMy2ikXxc0xMqe","model":"gpt-5-chat-latest","object":"chat.completion","service_tier":"default","system_fingerprint":"fp_ad66631dec","usage":{"completion_tokens":38,"completion_tokens_details":{"accepted_prediction_tokens":0,"audio_tokens":0,"reasoning_tokens":0,"rejected_prediction_tokens":0},"prompt_tokens":909,"prompt_tokens_details":{"audio_tokens":0,"cached_tokens":0},"total_tokens":947}}</t>
  </si>
  <si>
    <t>MCM Black Logo Print Slides – made from flexible rubber with an all-over monogram design. Minimal one-piece style for light comfort. Unisex, ideal for modern urban casual wear.</t>
  </si>
  <si>
    <t>{"choices":[{"content_filter_result":{"error":{"code":"content_filter_error","message":"The contents are not filtered"}},"finish_reason":"stop","index":0,"logprobs":null,"message":{"annotations":[],"content":"MCM,slides,kakobuy,kakebuy2026,kekobuysheet,kakobuysheet2026,2026kakobuy,kakobuyspreadsheeet,kakobuylink,kakebuylist,Kakobuy MEGA Spreadsheet,kakobuysheetfind,kakobuysheetfind2026,2026kakobuysheetfind,kakobuysheet2026","refusal":null,"role":"assistant"}}],"created":1776417071,"id":"chatcmpl-DVZWBgFhpmZMClwVfZPFz5rXX0xvs","model":"gpt-5-chat-latest","object":"chat.completion","service_tier":"default","system_fingerprint":"fp_ad66631dec","usage":{"completion_tokens":87,"completion_tokens_details":{"accepted_prediction_tokens":0,"audio_tokens":0,"reasoning_tokens":0,"rejected_prediction_tokens":0},"prompt_tokens":783,"prompt_tokens_details":{"audio_tokens":0,"cached_tokens":0},"total_tokens":870}}</t>
  </si>
  <si>
    <t>MCM, Slides, Black, Rubber, Unisex, Casual Footwear</t>
  </si>
  <si>
    <t>recvh0B9A7kBg5</t>
  </si>
  <si>
    <t>mcm-black-monogram-rubber-slides-recvh0b9a7kbg5</t>
  </si>
  <si>
    <t>{"choices":[{"finish_reason":"stop","index":0,"logprobs":null,"message":{"annotations":[],"content":"MCM：黑色Logo印花拖鞋，精选柔韧橡胶材质，鞋面满版品牌字母图腾，彰显奢华个性。极简一片式设计，轻盈舒适，男女皆宜。适合都市休闲出行，融合时尚与实用的现代潮流风格。","refusal":null,"role":"assistant"}}],"created":1776412466,"id":"chatcmpl-DVYJuOAQZgdH0GEr3rmBeN1QMPETd","model":"gpt-5-chat-latest","object":"chat.completion","service_tier":"default","system_fingerprint":"fp_ad66631dec","usage":{"completion_tokens":77,"completion_tokens_details":{"accepted_prediction_tokens":0,"audio_tokens":0,"reasoning_tokens":0,"rejected_prediction_tokens":0},"prompt_tokens":1298,"prompt_tokens_details":{"audio_tokens":0,"cached_tokens":0},"total_tokens":1375}}</t>
  </si>
  <si>
    <t>MCM：黑色Logo印花拖鞋，精选柔韧橡胶材质，鞋面满版品牌字母图腾，彰显奢华个性。极简一片式设计，轻盈舒适，男女皆宜。适合都市休闲出行，融合时尚与实用的现代潮流风格。</t>
  </si>
  <si>
    <t>{"choices":[{"finish_reason":"stop","index":0,"logprobs":null,"message":{"annotations":[],"content":"MCM Visetos Brown Black Leather Slides Sandals","refusal":null,"role":"assistant"}}],"created":1776416357,"id":"chatcmpl-DVZKfiiCjdbubIPwJDCnUsstO6Dxl","model":"gpt-5-chat-latest","object":"chat.completion","service_tier":"default","system_fingerprint":"fp_ad66631dec","usage":{"completion_tokens":11,"completion_tokens_details":{"accepted_prediction_tokens":0,"audio_tokens":0,"reasoning_tokens":0,"rejected_prediction_tokens":0},"prompt_tokens":875,"prompt_tokens_details":{"audio_tokens":0,"cached_tokens":0},"total_tokens":886}}</t>
  </si>
  <si>
    <t>MCM Visetos Brown Black Leather Slides Sandals</t>
  </si>
  <si>
    <t>{"choices":[{"finish_reason":"stop","index":0,"logprobs":null,"message":{"annotations":[],"content":"MCM Visetos classic brown and black leather slides feature signature monogram print, soft light sole for comfort, luxury casual street style, perfect for everyday wear for men and women.","refusal":null,"role":"assistant"}}],"created":1776415200,"id":"chatcmpl-DVZ20HJHQqntFDt0jxdXdOsx8IeRN","model":"gpt-5-chat-latest","object":"chat.completion","service_tier":"default","system_fingerprint":"fp_ad66631dec","usage":{"completion_tokens":37,"completion_tokens_details":{"accepted_prediction_tokens":0,"audio_tokens":0,"reasoning_tokens":0,"rejected_prediction_tokens":0},"prompt_tokens":895,"prompt_tokens_details":{"audio_tokens":0,"cached_tokens":0},"total_tokens":932}}</t>
  </si>
  <si>
    <t>MCM Visetos classic brown and black leather slides feature signature monogram print, soft light sole for comfort, luxury casual street style, perfect for everyday wear for men and women.</t>
  </si>
  <si>
    <t>{"choices":[{"finish_reason":"stop","index":0,"logprobs":null,"message":{"annotations":[],"content":"MCM,Slides,kakobuy,kakebuy2026,kekobuysheet,kakobuysheet2026,2026kakobuy,kakobuyspreadsheeet,kakobuylink,kakebuylist,Kakobuy MEGA Spreadsheet,kakobuysheetfind,kakobuysheetfind2026,2026kakobuysheetfind,kakobuysheet2026","refusal":null,"role":"assistant"}}],"created":1776417376,"id":"chatcmpl-DVZb6hPjoCd0xDfEEIoepOrSdKY6P","model":"gpt-5-chat-latest","object":"chat.completion","service_tier":"default","system_fingerprint":"fp_ad66631dec","usage":{"completion_tokens":87,"completion_tokens_details":{"accepted_prediction_tokens":0,"audio_tokens":0,"reasoning_tokens":0,"rejected_prediction_tokens":0},"prompt_tokens":783,"prompt_tokens_details":{"audio_tokens":0,"cached_tokens":0},"total_tokens":870}}</t>
  </si>
  <si>
    <t>MCM, MCM Stark Visetos, Slides, Leather, Brown, Black</t>
  </si>
  <si>
    <t>recvh0B9A7VZtN</t>
  </si>
  <si>
    <t>mcm-visetos-brown-black-leather-slides-recvh0b9a7vztn</t>
  </si>
  <si>
    <t>{"choices":[{"finish_reason":"stop","index":0,"logprobs":null,"message":{"annotations":[],"content":"MCM：经典Visetos系列棕黑色皮质拖鞋，饰标志性印花图腾设计，柔软鞋底舒适轻盈，男女皆宜，融合奢华休闲与时尚街头感，适合日常出行穿搭。","refusal":null,"role":"assistant"}}],"created":1776412550,"id":"chatcmpl-DVYLGmSd7Yn5cqYicdca3S5XL1wZk","model":"gpt-5-chat-latest","object":"chat.completion","service_tier":"default","system_fingerprint":"fp_ad66631dec","usage":{"completion_tokens":62,"completion_tokens_details":{"accepted_prediction_tokens":0,"audio_tokens":0,"reasoning_tokens":0,"rejected_prediction_tokens":0},"prompt_tokens":1300,"prompt_tokens_details":{"audio_tokens":0,"cached_tokens":0},"total_tokens":1362}}</t>
  </si>
  <si>
    <t>MCM：经典Visetos系列棕黑色皮质拖鞋，饰标志性印花图腾设计，柔软鞋底舒适轻盈，男女皆宜，融合奢华休闲与时尚街头感，适合日常出行穿搭。</t>
  </si>
  <si>
    <t>{"choices":[{"finish_reason":"stop","index":0,"logprobs":null,"message":{"annotations":[],"content":"MCM Visetos Black Logo Leather Slides Men","refusal":null,"role":"assistant"}}],"created":1776415975,"id":"chatcmpl-DVZEVXMu4wDRFJpC62l9xrehUuSGp","model":"gpt-5-chat-latest","object":"chat.completion","service_tier":"default","system_fingerprint":"fp_ad66631dec","usage":{"completion_tokens":10,"completion_tokens_details":{"accepted_prediction_tokens":0,"audio_tokens":0,"reasoning_tokens":0,"rejected_prediction_tokens":0},"prompt_tokens":873,"prompt_tokens_details":{"audio_tokens":0,"cached_tokens":0},"total_tokens":883}}</t>
  </si>
  <si>
    <t>MCM Visetos Black Logo Leather Slides Men</t>
  </si>
  <si>
    <t>{"id":"chatcmpl-DVZ0ZC75wJg500QFRaCxQHWiSf0tl","object":"chat.completion","created":1776415111,"model":"gpt-5-chat-latest","choices":[{"index":0,"message":{"role":"assistant","content":"MCM black Logo print slides with Visetos pattern, crafted from premium leather and fabric upper, featuring a curved comfy sole for men’s casual wear and modern luxury street style.","refusal":null,"annotations":[]},"logprobs":null,"finish_reason":"stop"}],"usage":{"prompt_tokens":891,"completion_tokens":36,"total_tokens":927,"prompt_tokens_details":{"cached_tokens":0,"audio_tokens":0},"completion_tokens_details":{"reasoning_tokens":0,"audio_tokens":0,"accepted_prediction_tokens":0,"rejected_prediction_tokens":0}},"service_tier":"default","system_fingerprint":"fp_ad66631dec"}</t>
  </si>
  <si>
    <t>MCM black Logo print slides with Visetos pattern, crafted from premium leather and fabric upper, featuring a curved comfy sole for men’s casual wear and modern luxury street style.</t>
  </si>
  <si>
    <t>{"choices":[{"finish_reason":"stop","index":0,"logprobs":null,"message":{"annotations":[],"content":"MCM, slippers, kakobuy, kakebuy2026, kekobuysheet, kakobuysheet2026, 2026kakobuy, kakobuyspreadsheeet, kakobuylink, kakebuylist, Kakobuy MEGA Spreadsheet, kakobuysheetfind, kakobuysheetfind2026, 2026kakobuysheetfind, kakobuysheet2026","refusal":null,"role":"assistant"}}],"created":1776417170,"id":"chatcmpl-DVZXmOYTJSwP0jQmcobSkBhvBfGe6","model":"gpt-5-chat-latest","object":"chat.completion","service_tier":"default","system_fingerprint":"fp_ad66631dec","usage":{"completion_tokens":91,"completion_tokens_details":{"accepted_prediction_tokens":0,"audio_tokens":0,"reasoning_tokens":0,"rejected_prediction_tokens":0},"prompt_tokens":783,"prompt_tokens_details":{"audio_tokens":0,"cached_tokens":0},"total_tokens":874}}</t>
  </si>
  <si>
    <t>MCM, Slides, Black, Leather, Casual Footwear, Streetwear</t>
  </si>
  <si>
    <t>recvh0B9A72DCP</t>
  </si>
  <si>
    <t>mcm-visetos-black-logo-leather-slides-recvh0b9a72dcp</t>
  </si>
  <si>
    <t>{"choices":[{"finish_reason":"stop","index":0,"logprobs":null,"message":{"annotations":[],"content":"MCM：黑色Logo印花拖鞋，质感皮革搭配织物鞋面，经典Visetos图腾设计，舒适弧形鞋底适合男士休闲穿搭，彰显现代奢潮风格。","refusal":null,"role":"assistant"}}],"created":1776412299,"id":"chatcmpl-DVYHD3eBBblpTPHa4Es5RJFsJNfd6","model":"gpt-5-chat-latest","object":"chat.completion","service_tier":"default","system_fingerprint":"fp_ad66631dec","usage":{"completion_tokens":55,"completion_tokens_details":{"accepted_prediction_tokens":0,"audio_tokens":0,"reasoning_tokens":0,"rejected_prediction_tokens":0},"prompt_tokens":1306,"prompt_tokens_details":{"audio_tokens":0,"cached_tokens":0},"total_tokens":1361}}</t>
  </si>
  <si>
    <t>MCM：黑色Logo印花拖鞋，质感皮革搭配织物鞋面，经典Visetos图腾设计，舒适弧形鞋底适合男士休闲穿搭，彰显现代奢潮风格。</t>
  </si>
  <si>
    <t>NIke</t>
  </si>
  <si>
    <t>{"choices":[{"finish_reason":"stop","index":0,"logprobs":null,"message":{"annotations":[],"content":"Nike Dunk Low Mojito Green White Sneakers","refusal":null,"role":"assistant"}}],"created":1776416317,"id":"chatcmpl-DVZK1fTcfYm5b1y98bR7D4RMs0MtW","model":"gpt-5-chat-latest","object":"chat.completion","service_tier":"default","system_fingerprint":"fp_ad66631dec","usage":{"completion_tokens":9,"completion_tokens_details":{"accepted_prediction_tokens":0,"audio_tokens":0,"reasoning_tokens":0,"rejected_prediction_tokens":0},"prompt_tokens":882,"prompt_tokens_details":{"audio_tokens":0,"cached_tokens":0},"total_tokens":891}}</t>
  </si>
  <si>
    <t>Nike Dunk Low Mojito Green White Sneakers</t>
  </si>
  <si>
    <t>{"id":"chatcmpl-DVZ0TM7QMwpp2pdEExlbMS71M4vu9","object":"chat.completion","created":1776415105,"model":"gpt-5-chat-latest","choices":[{"index":0,"message":{"role":"assistant","content":"Nike Dunk Low “Mojito” features premium leather, lemon green and white tones, fresh summer prints, breathable low-top design for men and women, blending casual comfort with streetwear style.","refusal":null,"annotations":[]},"logprobs":null,"finish_reason":"stop"}],"usage":{"prompt_tokens":910,"completion_tokens":40,"total_tokens":950,"prompt_tokens_details":{"cached_tokens":0,"audio_tokens":0},"completion_tokens_details":{"reasoning_tokens":0,"audio_tokens":0,"accepted_prediction_tokens":0,"rejected_prediction_tokens":0}},"service_tier":"default","system_fingerprint":"fp_ad66631dec"}</t>
  </si>
  <si>
    <t>Nike Dunk Low “Mojito” features premium leather, lemon green and white tones, fresh summer prints, breathable low-top design for men and women, blending casual comfort with streetwear style.</t>
  </si>
  <si>
    <t>{"choices":[{"finish_reason":"stop","index":0,"logprobs":null,"message":{"annotations":[],"content":"Nike, Shoes, kakobuy, kakebuy2026, kekobuysheet, kakobuysheet2026, 2026kakobuy, kakobuyspreadsheeet, kakobuylink, kakebuylist, Kakobuy MEGA Spreadsheet, kakobuysheetfind, kakobuysheetfind2026, 2026kakobuysheetfind, kakobuysheet2026","refusal":null,"role":"assistant"}}],"created":1776417119,"id":"chatcmpl-DVZWxGGENIPab1881lqzO778k8U1f","model":"gpt-5-chat-latest","object":"chat.completion","service_tier":"default","system_fingerprint":"fp_ad66631dec","usage":{"completion_tokens":90,"completion_tokens_details":{"accepted_prediction_tokens":0,"audio_tokens":0,"reasoning_tokens":0,"rejected_prediction_tokens":0},"prompt_tokens":783,"prompt_tokens_details":{"audio_tokens":0,"cached_tokens":0},"total_tokens":873}}</t>
  </si>
  <si>
    <t>Nike, Shoes, kakobuy, kakebuy2026, kekobuysheet, kakobuysheet2026, 2026kakobuy, kakobuyspreadsheeet, kakobuylink, kakebuylist, Kakobuy MEGA Spreadsheet, kakobuysheetfind, kakobuysheetfind2026, 2026kakobuysheetfind, kakobuysheet2026</t>
  </si>
  <si>
    <t>Nike, Nike Dunk Low, Lemon, Green, White, Summer</t>
  </si>
  <si>
    <t>recvh0B9A7BSkt</t>
  </si>
  <si>
    <t>nike-dunk-low-mojito-green-white-recvh0b9a7bskt</t>
  </si>
  <si>
    <t>{"id":"chatcmpl-DVYEKo5qxQqmAZ7uWPsjA1CuIgViC","object":"chat.completion","created":1776412120,"model":"gpt-5-chat-latest","choices":[{"index":0,"message":{"role":"assistant","content":"NIKE：Dunk Low “Mojito” 柠檬绿白配色，优质皮革鞋面搭配清爽印花设计，展现夏日清新街头风格，低帮款式舒适透气，男女皆宜，休闲与潮流兼具的时尚板鞋。","refusal":null,"annotations":[]},"logprobs":null,"finish_reason":"stop"}],"usage":{"prompt_tokens":1308,"completion_tokens":72,"total_tokens":1380,"prompt_tokens_details":{"cached_tokens":1280,"audio_tokens":0},"completion_tokens_details":{"reasoning_tokens":0,"audio_tokens":0,"accepted_prediction_tokens":0,"rejected_prediction_tokens":0}},"service_tier":"default","system_fingerprint":"fp_ad66631dec"}</t>
  </si>
  <si>
    <t>NIKE：Dunk Low “Mojito” 柠檬绿白配色，优质皮革鞋面搭配清爽印花设计，展现夏日清新街头风格，低帮款式舒适透气，男女皆宜，休闲与潮流兼具的时尚板鞋。</t>
  </si>
  <si>
    <t>Converse</t>
  </si>
  <si>
    <t>130</t>
  </si>
  <si>
    <t>{"id":"chatcmpl-DVZEgC6MvmPLQFjyxHeIUDZGtt6SH","object":"chat.completion","created":1776415986,"model":"gpt-5-chat-latest","choices":[{"index":0,"message":{"role":"assistant","content":"Converse Classic Black Canvas Low Top Unisex Sneakers","refusal":null,"annotations":[]},"logprobs":null,"finish_reason":"stop"}],"usage":{"prompt_tokens":870,"completion_tokens":11,"total_tokens":881,"prompt_tokens_details":{"cached_tokens":0,"audio_tokens":0},"completion_tokens_details":{"reasoning_tokens":0,"audio_tokens":0,"accepted_prediction_tokens":0,"rejected_prediction_tokens":0}},"service_tier":"default","system_fingerprint":"fp_ad66631dec"}</t>
  </si>
  <si>
    <t>Converse Classic Black Canvas Low Top Unisex Sneakers</t>
  </si>
  <si>
    <t>{"choices":[{"finish_reason":"stop","index":0,"logprobs":null,"message":{"annotations":[],"content":"Converse Classic Black Canvas Low-Top Sneakers, flexible thick rubber sole, stitched minimalist design, unisex retro street style, versatile and comfy for everyday casual wear.","refusal":null,"role":"assistant"}}],"created":1776415269,"id":"chatcmpl-DVZ372jssKB8JuCYwbvkJdGKAQ5ct","model":"gpt-5-chat-latest","object":"chat.completion","service_tier":"default","system_fingerprint":"fp_ad66631dec","usage":{"completion_tokens":34,"completion_tokens_details":{"accepted_prediction_tokens":0,"audio_tokens":0,"reasoning_tokens":0,"rejected_prediction_tokens":0},"prompt_tokens":891,"prompt_tokens_details":{"audio_tokens":0,"cached_tokens":0},"total_tokens":925}}</t>
  </si>
  <si>
    <t>Converse Classic Black Canvas Low-Top Sneakers, flexible thick rubber sole, stitched minimalist design, unisex retro street style, versatile and comfy for everyday casual wear.</t>
  </si>
  <si>
    <t>{"choices":[{"finish_reason":"stop","index":0,"logprobs":null,"message":{"annotations":[],"content":"Converse,Shoes,kakobuy,kakebuy2026,kekobuysheet,kakobuysheet2026,2026kakobuy,kakobuyspreadsheeet,kakobuylink,kakebuylist,Kakobuy MEGA Spreadsheet,kakobuysheetfind,kakobuysheetfind2026,2026kakobuysheetfind,kakobuysheet2026","refusal":null,"role":"assistant"}}],"created":1776416857,"id":"chatcmpl-DVZSj8LlDz9jUBhg1P5Wj5ATBcIxE","model":"gpt-5-chat-latest","object":"chat.completion","service_tier":"default","system_fingerprint":"fp_ad66631dec","usage":{"completion_tokens":87,"completion_tokens_details":{"accepted_prediction_tokens":0,"audio_tokens":0,"reasoning_tokens":0,"rejected_prediction_tokens":0},"prompt_tokens":783,"prompt_tokens_details":{"audio_tokens":0,"cached_tokens":0},"total_tokens":870}}</t>
  </si>
  <si>
    <t>Converse,Shoes,kakobuy,kakebuy2026,kekobuysheet,kakobuysheet2026,2026kakobuy,kakobuyspreadsheeet,kakobuylink,kakebuylist,Kakobuy MEGA Spreadsheet,kakobuysheetfind,kakobuysheetfind2026,2026kakobuysheetfind,kakobuysheet2026</t>
  </si>
  <si>
    <t>Canvas, Black, Minimalist, Retro, Streetwear, Unisex</t>
  </si>
  <si>
    <t>recvh0B9A78anw</t>
  </si>
  <si>
    <t>converse-classic-black-canvas-low-recvh0b9a78anw</t>
  </si>
  <si>
    <t>{"id":"chatcmpl-DVYGgG381aPqBhDlVK1eyCCwo25DU","object":"chat.completion","created":1776412266,"model":"gpt-5-chat-latest","choices":[{"index":0,"message":{"role":"assistant","content":"Converse：经典黑色帆布低帮休闲鞋，柔韧厚底橡胶设计，简约拼接缝线，男女通用，复古街头风格，百搭舒适日常穿搭。","refusal":null,"annotations":[]},"logprobs":null,"finish_reason":"stop"}],"usage":{"prompt_tokens":1306,"completion_tokens":54,"total_tokens":1360,"prompt_tokens_details":{"cached_tokens":0,"audio_tokens":0},"completion_tokens_details":{"reasoning_tokens":0,"audio_tokens":0,"accepted_prediction_tokens":0,"rejected_prediction_tokens":0}},"service_tier":"default","system_fingerprint":"fp_ad66631dec"}</t>
  </si>
  <si>
    <t>Converse：经典黑色帆布低帮休闲鞋，柔韧厚底橡胶设计，简约拼接缝线，男女通用，复古街头风格，百搭舒适日常穿搭。</t>
  </si>
  <si>
    <t>{"id":"chatcmpl-DVZFno6CYUfojATBhA5OxDvdPTizv","object":"chat.completion","created":1776416055,"model":"gpt-5-chat-latest","choices":[{"index":0,"message":{"role":"assistant","content":"Converse One Star Black Suede Low Top Sneakers","refusal":null,"annotations":[]},"logprobs":null,"finish_reason":"stop"}],"usage":{"prompt_tokens":880,"completion_tokens":11,"total_tokens":891,"prompt_tokens_details":{"cached_tokens":0,"audio_tokens":0},"completion_tokens_details":{"reasoning_tokens":0,"audio_tokens":0,"accepted_prediction_tokens":0,"rejected_prediction_tokens":0}},"service_tier":"default","system_fingerprint":"fp_ad66631dec"}</t>
  </si>
  <si>
    <t>Converse One Star Black Suede Low Top Sneakers</t>
  </si>
  <si>
    <t>{"choices":[{"finish_reason":"stop","index":0,"logprobs":null,"message":{"annotations":[],"content":"Converse One Star Black Suede Low-Top Sneakers, featuring white star logo, retro street style, thick rubber sole for comfort and durability, unisex design for classic American casual fashion.","refusal":null,"role":"assistant"}}],"created":1776415247,"id":"chatcmpl-DVZ2lFeGnXadN2b38fKfkrxF0SwpG","model":"gpt-5-chat-latest","object":"chat.completion","service_tier":"default","system_fingerprint":"fp_ad66631dec","usage":{"completion_tokens":39,"completion_tokens_details":{"accepted_prediction_tokens":0,"audio_tokens":0,"reasoning_tokens":0,"rejected_prediction_tokens":0},"prompt_tokens":892,"prompt_tokens_details":{"audio_tokens":0,"cached_tokens":0},"total_tokens":931}}</t>
  </si>
  <si>
    <t>Converse One Star Black Suede Low-Top Sneakers, featuring white star logo, retro street style, thick rubber sole for comfort and durability, unisex design for classic American casual fashion.</t>
  </si>
  <si>
    <t>{"choices":[{"finish_reason":"stop","index":0,"logprobs":null,"message":{"annotations":[],"content":"Converse,Shoes,kakobuy,kakebuy2026,kekobuysheet,kakobuysheet2026,2026kakobuy,kakobuyspreadsheeet,kakobuylink,kakebuylist,Kakobuy MEGA Spreadsheet,kakobuysheetfind,kakobuysheetfind2026,2026kakobuysheetfind,kakobuysheet2026","refusal":null,"role":"assistant"}}],"created":1776417339,"id":"chatcmpl-DVZaV8BygCYIKIhxO63OB9VmZzrvb","model":"gpt-5-chat-latest","object":"chat.completion","service_tier":"default","system_fingerprint":"fp_ad66631dec","usage":{"completion_tokens":87,"completion_tokens_details":{"accepted_prediction_tokens":0,"audio_tokens":0,"reasoning_tokens":0,"rejected_prediction_tokens":0},"prompt_tokens":783,"prompt_tokens_details":{"audio_tokens":0,"cached_tokens":0},"total_tokens":870}}</t>
  </si>
  <si>
    <t>Suede, Retro, Street, Unisex, Sneakers, Casual Sneakers</t>
  </si>
  <si>
    <t>recvh0B9A7ggzl</t>
  </si>
  <si>
    <t>converse-one-star-black-suede-low-top-recvh0b9a7ggzl</t>
  </si>
  <si>
    <t>{"choices":[{"finish_reason":"stop","index":0,"logprobs":null,"message":{"annotations":[],"content":"Converse：黑色One Star麂皮休闲板鞋，经典低帮设计搭配白色星标，复古街头风格，橡胶厚底缓震舒适，男女皆宜，展现美式潮流态度。","refusal":null,"role":"assistant"}}],"created":1776412107,"id":"chatcmpl-DVYE7Q3XsYuXn7BtraJlcV9UJ6b39","model":"gpt-5-chat-latest","object":"chat.completion","service_tier":"default","system_fingerprint":"fp_ad66631dec","usage":{"completion_tokens":57,"completion_tokens_details":{"accepted_prediction_tokens":0,"audio_tokens":0,"reasoning_tokens":0,"rejected_prediction_tokens":0},"prompt_tokens":1302,"prompt_tokens_details":{"audio_tokens":0,"cached_tokens":0},"total_tokens":1359}}</t>
  </si>
  <si>
    <t>Converse：黑色One Star麂皮休闲板鞋，经典低帮设计搭配白色星标，复古街头风格，橡胶厚底缓震舒适，男女皆宜，展现美式潮流态度。</t>
  </si>
  <si>
    <t>{"choices":[{"content_filter_result":{"error":{"code":"content_filter_error","message":"The contents are not filtered"}},"finish_reason":"stop","index":0,"logprobs":null,"message":{"annotations":[],"content":"Converse Chuck Taylor Purple High Top Canvas Sneakers","refusal":null,"role":"assistant"}}],"created":1776416403,"id":"chatcmpl-DVZLP5ShegaxI7C89801YI51gayxY","model":"gpt-5-chat-latest","object":"chat.completion","service_tier":"default","system_fingerprint":"fp_ad66631dec","usage":{"completion_tokens":10,"completion_tokens_details":{"accepted_prediction_tokens":0,"audio_tokens":0,"reasoning_tokens":0,"rejected_prediction_tokens":0},"prompt_tokens":872,"prompt_tokens_details":{"audio_tokens":0,"cached_tokens":0},"total_tokens":882}}</t>
  </si>
  <si>
    <t>Converse Chuck Taylor Purple High Top Canvas Sneakers</t>
  </si>
  <si>
    <t>{"id":"chatcmpl-DVYzZLe64YNVSsibOo3R4ReBQNt5h","object":"chat.completion","created":1776415049,"model":"gpt-5-chat-latest","choices":[{"index":0,"message":{"role":"assistant","content":"Converse Chuck Taylor High Top Purple Canvas Sneakers feature a vintage street style with durable non-slip rubber soles, perfect for casual, unisex everyday wear and trendy urban fashion.","refusal":null,"annotations":[]},"logprobs":null,"finish_reason":"stop"}],"usage":{"prompt_tokens":884,"completion_tokens":35,"total_tokens":919,"prompt_tokens_details":{"cached_tokens":0,"audio_tokens":0},"completion_tokens_details":{"reasoning_tokens":0,"audio_tokens":0,"accepted_prediction_tokens":0,"rejected_prediction_tokens":0}},"service_tier":"default","system_fingerprint":"fp_ad66631dec"}</t>
  </si>
  <si>
    <t>Converse Chuck Taylor High Top Purple Canvas Sneakers feature a vintage street style with durable non-slip rubber soles, perfect for casual, unisex everyday wear and trendy urban fashion.</t>
  </si>
  <si>
    <t>{"id":"chatcmpl-DVZR92EZILhV6j8SZnq4ieBVbvqRV","object":"chat.completion","created":1776416759,"model":"gpt-5-chat-latest","choices":[{"index":0,"message":{"role":"assistant","content":"Converse,Shoes,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87,"total_tokens":870,"prompt_tokens_details":{"cached_tokens":0,"audio_tokens":0},"completion_tokens_details":{"reasoning_tokens":0,"audio_tokens":0,"accepted_prediction_tokens":0,"rejected_prediction_tokens":0}},"service_tier":"default","system_fingerprint":"fp_ad66631dec"}</t>
  </si>
  <si>
    <t>Purple, Canvas, Sneakers, Vintage, Streetwear, Unisex</t>
  </si>
  <si>
    <t>recvh0B9A7CY3I</t>
  </si>
  <si>
    <t>converse-chuck-taylor-purple-high-recvh0B9A7CY3I</t>
  </si>
  <si>
    <t>{"choices":[{"finish_reason":"stop","index":0,"logprobs":null,"message":{"annotations":[],"content":"Converse：紫色高帮帆布鞋，经典Chuck Taylor系列设计，厚底橡胶鞋底防滑耐磨，复古街头休闲风，男女皆宜百搭通勤之选。","refusal":null,"role":"assistant"}}],"created":1776412470,"id":"chatcmpl-DVYJyxVpguOkSd7MSpjxlZLlITFC6","model":"gpt-5-chat-latest","object":"chat.completion","service_tier":"default","system_fingerprint":"fp_ad66631dec","usage":{"completion_tokens":49,"completion_tokens_details":{"accepted_prediction_tokens":0,"audio_tokens":0,"reasoning_tokens":0,"rejected_prediction_tokens":0},"prompt_tokens":1302,"prompt_tokens_details":{"audio_tokens":0,"cached_tokens":0},"total_tokens":1351}}</t>
  </si>
  <si>
    <t>Converse：紫色高帮帆布鞋，经典Chuck Taylor系列设计，厚底橡胶鞋底防滑耐磨，复古街头休闲风，男女皆宜百搭通勤之选。</t>
  </si>
  <si>
    <t>120</t>
  </si>
  <si>
    <t>{"choices":[{"finish_reason":"stop","index":0,"logprobs":null,"message":{"annotations":[],"content":"Converse Classic High Top Off White Heart Canvas Shoes","refusal":null,"role":"assistant"}}],"created":1776416095,"id":"chatcmpl-DVZGRIVB4p5ALSMfDlGWAd1J1WTlk","model":"gpt-5-chat-latest","object":"chat.completion","service_tier":"default","system_fingerprint":"fp_ad66631dec","usage":{"completion_tokens":11,"completion_tokens_details":{"accepted_prediction_tokens":0,"audio_tokens":0,"reasoning_tokens":0,"rejected_prediction_tokens":0},"prompt_tokens":878,"prompt_tokens_details":{"audio_tokens":0,"cached_tokens":0},"total_tokens":889}}</t>
  </si>
  <si>
    <t>Converse Classic High Top Off White Heart Canvas Shoes</t>
  </si>
  <si>
    <t>{"choices":[{"finish_reason":"stop","index":0,"logprobs":null,"message":{"annotations":[],"content":"Converse Classic High-Top Canvas Shoes in off-white with metal eyelets and red heart embroidery. Breathable premium canvas, durable anti-slip rubber sole, unisex retro street style.","refusal":null,"role":"assistant"}}],"created":1776414823,"id":"chatcmpl-DVYvvXF4KwCIDh547gvMA9NcRraWM","model":"gpt-5-chat-latest","object":"chat.completion","service_tier":"default","system_fingerprint":"fp_ad66631dec","usage":{"completion_tokens":38,"completion_tokens_details":{"accepted_prediction_tokens":0,"audio_tokens":0,"reasoning_tokens":0,"rejected_prediction_tokens":0},"prompt_tokens":918,"prompt_tokens_details":{"audio_tokens":0,"cached_tokens":0},"total_tokens":956}}</t>
  </si>
  <si>
    <t>Converse Classic High-Top Canvas Shoes in off-white with metal eyelets and red heart embroidery. Breathable premium canvas, durable anti-slip rubber sole, unisex retro street style.</t>
  </si>
  <si>
    <t>{"choices":[{"finish_reason":"stop","index":0,"logprobs":null,"message":{"annotations":[],"content":"Converse,Shoes,kakobuy,kakebuy2026,kekobuysheet,kakobuysheet2026,2026kakobuy,kakobuyspreadsheeet,kakobuylink,kakebuylist,Kakobuy MEGA Spreadsheet,kakobuysheetfind,kakobuysheetfind2026,2026kakobuysheetfind,kakobuysheet2026","refusal":null,"role":"assistant"}}],"created":1776416821,"id":"chatcmpl-DVZS9Y18rFcGBIpxymorFwslYrvG0","model":"gpt-5-chat-latest","object":"chat.completion","service_tier":"default","system_fingerprint":"fp_ad66631dec","usage":{"completion_tokens":87,"completion_tokens_details":{"accepted_prediction_tokens":0,"audio_tokens":0,"reasoning_tokens":0,"rejected_prediction_tokens":0},"prompt_tokens":783,"prompt_tokens_details":{"audio_tokens":0,"cached_tokens":0},"total_tokens":870}}</t>
  </si>
  <si>
    <t>Canvas Shoes, Unisex, Retro, Street, Rubber Sole, Breathable</t>
  </si>
  <si>
    <t>recvh0B9A7f5EQ</t>
  </si>
  <si>
    <t>converse-classic-high-off-white-heart-recvh0b9a7f5eq</t>
  </si>
  <si>
    <t>{"choices":[{"finish_reason":"stop","index":0,"logprobs":null,"message":{"annotations":[],"content":"Converse：经典高帮帆布鞋，米白色基调搭配金属鞋眼与红心刺绣图腾，展现街头复古浪漫风格。优质帆布材质透气舒适，厚底橡胶鞋底防滑耐磨，男女皆宜，轻松演绎百搭潮流造型。","refusal":null,"role":"assistant"}}],"created":1776412432,"id":"chatcmpl-DVYJMH3Ot1Ynt43hr0q80t2mHCFGR","model":"gpt-5-chat-latest","object":"chat.completion","service_tier":"default","system_fingerprint":"fp_ad66631dec","usage":{"completion_tokens":83,"completion_tokens_details":{"accepted_prediction_tokens":0,"audio_tokens":0,"reasoning_tokens":0,"rejected_prediction_tokens":0},"prompt_tokens":1302,"prompt_tokens_details":{"audio_tokens":0,"cached_tokens":0},"total_tokens":1385}}</t>
  </si>
  <si>
    <t>Converse：经典高帮帆布鞋，米白色基调搭配金属鞋眼与红心刺绣图腾，展现街头复古浪漫风格。优质帆布材质透气舒适，厚底橡胶鞋底防滑耐磨，男女皆宜，轻松演绎百搭潮流造型。</t>
  </si>
  <si>
    <t>{"choices":[{"finish_reason":"stop","index":0,"logprobs":null,"message":{"annotations":[],"content":"Converse Chuck Taylor High Top Burgundy Sneakers","refusal":null,"role":"assistant"}}],"created":1776416304,"id":"chatcmpl-DVZJoVaWPFvyMcsaBOvTI7Nk41rng","model":"gpt-5-chat-latest","object":"chat.completion","service_tier":"default","system_fingerprint":"fp_ad66631dec","usage":{"completion_tokens":9,"completion_tokens_details":{"accepted_prediction_tokens":0,"audio_tokens":0,"reasoning_tokens":0,"rejected_prediction_tokens":0},"prompt_tokens":880,"prompt_tokens_details":{"audio_tokens":0,"cached_tokens":0},"total_tokens":889}}</t>
  </si>
  <si>
    <t>Converse Chuck Taylor High Top Burgundy Sneakers</t>
  </si>
  <si>
    <t>{"choices":[{"finish_reason":"stop","index":0,"logprobs":null,"message":{"annotations":[],"content":"Converse Chuck Taylor All Star High Top in Classic Burgundy, featuring durable canvas, vintage thick rubber sole, white stitching, iconic round logo, unisex design, perfect for versatile street style.","refusal":null,"role":"assistant"}}],"created":1776415206,"id":"chatcmpl-DVZ26GwcTgKlCJrwn1zUgnZYrsWg8","model":"gpt-5-chat-latest","object":"chat.completion","service_tier":"default","system_fingerprint":"fp_ad66631dec","usage":{"completion_tokens":39,"completion_tokens_details":{"accepted_prediction_tokens":0,"audio_tokens":0,"reasoning_tokens":0,"rejected_prediction_tokens":0},"prompt_tokens":904,"prompt_tokens_details":{"audio_tokens":0,"cached_tokens":0},"total_tokens":943}}</t>
  </si>
  <si>
    <t>Converse Chuck Taylor All Star High Top in Classic Burgundy, featuring durable canvas, vintage thick rubber sole, white stitching, iconic round logo, unisex design, perfect for versatile street style.</t>
  </si>
  <si>
    <t>{"choices":[{"finish_reason":"stop","index":0,"logprobs":null,"message":{"annotations":[],"content":"Converse,Shoes,kakobuy,kakebuy2026,kekobuysheet,kakobuysheet2026,2026kakobuy,kakobuyspreadsheeet,kakobuylink,kakebuylist,Kakobuy MEGA Spreadsheet,kakobuysheetfind,kakobuysheetfind2026,2026kakobuysheetfind,kakobuysheet2026","refusal":null,"role":"assistant"}}],"created":1776417324,"id":"chatcmpl-DVZaG84AbOuaVFau6mBn8t5ntavxr","model":"gpt-5-chat-latest","object":"chat.completion","service_tier":"default","system_fingerprint":"fp_ad66631dec","usage":{"completion_tokens":87,"completion_tokens_details":{"accepted_prediction_tokens":0,"audio_tokens":0,"reasoning_tokens":0,"rejected_prediction_tokens":0},"prompt_tokens":783,"prompt_tokens_details":{"audio_tokens":0,"cached_tokens":0},"total_tokens":870}}</t>
  </si>
  <si>
    <t>Canvas, Burgundy, Unisex, Streetwear, Vintage, Casual Sneakers</t>
  </si>
  <si>
    <t>recvh0B9A78Mip</t>
  </si>
  <si>
    <t>chuck-taylor-high-recvh0b9a78mip</t>
  </si>
  <si>
    <t>{"id":"chatcmpl-DVYHN1WzWHXbSLEzk9owAjVhagIDZ","object":"chat.completion","created":1776412309,"model":"gpt-5-chat-latest","choices":[{"index":0,"message":{"role":"assistant","content":"Converse：经典酒红色Chuck Taylor All Star高帮帆布鞋，复古橡胶厚底设计，坚韧帆布材质打造，白色缝线与圆形Logo彰显品牌标志性街头风格，男女皆宜，展现百搭潮流态度。","refusal":null,"annotations":[]},"logprobs":null,"finish_reason":"stop"}],"usage":{"prompt_tokens":1298,"completion_tokens":71,"total_tokens":1369,"prompt_tokens_details":{"cached_tokens":0,"audio_tokens":0},"completion_tokens_details":{"reasoning_tokens":0,"audio_tokens":0,"accepted_prediction_tokens":0,"rejected_prediction_tokens":0}},"service_tier":"default","system_fingerprint":"fp_ad66631dec"}</t>
  </si>
  <si>
    <t>Converse：经典酒红色Chuck Taylor All Star高帮帆布鞋，复古橡胶厚底设计，坚韧帆布材质打造，白色缝线与圆形Logo彰显品牌标志性街头风格，男女皆宜，展现百搭潮流态度。</t>
  </si>
  <si>
    <t>{"choices":[{"finish_reason":"stop","index":0,"logprobs":null,"message":{"annotations":[],"content":"Converse All Star Black High Top Canvas Shoes","refusal":null,"role":"assistant"}}],"created":1776416187,"id":"chatcmpl-DVZHvCBCggeYPfVukYPhQ3mfWsEA4","model":"gpt-5-chat-latest","object":"chat.completion","service_tier":"default","system_fingerprint":"fp_ad66631dec","usage":{"completion_tokens":10,"completion_tokens_details":{"accepted_prediction_tokens":0,"audio_tokens":0,"reasoning_tokens":0,"rejected_prediction_tokens":0},"prompt_tokens":868,"prompt_tokens_details":{"audio_tokens":0,"cached_tokens":0},"total_tokens":878}}</t>
  </si>
  <si>
    <t>Converse All Star Black High Top Canvas Shoes</t>
  </si>
  <si>
    <t>{"id":"chatcmpl-DVYzdGUKzPqq5XHgCbl1lH10NNNkI","object":"chat.completion","created":1776415053,"model":"gpt-5-chat-latest","choices":[{"index":0,"message":{"role":"assistant","content":"Converse All Star Black High Top Canvas Sneakers, thick sole with vintage white trim, breathable and durable, unisex casual shoes for classic American retro street style.","refusal":null,"annotations":[]},"logprobs":null,"finish_reason":"stop"}],"usage":{"prompt_tokens":897,"completion_tokens":33,"total_tokens":930,"prompt_tokens_details":{"cached_tokens":0,"audio_tokens":0},"completion_tokens_details":{"reasoning_tokens":0,"audio_tokens":0,"accepted_prediction_tokens":0,"rejected_prediction_tokens":0}},"service_tier":"default","system_fingerprint":"fp_ad66631dec"}</t>
  </si>
  <si>
    <t>Converse All Star Black High Top Canvas Sneakers, thick sole with vintage white trim, breathable and durable, unisex casual shoes for classic American retro street style.</t>
  </si>
  <si>
    <t>{"choices":[{"finish_reason":"stop","index":0,"logprobs":null,"message":{"annotations":[],"content":"Converse,Shoes,kakobuy,kakebuy2026,kekobuysheet,kakobuysheet2026,2026kakobuy,kakobuyspreadsheeet,kakobuylink,kakebuylist,Kakobuy MEGA Spreadsheet,kakobuysheetfind,kakobuysheetfind2026,2026kakobuysheetfind,kakobuysheet2026","refusal":null,"role":"assistant"}}],"created":1776417384,"id":"chatcmpl-DVZbEB0DRREPyTdYHeXLONwwKBDoB","model":"gpt-5-chat-latest","object":"chat.completion","service_tier":"default","system_fingerprint":"fp_ad66631dec","usage":{"completion_tokens":87,"completion_tokens_details":{"accepted_prediction_tokens":0,"audio_tokens":0,"reasoning_tokens":0,"rejected_prediction_tokens":0},"prompt_tokens":783,"prompt_tokens_details":{"audio_tokens":0,"cached_tokens":0},"total_tokens":870}}</t>
  </si>
  <si>
    <t>Canvas, Black, Retro, Streetwear, Unisex, Casual Shoes</t>
  </si>
  <si>
    <t>recvh0B9A79fue</t>
  </si>
  <si>
    <t>converse-all-star-black-high-recvh0b9a79fue</t>
  </si>
  <si>
    <t>{"id":"chatcmpl-DVYHkKNwNtGqAwO3YO4czWJs0b1TG","object":"chat.completion","created":1776412332,"model":"gpt-5-chat-latest","choices":[{"index":0,"message":{"role":"assistant","content":"Converse：黑色高帮帆布休闲鞋，经典All Star系列，厚底设计搭配复古白边，透气帆布材质，舒适耐穿，男女同款，展现美式街头复古潮流风格。","refusal":null,"annotations":[]},"logprobs":null,"finish_reason":"stop"}],"usage":{"prompt_tokens":1306,"completion_tokens":60,"total_tokens":1366,"prompt_tokens_details":{"cached_tokens":0,"audio_tokens":0},"completion_tokens_details":{"reasoning_tokens":0,"audio_tokens":0,"accepted_prediction_tokens":0,"rejected_prediction_tokens":0}},"service_tier":"default","system_fingerprint":"fp_ad66631dec"}</t>
  </si>
  <si>
    <t>Converse：黑色高帮帆布休闲鞋，经典All Star系列，厚底设计搭配复古白边，透气帆布材质，舒适耐穿，男女同款，展现美式街头复古潮流风格。</t>
  </si>
  <si>
    <t>{"choices":[{"finish_reason":"stop","index":0,"logprobs":null,"message":{"annotations":[],"content":"Converse All Star Khaki High Top Canvas Sneakers Unisex","refusal":null,"role":"assistant"}}],"created":1776416135,"id":"chatcmpl-DVZH5YdyOP0XTDexiljy2GRTaOQJL","model":"gpt-5-chat-latest","object":"chat.completion","service_tier":"default","system_fingerprint":"fp_ad66631dec","usage":{"completion_tokens":13,"completion_tokens_details":{"accepted_prediction_tokens":0,"audio_tokens":0,"reasoning_tokens":0,"rejected_prediction_tokens":0},"prompt_tokens":880,"prompt_tokens_details":{"audio_tokens":0,"cached_tokens":0},"total_tokens":893}}</t>
  </si>
  <si>
    <t>Converse All Star Khaki High Top Canvas Sneakers Unisex</t>
  </si>
  <si>
    <t>{"choices":[{"finish_reason":"stop","index":0,"logprobs":null,"message":{"annotations":[],"content":"Converse All Star Classic Khaki High-Top Canvas Sneakers feature durable canvas, non-slip rubber sole, vintage street style, unisex design, lightweight comfort, and timeless American casual vibes.","refusal":null,"role":"assistant"}}],"created":1776414758,"id":"chatcmpl-DVYusatU70L0xuqasfnp3QaRSazdF","model":"gpt-5-chat-latest","object":"chat.completion","service_tier":"default","system_fingerprint":"fp_ad66631dec","usage":{"completion_tokens":39,"completion_tokens_details":{"accepted_prediction_tokens":0,"audio_tokens":0,"reasoning_tokens":0,"rejected_prediction_tokens":0},"prompt_tokens":903,"prompt_tokens_details":{"audio_tokens":0,"cached_tokens":0},"total_tokens":942}}</t>
  </si>
  <si>
    <t>Converse All Star Classic Khaki High-Top Canvas Sneakers feature durable canvas, non-slip rubber sole, vintage street style, unisex design, lightweight comfort, and timeless American casual vibes.</t>
  </si>
  <si>
    <t>{"choices":[{"finish_reason":"stop","index":0,"logprobs":null,"message":{"annotations":[],"content":"Converse,Shoes,kakobuy,kakebuy2026,kekobuysheet,kakobuysheet2026,2026kakobuy,kakobuyspreadsheeet,kakobuylink,kakebuylist,Kakobuy MEGA Spreadsheet,kakobuysheetfind,kakobuysheetfind2026,2026kakobuysheetfind,kakobuysheet2026","refusal":null,"role":"assistant"}}],"created":1776417325,"id":"chatcmpl-DVZaH5q0efZMo2cVcVXsakobcSsbd","model":"gpt-5-chat-latest","object":"chat.completion","service_tier":"default","system_fingerprint":"fp_ad66631dec","usage":{"completion_tokens":87,"completion_tokens_details":{"accepted_prediction_tokens":0,"audio_tokens":0,"reasoning_tokens":0,"rejected_prediction_tokens":0},"prompt_tokens":783,"prompt_tokens_details":{"audio_tokens":0,"cached_tokens":0},"total_tokens":870}}</t>
  </si>
  <si>
    <t>Vintage, Unisex, Casual Sneakers, Streetwear</t>
  </si>
  <si>
    <t>recvh0B9A7eK9S</t>
  </si>
  <si>
    <t>converse-all-star-khaki-high-recvh0b9a7ek9s</t>
  </si>
  <si>
    <t>{"choices":[{"finish_reason":"stop","index":0,"logprobs":null,"message":{"annotations":[],"content":"Converse：经典All Star系列卡其色高帮帆布鞋，柔韧耐磨帆布材质搭配厚底防滑橡胶鞋底，复古街头设计展现美式休闲风格，男女皆宜，轻盈舒适，彰显青春活力。","refusal":null,"role":"assistant"}}],"created":1776412394,"id":"chatcmpl-DVYIka3vJZin5pcQbdbGTf8J4VNOt","model":"gpt-5-chat-latest","object":"chat.completion","service_tier":"default","system_fingerprint":"fp_ad66631dec","usage":{"completion_tokens":69,"completion_tokens_details":{"accepted_prediction_tokens":0,"audio_tokens":0,"reasoning_tokens":0,"rejected_prediction_tokens":0},"prompt_tokens":1300,"prompt_tokens_details":{"audio_tokens":0,"cached_tokens":0},"total_tokens":1369}}</t>
  </si>
  <si>
    <t>Converse：经典All Star系列卡其色高帮帆布鞋，柔韧耐磨帆布材质搭配厚底防滑橡胶鞋底，复古街头设计展现美式休闲风格，男女皆宜，轻盈舒适，彰显青春活力。</t>
  </si>
  <si>
    <t>{"choices":[{"finish_reason":"stop","index":0,"logprobs":null,"message":{"annotations":[],"content":"Converse High Top Black White Canvas Sneakers","refusal":null,"role":"assistant"}}],"created":1776416251,"id":"chatcmpl-DVZIxQYPRUbMBPsPxD4QgyRDIkKg0","model":"gpt-5-chat-latest","object":"chat.completion","service_tier":"default","system_fingerprint":"fp_ad66631dec","usage":{"completion_tokens":9,"completion_tokens_details":{"accepted_prediction_tokens":0,"audio_tokens":0,"reasoning_tokens":0,"rejected_prediction_tokens":0},"prompt_tokens":604,"prompt_tokens_details":{"audio_tokens":0,"cached_tokens":0},"total_tokens":613}}</t>
  </si>
  <si>
    <t>Converse High Top Black White Canvas Sneakers</t>
  </si>
  <si>
    <t>{"id":"chatcmpl-DVYyfD2LR16jHMyimN8DPDuejf1Hg","object":"chat.completion","created":1776414993,"model":"gpt-5-chat-latest","choices":[{"index":0,"message":{"role":"assistant","content":"Converse Classic Black White High Top Canvas Sneakers feature premium cotton canvas, thick rubber sole, and red stripe detail for a retro street vibe. Unisex, versatile design for daily wear and casual style.","refusal":null,"annotations":[]},"logprobs":null,"finish_reason":"stop"}],"usage":{"prompt_tokens":630,"completion_tokens":41,"total_tokens":671,"prompt_tokens_details":{"cached_tokens":0,"audio_tokens":0},"completion_tokens_details":{"reasoning_tokens":0,"audio_tokens":0,"accepted_prediction_tokens":0,"rejected_prediction_tokens":0}},"service_tier":"default","system_fingerprint":"fp_ad66631dec"}</t>
  </si>
  <si>
    <t>Converse Classic Black White High Top Canvas Sneakers feature premium cotton canvas, thick rubber sole, and red stripe detail for a retro street vibe. Unisex, versatile design for daily wear and casual style.</t>
  </si>
  <si>
    <t>{"id":"chatcmpl-DVZSqj1W6xOKFBm6mbrnfpLBJNfEG","object":"chat.completion","created":1776416864,"model":"gpt-5-chat-latest","choices":[{"index":0,"message":{"role":"assistant","content":"Converse,Shoes,kakobuy,kakebuy2026,kekobuysheet,kakobuysheet2026,2026kakobuy,kakobuyspreadsheeet,kakobuylink,kakebuylist,Kakobuy MEGA Spreadsheet,kakobuysheetfind,kakobuysheetfind2026,2026kakobuysheetfind,kakobuysheet2026","refusal":null,"annotations":[]},"logprobs":null,"finish_reason":"stop"}],"usage":{"prompt_tokens":503,"completion_tokens":87,"total_tokens":590,"prompt_tokens_details":{"cached_tokens":0,"audio_tokens":0},"completion_tokens_details":{"reasoning_tokens":0,"audio_tokens":0,"accepted_prediction_tokens":0,"rejected_prediction_tokens":0}},"service_tier":"default","system_fingerprint":"fp_ad66631dec"}</t>
  </si>
  <si>
    <t>Canvas, Rubber Sole, Retro, Street, Unisex, Versatile</t>
  </si>
  <si>
    <t>recvh0B9A73bzj</t>
  </si>
  <si>
    <t>converse-high-top-black-white-recvh0b9a73bzj</t>
  </si>
  <si>
    <t>{"choices":[{"finish_reason":"stop","index":0,"logprobs":null,"message":{"annotations":[],"content":"Converse：经典黑白高帮帆布鞋，采用优质棉帆布材质搭配橡胶厚底，红线装饰增添复古街头气息。男女通用款，简约百搭设计彰显美式休闲风格，适合日常出行与潮流搭配。","refusal":null,"role":"assistant"}}],"created":1776411895,"id":"chatcmpl-DVYAhR8PH4xKgecEePmUa7ZcwHWLX","model":"gpt-5-chat-latest","object":"chat.completion","service_tier":"default","system_fingerprint":"fp_ad66631dec","usage":{"completion_tokens":76,"completion_tokens_details":{"accepted_prediction_tokens":0,"audio_tokens":0,"reasoning_tokens":0,"rejected_prediction_tokens":0},"prompt_tokens":1020,"prompt_tokens_details":{"audio_tokens":0,"cached_tokens":0},"total_tokens":1096}}</t>
  </si>
  <si>
    <t>Converse：经典黑白高帮帆布鞋，采用优质棉帆布材质搭配橡胶厚底，红线装饰增添复古街头气息。男女通用款，简约百搭设计彰显美式休闲风格，适合日常出行与潮流搭配。</t>
  </si>
  <si>
    <t>200</t>
  </si>
  <si>
    <t>{"id":"chatcmpl-DVZJErQlj37f0oNDRnMVier72Re3i","object":"chat.completion","created":1776416268,"model":"gpt-5-chat-latest","choices":[{"index":0,"message":{"role":"assistant","content":"Converse One Star Grey Suede Low Top Sneakers","refusal":null,"annotations":[]},"logprobs":null,"finish_reason":"stop"}],"usage":{"prompt_tokens":888,"completion_tokens":11,"total_tokens":899,"prompt_tokens_details":{"cached_tokens":0,"audio_tokens":0},"completion_tokens_details":{"reasoning_tokens":0,"audio_tokens":0,"accepted_prediction_tokens":0,"rejected_prediction_tokens":0}},"service_tier":"default","system_fingerprint":"fp_ad66631dec"}</t>
  </si>
  <si>
    <t>Converse One Star Grey Suede Low Top Sneakers</t>
  </si>
  <si>
    <t>{"choices":[{"finish_reason":"stop","index":0,"logprobs":null,"message":{"annotations":[],"content":"Converse One Star Grey Suede Low-Top Sneakers, soft and delicate suede texture, white star logo and thick rubber sole for a retro street look, unisex, comfy and durable for everyday casual wear.","refusal":null,"role":"assistant"}}],"created":1776414731,"id":"chatcmpl-DVYuRHCA21DIJh91UCU1b80O8UmPA","model":"gpt-5-chat-latest","object":"chat.completion","service_tier":"default","system_fingerprint":"fp_ad66631dec","usage":{"completion_tokens":43,"completion_tokens_details":{"accepted_prediction_tokens":0,"audio_tokens":0,"reasoning_tokens":0,"rejected_prediction_tokens":0},"prompt_tokens":900,"prompt_tokens_details":{"audio_tokens":0,"cached_tokens":0},"total_tokens":943}}</t>
  </si>
  <si>
    <t>Converse One Star Grey Suede Low-Top Sneakers, soft and delicate suede texture, white star logo and thick rubber sole for a retro street look, unisex, comfy and durable for everyday casual wear.</t>
  </si>
  <si>
    <t>{"choices":[{"finish_reason":"stop","index":0,"logprobs":null,"message":{"annotations":[],"content":"Converse,Shoes,kakobuy,kakebuy2026,kekobuysheet,kakobuysheet2026,2026kakobuy,kakobuyspreadsheeet,kakobuylink,kakebuylist,Kakobuy MEGA Spreadsheet,kakobuysheetfind,kakobuysheetfind2026,2026kakobuysheetfind,kakobuysheet2026","refusal":null,"role":"assistant"}}],"created":1776417209,"id":"chatcmpl-DVZYPXQkZfzWW1YFy7gZ4nCbr92D8","model":"gpt-5-chat-latest","object":"chat.completion","service_tier":"default","system_fingerprint":"fp_ad66631dec","usage":{"completion_tokens":87,"completion_tokens_details":{"accepted_prediction_tokens":0,"audio_tokens":0,"reasoning_tokens":0,"rejected_prediction_tokens":0},"prompt_tokens":783,"prompt_tokens_details":{"audio_tokens":0,"cached_tokens":0},"total_tokens":870}}</t>
  </si>
  <si>
    <t>Suede, Retro, Street, Unisex, Casual Sneakers, Grey</t>
  </si>
  <si>
    <t>recvh0B9A7rkJ5</t>
  </si>
  <si>
    <t>converse-one-star-grey-suede-recvh0b9a7rkj5</t>
  </si>
  <si>
    <t>{"choices":[{"finish_reason":"stop","index":0,"logprobs":null,"message":{"annotations":[],"content":"Converse：One Star灰色麂皮低帮休闲鞋，柔软翻毛皮质感细腻，白色星徽与橡胶厚底彰显复古街头风，男女皆宜，舒适耐穿，适合日常潮流搭配。","refusal":null,"role":"assistant"}}],"created":1776411870,"id":"chatcmpl-DVYAIBKh3k2jGMpZmXAA1iK9kcqnx","model":"gpt-5-chat-latest","object":"chat.completion","service_tier":"default","system_fingerprint":"fp_ad66631dec","usage":{"completion_tokens":64,"completion_tokens_details":{"accepted_prediction_tokens":0,"audio_tokens":0,"reasoning_tokens":0,"rejected_prediction_tokens":0},"prompt_tokens":1304,"prompt_tokens_details":{"audio_tokens":0,"cached_tokens":0},"total_tokens":1368}}</t>
  </si>
  <si>
    <t>Converse：One Star灰色麂皮低帮休闲鞋，柔软翻毛皮质感细腻，白色星徽与橡胶厚底彰显复古街头风，男女皆宜，舒适耐穿，适合日常潮流搭配。</t>
  </si>
  <si>
    <t>{"choices":[{"finish_reason":"stop","index":0,"logprobs":null,"message":{"annotations":[],"content":"Converse High Top Vintage Off White Canvas Sneakers","refusal":null,"role":"assistant"}}],"created":1776415896,"id":"chatcmpl-DVZDEcb5Ak7042NJkR9Nh00tu6GMk","model":"gpt-5-chat-latest","object":"chat.completion","service_tier":"default","system_fingerprint":"fp_ad66631dec","usage":{"completion_tokens":10,"completion_tokens_details":{"accepted_prediction_tokens":0,"audio_tokens":0,"reasoning_tokens":0,"rejected_prediction_tokens":0},"prompt_tokens":876,"prompt_tokens_details":{"audio_tokens":0,"cached_tokens":0},"total_tokens":886}}</t>
  </si>
  <si>
    <t>Converse High Top Vintage Off White Canvas Sneakers</t>
  </si>
  <si>
    <t>{"id":"chatcmpl-DVYzQ3ILsEAQaZlGdc2Pfd1UKJ0pw","object":"chat.completion","created":1776415040,"model":"gpt-5-chat-latest","choices":[{"index":0,"message":{"role":"assistant","content":"Converse High Top Canvas Shoes, vintage off-white design, thick vulcanized sole, breathable cotton fabric, unisex retro 70s street fashion, expressing freedom and individuality.","refusal":null,"annotations":[]},"logprobs":null,"finish_reason":"stop"}],"usage":{"prompt_tokens":910,"completion_tokens":37,"total_tokens":947,"prompt_tokens_details":{"cached_tokens":0,"audio_tokens":0},"completion_tokens_details":{"reasoning_tokens":0,"audio_tokens":0,"accepted_prediction_tokens":0,"rejected_prediction_tokens":0}},"service_tier":"default","system_fingerprint":"fp_ad66631dec"}</t>
  </si>
  <si>
    <t>Converse High Top Canvas Shoes, vintage off-white design, thick vulcanized sole, breathable cotton fabric, unisex retro 70s street fashion, expressing freedom and individuality.</t>
  </si>
  <si>
    <t>{"id":"chatcmpl-DVZV8LLGNg2KlpsAVSYBMfJLCi0EV","object":"chat.completion","created":1776417006,"model":"gpt-5-chat-latest","choices":[{"index":0,"message":{"role":"assistant","content":"Converse,Shoes,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87,"total_tokens":870,"prompt_tokens_details":{"cached_tokens":0,"audio_tokens":0},"completion_tokens_details":{"reasoning_tokens":0,"audio_tokens":0,"accepted_prediction_tokens":0,"rejected_prediction_tokens":0}},"service_tier":"default","system_fingerprint":"fp_ad66631dec"}</t>
  </si>
  <si>
    <t>Canvas Shoes, Vintage, Off-White, Retro, Unisex, Streetwear</t>
  </si>
  <si>
    <t>recvh0B9A7rvPS</t>
  </si>
  <si>
    <t>converse-high-top-vintage-off-white-recvh0b9a7rvps</t>
  </si>
  <si>
    <t>{"choices":[{"finish_reason":"stop","index":0,"logprobs":null,"message":{"annotations":[],"content":"Converse：经典高帮帆布鞋，米白色复古设计，厚底硫化橡胶鞋底，透气纯棉帆布材质，百搭街头休闲风格，男女皆宜，延续70年代复古潮流精髓，彰显自由与个性。","refusal":null,"role":"assistant"}}],"created":1776412151,"id":"chatcmpl-DVYEpFaN1IvRcATaQ0h3qwLzyTB6K","model":"gpt-5-chat-latest","object":"chat.completion","service_tier":"default","system_fingerprint":"fp_ad66631dec","usage":{"completion_tokens":73,"completion_tokens_details":{"accepted_prediction_tokens":0,"audio_tokens":0,"reasoning_tokens":0,"rejected_prediction_tokens":0},"prompt_tokens":1306,"prompt_tokens_details":{"audio_tokens":0,"cached_tokens":1280},"total_tokens":1379}}</t>
  </si>
  <si>
    <t>Converse：经典高帮帆布鞋，米白色复古设计，厚底硫化橡胶鞋底，透气纯棉帆布材质，百搭街头休闲风格，男女皆宜，延续70年代复古潮流精髓，彰显自由与个性。</t>
  </si>
  <si>
    <t>Versace</t>
  </si>
  <si>
    <t>600</t>
  </si>
  <si>
    <t>{"choices":[{"finish_reason":"stop","index":0,"logprobs":null,"message":{"annotations":[],"content":"Versace Medusa Black Grey Platform Sneakers","refusal":null,"role":"assistant"}}],"created":1776416340,"id":"chatcmpl-DVZKOvtwWMA9MRzab27qZU9EKwe6g","model":"gpt-5-chat-latest","object":"chat.completion","service_tier":"default","system_fingerprint":"fp_ad66631dec","usage":{"completion_tokens":9,"completion_tokens_details":{"accepted_prediction_tokens":0,"audio_tokens":0,"reasoning_tokens":0,"rejected_prediction_tokens":0},"prompt_tokens":878,"prompt_tokens_details":{"audio_tokens":0,"cached_tokens":0},"total_tokens":887}}</t>
  </si>
  <si>
    <t>Versace Medusa Black Grey Platform Sneakers</t>
  </si>
  <si>
    <t>{"choices":[{"finish_reason":"stop","index":0,"logprobs":null,"message":{"annotations":[],"content":"Versace black-grey platform sneakers feature premium leather and mesh design, engraved Medusa emblem, street-futuristic style, cushioned sole for daily comfort, perfect for men and women.","refusal":null,"role":"assistant"}}],"created":1776414687,"id":"chatcmpl-DVYtj33OO9jEOJXSnBuglB1Y6EVY6","model":"gpt-5-chat-latest","object":"chat.completion","service_tier":"default","system_fingerprint":"fp_ad66631dec","usage":{"completion_tokens":38,"completion_tokens_details":{"accepted_prediction_tokens":0,"audio_tokens":0,"reasoning_tokens":0,"rejected_prediction_tokens":0},"prompt_tokens":901,"prompt_tokens_details":{"audio_tokens":0,"cached_tokens":0},"total_tokens":939}}</t>
  </si>
  <si>
    <t>Versace black-grey platform sneakers feature premium leather and mesh design, engraved Medusa emblem, street-futuristic style, cushioned sole for daily comfort, perfect for men and women.</t>
  </si>
  <si>
    <t>{"id":"chatcmpl-DVZZoqIlK1wx2FMce5Qx2WG6u8UhL","object":"chat.completion","created":1776417296,"model":"gpt-5-chat-latest","choices":[{"index":0,"message":{"role":"assistant","content":"Versace,Shoes,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87,"total_tokens":870,"prompt_tokens_details":{"cached_tokens":0,"audio_tokens":0},"completion_tokens_details":{"reasoning_tokens":0,"audio_tokens":0,"accepted_prediction_tokens":0,"rejected_prediction_tokens":0}},"service_tier":"default","system_fingerprint":"fp_ad66631dec"}</t>
  </si>
  <si>
    <t>Versace,Shoes,kakobuy,kakebuy2026,kekobuysheet,kakobuysheet2026,2026kakobuy,kakobuyspreadsheeet,kakobuylink,kakebuylist,Kakobuy MEGA Spreadsheet,kakobuysheetfind,kakobuysheetfind2026,2026kakobuysheetfind,kakobuysheet2026</t>
  </si>
  <si>
    <t>Platform Shoes, Leather, Mesh, Street, Unisex</t>
  </si>
  <si>
    <t>recvh0B9A7FIYa</t>
  </si>
  <si>
    <t>versace-medusa-black-grey-recvh0b9a7fiya</t>
  </si>
  <si>
    <t>{"id":"chatcmpl-DVYFpdqKnGB8bEu6khz2IO2sy9jsQ","object":"chat.completion","created":1776412213,"model":"gpt-5-chat-latest","choices":[{"index":0,"message":{"role":"assistant","content":"Versace：黑灰配色厚底运动鞋，采用优质皮革与网面拼接设计，雕刻美杜莎标志彰显奢华质感，兼具街头与未来风格，舒适缓震鞋底适合男女日常穿搭。","refusal":null,"annotations":[]},"logprobs":null,"finish_reason":"stop"}],"usage":{"prompt_tokens":1308,"completion_tokens":63,"total_tokens":1371,"prompt_tokens_details":{"cached_tokens":0,"audio_tokens":0},"completion_tokens_details":{"reasoning_tokens":0,"audio_tokens":0,"accepted_prediction_tokens":0,"rejected_prediction_tokens":0}},"service_tier":"default","system_fingerprint":"fp_ad66631dec"}</t>
  </si>
  <si>
    <t>Versace：黑灰配色厚底运动鞋，采用优质皮革与网面拼接设计，雕刻美杜莎标志彰显奢华质感，兼具街头与未来风格，舒适缓震鞋底适合男女日常穿搭。</t>
  </si>
  <si>
    <t>{"choices":[{"finish_reason":"stop","index":0,"logprobs":null,"message":{"annotations":[],"content":"Converse One Star Cream White Red Leather Sneakers","refusal":null,"role":"assistant"}}],"created":1776416162,"id":"chatcmpl-DVZHWIYvTzOMy6DDf40VHeslOZ23H","model":"gpt-5-chat-latest","object":"chat.completion","service_tier":"default","system_fingerprint":"fp_ad66631dec","usage":{"completion_tokens":10,"completion_tokens_details":{"accepted_prediction_tokens":0,"audio_tokens":0,"reasoning_tokens":0,"rejected_prediction_tokens":0},"prompt_tokens":868,"prompt_tokens_details":{"audio_tokens":0,"cached_tokens":0},"total_tokens":878}}</t>
  </si>
  <si>
    <t>Converse One Star Cream White Red Leather Sneakers</t>
  </si>
  <si>
    <t>{"choices":[{"finish_reason":"stop","index":0,"logprobs":null,"message":{"annotations":[],"content":"Converse One Star Cream White Red Star sneakers feature glossy leather, low-top design, retro street style, unisex comfort, and versatile fashion for everyday wear.","refusal":null,"role":"assistant"}}],"created":1776414817,"id":"chatcmpl-DVYvpZfcHij4UthRZB4D75FeRdrDE","model":"gpt-5-chat-latest","object":"chat.completion","service_tier":"default","system_fingerprint":"fp_ad66631dec","usage":{"completion_tokens":33,"completion_tokens_details":{"accepted_prediction_tokens":0,"audio_tokens":0,"reasoning_tokens":0,"rejected_prediction_tokens":0},"prompt_tokens":887,"prompt_tokens_details":{"audio_tokens":0,"cached_tokens":0},"total_tokens":920}}</t>
  </si>
  <si>
    <t>Converse One Star Cream White Red Star sneakers feature glossy leather, low-top design, retro street style, unisex comfort, and versatile fashion for everyday wear.</t>
  </si>
  <si>
    <t>{"id":"chatcmpl-DVZR87UwaiSnHWFJWtrIXpo3grpNs","object":"chat.completion","created":1776416758,"model":"gpt-5-chat-latest","choices":[{"index":0,"message":{"role":"assistant","content":"Converse,Shoes,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87,"total_tokens":870,"prompt_tokens_details":{"cached_tokens":0,"audio_tokens":0},"completion_tokens_details":{"reasoning_tokens":0,"audio_tokens":0,"accepted_prediction_tokens":0,"rejected_prediction_tokens":0}},"service_tier":"default","system_fingerprint":"fp_ad66631dec"}</t>
  </si>
  <si>
    <t>Retro, Street, Streetwear, Unisex, Leather, Sneakers</t>
  </si>
  <si>
    <t>recvh0B9A7SaG7</t>
  </si>
  <si>
    <t>converse-one-star-cream-white-red-leather-recvh0b9a7sag7</t>
  </si>
  <si>
    <t>{"choices":[{"finish_reason":"stop","index":0,"logprobs":null,"message":{"annotations":[],"content":"Converse：One Star奶油白红星休闲鞋，光泽皮革材质，低帮设计，复古街头风格，男女皆宜，舒适耐穿，展现百搭时尚品味。","refusal":null,"role":"assistant"}}],"created":1776412166,"id":"chatcmpl-DVYF4CjULEIZMPc1bldQAllCsa4r3","model":"gpt-5-chat-latest","object":"chat.completion","service_tier":"default","system_fingerprint":"fp_ad66631dec","usage":{"completion_tokens":51,"completion_tokens_details":{"accepted_prediction_tokens":0,"audio_tokens":0,"reasoning_tokens":0,"rejected_prediction_tokens":0},"prompt_tokens":1304,"prompt_tokens_details":{"audio_tokens":0,"cached_tokens":1280},"total_tokens":1355}}</t>
  </si>
  <si>
    <t>Converse：One Star奶油白红星休闲鞋，光泽皮革材质，低帮设计，复古街头风格，男女皆宜，舒适耐穿，展现百搭时尚品味。</t>
  </si>
  <si>
    <t>{"id":"chatcmpl-DVZBqS9k6ZS8P0nYVjSl1F9evyseF","object":"chat.completion","created":1776415810,"model":"gpt-5-chat-latest","choices":[{"index":0,"message":{"role":"assistant","content":"Converse Classic White Canvas Low Top Unisex Sneakers","refusal":null,"annotations":[]},"logprobs":null,"finish_reason":"stop"}],"usage":{"prompt_tokens":884,"completion_tokens":11,"total_tokens":895,"prompt_tokens_details":{"cached_tokens":0,"audio_tokens":0},"completion_tokens_details":{"reasoning_tokens":0,"audio_tokens":0,"accepted_prediction_tokens":0,"rejected_prediction_tokens":0}},"service_tier":"default","system_fingerprint":"fp_ad66631dec"}</t>
  </si>
  <si>
    <t>Converse Classic White Canvas Low Top Unisex Sneakers</t>
  </si>
  <si>
    <t>{"id":"chatcmpl-DVYvGmCLUKQRsaEE97IchUruljO2w","object":"chat.completion","created":1776414782,"model":"gpt-5-chat-latest","choices":[{"index":0,"message":{"role":"assistant","content":"Converse Classic White Canvas Low-Top Sneakers feature premium cotton canvas, durable rubber soles, red-blue stripes for a retro American look. Unisex, breathable, stylish, and perfect for everyday wear.","refusal":null,"annotations":[]},"logprobs":null,"finish_reason":"stop"}],"usage":{"prompt_tokens":902,"completion_tokens":41,"total_tokens":943,"prompt_tokens_details":{"cached_tokens":0,"audio_tokens":0},"completion_tokens_details":{"reasoning_tokens":0,"audio_tokens":0,"accepted_prediction_tokens":0,"rejected_prediction_tokens":0}},"service_tier":"default","system_fingerprint":"fp_ad66631dec"}</t>
  </si>
  <si>
    <t>Converse Classic White Canvas Low-Top Sneakers feature premium cotton canvas, durable rubber soles, red-blue stripes for a retro American look. Unisex, breathable, stylish, and perfect for everyday wear.</t>
  </si>
  <si>
    <t>{"choices":[{"finish_reason":"stop","index":0,"logprobs":null,"message":{"annotations":[],"content":"Converse,Shoes,kakobuy,kakebuy2026,kekobuysheet,kakobuysheet2026,2026kakobuy,kakobuyspreadsheeet,kakobuylink,kakebuylist,Kakobuy MEGA Spreadsheet,kakobuysheetfind,kakobuysheetfind2026,2026kakobuysheetfind,kakobuysheet2026","refusal":null,"role":"assistant"}}],"created":1776416880,"id":"chatcmpl-DVZT6acZhlZJOVlXakHl72xou9CZm","model":"gpt-5-chat-latest","object":"chat.completion","service_tier":"default","system_fingerprint":"fp_ad66631dec","usage":{"completion_tokens":87,"completion_tokens_details":{"accepted_prediction_tokens":0,"audio_tokens":0,"reasoning_tokens":0,"rejected_prediction_tokens":0},"prompt_tokens":783,"prompt_tokens_details":{"audio_tokens":0,"cached_tokens":0},"total_tokens":870}}</t>
  </si>
  <si>
    <t>Canvas, Rubber Sole, Retro, Unisex, Breathable, Casual Sneakers</t>
  </si>
  <si>
    <t>recvh0B9A7TxtK</t>
  </si>
  <si>
    <t>converse-classic-white-canvas-low-top-unisex-recvh0b9a7txtk</t>
  </si>
  <si>
    <t>{"choices":[{"finish_reason":"stop","index":0,"logprobs":null,"message":{"annotations":[],"content":"Converse：经典白色帆布低帮球鞋，采用优质棉质帆布鞋面与橡胶厚底设计，红蓝双线装饰彰显复古美式街头风格，男女皆宜，舒适透气，休闲与百搭兼具。","refusal":null,"role":"assistant"}}],"created":1776412112,"id":"chatcmpl-DVYECzDUmjMVWzRmUheiR9RnRY9oe","model":"gpt-5-chat-latest","object":"chat.completion","service_tier":"default","system_fingerprint":"fp_ad66631dec","usage":{"completion_tokens":68,"completion_tokens_details":{"accepted_prediction_tokens":0,"audio_tokens":0,"reasoning_tokens":0,"rejected_prediction_tokens":0},"prompt_tokens":1300,"prompt_tokens_details":{"audio_tokens":0,"cached_tokens":0},"total_tokens":1368}}</t>
  </si>
  <si>
    <t>Converse：经典白色帆布低帮球鞋，采用优质棉质帆布鞋面与橡胶厚底设计，红蓝双线装饰彰显复古美式街头风格，男女皆宜，舒适透气，休闲与百搭兼具。</t>
  </si>
  <si>
    <t>{"id":"chatcmpl-DVZEVbRL4DcIniH5aDMFyEtJn4ney","object":"chat.completion","created":1776415975,"model":"gpt-5-chat-latest","choices":[{"index":0,"message":{"role":"assistant","content":"Converse Chuck Taylor Navy High Top Canvas Sneakers","refusal":null,"annotations":[]},"logprobs":null,"finish_reason":"stop"}],"usage":{"prompt_tokens":868,"completion_tokens":10,"total_tokens":878,"prompt_tokens_details":{"cached_tokens":0,"audio_tokens":0},"completion_tokens_details":{"reasoning_tokens":0,"audio_tokens":0,"accepted_prediction_tokens":0,"rejected_prediction_tokens":0}},"service_tier":"default","system_fingerprint":"fp_ad66631dec"}</t>
  </si>
  <si>
    <t>Converse Chuck Taylor Navy High Top Canvas Sneakers</t>
  </si>
  <si>
    <t>{"choices":[{"finish_reason":"stop","index":0,"logprobs":null,"message":{"annotations":[],"content":"Converse Chuck Taylor Classic Navy High Top Canvas Shoes, durable textured rubber sole, white stitch contrast, vintage street style, unisex casual sneakers for everyday wear.","refusal":null,"role":"assistant"}}],"created":1776414844,"id":"chatcmpl-DVYwGhbD6Xin4bcu3bLqf0hwrwLUM","model":"gpt-5-chat-latest","object":"chat.completion","service_tier":"default","system_fingerprint":"fp_ad66631dec","usage":{"completion_tokens":33,"completion_tokens_details":{"accepted_prediction_tokens":0,"audio_tokens":0,"reasoning_tokens":0,"rejected_prediction_tokens":0},"prompt_tokens":896,"prompt_tokens_details":{"audio_tokens":0,"cached_tokens":0},"total_tokens":929}}</t>
  </si>
  <si>
    <t>Converse Chuck Taylor Classic Navy High Top Canvas Shoes, durable textured rubber sole, white stitch contrast, vintage street style, unisex casual sneakers for everyday wear.</t>
  </si>
  <si>
    <t>{"choices":[{"finish_reason":"stop","index":0,"logprobs":null,"message":{"annotations":[],"content":"Converse,Shoes,kakobuy,kakebuy2026,kekobuysheet,kakobuysheet2026,2026kakobuy,kakobuyspreadsheeet,kakobuylink,kakebuylist,Kakobuy MEGA Spreadsheet,kakobuysheetfind,kakobuysheetfind2026,2026kakobuysheetfind,kakobuysheet2026","refusal":null,"role":"assistant"}}],"created":1776417197,"id":"chatcmpl-DVZYD04pU2wEXabxFp8TnCYhEaEX3","model":"gpt-5-chat-latest","object":"chat.completion","service_tier":"default","system_fingerprint":"fp_ad66631dec","usage":{"completion_tokens":87,"completion_tokens_details":{"accepted_prediction_tokens":0,"audio_tokens":0,"reasoning_tokens":0,"rejected_prediction_tokens":0},"prompt_tokens":783,"prompt_tokens_details":{"audio_tokens":0,"cached_tokens":0},"total_tokens":870}}</t>
  </si>
  <si>
    <t>Canvas Shoes, Navy, Vintage, Streetwear, Unisex, Casual Sneakers</t>
  </si>
  <si>
    <t>recvh0B9A70Bth</t>
  </si>
  <si>
    <t>converse-chuck-taylor-navy-high-recvh0b9a70bth</t>
  </si>
  <si>
    <t>{"choices":[{"finish_reason":"stop","index":0,"logprobs":null,"message":{"annotations":[],"content":"Converse：经典Chuck Taylor深蓝高帮帆布鞋，荔枝纹橡胶鞋底防滑耐磨，白色缝线对比设计彰显复古美学，男女通用百搭休闲款，重现20世纪街头文化经典。","refusal":null,"role":"assistant"}}],"created":1776412119,"id":"chatcmpl-DVYEJ1CLESX5tF8dQWXUPpiSMt5Fb","model":"gpt-5-chat-latest","object":"chat.completion","service_tier":"default","system_fingerprint":"fp_ad66631dec","usage":{"completion_tokens":63,"completion_tokens_details":{"accepted_prediction_tokens":0,"audio_tokens":0,"reasoning_tokens":0,"rejected_prediction_tokens":0},"prompt_tokens":1298,"prompt_tokens_details":{"audio_tokens":0,"cached_tokens":0},"total_tokens":1361}}</t>
  </si>
  <si>
    <t>Converse：经典Chuck Taylor深蓝高帮帆布鞋，荔枝纹橡胶鞋底防滑耐磨，白色缝线对比设计彰显复古美学，男女通用百搭休闲款，重现20世纪街头文化经典。</t>
  </si>
  <si>
    <t>{"choices":[{"finish_reason":"stop","index":0,"logprobs":null,"message":{"annotations":[],"content":"Converse High Top Vintage Burgundy Canvas Sneakers","refusal":null,"role":"assistant"}}],"created":1776416155,"id":"chatcmpl-DVZHP1H4OdAvUGvL8TcH8umkLA3ZI","model":"gpt-5-chat-latest","object":"chat.completion","service_tier":"default","system_fingerprint":"fp_ad66631dec","usage":{"completion_tokens":9,"completion_tokens_details":{"accepted_prediction_tokens":0,"audio_tokens":0,"reasoning_tokens":0,"rejected_prediction_tokens":0},"prompt_tokens":874,"prompt_tokens_details":{"audio_tokens":0,"cached_tokens":0},"total_tokens":883}}</t>
  </si>
  <si>
    <t>Converse High Top Vintage Burgundy Canvas Sneakers</t>
  </si>
  <si>
    <t>{"id":"chatcmpl-DVZ0kQaqRc1a1fn6Szrut55epjxQM","object":"chat.completion","created":1776415122,"model":"gpt-5-chat-latest","choices":[{"index":0,"message":{"role":"assistant","content":"Converse High Top Canvas Sneakers – Vintage Burgundy, breathable cotton canvas and durable rubber sole, iconic star logo with white trim, unisex American street style, timeless fashion classic.","refusal":null,"annotations":[]},"logprobs":null,"finish_reason":"stop"}],"usage":{"prompt_tokens":922,"completion_tokens":36,"total_tokens":958,"prompt_tokens_details":{"cached_tokens":0,"audio_tokens":0},"completion_tokens_details":{"reasoning_tokens":0,"audio_tokens":0,"accepted_prediction_tokens":0,"rejected_prediction_tokens":0}},"service_tier":"default","system_fingerprint":"fp_ad66631dec"}</t>
  </si>
  <si>
    <t>Converse High Top Canvas Sneakers – Vintage Burgundy, breathable cotton canvas and durable rubber sole, iconic star logo with white trim, unisex American street style, timeless fashion classic.</t>
  </si>
  <si>
    <t>{"choices":[{"finish_reason":"stop","index":0,"logprobs":null,"message":{"annotations":[],"content":"Converse,Shoes,kakobuy,kakebuy2026,kekobuysheet,kakobuysheet2026,2026kakobuy,kakobuyspreadsheeet,kakobuylink,kakebuylist,Kakobuy MEGA Spreadsheet,kakobuysheetfind,kakobuysheetfind2026,2026kakobuysheetfind,kakobuysheet2026","refusal":null,"role":"assistant"}}],"created":1776417041,"id":"chatcmpl-DVZVhN81wnfBvkHQZKVBYUwqDr51A","model":"gpt-5-chat-latest","object":"chat.completion","service_tier":"default","system_fingerprint":"fp_ad66631dec","usage":{"completion_tokens":87,"completion_tokens_details":{"accepted_prediction_tokens":0,"audio_tokens":0,"reasoning_tokens":0,"rejected_prediction_tokens":0},"prompt_tokens":783,"prompt_tokens_details":{"audio_tokens":0,"cached_tokens":0},"total_tokens":870}}</t>
  </si>
  <si>
    <t>Canvas Shoes, Burgundy, Streetwear, Unisex, Classic, Breathable</t>
  </si>
  <si>
    <t>recvh0B9A7klh2</t>
  </si>
  <si>
    <t>converse-high-top-vintage-burgundy-canvas-recvh0b9a7klh2</t>
  </si>
  <si>
    <t>{"choices":[{"finish_reason":"stop","index":0,"logprobs":null,"message":{"annotations":[],"content":"Converse：经典高帮帆布鞋，酒红色复古配色，优质棉质帆布与橡胶鞋底结合，透气耐磨。标志性星徽LOGO与白色撞边设计，呈现美式街头休闲风格，男女皆宜，彰显百年品牌的经典魅力与时尚态度。","refusal":null,"role":"assistant"}}],"created":1776412563,"id":"chatcmpl-DVYLTXb3Og2Wucb1hku7sJ9ROTBtD","model":"gpt-5-chat-latest","object":"chat.completion","service_tier":"default","system_fingerprint":"fp_ad66631dec","usage":{"completion_tokens":85,"completion_tokens_details":{"accepted_prediction_tokens":0,"audio_tokens":0,"reasoning_tokens":0,"rejected_prediction_tokens":0},"prompt_tokens":1306,"prompt_tokens_details":{"audio_tokens":0,"cached_tokens":1280},"total_tokens":1391}}</t>
  </si>
  <si>
    <t>Converse：经典高帮帆布鞋，酒红色复古配色，优质棉质帆布与橡胶鞋底结合，透气耐磨。标志性星徽LOGO与白色撞边设计，呈现美式街头休闲风格，男女皆宜，彰显百年品牌的经典魅力与时尚态度。</t>
  </si>
  <si>
    <t>{"id":"chatcmpl-DVZCF24wtKmpKaHYK2bJpWwH4b0QM","object":"chat.completion","created":1776415835,"model":"gpt-5-chat-latest","choices":[{"index":0,"message":{"role":"assistant","content":"Converse Black High-Top Leather Sneakers Unisex Shoes","refusal":null,"annotations":[]},"logprobs":null,"finish_reason":"stop"}],"usage":{"prompt_tokens":876,"completion_tokens":12,"total_tokens":888,"prompt_tokens_details":{"cached_tokens":0,"audio_tokens":0},"completion_tokens_details":{"reasoning_tokens":0,"audio_tokens":0,"accepted_prediction_tokens":0,"rejected_prediction_tokens":0}},"service_tier":"default","system_fingerprint":"fp_ad66631dec"}</t>
  </si>
  <si>
    <t>Converse Black High-Top Leather Sneakers Unisex Shoes</t>
  </si>
  <si>
    <t>{"choices":[{"finish_reason":"stop","index":0,"logprobs":null,"message":{"annotations":[],"content":"Converse Black High-Top Leather Sneakers, soft textured feel with metal eyelets and classic rubber sole. Unisex design blending retro and street style for a versatile, fashionable look.","refusal":null,"role":"assistant"}}],"created":1776415258,"id":"chatcmpl-DVZ2wbuwntOLqGkbObkcPlzIjVWyu","model":"gpt-5-chat-latest","object":"chat.completion","service_tier":"default","system_fingerprint":"fp_ad66631dec","usage":{"completion_tokens":37,"completion_tokens_details":{"accepted_prediction_tokens":0,"audio_tokens":0,"reasoning_tokens":0,"rejected_prediction_tokens":0},"prompt_tokens":895,"prompt_tokens_details":{"audio_tokens":0,"cached_tokens":0},"total_tokens":932}}</t>
  </si>
  <si>
    <t>Converse Black High-Top Leather Sneakers, soft textured feel with metal eyelets and classic rubber sole. Unisex design blending retro and street style for a versatile, fashionable look.</t>
  </si>
  <si>
    <t>{"choices":[{"finish_reason":"stop","index":0,"logprobs":null,"message":{"annotations":[],"content":"Converse,Shoes,kakobuy,kakebuy2026,kekobuysheet,kakobuysheet2026,2026kakobuy,kakobuyspreadsheeet,kakobuylink,kakebuylist,Kakobuy MEGA Spreadsheet,kakobuysheetfind,kakobuysheetfind2026,2026kakobuysheetfind,kakobuysheet2026","refusal":null,"role":"assistant"}}],"created":1776416882,"id":"chatcmpl-DVZT8HfmumSuowmyoJOIwbr7ukMvd","model":"gpt-5-chat-latest","object":"chat.completion","service_tier":"default","system_fingerprint":"fp_ad66631dec","usage":{"completion_tokens":87,"completion_tokens_details":{"accepted_prediction_tokens":0,"audio_tokens":0,"reasoning_tokens":0,"rejected_prediction_tokens":0},"prompt_tokens":783,"prompt_tokens_details":{"audio_tokens":0,"cached_tokens":0},"total_tokens":870}}</t>
  </si>
  <si>
    <t>Leather Sneakers, Black, Retro, Street, Unisex, Sneakers</t>
  </si>
  <si>
    <t>recvh0B9A7HvFn</t>
  </si>
  <si>
    <t>converse-black-high-top-leather-recvh0b9a7hvfn</t>
  </si>
  <si>
    <t>{"choices":[{"finish_reason":"stop","index":0,"logprobs":null,"message":{"annotations":[],"content":"Converse：黑色高帮皮革休闲帆布鞋，质感细腻柔软，金属孔饰搭配经典橡胶鞋底设计，男女通用款，融合复古与街头元素，展现百搭时尚格调。","refusal":null,"role":"assistant"}}],"created":1776412147,"id":"chatcmpl-DVYElDa2Tg8aUl3UGsFnILHOhvXZY","model":"gpt-5-chat-latest","object":"chat.completion","service_tier":"default","system_fingerprint":"fp_ad66631dec","usage":{"completion_tokens":61,"completion_tokens_details":{"accepted_prediction_tokens":0,"audio_tokens":0,"reasoning_tokens":0,"rejected_prediction_tokens":0},"prompt_tokens":1300,"prompt_tokens_details":{"audio_tokens":0,"cached_tokens":0},"total_tokens":1361}}</t>
  </si>
  <si>
    <t>Converse：黑色高帮皮革休闲帆布鞋，质感细腻柔软，金属孔饰搭配经典橡胶鞋底设计，男女通用款，融合复古与街头元素，展现百搭时尚格调。</t>
  </si>
  <si>
    <t>180</t>
  </si>
  <si>
    <t>{"choices":[{"finish_reason":"stop","index":0,"logprobs":null,"message":{"annotations":[],"content":"Converse One Star Green Suede Unisex Casual Sneakers","refusal":null,"role":"assistant"}}],"created":1776416275,"id":"chatcmpl-DVZJLMGhaa6IQnYHkH6jPGluPPo15","model":"gpt-5-chat-latest","object":"chat.completion","service_tier":"default","system_fingerprint":"fp_ad66631dec","usage":{"completion_tokens":12,"completion_tokens_details":{"accepted_prediction_tokens":0,"audio_tokens":0,"reasoning_tokens":0,"rejected_prediction_tokens":0},"prompt_tokens":876,"prompt_tokens_details":{"audio_tokens":0,"cached_tokens":0},"total_tokens":888}}</t>
  </si>
  <si>
    <t>Converse One Star Green Suede Unisex Casual Sneakers</t>
  </si>
  <si>
    <t>{"choices":[{"finish_reason":"stop","index":0,"logprobs":null,"message":{"annotations":[],"content":"Converse One Star Fluorescent Green Suede Sneakers feature retro street style, soft wear-resistant material, breathable comfort, unisex design, and youthful energy for everyday casual wear.","refusal":null,"role":"assistant"}}],"created":1776415312,"id":"chatcmpl-DVZ3oP4wx9o2NJ7pcKFBbFKEBNibQ","model":"gpt-5-chat-latest","object":"chat.completion","service_tier":"default","system_fingerprint":"fp_ad66631dec","usage":{"completion_tokens":37,"completion_tokens_details":{"accepted_prediction_tokens":0,"audio_tokens":0,"reasoning_tokens":0,"rejected_prediction_tokens":0},"prompt_tokens":884,"prompt_tokens_details":{"audio_tokens":0,"cached_tokens":0},"total_tokens":921}}</t>
  </si>
  <si>
    <t>Converse One Star Fluorescent Green Suede Sneakers feature retro street style, soft wear-resistant material, breathable comfort, unisex design, and youthful energy for everyday casual wear.</t>
  </si>
  <si>
    <t>{"id":"chatcmpl-DVZSBptEcp1m3gkGXFhlDyV0UEozM","object":"chat.completion","created":1776416823,"model":"gpt-5-chat-latest","choices":[{"index":0,"message":{"role":"assistant","content":"Converse,Shoes,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87,"total_tokens":870,"prompt_tokens_details":{"cached_tokens":0,"audio_tokens":0},"completion_tokens_details":{"reasoning_tokens":0,"audio_tokens":0,"accepted_prediction_tokens":0,"rejected_prediction_tokens":0}},"service_tier":"default","system_fingerprint":"fp_ad66631dec"}</t>
  </si>
  <si>
    <t>Suede, Retro, Street, Unisex, Casual Sneakers, Green</t>
  </si>
  <si>
    <t>recvh0B9A7PLKn</t>
  </si>
  <si>
    <t>converse-one-star-green-suede-unisex-recvh0b9a7plkn</t>
  </si>
  <si>
    <t>{"choices":[{"finish_reason":"stop","index":0,"logprobs":null,"message":{"annotations":[],"content":"Converse：One Star系列荧光绿麂皮休闲鞋，复古街头风格设计，柔软耐磨材质，男女通用款，舒适透气，彰显青春活力。","refusal":null,"role":"assistant"}}],"created":1776412001,"id":"chatcmpl-DVYCPHGxCM752YGUuKRU1o4xuNQ8w","model":"gpt-5-chat-latest","object":"chat.completion","service_tier":"default","system_fingerprint":"fp_ad66631dec","usage":{"completion_tokens":49,"completion_tokens_details":{"accepted_prediction_tokens":0,"audio_tokens":0,"reasoning_tokens":0,"rejected_prediction_tokens":0},"prompt_tokens":1302,"prompt_tokens_details":{"audio_tokens":0,"cached_tokens":0},"total_tokens":1351}}</t>
  </si>
  <si>
    <t>Converse：One Star系列荧光绿麂皮休闲鞋，复古街头风格设计，柔软耐磨材质，男女通用款，舒适透气，彰显青春活力。</t>
  </si>
  <si>
    <t>{"id":"chatcmpl-DVZHCnDRdvJlRYCY1AbKlsbzfrX0z","object":"chat.completion","created":1776416142,"model":"gpt-5-chat-latest","choices":[{"index":0,"message":{"role":"assistant","content":"Converse All Star Off White Neon Green Sneakers","refusal":null,"annotations":[]},"logprobs":null,"finish_reason":"stop"}],"usage":{"prompt_tokens":878,"completion_tokens":10,"total_tokens":888,"prompt_tokens_details":{"cached_tokens":0,"audio_tokens":0},"completion_tokens_details":{"reasoning_tokens":0,"audio_tokens":0,"accepted_prediction_tokens":0,"rejected_prediction_tokens":0}},"service_tier":"default","system_fingerprint":"fp_ad66631dec"}</t>
  </si>
  <si>
    <t>Converse All Star Off White Neon Green Sneakers</t>
  </si>
  <si>
    <t>{"choices":[{"finish_reason":"stop","index":0,"logprobs":null,"message":{"annotations":[],"content":"Converse All Star off-white canvas sneakers with neon green rope detail, breathable fabric, thick sole for comfort and lift, unisex retro street style, perfect blend of fashion and ease.","refusal":null,"role":"assistant"}}],"created":1776414892,"id":"chatcmpl-DVYx2RTv08a0mtDM4m1anVzNreaLF","model":"gpt-5-chat-latest","object":"chat.completion","service_tier":"default","system_fingerprint":"fp_ad66631dec","usage":{"completion_tokens":38,"completion_tokens_details":{"accepted_prediction_tokens":0,"audio_tokens":0,"reasoning_tokens":0,"rejected_prediction_tokens":0},"prompt_tokens":897,"prompt_tokens_details":{"audio_tokens":0,"cached_tokens":0},"total_tokens":935}}</t>
  </si>
  <si>
    <t>Converse All Star off-white canvas sneakers with neon green rope detail, breathable fabric, thick sole for comfort and lift, unisex retro street style, perfect blend of fashion and ease.</t>
  </si>
  <si>
    <t>{"id":"chatcmpl-DVZTBU0j8T1CC0gKmyx80gKyPVSUU","object":"chat.completion","created":1776416885,"model":"gpt-5-chat-latest","choices":[{"index":0,"message":{"role":"assistant","content":"Converse,Shoes,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87,"total_tokens":870,"prompt_tokens_details":{"cached_tokens":0,"audio_tokens":0},"completion_tokens_details":{"reasoning_tokens":0,"audio_tokens":0,"accepted_prediction_tokens":0,"rejected_prediction_tokens":0}},"service_tier":"default","system_fingerprint":"fp_ad66631dec"}</t>
  </si>
  <si>
    <t>Canvas, Breathable, Unisex, Retro, Streetwear, Fashion</t>
  </si>
  <si>
    <t>recvh0B9A77kno</t>
  </si>
  <si>
    <t>converse-all-star-off-white-neon-green-recvh0b9a77kno</t>
  </si>
  <si>
    <t>{"choices":[{"finish_reason":"stop","index":0,"logprobs":null,"message":{"annotations":[],"content":"Converse：All Star米白色帆布休闲鞋，编织荧光绿绳带设计，透气帆布材质，厚底结构提升脚感，男女皆宜，复古街头风格，兼具舒适与个性。","refusal":null,"role":"assistant"}}],"created":1776411973,"id":"chatcmpl-DVYBx7ZtaxaJWEmoKgXPK9F3lLcwu","model":"gpt-5-chat-latest","object":"chat.completion","service_tier":"default","system_fingerprint":"fp_ad66631dec","usage":{"completion_tokens":61,"completion_tokens_details":{"accepted_prediction_tokens":0,"audio_tokens":0,"reasoning_tokens":0,"rejected_prediction_tokens":0},"prompt_tokens":1304,"prompt_tokens_details":{"audio_tokens":0,"cached_tokens":0},"total_tokens":1365}}</t>
  </si>
  <si>
    <t>Converse：All Star米白色帆布休闲鞋，编织荧光绿绳带设计，透气帆布材质，厚底结构提升脚感，男女皆宜，复古街头风格，兼具舒适与个性。</t>
  </si>
  <si>
    <t>{"id":"chatcmpl-DVZJgtYAP7PSQhD3TvZqmgZubCjYN","object":"chat.completion","created":1776416296,"model":"gpt-5-chat-latest","choices":[{"index":0,"message":{"role":"assistant","content":"Converse Chuck Taylor Vintage Rose High Top Shoes","refusal":null,"annotations":[]},"logprobs":null,"finish_reason":"stop"}],"usage":{"prompt_tokens":868,"completion_tokens":10,"total_tokens":878,"prompt_tokens_details":{"cached_tokens":0,"audio_tokens":0},"completion_tokens_details":{"reasoning_tokens":0,"audio_tokens":0,"accepted_prediction_tokens":0,"rejected_prediction_tokens":0}},"service_tier":"default","system_fingerprint":"fp_ad66631dec"}</t>
  </si>
  <si>
    <t>Converse Chuck Taylor Vintage Rose High Top Shoes</t>
  </si>
  <si>
    <t>{"choices":[{"finish_reason":"stop","index":0,"logprobs":null,"message":{"annotations":[],"content":"Converse Chuck Taylor Classic High Top Sneakers in Vintage Rose Pink, durable rubber sole, breathable canvas, unisex design for casual street style and versatile everyday wear.","refusal":null,"role":"assistant"}}],"created":1776415326,"id":"chatcmpl-DVZ42141P9JwmEazd3iW16c3lTlJL","model":"gpt-5-chat-latest","object":"chat.completion","service_tier":"default","system_fingerprint":"fp_ad66631dec","usage":{"completion_tokens":33,"completion_tokens_details":{"accepted_prediction_tokens":0,"audio_tokens":0,"reasoning_tokens":0,"rejected_prediction_tokens":0},"prompt_tokens":896,"prompt_tokens_details":{"audio_tokens":0,"cached_tokens":0},"total_tokens":929}}</t>
  </si>
  <si>
    <t>Converse Chuck Taylor Classic High Top Sneakers in Vintage Rose Pink, durable rubber sole, breathable canvas, unisex design for casual street style and versatile everyday wear.</t>
  </si>
  <si>
    <t>{"choices":[{"finish_reason":"stop","index":0,"logprobs":null,"message":{"annotations":[],"content":"Converse,Shoes,kakobuy,kakebuy2026,kekobuysheet,kakobuysheet2026,2026kakobuy,kakobuyspreadsheeet,kakobuylink,kakebuylist,Kakobuy MEGA Spreadsheet,kakobuysheetfind,kakobuysheetfind2026,2026kakobuysheetfind,kakobuysheet2026","refusal":null,"role":"assistant"}}],"created":1776417086,"id":"chatcmpl-DVZWQZMxg1rcGalbYqPh2LC5eOH5Q","model":"gpt-5-chat-latest","object":"chat.completion","service_tier":"default","system_fingerprint":"fp_ad66631dec","usage":{"completion_tokens":87,"completion_tokens_details":{"accepted_prediction_tokens":0,"audio_tokens":0,"reasoning_tokens":0,"rejected_prediction_tokens":0},"prompt_tokens":783,"prompt_tokens_details":{"audio_tokens":0,"cached_tokens":0},"total_tokens":870}}</t>
  </si>
  <si>
    <t>Vintage, Pink, Canvas, Unisex, Casual Sneakers, Streetwear</t>
  </si>
  <si>
    <t>recvh0B9A79dL2</t>
  </si>
  <si>
    <t>converse-chuck-taylor-vintage-rose-recvh0b9a79dl2</t>
  </si>
  <si>
    <t>{"choices":[{"finish_reason":"stop","index":0,"logprobs":null,"message":{"annotations":[],"content":"Converse：经典Chuck Taylor高帮帆布鞋，复古玫瑰粉配色，耐磨橡胶鞋底，透气棉质面料，男女通用款，休闲街头风格，百搭潮流单品。","refusal":null,"role":"assistant"}}],"created":1776412288,"id":"chatcmpl-DVYH288Df1FdFyLA16HhntxHwMtN8","model":"gpt-5-chat-latest","object":"chat.completion","service_tier":"default","system_fingerprint":"fp_ad66631dec","usage":{"completion_tokens":59,"completion_tokens_details":{"accepted_prediction_tokens":0,"audio_tokens":0,"reasoning_tokens":0,"rejected_prediction_tokens":0},"prompt_tokens":1306,"prompt_tokens_details":{"audio_tokens":0,"cached_tokens":0},"total_tokens":1365}}</t>
  </si>
  <si>
    <t>Converse：经典Chuck Taylor高帮帆布鞋，复古玫瑰粉配色，耐磨橡胶鞋底，透气棉质面料，男女通用款，休闲街头风格，百搭潮流单品。</t>
  </si>
  <si>
    <t>Nike</t>
  </si>
  <si>
    <t>{"choices":[{"finish_reason":"stop","index":0,"logprobs":null,"message":{"annotations":[],"content":"Nike x Stussy Dunk Low Grey White Sneakers","refusal":null,"role":"assistant"}}],"created":1776416352,"id":"chatcmpl-DVZKaVn1NRHQXlOfSPJV3BTUOTtqf","model":"gpt-5-chat-latest","object":"chat.completion","service_tier":"default","system_fingerprint":"fp_ad66631dec","usage":{"completion_tokens":10,"completion_tokens_details":{"accepted_prediction_tokens":0,"audio_tokens":0,"reasoning_tokens":0,"rejected_prediction_tokens":0},"prompt_tokens":869,"prompt_tokens_details":{"audio_tokens":0,"cached_tokens":0},"total_tokens":879}}</t>
  </si>
  <si>
    <t>Nike x Stussy Dunk Low Grey White Sneakers</t>
  </si>
  <si>
    <t>{"id":"chatcmpl-DVZ2zMStMim1Q02atRCKMi3BimISi","object":"chat.completion","created":1776415261,"model":"gpt-5-chat-latest","choices":[{"index":0,"message":{"role":"assistant","content":"Nike x Stussy Dunk Low Grey White, premium leather build, skull and Stussy embroidery, classic retro skate style, unisex casual sneakers for streetwear fashion.","refusal":null,"annotations":[]},"logprobs":null,"finish_reason":"stop"}],"usage":{"prompt_tokens":891,"completion_tokens":34,"total_tokens":925,"prompt_tokens_details":{"cached_tokens":0,"audio_tokens":0},"completion_tokens_details":{"reasoning_tokens":0,"audio_tokens":0,"accepted_prediction_tokens":0,"rejected_prediction_tokens":0}},"service_tier":"default","system_fingerprint":"fp_ad66631dec"}</t>
  </si>
  <si>
    <t>Nike x Stussy Dunk Low Grey White, premium leather build, skull and Stussy embroidery, classic retro skate style, unisex casual sneakers for streetwear fashion.</t>
  </si>
  <si>
    <t>{"choices":[{"finish_reason":"stop","index":0,"logprobs":null,"message":{"annotations":[],"content":"Nike, Shoes, kakobuy, kakebuy2026, kekobuysheet, kakobuysheet2026, 2026kakobuy, kakobuyspreadsheeet, kakobuylink, kakebuylist, Kakobuy MEGA Spreadsheet, kakobuysheetfind, kakobuysheetfind2026, 2026kakobuysheetfind, kakobuysheet2026","refusal":null,"role":"assistant"}}],"created":1776416927,"id":"chatcmpl-DVZTrnO9ktPcijBbUvneORNW0G3xF","model":"gpt-5-chat-latest","object":"chat.completion","service_tier":"default","system_fingerprint":"fp_ad66631dec","usage":{"completion_tokens":90,"completion_tokens_details":{"accepted_prediction_tokens":0,"audio_tokens":0,"reasoning_tokens":0,"rejected_prediction_tokens":0},"prompt_tokens":782,"prompt_tokens_details":{"audio_tokens":0,"cached_tokens":0},"total_tokens":872}}</t>
  </si>
  <si>
    <t>Nike, Nike Dunk Low, Leather, Retro, Unisex, Streetwear</t>
  </si>
  <si>
    <t>recvh0B9A7vVjz</t>
  </si>
  <si>
    <t>nike-stussy-dunk-low-grey-white-recvh0b9a7vvjz</t>
  </si>
  <si>
    <t>{"choices":[{"finish_reason":"stop","index":0,"logprobs":null,"message":{"annotations":[],"content":"Nike: 灰白配色Dunk Low联名款，优质皮革打造，侧面点缀骷髅与Stussy刺绣标识，复古街头滑板风格，男女通用休闲运动鞋。","refusal":null,"role":"assistant"}}],"created":1776412557,"id":"chatcmpl-DVYLNEvNonYnCSSkUiuw82z9EoOU1","model":"gpt-5-chat-latest","object":"chat.completion","service_tier":"default","system_fingerprint":"fp_ad66631dec","usage":{"completion_tokens":56,"completion_tokens_details":{"accepted_prediction_tokens":0,"audio_tokens":0,"reasoning_tokens":0,"rejected_prediction_tokens":0},"prompt_tokens":1302,"prompt_tokens_details":{"audio_tokens":0,"cached_tokens":0},"total_tokens":1358}}</t>
  </si>
  <si>
    <t>Nike: 灰白配色Dunk Low联名款，优质皮革打造，侧面点缀骷髅与Stussy刺绣标识，复古街头滑板风格，男女通用休闲运动鞋。</t>
  </si>
  <si>
    <t>{"choices":[{"finish_reason":"stop","index":0,"logprobs":null,"message":{"annotations":[],"content":"Converse Chuck Taylor Black Leather High Top Sneakers","refusal":null,"role":"assistant"}}],"created":1776416227,"id":"chatcmpl-DVZIZ4n3Ciw0xNTRNsMaTsAd8jard","model":"gpt-5-chat-latest","object":"chat.completion","service_tier":"default","system_fingerprint":"fp_ad66631dec","usage":{"completion_tokens":10,"completion_tokens_details":{"accepted_prediction_tokens":0,"audio_tokens":0,"reasoning_tokens":0,"rejected_prediction_tokens":0},"prompt_tokens":882,"prompt_tokens_details":{"audio_tokens":0,"cached_tokens":0},"total_tokens":892}}</t>
  </si>
  <si>
    <t>Converse Chuck Taylor Black Leather High Top Sneakers</t>
  </si>
  <si>
    <t>{"id":"chatcmpl-DVZ46C6zL91rAzlpLWcbQCb4KdTAg","object":"chat.completion","created":1776415330,"model":"gpt-5-chat-latest","choices":[{"index":0,"message":{"role":"assistant","content":"Converse Black High-Top Leather Sneakers — classic Chuck Taylor design with soft leather upper and rubber sole, all-black street style, unisex comfort, breathable fit, perfect for retro sporty looks.","refusal":null,"annotations":[]},"logprobs":null,"finish_reason":"stop"}],"usage":{"prompt_tokens":914,"completion_tokens":40,"total_tokens":954,"prompt_tokens_details":{"cached_tokens":0,"audio_tokens":0},"completion_tokens_details":{"reasoning_tokens":0,"audio_tokens":0,"accepted_prediction_tokens":0,"rejected_prediction_tokens":0}},"service_tier":"default","system_fingerprint":"fp_ad66631dec"}</t>
  </si>
  <si>
    <t>Converse Black High-Top Leather Sneakers — classic Chuck Taylor design with soft leather upper and rubber sole, all-black street style, unisex comfort, breathable fit, perfect for retro sporty looks.</t>
  </si>
  <si>
    <t>{"choices":[{"finish_reason":"stop","index":0,"logprobs":null,"message":{"annotations":[],"content":"Converse,Shoes,kakobuy,kakebuy2026,kekobuysheet,kakobuysheet2026,2026kakobuy,kakobuyspreadsheeet,kakobuylink,kakebuylist,Kakobuy MEGA Spreadsheet,kakobuysheetfind,kakobuysheetfind2026,2026kakobuysheetfind,kakobuysheet2026","refusal":null,"role":"assistant"}}],"created":1776417413,"id":"chatcmpl-DVZbhwyvB4p19EONx74sz86bjUoFi","model":"gpt-5-chat-latest","object":"chat.completion","service_tier":"default","system_fingerprint":"fp_ad66631dec","usage":{"completion_tokens":87,"completion_tokens_details":{"accepted_prediction_tokens":0,"audio_tokens":0,"reasoning_tokens":0,"rejected_prediction_tokens":0},"prompt_tokens":783,"prompt_tokens_details":{"audio_tokens":0,"cached_tokens":0},"total_tokens":870}}</t>
  </si>
  <si>
    <t>Leather Sneakers, Black, Unisex, Street, Retro, Sneakers</t>
  </si>
  <si>
    <t>recvh0B9A7U6oa</t>
  </si>
  <si>
    <t>converse-chuck-taylor-black-leather-high-recvh0b9a7u6oa</t>
  </si>
  <si>
    <t>{"choices":[{"finish_reason":"stop","index":0,"logprobs":null,"message":{"annotations":[],"content":"Converse：黑色高帮皮质帆布鞋，柔软皮面搭配橡胶防滑鞋底，延续经典Chuck Taylor造型，简约全黑设计凸显街头潮流质感，男女皆宜，舒适透气兼具时尚与实穿，完美演绎复古运动风格。","refusal":null,"role":"assistant"}}],"created":1776412254,"id":"chatcmpl-DVYGURAyqnyXzzyt9UWFUpl5hKCL7","model":"gpt-5-chat-latest","object":"chat.completion","service_tier":"default","system_fingerprint":"fp_ad66631dec","usage":{"completion_tokens":78,"completion_tokens_details":{"accepted_prediction_tokens":0,"audio_tokens":0,"reasoning_tokens":0,"rejected_prediction_tokens":0},"prompt_tokens":1304,"prompt_tokens_details":{"audio_tokens":0,"cached_tokens":0},"total_tokens":1382}}</t>
  </si>
  <si>
    <t>Converse：黑色高帮皮质帆布鞋，柔软皮面搭配橡胶防滑鞋底，延续经典Chuck Taylor造型，简约全黑设计凸显街头潮流质感，男女皆宜，舒适透气兼具时尚与实穿，完美演绎复古运动风格。</t>
  </si>
  <si>
    <t>{"choices":[{"finish_reason":"stop","index":0,"logprobs":null,"message":{"annotations":[],"content":"Converse Chuck Taylor Pink High Top Canvas Sneakers","refusal":null,"role":"assistant"}}],"created":1776416037,"id":"chatcmpl-DVZFVqmqHEBrra7mkFd2wOC1Y3Kqa","model":"gpt-5-chat-latest","object":"chat.completion","service_tier":"default","system_fingerprint":"fp_ad66631dec","usage":{"completion_tokens":10,"completion_tokens_details":{"accepted_prediction_tokens":0,"audio_tokens":0,"reasoning_tokens":0,"rejected_prediction_tokens":0},"prompt_tokens":886,"prompt_tokens_details":{"audio_tokens":0,"cached_tokens":0},"total_tokens":896}}</t>
  </si>
  <si>
    <t>Converse Chuck Taylor Pink High Top Canvas Sneakers</t>
  </si>
  <si>
    <t>{"id":"chatcmpl-DVYzkDvpq8ouXAKRNVlYZTTBkQget","object":"chat.completion","created":1776415060,"model":"gpt-5-chat-latest","choices":[{"index":0,"message":{"role":"assistant","content":"Converse Chuck Taylor Pink High Top Canvas Shoes – lightweight, breathable cotton, durable white rubber sole and toe cap, metal eyelets with white laces, unisex retro street style for youthful everyday wear.","refusal":null,"annotations":[]},"logprobs":null,"finish_reason":"stop"}],"usage":{"prompt_tokens":912,"completion_tokens":42,"total_tokens":954,"prompt_tokens_details":{"cached_tokens":0,"audio_tokens":0},"completion_tokens_details":{"reasoning_tokens":0,"audio_tokens":0,"accepted_prediction_tokens":0,"rejected_prediction_tokens":0}},"service_tier":"default","system_fingerprint":"fp_ad66631dec"}</t>
  </si>
  <si>
    <t>Converse Chuck Taylor Pink High Top Canvas Shoes – lightweight, breathable cotton, durable white rubber sole and toe cap, metal eyelets with white laces, unisex retro street style for youthful everyday wear.</t>
  </si>
  <si>
    <t>{"id":"chatcmpl-DVZad6VRcgc396sVzihtfdUKEQtmk","object":"chat.completion","created":1776417347,"model":"gpt-5-chat-latest","choices":[{"index":0,"message":{"role":"assistant","content":"Converse,Shoes,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87,"total_tokens":870,"prompt_tokens_details":{"cached_tokens":0,"audio_tokens":0},"completion_tokens_details":{"reasoning_tokens":0,"audio_tokens":0,"accepted_prediction_tokens":0,"rejected_prediction_tokens":0}},"service_tier":"default","system_fingerprint":"fp_ad66631dec"}</t>
  </si>
  <si>
    <t>Canvas Shoes, Pink, Retro, Street, Unisex, Breathable</t>
  </si>
  <si>
    <t>recvh0B9A7ooJJ</t>
  </si>
  <si>
    <t>converse-chuck-taylor-pink-high-recvh0b9a7oojj</t>
  </si>
  <si>
    <t>{"id":"chatcmpl-DVYAnmJGk2b6jEGgDFF1oXvIPDz6S","object":"chat.completion","created":1776411901,"model":"gpt-5-chat-latest","choices":[{"index":0,"message":{"role":"assistant","content":"Converse：粉色高帮帆布鞋，采用经典Chuck Taylor系列设计，轻盈透气棉质材质，白色橡胶鞋底与鞋头增强耐磨性能，金属鞋孔搭配白色鞋带，呈现复古街头风格，男女通用款，展现青春潮流态度。","refusal":null,"annotations":[]},"logprobs":null,"finish_reason":"stop"}],"usage":{"prompt_tokens":1300,"completion_tokens":78,"total_tokens":1378,"prompt_tokens_details":{"cached_tokens":0,"audio_tokens":0},"completion_tokens_details":{"reasoning_tokens":0,"audio_tokens":0,"accepted_prediction_tokens":0,"rejected_prediction_tokens":0}},"service_tier":"default","system_fingerprint":"fp_ad66631dec"}</t>
  </si>
  <si>
    <t>Converse：粉色高帮帆布鞋，采用经典Chuck Taylor系列设计，轻盈透气棉质材质，白色橡胶鞋底与鞋头增强耐磨性能，金属鞋孔搭配白色鞋带，呈现复古街头风格，男女通用款，展现青春潮流态度。</t>
  </si>
  <si>
    <t>{"id":"chatcmpl-DVZEdRlTggX28lSVxJ3TXf1yUEePg","object":"chat.completion","created":1776415983,"model":"gpt-5-chat-latest","choices":[{"index":0,"message":{"role":"assistant","content":"Converse One Star Black Suede Low Top Skate Shoes","refusal":null,"annotations":[]},"logprobs":null,"finish_reason":"stop"}],"usage":{"prompt_tokens":880,"completion_tokens":12,"total_tokens":892,"prompt_tokens_details":{"cached_tokens":0,"audio_tokens":0},"completion_tokens_details":{"reasoning_tokens":0,"audio_tokens":0,"accepted_prediction_tokens":0,"rejected_prediction_tokens":0}},"service_tier":"default","system_fingerprint":"fp_ad66631dec"}</t>
  </si>
  <si>
    <t>Converse One Star Black Suede Low Top Skate Shoes</t>
  </si>
  <si>
    <t>{"choices":[{"finish_reason":"stop","index":0,"logprobs":null,"message":{"annotations":[],"content":"Converse One Star Black Suede Low-Top Skate Shoes feature the iconic star logo, vintage street style, durable soft rubber sole, unisex design for daily wear and skateboarding comfort.","refusal":null,"role":"assistant"}}],"created":1776415245,"id":"chatcmpl-DVZ2jBopFMm248u3EFLBWhGEjFrgQ","model":"gpt-5-chat-latest","object":"chat.completion","service_tier":"default","system_fingerprint":"fp_ad66631dec","usage":{"completion_tokens":39,"completion_tokens_details":{"accepted_prediction_tokens":0,"audio_tokens":0,"reasoning_tokens":0,"rejected_prediction_tokens":0},"prompt_tokens":907,"prompt_tokens_details":{"audio_tokens":0,"cached_tokens":0},"total_tokens":946}}</t>
  </si>
  <si>
    <t>Converse One Star Black Suede Low-Top Skate Shoes feature the iconic star logo, vintage street style, durable soft rubber sole, unisex design for daily wear and skateboarding comfort.</t>
  </si>
  <si>
    <t>{"choices":[{"finish_reason":"stop","index":0,"logprobs":null,"message":{"annotations":[],"content":"Converse, Shoes, kakobuy, kakebuy2026, kekobuysheet, kakobuysheet2026, 2026kakobuy, kakobuyspreadsheeet, kakobuylink, kakebuylist, Kakobuy MEGA Spreadsheet, kakobuysheetfind, kakobuysheetfind2026, 2026kakobuysheetfind, kakobuysheet2026","refusal":null,"role":"assistant"}}],"created":1776416989,"id":"chatcmpl-DVZUrzEVDcoj3SKDvgHmMqwDgtvrU","model":"gpt-5-chat-latest","object":"chat.completion","service_tier":"default","system_fingerprint":"fp_ad66631dec","usage":{"completion_tokens":91,"completion_tokens_details":{"accepted_prediction_tokens":0,"audio_tokens":0,"reasoning_tokens":0,"rejected_prediction_tokens":0},"prompt_tokens":783,"prompt_tokens_details":{"audio_tokens":0,"cached_tokens":0},"total_tokens":874}}</t>
  </si>
  <si>
    <t>Converse, Shoes, kakobuy, kakebuy2026, kekobuysheet, kakobuysheet2026, 2026kakobuy, kakobuyspreadsheeet, kakobuylink, kakebuylist, Kakobuy MEGA Spreadsheet, kakobuysheetfind, kakobuysheetfind2026, 2026kakobuysheetfind, kakobuysheet2026</t>
  </si>
  <si>
    <t>Suede, Unisex, Skate Shoes, Streetwear, Retro</t>
  </si>
  <si>
    <t>recvh0B9A7wIg2</t>
  </si>
  <si>
    <t>converse-one-star-black-suede-low-top-recvh0b9a7wig2</t>
  </si>
  <si>
    <t>{"choices":[{"finish_reason":"stop","index":0,"logprobs":null,"message":{"annotations":[],"content":"Converse：One Star 黑色麂皮低帮滑板鞋，经典五角星标志搭配白色厚底设计，复古街头风格，柔软耐磨橡胶底提升抓地力，男女通用休闲鞋款，适合日常与滑板运动穿搭。","refusal":null,"role":"assistant"}}],"created":1776412151,"id":"chatcmpl-DVYEpsYLC1TW0nEMjDnHFu9QnplJT","model":"gpt-5-chat-latest","object":"chat.completion","service_tier":"default","system_fingerprint":"fp_ad66631dec","usage":{"completion_tokens":70,"completion_tokens_details":{"accepted_prediction_tokens":0,"audio_tokens":0,"reasoning_tokens":0,"rejected_prediction_tokens":0},"prompt_tokens":1306,"prompt_tokens_details":{"audio_tokens":0,"cached_tokens":0},"total_tokens":1376}}</t>
  </si>
  <si>
    <t>Converse：One Star 黑色麂皮低帮滑板鞋，经典五角星标志搭配白色厚底设计，复古街头风格，柔软耐磨橡胶底提升抓地力，男女通用休闲鞋款，适合日常与滑板运动穿搭。</t>
  </si>
  <si>
    <t>{"choices":[{"finish_reason":"stop","index":0,"logprobs":null,"message":{"annotations":[],"content":"Converse Chuck Taylor Grey High Top Canvas Sneakers","refusal":null,"role":"assistant"}}],"created":1776416180,"id":"chatcmpl-DVZHo6iLMxKVJYWgTk6wOd54pOvZe","model":"gpt-5-chat-latest","object":"chat.completion","service_tier":"default","system_fingerprint":"fp_ad66631dec","usage":{"completion_tokens":10,"completion_tokens_details":{"accepted_prediction_tokens":0,"audio_tokens":0,"reasoning_tokens":0,"rejected_prediction_tokens":0},"prompt_tokens":876,"prompt_tokens_details":{"audio_tokens":0,"cached_tokens":0},"total_tokens":886}}</t>
  </si>
  <si>
    <t>Converse Chuck Taylor Grey High Top Canvas Sneakers</t>
  </si>
  <si>
    <t>{"choices":[{"finish_reason":"stop","index":0,"logprobs":null,"message":{"annotations":[],"content":"Converse Chuck Taylor Grey High Top Canvas Sneakers, breathable cotton, thick anti-slip rubber sole, vintage white toe, contrast stitching, unisex versatile retro 70s street style.","refusal":null,"role":"assistant"}}],"created":1776415075,"id":"chatcmpl-DVYzzvnSKhUtiDGoHUug6Rqy9QeZL","model":"gpt-5-chat-latest","object":"chat.completion","service_tier":"default","system_fingerprint":"fp_ad66631dec","usage":{"completion_tokens":37,"completion_tokens_details":{"accepted_prediction_tokens":0,"audio_tokens":0,"reasoning_tokens":0,"rejected_prediction_tokens":0},"prompt_tokens":919,"prompt_tokens_details":{"audio_tokens":0,"cached_tokens":0},"total_tokens":956}}</t>
  </si>
  <si>
    <t>Converse Chuck Taylor Grey High Top Canvas Sneakers, breathable cotton, thick anti-slip rubber sole, vintage white toe, contrast stitching, unisex versatile retro 70s street style.</t>
  </si>
  <si>
    <t>{"id":"chatcmpl-DVZRCUcMDOERIduvxmQTXk8GFB57s","object":"chat.completion","created":1776416762,"model":"gpt-5-chat-latest","choices":[{"index":0,"message":{"role":"assistant","content":"Converse,Shoes,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87,"total_tokens":870,"prompt_tokens_details":{"cached_tokens":0,"audio_tokens":0},"completion_tokens_details":{"reasoning_tokens":0,"audio_tokens":0,"accepted_prediction_tokens":0,"rejected_prediction_tokens":0}},"service_tier":"default","system_fingerprint":"fp_ad66631dec"}</t>
  </si>
  <si>
    <t>Canvas Shoes, Unisex, Retro, Street, Breathable, Anti-Slip</t>
  </si>
  <si>
    <t>recvh0B9A7cdDA</t>
  </si>
  <si>
    <t>converse-chuck-taylor-grey-high-recvh0b9a7cdda</t>
  </si>
  <si>
    <t>{"choices":[{"finish_reason":"stop","index":0,"logprobs":null,"message":{"annotations":[],"content":"Converse：灰色高帮帆布鞋，经典Chuck Taylor系列设计，优质棉帆布材质透气舒适，厚底橡胶鞋底防滑耐磨，白色鞋头与对比缝线展现复古街头风格，男女同款休闲百搭单品，重现70年代复古潮流魅力。","refusal":null,"role":"assistant"}}],"created":1776412297,"id":"chatcmpl-DVYHB6wlFxUvg9rB2BoscmrlvquDZ","model":"gpt-5-chat-latest","object":"chat.completion","service_tier":"default","system_fingerprint":"fp_ad66631dec","usage":{"completion_tokens":85,"completion_tokens_details":{"accepted_prediction_tokens":0,"audio_tokens":0,"reasoning_tokens":0,"rejected_prediction_tokens":0},"prompt_tokens":1300,"prompt_tokens_details":{"audio_tokens":0,"cached_tokens":0},"total_tokens":1385}}</t>
  </si>
  <si>
    <t>Converse：灰色高帮帆布鞋，经典Chuck Taylor系列设计，优质棉帆布材质透气舒适，厚底橡胶鞋底防滑耐磨，白色鞋头与对比缝线展现复古街头风格，男女同款休闲百搭单品，重现70年代复古潮流魅力。</t>
  </si>
  <si>
    <t>{"choices":[{"finish_reason":"stop","index":0,"logprobs":null,"message":{"annotations":[],"content":"Versace Pink White Chunky Leather Unisex Sneakers Shoes","refusal":null,"role":"assistant"}}],"created":1776416073,"id":"chatcmpl-DVZG5RUCArxlmcnlNBgjIsWBYOH0G","model":"gpt-5-chat-latest","object":"chat.completion","service_tier":"default","system_fingerprint":"fp_ad66631dec","usage":{"completion_tokens":12,"completion_tokens_details":{"accepted_prediction_tokens":0,"audio_tokens":0,"reasoning_tokens":0,"rejected_prediction_tokens":0},"prompt_tokens":880,"prompt_tokens_details":{"audio_tokens":0,"cached_tokens":0},"total_tokens":892}}</t>
  </si>
  <si>
    <t>Versace Pink White Chunky Leather Unisex Sneakers Shoes</t>
  </si>
  <si>
    <t>{"id":"chatcmpl-DVZ1H1tovAlnH3exU98l3HeTuADVw","object":"chat.completion","created":1776415155,"model":"gpt-5-chat-latest","choices":[{"index":0,"message":{"role":"assistant","content":"Versace pink and white chunky sneakers crafted from premium leather and tech fibers, featuring a futuristic cutout design, shock-absorbing sole, and unisex fit for stylish comfort and luxury.","refusal":null,"annotations":[]},"logprobs":null,"finish_reason":"stop"}],"usage":{"prompt_tokens":904,"completion_tokens":39,"total_tokens":943,"prompt_tokens_details":{"cached_tokens":0,"audio_tokens":0},"completion_tokens_details":{"reasoning_tokens":0,"audio_tokens":0,"accepted_prediction_tokens":0,"rejected_prediction_tokens":0}},"service_tier":"default","system_fingerprint":"fp_ad66631dec"}</t>
  </si>
  <si>
    <t>Versace pink and white chunky sneakers crafted from premium leather and tech fibers, featuring a futuristic cutout design, shock-absorbing sole, and unisex fit for stylish comfort and luxury.</t>
  </si>
  <si>
    <t>{"id":"chatcmpl-DVZWhqncXAsxhaOf9zraxc6L8mgUQ","object":"chat.completion","created":1776417103,"model":"gpt-5-chat-latest","choices":[{"index":0,"message":{"role":"assistant","content":"Versace, Shoes, kakobuy, kakebuy2026, kekobuysheet, kakobuysheet2026, 2026kakobuy, kakobuyspreadsheeet, kakobuylink, kakebuylist, Kakobuy MEGA Spreadsheet, kakobuysheetfind, kakobuysheetfind2026, 2026kakobuysheetfind, kakobuysheet2026","refusal":null,"annotations":[]},"logprobs":null,"finish_reason":"stop"}],"usage":{"prompt_tokens":783,"completion_tokens":91,"total_tokens":874,"prompt_tokens_details":{"cached_tokens":0,"audio_tokens":0},"completion_tokens_details":{"reasoning_tokens":0,"audio_tokens":0,"accepted_prediction_tokens":0,"rejected_prediction_tokens":0}},"service_tier":"default","system_fingerprint":"fp_ad66631dec"}</t>
  </si>
  <si>
    <t>Versace, Shoes, kakobuy, kakebuy2026, kekobuysheet, kakobuysheet2026, 2026kakobuy, kakobuyspreadsheeet, kakobuylink, kakebuylist, Kakobuy MEGA Spreadsheet, kakobuysheetfind, kakobuysheetfind2026, 2026kakobuysheetfind, kakobuysheet2026</t>
  </si>
  <si>
    <t>Leather, Sneakers, Pink, White, Unisex, Shock Absorption</t>
  </si>
  <si>
    <t>recvh0B9A7hQ2P</t>
  </si>
  <si>
    <t>versace-pink-white-chunky-leather-unisex-recvh0b9a7hq2p</t>
  </si>
  <si>
    <t>{"choices":[{"finish_reason":"stop","index":0,"logprobs":null,"message":{"annotations":[],"content":"Versace：粉白拼色厚底运动鞋，甄选优质皮革与科技纤维材质，立体镂空设计彰显未来感与奢华格调，舒适避震鞋底兼顾时尚与实用，男女皆宜，延续品牌先锋美学。","refusal":null,"role":"assistant"}}],"created":1776412434,"id":"chatcmpl-DVYJOPxvxUcQRk0cVOHSEpkFYPnOj","model":"gpt-5-chat-latest","object":"chat.completion","service_tier":"default","system_fingerprint":"fp_ad66631dec","usage":{"completion_tokens":70,"completion_tokens_details":{"accepted_prediction_tokens":0,"audio_tokens":0,"reasoning_tokens":0,"rejected_prediction_tokens":0},"prompt_tokens":1300,"prompt_tokens_details":{"audio_tokens":0,"cached_tokens":0},"total_tokens":1370}}</t>
  </si>
  <si>
    <t>Versace：粉白拼色厚底运动鞋，甄选优质皮革与科技纤维材质，立体镂空设计彰显未来感与奢华格调，舒适避震鞋底兼顾时尚与实用，男女皆宜，延续品牌先锋美学。</t>
  </si>
  <si>
    <t>{"id":"chatcmpl-DVZBznK5MiD7jPKa891DmQtlvbupp","object":"chat.completion","created":1776415819,"model":"gpt-5-chat-latest","choices":[{"index":0,"message":{"role":"assistant","content":"Versace Black Leather Platform Sneakers Unisex","refusal":null,"annotations":[]},"logprobs":null,"finish_reason":"stop"}],"usage":{"prompt_tokens":866,"completion_tokens":9,"total_tokens":875,"prompt_tokens_details":{"cached_tokens":0,"audio_tokens":0},"completion_tokens_details":{"reasoning_tokens":0,"audio_tokens":0,"accepted_prediction_tokens":0,"rejected_prediction_tokens":0}},"service_tier":"default","system_fingerprint":"fp_ad66631dec"}</t>
  </si>
  <si>
    <t>Versace Black Leather Platform Sneakers Unisex</t>
  </si>
  <si>
    <t>{"id":"chatcmpl-DVYyz6zKCQSBeuLvuxZ7oUWoQPhWl","object":"chat.completion","created":1776415013,"model":"gpt-5-chat-latest","choices":[{"index":0,"message":{"role":"assistant","content":"Versace black platform sneakers crafted from premium leather, featuring bold logo print, sleek futuristic sole, unisex design for modern urban style and everyday luxury comfort.","refusal":null,"annotations":[]},"logprobs":null,"finish_reason":"stop"}],"usage":{"prompt_tokens":898,"completion_tokens":32,"total_tokens":930,"prompt_tokens_details":{"cached_tokens":0,"audio_tokens":0},"completion_tokens_details":{"reasoning_tokens":0,"audio_tokens":0,"accepted_prediction_tokens":0,"rejected_prediction_tokens":0}},"service_tier":"default","system_fingerprint":"fp_ad66631dec"}</t>
  </si>
  <si>
    <t>Versace black platform sneakers crafted from premium leather, featuring bold logo print, sleek futuristic sole, unisex design for modern urban style and everyday luxury comfort.</t>
  </si>
  <si>
    <t>{"choices":[{"finish_reason":"stop","index":0,"logprobs":null,"message":{"annotations":[],"content":"Versace, Shoes, kakobuy, kakebuy2026, kekobuysheet, kakobuysheet2026, 2026kakobuy, kakobuyspreadsheeet, kakobuylink, kakebuylist, Kakobuy MEGA Spreadsheet, kakobuysheetfind, kakobuysheetfind2026, 2026kakobuysheetfind, kakobuysheet2026","refusal":null,"role":"assistant"}}],"created":1776416970,"id":"chatcmpl-DVZUY9IVr64uZplNdg0JjxCXaOu9A","model":"gpt-5-chat-latest","object":"chat.completion","service_tier":"default","system_fingerprint":"fp_ad66631dec","usage":{"completion_tokens":91,"completion_tokens_details":{"accepted_prediction_tokens":0,"audio_tokens":0,"reasoning_tokens":0,"rejected_prediction_tokens":0},"prompt_tokens":783,"prompt_tokens_details":{"audio_tokens":0,"cached_tokens":0},"total_tokens":874}}</t>
  </si>
  <si>
    <t>Leather Sneakers, Platform Shoes, Black, Unisex, Modern, Streetwear</t>
  </si>
  <si>
    <t>recvh0B9A7LByE</t>
  </si>
  <si>
    <t>versace-black-leather-platform-recvh0b9a7lbye</t>
  </si>
  <si>
    <t>{"choices":[{"finish_reason":"stop","index":0,"logprobs":null,"message":{"annotations":[],"content":"Versace：黑色厚底休闲运动鞋，以优质皮革打造，印有品牌大字母图腾，简约又奢华。流线型设计结合未来感鞋底，兼具舒适与时尚，男女皆宜，呈现现代都市潮流风格。","refusal":null,"role":"assistant"}}],"created":1776412139,"id":"chatcmpl-DVYEdwvXq0kIYqzvECPLI5uNmSo3Y","model":"gpt-5-chat-latest","object":"chat.completion","service_tier":"default","system_fingerprint":"fp_ad66631dec","usage":{"completion_tokens":66,"completion_tokens_details":{"accepted_prediction_tokens":0,"audio_tokens":0,"reasoning_tokens":0,"rejected_prediction_tokens":0},"prompt_tokens":1296,"prompt_tokens_details":{"audio_tokens":0,"cached_tokens":0},"total_tokens":1362}}</t>
  </si>
  <si>
    <t>Versace：黑色厚底休闲运动鞋，以优质皮革打造，印有品牌大字母图腾，简约又奢华。流线型设计结合未来感鞋底，兼具舒适与时尚，男女皆宜，呈现现代都市潮流风格。</t>
  </si>
  <si>
    <t>{"id":"chatcmpl-DVZCLmcbAgq6HC6pCvEZ26J7cjUim","object":"chat.completion","created":1776415841,"model":"gpt-5-chat-latest","choices":[{"index":0,"message":{"role":"assistant","content":"Converse One Star Navy Suede Low Top Shoes","refusal":null,"annotations":[]},"logprobs":null,"finish_reason":"stop"}],"usage":{"prompt_tokens":886,"completion_tokens":11,"total_tokens":897,"prompt_tokens_details":{"cached_tokens":0,"audio_tokens":0},"completion_tokens_details":{"reasoning_tokens":0,"audio_tokens":0,"accepted_prediction_tokens":0,"rejected_prediction_tokens":0}},"service_tier":"default","system_fingerprint":"fp_ad66631dec"}</t>
  </si>
  <si>
    <t>Converse One Star Navy Suede Low Top Shoes</t>
  </si>
  <si>
    <t>{"id":"chatcmpl-DVYuaEjeKlpdQAwx0lC8QzmBK13nD","object":"chat.completion","created":1776414740,"model":"gpt-5-chat-latest","choices":[{"index":0,"message":{"role":"assistant","content":"Converse One Star Navy Suede Low-Top Sneakers, featuring soft suede material with a classic white star logo, stylish retro street design, unisex fit, and durable rubber sole for comfort and traction.","refusal":null,"annotations":[]},"logprobs":null,"finish_reason":"stop"}],"usage":{"prompt_tokens":901,"completion_tokens":42,"total_tokens":943,"prompt_tokens_details":{"cached_tokens":0,"audio_tokens":0},"completion_tokens_details":{"reasoning_tokens":0,"audio_tokens":0,"accepted_prediction_tokens":0,"rejected_prediction_tokens":0}},"service_tier":"default","system_fingerprint":"fp_ad66631dec"}</t>
  </si>
  <si>
    <t>Converse One Star Navy Suede Low-Top Sneakers, featuring soft suede material with a classic white star logo, stylish retro street design, unisex fit, and durable rubber sole for comfort and traction.</t>
  </si>
  <si>
    <t>{"id":"chatcmpl-DVZPX7lcDi5Q9NhQPfHOC9oUbRNcG","object":"chat.completion","created":1776416659,"model":"gpt-5-chat-latest","choices":[{"index":0,"message":{"role":"assistant","content":"Converse,Shoes,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87,"total_tokens":870,"prompt_tokens_details":{"cached_tokens":0,"audio_tokens":0},"completion_tokens_details":{"reasoning_tokens":0,"audio_tokens":0,"accepted_prediction_tokens":0,"rejected_prediction_tokens":0}},"service_tier":"default","system_fingerprint":"fp_ad66631dec"}</t>
  </si>
  <si>
    <t>Suede, Retro, Street, Unisex, Rubber Sole, Sneakers</t>
  </si>
  <si>
    <t>recvh0B9A7kNxP</t>
  </si>
  <si>
    <t>one-star-navy-suede-low-recvh0b9a7knxp</t>
  </si>
  <si>
    <t>{"choices":[{"finish_reason":"stop","index":0,"logprobs":null,"message":{"annotations":[],"content":"Converse：One Star 深蓝麂皮低帮休闲鞋，柔软翻毛皮面料搭配经典白色星标设计，复古街头风格，男女通用款，舒适橡胶鞋底提供出色抓地力与日常穿搭时尚感。","refusal":null,"role":"assistant"}}],"created":1776412533,"id":"chatcmpl-DVYKzFiKhYP8N5c8FfvVrPlIrK0sE","model":"gpt-5-chat-latest","object":"chat.completion","service_tier":"default","system_fingerprint":"fp_ad66631dec","usage":{"completion_tokens":67,"completion_tokens_details":{"accepted_prediction_tokens":0,"audio_tokens":0,"reasoning_tokens":0,"rejected_prediction_tokens":0},"prompt_tokens":1300,"prompt_tokens_details":{"audio_tokens":0,"cached_tokens":1280},"total_tokens":1367}}</t>
  </si>
  <si>
    <t>Converse：One Star 深蓝麂皮低帮休闲鞋，柔软翻毛皮面料搭配经典白色星标设计，复古街头风格，男女通用款，舒适橡胶鞋底提供出色抓地力与日常穿搭时尚感。</t>
  </si>
  <si>
    <t>{"choices":[{"finish_reason":"stop","index":0,"logprobs":null,"message":{"annotations":[],"content":"Versace Medusa 3D Black White Platform Sneakers Men's Luxury","refusal":null,"role":"assistant"}}],"created":1776416416,"id":"chatcmpl-DVZLcPZF59hTSBYdyxUuRun9dEM6W","model":"gpt-5-chat-latest","object":"chat.completion","service_tier":"default","system_fingerprint":"fp_ad66631dec","usage":{"completion_tokens":14,"completion_tokens_details":{"accepted_prediction_tokens":0,"audio_tokens":0,"reasoning_tokens":0,"rejected_prediction_tokens":0},"prompt_tokens":882,"prompt_tokens_details":{"audio_tokens":0,"cached_tokens":0},"total_tokens":896}}</t>
  </si>
  <si>
    <t>Versace Medusa 3D Black White Platform Sneakers Men's Luxury</t>
  </si>
  <si>
    <t>{"id":"chatcmpl-DVYyHMgs2XtloNnnlCKGpBfR5o4ET","object":"chat.completion","created":1776414969,"model":"gpt-5-chat-latest","choices":[{"index":0,"message":{"role":"assistant","content":"Versace black and white platform sneakers combine premium leather and fabric, featuring a 3D Medusa motif, sleek futuristic lines, and durable non-slip soles for all-day comfort and luxury style.","refusal":null,"annotations":[]},"logprobs":null,"finish_reason":"stop"}],"usage":{"prompt_tokens":914,"completion_tokens":40,"total_tokens":954,"prompt_tokens_details":{"cached_tokens":0,"audio_tokens":0},"completion_tokens_details":{"reasoning_tokens":0,"audio_tokens":0,"accepted_prediction_tokens":0,"rejected_prediction_tokens":0}},"service_tier":"default","system_fingerprint":"fp_ad66631dec"}</t>
  </si>
  <si>
    <t>Versace black and white platform sneakers combine premium leather and fabric, featuring a 3D Medusa motif, sleek futuristic lines, and durable non-slip soles for all-day comfort and luxury style.</t>
  </si>
  <si>
    <t>{"choices":[{"finish_reason":"stop","index":0,"logprobs":null,"message":{"annotations":[],"content":"Versace, Shoes, kakobuy, kakebuy2026, kekobuysheet, kakobuysheet2026, 2026kakobuy, kakobuyspreadsheeet, kakobuylink, kakebuylist, Kakobuy MEGA Spreadsheet, kakobuysheetfind, kakobuysheetfind2026, 2026kakobuysheetfind, kakobuysheet2026","refusal":null,"role":"assistant"}}],"created":1776417192,"id":"chatcmpl-DVZY8yH0wJZWLQuHu41K1quMINWOm","model":"gpt-5-chat-latest","object":"chat.completion","service_tier":"default","system_fingerprint":"fp_ad66631dec","usage":{"completion_tokens":91,"completion_tokens_details":{"accepted_prediction_tokens":0,"audio_tokens":0,"reasoning_tokens":0,"rejected_prediction_tokens":0},"prompt_tokens":783,"prompt_tokens_details":{"audio_tokens":0,"cached_tokens":0},"total_tokens":874}}</t>
  </si>
  <si>
    <t>Platform Shoes, Leather, Black, White, All Seasons, Sneakers</t>
  </si>
  <si>
    <t>recvh0B9A7K09A</t>
  </si>
  <si>
    <t>versace-medusa-3d-black-white-platform-recvh0b9a7k09a</t>
  </si>
  <si>
    <t>{"choices":[{"finish_reason":"stop","index":0,"logprobs":null,"message":{"annotations":[],"content":"Versace：黑白配色厚底运动鞋，采用优质皮革与织物拼接设计，彰显奢华街头风格。立体美杜莎图腾融合未来感线条，鞋底防滑耐磨，舒适包裹脚感，男女皆宜，呈现意大利当代潮流美学。","refusal":null,"role":"assistant"}}],"created":1776412084,"id":"chatcmpl-DVYDkDyNTYcvcsNRaPa7Qix8NIjFK","model":"gpt-5-chat-latest","object":"chat.completion","service_tier":"default","system_fingerprint":"fp_ad66631dec","usage":{"completion_tokens":78,"completion_tokens_details":{"accepted_prediction_tokens":0,"audio_tokens":0,"reasoning_tokens":0,"rejected_prediction_tokens":0},"prompt_tokens":1304,"prompt_tokens_details":{"audio_tokens":0,"cached_tokens":0},"total_tokens":1382}}</t>
  </si>
  <si>
    <t>Versace：黑白配色厚底运动鞋，采用优质皮革与织物拼接设计，彰显奢华街头风格。立体美杜莎图腾融合未来感线条，鞋底防滑耐磨，舒适包裹脚感，男女皆宜，呈现意大利当代潮流美学。</t>
  </si>
  <si>
    <t>{"choices":[{"finish_reason":"stop","index":0,"logprobs":null,"message":{"annotations":[],"content":"Versace White Logo Chunky Unisex Sneakers","refusal":null,"role":"assistant"}}],"created":1776415859,"id":"chatcmpl-DVZCdqlp19DRhMFHNvdYuG1xGzJW9","model":"gpt-5-chat-latest","object":"chat.completion","service_tier":"default","system_fingerprint":"fp_ad66631dec","usage":{"completion_tokens":10,"completion_tokens_details":{"accepted_prediction_tokens":0,"audio_tokens":0,"reasoning_tokens":0,"rejected_prediction_tokens":0},"prompt_tokens":870,"prompt_tokens_details":{"audio_tokens":0,"cached_tokens":0},"total_tokens":880}}</t>
  </si>
  <si>
    <t>Versace White Logo Chunky Unisex Sneakers</t>
  </si>
  <si>
    <t>{"choices":[{"finish_reason":"stop","index":0,"logprobs":null,"message":{"annotations":[],"content":"Versace White Logo Chunky Sneakers: Unisex streetwear shoes with flexible rubber and fabric blend, minimalist design, brand signature pattern, showcasing modern luxury athletic style.","refusal":null,"role":"assistant"}}],"created":1776414892,"id":"chatcmpl-DVYx22au9yfXyF8sRI2q2ax9udrfn","model":"gpt-5-chat-latest","object":"chat.completion","service_tier":"default","system_fingerprint":"fp_ad66631dec","usage":{"completion_tokens":34,"completion_tokens_details":{"accepted_prediction_tokens":0,"audio_tokens":0,"reasoning_tokens":0,"rejected_prediction_tokens":0},"prompt_tokens":890,"prompt_tokens_details":{"audio_tokens":0,"cached_tokens":0},"total_tokens":924}}</t>
  </si>
  <si>
    <t>Versace White Logo Chunky Sneakers: Unisex streetwear shoes with flexible rubber and fabric blend, minimalist design, brand signature pattern, showcasing modern luxury athletic style.</t>
  </si>
  <si>
    <t>{"choices":[{"finish_reason":"stop","index":0,"logprobs":null,"message":{"annotations":[],"content":"Versace,Shoes,kakobuy,kakebuy2026,kekobuysheet,kakobuysheet2026,2026kakobuy,kakobuyspreadsheeet,kakobuylink,kakebuylist,Kakobuy MEGA Spreadsheet,kakobuysheetfind,kakobuysheetfind2026,2026kakobuysheetfind,kakobuysheet2026","refusal":null,"role":"assistant"}}],"created":1776417103,"id":"chatcmpl-DVZWhj2PZiwit7XjYH7XojAhJrxKZ","model":"gpt-5-chat-latest","object":"chat.completion","service_tier":"default","system_fingerprint":"fp_ad66631dec","usage":{"completion_tokens":87,"completion_tokens_details":{"accepted_prediction_tokens":0,"audio_tokens":0,"reasoning_tokens":0,"rejected_prediction_tokens":0},"prompt_tokens":783,"prompt_tokens_details":{"audio_tokens":0,"cached_tokens":0},"total_tokens":870}}</t>
  </si>
  <si>
    <t>Unisex, Streetwear, Rubber, Minimalist, Modern, Sneakers</t>
  </si>
  <si>
    <t>recvh0B9A7NoGO</t>
  </si>
  <si>
    <t>versace-white-logo-chunky-unisex-recvh0b9a7nogo</t>
  </si>
  <si>
    <t>{"choices":[{"finish_reason":"stop","index":0,"logprobs":null,"message":{"annotations":[],"content":"Versace：白色徽标厚底休闲鞋，采用柔韧橡胶与织物拼接材质，极简街头设计融合品牌标志图腾，男女皆宜，彰显现代奢华运动美学。","refusal":null,"role":"assistant"}}],"created":1776411927,"id":"chatcmpl-DVYBD7u9do9ykOaRU6VhSr1grMTTC","model":"gpt-5-chat-latest","object":"chat.completion","service_tier":"default","system_fingerprint":"fp_ad66631dec","usage":{"completion_tokens":55,"completion_tokens_details":{"accepted_prediction_tokens":0,"audio_tokens":0,"reasoning_tokens":0,"rejected_prediction_tokens":0},"prompt_tokens":1302,"prompt_tokens_details":{"audio_tokens":0,"cached_tokens":0},"total_tokens":1357}}</t>
  </si>
  <si>
    <t>Versace：白色徽标厚底休闲鞋，采用柔韧橡胶与织物拼接材质，极简街头设计融合品牌标志图腾，男女皆宜，彰显现代奢华运动美学。</t>
  </si>
  <si>
    <t>{"id":"chatcmpl-DVZKNiYIJctnP7rAJ0vdXRqNjcYPG","object":"chat.completion","created":1776416339,"model":"gpt-5-chat-latest","choices":[{"index":0,"message":{"role":"assistant","content":"Converse White High Top Canvas Sneakers 70s Vintage Style","refusal":null,"annotations":[]},"logprobs":null,"finish_reason":"stop"}],"usage":{"prompt_tokens":610,"completion_tokens":13,"total_tokens":623,"prompt_tokens_details":{"cached_tokens":0,"audio_tokens":0},"completion_tokens_details":{"reasoning_tokens":0,"audio_tokens":0,"accepted_prediction_tokens":0,"rejected_prediction_tokens":0}},"service_tier":"default","system_fingerprint":"fp_ad66631dec"}</t>
  </si>
  <si>
    <t>Converse White High Top Canvas Sneakers 70s Vintage Style</t>
  </si>
  <si>
    <t>{"choices":[{"finish_reason":"stop","index":0,"logprobs":null,"message":{"annotations":[],"content":"Converse classic white high-top canvas shoes, made with durable cotton and non-slip rubber sole, red metal eyelets add vintage charm. Unisex style, breathable, trendy, and timeless 70s street look.","refusal":null,"role":"assistant"}}],"created":1776414698,"id":"chatcmpl-DVYtuMDSxueNx1Iz14SIc3bCKph4i","model":"gpt-5-chat-latest","object":"chat.completion","service_tier":"default","system_fingerprint":"fp_ad66631dec","usage":{"completion_tokens":44,"completion_tokens_details":{"accepted_prediction_tokens":0,"audio_tokens":0,"reasoning_tokens":0,"rejected_prediction_tokens":0},"prompt_tokens":631,"prompt_tokens_details":{"audio_tokens":0,"cached_tokens":0},"total_tokens":675}}</t>
  </si>
  <si>
    <t>Converse classic white high-top canvas shoes, made with durable cotton and non-slip rubber sole, red metal eyelets add vintage charm. Unisex style, breathable, trendy, and timeless 70s street look.</t>
  </si>
  <si>
    <t>{"choices":[{"finish_reason":"stop","index":0,"logprobs":null,"message":{"annotations":[],"content":"Converse,Shoes,kakobuy,kakebuy2026,kekobuysheet,kakobuysheet2026,2026kakobuy,kakobuyspreadsheeet,kakobuylink,kakebuylist,Kakobuy MEGA Spreadsheet,kakobuysheetfind,kakobuysheetfind2026,2026kakobuysheetfind,kakobuysheet2026","refusal":null,"role":"assistant"}}],"created":1776417027,"id":"chatcmpl-DVZVTPYAtbioEjlgwtKFVRE2GSVsN","model":"gpt-5-chat-latest","object":"chat.completion","service_tier":"default","system_fingerprint":"fp_ad66631dec","usage":{"completion_tokens":87,"completion_tokens_details":{"accepted_prediction_tokens":0,"audio_tokens":0,"reasoning_tokens":0,"rejected_prediction_tokens":0},"prompt_tokens":503,"prompt_tokens_details":{"audio_tokens":0,"cached_tokens":0},"total_tokens":590}}</t>
  </si>
  <si>
    <t>Canvas Shoes, White, Unisex, Breathable, Anti-Slip, Retro</t>
  </si>
  <si>
    <t>recvh0B9A7O7uy</t>
  </si>
  <si>
    <t>converse-70s-vintage-high-recvh0b9a7o7uy</t>
  </si>
  <si>
    <t>{"choices":[{"finish_reason":"stop","index":0,"logprobs":null,"message":{"annotations":[],"content":"Converse：经典白色高帮帆布鞋，采用耐磨棉质面料与防滑橡胶鞋底，红色金属鞋孔点缀复古细节，男女皆宜。延续70年代街头风格，舒适透气，百搭时尚，彰显休闲潮流态度。","refusal":null,"role":"assistant"}}],"created":1776412579,"id":"chatcmpl-DVYLjGNRZSeCa9MQrg8HhB2hmnj8x","model":"gpt-5-chat-latest","object":"chat.completion","service_tier":"default","system_fingerprint":"fp_ad66631dec","usage":{"completion_tokens":77,"completion_tokens_details":{"accepted_prediction_tokens":0,"audio_tokens":0,"reasoning_tokens":0,"rejected_prediction_tokens":0},"prompt_tokens":1020,"prompt_tokens_details":{"audio_tokens":0,"cached_tokens":0},"total_tokens":1097}}</t>
  </si>
  <si>
    <t>Converse：经典白色高帮帆布鞋，采用耐磨棉质面料与防滑橡胶鞋底，红色金属鞋孔点缀复古细节，男女皆宜。延续70年代街头风格，舒适透气，百搭时尚，彰显休闲潮流态度。</t>
  </si>
  <si>
    <t>{"id":"chatcmpl-DVZD6q6Bq5jgnujW5MelC3Ss5wLy9","object":"chat.completion","created":1776415888,"model":"gpt-5-chat-latest","choices":[{"index":0,"message":{"role":"assistant","content":"Converse One Star Red Suede Low Top Sneakers","refusal":null,"annotations":[]},"logprobs":null,"finish_reason":"stop"}],"usage":{"prompt_tokens":874,"completion_tokens":11,"total_tokens":885,"prompt_tokens_details":{"cached_tokens":0,"audio_tokens":0},"completion_tokens_details":{"reasoning_tokens":0,"audio_tokens":0,"accepted_prediction_tokens":0,"rejected_prediction_tokens":0}},"service_tier":"default","system_fingerprint":"fp_ad66631dec"}</t>
  </si>
  <si>
    <t>Converse One Star Red Suede Low Top Sneakers</t>
  </si>
  <si>
    <t>{"id":"chatcmpl-DVYyrbRwNHdMkuBAtiS2zg5jRDdtn","object":"chat.completion","created":1776415005,"model":"gpt-5-chat-latest","choices":[{"index":0,"message":{"role":"assistant","content":"Converse One Star Red Suede Low-Top Sneakers feature soft, durable suede with iconic star logo, vintage street style, breathable comfort, and unisex casual fashion appeal.","refusal":null,"annotations":[]},"logprobs":null,"finish_reason":"stop"}],"usage":{"prompt_tokens":889,"completion_tokens":36,"total_tokens":925,"prompt_tokens_details":{"cached_tokens":0,"audio_tokens":0},"completion_tokens_details":{"reasoning_tokens":0,"audio_tokens":0,"accepted_prediction_tokens":0,"rejected_prediction_tokens":0}},"service_tier":"default","system_fingerprint":"fp_ad66631dec"}</t>
  </si>
  <si>
    <t>Converse One Star Red Suede Low-Top Sneakers feature soft, durable suede with iconic star logo, vintage street style, breathable comfort, and unisex casual fashion appeal.</t>
  </si>
  <si>
    <t>{"id":"chatcmpl-DVZPztAnyZmCBwZIJeS7BtZeumv1p","object":"chat.completion","created":1776416687,"model":"gpt-5-chat-latest","choices":[{"index":0,"message":{"role":"assistant","content":"Converse,Shoes,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87,"total_tokens":870,"prompt_tokens_details":{"cached_tokens":0,"audio_tokens":0},"completion_tokens_details":{"reasoning_tokens":0,"audio_tokens":0,"accepted_prediction_tokens":0,"rejected_prediction_tokens":0}},"service_tier":"default","system_fingerprint":"fp_ad66631dec"}</t>
  </si>
  <si>
    <t>Suede, Red, Vintage, Street, Unisex, Casual Sneakers</t>
  </si>
  <si>
    <t>recvh0B9A78LkG</t>
  </si>
  <si>
    <t>converse-one-star-red-suede-low-top-recvh0b9a78lkg</t>
  </si>
  <si>
    <t>{"id":"chatcmpl-DVYAtpN4QbHgIBkXVBAmah4CILmsR","object":"chat.completion","created":1776411907,"model":"gpt-5-chat-latest","choices":[{"index":0,"message":{"role":"assistant","content":"Converse：One Star系列红色麂皮低帮板鞋，柔软耐磨材质搭配经典五星标设计，复古街头风格，男女皆宜，舒适透气，休闲潮搭之选。","refusal":null,"annotations":[]},"logprobs":null,"finish_reason":"stop"}],"usage":{"prompt_tokens":1304,"completion_tokens":53,"total_tokens":1357,"prompt_tokens_details":{"cached_tokens":0,"audio_tokens":0},"completion_tokens_details":{"reasoning_tokens":0,"audio_tokens":0,"accepted_prediction_tokens":0,"rejected_prediction_tokens":0}},"service_tier":"default","system_fingerprint":"fp_ad66631dec"}</t>
  </si>
  <si>
    <t>Converse：One Star系列红色麂皮低帮板鞋，柔软耐磨材质搭配经典五星标设计，复古街头风格，男女皆宜，舒适透气，休闲潮搭之选。</t>
  </si>
  <si>
    <t>{"id":"chatcmpl-DVZHSflflqPuqkINqaBtV9gKwvHie","object":"chat.completion","created":1776416158,"model":"gpt-5-chat-latest","choices":[{"index":0,"message":{"role":"assistant","content":"Converse Retro Beige Canvas Low Top Sneakers","refusal":null,"annotations":[]},"logprobs":null,"finish_reason":"stop"}],"usage":{"prompt_tokens":882,"completion_tokens":9,"total_tokens":891,"prompt_tokens_details":{"cached_tokens":0,"audio_tokens":0},"completion_tokens_details":{"reasoning_tokens":0,"audio_tokens":0,"accepted_prediction_tokens":0,"rejected_prediction_tokens":0}},"service_tier":"default","system_fingerprint":"fp_ad66631dec"}</t>
  </si>
  <si>
    <t>Converse Retro Beige Canvas Low Top Sneakers</t>
  </si>
  <si>
    <t>{"choices":[{"finish_reason":"stop","index":0,"logprobs":null,"message":{"annotations":[],"content":"Converse Retro Beige Canvas Low-Top Sneakers with Leather Patchwork, Thick Anti-Slip Rubber Sole, Classic Star Arrow Logo, Unisex Casual Style Reviving 70s Street Culture Charm.","refusal":null,"role":"assistant"}}],"created":1776414953,"id":"chatcmpl-DVYy1tQd5sFbrooVcAcL35CQP9HJI","model":"gpt-5-chat-latest","object":"chat.completion","service_tier":"default","system_fingerprint":"fp_ad66631dec","usage":{"completion_tokens":40,"completion_tokens_details":{"accepted_prediction_tokens":0,"audio_tokens":0,"reasoning_tokens":0,"rejected_prediction_tokens":0},"prompt_tokens":893,"prompt_tokens_details":{"audio_tokens":0,"cached_tokens":0},"total_tokens":933}}</t>
  </si>
  <si>
    <t>Converse Retro Beige Canvas Low-Top Sneakers with Leather Patchwork, Thick Anti-Slip Rubber Sole, Classic Star Arrow Logo, Unisex Casual Style Reviving 70s Street Culture Charm.</t>
  </si>
  <si>
    <t>{"choices":[{"finish_reason":"stop","index":0,"logprobs":null,"message":{"annotations":[],"content":"Converse, Shoes, kakobuy, kakebuy2026, kekobuysheet, kakobuysheet2026, 2026kakobuy, kakobuyspreadsheeet, kakobuylink, kakebuylist, Kakobuy MEGA Spreadsheet, kakobuysheetfind, kakobuysheetfind2026, 2026kakobuysheetfind, kakobuysheet2026","refusal":null,"role":"assistant"}}],"created":1776417299,"id":"chatcmpl-DVZZrTv8vWv1089tdIDeHQu0e3dM1","model":"gpt-5-chat-latest","object":"chat.completion","service_tier":"default","system_fingerprint":"fp_ad66631dec","usage":{"completion_tokens":91,"completion_tokens_details":{"accepted_prediction_tokens":0,"audio_tokens":0,"reasoning_tokens":0,"rejected_prediction_tokens":0},"prompt_tokens":783,"prompt_tokens_details":{"audio_tokens":0,"cached_tokens":0},"total_tokens":874}}</t>
  </si>
  <si>
    <t>Retro, Beige, Canvas, Anti-Slip, Rubber Sole, Unisex</t>
  </si>
  <si>
    <t>recvh0B9A7J9wc</t>
  </si>
  <si>
    <t>retro-beige-canvas-low-top-recvh0b9a7j9wc</t>
  </si>
  <si>
    <t>{"choices":[{"finish_reason":"stop","index":0,"logprobs":null,"message":{"annotations":[],"content":"Converse：复古米色帆布低帮板鞋，简约牛皮拼接设计，厚底防滑橡胶鞋底，经典星箭Logo点缀，男女同款休闲风，重现70年代街头文化魅力。","refusal":null,"role":"assistant"}}],"created":1776412235,"id":"chatcmpl-DVYGBrYcPABhRX8O7NFRF1tkMZDv3","model":"gpt-5-chat-latest","object":"chat.completion","service_tier":"default","system_fingerprint":"fp_ad66631dec","usage":{"completion_tokens":59,"completion_tokens_details":{"accepted_prediction_tokens":0,"audio_tokens":0,"reasoning_tokens":0,"rejected_prediction_tokens":0},"prompt_tokens":1300,"prompt_tokens_details":{"audio_tokens":0,"cached_tokens":0},"total_tokens":1359}}</t>
  </si>
  <si>
    <t>Converse：复古米色帆布低帮板鞋，简约牛皮拼接设计，厚底防滑橡胶鞋底，经典星箭Logo点缀，男女同款休闲风，重现70年代街头文化魅力。</t>
  </si>
  <si>
    <t>{"choices":[{"finish_reason":"stop","index":0,"logprobs":null,"message":{"annotations":[],"content":"Converse Pink Platform Canvas Low Top Sneakers","refusal":null,"role":"assistant"}}],"created":1776416120,"id":"chatcmpl-DVZGqRva3tf96lacqG5wltBZhRKtR","model":"gpt-5-chat-latest","object":"chat.completion","service_tier":"default","system_fingerprint":"fp_ad66631dec","usage":{"completion_tokens":9,"completion_tokens_details":{"accepted_prediction_tokens":0,"audio_tokens":0,"reasoning_tokens":0,"rejected_prediction_tokens":0},"prompt_tokens":872,"prompt_tokens_details":{"audio_tokens":0,"cached_tokens":0},"total_tokens":881}}</t>
  </si>
  <si>
    <t>Converse Pink Platform Canvas Low Top Sneakers</t>
  </si>
  <si>
    <t>{"id":"chatcmpl-DVZ2B21tyz8Knwbr2dowen6lqFSL9","object":"chat.completion","created":1776415211,"model":"gpt-5-chat-latest","choices":[{"index":0,"message":{"role":"assistant","content":"Converse Pink Platform Canvas Sneakers, classic low-top design with white rubber toe cap and black stripes, breathable comfort, unisex, retro street casual style showcasing youthful charm.","refusal":null,"annotations":[]},"logprobs":null,"finish_reason":"stop"}],"usage":{"prompt_tokens":890,"completion_tokens":35,"total_tokens":925,"prompt_tokens_details":{"cached_tokens":0,"audio_tokens":0},"completion_tokens_details":{"reasoning_tokens":0,"audio_tokens":0,"accepted_prediction_tokens":0,"rejected_prediction_tokens":0}},"service_tier":"default","system_fingerprint":"fp_ad66631dec"}</t>
  </si>
  <si>
    <t>Converse Pink Platform Canvas Sneakers, classic low-top design with white rubber toe cap and black stripes, breathable comfort, unisex, retro street casual style showcasing youthful charm.</t>
  </si>
  <si>
    <t>{"choices":[{"finish_reason":"stop","index":0,"logprobs":null,"message":{"annotations":[],"content":"Converse,Shoes,kakobuy,kakebuy2026,kekobuysheet,kakobuysheet2026,2026kakobuy,kakobuyspreadsheeet,kakobuylink,kakebuylist,Kakobuy MEGA Spreadsheet,kakobuysheetfind,kakobuysheetfind2026,2026kakobuysheetfind,kakobuysheet2026","refusal":null,"role":"assistant"}}],"created":1776417368,"id":"chatcmpl-DVZayiIFq12NgLHOnS1CagWOI6W9p","model":"gpt-5-chat-latest","object":"chat.completion","service_tier":"default","system_fingerprint":"fp_ad66631dec","usage":{"completion_tokens":87,"completion_tokens_details":{"accepted_prediction_tokens":0,"audio_tokens":0,"reasoning_tokens":0,"rejected_prediction_tokens":0},"prompt_tokens":783,"prompt_tokens_details":{"audio_tokens":0,"cached_tokens":0},"total_tokens":870}}</t>
  </si>
  <si>
    <t>Retro, Casual Sneakers, Canvas, Pink, Unisex, Street</t>
  </si>
  <si>
    <t>recvh0B9A7Frfa</t>
  </si>
  <si>
    <t>converse-pink-platform-canvas-low-recvh0b9a7frfa</t>
  </si>
  <si>
    <t>{"id":"chatcmpl-DVYKxHJuxfnhyuIK6D0AULFWGSQB6","object":"chat.completion","created":1776412531,"model":"gpt-5-chat-latest","choices":[{"index":0,"message":{"role":"assistant","content":"Converse：粉色厚底帆布鞋，经典低帮设计搭配白色橡胶鞋头与黑色线条，舒适透气，男女通用，复古街头休闲风格，彰显青春个性魅力。","refusal":null,"annotations":[]},"logprobs":null,"finish_reason":"stop"}],"usage":{"prompt_tokens":1296,"completion_tokens":58,"total_tokens":1354,"prompt_tokens_details":{"cached_tokens":0,"audio_tokens":0},"completion_tokens_details":{"reasoning_tokens":0,"audio_tokens":0,"accepted_prediction_tokens":0,"rejected_prediction_tokens":0}},"service_tier":"default","system_fingerprint":"fp_ad66631dec"}</t>
  </si>
  <si>
    <t>Converse：粉色厚底帆布鞋，经典低帮设计搭配白色橡胶鞋头与黑色线条，舒适透气，男女通用，复古街头休闲风格，彰显青春个性魅力。</t>
  </si>
  <si>
    <t>{"choices":[{"finish_reason":"stop","index":0,"logprobs":null,"message":{"annotations":[],"content":"Converse One Star Black Suede Low Top Skate Shoes","refusal":null,"role":"assistant"}}],"created":1776416220,"id":"chatcmpl-DVZIS9mpOm7UTTYr9C8PWop3Pd0YY","model":"gpt-5-chat-latest","object":"chat.completion","service_tier":"default","system_fingerprint":"fp_ad66631dec","usage":{"completion_tokens":12,"completion_tokens_details":{"accepted_prediction_tokens":0,"audio_tokens":0,"reasoning_tokens":0,"rejected_prediction_tokens":0},"prompt_tokens":878,"prompt_tokens_details":{"audio_tokens":0,"cached_tokens":0},"total_tokens":890}}</t>
  </si>
  <si>
    <t>{"choices":[{"finish_reason":"stop","index":0,"logprobs":null,"message":{"annotations":[],"content":"Converse One Star Black Suede Low-Top Sneakers with white star logo, thick rubber sole, and classic laces. Retro skate-inspired comfort for men and women casual street style.","refusal":null,"role":"assistant"}}],"created":1776414942,"id":"chatcmpl-DVYxqaDKFUKMtLNTQknZRpsIUz1A3","model":"gpt-5-chat-latest","object":"chat.completion","service_tier":"default","system_fingerprint":"fp_ad66631dec","usage":{"completion_tokens":38,"completion_tokens_details":{"accepted_prediction_tokens":0,"audio_tokens":0,"reasoning_tokens":0,"rejected_prediction_tokens":0},"prompt_tokens":921,"prompt_tokens_details":{"audio_tokens":0,"cached_tokens":0},"total_tokens":959}}</t>
  </si>
  <si>
    <t>Converse One Star Black Suede Low-Top Sneakers with white star logo, thick rubber sole, and classic laces. Retro skate-inspired comfort for men and women casual street style.</t>
  </si>
  <si>
    <t>{"id":"chatcmpl-DVZVy1hhtmcI4zdvqF4ICAttv4u2F","object":"chat.completion","created":1776417058,"model":"gpt-5-chat-latest","choices":[{"index":0,"message":{"role":"assistant","content":"Converse, Shoes, kakobuy, kakebuy2026, kekobuysheet, kakobuysheet2026, 2026kakobuy, kakobuyspreadsheeet, kakobuylink, kakebuylist, Kakobuy MEGA Spreadsheet, kakobuysheetfind, kakobuysheetfind2026, 2026kakobuysheetfind, kakobuysheet2026","refusal":null,"annotations":[]},"logprobs":null,"finish_reason":"stop"}],"usage":{"prompt_tokens":783,"completion_tokens":91,"total_tokens":874,"prompt_tokens_details":{"cached_tokens":0,"audio_tokens":0},"completion_tokens_details":{"reasoning_tokens":0,"audio_tokens":0,"accepted_prediction_tokens":0,"rejected_prediction_tokens":0}},"service_tier":"default","system_fingerprint":"fp_ad66631dec"}</t>
  </si>
  <si>
    <t>Suede, Retro, Skate Shoes, Casual Sneakers, Unisex, Streetwear</t>
  </si>
  <si>
    <t>recvh0B9A7AxPD</t>
  </si>
  <si>
    <t>one-star-black-suede-low-top-recvh0b9a7axpd</t>
  </si>
  <si>
    <t>{"choices":[{"finish_reason":"stop","index":0,"logprobs":null,"message":{"annotations":[],"content":"Converse：黑色One Star低帮休闲板鞋，麂皮鞋面质感细腻，经典白星标识点缀侧面，搭配加厚橡胶鞋底与白色鞋带设计，兼具舒适支撑与街头复古风格，适合男女日常穿搭，诠释90年代滑板文化精髓。","refusal":null,"role":"assistant"}}],"created":1776412230,"id":"chatcmpl-DVYG6VQI91Z7PrZ0moaOwRpQhDUY0","model":"gpt-5-chat-latest","object":"chat.completion","service_tier":"default","system_fingerprint":"fp_ad66631dec","usage":{"completion_tokens":87,"completion_tokens_details":{"accepted_prediction_tokens":0,"audio_tokens":0,"reasoning_tokens":0,"rejected_prediction_tokens":0},"prompt_tokens":1300,"prompt_tokens_details":{"audio_tokens":0,"cached_tokens":0},"total_tokens":1387}}</t>
  </si>
  <si>
    <t>Converse：黑色One Star低帮休闲板鞋，麂皮鞋面质感细腻，经典白星标识点缀侧面，搭配加厚橡胶鞋底与白色鞋带设计，兼具舒适支撑与街头复古风格，适合男女日常穿搭，诠释90年代滑板文化精髓。</t>
  </si>
  <si>
    <t>{"id":"chatcmpl-DVZIFqPMQwMJNlnGTa2jE7SmTQZFU","object":"chat.completion","created":1776416207,"model":"gpt-5-chat-latest","choices":[{"index":0,"message":{"role":"assistant","content":"Converse Classic Blue High Top Canvas Sneakers Shoes","refusal":null,"annotations":[]},"logprobs":null,"finish_reason":"stop"}],"usage":{"prompt_tokens":878,"completion_tokens":10,"total_tokens":888,"prompt_tokens_details":{"cached_tokens":0,"audio_tokens":0},"completion_tokens_details":{"reasoning_tokens":0,"audio_tokens":0,"accepted_prediction_tokens":0,"rejected_prediction_tokens":0}},"service_tier":"default","system_fingerprint":"fp_ad66631dec"}</t>
  </si>
  <si>
    <t>Converse Classic Blue High Top Canvas Sneakers Shoes</t>
  </si>
  <si>
    <t>{"id":"chatcmpl-DVYuo4FFNTlo74eOe2QF7dLykISjk","object":"chat.completion","created":1776414754,"model":"gpt-5-chat-latest","choices":[{"index":0,"message":{"role":"assistant","content":"Converse Classic Blue High Top Canvas Sneakers, made with durable cotton and rubber sole. Retro lace-up streetwear for men and women, reviving the iconic 70s vintage style.","refusal":null,"annotations":[]},"logprobs":null,"finish_reason":"stop"}],"usage":{"prompt_tokens":893,"completion_tokens":38,"total_tokens":931,"prompt_tokens_details":{"cached_tokens":0,"audio_tokens":0},"completion_tokens_details":{"reasoning_tokens":0,"audio_tokens":0,"accepted_prediction_tokens":0,"rejected_prediction_tokens":0}},"service_tier":"default","system_fingerprint":"fp_ad66631dec"}</t>
  </si>
  <si>
    <t>Converse Classic Blue High Top Canvas Sneakers, made with durable cotton and rubber sole. Retro lace-up streetwear for men and women, reviving the iconic 70s vintage style.</t>
  </si>
  <si>
    <t>{"id":"chatcmpl-DVZbQlnA0uLR29fWHC7B1AP8qJJHA","object":"chat.completion","created":1776417396,"model":"gpt-5-chat-latest","choices":[{"index":0,"message":{"role":"assistant","content":"Converse, Shoes, kakobuy, kakebuy2026, kekobuysheet, kakobuysheet2026, 2026kakobuy, kakobuyspreadsheeet, kakobuylink, kakebuylist, Kakobuy MEGA Spreadsheet, kakobuysheetfind, kakobuysheetfind2026, 2026kakobuysheetfind, kakobuysheet2026","refusal":null,"annotations":[]},"logprobs":null,"finish_reason":"stop"}],"usage":{"prompt_tokens":783,"completion_tokens":91,"total_tokens":874,"prompt_tokens_details":{"cached_tokens":0,"audio_tokens":0},"completion_tokens_details":{"reasoning_tokens":0,"audio_tokens":0,"accepted_prediction_tokens":0,"rejected_prediction_tokens":0}},"service_tier":"default","system_fingerprint":"fp_ad66631dec"}</t>
  </si>
  <si>
    <t>Blue, Canvas, Retro, Streetwear, Unisex, Vintage</t>
  </si>
  <si>
    <t>recvh0B9A7LuDZ</t>
  </si>
  <si>
    <t>converse-classic-blue-high-top-recvh0b9a7ludz</t>
  </si>
  <si>
    <t>{"id":"chatcmpl-DVYAQphqsKhSHILxvcMuN83s4OrEU","object":"chat.completion","created":1776411878,"model":"gpt-5-chat-latest","choices":[{"index":0,"message":{"role":"assistant","content":"Converse：经典高帮蓝色帆布鞋，采用耐磨纯棉帆布与橡胶鞋底设计，复古系带造型，男女通用的街头休闲风格，再现70年代潮流经典。","refusal":null,"annotations":[]},"logprobs":null,"finish_reason":"stop"}],"usage":{"prompt_tokens":1306,"completion_tokens":56,"total_tokens":1362,"prompt_tokens_details":{"cached_tokens":0,"audio_tokens":0},"completion_tokens_details":{"reasoning_tokens":0,"audio_tokens":0,"accepted_prediction_tokens":0,"rejected_prediction_tokens":0}},"service_tier":"default","system_fingerprint":"fp_ad66631dec"}</t>
  </si>
  <si>
    <t>Converse：经典高帮蓝色帆布鞋，采用耐磨纯棉帆布与橡胶鞋底设计，复古系带造型，男女通用的街头休闲风格，再现70年代潮流经典。</t>
  </si>
  <si>
    <t>{"id":"chatcmpl-DVZBoEh2tNtDGsI4Bi3N8yh1M4PpH","object":"chat.completion","created":1776415808,"model":"gpt-5-chat-latest","choices":[{"index":0,"message":{"role":"assistant","content":"Converse One Star Navy Suede Unisex Sneakers","refusal":null,"annotations":[]},"logprobs":null,"finish_reason":"stop"}],"usage":{"prompt_tokens":870,"completion_tokens":11,"total_tokens":881,"prompt_tokens_details":{"cached_tokens":0,"audio_tokens":0},"completion_tokens_details":{"reasoning_tokens":0,"audio_tokens":0,"accepted_prediction_tokens":0,"rejected_prediction_tokens":0}},"service_tier":"default","system_fingerprint":"fp_ad66631dec"}</t>
  </si>
  <si>
    <t>Converse One Star Navy Suede Unisex Sneakers</t>
  </si>
  <si>
    <t>{"choices":[{"finish_reason":"stop","index":0,"logprobs":null,"message":{"annotations":[],"content":"Converse One Star navy suede sneakers, iconic star logo, thick rubber sole for grip and durability, unisex design with vintage street style, expressing effortless fashion attitude.","refusal":null,"role":"assistant"}}],"created":1776415354,"id":"chatcmpl-DVZ4UbHSwPrvUgTrpwqqeD5d8gUfN","model":"gpt-5-chat-latest","object":"chat.completion","service_tier":"default","system_fingerprint":"fp_ad66631dec","usage":{"completion_tokens":34,"completion_tokens_details":{"accepted_prediction_tokens":0,"audio_tokens":0,"reasoning_tokens":0,"rejected_prediction_tokens":0},"prompt_tokens":889,"prompt_tokens_details":{"audio_tokens":0,"cached_tokens":0},"total_tokens":923}}</t>
  </si>
  <si>
    <t>Converse One Star navy suede sneakers, iconic star logo, thick rubber sole for grip and durability, unisex design with vintage street style, expressing effortless fashion attitude.</t>
  </si>
  <si>
    <t>{"choices":[{"finish_reason":"stop","index":0,"logprobs":null,"message":{"annotations":[],"content":"Converse,Shoes,kakobuy,kakebuy2026,kekobuysheet,kakobuysheet2026,2026kakobuy,kakobuyspreadsheeet,kakobuylink,kakebuylist,Kakobuy MEGA Spreadsheet,kakobuysheetfind,kakobuysheetfind2026,2026kakobuysheetfind,kakobuysheet2026","refusal":null,"role":"assistant"}}],"created":1776416912,"id":"chatcmpl-DVZTcdSl6qZOzykgFsdGYqNXcHLKF","model":"gpt-5-chat-latest","object":"chat.completion","service_tier":"default","system_fingerprint":"fp_ad66631dec","usage":{"completion_tokens":87,"completion_tokens_details":{"accepted_prediction_tokens":0,"audio_tokens":0,"reasoning_tokens":0,"rejected_prediction_tokens":0},"prompt_tokens":783,"prompt_tokens_details":{"audio_tokens":0,"cached_tokens":0},"total_tokens":870}}</t>
  </si>
  <si>
    <t>Suede, Rubber Sole, Vintage, Streetwear, Unisex, Sneakers</t>
  </si>
  <si>
    <t>recvh0B9A7Izpu</t>
  </si>
  <si>
    <t>converse-one-star-navy-suede-recvh0b9a7izpu</t>
  </si>
  <si>
    <t>{"choices":[{"finish_reason":"stop","index":0,"logprobs":null,"message":{"annotations":[],"content":"Converse：One Star系列深蓝色麂皮休闲鞋，经典星标设计，厚底橡胶鞋底防滑耐磨，男女通用款，复古街头风格，展现自在潮流态度。","refusal":null,"role":"assistant"}}],"created":1776412531,"id":"chatcmpl-DVYKxRejLR1MiqRzfhKRVaXPozccr","model":"gpt-5-chat-latest","object":"chat.completion","service_tier":"default","system_fingerprint":"fp_ad66631dec","usage":{"completion_tokens":54,"completion_tokens_details":{"accepted_prediction_tokens":0,"audio_tokens":0,"reasoning_tokens":0,"rejected_prediction_tokens":0},"prompt_tokens":1302,"prompt_tokens_details":{"audio_tokens":0,"cached_tokens":0},"total_tokens":1356}}</t>
  </si>
  <si>
    <t>Converse：One Star系列深蓝色麂皮休闲鞋，经典星标设计，厚底橡胶鞋底防滑耐磨，男女通用款，复古街头风格，展现自在潮流态度。</t>
  </si>
  <si>
    <t>{"choices":[{"finish_reason":"stop","index":0,"logprobs":null,"message":{"annotations":[],"content":"Converse Classic Burgundy Thick Sole Canvas Shoes","refusal":null,"role":"assistant"}}],"created":1776416208,"id":"chatcmpl-DVZIGGprcGnYkQOtIi7iozLFAVg2J","model":"gpt-5-chat-latest","object":"chat.completion","service_tier":"default","system_fingerprint":"fp_ad66631dec","usage":{"completion_tokens":9,"completion_tokens_details":{"accepted_prediction_tokens":0,"audio_tokens":0,"reasoning_tokens":0,"rejected_prediction_tokens":0},"prompt_tokens":884,"prompt_tokens_details":{"audio_tokens":0,"cached_tokens":0},"total_tokens":893}}</t>
  </si>
  <si>
    <t>Converse Classic Burgundy Thick Sole Canvas Shoes</t>
  </si>
  <si>
    <t>{"choices":[{"finish_reason":"stop","index":0,"logprobs":null,"message":{"annotations":[],"content":"Converse Classic Burgundy Low-Top Canvas Shoes with thick sole for comfort and height, breathable durable fabric, white rubber toe cap, vintage trim, unisex 70s design for timeless urban style.","refusal":null,"role":"assistant"}}],"created":1776415196,"id":"chatcmpl-DVZ1wvnGYrzlHoey7bNqSa7olHPs8","model":"gpt-5-chat-latest","object":"chat.completion","service_tier":"default","system_fingerprint":"fp_ad66631dec","usage":{"completion_tokens":41,"completion_tokens_details":{"accepted_prediction_tokens":0,"audio_tokens":0,"reasoning_tokens":0,"rejected_prediction_tokens":0},"prompt_tokens":916,"prompt_tokens_details":{"audio_tokens":0,"cached_tokens":0},"total_tokens":957}}</t>
  </si>
  <si>
    <t>Converse Classic Burgundy Low-Top Canvas Shoes with thick sole for comfort and height, breathable durable fabric, white rubber toe cap, vintage trim, unisex 70s design for timeless urban style.</t>
  </si>
  <si>
    <t>{"choices":[{"finish_reason":"stop","index":0,"logprobs":null,"message":{"annotations":[],"content":"Converse,Shoes,kakobuy,kakebuy2026,kekobuysheet,kakobuysheet2026,2026kakobuy,kakobuyspreadsheeet,kakobuylink,kakebuylist,Kakobuy MEGA Spreadsheet,kakobuysheetfind,kakobuysheetfind2026,2026kakobuysheetfind,kakobuysheet2026","refusal":null,"role":"assistant"}}],"created":1776417178,"id":"chatcmpl-DVZXuh82O6MbVOO8rFtDDz6CVbCN3","model":"gpt-5-chat-latest","object":"chat.completion","service_tier":"default","system_fingerprint":"fp_ad66631dec","usage":{"completion_tokens":87,"completion_tokens_details":{"accepted_prediction_tokens":0,"audio_tokens":0,"reasoning_tokens":0,"rejected_prediction_tokens":0},"prompt_tokens":783,"prompt_tokens_details":{"audio_tokens":0,"cached_tokens":0},"total_tokens":870}}</t>
  </si>
  <si>
    <t>Burgundy, Canvas Shoes, Vintage, Unisex, Breathable</t>
  </si>
  <si>
    <t>recvh0B9A77uWQ</t>
  </si>
  <si>
    <t>converse-classic-burgundy-thick-sole-recvh0b9a77uwq</t>
  </si>
  <si>
    <t>{"id":"chatcmpl-DVYLU9yKXpBEDv83ZJDmGGrxYOFBw","object":"chat.completion","created":1776412564,"model":"gpt-5-chat-latest","choices":[{"index":0,"message":{"role":"assistant","content":"Converse：经典酒红色低帮帆布鞋，厚底设计提升舒适与高度，优质帆布材质透气耐磨，白色橡胶鞋头与复古包边凸显街头休闲风，男女皆宜，融合70年代简约美学，展现永不过时的都市潮流品味。","refusal":null,"annotations":[]},"logprobs":null,"finish_reason":"stop"}],"usage":{"prompt_tokens":1304,"completion_tokens":80,"total_tokens":1384,"prompt_tokens_details":{"cached_tokens":0,"audio_tokens":0},"completion_tokens_details":{"reasoning_tokens":0,"audio_tokens":0,"accepted_prediction_tokens":0,"rejected_prediction_tokens":0}},"service_tier":"default","system_fingerprint":"fp_ad66631dec"}</t>
  </si>
  <si>
    <t>Converse：经典酒红色低帮帆布鞋，厚底设计提升舒适与高度，优质帆布材质透气耐磨，白色橡胶鞋头与复古包边凸显街头休闲风，男女皆宜，融合70年代简约美学，展现永不过时的都市潮流品味。</t>
  </si>
  <si>
    <t>{"choices":[{"finish_reason":"stop","index":0,"logprobs":null,"message":{"annotations":[],"content":"Converse High Top Dark Green Canvas Sneakers","refusal":null,"role":"assistant"}}],"created":1776415873,"id":"chatcmpl-DVZCrQGcIgfPUDZAAuXbhecS7ch9r","model":"gpt-5-chat-latest","object":"chat.completion","service_tier":"default","system_fingerprint":"fp_ad66631dec","usage":{"completion_tokens":9,"completion_tokens_details":{"accepted_prediction_tokens":0,"audio_tokens":0,"reasoning_tokens":0,"rejected_prediction_tokens":0},"prompt_tokens":872,"prompt_tokens_details":{"audio_tokens":0,"cached_tokens":0},"total_tokens":881}}</t>
  </si>
  <si>
    <t>Converse High Top Dark Green Canvas Sneakers</t>
  </si>
  <si>
    <t>{"choices":[{"finish_reason":"stop","index":0,"logprobs":null,"message":{"annotations":[],"content":"Converse Classic High-Top Canvas Sneakers in Dark Green with White Toe and Thick Rubber Sole, Unisex Retro Street Style, Breathable and Comfortable for Everyday Casual Wear.","refusal":null,"role":"assistant"}}],"created":1776414792,"id":"chatcmpl-DVYvQ7lBsvE63ZYjK9VJaGNJpW54o","model":"gpt-5-chat-latest","object":"chat.completion","service_tier":"default","system_fingerprint":"fp_ad66631dec","usage":{"completion_tokens":35,"completion_tokens_details":{"accepted_prediction_tokens":0,"audio_tokens":0,"reasoning_tokens":0,"rejected_prediction_tokens":0},"prompt_tokens":890,"prompt_tokens_details":{"audio_tokens":0,"cached_tokens":0},"total_tokens":925}}</t>
  </si>
  <si>
    <t>Converse Classic High-Top Canvas Sneakers in Dark Green with White Toe and Thick Rubber Sole, Unisex Retro Street Style, Breathable and Comfortable for Everyday Casual Wear.</t>
  </si>
  <si>
    <t>{"choices":[{"finish_reason":"stop","index":0,"logprobs":null,"message":{"annotations":[],"content":"Converse,Shoes,kakobuy,kakebuy2026,kekobuysheet,kakobuysheet2026,2026kakobuy,kakobuyspreadsheeet,kakobuylink,kakebuylist,Kakobuy MEGA Spreadsheet,kakobuysheetfind,kakobuysheetfind2026,2026kakobuysheetfind,kakobuysheet2026","refusal":null,"role":"assistant"}}],"created":1776417197,"id":"chatcmpl-DVZYDqmgelP59cD6QKj14fPmFRXem","model":"gpt-5-chat-latest","object":"chat.completion","service_tier":"default","system_fingerprint":"fp_ad66631dec","usage":{"completion_tokens":87,"completion_tokens_details":{"accepted_prediction_tokens":0,"audio_tokens":0,"reasoning_tokens":0,"rejected_prediction_tokens":0},"prompt_tokens":783,"prompt_tokens_details":{"audio_tokens":0,"cached_tokens":0},"total_tokens":870}}</t>
  </si>
  <si>
    <t>Dark Green, Retro, Street, Unisex, Breathable</t>
  </si>
  <si>
    <t>recvh0B9A7q5uD</t>
  </si>
  <si>
    <t>converse-high-top-dark-green-canvas-recvh0B9A7q5uD</t>
  </si>
  <si>
    <t>{"choices":[{"finish_reason":"stop","index":0,"logprobs":null,"message":{"annotations":[],"content":"Converse：经典高帮帆布鞋，深绿色配白色鞋头与橡胶厚底，男女通用街头复古设计，舒适透气休闲鞋款，彰显美式潮流与百搭个性。","refusal":null,"role":"assistant"}}],"created":1776411974,"id":"chatcmpl-DVYBygiFRmOrV3IIt26kIlm6fbsFa","model":"gpt-5-chat-latest","object":"chat.completion","service_tier":"default","system_fingerprint":"fp_ad66631dec","usage":{"completion_tokens":56,"completion_tokens_details":{"accepted_prediction_tokens":0,"audio_tokens":0,"reasoning_tokens":0,"rejected_prediction_tokens":0},"prompt_tokens":1300,"prompt_tokens_details":{"audio_tokens":0,"cached_tokens":1280},"total_tokens":1356}}</t>
  </si>
  <si>
    <t>Converse：经典高帮帆布鞋，深绿色配白色鞋头与橡胶厚底，男女通用街头复古设计，舒适透气休闲鞋款，彰显美式潮流与百搭个性。</t>
  </si>
  <si>
    <t>{"choices":[{"finish_reason":"stop","index":0,"logprobs":null,"message":{"annotations":[],"content":"Converse Black Canvas Sneakers Yellow Star Retro Unisex Shoes","refusal":null,"role":"assistant"}}],"created":1776416247,"id":"chatcmpl-DVZItAefVp0rYy2cG6UiyeyOg8mQM","model":"gpt-5-chat-latest","object":"chat.completion","service_tier":"default","system_fingerprint":"fp_ad66631dec","usage":{"completion_tokens":12,"completion_tokens_details":{"accepted_prediction_tokens":0,"audio_tokens":0,"reasoning_tokens":0,"rejected_prediction_tokens":0},"prompt_tokens":880,"prompt_tokens_details":{"audio_tokens":0,"cached_tokens":0},"total_tokens":892}}</t>
  </si>
  <si>
    <t>Converse Black Canvas Sneakers Yellow Star Retro Unisex Shoes</t>
  </si>
  <si>
    <t>{"id":"chatcmpl-DVYx00PPfsdB2vuDWSMCqPJPQwtwL","object":"chat.completion","created":1776414890,"model":"gpt-5-chat-latest","choices":[{"index":0,"message":{"role":"assistant","content":"Converse Black Low-Top Canvas Sneakers with Yellow Star Design, breathable cotton material, retro 70s street style, unisex casual shoes, durable non-slip rubber sole for everyday comfort.","refusal":null,"annotations":[]},"logprobs":null,"finish_reason":"stop"}],"usage":{"prompt_tokens":908,"completion_tokens":39,"total_tokens":947,"prompt_tokens_details":{"cached_tokens":0,"audio_tokens":0},"completion_tokens_details":{"reasoning_tokens":0,"audio_tokens":0,"accepted_prediction_tokens":0,"rejected_prediction_tokens":0}},"service_tier":"default","system_fingerprint":"fp_ad66631dec"}</t>
  </si>
  <si>
    <t>Converse Black Low-Top Canvas Sneakers with Yellow Star Design, breathable cotton material, retro 70s street style, unisex casual shoes, durable non-slip rubber sole for everyday comfort.</t>
  </si>
  <si>
    <t>{"id":"chatcmpl-DVZRfzT3FlJulxrxySjX2ADcIW5NG","object":"chat.completion","created":1776416791,"model":"gpt-5-chat-latest","choices":[{"index":0,"message":{"role":"assistant","content":"Converse,Shoes,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87,"total_tokens":870,"prompt_tokens_details":{"cached_tokens":0,"audio_tokens":0},"completion_tokens_details":{"reasoning_tokens":0,"audio_tokens":0,"accepted_prediction_tokens":0,"rejected_prediction_tokens":0}},"service_tier":"default","system_fingerprint":"fp_ad66631dec"}</t>
  </si>
  <si>
    <t>Canvas, Black, Yellow, Retro, Streetwear, Unisex</t>
  </si>
  <si>
    <t>recvh0B9A7k87P</t>
  </si>
  <si>
    <t>converse-black-canvas-yellow-star-retro-unisex-recvh0b9a7k87p</t>
  </si>
  <si>
    <t>{"choices":[{"finish_reason":"stop","index":0,"logprobs":null,"message":{"annotations":[],"content":"Converse：黑色低帮帆布休闲鞋，黄星标撞色设计，采用优质棉质帆布材质，透气舒适，复古街头风格，男女通用款，经典橡胶鞋底防滑耐磨，重现70年代美式潮流精神。","refusal":null,"role":"assistant"}}],"created":1776412424,"id":"chatcmpl-DVYJEv0NqF2YIsCEGp8HHVDGTbkk7","model":"gpt-5-chat-latest","object":"chat.completion","service_tier":"default","system_fingerprint":"fp_ad66631dec","usage":{"completion_tokens":72,"completion_tokens_details":{"accepted_prediction_tokens":0,"audio_tokens":0,"reasoning_tokens":0,"rejected_prediction_tokens":0},"prompt_tokens":1304,"prompt_tokens_details":{"audio_tokens":0,"cached_tokens":0},"total_tokens":1376}}</t>
  </si>
  <si>
    <t>Converse：黑色低帮帆布休闲鞋，黄星标撞色设计，采用优质棉质帆布材质，透气舒适，复古街头风格，男女通用款，经典橡胶鞋底防滑耐磨，重现70年代美式潮流精神。</t>
  </si>
  <si>
    <t>{"choices":[{"finish_reason":"stop","index":0,"logprobs":null,"message":{"annotations":[],"content":"Converse Chuck Taylor Red High Top Canvas Sneakers","refusal":null,"role":"assistant"}}],"created":1776416402,"id":"chatcmpl-DVZLOgEG0Re9qM1mNqsABbuULyxUF","model":"gpt-5-chat-latest","object":"chat.completion","service_tier":"default","system_fingerprint":"fp_ad66631dec","usage":{"completion_tokens":10,"completion_tokens_details":{"accepted_prediction_tokens":0,"audio_tokens":0,"reasoning_tokens":0,"rejected_prediction_tokens":0},"prompt_tokens":602,"prompt_tokens_details":{"audio_tokens":0,"cached_tokens":0},"total_tokens":612}}</t>
  </si>
  <si>
    <t>Converse Chuck Taylor Red High Top Canvas Sneakers</t>
  </si>
  <si>
    <t>{"choices":[{"finish_reason":"stop","index":0,"logprobs":null,"message":{"annotations":[],"content":"Converse Chuck Taylor Classic High Top Red Canvas Shoes – made with premium cotton canvas and rubber sole, breathable and durable. Retro street style, unisex, perfect for daily wear and fashion looks.","refusal":null,"role":"assistant"}}],"created":1776414778,"id":"chatcmpl-DVYvCr9YBHljDEYpGo4hsFv63QBSr","model":"gpt-5-chat-latest","object":"chat.completion","service_tier":"default","system_fingerprint":"fp_ad66631dec","usage":{"completion_tokens":40,"completion_tokens_details":{"accepted_prediction_tokens":0,"audio_tokens":0,"reasoning_tokens":0,"rejected_prediction_tokens":0},"prompt_tokens":660,"prompt_tokens_details":{"audio_tokens":0,"cached_tokens":0},"total_tokens":700}}</t>
  </si>
  <si>
    <t>Converse Chuck Taylor Classic High Top Red Canvas Shoes – made with premium cotton canvas and rubber sole, breathable and durable. Retro street style, unisex, perfect for daily wear and fashion looks.</t>
  </si>
  <si>
    <t>{"id":"chatcmpl-DVZQW1l56khecSb26rx75hHf4tpQA","object":"chat.completion","created":1776416720,"model":"gpt-5-chat-latest","choices":[{"index":0,"message":{"role":"assistant","content":"Converse,Shoes,kakobuy,kakebuy2026,kekobuysheet,kakobuysheet2026,2026kakobuy,kakobuyspreadsheeet,kakobuylink,kakebuylist,Kakobuy MEGA Spreadsheet,kakobuysheetfind,kakobuysheetfind2026,2026kakobuysheetfind,kakobuysheet2026","refusal":null,"annotations":[]},"logprobs":null,"finish_reason":"stop"}],"usage":{"prompt_tokens":503,"completion_tokens":87,"total_tokens":590,"prompt_tokens_details":{"cached_tokens":0,"audio_tokens":0},"completion_tokens_details":{"reasoning_tokens":0,"audio_tokens":0,"accepted_prediction_tokens":0,"rejected_prediction_tokens":0}},"service_tier":"default","system_fingerprint":"fp_ad66631dec"}</t>
  </si>
  <si>
    <t>Canvas Shoes, Red, Retro, Street, Unisex, Breathable</t>
  </si>
  <si>
    <t>recvh0B9A75xme</t>
  </si>
  <si>
    <t>converse-chuck-taylor-red-high-recvh0b9a75xme</t>
  </si>
  <si>
    <t>{"choices":[{"finish_reason":"stop","index":0,"logprobs":null,"message":{"annotations":[],"content":"Converse：经典Chuck Taylor系列高帮红色帆布鞋，采用优质棉质帆布与橡胶鞋底，透气耐磨。简约复古设计结合街头潮流元素，白色中底搭配红色装饰线勾勒利落轮廓，男女皆宜。作为百年经典款，彰显年轻个性与休闲态度，适合日常穿搭与街头时尚造型。","refusal":null,"role":"assistant"}}],"created":1776412385,"id":"chatcmpl-DVYIb2ilJSARDIyL4GBfw6Qr4vlTY","model":"gpt-5-chat-latest","object":"chat.completion","service_tier":"default","system_fingerprint":"fp_ad66631dec","usage":{"completion_tokens":105,"completion_tokens_details":{"accepted_prediction_tokens":0,"audio_tokens":0,"reasoning_tokens":0,"rejected_prediction_tokens":0},"prompt_tokens":1022,"prompt_tokens_details":{"audio_tokens":0,"cached_tokens":0},"total_tokens":1127}}</t>
  </si>
  <si>
    <t>Converse：经典Chuck Taylor系列高帮红色帆布鞋，采用优质棉质帆布与橡胶鞋底，透气耐磨。简约复古设计结合街头潮流元素，白色中底搭配红色装饰线勾勒利落轮廓，男女皆宜。作为百年经典款，彰显年轻个性与休闲态度，适合日常穿搭与街头时尚造型。</t>
  </si>
  <si>
    <t>{"id":"chatcmpl-DVZKoWatLuySOX1c2mzSJiVfaN2Vu","object":"chat.completion","created":1776416366,"model":"gpt-5-chat-latest","choices":[{"index":0,"message":{"role":"assistant","content":"Converse Black Suede Star Low Top Sneakers","refusal":null,"annotations":[]},"logprobs":null,"finish_reason":"stop"}],"usage":{"prompt_tokens":868,"completion_tokens":10,"total_tokens":878,"prompt_tokens_details":{"cached_tokens":0,"audio_tokens":0},"completion_tokens_details":{"reasoning_tokens":0,"audio_tokens":0,"accepted_prediction_tokens":0,"rejected_prediction_tokens":0}},"service_tier":"default","system_fingerprint":"fp_ad66631dec"}</t>
  </si>
  <si>
    <t>Converse Black Suede Star Low Top Sneakers</t>
  </si>
  <si>
    <t>{"id":"chatcmpl-DVZ4JYhy5FStwFDgZsyFVJXHLmG4a","object":"chat.completion","created":1776415343,"model":"gpt-5-chat-latest","choices":[{"index":0,"message":{"role":"assistant","content":"Converse black suede low-top sneakers with classic star logo, thick anti-slip rubber sole, unisex retro street style, breathable comfort, showcasing minimalist trendy design.","refusal":null,"annotations":[]},"logprobs":null,"finish_reason":"stop"}],"usage":{"prompt_tokens":892,"completion_tokens":33,"total_tokens":925,"prompt_tokens_details":{"cached_tokens":0,"audio_tokens":0},"completion_tokens_details":{"reasoning_tokens":0,"audio_tokens":0,"accepted_prediction_tokens":0,"rejected_prediction_tokens":0}},"service_tier":"default","system_fingerprint":"fp_ad66631dec"}</t>
  </si>
  <si>
    <t>Converse black suede low-top sneakers with classic star logo, thick anti-slip rubber sole, unisex retro street style, breathable comfort, showcasing minimalist trendy design.</t>
  </si>
  <si>
    <t>{"choices":[{"finish_reason":"stop","index":0,"logprobs":null,"message":{"annotations":[],"content":"Converse,Shoes,kakobuy,kakebuy2026,kekobuysheet,kakobuysheet2026,2026kakobuy,kakobuyspreadsheeet,kakobuylink,kakebuylist,Kakobuy MEGA Spreadsheet,kakobuysheetfind,kakobuysheetfind2026,2026kakobuysheetfind,kakobuysheet2026","refusal":null,"role":"assistant"}}],"created":1776417130,"id":"chatcmpl-DVZX88hKO2Q26lhpE4w9szYmLXDRx","model":"gpt-5-chat-latest","object":"chat.completion","service_tier":"default","system_fingerprint":"fp_ad66631dec","usage":{"completion_tokens":87,"completion_tokens_details":{"accepted_prediction_tokens":0,"audio_tokens":0,"reasoning_tokens":0,"rejected_prediction_tokens":0},"prompt_tokens":783,"prompt_tokens_details":{"audio_tokens":0,"cached_tokens":0},"total_tokens":870}}</t>
  </si>
  <si>
    <t>Suede, Rubber Sole, Anti-Slip, Unisex, Retro, Street</t>
  </si>
  <si>
    <t>recvh0B9A7rTNC</t>
  </si>
  <si>
    <t>converse-black-suede-star-low-recvh0b9a7rtnc</t>
  </si>
  <si>
    <t>{"choices":[{"finish_reason":"stop","index":0,"logprobs":null,"message":{"annotations":[],"content":"Converse：黑色麂皮低帮休闲板鞋，经典星标设计，厚底防滑橡胶鞋底，男女通用款，复古街头风格，舒适透气，展现简约潮流品味。","refusal":null,"role":"assistant"}}],"created":1776412435,"id":"chatcmpl-DVYJPg4o5Dzdf1X7twUtqxWOxUmxP","model":"gpt-5-chat-latest","object":"chat.completion","service_tier":"default","system_fingerprint":"fp_ad66631dec","usage":{"completion_tokens":57,"completion_tokens_details":{"accepted_prediction_tokens":0,"audio_tokens":0,"reasoning_tokens":0,"rejected_prediction_tokens":0},"prompt_tokens":1302,"prompt_tokens_details":{"audio_tokens":0,"cached_tokens":0},"total_tokens":1359}}</t>
  </si>
  <si>
    <t>Converse：黑色麂皮低帮休闲板鞋，经典星标设计，厚底防滑橡胶鞋底，男女通用款，复古街头风格，舒适透气，展现简约潮流品味。</t>
  </si>
  <si>
    <t>{"choices":[{"finish_reason":"stop","index":0,"logprobs":null,"message":{"annotations":[],"content":"Converse Chuck Taylor Navy High Top Sneakers","refusal":null,"role":"assistant"}}],"created":1776415864,"id":"chatcmpl-DVZCiHXqm90gR1ui2Qs1eYHEZ1CMm","model":"gpt-5-chat-latest","object":"chat.completion","service_tier":"default","system_fingerprint":"fp_ad66631dec","usage":{"completion_tokens":9,"completion_tokens_details":{"accepted_prediction_tokens":0,"audio_tokens":0,"reasoning_tokens":0,"rejected_prediction_tokens":0},"prompt_tokens":882,"prompt_tokens_details":{"audio_tokens":0,"cached_tokens":0},"total_tokens":891}}</t>
  </si>
  <si>
    <t>Converse Chuck Taylor Navy High Top Sneakers</t>
  </si>
  <si>
    <t>{"choices":[{"finish_reason":"stop","index":0,"logprobs":null,"message":{"annotations":[],"content":"Converse Chuck Taylor All Star High Tops in navy canvas with white rubber toe, thick sole, and vintage stitching. Unisex, durable, comfy, and timeless street-style sneakers for all occasions.","refusal":null,"role":"assistant"}}],"created":1776415123,"id":"chatcmpl-DVZ0lfbiLZdI12I5wDkY4yeRyPUFh","model":"gpt-5-chat-latest","object":"chat.completion","service_tier":"default","system_fingerprint":"fp_ad66631dec","usage":{"completion_tokens":40,"completion_tokens_details":{"accepted_prediction_tokens":0,"audio_tokens":0,"reasoning_tokens":0,"rejected_prediction_tokens":0},"prompt_tokens":912,"prompt_tokens_details":{"audio_tokens":0,"cached_tokens":0},"total_tokens":952}}</t>
  </si>
  <si>
    <t>Converse Chuck Taylor All Star High Tops in navy canvas with white rubber toe, thick sole, and vintage stitching. Unisex, durable, comfy, and timeless street-style sneakers for all occasions.</t>
  </si>
  <si>
    <t>{"choices":[{"finish_reason":"stop","index":0,"logprobs":null,"message":{"annotations":[],"content":"Converse,Shoes,kakobuy,kakebuy2026,kekobuysheet,kakobuysheet2026,2026kakobuy,kakobuyspreadsheeet,kakobuylink,kakebuylist,Kakobuy MEGA Spreadsheet,kakobuysheetfind,kakobuysheetfind2026,2026kakobuysheetfind,kakobuysheet2026","refusal":null,"role":"assistant"}}],"created":1776417323,"id":"chatcmpl-DVZaFbWTzhjWVw2oHarPZaGr2LDFf","model":"gpt-5-chat-latest","object":"chat.completion","service_tier":"default","system_fingerprint":"fp_ad66631dec","usage":{"completion_tokens":87,"completion_tokens_details":{"accepted_prediction_tokens":0,"audio_tokens":0,"reasoning_tokens":0,"rejected_prediction_tokens":0},"prompt_tokens":783,"prompt_tokens_details":{"audio_tokens":0,"cached_tokens":0},"total_tokens":870}}</t>
  </si>
  <si>
    <t>Canvas, Navy, White, Streetwear, Vintage, Unisex</t>
  </si>
  <si>
    <t>recvh0B9A7eTzd</t>
  </si>
  <si>
    <t>converse-chuck-taylor-navy-high-recvh0b9a7etz</t>
  </si>
  <si>
    <t>{"choices":[{"finish_reason":"stop","index":0,"logprobs":null,"message":{"annotations":[],"content":"Converse：经典Chuck Taylor All Star系列深蓝高帮帆布鞋，选用优质帆布材质，辅以白色橡胶鞋头与厚底设计，复古车线彰显美式街头风格，舒适耐穿，男女皆宜，百搭复古潮流休闲鞋款。","refusal":null,"role":"assistant"}}],"created":1776412303,"id":"chatcmpl-DVYHHOnlEIv09wSr8qTc8qnGr7qtN","model":"gpt-5-chat-latest","object":"chat.completion","service_tier":"default","system_fingerprint":"fp_ad66631dec","usage":{"completion_tokens":76,"completion_tokens_details":{"accepted_prediction_tokens":0,"audio_tokens":0,"reasoning_tokens":0,"rejected_prediction_tokens":0},"prompt_tokens":1304,"prompt_tokens_details":{"audio_tokens":0,"cached_tokens":0},"total_tokens":1380}}</t>
  </si>
  <si>
    <t>Converse：经典Chuck Taylor All Star系列深蓝高帮帆布鞋，选用优质帆布材质，辅以白色橡胶鞋头与厚底设计，复古车线彰显美式街头风格，舒适耐穿，男女皆宜，百搭复古潮流休闲鞋款。</t>
  </si>
  <si>
    <t>{"id":"chatcmpl-DVZCSbuZyQFmmC3Ajpa7cNfH0oFAt","object":"chat.completion","created":1776415848,"model":"gpt-5-chat-latest","choices":[{"index":0,"message":{"role":"assistant","content":"Versace Lago Sky Blue White Chunky Leather Sneakers","refusal":null,"annotations":[]},"logprobs":null,"finish_reason":"stop"}],"usage":{"prompt_tokens":876,"completion_tokens":11,"total_tokens":887,"prompt_tokens_details":{"cached_tokens":0,"audio_tokens":0},"completion_tokens_details":{"reasoning_tokens":0,"audio_tokens":0,"accepted_prediction_tokens":0,"rejected_prediction_tokens":0}},"service_tier":"default","system_fingerprint":"fp_ad66631dec"}</t>
  </si>
  <si>
    <t>Versace Lago Sky Blue White Chunky Leather Sneakers</t>
  </si>
  <si>
    <t>{"choices":[{"finish_reason":"stop","index":0,"logprobs":null,"message":{"annotations":[],"content":"Versace Lago Collection Sky Blue White Chunky Sneakers crafted from premium leather and rubber, featuring sculptural design, Italian luxury aesthetics, unisex style, comfort and avant-garde fashion.","refusal":null,"role":"assistant"}}],"created":1776415240,"id":"chatcmpl-DVZ2eZzv8tIi7MCtimm22bi7LackJ","model":"gpt-5-chat-latest","object":"chat.completion","service_tier":"default","system_fingerprint":"fp_ad66631dec","usage":{"completion_tokens":37,"completion_tokens_details":{"accepted_prediction_tokens":0,"audio_tokens":0,"reasoning_tokens":0,"rejected_prediction_tokens":0},"prompt_tokens":902,"prompt_tokens_details":{"audio_tokens":0,"cached_tokens":0},"total_tokens":939}}</t>
  </si>
  <si>
    <t>Versace Lago Collection Sky Blue White Chunky Sneakers crafted from premium leather and rubber, featuring sculptural design, Italian luxury aesthetics, unisex style, comfort and avant-garde fashion.</t>
  </si>
  <si>
    <t>{"choices":[{"finish_reason":"stop","index":0,"logprobs":null,"message":{"annotations":[],"content":"Versace,Shoes,kakobuy,kakebuy2026,kekobuysheet,kakobuysheet2026,2026kakobuy,kakobuyspreadsheeet,kakobuylink,kakebuylist,Kakobuy MEGA Spreadsheet,kakobuysheetfind,kakobuysheetfind2026,2026kakobuysheetfind,kakobuysheet2026","refusal":null,"role":"assistant"}}],"created":1776416883,"id":"chatcmpl-DVZT9jPnSADiFv7fvz3vRrpOZ1B6T","model":"gpt-5-chat-latest","object":"chat.completion","service_tier":"default","system_fingerprint":"fp_ad66631dec","usage":{"completion_tokens":87,"completion_tokens_details":{"accepted_prediction_tokens":0,"audio_tokens":0,"reasoning_tokens":0,"rejected_prediction_tokens":0},"prompt_tokens":783,"prompt_tokens_details":{"audio_tokens":0,"cached_tokens":0},"total_tokens":870}}</t>
  </si>
  <si>
    <t>Leather, Rubber, White, Unisex</t>
  </si>
  <si>
    <t>recvh0B9A7jpK2</t>
  </si>
  <si>
    <t>versace-lago-sky-blue-white-chunky-leather-recvh0b9a7jpk2</t>
  </si>
  <si>
    <t>{"choices":[{"finish_reason":"stop","index":0,"logprobs":null,"message":{"annotations":[],"content":"Versace：Lago系列天蓝白拼色厚底运动鞋，甄选优质皮革与橡胶材质，立体雕塑感设计诠释意式奢华美学，兼具舒适与时尚，男女同款，彰显先锋潮流格调。","refusal":null,"role":"assistant"}}],"created":1776412396,"id":"chatcmpl-DVYImCWB7XOxGG62cxSrH8sBxFIdM","model":"gpt-5-chat-latest","object":"chat.completion","service_tier":"default","system_fingerprint":"fp_ad66631dec","usage":{"completion_tokens":68,"completion_tokens_details":{"accepted_prediction_tokens":0,"audio_tokens":0,"reasoning_tokens":0,"rejected_prediction_tokens":0},"prompt_tokens":1300,"prompt_tokens_details":{"audio_tokens":0,"cached_tokens":0},"total_tokens":1368}}</t>
  </si>
  <si>
    <t>Versace：Lago系列天蓝白拼色厚底运动鞋，甄选优质皮革与橡胶材质，立体雕塑感设计诠释意式奢华美学，兼具舒适与时尚，男女同款，彰显先锋潮流格调。</t>
  </si>
  <si>
    <t>{"choices":[{"finish_reason":"stop","index":0,"logprobs":null,"message":{"annotations":[],"content":"Converse One Star Cream Terry Low Top Skate Shoes","refusal":null,"role":"assistant"}}],"created":1776415896,"id":"chatcmpl-DVZDEFsZH80BfyVtTj6AN8CKVigim","model":"gpt-5-chat-latest","object":"chat.completion","service_tier":"default","system_fingerprint":"fp_ad66631dec","usage":{"completion_tokens":11,"completion_tokens_details":{"accepted_prediction_tokens":0,"audio_tokens":0,"reasoning_tokens":0,"rejected_prediction_tokens":0},"prompt_tokens":882,"prompt_tokens_details":{"audio_tokens":0,"cached_tokens":0},"total_tokens":893}}</t>
  </si>
  <si>
    <t>Converse One Star Cream Terry Low Top Skate Shoes</t>
  </si>
  <si>
    <t>{"id":"chatcmpl-DVZ2P4yvaApqqHGoN5C5o6ZF0lKAK","object":"chat.completion","created":1776415225,"model":"gpt-5-chat-latest","choices":[{"index":0,"message":{"role":"assistant","content":"Converse One Star Cream Low-Top Sneakers, soft terry texture, breathable comfort, signature star cutout and vulcanized sole, retro 90s skate style for men and women.","refusal":null,"annotations":[]},"logprobs":null,"finish_reason":"stop"}],"usage":{"prompt_tokens":916,"completion_tokens":40,"total_tokens":956,"prompt_tokens_details":{"cached_tokens":0,"audio_tokens":0},"completion_tokens_details":{"reasoning_tokens":0,"audio_tokens":0,"accepted_prediction_tokens":0,"rejected_prediction_tokens":0}},"service_tier":"default","system_fingerprint":"fp_ad66631dec"}</t>
  </si>
  <si>
    <t>Converse One Star Cream Low-Top Sneakers, soft terry texture, breathable comfort, signature star cutout and vulcanized sole, retro 90s skate style for men and women.</t>
  </si>
  <si>
    <t>{"choices":[{"finish_reason":"stop","index":0,"logprobs":null,"message":{"annotations":[],"content":"Converse,Shoes,kakobuy,kakebuy2026,kekobuysheet,kakobuysheet2026,2026kakobuy,kakobuyspreadsheeet,kakobuylink,kakebuylist,Kakobuy MEGA Spreadsheet,kakobuysheetfind,kakobuysheetfind2026,2026kakobuysheetfind,kakobuysheet2026","refusal":null,"role":"assistant"}}],"created":1776416716,"id":"chatcmpl-DVZQSHUq7msPunC89RHkJWWddQNdP","model":"gpt-5-chat-latest","object":"chat.completion","service_tier":"default","system_fingerprint":"fp_ad66631dec","usage":{"completion_tokens":87,"completion_tokens_details":{"accepted_prediction_tokens":0,"audio_tokens":0,"reasoning_tokens":0,"rejected_prediction_tokens":0},"prompt_tokens":783,"prompt_tokens_details":{"audio_tokens":0,"cached_tokens":0},"total_tokens":870}}</t>
  </si>
  <si>
    <t>Retro, Skate Shoes, Sneakers, Cream, Unisex, Breathable</t>
  </si>
  <si>
    <t>recvh0B9A7ik9K</t>
  </si>
  <si>
    <t>converse-one-star-cream-terry-recvh0b9a7ik9k</t>
  </si>
  <si>
    <t>{"choices":[{"finish_reason":"stop","index":0,"logprobs":null,"message":{"annotations":[],"content":"Converse：One Star 奶白色低帮休闲鞋，毛圈绒面材质，柔软舒适透气，搭配标志性五角星镂空设计与厚底硫化鞋底，兼具复古与街头潮流风格，男女皆宜，演绎90年代经典滑板文化。","refusal":null,"role":"assistant"}}],"created":1776412413,"id":"chatcmpl-DVYJ3O9YT1t5VtFyrO2UNbZ2QrW8Y","model":"gpt-5-chat-latest","object":"chat.completion","service_tier":"default","system_fingerprint":"fp_ad66631dec","usage":{"completion_tokens":78,"completion_tokens_details":{"accepted_prediction_tokens":0,"audio_tokens":0,"reasoning_tokens":0,"rejected_prediction_tokens":0},"prompt_tokens":1308,"prompt_tokens_details":{"audio_tokens":0,"cached_tokens":0},"total_tokens":1386}}</t>
  </si>
  <si>
    <t>Converse：One Star 奶白色低帮休闲鞋，毛圈绒面材质，柔软舒适透气，搭配标志性五角星镂空设计与厚底硫化鞋底，兼具复古与街头潮流风格，男女皆宜，演绎90年代经典滑板文化。</t>
  </si>
  <si>
    <t>{"choices":[{"finish_reason":"stop","index":0,"logprobs":null,"message":{"annotations":[],"content":"Versace Black White Geometric Platform Sneakers","refusal":null,"role":"assistant"}}],"created":1776415929,"id":"chatcmpl-DVZDlLUmP4TxjwtNcNRAEEhWvgqeg","model":"gpt-5-chat-latest","object":"chat.completion","service_tier":"default","system_fingerprint":"fp_ad66631dec","usage":{"completion_tokens":9,"completion_tokens_details":{"accepted_prediction_tokens":0,"audio_tokens":0,"reasoning_tokens":0,"rejected_prediction_tokens":0},"prompt_tokens":864,"prompt_tokens_details":{"audio_tokens":0,"cached_tokens":0},"total_tokens":873}}</t>
  </si>
  <si>
    <t>Versace Black White Geometric Platform Sneakers</t>
  </si>
  <si>
    <t>{"id":"chatcmpl-DVYyVXXSfSkFuw1EwhLzd3jNH9AXW","object":"chat.completion","created":1776414983,"model":"gpt-5-chat-latest","choices":[{"index":0,"message":{"role":"assistant","content":"Versace black and white geometric platform sneakers, crafted from premium leather with bold street style design, unisex, offering exceptional comfort and modern fashion appeal.","refusal":null,"annotations":[]},"logprobs":null,"finish_reason":"stop"}],"usage":{"prompt_tokens":882,"completion_tokens":31,"total_tokens":913,"prompt_tokens_details":{"cached_tokens":0,"audio_tokens":0},"completion_tokens_details":{"reasoning_tokens":0,"audio_tokens":0,"accepted_prediction_tokens":0,"rejected_prediction_tokens":0}},"service_tier":"default","system_fingerprint":"fp_ad66631dec"}</t>
  </si>
  <si>
    <t>Versace black and white geometric platform sneakers, crafted from premium leather with bold street style design, unisex, offering exceptional comfort and modern fashion appeal.</t>
  </si>
  <si>
    <t>{"choices":[{"finish_reason":"stop","index":0,"logprobs":null,"message":{"annotations":[],"content":"Versace, Shoes, kakobuy, kakebuy2026, kekobuysheet, kakobuysheet2026, 2026kakobuy, kakobuyspreadsheeet, kakobuylink, kakebuylist, Kakobuy MEGA Spreadsheet, kakobuysheetfind, kakobuysheetfind2026, 2026kakobuysheetfind, kakobuysheet2026","refusal":null,"role":"assistant"}}],"created":1776417143,"id":"chatcmpl-DVZXLniFqGkLcF23UWgNNEKCTTNVQ","model":"gpt-5-chat-latest","object":"chat.completion","service_tier":"default","system_fingerprint":"fp_ad66631dec","usage":{"completion_tokens":91,"completion_tokens_details":{"accepted_prediction_tokens":0,"audio_tokens":0,"reasoning_tokens":0,"rejected_prediction_tokens":0},"prompt_tokens":783,"prompt_tokens_details":{"audio_tokens":0,"cached_tokens":0},"total_tokens":874}}</t>
  </si>
  <si>
    <t>Leather Sneakers, Platform Shoes, Geometric, Streetwear, Unisex, Comfort</t>
  </si>
  <si>
    <t>recvh0B9A79wYW</t>
  </si>
  <si>
    <t>versace-black-white-geometric-platform-recvh0b9a79wyw</t>
  </si>
  <si>
    <t>{"id":"chatcmpl-DVYBszqR4mOK1Y2p7MR9TA4FJdRqR","object":"chat.completion","created":1776411968,"model":"gpt-5-chat-latest","choices":[{"index":0,"message":{"role":"assistant","content":"Versace：黑白几何图腾厚底休闲运动鞋，甄选优质皮革拼接设计，彰显前卫街头风格，男女同款，兼具舒适与时尚气质。","refusal":null,"annotations":[]},"logprobs":null,"finish_reason":"stop"}],"usage":{"prompt_tokens":1294,"completion_tokens":51,"total_tokens":1345,"prompt_tokens_details":{"cached_tokens":0,"audio_tokens":0},"completion_tokens_details":{"reasoning_tokens":0,"audio_tokens":0,"accepted_prediction_tokens":0,"rejected_prediction_tokens":0}},"service_tier":"default","system_fingerprint":"fp_ad66631dec"}</t>
  </si>
  <si>
    <t>Versace：黑白几何图腾厚底休闲运动鞋，甄选优质皮革拼接设计，彰显前卫街头风格，男女同款，兼具舒适与时尚气质。</t>
  </si>
  <si>
    <t>{"id":"chatcmpl-DVZD4jlZAWqbt31A05oguvtoNzpvb","object":"chat.completion","created":1776415886,"model":"gpt-5-chat-latest","choices":[{"index":0,"message":{"role":"assistant","content":"Adidas Superstar White Blue Daisy Stripes Sneakers","refusal":null,"annotations":[]},"logprobs":null,"finish_reason":"stop"}],"usage":{"prompt_tokens":878,"completion_tokens":10,"total_tokens":888,"prompt_tokens_details":{"cached_tokens":0,"audio_tokens":0},"completion_tokens_details":{"reasoning_tokens":0,"audio_tokens":0,"accepted_prediction_tokens":0,"rejected_prediction_tokens":0}},"service_tier":"default","system_fingerprint":"fp_ad66631dec"}</t>
  </si>
  <si>
    <t>Adidas Superstar White Blue Daisy Stripes Sneakers</t>
  </si>
  <si>
    <t>{"choices":[{"finish_reason":"stop","index":0,"logprobs":null,"message":{"annotations":[],"content":"Adidas Superstar White Blue Low-Top Sneakers with Daisy Stripes, premium leather upper, classic shell toe, unisex casual shoes mixing comfort and retro street style for timeless fashion appeal.","refusal":null,"role":"assistant"}}],"created":1776414683,"id":"chatcmpl-DVYtf9q18ZTsmXZhvAR5aSr5a36s7","model":"gpt-5-chat-latest","object":"chat.completion","service_tier":"default","system_fingerprint":"fp_ad66631dec","usage":{"completion_tokens":38,"completion_tokens_details":{"accepted_prediction_tokens":0,"audio_tokens":0,"reasoning_tokens":0,"rejected_prediction_tokens":0},"prompt_tokens":905,"prompt_tokens_details":{"audio_tokens":0,"cached_tokens":0},"total_tokens":943}}</t>
  </si>
  <si>
    <t>Adidas Superstar White Blue Low-Top Sneakers with Daisy Stripes, premium leather upper, classic shell toe, unisex casual shoes mixing comfort and retro street style for timeless fashion appeal.</t>
  </si>
  <si>
    <t>{"choices":[{"finish_reason":"stop","index":0,"logprobs":null,"message":{"annotations":[],"content":"Adidas, Shoes, kakobuy, kakebuy2026, kekobuysheet, kakobuysheet2026, 2026kakobuy, kakobuyspreadsheeet, kakobuylink, kakebuylist, Kakobuy MEGA Spreadsheet, kakobuysheetfind, kakobuysheetfind2026, 2026kakobuysheetfind, kakobuysheet2026","refusal":null,"role":"assistant"}}],"created":1776417092,"id":"chatcmpl-DVZWWwTUBui0dbUkSoyZVHg40aZrF","model":"gpt-5-chat-latest","object":"chat.completion","service_tier":"default","system_fingerprint":"fp_ad66631dec","usage":{"completion_tokens":91,"completion_tokens_details":{"accepted_prediction_tokens":0,"audio_tokens":0,"reasoning_tokens":0,"rejected_prediction_tokens":0},"prompt_tokens":783,"prompt_tokens_details":{"audio_tokens":0,"cached_tokens":0},"total_tokens":874}}</t>
  </si>
  <si>
    <t>ADIDAS Superstar, Leather, White, Blue, Unisex, Retro</t>
  </si>
  <si>
    <t>recvh0B9A70hnO</t>
  </si>
  <si>
    <t>adidas-superstar-white-blue-daisy-stripes-recvh0b9a70hno</t>
  </si>
  <si>
    <t>{"choices":[{"finish_reason":"stop","index":0,"logprobs":null,"message":{"annotations":[],"content":"Adidas：Superstar白蓝配色低帮休闲板鞋，头层皮革鞋面搭配贝壳头设计，侧边条纹饰以雏菊图案，复古街头风格，男女同款，兼具舒适与时尚，彰显经典潮流魅力。","refusal":null,"role":"assistant"}}],"created":1776412583,"id":"chatcmpl-DVYLn9QjkoRHsUt8wT40j6DMRxD78","model":"gpt-5-chat-latest","object":"chat.completion","service_tier":"default","system_fingerprint":"fp_ad66631dec","usage":{"completion_tokens":71,"completion_tokens_details":{"accepted_prediction_tokens":0,"audio_tokens":0,"reasoning_tokens":0,"rejected_prediction_tokens":0},"prompt_tokens":1300,"prompt_tokens_details":{"audio_tokens":0,"cached_tokens":1280},"total_tokens":1371}}</t>
  </si>
  <si>
    <t>Adidas：Superstar白蓝配色低帮休闲板鞋，头层皮革鞋面搭配贝壳头设计，侧边条纹饰以雏菊图案，复古街头风格，男女同款，兼具舒适与时尚，彰显经典潮流魅力。</t>
  </si>
  <si>
    <t>{"choices":[{"finish_reason":"stop","index":0,"logprobs":null,"message":{"annotations":[],"content":"Air Jordan Low White Gray Leather Sneakers for Men Women","refusal":null,"role":"assistant"}}],"created":1776416162,"id":"chatcmpl-DVZHWgPmBjHSJviVCXtrt31jhqPHd","model":"gpt-5-chat-latest","object":"chat.completion","service_tier":"default","system_fingerprint":"fp_ad66631dec","usage":{"completion_tokens":11,"completion_tokens_details":{"accepted_prediction_tokens":0,"audio_tokens":0,"reasoning_tokens":0,"rejected_prediction_tokens":0},"prompt_tokens":874,"prompt_tokens_details":{"audio_tokens":0,"cached_tokens":0},"total_tokens":885}}</t>
  </si>
  <si>
    <t>Air Jordan Low White Gray Leather Sneakers for Men Women</t>
  </si>
  <si>
    <t>{"id":"chatcmpl-DVZ0fGwxsLVJJDqG3GlQjdsm3C25k","object":"chat.completion","created":1776415117,"model":"gpt-5-chat-latest","choices":[{"index":0,"message":{"role":"assistant","content":"Air Jordan Low White Gray Leather Sneakers with iconic Wings logo and printed side design, vintage beige rubber sole, stylish streetwear for men and women, blending comfort and modern trend.","refusal":null,"annotations":[]},"logprobs":null,"finish_reason":"stop"}],"usage":{"prompt_tokens":901,"completion_tokens":36,"total_tokens":937,"prompt_tokens_details":{"cached_tokens":0,"audio_tokens":0},"completion_tokens_details":{"reasoning_tokens":0,"audio_tokens":0,"accepted_prediction_tokens":0,"rejected_prediction_tokens":0}},"service_tier":"default","system_fingerprint":"fp_ad66631dec"}</t>
  </si>
  <si>
    <t>Air Jordan Low White Gray Leather Sneakers with iconic Wings logo and printed side design, vintage beige rubber sole, stylish streetwear for men and women, blending comfort and modern trend.</t>
  </si>
  <si>
    <t>{"choices":[{"finish_reason":"stop","index":0,"logprobs":null,"message":{"annotations":[],"content":"Air Jordan,Shoes,kakobuy,kakebuy2026,kekobuysheet,kakobuysheet2026,2026kakobuy,kakobuyspreadsheeet,kakobuylink,kakebuylist,Kakobuy MEGA Spreadsheet,kakobuysheetfind,kakobuysheetfind2026,2026kakobuysheetfind,kakobuysheet2026","refusal":null,"role":"assistant"}}],"created":1776417116,"id":"chatcmpl-DVZWuGsJQIPeH3TIYy6ywWrFgRiBF","model":"gpt-5-chat-latest","object":"chat.completion","service_tier":"default","system_fingerprint":"fp_ad66631dec","usage":{"completion_tokens":87,"completion_tokens_details":{"accepted_prediction_tokens":0,"audio_tokens":0,"reasoning_tokens":0,"rejected_prediction_tokens":0},"prompt_tokens":783,"prompt_tokens_details":{"audio_tokens":0,"cached_tokens":0},"total_tokens":870}}</t>
  </si>
  <si>
    <t>AIR JORDAN, AJ1 Low, Leather Sneakers, White, Grey, Streetwear</t>
  </si>
  <si>
    <t>recvh0B9A7POhs</t>
  </si>
  <si>
    <t>air-jordan-low-white-gray-leather-recvh0b9a7pohs</t>
  </si>
  <si>
    <t>{"id":"chatcmpl-DVYFCUKAzWjrFvW5Z7BsmH2kEyznc","object":"chat.completion","created":1776412174,"model":"gpt-5-chat-latest","choices":[{"index":0,"message":{"role":"assistant","content":"Air Jordan：低帮白色拼灰色皮革运动鞋，经典飞翼标与印花侧纹设计，橡胶复古米色外底，男女休闲街头风格，融合舒适脚感与时尚质感，适合日常潮流穿搭。","refusal":null,"annotations":[]},"logprobs":null,"finish_reason":"stop"}],"usage":{"prompt_tokens":1304,"completion_tokens":65,"total_tokens":1369,"prompt_tokens_details":{"cached_tokens":0,"audio_tokens":0},"completion_tokens_details":{"reasoning_tokens":0,"audio_tokens":0,"accepted_prediction_tokens":0,"rejected_prediction_tokens":0}},"service_tier":"default","system_fingerprint":"fp_ad66631dec"}</t>
  </si>
  <si>
    <t>Air Jordan：低帮白色拼灰色皮革运动鞋，经典飞翼标与印花侧纹设计，橡胶复古米色外底，男女休闲街头风格，融合舒适脚感与时尚质感，适合日常潮流穿搭。</t>
  </si>
  <si>
    <t>340</t>
  </si>
  <si>
    <t>{"choices":[{"finish_reason":"stop","index":0,"logprobs":null,"message":{"annotations":[],"content":"Nike Air Force 1’07 Black Gold Leather Horse Sneakers","refusal":null,"role":"assistant"}}],"created":1776416111,"id":"chatcmpl-DVZGhiF1WR280oelTibGgoBWYmaB1","model":"gpt-5-chat-latest","object":"chat.completion","service_tier":"default","system_fingerprint":"fp_ad66631dec","usage":{"completion_tokens":13,"completion_tokens_details":{"accepted_prediction_tokens":0,"audio_tokens":0,"reasoning_tokens":0,"rejected_prediction_tokens":0},"prompt_tokens":867,"prompt_tokens_details":{"audio_tokens":0,"cached_tokens":0},"total_tokens":880}}</t>
  </si>
  <si>
    <t>Nike Air Force 1’07 Black Gold Leather Horse Sneakers</t>
  </si>
  <si>
    <t>{"id":"chatcmpl-DVZ2JSlXkaTeyqdmpjc1lAbeylhDw","object":"chat.completion","created":1776415219,"model":"gpt-5-chat-latest","choices":[{"index":0,"message":{"role":"assistant","content":"Nike Air Force 1’07 Black Gold Sneakers feature premium leather, sleek low-cut design, dynamic horse motif, and street-style versatility for men and women.","refusal":null,"annotations":[]},"logprobs":null,"finish_reason":"stop"}],"usage":{"prompt_tokens":897,"completion_tokens":33,"total_tokens":930,"prompt_tokens_details":{"cached_tokens":0,"audio_tokens":0},"completion_tokens_details":{"reasoning_tokens":0,"audio_tokens":0,"accepted_prediction_tokens":0,"rejected_prediction_tokens":0}},"service_tier":"default","system_fingerprint":"fp_ad66631dec"}</t>
  </si>
  <si>
    <t>Nike Air Force 1’07 Black Gold Sneakers feature premium leather, sleek low-cut design, dynamic horse motif, and street-style versatility for men and women.</t>
  </si>
  <si>
    <t>{"choices":[{"finish_reason":"stop","index":0,"logprobs":null,"message":{"annotations":[],"content":"Nike, Shoes, kakobuy, kakebuy2026, kekobuysheet, kakobuysheet2026, 2026kakobuy, kakobuyspreadsheeet, kakobuylink, kakebuylist, Kakobuy MEGA Spreadsheet, kakobuysheetfind, kakobuysheetfind2026, 2026kakobuysheetfind, kakobuysheet2026","refusal":null,"role":"assistant"}}],"created":1776417072,"id":"chatcmpl-DVZWC3hW8NpgIcletQ6n7Psi2bhNu","model":"gpt-5-chat-latest","object":"chat.completion","service_tier":"default","system_fingerprint":"fp_ad66631dec","usage":{"completion_tokens":90,"completion_tokens_details":{"accepted_prediction_tokens":0,"audio_tokens":0,"reasoning_tokens":0,"rejected_prediction_tokens":0},"prompt_tokens":782,"prompt_tokens_details":{"audio_tokens":0,"cached_tokens":0},"total_tokens":872}}</t>
  </si>
  <si>
    <t>Nike, AF1, 07, Black Gold, Leather, Unisex</t>
  </si>
  <si>
    <t>recvh0B9A7ns4u</t>
  </si>
  <si>
    <t>nike-air-force-1-07-black-gold-leather-horse-recvh0b9a7ns4u</t>
  </si>
  <si>
    <t>{"choices":[{"finish_reason":"stop","index":0,"logprobs":null,"message":{"annotations":[],"content":"Nike：Air Force 1'07 黑金配色休闲板鞋，精选优质皮革材质，侧身跃马图腾彰显动感设计，低帮剪裁兼具舒适与时尚，潮流街头风格男女通用款。","refusal":null,"role":"assistant"}}],"created":1776412232,"id":"chatcmpl-DVYG8kDgdFKUU4Dm5hETKmsp1xlXV","model":"gpt-5-chat-latest","object":"chat.completion","service_tier":"default","system_fingerprint":"fp_ad66631dec","usage":{"completion_tokens":61,"completion_tokens_details":{"accepted_prediction_tokens":0,"audio_tokens":0,"reasoning_tokens":0,"rejected_prediction_tokens":0},"prompt_tokens":1304,"prompt_tokens_details":{"audio_tokens":0,"cached_tokens":1280},"total_tokens":1365}}</t>
  </si>
  <si>
    <t>Nike：Air Force 1'07 黑金配色休闲板鞋，精选优质皮革材质，侧身跃马图腾彰显动感设计，低帮剪裁兼具舒适与时尚，潮流街头风格男女通用款。</t>
  </si>
  <si>
    <t>{"id":"chatcmpl-DVZLLkkfgBzzlt8DK6AvEr8rxA5uZ","object":"chat.completion","created":1776416399,"model":"gpt-5-chat-latest","choices":[{"index":0,"message":{"role":"assistant","content":"Nike Dunk Low Retro Red White Dragon Sneakers","refusal":null,"annotations":[]},"logprobs":null,"finish_reason":"stop"}],"usage":{"prompt_tokens":877,"completion_tokens":9,"total_tokens":886,"prompt_tokens_details":{"cached_tokens":0,"audio_tokens":0},"completion_tokens_details":{"reasoning_tokens":0,"audio_tokens":0,"accepted_prediction_tokens":0,"rejected_prediction_tokens":0}},"service_tier":"default","system_fingerprint":"fp_ad66631dec"}</t>
  </si>
  <si>
    <t>Nike Dunk Low Retro Red White Dragon Sneakers</t>
  </si>
  <si>
    <t>{"choices":[{"finish_reason":"stop","index":0,"logprobs":null,"message":{"annotations":[],"content":"Nike Dunk Low Retro red and white sneakers feature premium leather, dragon totem details, breathable design, durable rubber sole, unisex fit, blending vintage street vibe with modern oriental style.","refusal":null,"role":"assistant"}}],"created":1776415174,"id":"chatcmpl-DVZ1aIxq8DskuEOIzFOKDv1iDCOv6","model":"gpt-5-chat-latest","object":"chat.completion","service_tier":"default","system_fingerprint":"fp_ad66631dec","usage":{"completion_tokens":38,"completion_tokens_details":{"accepted_prediction_tokens":0,"audio_tokens":0,"reasoning_tokens":0,"rejected_prediction_tokens":0},"prompt_tokens":918,"prompt_tokens_details":{"audio_tokens":0,"cached_tokens":0},"total_tokens":956}}</t>
  </si>
  <si>
    <t>Nike Dunk Low Retro red and white sneakers feature premium leather, dragon totem details, breathable design, durable rubber sole, unisex fit, blending vintage street vibe with modern oriental style.</t>
  </si>
  <si>
    <t>{"choices":[{"finish_reason":"stop","index":0,"logprobs":null,"message":{"annotations":[],"content":"Nike, Shoes, kakobuy, kakebuy2026, kekobuysheet, kakobuysheet2026, 2026kakobuy, kakobuyspreadsheeet, kakobuylink, kakebuylist, Kakobuy MEGA Spreadsheet, kakobuysheetfind, kakobuysheetfind2026, 2026kakobuysheetfind, kakobuysheet2026","refusal":null,"role":"assistant"}}],"created":1776416970,"id":"chatcmpl-DVZUYWxasQl10IKU07bBRWtyYzVc2","model":"gpt-5-chat-latest","object":"chat.completion","service_tier":"default","system_fingerprint":"fp_ad66631dec","usage":{"completion_tokens":90,"completion_tokens_details":{"accepted_prediction_tokens":0,"audio_tokens":0,"reasoning_tokens":0,"rejected_prediction_tokens":0},"prompt_tokens":782,"prompt_tokens_details":{"audio_tokens":0,"cached_tokens":0},"total_tokens":872}}</t>
  </si>
  <si>
    <t>Nike Dunk Low, Leather, Rubber Sole, Vintage, Streetwear, Unisex</t>
  </si>
  <si>
    <t>recvh0B9A7Aa0B</t>
  </si>
  <si>
    <t>nike-dunk-low-retro-red-white-dragon-recvh0b9a7aa0b</t>
  </si>
  <si>
    <t>{"choices":[{"finish_reason":"stop","index":0,"logprobs":null,"message":{"annotations":[],"content":"Nike：Dunk Low Retro 红白配色休闲滑板鞋，甄选优质皮革材质，鞋侧龙纹图腾设计彰显东方格调，低帮剪裁搭配透气鞋面与耐磨橡胶底，男女同款，复古街头风格融合现代设计，展现独特时尚品味。","refusal":null,"role":"assistant"}}],"created":1776412113,"id":"chatcmpl-DVYEDtl7FIeulO3ACQiLMdYMEPyXZ","model":"gpt-5-chat-latest","object":"chat.completion","service_tier":"default","system_fingerprint":"fp_ad66631dec","usage":{"completion_tokens":81,"completion_tokens_details":{"accepted_prediction_tokens":0,"audio_tokens":0,"reasoning_tokens":0,"rejected_prediction_tokens":0},"prompt_tokens":1306,"prompt_tokens_details":{"audio_tokens":0,"cached_tokens":0},"total_tokens":1387}}</t>
  </si>
  <si>
    <t>Nike：Dunk Low Retro 红白配色休闲滑板鞋，甄选优质皮革材质，鞋侧龙纹图腾设计彰显东方格调，低帮剪裁搭配透气鞋面与耐磨橡胶底，男女同款，复古街头风格融合现代设计，展现独特时尚品味。</t>
  </si>
  <si>
    <t>{"choices":[{"finish_reason":"stop","index":0,"logprobs":null,"message":{"annotations":[],"content":"Air Jordan x Travis Scott Low Brown White Sneakers","refusal":null,"role":"assistant"}}],"created":1776416044,"id":"chatcmpl-DVZFc2Di5SKX0SuJNoOabvAehPSlh","model":"gpt-5-chat-latest","object":"chat.completion","service_tier":"default","system_fingerprint":"fp_ad66631dec","usage":{"completion_tokens":10,"completion_tokens_details":{"accepted_prediction_tokens":0,"audio_tokens":0,"reasoning_tokens":0,"rejected_prediction_tokens":0},"prompt_tokens":878,"prompt_tokens_details":{"audio_tokens":0,"cached_tokens":0},"total_tokens":888}}</t>
  </si>
  <si>
    <t>Air Jordan x Travis Scott Low Brown White Sneakers</t>
  </si>
  <si>
    <t>{"id":"chatcmpl-DVYtbIiydjOG88CM8yzcw2BKyKVnQ","object":"chat.completion","created":1776414679,"model":"gpt-5-chat-latest","choices":[{"index":0,"message":{"role":"assistant","content":"Air Jordan x Travis Scott Low Sneakers in caramel brown and white, premium leather with reverse Swoosh, cushioned rubber sole, unisex street style blending retro vibes with basketball culture.","refusal":null,"annotations":[]},"logprobs":null,"finish_reason":"stop"}],"usage":{"prompt_tokens":912,"completion_tokens":38,"total_tokens":950,"prompt_tokens_details":{"cached_tokens":0,"audio_tokens":0},"completion_tokens_details":{"reasoning_tokens":0,"audio_tokens":0,"accepted_prediction_tokens":0,"rejected_prediction_tokens":0}},"service_tier":"default","system_fingerprint":"fp_ad66631dec"}</t>
  </si>
  <si>
    <t>Air Jordan x Travis Scott Low Sneakers in caramel brown and white, premium leather with reverse Swoosh, cushioned rubber sole, unisex street style blending retro vibes with basketball culture.</t>
  </si>
  <si>
    <t>{"choices":[{"finish_reason":"stop","index":0,"logprobs":null,"message":{"annotations":[],"content":"Air Jordan, Shoes, kakobuy, kakebuy2026, kekobuysheet, kakobuysheet2026, 2026kakobuy, kakobuyspreadsheeet, kakobuylink, kakebuylist, Kakobuy MEGA Spreadsheet, kakobuysheetfind, kakobuysheetfind2026, 2026kakobuysheetfind, kakobuysheet2026","refusal":null,"role":"assistant"}}],"created":1776416758,"id":"chatcmpl-DVZR8AziH7bLPFAGFTgorCG6wzwmJ","model":"gpt-5-chat-latest","object":"chat.completion","service_tier":"default","system_fingerprint":"fp_ad66631dec","usage":{"completion_tokens":91,"completion_tokens_details":{"accepted_prediction_tokens":0,"audio_tokens":0,"reasoning_tokens":0,"rejected_prediction_tokens":0},"prompt_tokens":783,"prompt_tokens_details":{"audio_tokens":0,"cached_tokens":0},"total_tokens":874}}</t>
  </si>
  <si>
    <t>Air Jordan, Shoes, kakobuy, kakebuy2026, kekobuysheet, kakobuysheet2026, 2026kakobuy, kakobuyspreadsheeet, kakobuylink, kakebuylist, Kakobuy MEGA Spreadsheet, kakobuysheetfind, kakobuysheetfind2026, 2026kakobuysheetfind, kakobuysheet2026</t>
  </si>
  <si>
    <t>AIR JORDAN, Leather Sneakers, White, Unisex, Streetwear</t>
  </si>
  <si>
    <t>recvh0B9A7poi0</t>
  </si>
  <si>
    <t>air-jordan-travis-scott-low-brown-white-recvh0b9a7poi0</t>
  </si>
  <si>
    <t>{"choices":[{"finish_reason":"stop","index":0,"logprobs":null,"message":{"annotations":[],"content":"Air Jordan：Travis Scott联名低帮运动鞋，焦糖棕白配色，优选头层皮革拼接设计，侧置反钩标志彰显个性街头风，柔软橡胶鞋底舒适减震，男女皆宜，融合潮流与篮球文化，复古又时尚。","refusal":null,"role":"assistant"}}],"created":1776412076,"id":"chatcmpl-DVYDcPjKJfAwrUJC6ggFqGuAvCCEX","model":"gpt-5-chat-latest","object":"chat.completion","service_tier":"default","system_fingerprint":"fp_ad66631dec","usage":{"completion_tokens":76,"completion_tokens_details":{"accepted_prediction_tokens":0,"audio_tokens":0,"reasoning_tokens":0,"rejected_prediction_tokens":0},"prompt_tokens":1304,"prompt_tokens_details":{"audio_tokens":0,"cached_tokens":0},"total_tokens":1380}}</t>
  </si>
  <si>
    <t>Air Jordan：Travis Scott联名低帮运动鞋，焦糖棕白配色，优选头层皮革拼接设计，侧置反钩标志彰显个性街头风，柔软橡胶鞋底舒适减震，男女皆宜，融合潮流与篮球文化，复古又时尚。</t>
  </si>
  <si>
    <t>{"choices":[{"finish_reason":"stop","index":0,"logprobs":null,"message":{"annotations":[],"content":"Nike Air Force 1 ’07 White Purple Red Low Sneakers","refusal":null,"role":"assistant"}}],"created":1776416304,"id":"chatcmpl-DVZJo57iX3HvdSKOo6oqVy1Ocwc0x","model":"gpt-5-chat-latest","object":"chat.completion","service_tier":"default","system_fingerprint":"fp_ad66631dec","usage":{"completion_tokens":13,"completion_tokens_details":{"accepted_prediction_tokens":0,"audio_tokens":0,"reasoning_tokens":0,"rejected_prediction_tokens":0},"prompt_tokens":885,"prompt_tokens_details":{"audio_tokens":0,"cached_tokens":0},"total_tokens":898}}</t>
  </si>
  <si>
    <t>Nike Air Force 1 ’07 White Purple Red Low Sneakers</t>
  </si>
  <si>
    <t>{"choices":[{"finish_reason":"stop","index":0,"logprobs":null,"message":{"annotations":[],"content":"Nike Air Force 1 ’07 White Purple Low Sneakers, premium leather with textured woven Swoosh, red heel accents, classic Air cushioned sole for comfort, trendy street style for men and women.","refusal":null,"role":"assistant"}}],"created":1776415336,"id":"chatcmpl-DVZ4C1FWUSwlpnyJpVP0Y3geSJdF0","model":"gpt-5-chat-latest","object":"chat.completion","service_tier":"default","system_fingerprint":"fp_ad66631dec","usage":{"completion_tokens":42,"completion_tokens_details":{"accepted_prediction_tokens":0,"audio_tokens":0,"reasoning_tokens":0,"rejected_prediction_tokens":0},"prompt_tokens":896,"prompt_tokens_details":{"audio_tokens":0,"cached_tokens":0},"total_tokens":938}}</t>
  </si>
  <si>
    <t>Nike Air Force 1 ’07 White Purple Low Sneakers, premium leather with textured woven Swoosh, red heel accents, classic Air cushioned sole for comfort, trendy street style for men and women.</t>
  </si>
  <si>
    <t>{"id":"chatcmpl-DVZZJHFS0WeTY3olQIdAue9zy3ENo","object":"chat.completion","created":1776417265,"model":"gpt-5-chat-latest","choices":[{"index":0,"message":{"role":"assistant","content":"Nike,Shoes,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86,"total_tokens":868,"prompt_tokens_details":{"cached_tokens":0,"audio_tokens":0},"completion_tokens_details":{"reasoning_tokens":0,"audio_tokens":0,"accepted_prediction_tokens":0,"rejected_prediction_tokens":0}},"service_tier":"default","system_fingerprint":"fp_ad66631dec"}</t>
  </si>
  <si>
    <t>Nike,Shoes,kakobuy,kakebuy2026,kekobuysheet,kakobuysheet2026,2026kakobuy,kakobuyspreadsheeet,kakobuylink,kakebuylist,Kakobuy MEGA Spreadsheet,kakobuysheetfind,kakobuysheetfind2026,2026kakobuysheetfind,kakobuysheet2026</t>
  </si>
  <si>
    <t>Nike, AF1, 07, Leather, Streetwear, Unisex</t>
  </si>
  <si>
    <t>recvh0B9A7Tb5m</t>
  </si>
  <si>
    <t>nike-air-force-1-07-white-purple-red-recvh0b9a7tb5m</t>
  </si>
  <si>
    <t>{"choices":[{"finish_reason":"stop","index":0,"logprobs":null,"message":{"annotations":[],"content":"Nike：Air Force 1’07 白紫撞色低帮板鞋，头层牛皮拼接织纹Swoosh，后跟红色点缀设计，经典气垫大底缓震舒适，街头潮流风格，男女皆宜。","refusal":null,"role":"assistant"}}],"created":1776412125,"id":"chatcmpl-DVYEPaPCg1vqnWXNmFoUFT5vkZL7y","model":"gpt-5-chat-latest","object":"chat.completion","service_tier":"default","system_fingerprint":"fp_ad66631dec","usage":{"completion_tokens":61,"completion_tokens_details":{"accepted_prediction_tokens":0,"audio_tokens":0,"reasoning_tokens":0,"rejected_prediction_tokens":0},"prompt_tokens":1302,"prompt_tokens_details":{"audio_tokens":0,"cached_tokens":0},"total_tokens":1363}}</t>
  </si>
  <si>
    <t>Nike：Air Force 1’07 白紫撞色低帮板鞋，头层牛皮拼接织纹Swoosh，后跟红色点缀设计，经典气垫大底缓震舒适，街头潮流风格，男女皆宜。</t>
  </si>
  <si>
    <t>{"id":"chatcmpl-DVZErjzqibCKQDTeopyUbAyvZRSow","object":"chat.completion","created":1776415997,"model":"gpt-5-chat-latest","choices":[{"index":0,"message":{"role":"assistant","content":"Nike Air Jordan 1 Low OG Red White Sneakers","refusal":null,"annotations":[]},"logprobs":null,"finish_reason":"stop"}],"usage":{"prompt_tokens":881,"completion_tokens":11,"total_tokens":892,"prompt_tokens_details":{"cached_tokens":0,"audio_tokens":0},"completion_tokens_details":{"reasoning_tokens":0,"audio_tokens":0,"accepted_prediction_tokens":0,"rejected_prediction_tokens":0}},"service_tier":"default","system_fingerprint":"fp_ad66631dec"}</t>
  </si>
  <si>
    <t>Nike Air Jordan 1 Low OG Red White Sneakers</t>
  </si>
  <si>
    <t>{"id":"chatcmpl-DVYyyhEMd4bluH3sqSznv9H2wKTKN","object":"chat.completion","created":1776415012,"model":"gpt-5-chat-latest","choices":[{"index":0,"message":{"role":"assistant","content":"Nike Air Jordan 1 Low OG Red White Sneakers, crafted from premium leather with breathable design, classic wing logo, low-cut silhouette for retro street style, unisex, blending fashion and performance.","refusal":null,"annotations":[]},"logprobs":null,"finish_reason":"stop"}],"usage":{"prompt_tokens":901,"completion_tokens":40,"total_tokens":941,"prompt_tokens_details":{"cached_tokens":0,"audio_tokens":0},"completion_tokens_details":{"reasoning_tokens":0,"audio_tokens":0,"accepted_prediction_tokens":0,"rejected_prediction_tokens":0}},"service_tier":"default","system_fingerprint":"fp_ad66631dec"}</t>
  </si>
  <si>
    <t>Nike Air Jordan 1 Low OG Red White Sneakers, crafted from premium leather with breathable design, classic wing logo, low-cut silhouette for retro street style, unisex, blending fashion and performance.</t>
  </si>
  <si>
    <t>{"choices":[{"finish_reason":"stop","index":0,"logprobs":null,"message":{"annotations":[],"content":"Nike, Shoes, kakobuy, kakebuy2026, kekobuysheet, kakobuysheet2026, 2026kakobuy, kakobuyspreadsheeet, kakobuylink, kakebuylist, Kakobuy MEGA Spreadsheet, kakobuysheetfind, kakobuysheetfind2026, 2026kakobuysheetfind, kakobuysheet2026","refusal":null,"role":"assistant"}}],"created":1776417143,"id":"chatcmpl-DVZXLhAcM3C9DdJEulxsXR75GAexJ","model":"gpt-5-chat-latest","object":"chat.completion","service_tier":"default","system_fingerprint":"fp_ad66631dec","usage":{"completion_tokens":90,"completion_tokens_details":{"accepted_prediction_tokens":0,"audio_tokens":0,"reasoning_tokens":0,"rejected_prediction_tokens":0},"prompt_tokens":782,"prompt_tokens_details":{"audio_tokens":0,"cached_tokens":0},"total_tokens":872}}</t>
  </si>
  <si>
    <t>AJ1 Low, Nike, Sneakers, Leather, Retro, Unisex</t>
  </si>
  <si>
    <t>recvh0B9A7d16g</t>
  </si>
  <si>
    <t>nike-air-jordan-1-low-og-red-white-recvh0b9a7d16g</t>
  </si>
  <si>
    <t>{"choices":[{"finish_reason":"stop","index":0,"logprobs":null,"message":{"annotations":[],"content":"Nike：Air Jordan 1 Low OG 红白配色休闲运动鞋，甄选优质皮革拼接材质，透气舒适，采用低帮设计搭配经典飞翼标识，彰显复古街头风格，男女同款，潮流与性能兼具。","refusal":null,"role":"assistant"}}],"created":1776412576,"id":"chatcmpl-DVYLgs6S212QTu7iQeH9V2gPqQ9h0","model":"gpt-5-chat-latest","object":"chat.completion","service_tier":"default","system_fingerprint":"fp_ad66631dec","usage":{"completion_tokens":67,"completion_tokens_details":{"accepted_prediction_tokens":0,"audio_tokens":0,"reasoning_tokens":0,"rejected_prediction_tokens":0},"prompt_tokens":1300,"prompt_tokens_details":{"audio_tokens":0,"cached_tokens":0},"total_tokens":1367}}</t>
  </si>
  <si>
    <t>Nike：Air Jordan 1 Low OG 红白配色休闲运动鞋，甄选优质皮革拼接材质，透气舒适，采用低帮设计搭配经典飞翼标识，彰显复古街头风格，男女同款，潮流与性能兼具。</t>
  </si>
  <si>
    <t>{"id":"chatcmpl-DVZK17a5pBBexmW94QuCCvNJHT7jh","object":"chat.completion","created":1776416317,"model":"gpt-5-chat-latest","choices":[{"index":0,"message":{"role":"assistant","content":"Nike Air Force 1 Dark Gray Floral Sneakers","refusal":null,"annotations":[]},"logprobs":null,"finish_reason":"stop"}],"usage":{"prompt_tokens":875,"completion_tokens":10,"total_tokens":885,"prompt_tokens_details":{"cached_tokens":0,"audio_tokens":0},"completion_tokens_details":{"reasoning_tokens":0,"audio_tokens":0,"accepted_prediction_tokens":0,"rejected_prediction_tokens":0}},"service_tier":"default","system_fingerprint":"fp_ad66631dec"}</t>
  </si>
  <si>
    <t>Nike Air Force 1 Dark Gray Floral Sneakers</t>
  </si>
  <si>
    <t>{"choices":[{"finish_reason":"stop","index":0,"logprobs":null,"message":{"annotations":[],"content":"Nike Air Force 1 dark gray sneakers with yellow floral totem design, classic low-top unisex style, cushioned comfort, perfect for streetwear fashion and everyday casual looks.","refusal":null,"role":"assistant"}}],"created":1776414890,"id":"chatcmpl-DVYx0ITuHwPm3Fs3F95x3OB1tiOCu","model":"gpt-5-chat-latest","object":"chat.completion","service_tier":"default","system_fingerprint":"fp_ad66631dec","usage":{"completion_tokens":37,"completion_tokens_details":{"accepted_prediction_tokens":0,"audio_tokens":0,"reasoning_tokens":0,"rejected_prediction_tokens":0},"prompt_tokens":882,"prompt_tokens_details":{"audio_tokens":0,"cached_tokens":0},"total_tokens":919}}</t>
  </si>
  <si>
    <t>Nike Air Force 1 dark gray sneakers with yellow floral totem design, classic low-top unisex style, cushioned comfort, perfect for streetwear fashion and everyday casual looks.</t>
  </si>
  <si>
    <t>{"id":"chatcmpl-DVZVvQivguPxh0ws2GNesK4fGZy1E","object":"chat.completion","created":1776417055,"model":"gpt-5-chat-latest","choices":[{"index":0,"message":{"role":"assistant","content":"Nike, Shoes, kakobuy, kakebuy2026, kekobuysheet, kakobuysheet2026, 2026kakobuy, kakobuyspreadsheeet, kakobuylink, kakebuylist, Kakobuy MEGA Spreadsheet, kakobuysheetfind, kakobuysheetfind2026, 2026kakobuysheetfind, kakobuysheet2026","refusal":null,"annotations":[]},"logprobs":null,"finish_reason":"stop"}],"usage":{"prompt_tokens":782,"completion_tokens":90,"total_tokens":872,"prompt_tokens_details":{"cached_tokens":0,"audio_tokens":0},"completion_tokens_details":{"reasoning_tokens":0,"audio_tokens":0,"accepted_prediction_tokens":0,"rejected_prediction_tokens":0}},"service_tier":"default","system_fingerprint":"fp_ad66631dec"}</t>
  </si>
  <si>
    <t>Nike, AF1, Dark Grey, Yellow, Casual Sneakers, Streetwear</t>
  </si>
  <si>
    <t>recvh0B9A7zlMB</t>
  </si>
  <si>
    <t>nike-air-force-1-dark-gray-floral-recvh0b9a7zlmb</t>
  </si>
  <si>
    <t>{"choices":[{"finish_reason":"stop","index":0,"logprobs":null,"message":{"annotations":[],"content":"Nike：Air Force 1 深灰配黄花图腾皮革休闲运动鞋，经典百搭低帮设计，男女通用款，舒适减震，展现街头潮流时尚质感。","refusal":null,"role":"assistant"}}],"created":1776412477,"id":"chatcmpl-DVYK55phm0cEddZa0WFfrndCP50OJ","model":"gpt-5-chat-latest","object":"chat.completion","service_tier":"default","system_fingerprint":"fp_ad66631dec","usage":{"completion_tokens":49,"completion_tokens_details":{"accepted_prediction_tokens":0,"audio_tokens":0,"reasoning_tokens":0,"rejected_prediction_tokens":0},"prompt_tokens":1298,"prompt_tokens_details":{"audio_tokens":0,"cached_tokens":0},"total_tokens":1347}}</t>
  </si>
  <si>
    <t>Nike：Air Force 1 深灰配黄花图腾皮革休闲运动鞋，经典百搭低帮设计，男女通用款，舒适减震，展现街头潮流时尚质感。</t>
  </si>
  <si>
    <t>{"choices":[{"finish_reason":"stop","index":0,"logprobs":null,"message":{"annotations":[],"content":"Nike SB Dunk Low Pink Red Skate Shoes","refusal":null,"role":"assistant"}}],"created":1776416248,"id":"chatcmpl-DVZIuLHwbjB0J3wyouSVgIoCu813a","model":"gpt-5-chat-latest","object":"chat.completion","service_tier":"default","system_fingerprint":"fp_ad66631dec","usage":{"completion_tokens":9,"completion_tokens_details":{"accepted_prediction_tokens":0,"audio_tokens":0,"reasoning_tokens":0,"rejected_prediction_tokens":0},"prompt_tokens":875,"prompt_tokens_details":{"audio_tokens":0,"cached_tokens":0},"total_tokens":884}}</t>
  </si>
  <si>
    <t>Nike SB Dunk Low Pink Red Skate Shoes</t>
  </si>
  <si>
    <t>{"choices":[{"finish_reason":"stop","index":0,"logprobs":null,"message":{"annotations":[],"content":"Nike SB Dunk Low Pro Pink Red Skate Shoes, featuring suede and velvet blend for soft comfort, classic low-top design for men and women, vintage street style showcasing youthful trendy vibes.","refusal":null,"role":"assistant"}}],"created":1776415195,"id":"chatcmpl-DVZ1vwiPGLWLkcRBHIwDkVYC6iGqv","model":"gpt-5-chat-latest","object":"chat.completion","service_tier":"default","system_fingerprint":"fp_ad66631dec","usage":{"completion_tokens":37,"completion_tokens_details":{"accepted_prediction_tokens":0,"audio_tokens":0,"reasoning_tokens":0,"rejected_prediction_tokens":0},"prompt_tokens":894,"prompt_tokens_details":{"audio_tokens":0,"cached_tokens":0},"total_tokens":931}}</t>
  </si>
  <si>
    <t>Nike SB Dunk Low Pro Pink Red Skate Shoes, featuring suede and velvet blend for soft comfort, classic low-top design for men and women, vintage street style showcasing youthful trendy vibes.</t>
  </si>
  <si>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Nike, Shoes, kakobuy, kakebuy2026, kekobuysheet, kakobuysheet2026, 2026kakobuy, kakobuyspreadsheeet, kakobuylink, kakebuylist, Kakobuy MEGA Spreadsheet, kakobuysheetfind, kakobuysheetfind2026, 2026kakobuysheetfind, kakobuysheet2026","refusal":null,"role":"assistant"}}],"created":1776417290,"id":"chatcmpl-DVZZizCliVbqGxpFV5af5CtbKxeHh","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ad66631dec","usage":{"completion_tokens":90,"completion_tokens_details":{"accepted_prediction_tokens":0,"audio_tokens":0,"reasoning_tokens":0,"rejected_prediction_tokens":0},"prompt_tokens":782,"prompt_tokens_details":{"audio_tokens":0,"cached_tokens":0},"total_tokens":872}}</t>
  </si>
  <si>
    <t>Nike SB, Nike Dunk Low, Suede, Velvet, Vintage, Streetwear</t>
  </si>
  <si>
    <t>recvh0B9A7qP7e</t>
  </si>
  <si>
    <t>nike-sb-dunk-low-pink-red-recvh0b9a7qp7e</t>
  </si>
  <si>
    <t>{"choices":[{"finish_reason":"stop","index":0,"logprobs":null,"message":{"annotations":[],"content":"Nike：SB Dunk Low Pro 粉红红配色滑板鞋，绒面与天鹅绒拼接材质，柔软舒适，经典低帮设计，男女皆宜，复古街头风格，彰显青春潮流个性。","refusal":null,"role":"assistant"}}],"created":1776411956,"id":"chatcmpl-DVYBg9EuOiLmKpfAwtTCkvH6zMKYx","model":"gpt-5-chat-latest","object":"chat.completion","service_tier":"default","system_fingerprint":"fp_ad66631dec","usage":{"completion_tokens":59,"completion_tokens_details":{"accepted_prediction_tokens":0,"audio_tokens":0,"reasoning_tokens":0,"rejected_prediction_tokens":0},"prompt_tokens":1302,"prompt_tokens_details":{"audio_tokens":0,"cached_tokens":0},"total_tokens":1361}}</t>
  </si>
  <si>
    <t>Nike：SB Dunk Low Pro 粉红红配色滑板鞋，绒面与天鹅绒拼接材质，柔软舒适，经典低帮设计，男女皆宜，复古街头风格，彰显青春潮流个性。</t>
  </si>
  <si>
    <t>440</t>
  </si>
  <si>
    <t>{"choices":[{"finish_reason":"stop","index":0,"logprobs":null,"message":{"annotations":[],"content":"Nike Air Jordan 1 Low OG SP Off White Gray Shoes","refusal":null,"role":"assistant"}}],"created":1776416060,"id":"chatcmpl-DVZFs5OccOdu9BPRlplCQXlCTY9Rg","model":"gpt-5-chat-latest","object":"chat.completion","service_tier":"default","system_fingerprint":"fp_ad66631dec","usage":{"completion_tokens":13,"completion_tokens_details":{"accepted_prediction_tokens":0,"audio_tokens":0,"reasoning_tokens":0,"rejected_prediction_tokens":0},"prompt_tokens":887,"prompt_tokens_details":{"audio_tokens":0,"cached_tokens":0},"total_tokens":900}}</t>
  </si>
  <si>
    <t>Nike Air Jordan 1 Low OG SP Off White Gray Shoes</t>
  </si>
  <si>
    <t>{"id":"chatcmpl-DVZ3uZZWiuMC5dZuuZqTAerha8SAi","object":"chat.completion","created":1776415318,"model":"gpt-5-chat-latest","choices":[{"index":0,"message":{"role":"assistant","content":"Nike Air Jordan 1 Low OG SP in off-white gray, crafted from premium leather with a giant reverse Swoosh and street-style graphic prints, blending retro basketball vibes and modern fashion for men and women.","refusal":null,"annotations":[]},"logprobs":null,"finish_reason":"stop"}],"usage":{"prompt_tokens":904,"completion_tokens":43,"total_tokens":947,"prompt_tokens_details":{"cached_tokens":0,"audio_tokens":0},"completion_tokens_details":{"reasoning_tokens":0,"audio_tokens":0,"accepted_prediction_tokens":0,"rejected_prediction_tokens":0}},"service_tier":"default","system_fingerprint":"fp_ad66631dec"}</t>
  </si>
  <si>
    <t>Nike Air Jordan 1 Low OG SP in off-white gray, crafted from premium leather with a giant reverse Swoosh and street-style graphic prints, blending retro basketball vibes and modern fashion for men and women.</t>
  </si>
  <si>
    <t>{"choices":[{"finish_reason":"stop","index":0,"logprobs":null,"message":{"annotations":[],"content":"Nike, Shoes, kakobuy, kakebuy2026, kekobuysheet, kakobuysheet2026, 2026kakobuy, kakobuyspreadsheeet, kakobuylink, kakebuylist, Kakobuy MEGA Spreadsheet, kakobuysheetfind, kakobuysheetfind2026, 2026kakobuysheetfind, kakobuysheet2026","refusal":null,"role":"assistant"}}],"created":1776417403,"id":"chatcmpl-DVZbXAvf6o2j9zrIm5XLbz18nHFIU","model":"gpt-5-chat-latest","object":"chat.completion","service_tier":"default","system_fingerprint":"fp_ad66631dec","usage":{"completion_tokens":90,"completion_tokens_details":{"accepted_prediction_tokens":0,"audio_tokens":0,"reasoning_tokens":0,"rejected_prediction_tokens":0},"prompt_tokens":782,"prompt_tokens_details":{"audio_tokens":0,"cached_tokens":0},"total_tokens":872}}</t>
  </si>
  <si>
    <t>AJ1 Low, Nike, Leather, Streetwear, Retro, Men's And Women's</t>
  </si>
  <si>
    <t>recvh0B9A7ufhX</t>
  </si>
  <si>
    <t>nike-air-jordan-1-low-og-sp-off-white-gray-recvh0b9a7ufhx</t>
  </si>
  <si>
    <t>{"id":"chatcmpl-DVYILm4VuuqBI5vREfLzdk7MX4uhI","object":"chat.completion","created":1776412369,"model":"gpt-5-chat-latest","choices":[{"index":0,"message":{"role":"assistant","content":"Nike：Air Jordan 1 Low OG SP 米白灰配色，优质头层皮革打造，侧身巨型反钩印有独特街头印花图腾，结合休闲与篮球基因，男女皆宜，复古潮流设计彰显个性时尚态度。","refusal":null,"annotations":[]},"logprobs":null,"finish_reason":"stop"}],"usage":{"prompt_tokens":1304,"completion_tokens":68,"total_tokens":1372,"prompt_tokens_details":{"cached_tokens":0,"audio_tokens":0},"completion_tokens_details":{"reasoning_tokens":0,"audio_tokens":0,"accepted_prediction_tokens":0,"rejected_prediction_tokens":0}},"service_tier":"default","system_fingerprint":"fp_ad66631dec"}</t>
  </si>
  <si>
    <t>Nike：Air Jordan 1 Low OG SP 米白灰配色，优质头层皮革打造，侧身巨型反钩印有独特街头印花图腾，结合休闲与篮球基因，男女皆宜，复古潮流设计彰显个性时尚态度。</t>
  </si>
  <si>
    <t>{"id":"chatcmpl-DVZJdKR3oWYv4ZYgun3JDJSVeICJQ","object":"chat.completion","created":1776416293,"model":"gpt-5-chat-latest","choices":[{"index":0,"message":{"role":"assistant","content":"Nike Dunk Low White Black Leather Sneakers","refusal":null,"annotations":[]},"logprobs":null,"finish_reason":"stop"}],"usage":{"prompt_tokens":881,"completion_tokens":8,"total_tokens":889,"prompt_tokens_details":{"cached_tokens":0,"audio_tokens":0},"completion_tokens_details":{"reasoning_tokens":0,"audio_tokens":0,"accepted_prediction_tokens":0,"rejected_prediction_tokens":0}},"service_tier":"default","system_fingerprint":"fp_ad66631dec"}</t>
  </si>
  <si>
    <t>Nike Dunk Low White Black Leather Sneakers</t>
  </si>
  <si>
    <t>{"id":"chatcmpl-DVYtpC4GU7n0ws85Wpsx1DyLKMJYz","object":"chat.completion","created":1776414693,"model":"gpt-5-chat-latest","choices":[{"index":0,"message":{"role":"assistant","content":"Nike Dunk Low white black sneakers, crafted from premium leather with a classic low-top design. Iconic patterns, unisex fit, perfect for skateboarding or street style with comfort and modern fashion.","refusal":null,"annotations":[]},"logprobs":null,"finish_reason":"stop"}],"usage":{"prompt_tokens":899,"completion_tokens":40,"total_tokens":939,"prompt_tokens_details":{"cached_tokens":0,"audio_tokens":0},"completion_tokens_details":{"reasoning_tokens":0,"audio_tokens":0,"accepted_prediction_tokens":0,"rejected_prediction_tokens":0}},"service_tier":"default","system_fingerprint":"fp_ad66631dec"}</t>
  </si>
  <si>
    <t>Nike Dunk Low white black sneakers, crafted from premium leather with a classic low-top design. Iconic patterns, unisex fit, perfect for skateboarding or street style with comfort and modern fashion.</t>
  </si>
  <si>
    <t>{"id":"chatcmpl-DVZTc7vXjI2IsLEzCKginKHdQglQR","object":"chat.completion","created":1776416912,"model":"gpt-5-chat-latest","choices":[{"index":0,"message":{"role":"assistant","content":"Nike, Shoes, kakobuy, kakebuy2026, kekobuysheet, kakobuysheet2026, 2026kakobuy, kakobuyspreadsheeet, kakobuylink, kakebuylist, Kakobuy MEGA Spreadsheet, kakobuysheetfind, kakobuysheetfind2026, 2026kakobuysheetfind, kakobuysheet2026","refusal":null,"annotations":[]},"logprobs":null,"finish_reason":"stop"}],"usage":{"prompt_tokens":782,"completion_tokens":90,"total_tokens":872,"prompt_tokens_details":{"cached_tokens":0,"audio_tokens":0},"completion_tokens_details":{"reasoning_tokens":0,"audio_tokens":0,"accepted_prediction_tokens":0,"rejected_prediction_tokens":0}},"service_tier":"default","system_fingerprint":"fp_ad66631dec"}</t>
  </si>
  <si>
    <t>Nike Dunk Low, Leather, Classic, Unisex, Skate Shoes, Streetwear</t>
  </si>
  <si>
    <t>recvh0B9A7n9Qf</t>
  </si>
  <si>
    <t>nike-dunk-low-white-black-recvh0b9a7n9qf</t>
  </si>
  <si>
    <t>{"choices":[{"finish_reason":"stop","index":0,"logprobs":null,"message":{"annotations":[],"content":"Nike：Dunk Low 白黑配色休闲滑板鞋，精选头层真皮材质，经典低帮设计搭配标志性印花图腾，整体简约高级，男女通用款，兼具舒适与潮流，展现街头时尚态度。","refusal":null,"role":"assistant"}}],"created":1776412470,"id":"chatcmpl-DVYJyg97ePFy8C7ddDMslhW4OceUf","model":"gpt-5-chat-latest","object":"chat.completion","service_tier":"default","system_fingerprint":"fp_ad66631dec","usage":{"completion_tokens":65,"completion_tokens_details":{"accepted_prediction_tokens":0,"audio_tokens":0,"reasoning_tokens":0,"rejected_prediction_tokens":0},"prompt_tokens":1300,"prompt_tokens_details":{"audio_tokens":0,"cached_tokens":0},"total_tokens":1365}}</t>
  </si>
  <si>
    <t>Nike：Dunk Low 白黑配色休闲滑板鞋，精选头层真皮材质，经典低帮设计搭配标志性印花图腾，整体简约高级，男女通用款，兼具舒适与潮流，展现街头时尚态度。</t>
  </si>
  <si>
    <t>580</t>
  </si>
  <si>
    <t>{"choices":[{"finish_reason":"stop","index":0,"logprobs":null,"message":{"annotations":[],"content":"Nike SB Dunk Low Pro Brown White 194 Sneakers","refusal":null,"role":"assistant"}}],"created":1776415908,"id":"chatcmpl-DVZDQJWnSiOyRzFc2MSHnCBtt5riP","model":"gpt-5-chat-latest","object":"chat.completion","service_tier":"default","system_fingerprint":"fp_ad66631dec","usage":{"completion_tokens":11,"completion_tokens_details":{"accepted_prediction_tokens":0,"audio_tokens":0,"reasoning_tokens":0,"rejected_prediction_tokens":0},"prompt_tokens":887,"prompt_tokens_details":{"audio_tokens":0,"cached_tokens":0},"total_tokens":898}}</t>
  </si>
  <si>
    <t>Nike SB Dunk Low Pro Brown White 194 Sneakers</t>
  </si>
  <si>
    <t>{"choices":[{"finish_reason":"stop","index":0,"logprobs":null,"message":{"annotations":[],"content":"Nike SB Dunk Low Pro brown white leather sneakers feature premium materials, street-retro low-top design, iconic Swoosh and “194” print, cushioned sole for comfort, perfect for men and women.","refusal":null,"role":"assistant"}}],"created":1776415384,"id":"chatcmpl-DVZ4y3tfgCuqc8lWFTcuSuQKlLqfc","model":"gpt-5-chat-latest","object":"chat.completion","service_tier":"default","system_fingerprint":"fp_ad66631dec","usage":{"completion_tokens":43,"completion_tokens_details":{"accepted_prediction_tokens":0,"audio_tokens":0,"reasoning_tokens":0,"rejected_prediction_tokens":0},"prompt_tokens":912,"prompt_tokens_details":{"audio_tokens":0,"cached_tokens":0},"total_tokens":955}}</t>
  </si>
  <si>
    <t>Nike SB Dunk Low Pro brown white leather sneakers feature premium materials, street-retro low-top design, iconic Swoosh and “194” print, cushioned sole for comfort, perfect for men and women.</t>
  </si>
  <si>
    <t>{"choices":[{"finish_reason":"stop","index":0,"logprobs":null,"message":{"annotations":[],"content":"Nike, Shoes, kakobuy, kakebuy2026, kekobuysheet, kakobuysheet2026, 2026kakobuy, kakobuyspreadsheeet, kakobuylink, kakebuylist, Kakobuy MEGA Spreadsheet, kakobuysheetfind, kakobuysheetfind2026, 2026kakobuysheetfind, kakobuysheet2026","refusal":null,"role":"assistant"}}],"created":1776416795,"id":"chatcmpl-DVZRj89p5jjjKPgfk1yQ1rNjHQKTh","model":"gpt-5-chat-latest","object":"chat.completion","service_tier":"default","system_fingerprint":"fp_ad66631dec","usage":{"completion_tokens":90,"completion_tokens_details":{"accepted_prediction_tokens":0,"audio_tokens":0,"reasoning_tokens":0,"rejected_prediction_tokens":0},"prompt_tokens":782,"prompt_tokens_details":{"audio_tokens":0,"cached_tokens":0},"total_tokens":872}}</t>
  </si>
  <si>
    <t>Nike, Nike Dunk Low, Nike SB, Leather Sneakers, Retro, Unisex</t>
  </si>
  <si>
    <t>recvh0B9A7laKV</t>
  </si>
  <si>
    <t>nike-sb-dunk-low-pro-brown-white-194-recvh0b9a7lakv</t>
  </si>
  <si>
    <t>{"id":"chatcmpl-DVYKtjcVRtD0xRwPfgWMi9NPm7jmo","object":"chat.completion","created":1776412527,"model":"gpt-5-chat-latest","choices":[{"index":0,"message":{"role":"assistant","content":"Nike：SB Dunk Low Pro 棕白拼色滑板鞋，精选优质皮革材质打造，低帮设计融合街头复古风格，侧面“Swoosh”标志与“194”印花彰显独特个性，缓震鞋底提升舒适度，男女皆宜，休闲与运动兼具。","refusal":null,"annotations":[]},"logprobs":null,"finish_reason":"stop"}],"usage":{"prompt_tokens":1302,"completion_tokens":77,"total_tokens":1379,"prompt_tokens_details":{"cached_tokens":0,"audio_tokens":0},"completion_tokens_details":{"reasoning_tokens":0,"audio_tokens":0,"accepted_prediction_tokens":0,"rejected_prediction_tokens":0}},"service_tier":"default","system_fingerprint":"fp_ad66631dec"}</t>
  </si>
  <si>
    <t>Nike：SB Dunk Low Pro 棕白拼色滑板鞋，精选优质皮革材质打造，低帮设计融合街头复古风格，侧面“Swoosh”标志与“194”印花彰显独特个性，缓震鞋底提升舒适度，男女皆宜，休闲与运动兼具。</t>
  </si>
  <si>
    <t>{"choices":[{"finish_reason":"stop","index":0,"logprobs":null,"message":{"annotations":[],"content":"Nike Dunk Low Pink White Red Skate Shoes","refusal":null,"role":"assistant"}}],"created":1776416388,"id":"chatcmpl-DVZLA4DENhHUFBhPn0KDcHGOrmvsc","model":"gpt-5-chat-latest","object":"chat.completion","service_tier":"default","system_fingerprint":"fp_ad66631dec","usage":{"completion_tokens":9,"completion_tokens_details":{"accepted_prediction_tokens":0,"audio_tokens":0,"reasoning_tokens":0,"rejected_prediction_tokens":0},"prompt_tokens":887,"prompt_tokens_details":{"audio_tokens":0,"cached_tokens":0},"total_tokens":896}}</t>
  </si>
  <si>
    <t>Nike Dunk Low Pink White Red Skate Shoes</t>
  </si>
  <si>
    <t>{"choices":[{"finish_reason":"stop","index":0,"logprobs":null,"message":{"annotations":[],"content":"Nike Dunk Low pink and white skate shoes with premium leather and suede mix, red Swoosh, low-cut fit, unisex street-style vibe, blending retro charm and modern skate culture for any casual look.","refusal":null,"role":"assistant"}}],"created":1776415302,"id":"chatcmpl-DVZ3eTgLTpHxFY1Ydr62fcEv7IGx7","model":"gpt-5-chat-latest","object":"chat.completion","service_tier":"default","system_fingerprint":"fp_ad66631dec","usage":{"completion_tokens":43,"completion_tokens_details":{"accepted_prediction_tokens":0,"audio_tokens":0,"reasoning_tokens":0,"rejected_prediction_tokens":0},"prompt_tokens":916,"prompt_tokens_details":{"audio_tokens":0,"cached_tokens":0},"total_tokens":959}}</t>
  </si>
  <si>
    <t>Nike Dunk Low pink and white skate shoes with premium leather and suede mix, red Swoosh, low-cut fit, unisex street-style vibe, blending retro charm and modern skate culture for any casual look.</t>
  </si>
  <si>
    <t>{"choices":[{"finish_reason":"stop","index":0,"logprobs":null,"message":{"annotations":[],"content":"Nike, Shoes, kakobuy, kakebuy2026, kekobuysheet, kakobuysheet2026, 2026kakobuy, kakobuyspreadsheeet, kakobuylink, kakebuylist, Kakobuy MEGA Spreadsheet, kakobuysheetfind, kakobuysheetfind2026, 2026kakobuysheetfind, kakobuysheet2026","refusal":null,"role":"assistant"}}],"created":1776417123,"id":"chatcmpl-DVZX1oWw2NaRhlVqYsHLX6yQav9Ms","model":"gpt-5-chat-latest","object":"chat.completion","service_tier":"default","system_fingerprint":"fp_ad66631dec","usage":{"completion_tokens":90,"completion_tokens_details":{"accepted_prediction_tokens":0,"audio_tokens":0,"reasoning_tokens":0,"rejected_prediction_tokens":0},"prompt_tokens":782,"prompt_tokens_details":{"audio_tokens":0,"cached_tokens":0},"total_tokens":872}}</t>
  </si>
  <si>
    <t>Nike Dunk Low, Pink, White, Leather, Suede, Unisex</t>
  </si>
  <si>
    <t>recvh0B9A7scv7</t>
  </si>
  <si>
    <t>nike-dunk-low-pink-white-red-recvh0b9a7scv7</t>
  </si>
  <si>
    <t>{"choices":[{"finish_reason":"stop","index":0,"logprobs":null,"message":{"annotations":[],"content":"Nike：Dunk Low 粉白配色滑板运动鞋，优质皮革与绒面革拼接设计，红色Swoosh标识彰显街头潮流气质，低帮造型舒适贴合，时尚中性款，兼具复古与现代滑板文化风格，休闲出行百搭之选。","refusal":null,"role":"assistant"}}],"created":1776412259,"id":"chatcmpl-DVYGZVZtrRF6f7sr6WUhR7cpSUUJ7","model":"gpt-5-chat-latest","object":"chat.completion","service_tier":"default","system_fingerprint":"fp_ad66631dec","usage":{"completion_tokens":81,"completion_tokens_details":{"accepted_prediction_tokens":0,"audio_tokens":0,"reasoning_tokens":0,"rejected_prediction_tokens":0},"prompt_tokens":1302,"prompt_tokens_details":{"audio_tokens":0,"cached_tokens":0},"total_tokens":1383}}</t>
  </si>
  <si>
    <t>Nike：Dunk Low 粉白配色滑板运动鞋，优质皮革与绒面革拼接设计，红色Swoosh标识彰显街头潮流气质，低帮造型舒适贴合，时尚中性款，兼具复古与现代滑板文化风格，休闲出行百搭之选。</t>
  </si>
  <si>
    <t>{"choices":[{"finish_reason":"stop","index":0,"logprobs":null,"message":{"annotations":[],"content":"Nike Air Force 1 ’07 White Blue Leather Sneakers","refusal":null,"role":"assistant"}}],"created":1776415845,"id":"chatcmpl-DVZCP2u53lgtRNjujIT8WTgqiIpSq","model":"gpt-5-chat-latest","object":"chat.completion","service_tier":"default","system_fingerprint":"fp_ad66631dec","usage":{"completion_tokens":12,"completion_tokens_details":{"accepted_prediction_tokens":0,"audio_tokens":0,"reasoning_tokens":0,"rejected_prediction_tokens":0},"prompt_tokens":883,"prompt_tokens_details":{"audio_tokens":0,"cached_tokens":0},"total_tokens":895}}</t>
  </si>
  <si>
    <t>Nike Air Force 1 ’07 White Blue Leather Sneakers</t>
  </si>
  <si>
    <t>{"id":"chatcmpl-DVYv2xzwHavddZMbzdazQ1XSWBFWO","object":"chat.completion","created":1776414768,"model":"gpt-5-chat-latest","choices":[{"index":0,"message":{"role":"assistant","content":"Nike Air Force 1 ’07 white and blue sneakers feature premium leather, Swoosh logo with printed patterns, red details, breathable low-cut design, and durable rubber sole for everyday street style.","refusal":null,"annotations":[]},"logprobs":null,"finish_reason":"stop"}],"usage":{"prompt_tokens":928,"completion_tokens":41,"total_tokens":969,"prompt_tokens_details":{"cached_tokens":0,"audio_tokens":0},"completion_tokens_details":{"reasoning_tokens":0,"audio_tokens":0,"accepted_prediction_tokens":0,"rejected_prediction_tokens":0}},"service_tier":"default","system_fingerprint":"fp_ad66631dec"}</t>
  </si>
  <si>
    <t>Nike Air Force 1 ’07 white and blue sneakers feature premium leather, Swoosh logo with printed patterns, red details, breathable low-cut design, and durable rubber sole for everyday street style.</t>
  </si>
  <si>
    <t>{"choices":[{"finish_reason":"stop","index":0,"logprobs":null,"message":{"annotations":[],"content":"Nike, Shoes, kakobuy, kakebuy2026, kekobuysheet, kakobuysheet2026, 2026kakobuy, kakobuyspreadsheeet, kakobuylink, kakebuylist, Kakobuy MEGA Spreadsheet, kakobuysheetfind, kakobuysheetfind2026, 2026kakobuysheetfind, kakobuysheet2026","refusal":null,"role":"assistant"}}],"created":1776416816,"id":"chatcmpl-DVZS4RD7BoLApRpVO9Q2HXn0sEXF2","model":"gpt-5-chat-latest","object":"chat.completion","service_tier":"default","system_fingerprint":"fp_ad66631dec","usage":{"completion_tokens":90,"completion_tokens_details":{"accepted_prediction_tokens":0,"audio_tokens":0,"reasoning_tokens":0,"rejected_prediction_tokens":0},"prompt_tokens":782,"prompt_tokens_details":{"audio_tokens":0,"cached_tokens":0},"total_tokens":872}}</t>
  </si>
  <si>
    <t>Nike, AF1, 07, White, Blue, Streetwear</t>
  </si>
  <si>
    <t>recvh0B9A7WtAa</t>
  </si>
  <si>
    <t>nike-air-force-1-07-white-blue-leather-recvh0b9a7wtaa</t>
  </si>
  <si>
    <t>{"choices":[{"content_filter_result":{"error":{"code":"content_filter_error","message":"The contents are not filtered"}},"finish_reason":"stop","index":0,"logprobs":null,"message":{"annotations":[],"content":"Nike：Air Force 1 ’07 白蓝拼色运动休闲鞋，以优质皮革打造，鞋侧融合印花图腾与经典Swoosh标识，细节点缀红色设计元素，展现街头时尚格调。低帮结构舒适透气，橡胶外底提供稳固支撑与耐磨性能，适合男女日常潮流穿搭。","refusal":null,"role":"assistant"}}],"created":1776412259,"id":"chatcmpl-DVYGZ2wDxkPlufjFwUvB5tqxsuDdl","model":"gpt-5-chat-latest","object":"chat.completion","service_tier":"default","system_fingerprint":"fp_ad66631dec","usage":{"completion_tokens":91,"completion_tokens_details":{"accepted_prediction_tokens":0,"audio_tokens":0,"reasoning_tokens":0,"rejected_prediction_tokens":0},"prompt_tokens":1308,"prompt_tokens_details":{"audio_tokens":0,"cached_tokens":0},"total_tokens":1399}}</t>
  </si>
  <si>
    <t>Nike：Air Force 1 ’07 白蓝拼色运动休闲鞋，以优质皮革打造，鞋侧融合印花图腾与经典Swoosh标识，细节点缀红色设计元素，展现街头时尚格调。低帮结构舒适透气，橡胶外底提供稳固支撑与耐磨性能，适合男女日常潮流穿搭。</t>
  </si>
  <si>
    <t>MLB</t>
  </si>
  <si>
    <t>{"choices":[{"finish_reason":"stop","index":0,"logprobs":null,"message":{"annotations":[],"content":"MLB Chunky Women Sneakers White Pink Green Shoes","refusal":null,"role":"assistant"}}],"created":1776416151,"id":"chatcmpl-DVZHL8dAwvVAhj1ixEzjidbyWLQix","model":"gpt-5-chat-latest","object":"chat.completion","service_tier":"default","system_fingerprint":"fp_ad66631dec","usage":{"completion_tokens":11,"completion_tokens_details":{"accepted_prediction_tokens":0,"audio_tokens":0,"reasoning_tokens":0,"rejected_prediction_tokens":0},"prompt_tokens":878,"prompt_tokens_details":{"audio_tokens":0,"cached_tokens":0},"total_tokens":889}}</t>
  </si>
  <si>
    <t>MLB Chunky Women Sneakers White Pink Green Shoes</t>
  </si>
  <si>
    <t>{"id":"chatcmpl-DVZ2xjuqQlgWFphQ09tPoVPB29VK9","object":"chat.completion","created":1776415259,"model":"gpt-5-chat-latest","choices":[{"index":0,"message":{"role":"assistant","content":"MLB Chunky Women’s Sneakers feature white, pink, and green panels, breathable mesh with synthetic leather, a retro chunky sole for comfort and cushioning, showcasing trendy urban feminine energy.","refusal":null,"annotations":[]},"logprobs":null,"finish_reason":"stop"}],"usage":{"prompt_tokens":888,"completion_tokens":38,"total_tokens":926,"prompt_tokens_details":{"cached_tokens":0,"audio_tokens":0},"completion_tokens_details":{"reasoning_tokens":0,"audio_tokens":0,"accepted_prediction_tokens":0,"rejected_prediction_tokens":0}},"service_tier":"default","system_fingerprint":"fp_ad66631dec"}</t>
  </si>
  <si>
    <t>MLB Chunky Women’s Sneakers feature white, pink, and green panels, breathable mesh with synthetic leather, a retro chunky sole for comfort and cushioning, showcasing trendy urban feminine energy.</t>
  </si>
  <si>
    <t>{"choices":[{"finish_reason":"stop","index":0,"logprobs":null,"message":{"annotations":[],"content":"MLB,Sneakers,kakobuy,kakebuy2026,kekobuysheet,kakobuysheet2026,2026kakobuy,kakobuyspreadsheeet,kakobuylink,kakebuylist,Kakobuy MEGA Spreadsheet,kakobuysheetfind,kakobuysheetfind2026,2026kakobuysheetfind,kakobuysheet2026","refusal":null,"role":"assistant"}}],"created":1776416947,"id":"chatcmpl-DVZUBPAwuJ5oZlqj9u69TdjY4LEG7","model":"gpt-5-chat-latest","object":"chat.completion","service_tier":"default","system_fingerprint":"fp_ad66631dec","usage":{"completion_tokens":88,"completion_tokens_details":{"accepted_prediction_tokens":0,"audio_tokens":0,"reasoning_tokens":0,"rejected_prediction_tokens":0},"prompt_tokens":783,"prompt_tokens_details":{"audio_tokens":0,"cached_tokens":0},"total_tokens":871}}</t>
  </si>
  <si>
    <t>MLB,Sneakers,kakobuy,kakebuy2026,kekobuysheet,kakobuysheet2026,2026kakobuy,kakobuyspreadsheeet,kakobuylink,kakebuylist,Kakobuy MEGA Spreadsheet,kakobuysheetfind,kakobuysheetfind2026,2026kakobuysheetfind,kakobuysheet2026</t>
  </si>
  <si>
    <t>Women, White, Pink, Green, Mesh, Synthetic Leather, Retro, Breathable, Cushioning, Comfort, Sneakers</t>
  </si>
  <si>
    <t>recvh0B9A7SwX4</t>
  </si>
  <si>
    <t>mlb-chunky-women-white-pink-green-recvh0b9a7swx4</t>
  </si>
  <si>
    <t>{"id":"chatcmpl-DVYFGEGV6F26vBGncCN0pdQ52eHq9","object":"chat.completion","created":1776412178,"model":"gpt-5-chat-latest","choices":[{"index":0,"message":{"role":"assistant","content":"MLB：Chunky系列白粉绿拼色厚底运动鞋，透气网面与合成皮革结合，潮流复古设计，舒适缓震鞋底，展现都市女性活力时尚风格。","refusal":null,"annotations":[]},"logprobs":null,"finish_reason":"stop"}],"usage":{"prompt_tokens":1304,"completion_tokens":52,"total_tokens":1356,"prompt_tokens_details":{"cached_tokens":0,"audio_tokens":0},"completion_tokens_details":{"reasoning_tokens":0,"audio_tokens":0,"accepted_prediction_tokens":0,"rejected_prediction_tokens":0}},"service_tier":"default","system_fingerprint":"fp_ad66631dec"}</t>
  </si>
  <si>
    <t>MLB：Chunky系列白粉绿拼色厚底运动鞋，透气网面与合成皮革结合，潮流复古设计，舒适缓震鞋底，展现都市女性活力时尚风格。</t>
  </si>
  <si>
    <t>Jackets</t>
  </si>
  <si>
    <t>Ralph Lauren</t>
  </si>
  <si>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Ralph Lauren Navy Hooded Down Jacket Unisex Warm","refusal":null,"role":"assistant"}}],"created":1776061198,"id":"chatcmpl-DU4wIMs56G7SVKrMrj7ds23NH2ocy","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ad66631dec","usage":{"completion_tokens":12,"completion_tokens_details":{"accepted_prediction_tokens":0,"audio_tokens":0,"reasoning_tokens":0,"rejected_prediction_tokens":0},"prompt_tokens":881,"prompt_tokens_details":{"audio_tokens":0,"cached_tokens":0},"total_tokens":893}}</t>
  </si>
  <si>
    <t>Ralph Lauren Navy Hooded Down Jacket Unisex Warm</t>
  </si>
  <si>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Ralph Lauren Navy Down Jacket—crafted from high-density windproof fabric with lightweight warmth, sleek design and red logo embroidery; hooded, unisex, perfect for winter outdoor and commuting.","refusal":null,"role":"assistant"}}],"created":1776044952,"id":"chatcmpl-DU0iGe07QEqZ7bGaKFnsE7PDMsOCJ","model":"gpt-5-chat-2025-10-03","object":"chat.completion","prompt_filter_results":[{"prompt_index":0,"content_filter_results":{"hate":{"filtered":false,"severity":"safe"},"jailbreak":{"detected":false,"filtered":false},"self_harm":{"filtered":false,"severity":"safe"},"sexual":{"filtered":false,"severity":"safe"},"violence":{"filtered":false,"severity":"safe"}}}],"system_fingerprint":"fp_ad66631dec","usage":{"completion_tokens":39,"completion_tokens_details":{"accepted_prediction_tokens":0,"audio_tokens":0,"reasoning_tokens":0,"rejected_prediction_tokens":0},"prompt_tokens":921,"prompt_tokens_details":{"audio_tokens":0,"cached_tokens":0},"total_tokens":960}}</t>
  </si>
  <si>
    <t>{"alt-svc":"h3=\":443\"; ma=2592000","apim-request-id":"683debf3-8832-4862-bb27-76e5a8d024ca","azureml-model-session":"d20260405212659-a9daa006","connection":"close","content-length":"1407","content-type":"application/json","date":"Mon, 13 Apr 2026 01:49:12 GMT","skip-error-remapping":"true","strict-transport-security":"max-age=31536000; includeSubDomains; preload","via":"1.1 Caddy","x-accel-buffering":"no","x-content-type-options":"nosniff","x-ms-client-request-id":"Not-Set","x-ms-is-spilled-over":"false","x-ms-rai-invoked":"true","x-ms-region":"East US 2","x-new-api-version":"0.4.25-alpha.4","x-oneapi-request-id":"20260413014911190538406y2xkd6Jc","x-ratelimit-abusepenalty-active":"False","x-ratelimit-limit-requests":"1000","x-ratelimit-limit-tokens":"1000000","x-ratelimit-remaining-requests":"999","x-ratelimit-remaining-tokens":"998825","x-ratelimit-renewalperiod-requests":"60","x-ratelimit-renewalperiod-tokens":"60","x-ratelimit-reset-requests":"60","x-ratelimit-reset-tokens":"70","x-request-id":"954bd6dd-0bc6-4883-9794-38a324ea993a","x-shellapi-request-id":"2026041309491115296155038728291"}</t>
  </si>
  <si>
    <t>Ralph Lauren Navy Down Jacket—crafted from high-density windproof fabric with lightweight warmth, sleek design and red logo embroidery; hooded, unisex, perfect for winter outdoor and commuting.</t>
  </si>
  <si>
    <t>{"choices":[{"content_filter_results":{"hate":{"filtered":false,"severity":"safe"},"protected_material_code":{"filtered":false,"detected":false},"protected_material_text":{"filtered":false,"detected":false},"self_harm":{"filtered":false,"severity":"safe"},"sexual":{"filtered":false,"severity":"safe"},"violence":{"filtered":false,"severity":"safe"}},"finish_reason":"stop","index":0,"logprobs":null,"message":{"annotations":[],"content":"Ralph Lauren, Jackets, kakobuy, kakebuy2026, kekobuysheet, kakobuysheet2026, 2026kakobuy, kakobuyspreadsheeet, kakobuylink, kakebuylist, Kakobuy MEGA Spreadsheet, kakobuysheetfind, kakobuysheetfind2026, 2026kakobuysheetfind, kakobuysheet2026","refusal":null,"role":"assistant"}}],"created":1776061387,"id":"chatcmpl-DU4zLnwFDEKcrnJp7C3aN2DiBstZf","model":"gpt-5-chat-2025-10-03","object":"chat.completion","prompt_filter_results":[{"prompt_index":0,"content_filter_results":{"hate":{"filtered":false,"severity":"safe"},"jailbreak":{"filtered":false,"detected":false},"self_harm":{"filtered":false,"severity":"safe"},"sexual":{"filtered":false,"severity":"safe"},"violence":{"filtered":false,"severity":"safe"}}}],"system_fingerprint":"fp_ad66631dec","usage":{"completion_tokens":92,"completion_tokens_details":{"accepted_prediction_tokens":0,"audio_tokens":0,"reasoning_tokens":0,"rejected_prediction_tokens":0},"prompt_tokens":784,"prompt_tokens_details":{"audio_tokens":0,"cached_tokens":0},"total_tokens":876}}</t>
  </si>
  <si>
    <t>Ralph Lauren, Jackets, kakobuy, kakebuy2026, kekobuysheet, kakobuysheet2026, 2026kakobuy, kakobuyspreadsheeet, kakobuylink, kakebuylist, Kakobuy MEGA Spreadsheet, kakobuysheetfind, kakobuysheetfind2026, 2026kakobuysheetfind, kakobuysheet2026</t>
  </si>
  <si>
    <t>Navy, Winter, Unisex, Windproof, Outdoor</t>
  </si>
  <si>
    <t>ralph-lauren-navy-hooded-down-jacket-recvgxcpqc uu88</t>
  </si>
  <si>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Ralph Lauren：海军蓝羽绒夹克，优选高密防风面料与轻盈保暖填充，简约立体剪裁辅以红色经典马标刺绣，展现美式休闲运动风格，连帽设计防寒实用，男女皆宜，冬季户外通勤理想之选。","refusal":null,"role":"assistant"}}],"created":1776044191,"id":"chatcmpl-DU0VzkmnhJnhP7z7N9q7MT267sxe9","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ad66631dec","usage":{"completion_tokens":80,"completion_tokens_details":{"accepted_prediction_tokens":0,"audio_tokens":0,"reasoning_tokens":0,"rejected_prediction_tokens":0},"prompt_tokens":1314,"prompt_tokens_details":{"audio_tokens":0,"cached_tokens":0},"total_tokens":1394}}</t>
  </si>
  <si>
    <t>Ralph Lauren：海军蓝羽绒夹克，优选高密防风面料与轻盈保暖填充，简约立体剪裁辅以红色经典马标刺绣，展现美式休闲运动风格，连帽设计防寒实用，男女皆宜，冬季户外通勤理想之选。</t>
  </si>
  <si>
    <t>170</t>
  </si>
  <si>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Ralph Lauren Classic Polo Off White Zip Jacket","refusal":null,"role":"assistant"}}],"created":1776061171,"id":"chatcmpl-DU4vrBTcNNTvGHwmFCA8S8W6cSHNy","model":"gpt-5-chat-2025-10-03","object":"chat.completion","prompt_filter_results":[{"prompt_index":0,"content_filter_results":{"hate":{"filtered":false,"severity":"safe"},"jailbreak":{"detected":false,"filtered":false},"self_harm":{"filtered":false,"severity":"safe"},"sexual":{"filtered":false,"severity":"safe"},"violence":{"filtered":false,"severity":"safe"}}}],"system_fingerprint":"fp_ad66631dec","usage":{"completion_tokens":10,"completion_tokens_details":{"accepted_prediction_tokens":0,"audio_tokens":0,"reasoning_tokens":0,"rejected_prediction_tokens":0},"prompt_tokens":873,"prompt_tokens_details":{"audio_tokens":0,"cached_tokens":0},"total_tokens":883}}</t>
  </si>
  <si>
    <t>Ralph Lauren Classic Polo Off White Zip Jacket</t>
  </si>
  <si>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Ralph Lauren Classic Polo Zip Jacket, off-white soft cotton design with embroidered pony logo, stand collar style for men and women, timeless American casual elegance for all seasons.","refusal":null,"role":"assistant"}}],"created":1776044960,"id":"chatcmpl-DU0iOX2JlPM4wakEfvJLY0WSER92B","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ad66631dec","usage":{"completion_tokens":35,"completion_tokens_details":{"accepted_prediction_tokens":0,"audio_tokens":0,"reasoning_tokens":0,"rejected_prediction_tokens":0},"prompt_tokens":903,"prompt_tokens_details":{"audio_tokens":0,"cached_tokens":0},"total_tokens":938}}</t>
  </si>
  <si>
    <t>{"alt-svc":"h3=\":443\"; ma=2592000","apim-request-id":"cbe87d08-c928-4a4d-bdcb-cf619b2d43e6","azureml-model-session":"d20260402083108-57a85543","connection":"close","content-length":"1420","content-type":"application/json","date":"Mon, 13 Apr 2026 01:49:21 GMT","skip-error-remapping":"true","strict-transport-security":"max-age=31536000; includeSubDomains; preload","via":"1.1 Caddy","x-accel-buffering":"no","x-content-type-options":"nosniff","x-ms-client-request-id":"Not-Set","x-ms-is-spilled-over":"false","x-ms-rai-invoked":"true","x-ms-region":"UK South","x-new-api-version":"0.4.25-alpha.4","x-oneapi-request-id":"202604130149194407101615wuAFXJD","x-ratelimit-abusepenalty-active":"False","x-ratelimit-limit-requests":"1000","x-ratelimit-limit-tokens":"1000000","x-ratelimit-remaining-requests":"999","x-ratelimit-remaining-tokens":"998829","x-ratelimit-renewalperiod-requests":"60","x-ratelimit-renewalperiod-tokens":"60","x-ratelimit-reset-requests":"60","x-ratelimit-reset-tokens":"70","x-request-id":"8a0efb57-40cf-409f-ac0f-d64ff1189c25","x-shellapi-request-id":"2026041309491939463164089409451"}</t>
  </si>
  <si>
    <t>Ralph Lauren Classic Polo Zip Jacket, off-white soft cotton design with embroidered pony logo, stand collar style for men and women, timeless American casual elegance for all seasons.</t>
  </si>
  <si>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Ralph Lauren, Jackets, kakobuy, kakebuy2026, kekobuysheet, kakobuysheet2026, 2026kakobuy, kakobuyspreadsheeet, kakobuylink, kakebuylist, Kakobuy MEGA Spreadsheet, kakobuysheetfind, kakobuysheetfind2026, 2026kakobuysheetfind, kakobuysheet2026","refusal":null,"role":"assistant"}}],"created":1776061496,"id":"chatcmpl-DU516C511UkTsF6nfNEDTGGyDiAa5","model":"gpt-5-chat-2025-10-03","object":"chat.completion","prompt_filter_results":[{"prompt_index":0,"content_filter_results":{"hate":{"filtered":false,"severity":"safe"},"jailbreak":{"detected":false,"filtered":false},"self_harm":{"filtered":false,"severity":"safe"},"sexual":{"filtered":false,"severity":"safe"},"violence":{"filtered":false,"severity":"safe"}}}],"system_fingerprint":"fp_ad66631dec","usage":{"completion_tokens":92,"completion_tokens_details":{"accepted_prediction_tokens":0,"audio_tokens":0,"reasoning_tokens":0,"rejected_prediction_tokens":0},"prompt_tokens":784,"prompt_tokens_details":{"audio_tokens":0,"cached_tokens":0},"total_tokens":876}}</t>
  </si>
  <si>
    <t>Off-White, All Seasons, Men's And Women's</t>
  </si>
  <si>
    <t>ralph-lauren-classic-polo-off-white-zip-jacket-recvgxcpqc5fcf</t>
  </si>
  <si>
    <t>{"choices":[{"content_filter_results":{"hate":{"filtered":false,"severity":"safe"},"protected_material_code":{"filtered":false,"detected":false},"protected_material_text":{"filtered":false,"detected":false},"self_harm":{"filtered":false,"severity":"safe"},"sexual":{"filtered":false,"severity":"safe"},"violence":{"filtered":false,"severity":"safe"}},"finish_reason":"stop","index":0,"logprobs":null,"message":{"annotations":[],"content":"Ralph Lauren：经典POLO系列米白色拉链夹克，以柔软棉质面料打造，简约立领设计配刺绣马标，展现美式休闲优雅风格，男女皆宜，适合多季节穿搭。","refusal":null,"role":"assistant"}}],"created":1776044352,"id":"chatcmpl-DU0YavyhMJXZUYVXsvlcMPsD7Pbpe","model":"gpt-5-chat-2025-10-03","object":"chat.completion","prompt_filter_results":[{"prompt_index":0,"content_filter_results":{"hate":{"filtered":false,"severity":"safe"},"jailbreak":{"filtered":false,"detected":false},"self_harm":{"filtered":false,"severity":"safe"},"sexual":{"filtered":false,"severity":"safe"},"violence":{"filtered":false,"severity":"safe"}}}],"service_tier":"default","system_fingerprint":"fp_ad66631dec","usage":{"completion_tokens":61,"completion_tokens_details":{"accepted_prediction_tokens":0,"audio_tokens":0,"reasoning_tokens":0,"rejected_prediction_tokens":0},"prompt_tokens":1316,"prompt_tokens_details":{"audio_tokens":0,"cached_tokens":1280},"total_tokens":1377}}</t>
  </si>
  <si>
    <t>Ralph Lauren：经典POLO系列米白色拉链夹克，以柔软棉质面料打造，简约立领设计配刺绣马标，展现美式休闲优雅风格，男女皆宜，适合多季节穿搭。</t>
  </si>
  <si>
    <t xml:space="preserve"> Cortiez</t>
  </si>
  <si>
    <t>365</t>
  </si>
  <si>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Cortiez Black Down Jacket Winter Puffer Coat","refusal":null,"role":"assistant"}}],"created":1776061262,"id":"chatcmpl-DU4xKkyJZR51hZyhnpFDbQAkcD1B3","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ad66631dec","usage":{"completion_tokens":11,"completion_tokens_details":{"accepted_prediction_tokens":0,"audio_tokens":0,"reasoning_tokens":0,"rejected_prediction_tokens":0},"prompt_tokens":884,"prompt_tokens_details":{"audio_tokens":0,"cached_tokens":0},"total_tokens":895}}</t>
  </si>
  <si>
    <t>Cortiez Black Down Jacket Winter Puffer Coat</t>
  </si>
  <si>
    <t>{"choices":[{"content_filter_results":{"hate":{"filtered":false,"severity":"safe"},"protected_material_code":{"filtered":false,"detected":false},"protected_material_text":{"filtered":false,"detected":false},"self_harm":{"filtered":false,"severity":"safe"},"sexual":{"filtered":false,"severity":"safe"},"violence":{"filtered":false,"severity":"safe"}},"finish_reason":"stop","index":0,"logprobs":null,"message":{"annotations":[],"content":"Cortiez Cortiez Black Down Jacket: High-loft hooded puffer with bright yellow lining, windproof waterproof nylon shell, warm insulation, unisex loose fit for stylish winter streetwear.","refusal":null,"role":"assistant"}}],"created":1776044979,"id":"chatcmpl-DU0ihKsG5KLcL9WftfX665w0QE9c9","model":"gpt-5-chat-2025-10-03","object":"chat.completion","prompt_filter_results":[{"prompt_index":0,"content_filter_results":{"hate":{"filtered":false,"severity":"safe"},"jailbreak":{"filtered":false,"detected":false},"self_harm":{"filtered":false,"severity":"safe"},"sexual":{"filtered":false,"severity":"safe"},"violence":{"filtered":false,"severity":"safe"}}}],"service_tier":"default","system_fingerprint":"fp_ad66631dec","usage":{"completion_tokens":41,"completion_tokens_details":{"accepted_prediction_tokens":0,"audio_tokens":0,"reasoning_tokens":0,"rejected_prediction_tokens":0},"prompt_tokens":910,"prompt_tokens_details":{"audio_tokens":0,"cached_tokens":0},"total_tokens":951}}</t>
  </si>
  <si>
    <t>{"alt-svc":"h3=\":443\"; ma=2592000","apim-request-id":"b6da8f55-acd6-48d3-8430-39c90c58d9e8","azureml-model-session":"d20260402074105-51db401e","connection":"close","content-length":"1421","content-type":"application/json","date":"Mon, 13 Apr 2026 01:49:40 GMT","skip-error-remapping":"true","strict-transport-security":"max-age=31536000; includeSubDomains; preload","via":"1.1 Caddy","x-accel-buffering":"no","x-content-type-options":"nosniff","x-ms-client-request-id":"Not-Set","x-ms-is-spilled-over":"false","x-ms-rai-invoked":"true","x-ms-region":"Switzerland North","x-new-api-version":"0.4.25-alpha.4","x-oneapi-request-id":"20260413014938484781230d0gBcvrG","x-ratelimit-abusepenalty-active":"False","x-ratelimit-limit-requests":"1000","x-ratelimit-limit-tokens":"1000000","x-ratelimit-remaining-requests":"999","x-ratelimit-remaining-tokens":"998831","x-ratelimit-renewalperiod-requests":"60","x-ratelimit-renewalperiod-tokens":"60","x-ratelimit-reset-requests":"60","x-ratelimit-reset-tokens":"70","x-request-id":"39405d59-947c-4a16-9d9b-7b9d2c290562","x-shellapi-request-id":"2026041309493844858542959654198"}</t>
  </si>
  <si>
    <t>Cortiez Cortiez Black Down Jacket: High-loft hooded puffer with bright yellow lining, windproof waterproof nylon shell, warm insulation, unisex loose fit for stylish winter streetwear.</t>
  </si>
  <si>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Cortiez, Jackets, kakobuy, kakebuy2026, kekobuysheet, kakobuysheet2026, 2026kakobuy, kakobuyspreadsheeet, kakobuylink, kakebuylist, Kakobuy MEGA Spreadsheet, kakobuysheetfind, kakobuysheetfind2026, 2026kakobuysheetfind, kakobuysheet2026","refusal":null,"role":"assistant"}}],"created":1776061382,"id":"chatcmpl-DU4zGKa8K78BLvyBNW6FKh4O80V9Q","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ad66631dec","usage":{"completion_tokens":92,"completion_tokens_details":{"accepted_prediction_tokens":0,"audio_tokens":0,"reasoning_tokens":0,"rejected_prediction_tokens":0},"prompt_tokens":783,"prompt_tokens_details":{"audio_tokens":0,"cached_tokens":0},"total_tokens":875}}</t>
  </si>
  <si>
    <t>Cortiez, Jackets, kakobuy, kakebuy2026, kekobuysheet, kakobuysheet2026, 2026kakobuy, kakobuyspreadsheeet, kakobuylink, kakebuylist, Kakobuy MEGA Spreadsheet, kakobuysheetfind, kakobuysheetfind2026, 2026kakobuysheetfind, kakobuysheet2026</t>
  </si>
  <si>
    <t>Black, Winter, Waterproof, Unisex, Streetwear</t>
  </si>
  <si>
    <t>cortiez-black-down-jacket-winter-recvgxcpqcpedf</t>
  </si>
  <si>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Cortiez：黑色羽绒连帽外套，亮黄色内衬设计，高蓬松防寒保暖，尼龙面料防风防水，宽松剪裁兼具街头潮流与功能性，男女同款冬季必备时尚羽绒夹克。","refusal":null,"role":"assistant"}}],"created":1776044346,"id":"chatcmpl-DU0YU0jCjYj8cdRHgHCEKp7dLtQ6R","model":"gpt-5-chat-2025-10-03","object":"chat.completion","prompt_filter_results":[{"prompt_index":0,"content_filter_results":{"hate":{"filtered":false,"severity":"safe"},"jailbreak":{"detected":false,"filtered":false},"self_harm":{"filtered":false,"severity":"safe"},"sexual":{"filtered":false,"severity":"safe"},"violence":{"filtered":false,"severity":"safe"}}}],"system_fingerprint":"fp_ad66631dec","usage":{"completion_tokens":69,"completion_tokens_details":{"accepted_prediction_tokens":0,"audio_tokens":0,"reasoning_tokens":0,"rejected_prediction_tokens":0},"prompt_tokens":1316,"prompt_tokens_details":{"audio_tokens":0,"cached_tokens":1280},"total_tokens":1385}}</t>
  </si>
  <si>
    <t>Cortiez：黑色羽绒连帽外套，亮黄色内衬设计，高蓬松防寒保暖，尼龙面料防风防水，宽松剪裁兼具街头潮流与功能性，男女同款冬季必备时尚羽绒夹克。</t>
  </si>
  <si>
    <t>Pants</t>
  </si>
  <si>
    <t>Other</t>
  </si>
  <si>
    <t>210</t>
  </si>
  <si>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PantsOther Beige Unisex Loose Fit Cotton Sweatpants","refusal":null,"role":"assistant"}}],"created":1776061288,"id":"chatcmpl-DU4xkyJkduOodrHul3bnXWvcdWLkY","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ad66631dec","usage":{"completion_tokens":12,"completion_tokens_details":{"accepted_prediction_tokens":0,"audio_tokens":0,"reasoning_tokens":0,"rejected_prediction_tokens":0},"prompt_tokens":881,"prompt_tokens_details":{"audio_tokens":0,"cached_tokens":0},"total_tokens":893}}</t>
  </si>
  <si>
    <t>PantsOther Beige Unisex Loose Fit Cotton Sweatpants</t>
  </si>
  <si>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PantsOther Beige Loose Fit Sweatpants feature soft thick cotton fabric, smooth skin-friendly touch, elastic drawstring waist, relaxed street style for men and women, perfect for daily wear and lounging.","refusal":null,"role":"assistant"}}],"created":1776061023,"id":"chatcmpl-DU4tTh7MPiDMxuT6Mfon6bQ5VdBbY","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ad66631dec","usage":{"completion_tokens":40,"completion_tokens_details":{"accepted_prediction_tokens":0,"audio_tokens":0,"reasoning_tokens":0,"rejected_prediction_tokens":0},"prompt_tokens":931,"prompt_tokens_details":{"audio_tokens":0,"cached_tokens":0},"total_tokens":971}}</t>
  </si>
  <si>
    <t>{"alt-svc":"h3=\":443\"; ma=2592000","apim-request-id":"62f52486-a169-4595-be02-f5c5b0c55822","azureml-model-session":"d20260402084046-4209e968","connection":"close","content-length":"1439","content-type":"application/json","date":"Mon, 13 Apr 2026 06:17:06 GMT","skip-error-remapping":"true","strict-transport-security":"max-age=31536000; includeSubDomains; preload","via":"1.1 Caddy","x-accel-buffering":"no","x-content-type-options":"nosniff","x-ms-client-request-id":"Not-Set","x-ms-is-spilled-over":"false","x-ms-rai-invoked":"true","x-ms-region":"Australia East","x-new-api-version":"0.4.25-alpha.4","x-oneapi-request-id":"20260413061703126929296C6omm5Ri","x-ratelimit-abusepenalty-active":"False","x-ratelimit-limit-requests":"1000","x-ratelimit-limit-tokens":"1000000","x-ratelimit-remaining-requests":"999","x-ratelimit-remaining-tokens":"998828","x-ratelimit-renewalperiod-requests":"60","x-ratelimit-renewalperiod-tokens":"60","x-ratelimit-reset-requests":"60","x-ratelimit-reset-tokens":"70","x-request-id":"bca8315a-6d3c-4162-a993-fe5a5f2d7172","x-shellapi-request-id":"202604131417037469108285908997"}</t>
  </si>
  <si>
    <t>PantsOther Beige Loose Fit Sweatpants feature soft thick cotton fabric, smooth skin-friendly touch, elastic drawstring waist, relaxed street style for men and women, perfect for daily wear and lounging.</t>
  </si>
  <si>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PantsOther,Pants,kakobuy,kakebuy2026,kekobuysheet,kakobuysheet2026,2026kakobuy,kakobuyspreadsheeet,kakobuylink,kakebuylist,Kakobuy MEGA Spreadsheet,kakobuysheetfind,kakobuysheetfind2026,2026kakobuysheetfind,kakobuysheet2026","refusal":null,"role":"assistant"}}],"created":1776061487,"id":"chatcmpl-DU50xO6rJKKZcVjoaQaXe4w6N8Q2Z","model":"gpt-5-chat-2025-10-03","object":"chat.completion","prompt_filter_results":[{"prompt_index":1,"content_filter_result":{"sexual":{"filtered":false,"severity":"safe"},"violence":{"filtered":false,"severity":"safe"},"hate":{"filtered":false,"severity":"safe"},"self_harm":{"filtered":false,"severity":"safe"}}},{"prompt_index":0,"content_filter_result":{}}],"system_fingerprint":"fp_ad66631dec","usage":{"completion_tokens":88,"completion_tokens_details":{"accepted_prediction_tokens":0,"audio_tokens":0,"reasoning_tokens":0,"rejected_prediction_tokens":0},"prompt_tokens":782,"prompt_tokens_details":{"audio_tokens":0,"cached_tokens":0},"total_tokens":870}}</t>
  </si>
  <si>
    <t>PantsOther,Pants,kakobuy,kakebuy2026,kekobuysheet,kakobuysheet2026,2026kakobuy,kakobuyspreadsheeet,kakobuylink,kakebuylist,Kakobuy MEGA Spreadsheet,kakobuysheetfind,kakobuysheetfind2026,2026kakobuysheetfind,kakobuysheet2026</t>
  </si>
  <si>
    <t>Beige, Streetwear, Unisex, Comfort</t>
  </si>
  <si>
    <t>beige-unisex-loose-cotton-sweatpants-recvgxcpqcfbee</t>
  </si>
  <si>
    <t>{"choices":[{"content_filter_results":{"hate":{"filtered":false,"severity":"safe"},"protected_material_code":{"filtered":false,"detected":false},"protected_material_text":{"filtered":false,"detected":false},"self_harm":{"filtered":false,"severity":"safe"},"sexual":{"filtered":false,"severity":"safe"},"violence":{"filtered":false,"severity":"safe"}},"finish_reason":"stop","index":0,"logprobs":null,"message":{"annotations":[],"content":"宽松休闲版米色卫裤，采用柔软厚实棉质面料，触感顺滑亲肤，弹性腰头搭配抽绳设计，舒适贴合不紧绷。极简剪裁展现松弛廓形，街头休闲风格男女皆宜，适合日常出行与居家穿搭，轻松打造都市随性造型。","refusal":null,"role":"assistant"}}],"created":1776044422,"id":"chatcmpl-DU0ZiX860NRb2zXDMzFUMyTugFw2H","model":"gpt-5-chat-2025-10-03","object":"chat.completion","prompt_filter_results":[{"prompt_index":0,"content_filter_results":{"hate":{"filtered":false,"severity":"safe"},"jailbreak":{"filtered":false,"detected":false},"self_harm":{"filtered":false,"severity":"safe"},"sexual":{"filtered":false,"severity":"safe"},"violence":{"filtered":false,"severity":"safe"}}}],"service_tier":"default","system_fingerprint":"fp_ad66631dec","usage":{"completion_tokens":93,"completion_tokens_details":{"accepted_prediction_tokens":0,"audio_tokens":0,"reasoning_tokens":0,"rejected_prediction_tokens":0},"prompt_tokens":1308,"prompt_tokens_details":{"audio_tokens":0,"cached_tokens":1280},"total_tokens":1401}}</t>
  </si>
  <si>
    <t>宽松休闲版米色卫裤，采用柔软厚实棉质面料，触感顺滑亲肤，弹性腰头搭配抽绳设计，舒适贴合不紧绷。极简剪裁展现松弛廓形，街头休闲风格男女皆宜，适合日常出行与居家穿搭，轻松打造都市随性造型。</t>
  </si>
  <si>
    <t>Essentials</t>
  </si>
  <si>
    <t>266</t>
  </si>
  <si>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Fear of God Essentials Grey Heavyweight Fleece Hoodie","refusal":null,"role":"assistant"}}],"created":1776061171,"id":"chatcmpl-DU4vrXA0GcM0G0OpzBd1Gb8NaJ089","model":"gpt-5-chat-2025-10-03","object":"chat.completion","prompt_filter_results":[{"prompt_index":0,"content_filter_results":{"hate":{"filtered":false,"severity":"safe"},"jailbreak":{"detected":false,"filtered":false},"self_harm":{"filtered":false,"severity":"safe"},"sexual":{"filtered":false,"severity":"safe"},"violence":{"filtered":false,"severity":"safe"}}}],"system_fingerprint":"fp_ad66631dec","usage":{"completion_tokens":11,"completion_tokens_details":{"accepted_prediction_tokens":0,"audio_tokens":0,"reasoning_tokens":0,"rejected_prediction_tokens":0},"prompt_tokens":903,"prompt_tokens_details":{"audio_tokens":0,"cached_tokens":0},"total_tokens":914}}</t>
  </si>
  <si>
    <t>Fear of God Essentials Grey Heavyweight Fleece Hoodie</t>
  </si>
  <si>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Fear of God Essentials grey hoodie made from heavyweight cotton fleece, soft, warm and durable. Features 3D “ESSENTIALS FEAR OF GOD” logo, relaxed drop-shoulder fit, unisex streetwear for fall and winter.","refusal":null,"role":"assistant"}}],"created":1776044905,"id":"chatcmpl-DU0hVtlCDU86TuEUYXmnNx29lPv7j","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ad66631dec","usage":{"completion_tokens":50,"completion_tokens_details":{"accepted_prediction_tokens":0,"audio_tokens":0,"reasoning_tokens":0,"rejected_prediction_tokens":0},"prompt_tokens":938,"prompt_tokens_details":{"audio_tokens":0,"cached_tokens":0},"total_tokens":988}}</t>
  </si>
  <si>
    <t>{"alt-svc":"h3=\":443\"; ma=2592000","apim-request-id":"1ed4a388-4042-479b-b375-f4750664dfa7","azureml-model-session":"d20260405234249-f9874baf","connection":"close","content-length":"1445","content-type":"application/json","date":"Mon, 13 Apr 2026 01:48:27 GMT","skip-error-remapping":"true","strict-transport-security":"max-age=31536000; includeSubDomains; preload","via":"1.1 Caddy","x-accel-buffering":"no","x-content-type-options":"nosniff","x-ms-client-request-id":"Not-Set","x-ms-is-spilled-over":"false","x-ms-rai-invoked":"true","x-ms-region":"Australia East","x-new-api-version":"0.4.25-alpha.4","x-oneapi-request-id":"20260413014823718202332Oqoq5Git","x-ratelimit-abusepenalty-active":"False","x-ratelimit-limit-requests":"1000","x-ratelimit-limit-tokens":"1000000","x-ratelimit-remaining-requests":"999","x-ratelimit-remaining-tokens":"998819","x-ratelimit-renewalperiod-requests":"60","x-ratelimit-renewalperiod-tokens":"60","x-ratelimit-reset-requests":"60","x-ratelimit-reset-tokens":"70","x-request-id":"4e5563f3-7af5-4b42-8764-5879991bfa0c","x-shellapi-request-id":"2026041309482364071898938600901"}</t>
  </si>
  <si>
    <t>Fear of God Essentials grey hoodie made from heavyweight cotton fleece, soft, warm and durable. Features 3D “ESSENTIALS FEAR OF GOD” logo, relaxed drop-shoulder fit, unisex streetwear for fall and winter.</t>
  </si>
  <si>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Essentials,hoodie,kakobuy,kakebuy2026,kekobuysheet,kakobuysheet2026,2026kakobuy,kakobuyspreadsheeet,kakobuylink,kakebuylist,Kakobuy MEGA Spreadsheet,kakobuysheetfind,kakobuysheetfind2026,2026kakobuysheetfind,kakobuysheet2026","refusal":null,"role":"assistant"}}],"created":1776061381,"id":"chatcmpl-DU4zF1Y586PbH34x7fvWXvWKn8Jv9","model":"gpt-5-chat-2025-10-03","object":"chat.completion","prompt_filter_results":[{"prompt_index":1,"content_filter_result":{"sexual":{"filtered":false,"severity":"safe"},"violence":{"filtered":false,"severity":"safe"},"hate":{"filtered":false,"severity":"safe"},"self_harm":{"filtered":false,"severity":"safe"}}},{"prompt_index":0,"content_filter_result":{}}],"system_fingerprint":"fp_ad66631dec","usage":{"completion_tokens":88,"completion_tokens_details":{"accepted_prediction_tokens":0,"audio_tokens":0,"reasoning_tokens":0,"rejected_prediction_tokens":0},"prompt_tokens":784,"prompt_tokens_details":{"audio_tokens":0,"cached_tokens":0},"total_tokens":872}}</t>
  </si>
  <si>
    <t>Essentials,hoodie,kakobuy,kakebuy2026,kekobuysheet,kakobuysheet2026,2026kakobuy,kakobuyspreadsheeet,kakobuylink,kakebuylist,Kakobuy MEGA Spreadsheet,kakobuysheetfind,kakobuysheetfind2026,2026kakobuysheetfind,kakobuysheet2026</t>
  </si>
  <si>
    <t>Unisex, Streetwear, Grey, Autumn And Winter, Fleece-Lined</t>
  </si>
  <si>
    <t>fear-of-god-essentials-grey-heavyweight-fleece-hoodie-recvgxcpqcwmq5</t>
  </si>
  <si>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Essentials：灰色连帽卫衣，采用高克重纯棉毛圈面料，柔软厚实保暖。胸前立体“ESSENTIALS FEAR OF GOD”标识简约醒目，宽松廓形搭配落肩设计，休闲街头风格彰显潮流态度。男女同款，兼具舒适与时尚，适合秋冬日常穿搭。","refusal":null,"role":"assistant"}}],"created":1776044358,"id":"chatcmpl-DU0YgO2svTqTB4hGtGzka7ZLFz29s","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ad66631dec","usage":{"completion_tokens":95,"completion_tokens_details":{"accepted_prediction_tokens":0,"audio_tokens":0,"reasoning_tokens":0,"rejected_prediction_tokens":0},"prompt_tokens":1317,"prompt_tokens_details":{"audio_tokens":0,"cached_tokens":0},"total_tokens":1412}}</t>
  </si>
  <si>
    <t>Essentials：灰色连帽卫衣，采用高克重纯棉毛圈面料，柔软厚实保暖。胸前立体“ESSENTIALS FEAR OF GOD”标识简约醒目，宽松廓形搭配落肩设计，休闲街头风格彰显潮流态度。男女同款，兼具舒适与时尚，适合秋冬日常穿搭。</t>
  </si>
  <si>
    <t>Arc teryx</t>
  </si>
  <si>
    <t>239</t>
  </si>
  <si>
    <t>{"choices":[{"content_filter_results":{"hate":{"filtered":false,"severity":"safe"},"protected_material_code":{"filtered":false,"detected":false},"protected_material_text":{"filtered":false,"detected":false},"self_harm":{"filtered":false,"severity":"safe"},"sexual":{"filtered":false,"severity":"safe"},"violence":{"filtered":false,"severity":"safe"}},"finish_reason":"stop","index":0,"logprobs":null,"message":{"annotations":[],"content":"Arc'teryx Black GORE-TEX Waterproof Outdoor Jacket","refusal":null,"role":"assistant"}}],"created":1776061286,"id":"chatcmpl-DU4xiH011Vsk367s02scggxM1IolB","model":"gpt-5-chat-2025-10-03","object":"chat.completion","prompt_filter_results":[{"prompt_index":0,"content_filter_results":{"hate":{"filtered":false,"severity":"safe"},"jailbreak":{"filtered":false,"detected":false},"self_harm":{"filtered":false,"severity":"safe"},"sexual":{"filtered":false,"severity":"safe"},"violence":{"filtered":false,"severity":"safe"}}}],"system_fingerprint":"fp_ad66631dec","usage":{"completion_tokens":13,"completion_tokens_details":{"accepted_prediction_tokens":0,"audio_tokens":0,"reasoning_tokens":0,"rejected_prediction_tokens":0},"prompt_tokens":892,"prompt_tokens_details":{"audio_tokens":0,"cached_tokens":0},"total_tokens":905}}</t>
  </si>
  <si>
    <t>Arc'teryx Black GORE-TEX Waterproof Outdoor Jacket</t>
  </si>
  <si>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Arc'teryx Black Waterproof Jacket features GORE-TEX 3-layer fabric, lightweight, windproof and breathable. Minimalist design with logo, adjustable hood, and waterproof zippers for all-weather outdoor wear.","refusal":null,"role":"assistant"}}],"created":1776044975,"id":"chatcmpl-DU0idPu2lJGpSK6k3az3LtsKsKSWK","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ad66631dec","usage":{"completion_tokens":44,"completion_tokens_details":{"accepted_prediction_tokens":0,"audio_tokens":0,"reasoning_tokens":0,"rejected_prediction_tokens":0},"prompt_tokens":929,"prompt_tokens_details":{"audio_tokens":0,"cached_tokens":0},"total_tokens":973}}</t>
  </si>
  <si>
    <t>{"alt-svc":"h3=\":443\"; ma=2592000","apim-request-id":"edb87085-a4df-4c38-ad2d-546e5525fe5a","azureml-model-session":"d20260402084046-4209e968","connection":"close","content-length":"1442","content-type":"application/json","date":"Mon, 13 Apr 2026 01:49:37 GMT","skip-error-remapping":"true","strict-transport-security":"max-age=31536000; includeSubDomains; preload","via":"1.1 Caddy","x-accel-buffering":"no","x-content-type-options":"nosniff","x-ms-client-request-id":"Not-Set","x-ms-is-spilled-over":"false","x-ms-rai-invoked":"true","x-ms-region":"Australia East","x-new-api-version":"0.4.25-alpha.4","x-oneapi-request-id":"2026041301493480581695JC9wxT8k","x-ratelimit-abusepenalty-active":"False","x-ratelimit-limit-requests":"1000","x-ratelimit-limit-tokens":"1000000","x-ratelimit-remaining-requests":"999","x-ratelimit-remaining-tokens":"998823","x-ratelimit-renewalperiod-requests":"60","x-ratelimit-renewalperiod-tokens":"60","x-ratelimit-reset-requests":"60","x-ratelimit-reset-tokens":"70","x-request-id":"24f87329-1947-4491-a34f-04395a2c5630","x-shellapi-request-id":"202604130949344388020587551990"}</t>
  </si>
  <si>
    <t>Arc'teryx Black Waterproof Jacket features GORE-TEX 3-layer fabric, lightweight, windproof and breathable. Minimalist design with logo, adjustable hood, and waterproof zippers for all-weather outdoor wear.</t>
  </si>
  <si>
    <t>{"choices":[{"content_filter_results":{"hate":{"filtered":false,"severity":"safe"},"protected_material_code":{"filtered":false,"detected":false},"protected_material_text":{"filtered":false,"detected":false},"self_harm":{"filtered":false,"severity":"safe"},"sexual":{"filtered":false,"severity":"safe"},"violence":{"filtered":false,"severity":"safe"}},"finish_reason":"stop","index":0,"logprobs":null,"message":{"annotations":[],"content":"Arc'teryx, Jacket, kakobuy, kakebuy2026, kekobuysheet, kakobuysheet2026, 2026kakobuy, kakobuyspreadsheeet, kakobuylink, kakebuylist, Kakobuy MEGA Spreadsheet, kakobuysheetfind, kakobuysheetfind2026, 2026kakobuysheetfind, kakobuysheet2026","refusal":null,"role":"assistant"}}],"created":1776061501,"id":"chatcmpl-DU51BsqhxRiYp9ZM6A6IyborjaRMM","model":"gpt-5-chat-2025-10-03","object":"chat.completion","prompt_filter_results":[{"prompt_index":0,"content_filter_results":{"hate":{"filtered":false,"severity":"safe"},"jailbreak":{"filtered":false,"detected":false},"self_harm":{"filtered":false,"severity":"safe"},"sexual":{"filtered":false,"severity":"safe"},"violence":{"filtered":false,"severity":"safe"}}}],"system_fingerprint":"fp_ad66631dec","usage":{"completion_tokens":93,"completion_tokens_details":{"accepted_prediction_tokens":0,"audio_tokens":0,"reasoning_tokens":0,"rejected_prediction_tokens":0},"prompt_tokens":785,"prompt_tokens_details":{"audio_tokens":0,"cached_tokens":0},"total_tokens":878}}</t>
  </si>
  <si>
    <t>Arc'teryx, Jacket, kakobuy, kakebuy2026, kekobuysheet, kakobuysheet2026, 2026kakobuy, kakobuyspreadsheeet, kakobuylink, kakebuylist, Kakobuy MEGA Spreadsheet, kakobuysheetfind, kakobuysheetfind2026, 2026kakobuysheetfind, kakobuysheet2026</t>
  </si>
  <si>
    <t>recvgxFjjAvJpJ</t>
  </si>
  <si>
    <t>arcteryx-black-gore-tex-waterproof-jacket-recvgxfjjavjpj</t>
  </si>
  <si>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Arc'teryx：黑色防水冲锋衣，采用GORE-TEX三层面料，轻盈透气兼防风雨。极简立体剪裁展现都市机能美学，胸前品牌标志彰显专业户外精神。配备可调节风帽与防水拉链设计，适合男女全年户外穿搭，集功能与时尚于一身。","refusal":null,"role":"assistant"}}],"created":1776044459,"id":"chatcmpl-DU0aJO1AP9Ph1vbrmqb2nKN2RNxRI","model":"gpt-5-chat-2025-10-03","object":"chat.completion","prompt_filter_results":[{"prompt_index":0,"content_filter_results":{"hate":{"filtered":false,"severity":"safe"},"jailbreak":{"detected":false,"filtered":false},"self_harm":{"filtered":false,"severity":"safe"},"sexual":{"filtered":false,"severity":"safe"},"violence":{"filtered":false,"severity":"safe"}}}],"system_fingerprint":"fp_ad66631dec","usage":{"completion_tokens":91,"completion_tokens_details":{"accepted_prediction_tokens":0,"audio_tokens":0,"reasoning_tokens":0,"rejected_prediction_tokens":0},"prompt_tokens":1308,"prompt_tokens_details":{"audio_tokens":0,"cached_tokens":0},"total_tokens":1399}}</t>
  </si>
  <si>
    <t>Arc'teryx：黑色防水冲锋衣，采用GORE-TEX三层面料，轻盈透气兼防风雨。极简立体剪裁展现都市机能美学，胸前品牌标志彰显专业户外精神。配备可调节风帽与防水拉链设计，适合男女全年户外穿搭，集功能与时尚于一身。</t>
  </si>
  <si>
    <t>148</t>
  </si>
  <si>
    <t>{"choices":[{"content_filter_result":{"error":{"code":"content_filter_error","message":"The contents are not filtered"}},"content_filter_results":{},"finish_reason":"stop","index":0,"logprobs":null,"message":{"annotations":[],"content":"PantsOther Retro Purple Unisex Cotton Loose Sweatpants","refusal":null,"role":"assistant"}}],"created":1776061236,"id":"chatcmpl-DU4wuuK11axfsrWvULBavyRq3bfqh","model":"gpt-5-chat-2025-10-03","object":"chat.completion","prompt_filter_results":[{"prompt_index":1,"content_filter_result":{"sexual":{"filtered":false,"severity":"safe"},"violence":{"filtered":false,"severity":"safe"},"hate":{"filtered":false,"severity":"safe"},"self_harm":{"filtered":false,"severity":"safe"}}},{"prompt_index":0,"content_filter_result":{}}],"system_fingerprint":"fp_ad66631dec","usage":{"completion_tokens":12,"completion_tokens_details":{"accepted_prediction_tokens":0,"audio_tokens":0,"reasoning_tokens":0,"rejected_prediction_tokens":0},"prompt_tokens":879,"prompt_tokens_details":{"audio_tokens":0,"cached_tokens":0},"total_tokens":891}}</t>
  </si>
  <si>
    <t>PantsOther Retro Purple Unisex Cotton Loose Sweatpants</t>
  </si>
  <si>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PantsOther Retro Casual Purple Sweatpants feature soft thick cotton, loose straight cut, and drawstring waist. Unisex design blends comfort with streetwear flair for a modern vintage sporty style.","refusal":null,"role":"assistant"}}],"created":1776044911,"id":"chatcmpl-DU0hbjTmHL0eLsaCyMI9EziBdwoy6","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ad66631dec","usage":{"completion_tokens":39,"completion_tokens_details":{"accepted_prediction_tokens":0,"audio_tokens":0,"reasoning_tokens":0,"rejected_prediction_tokens":0},"prompt_tokens":899,"prompt_tokens_details":{"audio_tokens":0,"cached_tokens":0},"total_tokens":938}}</t>
  </si>
  <si>
    <t>{"alt-svc":"h3=\":443\"; ma=2592000","apim-request-id":"74b774e0-7568-41cc-af11-81e77857a707","azureml-model-session":"d20260402083108-57a85543","connection":"close","content-length":"1433","content-type":"application/json","date":"Mon, 13 Apr 2026 01:48:33 GMT","skip-error-remapping":"true","strict-transport-security":"max-age=31536000; includeSubDomains; preload","via":"1.1 Caddy","x-accel-buffering":"no","x-content-type-options":"nosniff","x-ms-client-request-id":"Not-Set","x-ms-is-spilled-over":"false","x-ms-rai-invoked":"true","x-ms-region":"Japan East","x-new-api-version":"0.4.25-alpha.4","x-oneapi-request-id":"20260413014830342208190LxQh5WJO","x-ratelimit-abusepenalty-active":"False","x-ratelimit-limit-requests":"1000","x-ratelimit-limit-tokens":"1000000","x-ratelimit-remaining-requests":"999","x-ratelimit-remaining-tokens":"998836","x-ratelimit-renewalperiod-requests":"60","x-ratelimit-renewalperiod-tokens":"60","x-ratelimit-reset-requests":"60","x-ratelimit-reset-tokens":"69","x-request-id":"dca1228e-f7b3-4575-8ba4-4b1424457913","x-shellapi-request-id":"2026041309483030479409759107421"}</t>
  </si>
  <si>
    <t>PantsOther Retro Casual Purple Sweatpants feature soft thick cotton, loose straight cut, and drawstring waist. Unisex design blends comfort with streetwear flair for a modern vintage sporty style.</t>
  </si>
  <si>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PantsOther,kakobuy,kakebuy2026,kekobuysheet,kakobuysheet2026,2026kakobuy,kakobuyspreadsheeet,kakobuylink,kakebuylist,Kakobuy MEGA Spreadsheet,kakobuysheetfind,kakobuysheetfind2026,2026kakobuysheetfind,kakobuysheet2026","refusal":null,"role":"assistant"}}],"created":1776061383,"id":"chatcmpl-DU4zHHTdAoPCi83QvVAcxgjjE3598","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ad66631dec","usage":{"completion_tokens":86,"completion_tokens_details":{"accepted_prediction_tokens":0,"audio_tokens":0,"reasoning_tokens":0,"rejected_prediction_tokens":0},"prompt_tokens":782,"prompt_tokens_details":{"audio_tokens":0,"cached_tokens":0},"total_tokens":868}}</t>
  </si>
  <si>
    <t>PantsOther,kakobuy,kakebuy2026,kekobuysheet,kakobuysheet2026,2026kakobuy,kakobuyspreadsheeet,kakobuylink,kakebuylist,Kakobuy MEGA Spreadsheet,kakobuysheetfind,kakobuysheetfind2026,2026kakobuysheetfind,kakobuysheet2026</t>
  </si>
  <si>
    <t>Retro Casual, Purple, Unisex, Comfort, Streetwear</t>
  </si>
  <si>
    <t>recvgxFjjA95Pp</t>
  </si>
  <si>
    <t>retro-purple-unisex-cotton-loose-sweatpants-recvgxfjja95pp</t>
  </si>
  <si>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复古休闲紫色运动长裤，柔软厚实棉质面料，宽松直筒剪裁搭配抽绳设计，兼具舒适与街头潮流感，男女同款百搭单品，展现现代复古运动风。","refusal":null,"role":"assistant"}}],"created":1776044379,"id":"chatcmpl-DU0Z1b1HiEM0EVepJLKiVf7chiL7f","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ad66631dec","usage":{"completion_tokens":62,"completion_tokens_details":{"accepted_prediction_tokens":0,"audio_tokens":0,"reasoning_tokens":0,"rejected_prediction_tokens":0},"prompt_tokens":1306,"prompt_tokens_details":{"audio_tokens":0,"cached_tokens":0},"total_tokens":1368}}</t>
  </si>
  <si>
    <t>复古休闲紫色运动长裤，柔软厚实棉质面料，宽松直筒剪裁搭配抽绳设计，兼具舒适与街头潮流感，男女同款百搭单品，展现现代复古运动风。</t>
  </si>
  <si>
    <t>Stone Island</t>
  </si>
  <si>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Stone Island Grey Hooded Down Winter Jacket","refusal":null,"role":"assistant"}}],"created":1776061169,"id":"chatcmpl-DU4vprpr9MQUJboxyCFlnKu3Y59l8","model":"gpt-5-chat-2025-10-03","object":"chat.completion","prompt_filter_results":[{"prompt_index":1,"content_filter_result":{"sexual":{"filtered":false,"severity":"safe"},"violence":{"filtered":false,"severity":"safe"},"hate":{"filtered":false,"severity":"safe"},"self_harm":{"filtered":false,"severity":"safe"}}},{"prompt_index":0,"content_filter_result":{}}],"system_fingerprint":"fp_ad66631dec","usage":{"completion_tokens":9,"completion_tokens_details":{"accepted_prediction_tokens":0,"audio_tokens":0,"reasoning_tokens":0,"rejected_prediction_tokens":0},"prompt_tokens":876,"prompt_tokens_details":{"audio_tokens":0,"cached_tokens":0},"total_tokens":885}}</t>
  </si>
  <si>
    <t>Stone Island Grey Hooded Down Winter Jacket</t>
  </si>
  <si>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Stone Island Grey Hooded Down Jacket crafted from high-density windproof fabric and premium down fill; features iconic compass badge, sleek urban design, perfect for winter street or outdoor wear.","refusal":null,"role":"assistant"}}],"created":1776045009,"id":"chatcmpl-DU0jB7xR6Ni5cckQCcjcEe90UPLAe","model":"gpt-5-chat-2025-10-03","object":"chat.completion","prompt_filter_results":[{"prompt_index":0,"content_filter_results":{"hate":{"filtered":false,"severity":"safe"},"jailbreak":{"detected":false,"filtered":false},"self_harm":{"filtered":false,"severity":"safe"},"sexual":{"filtered":false,"severity":"safe"},"violence":{"filtered":false,"severity":"safe"}}}],"system_fingerprint":"fp_ad66631dec","usage":{"completion_tokens":37,"completion_tokens_details":{"accepted_prediction_tokens":0,"audio_tokens":0,"reasoning_tokens":0,"rejected_prediction_tokens":0},"prompt_tokens":929,"prompt_tokens_details":{"audio_tokens":0,"cached_tokens":0},"total_tokens":966}}</t>
  </si>
  <si>
    <t>{"alt-svc":"h3=\":443\"; ma=2592000","apim-request-id":"06fb0e4d-3948-4b9c-ac58-d7777624fabd","azureml-model-session":"d20260405225800-40f19e54","connection":"close","content-length":"1408","content-type":"application/json","date":"Mon, 13 Apr 2026 01:50:09 GMT","skip-error-remapping":"true","strict-transport-security":"max-age=31536000; includeSubDomains; preload","via":"1.1 Caddy","x-accel-buffering":"no","x-content-type-options":"nosniff","x-ms-client-request-id":"Not-Set","x-ms-is-spilled-over":"false","x-ms-rai-invoked":"true","x-ms-region":"East US 2","x-new-api-version":"0.4.25-alpha.4","x-oneapi-request-id":"202604130150081528135301D4AFhUM","x-ratelimit-abusepenalty-active":"False","x-ratelimit-limit-requests":"1000","x-ratelimit-limit-tokens":"1000000","x-ratelimit-remaining-requests":"999","x-ratelimit-remaining-tokens":"998824","x-ratelimit-renewalperiod-requests":"60","x-ratelimit-renewalperiod-tokens":"60","x-ratelimit-reset-requests":"60","x-ratelimit-reset-tokens":"70","x-request-id":"ce9437f3-5e4a-4c5f-b846-50405437e2b5","x-shellapi-request-id":"2026041309500811042198201592422"}</t>
  </si>
  <si>
    <t>Stone Island Grey Hooded Down Jacket crafted from high-density windproof fabric and premium down fill; features iconic compass badge, sleek urban design, perfect for winter street or outdoor wear.</t>
  </si>
  <si>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Stone Island, Jackets, kakobuy, kakebuy2026, kekobuysheet, kakobuysheet2026, 2026kakobuy, kakobuyspreadsheeet, kakobuylink, kakebuylist, Kakobuy MEGA Spreadsheet, kakobuysheetfind, kakobuysheetfind2026, 2026kakobuysheetfind, kakobuysheet2026","refusal":null,"role":"assistant"}}],"created":1776061347,"id":"chatcmpl-DU4yhARd79FuS6MUNQ4sPWWIxx5e3","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ad66631dec","usage":{"completion_tokens":91,"completion_tokens_details":{"accepted_prediction_tokens":0,"audio_tokens":0,"reasoning_tokens":0,"rejected_prediction_tokens":0},"prompt_tokens":783,"prompt_tokens_details":{"audio_tokens":0,"cached_tokens":0},"total_tokens":874}}</t>
  </si>
  <si>
    <t>Stone Island, Jackets, kakobuy, kakebuy2026, kekobuysheet, kakobuysheet2026, 2026kakobuy, kakobuyspreadsheeet, kakobuylink, kakebuylist, Kakobuy MEGA Spreadsheet, kakobuysheetfind, kakobuysheetfind2026, 2026kakobuysheetfind, kakobuysheet2026</t>
  </si>
  <si>
    <t>Winter, Streetwear, Outdoor, Grey, Windproof</t>
  </si>
  <si>
    <t>recvgxFjjA3xDS</t>
  </si>
  <si>
    <t>stone-island-grey-hooded-down-winter-jacket-recvgxFjjA3xDS</t>
  </si>
  <si>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Stone Island：灰色连帽羽绒夹克，甄选高密防风面料与优质羽绒填充，保暖轻盈。袖侧标志性罗盘徽章彰显品牌辨识度，简约挺括剪裁融合都市机能风格，男女皆宜，冬季出街或户外穿搭皆显时尚格调。","refusal":null,"role":"assistant"}}],"created":1776044241,"id":"chatcmpl-DU0WnOy9aFMNOVkfW0FvfiZPu1rSM","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ad66631dec","usage":{"completion_tokens":86,"completion_tokens_details":{"accepted_prediction_tokens":0,"audio_tokens":0,"reasoning_tokens":0,"rejected_prediction_tokens":0},"prompt_tokens":1318,"prompt_tokens_details":{"audio_tokens":0,"cached_tokens":0},"total_tokens":1404}}</t>
  </si>
  <si>
    <t>Stone Island：灰色连帽羽绒夹克，甄选高密防风面料与优质羽绒填充，保暖轻盈。袖侧标志性罗盘徽章彰显品牌辨识度，简约挺括剪裁融合都市机能风格，男女皆宜，冬季出街或户外穿搭皆显时尚格调。</t>
  </si>
  <si>
    <t>Headwear</t>
  </si>
  <si>
    <t>Eric Emanuel</t>
  </si>
  <si>
    <t>76</t>
  </si>
  <si>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Eric Emanuel Black Cotton 3D Logo Baseball Cap","refusal":null,"role":"assistant"}}],"created":1776061284,"id":"chatcmpl-DU4xg7KbeRnuhqXvM4F6pmStAqzSJ","model":"gpt-5-chat-2025-10-03","object":"chat.completion","prompt_filter_results":[{"prompt_index":0,"content_filter_results":{"hate":{"filtered":false,"severity":"safe"},"jailbreak":{"detected":false,"filtered":false},"self_harm":{"filtered":false,"severity":"safe"},"sexual":{"filtered":false,"severity":"safe"},"violence":{"filtered":false,"severity":"safe"}}}],"system_fingerprint":"fp_ad66631dec","usage":{"completion_tokens":11,"completion_tokens_details":{"accepted_prediction_tokens":0,"audio_tokens":0,"reasoning_tokens":0,"rejected_prediction_tokens":0},"prompt_tokens":880,"prompt_tokens_details":{"audio_tokens":0,"cached_tokens":0},"total_tokens":891}}</t>
  </si>
  <si>
    <t>Eric Emanuel Black Cotton 3D Logo Baseball Cap</t>
  </si>
  <si>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Eric Emanuel black baseball cap crafted from high-density cotton, featuring bold yellow 3D embroidered logo, side brand detail, structured six-panel flat brim design, unisex streetwear fashion style.","refusal":null,"role":"assistant"}}],"created":1776044960,"id":"chatcmpl-DU0iOPyCNbYJjz6zJPbDOb4tFC3Lj","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ad66631dec","usage":{"completion_tokens":39,"completion_tokens_details":{"accepted_prediction_tokens":0,"audio_tokens":0,"reasoning_tokens":0,"rejected_prediction_tokens":0},"prompt_tokens":947,"prompt_tokens_details":{"audio_tokens":0,"cached_tokens":0},"total_tokens":986}}</t>
  </si>
  <si>
    <t>{"alt-svc":"h3=\":443\"; ma=2592000","apim-request-id":"fb61fd20-d8f7-4b86-9dac-b8a053aa316e","azureml-model-session":"d20260402083108-57a85543","connection":"close","content-length":"1436","content-type":"application/json","date":"Mon, 13 Apr 2026 01:49:22 GMT","skip-error-remapping":"true","strict-transport-security":"max-age=31536000; includeSubDomains; preload","via":"1.1 Caddy","x-accel-buffering":"no","x-content-type-options":"nosniff","x-ms-client-request-id":"Not-Set","x-ms-is-spilled-over":"false","x-ms-rai-invoked":"true","x-ms-region":"Japan East","x-new-api-version":"0.4.25-alpha.4","x-oneapi-request-id":"20260413014919467563720b9uP3AHD","x-ratelimit-abusepenalty-active":"False","x-ratelimit-limit-requests":"1000","x-ratelimit-limit-tokens":"1000000","x-ratelimit-remaining-requests":"999","x-ratelimit-remaining-tokens":"998818","x-ratelimit-renewalperiod-requests":"60","x-ratelimit-renewalperiod-tokens":"60","x-ratelimit-reset-requests":"60","x-ratelimit-reset-tokens":"70","x-request-id":"a45290bd-a1ec-45d7-9a2a-59f99935862b","x-shellapi-request-id":"2026041309491942778364594987229"}</t>
  </si>
  <si>
    <t>Eric Emanuel black baseball cap crafted from high-density cotton, featuring bold yellow 3D embroidered logo, side brand detail, structured six-panel flat brim design, unisex streetwear fashion style.</t>
  </si>
  <si>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Eric Emanuel,Headwear,kakobuy,kakebuy2026,kekobuysheet,kakobuysheet2026,2026kakobuy,kakobuyspreadsheeet,kakobuylink,kakebuylist,Kakobuy MEGA Spreadsheet,kakobuysheetfind,kakobuysheetfind2026,2026kakobuysheetfind,kakobuysheet2026","refusal":null,"role":"assistant"}}],"created":1776061387,"id":"chatcmpl-DU4zL75O1jqt7TaftGTyhlVlNdwIP","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ad66631dec","usage":{"completion_tokens":88,"completion_tokens_details":{"accepted_prediction_tokens":0,"audio_tokens":0,"reasoning_tokens":0,"rejected_prediction_tokens":0},"prompt_tokens":783,"prompt_tokens_details":{"audio_tokens":0,"cached_tokens":0},"total_tokens":871}}</t>
  </si>
  <si>
    <t>Eric Emanuel,Headwear,kakobuy,kakebuy2026,kekobuysheet,kakobuysheet2026,2026kakobuy,kakobuyspreadsheeet,kakobuylink,kakebuylist,Kakobuy MEGA Spreadsheet,kakobuysheetfind,kakobuysheetfind2026,2026kakobuysheetfind,kakobuysheet2026</t>
  </si>
  <si>
    <t>Black, Yellow, Unisex, Streetwear</t>
  </si>
  <si>
    <t>recvgxFjjADr3i</t>
  </si>
  <si>
    <t>eric-emanuel-black-cotton-3d-logo-baseball-cap-recvgxfjjadr3i</t>
  </si>
  <si>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Eric Emanuel：黑色棒球帽，采用高密度纯棉面料打造，挺括有型且透气舒适。正面亮黄色立体刺绣字母标志，侧面点缀品牌标识刺绣，彰显街头潮流态度。经典六片结构搭配平檐设计，男女通用款式，融合复古与运动元素，展现都市时尚风格，适合日常休闲与个性搭配。","refusal":null,"role":"assistant"}}],"created":1776044209,"id":"chatcmpl-DU0WHxR3VrGmSJe9quvTpVuKpGs3f","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ad66631dec","usage":{"completion_tokens":110,"completion_tokens_details":{"accepted_prediction_tokens":0,"audio_tokens":0,"reasoning_tokens":0,"rejected_prediction_tokens":0},"prompt_tokens":1306,"prompt_tokens_details":{"audio_tokens":0,"cached_tokens":0},"total_tokens":1416}}</t>
  </si>
  <si>
    <t>Eric Emanuel：黑色棒球帽，采用高密度纯棉面料打造，挺括有型且透气舒适。正面亮黄色立体刺绣字母标志，侧面点缀品牌标识刺绣，彰显街头潮流态度。经典六片结构搭配平檐设计，男女通用款式，融合复古与运动元素，展现都市时尚风格，适合日常休闲与个性搭配。</t>
  </si>
  <si>
    <t>286</t>
  </si>
  <si>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Cortiez Black Puffer Jacket Winter Unisex Streetwear","refusal":null,"role":"assistant"}}],"created":1776061169,"id":"chatcmpl-DU4vp2xvaq0ep2252f7CO4aXbPNE2","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ad66631dec","usage":{"completion_tokens":13,"completion_tokens_details":{"accepted_prediction_tokens":0,"audio_tokens":0,"reasoning_tokens":0,"rejected_prediction_tokens":0},"prompt_tokens":876,"prompt_tokens_details":{"audio_tokens":0,"cached_tokens":0},"total_tokens":889}}</t>
  </si>
  <si>
    <t>Cortiez Black Puffer Jacket Winter Unisex Streetwear</t>
  </si>
  <si>
    <t>{"choices":[{"content_filter_results":{"hate":{"filtered":false,"severity":"safe"},"protected_material_code":{"filtered":false,"detected":false},"protected_material_text":{"filtered":false,"detected":false},"self_harm":{"filtered":false,"severity":"safe"},"sexual":{"filtered":false,"severity":"safe"},"violence":{"filtered":false,"severity":"safe"}},"finish_reason":"stop","index":0,"logprobs":null,"message":{"annotations":[],"content":"Cortiez Black Puffer Jacket features lightweight windproof fabric, embroidered logo, stand collar for warmth, and unisex loose fit blending British street style with modern urban winter fashion.","refusal":null,"role":"assistant"}}],"created":1776044932,"id":"chatcmpl-DU0hwJhYW1iRsSpden71DAui3ZLpz","model":"gpt-5-chat-2025-10-03","object":"chat.completion","prompt_filter_results":[{"prompt_index":0,"content_filter_results":{"hate":{"filtered":false,"severity":"safe"},"jailbreak":{"filtered":false,"detected":false},"self_harm":{"filtered":false,"severity":"safe"},"sexual":{"filtered":false,"severity":"safe"},"violence":{"filtered":false,"severity":"safe"}}}],"system_fingerprint":"fp_ad66631dec","usage":{"completion_tokens":37,"completion_tokens_details":{"accepted_prediction_tokens":0,"audio_tokens":0,"reasoning_tokens":0,"rejected_prediction_tokens":0},"prompt_tokens":918,"prompt_tokens_details":{"audio_tokens":0,"cached_tokens":0},"total_tokens":955}}</t>
  </si>
  <si>
    <t>{"alt-svc":"h3=\":443\"; ma=2592000","apim-request-id":"565e3260-ac15-4744-8ff0-0feef9b40aa3","azureml-model-session":"d20260405234249-f9874baf","connection":"close","content-length":"1406","content-type":"application/json","date":"Mon, 13 Apr 2026 01:48:54 GMT","skip-error-remapping":"true","strict-transport-security":"max-age=31536000; includeSubDomains; preload","via":"1.1 Caddy","x-accel-buffering":"no","x-content-type-options":"nosniff","x-ms-client-request-id":"Not-Set","x-ms-is-spilled-over":"false","x-ms-rai-invoked":"true","x-ms-region":"Sweden Central","x-new-api-version":"0.4.25-alpha.4","x-oneapi-request-id":"20260413014851927694652DnMg4wKN","x-ratelimit-abusepenalty-active":"False","x-ratelimit-limit-requests":"1000","x-ratelimit-limit-tokens":"1000000","x-ratelimit-remaining-requests":"999","x-ratelimit-remaining-tokens":"998828","x-ratelimit-renewalperiod-requests":"60","x-ratelimit-renewalperiod-tokens":"60","x-ratelimit-reset-requests":"60","x-ratelimit-reset-tokens":"70","x-request-id":"56b48ba2-73be-40de-9f9f-e8c72db0289a","x-shellapi-request-id":"2026041309485187157468388299399"}</t>
  </si>
  <si>
    <t>Cortiez Black Puffer Jacket features lightweight windproof fabric, embroidered logo, stand collar for warmth, and unisex loose fit blending British street style with modern urban winter fashion.</t>
  </si>
  <si>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Cortiez, Jackets, kakobuy, kakebuy2026, kekobuysheet, kakobuysheet2026, 2026kakobuy, kakobuyspreadsheeet, kakobuylink, kakebuylist, Kakobuy MEGA Spreadsheet, kakobuysheetfind, kakobuysheetfind2026, 2026kakobuysheetfind, kakobuysheet2026","refusal":null,"role":"assistant"}}],"created":1776061513,"id":"chatcmpl-DU51NONJwj32p2BhScELJ6nbk1otl","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ad66631dec","usage":{"completion_tokens":92,"completion_tokens_details":{"accepted_prediction_tokens":0,"audio_tokens":0,"reasoning_tokens":0,"rejected_prediction_tokens":0},"prompt_tokens":783,"prompt_tokens_details":{"audio_tokens":0,"cached_tokens":0},"total_tokens":875}}</t>
  </si>
  <si>
    <t>Black, Streetwear, Winter, Windproof, Unisex</t>
  </si>
  <si>
    <t>recvgxFjjA7XUb</t>
  </si>
  <si>
    <t>cortiez-black-puffer-jacket-recvgxFjjA7XUb</t>
  </si>
  <si>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Cortiez 黑色高蓬羽绒夹克，选用轻盈防风面料，胸前刺绣品牌标识彰显街头质感，立领设计提升保暖性与层次感，宽松剪裁适合男女穿搭，融合英伦街头风与现代机能元素，展现都市冬季时尚态度。","refusal":null,"role":"assistant"}}],"created":1776044292,"id":"chatcmpl-DU0XcnwnjTAvyvlsDC6CaaTMs71Zi","model":"gpt-5-chat-2025-10-03","object":"chat.completion","prompt_filter_results":[{"prompt_index":0,"content_filter_results":{"hate":{"filtered":false,"severity":"safe"},"jailbreak":{"detected":false,"filtered":false},"self_harm":{"filtered":false,"severity":"safe"},"sexual":{"filtered":false,"severity":"safe"},"violence":{"filtered":false,"severity":"safe"}}}],"system_fingerprint":"fp_ad66631dec","usage":{"completion_tokens":83,"completion_tokens_details":{"accepted_prediction_tokens":0,"audio_tokens":0,"reasoning_tokens":0,"rejected_prediction_tokens":0},"prompt_tokens":1302,"prompt_tokens_details":{"audio_tokens":0,"cached_tokens":0},"total_tokens":1385}}</t>
  </si>
  <si>
    <t>Cortiez 黑色高蓬羽绒夹克，选用轻盈防风面料，胸前刺绣品牌标识彰显街头质感，立领设计提升保暖性与层次感，宽松剪裁适合男女穿搭，融合英伦街头风与现代机能元素，展现都市冬季时尚态度。</t>
  </si>
  <si>
    <t>Cheng Kelun</t>
  </si>
  <si>
    <t>92</t>
  </si>
  <si>
    <t>{"choices":[{"content_filter_results":{"hate":{"filtered":false,"severity":"safe"},"protected_material_code":{"detected":false,"filtered":false},"protected_material_text":{"detected":false,"filtered":false},"self_harm":{"filtered":false,"severity":"safe"},"sexual":{"filtered":false,"severity":"low"},"violence":{"filtered":false,"severity":"safe"}},"finish_reason":"stop","index":0,"logprobs":null,"message":{"annotations":[],"content":"Cheng Kelun Men’s Grey Cotton Stretch Boxer Briefs","refusal":null,"role":"assistant"}}],"created":1776061166,"id":"chatcmpl-DU4vmNK5cEZX6b2ds1CPpTa8gNrBE","model":"gpt-5-chat-2025-10-03","object":"chat.completion","prompt_filter_results":[{"prompt_index":0,"content_filter_results":{"hate":{"filtered":false,"severity":"safe"},"jailbreak":{"detected":false,"filtered":false},"self_harm":{"filtered":false,"severity":"safe"},"sexual":{"filtered":false,"severity":"safe"},"violence":{"filtered":false,"severity":"safe"}}}],"system_fingerprint":"fp_ad66631dec","usage":{"completion_tokens":13,"completion_tokens_details":{"accepted_prediction_tokens":0,"audio_tokens":0,"reasoning_tokens":0,"rejected_prediction_tokens":0},"prompt_tokens":886,"prompt_tokens_details":{"audio_tokens":0,"cached_tokens":0},"total_tokens":899}}</t>
  </si>
  <si>
    <t>Cheng Kelun Men’s Grey Cotton Stretch Boxer Briefs</t>
  </si>
  <si>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Cheng Kelun Men’s Grey Stretch Boxer Briefs, crafted from soft cotton-spandex blend, feature branded waistband, supportive fit, breathable comfort, and sleek modern design for daily urban luxury style.","refusal":null,"role":"assistant"}}],"created":1776045033,"id":"chatcmpl-DU0jZCFD23p1h6jMTh9P99uTPpqJ2","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ad66631dec","usage":{"completion_tokens":41,"completion_tokens_details":{"accepted_prediction_tokens":0,"audio_tokens":0,"reasoning_tokens":0,"rejected_prediction_tokens":0},"prompt_tokens":916,"prompt_tokens_details":{"audio_tokens":0,"cached_tokens":0},"total_tokens":957}}</t>
  </si>
  <si>
    <t>{"alt-svc":"h3=\":443\"; ma=2592000","apim-request-id":"c18da557-222a-46f6-b6cd-08b7b75060c0","azureml-model-session":"d20260405234249-f9874baf","connection":"close","content-length":"1440","content-type":"application/json","date":"Mon, 13 Apr 2026 01:50:35 GMT","skip-error-remapping":"true","strict-transport-security":"max-age=31536000; includeSubDomains; preload","via":"1.1 Caddy","x-accel-buffering":"no","x-content-type-options":"nosniff","x-ms-client-request-id":"Not-Set","x-ms-is-spilled-over":"false","x-ms-rai-invoked":"true","x-ms-region":"Korea Central","x-new-api-version":"0.4.25-alpha.4","x-oneapi-request-id":"20260413015032528710066fUIsZs2l","x-ratelimit-abusepenalty-active":"False","x-ratelimit-limit-requests":"1000","x-ratelimit-limit-tokens":"1000000","x-ratelimit-remaining-requests":"999","x-ratelimit-remaining-tokens":"998830","x-ratelimit-renewalperiod-requests":"60","x-ratelimit-renewalperiod-tokens":"60","x-ratelimit-reset-requests":"60","x-ratelimit-reset-tokens":"70","x-request-id":"726e8ce8-c6c3-4cc7-9cef-ed1027a3e90d","x-shellapi-request-id":"2026041309503249329342580422681"}</t>
  </si>
  <si>
    <t>Cheng Kelun Men’s Grey Stretch Boxer Briefs, crafted from soft cotton-spandex blend, feature branded waistband, supportive fit, breathable comfort, and sleek modern design for daily urban luxury style.</t>
  </si>
  <si>
    <t>{"choices":[{"content_filter_results":{"hate":{"filtered":false,"severity":"safe"},"protected_material_code":{"filtered":false,"detected":false},"protected_material_text":{"filtered":false,"detected":false},"self_harm":{"filtered":false,"severity":"safe"},"sexual":{"filtered":false,"severity":"safe"},"violence":{"filtered":false,"severity":"safe"}},"finish_reason":"stop","index":0,"logprobs":null,"message":{"annotations":[],"content":"Cheng Kelun,Pants,kakobuy,kakebuy2026,kekobuysheet,kakobuysheet2026,2026kakobuy,kakobuyspreadsheeet,kakobuylink,kakebuylist,Kakobuy MEGA Spreadsheet,kakobuysheetfind,kakobuysheetfind2026,2026kakobuysheetfind,kakobuysheet2026","refusal":null,"role":"assistant"}}],"created":1776061462,"id":"chatcmpl-DU50YT0qaDI3VbdSQsf8dhlmsxRjB","model":"gpt-5-chat-2025-10-03","object":"chat.completion","prompt_filter_results":[{"prompt_index":0,"content_filter_results":{"hate":{"filtered":false,"severity":"safe"},"jailbreak":{"filtered":false,"detected":false},"self_harm":{"filtered":false,"severity":"safe"},"sexual":{"filtered":false,"severity":"safe"},"violence":{"filtered":false,"severity":"safe"}}}],"system_fingerprint":"fp_ad66631dec","usage":{"completion_tokens":89,"completion_tokens_details":{"accepted_prediction_tokens":0,"audio_tokens":0,"reasoning_tokens":0,"rejected_prediction_tokens":0},"prompt_tokens":785,"prompt_tokens_details":{"audio_tokens":0,"cached_tokens":0},"total_tokens":874}}</t>
  </si>
  <si>
    <t>Cheng Kelun,Pants,kakobuy,kakebuy2026,kekobuysheet,kakobuysheet2026,2026kakobuy,kakobuyspreadsheeet,kakobuylink,kakebuylist,Kakobuy MEGA Spreadsheet,kakobuysheetfind,kakobuysheetfind2026,2026kakobuysheetfind,kakobuysheet2026</t>
  </si>
  <si>
    <t>Grey, Stretch, Breathable, Modern, Men</t>
  </si>
  <si>
    <t>recvgxFjjAqIbT</t>
  </si>
  <si>
    <t>cheng-kelun-grey-cotton-stretch-boxer-briefs-recvgxFjjAqIbT</t>
  </si>
  <si>
    <t>{"choices":[{"content_filter_results":{"hate":{"filtered":false,"severity":"safe"},"protected_material_code":{"filtered":false,"detected":false},"protected_material_text":{"filtered":false,"detected":false},"self_harm":{"filtered":false,"severity":"safe"},"sexual":{"filtered":false,"severity":"safe"},"violence":{"filtered":false,"severity":"safe"}},"finish_reason":"stop","index":0,"logprobs":null,"message":{"annotations":[],"content":"Cheng Kelun灰色男士弹力平角内裤，甄选柔滑棉氨纶混纺面料，腰头印品牌标识，版型贴合支撑性强，简约时尚设计彰显都市轻奢格调，舒适透气适合全天穿着。","refusal":null,"role":"assistant"}}],"created":1776044184,"id":"chatcmpl-DU0Vsn3ExqBSGo2u9PtEANfn3d1ck","model":"gpt-5-chat-2025-10-03","object":"chat.completion","prompt_filter_results":[{"prompt_index":0,"content_filter_results":{"hate":{"filtered":false,"severity":"safe"},"jailbreak":{"filtered":false,"detected":false},"self_harm":{"filtered":false,"severity":"safe"},"sexual":{"filtered":false,"severity":"safe"},"violence":{"filtered":false,"severity":"safe"}}}],"system_fingerprint":"fp_ad66631dec","usage":{"completion_tokens":73,"completion_tokens_details":{"accepted_prediction_tokens":0,"audio_tokens":0,"reasoning_tokens":0,"rejected_prediction_tokens":0},"prompt_tokens":1318,"prompt_tokens_details":{"audio_tokens":0,"cached_tokens":0},"total_tokens":1391}}</t>
  </si>
  <si>
    <t>Cheng Kelun灰色男士弹力平角内裤，甄选柔滑棉氨纶混纺面料，腰头印品牌标识，版型贴合支撑性强，简约时尚设计彰显都市轻奢格调，舒适透气适合全天穿着。</t>
  </si>
  <si>
    <t>The North  Face</t>
  </si>
  <si>
    <t>390</t>
  </si>
  <si>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The North Face Unisex Black Puffer Down Jacket","refusal":null,"role":"assistant"}}],"created":1776061238,"id":"chatcmpl-DU4wwN6et8iqVlLcliFewxk0QcI3l","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ad66631dec","usage":{"completion_tokens":11,"completion_tokens_details":{"accepted_prediction_tokens":0,"audio_tokens":0,"reasoning_tokens":0,"rejected_prediction_tokens":0},"prompt_tokens":876,"prompt_tokens_details":{"audio_tokens":0,"cached_tokens":0},"total_tokens":887}}</t>
  </si>
  <si>
    <t>The North Face Unisex Black Puffer Down Jacket</t>
  </si>
  <si>
    <t>{"choices":[{"content_filter_results":{"hate":{"filtered":false,"severity":"safe"},"protected_material_code":{"filtered":false,"detected":false},"protected_material_text":{"filtered":false,"detected":false},"self_harm":{"filtered":false,"severity":"safe"},"sexual":{"filtered":false,"severity":"safe"},"violence":{"filtered":false,"severity":"safe"}},"finish_reason":"stop","index":0,"logprobs":null,"message":{"annotations":[],"content":"The North Face black down jacket, crafted from premium windproof waterproof nylon with a stand collar, lightweight warm down fill, unisex urban casual winter essential with simple street style.","refusal":null,"role":"assistant"}}],"created":1776061014,"id":"chatcmpl-DU4tKhpkNKnpMPgqCRQ6MaHPQPp5l","model":"gpt-5-chat-2025-10-03","object":"chat.completion","prompt_filter_results":[{"prompt_index":0,"content_filter_results":{"hate":{"filtered":false,"severity":"safe"},"jailbreak":{"filtered":false,"detected":false},"self_harm":{"filtered":false,"severity":"safe"},"sexual":{"filtered":false,"severity":"safe"},"violence":{"filtered":false,"severity":"safe"}}}],"system_fingerprint":"fp_ad66631dec","usage":{"completion_tokens":36,"completion_tokens_details":{"accepted_prediction_tokens":0,"audio_tokens":0,"reasoning_tokens":0,"rejected_prediction_tokens":0},"prompt_tokens":914,"prompt_tokens_details":{"audio_tokens":0,"cached_tokens":0},"total_tokens":950}}</t>
  </si>
  <si>
    <t>{"alt-svc":"h3=\":443\"; ma=2592000","apim-request-id":"942f16c3-93be-4a2c-929d-d2b72275a20f","azureml-model-session":"d20260402075109-1fc5a0ec","connection":"close","content-length":"1405","content-type":"application/json","date":"Mon, 13 Apr 2026 06:16:55 GMT","skip-error-remapping":"true","strict-transport-security":"max-age=31536000; includeSubDomains; preload","via":"1.1 Caddy","x-accel-buffering":"no","x-content-type-options":"nosniff","x-ms-client-request-id":"Not-Set","x-ms-is-spilled-over":"false","x-ms-rai-invoked":"true","x-ms-region":"East US","x-new-api-version":"0.4.25-alpha.4","x-oneapi-request-id":"20260413061653276000085VonhcFo1","x-ratelimit-abusepenalty-active":"False","x-ratelimit-limit-requests":"1000","x-ratelimit-limit-tokens":"1000000","x-ratelimit-remaining-requests":"999","x-ratelimit-remaining-tokens":"998826","x-ratelimit-renewalperiod-requests":"60","x-ratelimit-renewalperiod-tokens":"60","x-ratelimit-reset-requests":"60","x-ratelimit-reset-tokens":"70","x-request-id":"516170d4-d6f1-45b5-9e48-84303683f391","x-shellapi-request-id":"2026041314165322458289607439641"}</t>
  </si>
  <si>
    <t>The North Face black down jacket, crafted from premium windproof waterproof nylon with a stand collar, lightweight warm down fill, unisex urban casual winter essential with simple street style.</t>
  </si>
  <si>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The North Face, Jackets, kakobuy, kakebuy2026, kekobuysheet, kakobuysheet2026, 2026kakobuy, kakobuyspreadsheeet, kakobuylink, kakebuylist, Kakobuy MEGA Spreadsheet, kakobuysheetfind, kakobuysheetfind2026, 2026kakobuysheetfind, kakobuysheet2026","refusal":null,"role":"assistant"}}],"created":1776061407,"id":"chatcmpl-DU4zfSpy30vn3MRsgSRgt4UfMSnd0","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ad66631dec","usage":{"completion_tokens":92,"completion_tokens_details":{"accepted_prediction_tokens":0,"audio_tokens":0,"reasoning_tokens":0,"rejected_prediction_tokens":0},"prompt_tokens":785,"prompt_tokens_details":{"audio_tokens":0,"cached_tokens":0},"total_tokens":877}}</t>
  </si>
  <si>
    <t>The North Face, Jackets, kakobuy, kakebuy2026, kekobuysheet, kakobuysheet2026, 2026kakobuy, kakobuyspreadsheeet, kakobuylink, kakebuylist, Kakobuy MEGA Spreadsheet, kakobuysheetfind, kakobuysheetfind2026, 2026kakobuysheetfind, kakobuysheet2026</t>
  </si>
  <si>
    <t>Unisex, Winter, Windproof, Waterproof, Nylon, Street</t>
  </si>
  <si>
    <t>recvgxFjjAKl1F</t>
  </si>
  <si>
    <t>the-north-face-unisex-black-puffer-down-jacket-recvgxfjjakl1f</t>
  </si>
  <si>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The North Face 黑色羽绒夹克，采用优质防风防水尼龙面料，立领设计保暖舒适，蓬松轻盈的羽绒填充带来卓越御寒性能，简约街头风格，男女皆宜，冬季都市休闲必备款。","refusal":null,"role":"assistant"}}],"created":1776044338,"id":"chatcmpl-DU0YM3lLHhtcBdVdPGZyOprLKnLbD","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ad66631dec","usage":{"completion_tokens":71,"completion_tokens_details":{"accepted_prediction_tokens":0,"audio_tokens":0,"reasoning_tokens":0,"rejected_prediction_tokens":0},"prompt_tokens":1318,"prompt_tokens_details":{"audio_tokens":0,"cached_tokens":0},"total_tokens":1389}}</t>
  </si>
  <si>
    <t>The North Face 黑色羽绒夹克，采用优质防风防水尼龙面料，立领设计保暖舒适，蓬松轻盈的羽绒填充带来卓越御寒性能，简约街头风格，男女皆宜，冬季都市休闲必备款。</t>
  </si>
  <si>
    <t>ERD</t>
  </si>
  <si>
    <t>244</t>
  </si>
  <si>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ERD Enfants Riches Déprimés Black Collage Print Hoodie","refusal":null,"role":"assistant"}}],"created":1776061264,"id":"chatcmpl-DU4xMEfCjmWplpr7uX1b3zwtdWS0m","model":"gpt-5-chat-2025-10-03","object":"chat.completion","prompt_filter_results":[{"prompt_index":0,"content_filter_results":{"hate":{"filtered":false,"severity":"safe"},"jailbreak":{"detected":false,"filtered":false},"self_harm":{"filtered":false,"severity":"safe"},"sexual":{"filtered":false,"severity":"safe"},"violence":{"filtered":false,"severity":"safe"}}}],"system_fingerprint":"fp_ad66631dec","usage":{"completion_tokens":15,"completion_tokens_details":{"accepted_prediction_tokens":0,"audio_tokens":0,"reasoning_tokens":0,"rejected_prediction_tokens":0},"prompt_tokens":890,"prompt_tokens_details":{"audio_tokens":0,"cached_tokens":0},"total_tokens":905}}</t>
  </si>
  <si>
    <t>ERD Enfants Riches Déprimés Black Collage Print Hoodie</t>
  </si>
  <si>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HoodesERD Enfants Riches Déprimés black collage print hoodie in heavy cotton, loose fit with artistic deconstruction prints, drawstring hood, kangaroo pocket, unisex avant-garde street style.","refusal":null,"role":"assistant"}}],"created":1776044966,"id":"chatcmpl-DU0iUgikV24XQyudTJCxulsO2No4N","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ad66631dec","usage":{"completion_tokens":44,"completion_tokens_details":{"accepted_prediction_tokens":0,"audio_tokens":0,"reasoning_tokens":0,"rejected_prediction_tokens":0},"prompt_tokens":935,"prompt_tokens_details":{"audio_tokens":0,"cached_tokens":0},"total_tokens":979}}</t>
  </si>
  <si>
    <t>{"alt-svc":"h3=\":443\"; ma=2592000","apim-request-id":"5bbb2bae-6c31-4d96-a9d5-bf4b49c346c5","azureml-model-session":"d20260402084046-4209e968","connection":"close","content-length":"1430","content-type":"application/json","date":"Mon, 13 Apr 2026 01:49:28 GMT","skip-error-remapping":"true","strict-transport-security":"max-age=31536000; includeSubDomains; preload","via":"1.1 Caddy","x-accel-buffering":"no","x-content-type-options":"nosniff","x-ms-client-request-id":"Not-Set","x-ms-is-spilled-over":"false","x-ms-rai-invoked":"true","x-ms-region":"Australia East","x-new-api-version":"0.4.25-alpha.4","x-oneapi-request-id":"20260413014925948841057OcmKX8zY","x-ratelimit-abusepenalty-active":"False","x-ratelimit-limit-requests":"1000","x-ratelimit-limit-tokens":"1000000","x-ratelimit-remaining-requests":"999","x-ratelimit-remaining-tokens":"998822","x-ratelimit-renewalperiod-requests":"60","x-ratelimit-renewalperiod-tokens":"60","x-ratelimit-reset-requests":"60","x-ratelimit-reset-tokens":"70","x-request-id":"cc93f6af-8340-43aa-ba7d-bd5d923c1647","x-shellapi-request-id":"2026041309492591206890603822258"}</t>
  </si>
  <si>
    <t>HoodesERD Enfants Riches Déprimés black collage print hoodie in heavy cotton, loose fit with artistic deconstruction prints, drawstring hood, kangaroo pocket, unisex avant-garde street style.</t>
  </si>
  <si>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Enfants Riches Déprimés, hoodie, kakobuy, kakebuy2026, kekobuysheet, kakobuysheet2026, 2026kakobuy, kakobuyspreadsheeet, kakobuylink, kakebuylist, Kakobuy MEGA Spreadsheet, kakobuysheetfind, kakobuysheetfind2026, 2026kakobuysheetfind, kakobuysheet2026","refusal":null,"role":"assistant"}}],"created":1776061491,"id":"chatcmpl-DU511CQgftS2ORwkHwKwh4b3oaZfu","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ad66631dec","usage":{"completion_tokens":96,"completion_tokens_details":{"accepted_prediction_tokens":0,"audio_tokens":0,"reasoning_tokens":0,"rejected_prediction_tokens":0},"prompt_tokens":784,"prompt_tokens_details":{"audio_tokens":0,"cached_tokens":0},"total_tokens":880}}</t>
  </si>
  <si>
    <t>Enfants Riches Déprimés, hoodie, kakobuy, kakebuy2026, kekobuysheet, kakobuysheet2026, 2026kakobuy, kakobuyspreadsheeet, kakobuylink, kakebuylist, Kakobuy MEGA Spreadsheet, kakobuysheetfind, kakobuysheetfind2026, 2026kakobuysheetfind, kakobuysheet2026</t>
  </si>
  <si>
    <t>Black, Unisex, Streetwear</t>
  </si>
  <si>
    <t>recvgxFjjAhFKd</t>
  </si>
  <si>
    <t>erd-enfants-riches-deprimes-black-collage-print-hoodie-recvgxfjjahfkd</t>
  </si>
  <si>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Enfants Riches Déprimés：黑色拼贴印花连帽卫衣，采用高克重纯棉面料，廓形宽松。胸前与袖部拼贴艺术印花图腾，彰显解构主义美学。抽绳连帽与袋鼠口袋设计，兼具街头与先锋风格，男女皆宜，展现颓废艺术的独特个性。","refusal":null,"role":"assistant"}}],"created":1776044277,"id":"chatcmpl-DU0XNnGzHa4hsMyK8s8A4p3Uchx3M","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ad66631dec","usage":{"completion_tokens":94,"completion_tokens_details":{"accepted_prediction_tokens":0,"audio_tokens":0,"reasoning_tokens":0,"rejected_prediction_tokens":0},"prompt_tokens":1313,"prompt_tokens_details":{"audio_tokens":0,"cached_tokens":0},"total_tokens":1407}}</t>
  </si>
  <si>
    <t>Enfants Riches Déprimés：黑色拼贴印花连帽卫衣，采用高克重纯棉面料，廓形宽松。胸前与袖部拼贴艺术印花图腾，彰显解构主义美学。抽绳连帽与袋鼠口袋设计，兼具街头与先锋风格，男女皆宜，展现颓废艺术的独特个性。</t>
  </si>
  <si>
    <t>Gallery Dept</t>
  </si>
  <si>
    <t>288</t>
  </si>
  <si>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Gallery Dept Classic Black Hoodie Unisex Streetwear","refusal":null,"role":"assistant"}}],"created":1776061266,"id":"chatcmpl-DU4xO1ajZYaTwOl0Gqvf2A2jMDBWy","model":"gpt-5-chat-2025-10-03","object":"chat.completion","prompt_filter_results":[{"prompt_index":1,"content_filter_result":{"sexual":{"filtered":false,"severity":"safe"},"violence":{"filtered":false,"severity":"safe"},"hate":{"filtered":false,"severity":"safe"},"self_harm":{"filtered":false,"severity":"safe"}}},{"prompt_index":0,"content_filter_result":{}}],"system_fingerprint":"fp_ad66631dec","usage":{"completion_tokens":10,"completion_tokens_details":{"accepted_prediction_tokens":0,"audio_tokens":0,"reasoning_tokens":0,"rejected_prediction_tokens":0},"prompt_tokens":893,"prompt_tokens_details":{"audio_tokens":0,"cached_tokens":0},"total_tokens":903}}</t>
  </si>
  <si>
    <t>Gallery Dept Classic Black Hoodie Unisex Streetwear</t>
  </si>
  <si>
    <t>{"choices":[{"content_filter_results":{"hate":{"filtered":false,"severity":"safe"},"protected_material_code":{"filtered":false,"detected":false},"protected_material_text":{"filtered":false,"detected":false},"self_harm":{"filtered":false,"severity":"safe"},"sexual":{"filtered":false,"severity":"safe"},"violence":{"filtered":false,"severity":"safe"}},"finish_reason":"stop","index":0,"logprobs":null,"message":{"annotations":[],"content":"Gallery Dept Classic Black Hoodie – Soft cotton unisex streetwear featuring front “DEPT.” logo and back “GALLERY DEPT. HOLLYWOOD, CA.” print. Casual retro design for a trendy urban look.","refusal":null,"role":"assistant"}}],"created":1776045005,"id":"chatcmpl-DU0j7xdZv2wuYJfFtcXaS66jzEmKJ","model":"gpt-5-chat-2025-10-03","object":"chat.completion","prompt_filter_results":[{"prompt_index":0,"content_filter_results":{"hate":{"filtered":false,"severity":"safe"},"jailbreak":{"filtered":false,"detected":false},"self_harm":{"filtered":false,"severity":"safe"},"sexual":{"filtered":false,"severity":"safe"},"violence":{"filtered":false,"severity":"safe"}}}],"system_fingerprint":"fp_ad66631dec","usage":{"completion_tokens":45,"completion_tokens_details":{"accepted_prediction_tokens":0,"audio_tokens":0,"reasoning_tokens":0,"rejected_prediction_tokens":0},"prompt_tokens":912,"prompt_tokens_details":{"audio_tokens":0,"cached_tokens":0},"total_tokens":957}}</t>
  </si>
  <si>
    <t>{"alt-svc":"h3=\":443\"; ma=2592000","apim-request-id":"35bd5103-d6a8-4f6c-8ebc-323825549cc2","azureml-model-session":"d20260402074105-51db401e","connection":"close","content-length":"1408","content-type":"application/json","date":"Mon, 13 Apr 2026 01:50:06 GMT","skip-error-remapping":"true","strict-transport-security":"max-age=31536000; includeSubDomains; preload","via":"1.1 Caddy","x-accel-buffering":"no","x-content-type-options":"nosniff","x-ms-client-request-id":"Not-Set","x-ms-is-spilled-over":"false","x-ms-rai-invoked":"true","x-ms-region":"Sweden Central","x-new-api-version":"0.4.25-alpha.4","x-oneapi-request-id":"20260413015004731642412BBHufq5g","x-ratelimit-abusepenalty-active":"False","x-ratelimit-limit-requests":"1000","x-ratelimit-limit-tokens":"1000000","x-ratelimit-remaining-requests":"999","x-ratelimit-remaining-tokens":"998823","x-ratelimit-renewalperiod-requests":"60","x-ratelimit-renewalperiod-tokens":"60","x-ratelimit-reset-requests":"60","x-ratelimit-reset-tokens":"70","x-request-id":"c910cf3f-4949-4778-a6c9-617670109db3","x-shellapi-request-id":"2026041309500469518381594570415"}</t>
  </si>
  <si>
    <t>Gallery Dept Classic Black Hoodie – Soft cotton unisex streetwear featuring front “DEPT.” logo and back “GALLERY DEPT. HOLLYWOOD, CA.” print. Casual retro design for a trendy urban look.</t>
  </si>
  <si>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Gallery Dept, Hoodie, kakobuy, kakebuy2026, kekobuysheet, kakobuysheet2026, 2026kakobuy, kakobuyspreadsheeet, kakobuylink, kakebuylist, Kakobuy MEGA Spreadsheet, kakobuysheetfind, kakobuysheetfind2026, 2026kakobuysheetfind, kakobuysheet2026","refusal":null,"role":"assistant"}}],"created":1776061349,"id":"chatcmpl-DU4yj1aRYVr5XwNeuXVGhTTs2J7Yy","model":"gpt-5-chat-2025-10-03","object":"chat.completion","prompt_filter_results":[{"prompt_index":0,"content_filter_results":{"hate":{"filtered":false,"severity":"safe"},"jailbreak":{"detected":false,"filtered":false},"self_harm":{"filtered":false,"severity":"safe"},"sexual":{"filtered":false,"severity":"safe"},"violence":{"filtered":false,"severity":"safe"}}}],"system_fingerprint":"fp_ad66631dec","usage":{"completion_tokens":91,"completion_tokens_details":{"accepted_prediction_tokens":0,"audio_tokens":0,"reasoning_tokens":0,"rejected_prediction_tokens":0},"prompt_tokens":784,"prompt_tokens_details":{"audio_tokens":0,"cached_tokens":0},"total_tokens":875}}</t>
  </si>
  <si>
    <t>Gallery Dept, Hoodie, kakobuy, kakebuy2026, kekobuysheet, kakobuysheet2026, 2026kakobuy, kakobuyspreadsheeet, kakobuylink, kakebuylist, Kakobuy MEGA Spreadsheet, kakobuysheetfind, kakobuysheetfind2026, 2026kakobuysheetfind, kakobuysheet2026</t>
  </si>
  <si>
    <t>Streetwear, Unisex, Retro, Black</t>
  </si>
  <si>
    <t>recvgxFjjAf36m</t>
  </si>
  <si>
    <t>gallery-dept-classic-black-hoodie-recvgxfjjaf36m</t>
  </si>
  <si>
    <t>{"choices":[{"content_filter_results":{"hate":{"filtered":false,"severity":"safe"},"protected_material_code":{"filtered":false,"detected":false},"protected_material_text":{"filtered":false,"detected":false},"self_harm":{"filtered":false,"severity":"safe"},"sexual":{"filtered":false,"severity":"safe"},"violence":{"filtered":false,"severity":"safe"}},"finish_reason":"stop","index":0,"logprobs":null,"message":{"annotations":[],"content":"Gallery Dept：经典系列黑色连帽卫衣，柔软纯棉材质，正面简约“DEPT.”字样，背后标志性“GALLERY DEPT. HOLLYWOOD, CA.”印花，街头复古设计，男女皆宜，舒适百搭，展现都市潮流个性。","refusal":null,"role":"assistant"}}],"created":1776044445,"id":"chatcmpl-DU0a5JIt6JJbJ3aWhlWw6nWno4UiI","model":"gpt-5-chat-2025-10-03","object":"chat.completion","prompt_filter_results":[{"prompt_index":0,"content_filter_results":{"hate":{"filtered":false,"severity":"safe"},"jailbreak":{"filtered":false,"detected":false},"self_harm":{"filtered":false,"severity":"safe"},"sexual":{"filtered":false,"severity":"safe"},"violence":{"filtered":false,"severity":"safe"}}}],"system_fingerprint":"fp_ad66631dec","usage":{"completion_tokens":75,"completion_tokens_details":{"accepted_prediction_tokens":0,"audio_tokens":0,"reasoning_tokens":0,"rejected_prediction_tokens":0},"prompt_tokens":1305,"prompt_tokens_details":{"audio_tokens":0,"cached_tokens":0},"total_tokens":1380}}</t>
  </si>
  <si>
    <t>Gallery Dept：经典系列黑色连帽卫衣，柔软纯棉材质，正面简约“DEPT.”字样，背后标志性“GALLERY DEPT. HOLLYWOOD, CA.”印花，街头复古设计，男女皆宜，舒适百搭，展现都市潮流个性。</t>
  </si>
  <si>
    <t>Superme</t>
  </si>
  <si>
    <t>310</t>
  </si>
  <si>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HoodesSuperme Classic Gray 3D Embroidered Cotton Hoodie","refusal":null,"role":"assistant"}}],"created":1776061170,"id":"chatcmpl-DU4vq5jItDFXAtgUqz2W8ruCgEbrV","model":"gpt-5-chat-2025-10-03","object":"chat.completion","prompt_filter_results":[{"prompt_index":0,"content_filter_results":{"hate":{"filtered":false,"severity":"safe"},"jailbreak":{"detected":false,"filtered":false},"self_harm":{"filtered":false,"severity":"safe"},"sexual":{"filtered":false,"severity":"safe"},"violence":{"filtered":false,"severity":"safe"}}}],"system_fingerprint":"fp_ad66631dec","usage":{"completion_tokens":16,"completion_tokens_details":{"accepted_prediction_tokens":0,"audio_tokens":0,"reasoning_tokens":0,"rejected_prediction_tokens":0},"prompt_tokens":895,"prompt_tokens_details":{"audio_tokens":0,"cached_tokens":0},"total_tokens":911}}</t>
  </si>
  <si>
    <t>HoodesSuperme Classic Gray 3D Embroidered Cotton Hoodie</t>
  </si>
  <si>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HoodesSupermeSupreme Classic Gray Hoodie – premium cotton, soft and skin-friendly, 3D embroidered logo, minimalist street style for men and women, vintage 90s vibes, perfect for urban casual looks.","refusal":null,"role":"assistant"}}],"created":1776061105,"id":"chatcmpl-DU4unMsDOdrj1sKEUhpiXqawjDTLT","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ad66631dec","usage":{"completion_tokens":46,"completion_tokens_details":{"accepted_prediction_tokens":0,"audio_tokens":0,"reasoning_tokens":0,"rejected_prediction_tokens":0},"prompt_tokens":902,"prompt_tokens_details":{"audio_tokens":0,"cached_tokens":0},"total_tokens":948}}</t>
  </si>
  <si>
    <t>{"alt-svc":"h3=\":443\"; ma=2592000","apim-request-id":"409bdcd5-385a-475e-8056-13609f1581f8","azureml-model-session":"d20260405225800-40f19e54","connection":"close","content-length":"1436","content-type":"application/json","date":"Mon, 13 Apr 2026 06:18:27 GMT","skip-error-remapping":"true","strict-transport-security":"max-age=31536000; includeSubDomains; preload","via":"1.1 Caddy","x-accel-buffering":"no","x-content-type-options":"nosniff","x-ms-client-request-id":"Not-Set","x-ms-is-spilled-over":"false","x-ms-rai-invoked":"true","x-ms-region":"UK South","x-new-api-version":"0.4.25-alpha.4","x-oneapi-request-id":"20260413061823768756906y06hsPAy","x-ratelimit-abusepenalty-active":"False","x-ratelimit-limit-requests":"1000","x-ratelimit-limit-tokens":"1000000","x-ratelimit-remaining-requests":"999","x-ratelimit-remaining-tokens":"998831","x-ratelimit-renewalperiod-requests":"60","x-ratelimit-renewalperiod-tokens":"60","x-ratelimit-reset-requests":"60","x-ratelimit-reset-tokens":"70","x-request-id":"da5bacf2-b390-43df-b7cf-d5d83edc4b4a","x-shellapi-request-id":"2026041314182368760917759066215"}</t>
  </si>
  <si>
    <t>HoodesSupermeSupreme Classic Gray Hoodie – premium cotton, soft and skin-friendly, 3D embroidered logo, minimalist street style for men and women, vintage 90s vibes, perfect for urban casual looks.</t>
  </si>
  <si>
    <t>{"choices":[{"content_filter_result":{"error":{"code":"content_filter_error","message":"The contents are not filtered"}},"content_filter_results":{},"finish_reason":"stop","index":0,"logprobs":null,"message":{"annotations":[],"content":"Supreme,hoodie,kakobuy,kakebuy2026,kekobuysheet,kakobuysheet2026,2026kakobuy,kakobuyspreadsheeet,kakobuylink,kakebuylist,Kakobuy MEGA Spreadsheet,kakobuysheetfind,kakobuysheetfind2026,2026kakobuysheetfind,kakobuysheet2026","refusal":null,"role":"assistant"}}],"created":1776061473,"id":"chatcmpl-DU50jDypgmsnkCOnCjEk8tgyUZpUi","model":"gpt-5-chat-2025-10-03","object":"chat.completion","prompt_filter_results":[{"prompt_index":0,"content_filter_results":{"hate":{"filtered":false,"severity":"safe"},"jailbreak":{"filtered":false,"detected":false},"self_harm":{"filtered":false,"severity":"safe"},"sexual":{"filtered":false,"severity":"safe"},"violence":{"filtered":false,"severity":"safe"}}}],"system_fingerprint":"fp_ad66631dec","usage":{"completion_tokens":88,"completion_tokens_details":{"accepted_prediction_tokens":0,"audio_tokens":0,"reasoning_tokens":0,"rejected_prediction_tokens":0},"prompt_tokens":784,"prompt_tokens_details":{"audio_tokens":0,"cached_tokens":0},"total_tokens":872}}</t>
  </si>
  <si>
    <t>Supreme,hoodie,kakobuy,kakebuy2026,kekobuysheet,kakobuysheet2026,2026kakobuy,kakobuyspreadsheeet,kakobuylink,kakebuylist,Kakobuy MEGA Spreadsheet,kakobuysheetfind,kakobuysheetfind2026,2026kakobuysheetfind,kakobuysheet2026</t>
  </si>
  <si>
    <t>Supreme, Gray, Minimalist, Street, Unisex, Vintage</t>
  </si>
  <si>
    <t>recvgxFjjAAfnQ</t>
  </si>
  <si>
    <t>hoodes-superme-classic-gray-3d-embroidered-cotton-hoodie-recvgxfjjnafnq</t>
  </si>
  <si>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Supreme：经典灰色连帽卫衣，优质纯棉材质柔软亲肤，胸前立体刺绣logo设计，极简街头风格，男女皆宜，适合都市休闲与潮流搭配，展现90年代复古时尚气息。","refusal":null,"role":"assistant"}}],"created":1776044369,"id":"chatcmpl-DU0YriHlsJmJPqDSHFl3yIyOliLzG","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ad66631dec","usage":{"completion_tokens":67,"completion_tokens_details":{"accepted_prediction_tokens":0,"audio_tokens":0,"reasoning_tokens":0,"rejected_prediction_tokens":0},"prompt_tokens":1301,"prompt_tokens_details":{"audio_tokens":0,"cached_tokens":1280},"total_tokens":1368}}</t>
  </si>
  <si>
    <t>Supreme：经典灰色连帽卫衣，优质纯棉材质柔软亲肤，胸前立体刺绣logo设计，极简街头风格，男女皆宜，适合都市休闲与潮流搭配，展现90年代复古时尚气息。</t>
  </si>
  <si>
    <t>CP Company</t>
  </si>
  <si>
    <t>152</t>
  </si>
  <si>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CP Company Goggle Hooded Zip Cotton Hoodie","refusal":null,"role":"assistant"}}],"created":1776061276,"id":"chatcmpl-DU4xYAZMWtLLuigiyzhQqFJYWsK3X","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ad66631dec","usage":{"completion_tokens":10,"completion_tokens_details":{"accepted_prediction_tokens":0,"audio_tokens":0,"reasoning_tokens":0,"rejected_prediction_tokens":0},"prompt_tokens":887,"prompt_tokens_details":{"audio_tokens":0,"cached_tokens":0},"total_tokens":897}}</t>
  </si>
  <si>
    <t>CP Company Goggle Hooded Zip Cotton Hoodie</t>
  </si>
  <si>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CP Company blue hoodie with signature goggle hood, crafted from high-density pure cotton for softness and warmth. Zip front and kangaroo pocket blend function with 90s techwear style for men and women.","refusal":null,"role":"assistant"}}],"created":1776044912,"id":"chatcmpl-DU0hcEAWyCQVnOFLMavh4vKgnIjEQ","model":"gpt-5-chat-2025-10-03","object":"chat.completion","prompt_filter_results":[{"prompt_index":0,"content_filter_results":{"hate":{"filtered":false,"severity":"safe"},"jailbreak":{"detected":false,"filtered":false},"self_harm":{"filtered":false,"severity":"safe"},"sexual":{"filtered":false,"severity":"safe"},"violence":{"filtered":false,"severity":"safe"}}}],"system_fingerprint":"fp_ad66631dec","usage":{"completion_tokens":42,"completion_tokens_details":{"accepted_prediction_tokens":0,"audio_tokens":0,"reasoning_tokens":0,"rejected_prediction_tokens":0},"prompt_tokens":924,"prompt_tokens_details":{"audio_tokens":0,"cached_tokens":0},"total_tokens":966}}</t>
  </si>
  <si>
    <t>{"alt-svc":"h3=\":443\"; ma=2592000","apim-request-id":"739fd359-1e49-47a8-bc62-283da77a225e","azureml-model-session":"d20260402083108-57a85543","connection":"close","content-length":"1413","content-type":"application/json","date":"Mon, 13 Apr 2026 01:48:33 GMT","skip-error-remapping":"true","strict-transport-security":"max-age=31536000; includeSubDomains; preload","via":"1.1 Caddy","x-accel-buffering":"no","x-content-type-options":"nosniff","x-ms-client-request-id":"Not-Set","x-ms-is-spilled-over":"false","x-ms-rai-invoked":"true","x-ms-region":"East US 2","x-new-api-version":"0.4.25-alpha.4","x-oneapi-request-id":"20260413014831228082723pN1Q4ckA","x-ratelimit-abusepenalty-active":"False","x-ratelimit-limit-requests":"1000","x-ratelimit-limit-tokens":"1000000","x-ratelimit-remaining-requests":"999","x-ratelimit-remaining-tokens":"998825","x-ratelimit-renewalperiod-requests":"60","x-ratelimit-renewalperiod-tokens":"60","x-ratelimit-reset-requests":"60","x-ratelimit-reset-tokens":"70","x-request-id":"302f15cb-c9b7-4c5a-b663-fecd595d89b8","x-shellapi-request-id":"2026041309483116850248983504722"}</t>
  </si>
  <si>
    <t>CP Company blue hoodie with signature goggle hood, crafted from high-density pure cotton for softness and warmth. Zip front and kangaroo pocket blend function with 90s techwear style for men and women.</t>
  </si>
  <si>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HoodesCP, Hoodie, kakobuy, kakebuy2026, kekobuysheet, kakobuysheet2026, 2026kakobuy, kakobuyspreadsheeet, kakobuylink, kakebuylist, Kakobuy MEGA Spreadsheet, kakobuysheetfind, kakobuysheetfind2026, 2026kakobuysheetfind, kakobuysheet2026","refusal":null,"role":"assistant"}}],"created":1776061385,"id":"chatcmpl-DU4zJZmE4CQH70zuxMiRUGDDeK4mV","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ad66631dec","usage":{"completion_tokens":93,"completion_tokens_details":{"accepted_prediction_tokens":0,"audio_tokens":0,"reasoning_tokens":0,"rejected_prediction_tokens":0},"prompt_tokens":784,"prompt_tokens_details":{"audio_tokens":0,"cached_tokens":0},"total_tokens":877}}</t>
  </si>
  <si>
    <t>HoodesCP, Hoodie, kakobuy, kakebuy2026, kekobuysheet, kakobuysheet2026, 2026kakobuy, kakobuyspreadsheeet, kakobuylink, kakebuylist, Kakobuy MEGA Spreadsheet, kakobuysheetfind, kakobuysheetfind2026, 2026kakobuysheetfind, kakobuysheet2026</t>
  </si>
  <si>
    <t>Blue, Men's And Women's</t>
  </si>
  <si>
    <t>recvgxFjjADmPI</t>
  </si>
  <si>
    <t>cp-company-goggle-hooded-zip-cotton-hoodie-recvgxfjjadmpi</t>
  </si>
  <si>
    <t>{"choices":[{"content_filter_results":{"hate":{"filtered":false,"severity":"safe"},"protected_material_code":{"filtered":false,"detected":false},"protected_material_text":{"filtered":false,"detected":false},"self_harm":{"filtered":false,"severity":"safe"},"sexual":{"filtered":false,"severity":"safe"},"violence":{"filtered":false,"severity":"safe"}},"finish_reason":"stop","index":0,"logprobs":null,"message":{"annotations":[],"content":"CP Company：蓝色连帽卫衣，标志性护目镜设计，采用高密纯棉材质制成，触感柔软且保暖。前置拉链与袋鼠口袋兼具功能性与街头造型感，焕发90年代机能风格。男女皆宜，展现品牌都市休闲与科技感融合的独特魅力。","refusal":null,"role":"assistant"}}],"created":1776044302,"id":"chatcmpl-DU0XmsuNHSWt1Gi75Pab21I6DplVu","model":"gpt-5-chat-2025-10-03","object":"chat.completion","prompt_filter_results":[{"prompt_index":0,"content_filter_results":{"hate":{"filtered":false,"severity":"safe"},"jailbreak":{"filtered":false,"detected":false},"self_harm":{"filtered":false,"severity":"safe"},"sexual":{"filtered":false,"severity":"safe"},"violence":{"filtered":false,"severity":"safe"}}}],"system_fingerprint":"fp_ad66631dec","usage":{"completion_tokens":88,"completion_tokens_details":{"accepted_prediction_tokens":0,"audio_tokens":0,"reasoning_tokens":0,"rejected_prediction_tokens":0},"prompt_tokens":1303,"prompt_tokens_details":{"audio_tokens":0,"cached_tokens":0},"total_tokens":1391}}</t>
  </si>
  <si>
    <t>CP Company：蓝色连帽卫衣，标志性护目镜设计，采用高密纯棉材质制成，触感柔软且保暖。前置拉链与袋鼠口袋兼具功能性与街头造型感，焕发90年代机能风格。男女皆宜，展现品牌都市休闲与科技感融合的独特魅力。</t>
  </si>
  <si>
    <t>Stussy</t>
  </si>
  <si>
    <t>195</t>
  </si>
  <si>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Stussy Classic Black Long Sleeve Cotton T-Shirt","refusal":null,"role":"assistant"}}],"created":1776061215,"id":"chatcmpl-DU4wZwOUde3qTdQE9ouodEm1Pi2pl","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ad66631dec","usage":{"completion_tokens":10,"completion_tokens_details":{"accepted_prediction_tokens":0,"audio_tokens":0,"reasoning_tokens":0,"rejected_prediction_tokens":0},"prompt_tokens":886,"prompt_tokens_details":{"audio_tokens":0,"cached_tokens":0},"total_tokens":896}}</t>
  </si>
  <si>
    <t>Stussy Classic Black Long Sleeve Cotton T-Shirt</t>
  </si>
  <si>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Stussy Classic Black Long Sleeve T-Shirt features premium cotton fabric, iconic hand-drawn logo on chest, and disc totem graphic on back, unisex design inspired by 90s California street style.","refusal":null,"role":"assistant"}}],"created":1776044998,"id":"chatcmpl-DU0j0mLNXfbxyGct23LWxciLNPhvH","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ad66631dec","usage":{"completion_tokens":42,"completion_tokens_details":{"accepted_prediction_tokens":0,"audio_tokens":0,"reasoning_tokens":0,"rejected_prediction_tokens":0},"prompt_tokens":905,"prompt_tokens_details":{"audio_tokens":0,"cached_tokens":0},"total_tokens":947}}</t>
  </si>
  <si>
    <t>{"alt-svc":"h3=\":443\"; ma=2592000","apim-request-id":"7203f8b9-4051-4d33-a6be-8085d6104cc0","azureml-model-session":"d20260402084046-4209e968","connection":"close","content-length":"1429","content-type":"application/json","date":"Mon, 13 Apr 2026 01:49:59 GMT","skip-error-remapping":"true","strict-transport-security":"max-age=31536000; includeSubDomains; preload","via":"1.1 Caddy","x-accel-buffering":"no","x-content-type-options":"nosniff","x-ms-client-request-id":"Not-Set","x-ms-is-spilled-over":"false","x-ms-rai-invoked":"true","x-ms-region":"UK South","x-new-api-version":"0.4.25-alpha.4","x-oneapi-request-id":"202604130149575818880933uGrhsI9","x-ratelimit-abusepenalty-active":"False","x-ratelimit-limit-requests":"1000","x-ratelimit-limit-tokens":"1000000","x-ratelimit-remaining-requests":"999","x-ratelimit-remaining-tokens":"998830","x-ratelimit-renewalperiod-requests":"60","x-ratelimit-renewalperiod-tokens":"60","x-ratelimit-reset-requests":"60","x-ratelimit-reset-tokens":"70","x-request-id":"771d780d-402e-4a5b-8aea-c63b85cd5d9d","x-shellapi-request-id":"2026041309495753885131795518975"}</t>
  </si>
  <si>
    <t>Stussy Classic Black Long Sleeve T-Shirt features premium cotton fabric, iconic hand-drawn logo on chest, and disc totem graphic on back, unisex design inspired by 90s California street style.</t>
  </si>
  <si>
    <t>{"choices":[{"content_filter_results":{"hate":{"filtered":false,"severity":"safe"},"protected_material_code":{"filtered":false,"detected":false},"protected_material_text":{"filtered":false,"detected":false},"self_harm":{"filtered":false,"severity":"safe"},"sexual":{"filtered":false,"severity":"safe"},"violence":{"filtered":false,"severity":"safe"}},"finish_reason":"stop","index":0,"logprobs":null,"message":{"annotations":[],"content":"Stussy, T-Shirts, kakobuy, kakebuy2026, kekobuysheet, kakobuysheet2026, 2026kakobuy, kakobuyspreadsheeet, kakobuylink, kakebuylist, Kakobuy MEGA Spreadsheet, kakobuysheetfind, kakobuysheetfind2026, 2026kakobuysheetfind, kakobuysheet2026","refusal":null,"role":"assistant"}}],"created":1776061346,"id":"chatcmpl-DU4ygBKpFIEZLhhGWtKh1WkAKlNrj","model":"gpt-5-chat-2025-10-03","object":"chat.completion","prompt_filter_results":[{"prompt_index":1,"content_filter_result":{"sexual":{"filtered":false,"severity":"safe"},"violence":{"filtered":false,"severity":"safe"},"hate":{"filtered":false,"severity":"safe"},"self_harm":{"filtered":false,"severity":"safe"}}},{"prompt_index":0,"content_filter_result":{}}],"system_fingerprint":"fp_ad66631dec","usage":{"completion_tokens":92,"completion_tokens_details":{"accepted_prediction_tokens":0,"audio_tokens":0,"reasoning_tokens":0,"rejected_prediction_tokens":0},"prompt_tokens":783,"prompt_tokens_details":{"audio_tokens":0,"cached_tokens":0},"total_tokens":875}}</t>
  </si>
  <si>
    <t>Stussy, T-Shirts, kakobuy, kakebuy2026, kekobuysheet, kakobuysheet2026, 2026kakobuy, kakobuyspreadsheeet, kakobuylink, kakebuylist, Kakobuy MEGA Spreadsheet, kakobuysheetfind, kakobuysheetfind2026, 2026kakobuysheetfind, kakobuysheet2026</t>
  </si>
  <si>
    <t>Stussy, Black, Streetwear, Unisex, Retro</t>
  </si>
  <si>
    <t>recvgxFjjAdJ7H</t>
  </si>
  <si>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Stussy：经典黑色长袖T恤，采用优质纯棉材质，胸前印有标志性手写Logo，背面圆盘图腾设计融合街头艺术风格，男女皆宜款，舒适透气，展现90年代加州潮流精神。","refusal":null,"role":"assistant"}}],"created":1776044330,"id":"chatcmpl-DU0YE3jDSXcxzGeS346AiRpDClYrw","model":"gpt-5-chat-2025-10-03","object":"chat.completion","prompt_filter_results":[{"prompt_index":0,"content_filter_results":{"hate":{"filtered":false,"severity":"safe"},"jailbreak":{"detected":false,"filtered":false},"self_harm":{"filtered":false,"severity":"safe"},"sexual":{"filtered":false,"severity":"safe"},"violence":{"filtered":false,"severity":"safe"}}}],"system_fingerprint":"fp_ad66631dec","usage":{"completion_tokens":67,"completion_tokens_details":{"accepted_prediction_tokens":0,"audio_tokens":0,"reasoning_tokens":0,"rejected_prediction_tokens":0},"prompt_tokens":1308,"prompt_tokens_details":{"audio_tokens":0,"cached_tokens":0},"total_tokens":1375}}</t>
  </si>
  <si>
    <t>Stussy：经典黑色长袖T恤，采用优质纯棉材质，胸前印有标志性手写Logo，背面圆盘图腾设计融合街头艺术风格，男女皆宜款，舒适透气，展现90年代加州潮流精神。</t>
  </si>
  <si>
    <t>Bape</t>
  </si>
  <si>
    <t>228</t>
  </si>
  <si>
    <t>{"choices":[{"content_filter_results":{"hate":{"filtered":false,"severity":"safe"},"protected_material_code":{"filtered":false,"detected":false},"protected_material_text":{"filtered":false,"detected":false},"self_harm":{"filtered":false,"severity":"safe"},"sexual":{"filtered":false,"severity":"safe"},"violence":{"filtered":false,"severity":"safe"}},"finish_reason":"stop","index":0,"logprobs":null,"message":{"annotations":[],"content":"Bape Black Shark Camo Hoodie Unisex Streetwear","refusal":null,"role":"assistant"}}],"created":1776061215,"id":"chatcmpl-DU4wZN1LCOORoYZuoDeY5VbcQBnVO","model":"gpt-5-chat-2025-10-03","object":"chat.completion","prompt_filter_results":[{"prompt_index":0,"content_filter_results":{"hate":{"filtered":false,"severity":"safe"},"jailbreak":{"filtered":false,"detected":false},"self_harm":{"filtered":false,"severity":"safe"},"sexual":{"filtered":false,"severity":"safe"},"violence":{"filtered":false,"severity":"safe"}}}],"system_fingerprint":"fp_ad66631dec","usage":{"completion_tokens":12,"completion_tokens_details":{"accepted_prediction_tokens":0,"audio_tokens":0,"reasoning_tokens":0,"rejected_prediction_tokens":0},"prompt_tokens":887,"prompt_tokens_details":{"audio_tokens":0,"cached_tokens":0},"total_tokens":899}}</t>
  </si>
  <si>
    <t>Bape Black Shark Camo Hoodie Unisex Streetwear</t>
  </si>
  <si>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HoodesBapeBape Black Shark Camo Hoodie, made of soft cotton with iconic shark motif, street fashion unisex style, loose fit for comfort and trend, perfect for daily casual wear.","refusal":null,"role":"assistant"}}],"created":1776044928,"id":"chatcmpl-DU0hs7ReEUBmjX0xmLGtHH4G0qYDm","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ad66631dec","usage":{"completion_tokens":42,"completion_tokens_details":{"accepted_prediction_tokens":0,"audio_tokens":0,"reasoning_tokens":0,"rejected_prediction_tokens":0},"prompt_tokens":913,"prompt_tokens_details":{"audio_tokens":0,"cached_tokens":0},"total_tokens":955}}</t>
  </si>
  <si>
    <t>{"alt-svc":"h3=\":443\"; ma=2592000","apim-request-id":"5e74bee4-346f-49ee-906d-424f7dbf21fe","azureml-model-session":"d20260405212659-a9daa006","connection":"close","content-length":"1414","content-type":"application/json","date":"Mon, 13 Apr 2026 01:48:50 GMT","skip-error-remapping":"true","strict-transport-security":"max-age=31536000; includeSubDomains; preload","via":"1.1 Caddy","x-accel-buffering":"no","x-content-type-options":"nosniff","x-ms-client-request-id":"Not-Set","x-ms-is-spilled-over":"false","x-ms-rai-invoked":"true","x-ms-region":"UK South","x-new-api-version":"0.4.25-alpha.4","x-oneapi-request-id":"20260413014848445601317TQCHoVX7","x-ratelimit-abusepenalty-active":"False","x-ratelimit-limit-requests":"1000","x-ratelimit-limit-tokens":"1000000","x-ratelimit-remaining-requests":"999","x-ratelimit-remaining-tokens":"998832","x-ratelimit-renewalperiod-requests":"60","x-ratelimit-renewalperiod-tokens":"60","x-ratelimit-reset-requests":"60","x-ratelimit-reset-tokens":"70","x-request-id":"cf16f08d-77d6-47d3-85c6-bf83a0b272a4","x-shellapi-request-id":"2026041309484840285874260835255"}</t>
  </si>
  <si>
    <t>HoodesBapeBape Black Shark Camo Hoodie, made of soft cotton with iconic shark motif, street fashion unisex style, loose fit for comfort and trend, perfect for daily casual wear.</t>
  </si>
  <si>
    <t>{"choices":[{"content_filter_results":{"hate":{"filtered":false,"severity":"safe"},"protected_material_code":{"filtered":false,"detected":false},"protected_material_text":{"filtered":false,"detected":false},"self_harm":{"filtered":false,"severity":"safe"},"sexual":{"filtered":false,"severity":"safe"},"violence":{"filtered":false,"severity":"safe"}},"finish_reason":"stop","index":0,"logprobs":null,"message":{"annotations":[],"content":"Bape,Hoodie,kakobuy,kakebuy2026,kekobuysheet,kakobuysheet2026,2026kakobuy,kakobuyspreadsheeet,kakobuylink,kakebuylist,Kakobuy MEGA Spreadsheet,kakobuysheetfind,kakobuysheetfind2026,2026kakobuysheetfind,kakobuysheet2026","refusal":null,"role":"assistant"}}],"created":1776061469,"id":"chatcmpl-DU50f0nysZtfdy41ew9SZKjCX5r1c","model":"gpt-5-chat-2025-10-03","object":"chat.completion","prompt_filter_results":[{"prompt_index":1,"content_filter_result":{"sexual":{"filtered":false,"severity":"safe"},"violence":{"filtered":false,"severity":"safe"},"hate":{"filtered":false,"severity":"safe"},"self_harm":{"filtered":false,"severity":"safe"}}},{"prompt_index":0,"content_filter_result":{}}],"system_fingerprint":"fp_ad66631dec","usage":{"completion_tokens":88,"completion_tokens_details":{"accepted_prediction_tokens":0,"audio_tokens":0,"reasoning_tokens":0,"rejected_prediction_tokens":0},"prompt_tokens":784,"prompt_tokens_details":{"audio_tokens":0,"cached_tokens":0},"total_tokens":872}}</t>
  </si>
  <si>
    <t>Bape,Hoodie,kakobuy,kakebuy2026,kekobuysheet,kakobuysheet2026,2026kakobuy,kakobuyspreadsheeet,kakobuylink,kakebuylist,Kakobuy MEGA Spreadsheet,kakobuysheetfind,kakobuysheetfind2026,2026kakobuysheetfind,kakobuysheet2026</t>
  </si>
  <si>
    <t>BAPE, Streetwear, Unisex, Black</t>
  </si>
  <si>
    <t>recvgxFjjAgIUn</t>
  </si>
  <si>
    <t>bape-black-shark-camo-hoodie-recvgxfjjagiun</t>
  </si>
  <si>
    <t>{"choices":[{"content_filter_results":{"hate":{"filtered":false,"severity":"safe"},"protected_material_code":{"filtered":false,"detected":false},"protected_material_text":{"filtered":false,"detected":false},"self_harm":{"filtered":false,"severity":"safe"},"sexual":{"filtered":false,"severity":"safe"},"violence":{"filtered":false,"severity":"safe"}},"finish_reason":"stop","index":0,"logprobs":null,"message":{"annotations":[],"content":"Bape：黑色鲨鱼迷彩印花连帽卫衣，选用柔软纯棉材质，正面标志性鲨鱼图腾设计，潮流街头风格，男女同款，宽松剪裁兼具舒适与时尚感，适合日常休闲穿搭。","refusal":null,"role":"assistant"}}],"created":1776044181,"id":"chatcmpl-DU0Vp2hkqjwgdxvwH1ILCFRgFfhBd","model":"gpt-5-chat-2025-10-03","object":"chat.completion","prompt_filter_results":[{"prompt_index":0,"content_filter_results":{"hate":{"filtered":false,"severity":"safe"},"jailbreak":{"filtered":false,"detected":false},"self_harm":{"filtered":false,"severity":"safe"},"sexual":{"filtered":false,"severity":"safe"},"violence":{"filtered":false,"severity":"safe"}}}],"system_fingerprint":"fp_ad66631dec","usage":{"completion_tokens":73,"completion_tokens_details":{"accepted_prediction_tokens":0,"audio_tokens":0,"reasoning_tokens":0,"rejected_prediction_tokens":0},"prompt_tokens":1311,"prompt_tokens_details":{"audio_tokens":0,"cached_tokens":0},"total_tokens":1384}}</t>
  </si>
  <si>
    <t>Bape：黑色鲨鱼迷彩印花连帽卫衣，选用柔软纯棉材质，正面标志性鲨鱼图腾设计，潮流街头风格，男女同款，宽松剪裁兼具舒适与时尚感，适合日常休闲穿搭。</t>
  </si>
  <si>
    <t>161</t>
  </si>
  <si>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Cortiez Grey Hoodie Unisex Streetwear Cotton Pullover","refusal":null,"role":"assistant"}}],"created":1776061283,"id":"chatcmpl-DU4xffKuhn9KMiWdrc3QidGzLs1wS","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ad66631dec","usage":{"completion_tokens":13,"completion_tokens_details":{"accepted_prediction_tokens":0,"audio_tokens":0,"reasoning_tokens":0,"rejected_prediction_tokens":0},"prompt_tokens":879,"prompt_tokens_details":{"audio_tokens":0,"cached_tokens":0},"total_tokens":892}}</t>
  </si>
  <si>
    <t>Cortiez Grey Hoodie Unisex Streetwear Cotton Pullover</t>
  </si>
  <si>
    <t>{"choices":[{"content_filter_results":{"hate":{"filtered":false,"severity":"safe"},"protected_material_code":{"filtered":false,"detected":false},"protected_material_text":{"filtered":false,"detected":false},"self_harm":{"filtered":false,"severity":"safe"},"sexual":{"filtered":false,"severity":"safe"},"violence":{"filtered":false,"severity":"safe"}},"finish_reason":"stop","index":0,"logprobs":null,"message":{"annotations":[],"content":"Cortiez Grey Hoodie crafted from soft premium cotton, featuring signature olive oval logo print, loose fit with drawstring hood and kangaroo pocket for unisex street style and daily wear.","refusal":null,"role":"assistant"}}],"created":1776045018,"id":"chatcmpl-DU0jKUkQAgvfqelr8i8VUCe6YFU20","model":"gpt-5-chat-2025-10-03","object":"chat.completion","prompt_filter_results":[{"prompt_index":0,"content_filter_results":{"hate":{"filtered":false,"severity":"safe"},"jailbreak":{"filtered":false,"detected":false},"self_harm":{"filtered":false,"severity":"safe"},"sexual":{"filtered":false,"severity":"safe"},"violence":{"filtered":false,"severity":"safe"}}}],"service_tier":"default","system_fingerprint":"fp_ad66631dec","usage":{"completion_tokens":38,"completion_tokens_details":{"accepted_prediction_tokens":0,"audio_tokens":0,"reasoning_tokens":0,"rejected_prediction_tokens":0},"prompt_tokens":940,"prompt_tokens_details":{"audio_tokens":0,"cached_tokens":0},"total_tokens":978}}</t>
  </si>
  <si>
    <t>{"alt-svc":"h3=\":443\"; ma=2592000","apim-request-id":"4bc7ce12-2620-4810-a9c6-3f5e991d2718","azureml-model-session":"d20260402075109-1fc5a0ec","connection":"close","content-length":"1424","content-type":"application/json","date":"Mon, 13 Apr 2026 01:50:19 GMT","skip-error-remapping":"true","strict-transport-security":"max-age=31536000; includeSubDomains; preload","via":"1.1 Caddy","x-accel-buffering":"no","x-content-type-options":"nosniff","x-ms-client-request-id":"Not-Set","x-ms-is-spilled-over":"false","x-ms-rai-invoked":"true","x-ms-region":"Switzerland North","x-new-api-version":"0.4.25-alpha.4","x-oneapi-request-id":"202604130150174162846987Ad6QEB4","x-ratelimit-abusepenalty-active":"False","x-ratelimit-limit-requests":"1000","x-ratelimit-limit-tokens":"1000000","x-ratelimit-remaining-requests":"999","x-ratelimit-remaining-tokens":"998823","x-ratelimit-renewalperiod-requests":"60","x-ratelimit-renewalperiod-tokens":"60","x-ratelimit-reset-requests":"60","x-ratelimit-reset-tokens":"70","x-request-id":"6f6b7441-be80-4a47-a573-1b729cecde5f","x-shellapi-request-id":"2026041309501737895710768620838"}</t>
  </si>
  <si>
    <t>Cortiez Grey Hoodie crafted from soft premium cotton, featuring signature olive oval logo print, loose fit with drawstring hood and kangaroo pocket for unisex street style and daily wear.</t>
  </si>
  <si>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Cortiez,hoodie,kakobuy,kakebuy2026,kekobuysheet,kakobuysheet2026,2026kakobuy,kakobuyspreadsheeet,kakobuylink,kakebuylist,Kakobuy MEGA Spreadsheet,kakobuysheetfind,kakobuysheetfind2026,2026kakobuysheetfind,kakobuysheet2026  \nCortiez,jeans,kakobuy,kakebuy2026,kekobuysheet,kakobuysheet2026,2026kakobuy,kakobuyspreadsheeet,kakobuylink,kakebuylist,Kakobuy MEGA Spreadsheet,kakobuysheetfind,kakobuysheetfind2026,2026kakobuysheetfind,kakobuysheet2026  \nCortiez,jacket,kakobuy,kakebuy2026,kekobuysheet,kakobuysheet2026,2026kakobuy,kakobuyspreadsheeet,kakobuylink,kakebuylist,Kakobuy MEGA Spreadsheet,kakobuysheetfind,kakobuysheetfind2026,2026kakobuysheetfind,kakobuysheet2026","refusal":null,"role":"assistant"}}],"created":1776061483,"id":"chatcmpl-DU50tQHkEuNropZvhCTv8W1JWDQ8Z","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ad66631dec","usage":{"completion_tokens":266,"completion_tokens_details":{"accepted_prediction_tokens":0,"audio_tokens":0,"reasoning_tokens":0,"rejected_prediction_tokens":0},"prompt_tokens":784,"prompt_tokens_details":{"audio_tokens":0,"cached_tokens":0},"total_tokens":1050}}</t>
  </si>
  <si>
    <t>Cortiez,hoodie,kakobuy,kakebuy2026,kekobuysheet,kakobuysheet2026,2026kakobuy,kakobuyspreadsheeet,kakobuylink,kakebuylist,Kakobuy MEGA Spreadsheet,kakobuysheetfind,kakobuysheetfind2026,2026kakobuysheetfind,kakobuysheet2026  
Cortiez,jeans,kakobuy,kakebuy2026,kekobuysheet,kakobuysheet2026,2026kakobuy,kakobuyspreadsheeet,kakobuylink,kakebuylist,Kakobuy MEGA Spreadsheet,kakobuysheetfind,kakobuysheetfind2026,2026kakobuysheetfind,kakobuysheet2026  
Cortiez,jacket,kakobuy,kakebuy2026,kekobuysheet,kakobuysheet2026,2026kakobuy,kakobuyspreadsheeet,kakobuylink,kakebuylist,Kakobuy MEGA Spreadsheet,kakobuysheetfind,kakobuysheetfind2026,2026kakobuysheetfind,kakobuysheet2026</t>
  </si>
  <si>
    <t>Grey, Streetwear, Unisex</t>
  </si>
  <si>
    <t>recvgxFjjAhg2U</t>
  </si>
  <si>
    <t>cortiez-grey-hoodie-recvgxfjjahg2u</t>
  </si>
  <si>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Cortiez 灰色连帽卫衣，精选纯棉材质柔软舒适，胸前标志性橄榄形Logo印花彰显街头潮流气质，宽松剪裁搭配可调节抽绳帽设计，前置袋鼠兜实用便捷，男女皆宜，复古运动风与都市街头感融合，适合日常休闲与时尚穿搭。","refusal":null,"role":"assistant"}}],"created":1776044430,"id":"chatcmpl-DU0ZqkhRoaUKdSgkQXbJZVu0c6y8x","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ad66631dec","usage":{"completion_tokens":98,"completion_tokens_details":{"accepted_prediction_tokens":0,"audio_tokens":0,"reasoning_tokens":0,"rejected_prediction_tokens":0},"prompt_tokens":1315,"prompt_tokens_details":{"audio_tokens":0,"cached_tokens":0},"total_tokens":1413}}</t>
  </si>
  <si>
    <t>Cortiez 灰色连帽卫衣，精选纯棉材质柔软舒适，胸前标志性橄榄形Logo印花彰显街头潮流气质，宽松剪裁搭配可调节抽绳帽设计，前置袋鼠兜实用便捷，男女皆宜，复古运动风与都市街头感融合，适合日常休闲与时尚穿搭。</t>
  </si>
  <si>
    <t>Sweaters</t>
  </si>
  <si>
    <t>194</t>
  </si>
  <si>
    <t>{"choices":[{"content_filter_results":{"hate":{"filtered":false,"severity":"safe"},"protected_material_code":{"filtered":false,"detected":false},"protected_material_text":{"filtered":false,"detected":false},"self_harm":{"filtered":false,"severity":"safe"},"sexual":{"filtered":false,"severity":"safe"},"violence":{"filtered":false,"severity":"safe"}},"finish_reason":"stop","index":0,"logprobs":null,"message":{"annotations":[],"content":"SweatersOther Minimalist Dark Gray Cotton Knit Sweater","refusal":null,"role":"assistant"}}],"created":1776061196,"id":"chatcmpl-DU4wGWpJQhFFfMGnv3p9i9624GGzI","model":"gpt-5-chat-2025-10-03","object":"chat.completion","prompt_filter_results":[{"prompt_index":0,"content_filter_results":{"hate":{"filtered":false,"severity":"safe"},"jailbreak":{"filtered":false,"detected":false},"self_harm":{"filtered":false,"severity":"safe"},"sexual":{"filtered":false,"severity":"safe"},"violence":{"filtered":false,"severity":"safe"}}}],"system_fingerprint":"fp_ad66631dec","usage":{"completion_tokens":12,"completion_tokens_details":{"accepted_prediction_tokens":0,"audio_tokens":0,"reasoning_tokens":0,"rejected_prediction_tokens":0},"prompt_tokens":893,"prompt_tokens_details":{"audio_tokens":0,"cached_tokens":0},"total_tokens":905}}</t>
  </si>
  <si>
    <t>SweatersOther Minimalist Dark Gray Cotton Knit Sweater</t>
  </si>
  <si>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SweatersOther Minimalist Series dark gray knit sweater, made from high-density pure cotton, soft, warm, and shape-retaining. Classic crew neck ribbed design for men and women, perfect for casual or office wear.","refusal":null,"role":"assistant"}}],"created":1776044938,"id":"chatcmpl-DU0i2hIqzXZfxnWzrDQKgNFCzEmx8","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ad66631dec","usage":{"completion_tokens":46,"completion_tokens_details":{"accepted_prediction_tokens":0,"audio_tokens":0,"reasoning_tokens":0,"rejected_prediction_tokens":0},"prompt_tokens":917,"prompt_tokens_details":{"audio_tokens":0,"cached_tokens":0},"total_tokens":963}}</t>
  </si>
  <si>
    <t>{"alt-svc":"h3=\":443\"; ma=2592000","apim-request-id":"ff1bfbd9-3ef0-4d11-97d3-804985ae227a","azureml-model-session":"d20260402084046-4209e968","connection":"close","content-length":"1447","content-type":"application/json","date":"Mon, 13 Apr 2026 01:49:01 GMT","skip-error-remapping":"true","strict-transport-security":"max-age=31536000; includeSubDomains; preload","via":"1.1 Caddy","x-accel-buffering":"no","x-content-type-options":"nosniff","x-ms-client-request-id":"Not-Set","x-ms-is-spilled-over":"false","x-ms-rai-invoked":"true","x-ms-region":"Australia East","x-new-api-version":"0.4.25-alpha.4","x-oneapi-request-id":"20260413014856974223187dpxSU9Qk","x-ratelimit-abusepenalty-active":"False","x-ratelimit-limit-requests":"1000","x-ratelimit-limit-tokens":"1000000","x-ratelimit-remaining-requests":"999","x-ratelimit-remaining-tokens":"998830","x-ratelimit-renewalperiod-requests":"60","x-ratelimit-renewalperiod-tokens":"60","x-ratelimit-reset-requests":"60","x-ratelimit-reset-tokens":"70","x-request-id":"b4916bc2-210d-4582-9342-5b3f8f6eeb40","x-shellapi-request-id":"2026041309485693105020064682803"}</t>
  </si>
  <si>
    <t>SweatersOther Minimalist Series dark gray knit sweater, made from high-density pure cotton, soft, warm, and shape-retaining. Classic crew neck ribbed design for men and women, perfect for casual or office wear.</t>
  </si>
  <si>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Maison Margiela,Sweaters,kakobuy,kakebuy2026,kekobuysheet,kakobuysheet2026,2026kakobuy,kakobuyspreadsheeet,kakobuylink,kakebuylist,Kakobuy MEGA Spreadsheet,kakobuysheetfind,kakobuysheetfind2026,2026kakobuysheetfind,kakobuysheet2026","refusal":null,"role":"assistant"}}],"created":1776061414,"id":"chatcmpl-DU4zmzcdHXLAUW853OcdwtlLADGae","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ad66631dec","usage":{"completion_tokens":89,"completion_tokens_details":{"accepted_prediction_tokens":0,"audio_tokens":0,"reasoning_tokens":0,"rejected_prediction_tokens":0},"prompt_tokens":782,"prompt_tokens_details":{"audio_tokens":0,"cached_tokens":0},"total_tokens":871}}</t>
  </si>
  <si>
    <t>Maison Margiela,Sweaters,kakobuy,kakebuy2026,kekobuysheet,kakobuysheet2026,2026kakobuy,kakobuyspreadsheeet,kakobuylink,kakebuylist,Kakobuy MEGA Spreadsheet,kakobuysheetfind,kakobuysheetfind2026,2026kakobuysheetfind,kakobuysheet2026</t>
  </si>
  <si>
    <t>Minimalist, Dark Grey, Knit, Men's And Women's</t>
  </si>
  <si>
    <t>recvgxFjjAiLkb</t>
  </si>
  <si>
    <t>minimalist-dark-gray-cotton-knit-sweater-recvgxfjjailkb</t>
  </si>
  <si>
    <t>{"choices":[{"content_filter_results":{"hate":{"filtered":false,"severity":"safe"},"protected_material_code":{"filtered":false,"detected":false},"protected_material_text":{"filtered":false,"detected":false},"self_harm":{"filtered":false,"severity":"safe"},"sexual":{"filtered":false,"severity":"safe"},"violence":{"filtered":false,"severity":"safe"}},"finish_reason":"stop","index":0,"logprobs":null,"message":{"annotations":[],"content":"简约系列深灰色针织毛衣，甄选高密度纯棉面料，柔软保暖不易变形。圆领经典版型结合细密罗纹设计，展现低调质感美学。适合男女通勤或休闲穿搭，复古简约风格彰显精致品味。","refusal":null,"role":"assistant"}}],"created":1776044255,"id":"chatcmpl-DU0X1JrDR6bwOVODFas3NdD0DaS5Y","model":"gpt-5-chat-2025-10-03","object":"chat.completion","prompt_filter_results":[{"prompt_index":0,"content_filter_results":{"hate":{"filtered":false,"severity":"safe"},"jailbreak":{"filtered":false,"detected":false},"self_harm":{"filtered":false,"severity":"safe"},"sexual":{"filtered":false,"severity":"safe"},"violence":{"filtered":false,"severity":"safe"}}}],"system_fingerprint":"fp_ad66631dec","usage":{"completion_tokens":78,"completion_tokens_details":{"accepted_prediction_tokens":0,"audio_tokens":0,"reasoning_tokens":0,"rejected_prediction_tokens":0},"prompt_tokens":1310,"prompt_tokens_details":{"audio_tokens":0,"cached_tokens":1280},"total_tokens":1388}}</t>
  </si>
  <si>
    <t>简约系列深灰色针织毛衣，甄选高密度纯棉面料，柔软保暖不易变形。圆领经典版型结合细密罗纹设计，展现低调质感美学。适合男女通勤或休闲穿搭，复古简约风格彰显精致品味。</t>
  </si>
  <si>
    <t>325</t>
  </si>
  <si>
    <t>{"choices":[{"content_filter_results":{"hate":{"filtered":false,"severity":"safe"},"protected_material_code":{"filtered":false,"detected":false},"protected_material_text":{"filtered":false,"detected":false},"self_harm":{"filtered":false,"severity":"safe"},"sexual":{"filtered":false,"severity":"safe"},"violence":{"filtered":false,"severity":"safe"}},"finish_reason":"stop","index":0,"logprobs":null,"message":{"annotations":[],"content":"HoodesSupermeSupreme Grey Cotton Crewneck Sweatshirt","refusal":null,"role":"assistant"}}],"created":1776061215,"id":"chatcmpl-DU4wZX4yiPE0CrClZPHDrreuBnrvR","model":"gpt-5-chat-2025-10-03","object":"chat.completion","prompt_filter_results":[{"prompt_index":0,"content_filter_results":{"hate":{"filtered":false,"severity":"safe"},"jailbreak":{"filtered":false,"detected":false},"self_harm":{"filtered":false,"severity":"safe"},"sexual":{"filtered":false,"severity":"safe"},"violence":{"filtered":false,"severity":"safe"}}}],"system_fingerprint":"fp_ad66631dec","usage":{"completion_tokens":14,"completion_tokens_details":{"accepted_prediction_tokens":0,"audio_tokens":0,"reasoning_tokens":0,"rejected_prediction_tokens":0},"prompt_tokens":887,"prompt_tokens_details":{"audio_tokens":0,"cached_tokens":0},"total_tokens":901}}</t>
  </si>
  <si>
    <t>HoodesSupermeSupreme Grey Cotton Crewneck Sweatshirt</t>
  </si>
  <si>
    <t>{"choices":[{"content_filter_results":{"hate":{"filtered":false,"severity":"safe"},"protected_material_code":{"filtered":false,"detected":false},"protected_material_text":{"filtered":false,"detected":false},"self_harm":{"filtered":false,"severity":"safe"},"sexual":{"filtered":false,"severity":"safe"},"violence":{"filtered":false,"severity":"safe"}},"finish_reason":"stop","index":0,"logprobs":null,"message":{"annotations":[],"content":"HoodesSupermeSupreme grey cotton sweatshirt, featuring a minimalist design, soft skin-friendly texture, classic crewneck and ribbed cuffs. Unisex casual style for everyday wear and urban street fashion.","refusal":null,"role":"assistant"}}],"created":1776044937,"id":"chatcmpl-DU0i1lY6R4B08q33mFNA0uYkMFQBT","model":"gpt-5-chat-2025-10-03","object":"chat.completion","prompt_filter_results":[{"prompt_index":0,"content_filter_results":{"hate":{"filtered":false,"severity":"safe"},"jailbreak":{"filtered":false,"detected":false},"self_harm":{"filtered":false,"severity":"safe"},"sexual":{"filtered":false,"severity":"safe"},"violence":{"filtered":false,"severity":"safe"}}}],"system_fingerprint":"fp_ad66631dec","usage":{"completion_tokens":42,"completion_tokens_details":{"accepted_prediction_tokens":0,"audio_tokens":0,"reasoning_tokens":0,"rejected_prediction_tokens":0},"prompt_tokens":925,"prompt_tokens_details":{"audio_tokens":0,"cached_tokens":0},"total_tokens":967}}</t>
  </si>
  <si>
    <t>{"alt-svc":"h3=\":443\"; ma=2592000","apim-request-id":"db949d52-2d47-4518-8149-d51cb3c3b337","azureml-model-session":"d20260405225800-40f19e54","connection":"close","content-length":"1414","content-type":"application/json","date":"Mon, 13 Apr 2026 01:48:58 GMT","skip-error-remapping":"true","strict-transport-security":"max-age=31536000; includeSubDomains; preload","via":"1.1 Caddy","x-accel-buffering":"no","x-content-type-options":"nosniff","x-ms-client-request-id":"Not-Set","x-ms-is-spilled-over":"false","x-ms-rai-invoked":"true","x-ms-region":"East US","x-new-api-version":"0.4.25-alpha.4","x-oneapi-request-id":"20260413014856549186987YYQhA9pz","x-ratelimit-abusepenalty-active":"False","x-ratelimit-limit-requests":"1000","x-ratelimit-limit-tokens":"1000000","x-ratelimit-remaining-requests":"999","x-ratelimit-remaining-tokens":"998826","x-ratelimit-renewalperiod-requests":"60","x-ratelimit-renewalperiod-tokens":"60","x-ratelimit-reset-requests":"60","x-ratelimit-reset-tokens":"70","x-request-id":"d64863a0-341a-4a4f-85dd-1d5d758934bf","x-shellapi-request-id":"2026041309485650605465338642823"}</t>
  </si>
  <si>
    <t>HoodesSupermeSupreme grey cotton sweatshirt, featuring a minimalist design, soft skin-friendly texture, classic crewneck and ribbed cuffs. Unisex casual style for everyday wear and urban street fashion.</t>
  </si>
  <si>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HoodesSuperme,hoodie,kakobuy,kakebuy2026,kekobuysheet,kakobuysheet2026,2026kakobuy,kakobuyspreadsheeet,kakobuylink,kakebuylist,Kakobuy MEGA Spreadsheet,kakobuysheetfind,kakobuysheetfind2026,2026kakobuysheetfind,kakobuysheet2026","refusal":null,"role":"assistant"}}],"created":1776061412,"id":"chatcmpl-DU4zkI6Dueje1D2fqFBMraoaXUdjm","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ad66631dec","usage":{"completion_tokens":91,"completion_tokens_details":{"accepted_prediction_tokens":0,"audio_tokens":0,"reasoning_tokens":0,"rejected_prediction_tokens":0},"prompt_tokens":784,"prompt_tokens_details":{"audio_tokens":0,"cached_tokens":0},"total_tokens":875}}</t>
  </si>
  <si>
    <t>HoodesSuperme,hoodie,kakobuy,kakebuy2026,kekobuysheet,kakobuysheet2026,2026kakobuy,kakobuyspreadsheeet,kakobuylink,kakebuylist,Kakobuy MEGA Spreadsheet,kakobuysheetfind,kakobuysheetfind2026,2026kakobuysheetfind,kakobuysheet2026</t>
  </si>
  <si>
    <t>Supreme, Grey, Minimalist, Unisex, Streetwear</t>
  </si>
  <si>
    <t>recvgxFjjAnGl5</t>
  </si>
  <si>
    <t>hoodes-supreme-grey-cotton-crewneck-sweatshirt-recvgxfjjan-gl5</t>
  </si>
  <si>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Supreme灰色基础款卫衣，选用柔软棉质面料打造，触感舒适亲肤。极简无印设计，展现品牌低调街头美学。经典圆领与弹力罗纹袖口拼接，休闲百搭男女皆宜。适合日常穿搭与潮流混搭，凸显都市随性风格。","refusal":null,"role":"assistant"}}],"created":1776044188,"id":"chatcmpl-DU0VwaE4MAPrnHufQyErCOuK1R1ko","model":"gpt-5-chat-2025-10-03","object":"chat.completion","prompt_filter_results":[{"prompt_index":0,"content_filter_results":{"hate":{"filtered":false,"severity":"safe"},"jailbreak":{"detected":false,"filtered":false},"self_harm":{"filtered":false,"severity":"safe"},"sexual":{"filtered":false,"severity":"safe"},"violence":{"filtered":false,"severity":"safe"}}}],"system_fingerprint":"fp_ad66631dec","usage":{"completion_tokens":85,"completion_tokens_details":{"accepted_prediction_tokens":0,"audio_tokens":0,"reasoning_tokens":0,"rejected_prediction_tokens":0},"prompt_tokens":1311,"prompt_tokens_details":{"audio_tokens":0,"cached_tokens":0},"total_tokens":1396}}</t>
  </si>
  <si>
    <t>Supreme灰色基础款卫衣，选用柔软棉质面料打造，触感舒适亲肤。极简无印设计，展现品牌低调街头美学。经典圆领与弹力罗纹袖口拼接，休闲百搭男女皆宜。适合日常穿搭与潮流混搭，凸显都市随性风格。</t>
  </si>
  <si>
    <t>215</t>
  </si>
  <si>
    <t>{"choices":[{"content_filter_result":{"error":{"code":"content_filter_error","message":"The contents are not filtered"}},"content_filter_results":{},"finish_reason":"stop","index":0,"logprobs":null,"message":{"annotations":[],"content":"Stussy 3D Eyeball Print Gray Hooded Sweatshirt Unisex","refusal":null,"role":"assistant"}}],"created":1776061253,"id":"chatcmpl-DU4xBHuplt9JLHaDMFQkc8UDjHPHK","model":"gpt-5-chat-2025-10-03","object":"chat.completion","prompt_filter_results":[{"prompt_index":1,"content_filter_result":{"sexual":{"filtered":false,"severity":"safe"},"violence":{"filtered":false,"severity":"safe"},"hate":{"filtered":false,"severity":"safe"},"self_harm":{"filtered":false,"severity":"safe"}}},{"prompt_index":0,"content_filter_result":{}}],"system_fingerprint":"fp_ad66631dec","usage":{"completion_tokens":17,"completion_tokens_details":{"accepted_prediction_tokens":0,"audio_tokens":0,"reasoning_tokens":0,"rejected_prediction_tokens":0},"prompt_tokens":887,"prompt_tokens_details":{"audio_tokens":0,"cached_tokens":0},"total_tokens":904}}</t>
  </si>
  <si>
    <t>Stussy 3D Eyeball Print Gray Hooded Sweatshirt Unisex</t>
  </si>
  <si>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Stussy Hooded Sweatshirt: Gray 3D eyeball print, soft cotton fabric, classic kangaroo pocket, loose unisex street style, blending trendy graphics with 90s skate culture attitude.","refusal":null,"role":"assistant"}}],"created":1776044907,"id":"chatcmpl-DU0hXU0xo4Q5hQ02QCALsTyhtXnLX","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ad66631dec","usage":{"completion_tokens":42,"completion_tokens_details":{"accepted_prediction_tokens":0,"audio_tokens":0,"reasoning_tokens":0,"rejected_prediction_tokens":0},"prompt_tokens":898,"prompt_tokens_details":{"audio_tokens":0,"cached_tokens":0},"total_tokens":940}}</t>
  </si>
  <si>
    <t>{"alt-svc":"h3=\":443\"; ma=2592000","apim-request-id":"c58e252e-3e65-453c-baa6-0c9833e5a76c","azureml-model-session":"d20260402083108-57a85543","connection":"close","content-length":"1415","content-type":"application/json","date":"Mon, 13 Apr 2026 01:48:30 GMT","skip-error-remapping":"true","strict-transport-security":"max-age=31536000; includeSubDomains; preload","via":"1.1 Caddy","x-accel-buffering":"no","x-content-type-options":"nosniff","x-ms-client-request-id":"Not-Set","x-ms-is-spilled-over":"false","x-ms-rai-invoked":"true","x-ms-region":"Korea Central","x-new-api-version":"0.4.25-alpha.4","x-oneapi-request-id":"20260413014827224137522vm3Exazz","x-ratelimit-abusepenalty-active":"False","x-ratelimit-limit-requests":"1000","x-ratelimit-limit-tokens":"1000000","x-ratelimit-remaining-requests":"999","x-ratelimit-remaining-tokens":"998833","x-ratelimit-renewalperiod-requests":"60","x-ratelimit-renewalperiod-tokens":"60","x-ratelimit-reset-requests":"60","x-ratelimit-reset-tokens":"70","x-request-id":"db068dff-8bdb-4bea-ad8f-4636b91a2d4b","x-shellapi-request-id":"2026041309482718846923761569038"}</t>
  </si>
  <si>
    <t>Stussy Hooded Sweatshirt: Gray 3D eyeball print, soft cotton fabric, classic kangaroo pocket, loose unisex street style, blending trendy graphics with 90s skate culture attitude.</t>
  </si>
  <si>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Stussy,Hoodies,kakobuy,kakebuy2026,kekobuysheet,kakobuysheet2026,2026kakobuy,kakobuyspreadsheeet,kakobuylink,kakebuylist,Kakobuy MEGA Spreadsheet,kakobuysheetfind,kakobuysheetfind2026,2026kakobuysheetfind,kakobuysheet2026","refusal":null,"role":"assistant"}}],"created":1776061443,"id":"chatcmpl-DU50F1wnbUQvjlkOGXlH0XoKBFiID","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ad66631dec","usage":{"completion_tokens":88,"completion_tokens_details":{"accepted_prediction_tokens":0,"audio_tokens":0,"reasoning_tokens":0,"rejected_prediction_tokens":0},"prompt_tokens":784,"prompt_tokens_details":{"audio_tokens":0,"cached_tokens":0},"total_tokens":872}}</t>
  </si>
  <si>
    <t>Stussy,Hoodies,kakobuy,kakebuy2026,kekobuysheet,kakobuysheet2026,2026kakobuy,kakobuyspreadsheeet,kakobuylink,kakebuylist,Kakobuy MEGA Spreadsheet,kakobuysheetfind,kakobuysheetfind2026,2026kakobuysheetfind,kakobuysheet2026</t>
  </si>
  <si>
    <t>Stussy, Gray, Streetwear, Unisex, Retro</t>
  </si>
  <si>
    <t>recvgxFjjA8cTk</t>
  </si>
  <si>
    <t>stussy-3d-eyeball-print-gray-hooded-sweatshirt-unisex-recvgxFjjA8cTk</t>
  </si>
  <si>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Stussy：灰色3D眼球印花连帽卫衣，柔软纯棉面料，经典袋鼠兜设计，宽松街头风格，男女同款，融合潮流图腾与休闲元素，彰显90年代滑板文化个性。","refusal":null,"role":"assistant"}}],"created":1776044343,"id":"chatcmpl-DU0YREymXwCOG6k0Y9Xl19tx9n7Eu","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ad66631dec","usage":{"completion_tokens":63,"completion_tokens_details":{"accepted_prediction_tokens":0,"audio_tokens":0,"reasoning_tokens":0,"rejected_prediction_tokens":0},"prompt_tokens":1301,"prompt_tokens_details":{"audio_tokens":0,"cached_tokens":1280},"total_tokens":1364}}</t>
  </si>
  <si>
    <t>Stussy：灰色3D眼球印花连帽卫衣，柔软纯棉面料，经典袋鼠兜设计，宽松街头风格，男女同款，融合潮流图腾与休闲元素，彰显90年代滑板文化个性。</t>
  </si>
  <si>
    <t>Vicinity</t>
  </si>
  <si>
    <t>135</t>
  </si>
  <si>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HoodesVicinity Green Pixel Art Zip Up Hoodie","refusal":null,"role":"assistant"}}],"created":1776061220,"id":"chatcmpl-DU4weH9WBEaBB9IYbdpgX9QgM9igK","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ad66631dec","usage":{"completion_tokens":12,"completion_tokens_details":{"accepted_prediction_tokens":0,"audio_tokens":0,"reasoning_tokens":0,"rejected_prediction_tokens":0},"prompt_tokens":887,"prompt_tokens_details":{"audio_tokens":0,"cached_tokens":0},"total_tokens":899}}</t>
  </si>
  <si>
    <t>HoodesVicinity Green Pixel Art Zip Up Hoodie</t>
  </si>
  <si>
    <t>{"choices":[{"content_filter_results":{"hate":{"filtered":false,"severity":"safe"},"protected_material_code":{"filtered":false,"detected":false},"protected_material_text":{"filtered":false,"detected":false},"self_harm":{"filtered":false,"severity":"safe"},"sexual":{"filtered":false,"severity":"safe"},"violence":{"filtered":false,"severity":"safe"}},"finish_reason":"stop","index":0,"logprobs":null,"message":{"annotations":[],"content":"HoodesVicinityVicinity green zip-up hoodie made of thick soft cotton, features retro pixel art print, loose fit with adjustable drawstring, unisex casual streetwear style, warm and trendy.","refusal":null,"role":"assistant"}}],"created":1776061138,"id":"chatcmpl-DU4vKOHV3WiP1lOnnPqe4BTxen0aT","model":"gpt-5-chat-2025-10-03","object":"chat.completion","prompt_filter_results":[{"prompt_index":1,"content_filter_result":{"sexual":{"filtered":false,"severity":"safe"},"violence":{"filtered":false,"severity":"safe"},"hate":{"filtered":false,"severity":"safe"},"self_harm":{"filtered":false,"severity":"safe"}}},{"prompt_index":0,"content_filter_result":{}}],"system_fingerprint":"fp_ad66631dec","usage":{"completion_tokens":42,"completion_tokens_details":{"accepted_prediction_tokens":0,"audio_tokens":0,"reasoning_tokens":0,"rejected_prediction_tokens":0},"prompt_tokens":942,"prompt_tokens_details":{"audio_tokens":0,"cached_tokens":0},"total_tokens":984}}</t>
  </si>
  <si>
    <t>{"alt-svc":"h3=\":443\"; ma=2592000","api-supported-versions":"1","apim-request-id":"35e5295d-55db-481b-9448-241305f83e15","azureml-model-session":"d20260402083108-57a85543","connection":"close","content-length":"1396","content-type":"application/json; charset=utf-8","date":"Mon, 13 Apr 2026 06:18:59 GMT","request-id":"35e5295d-55db-481b-9448-241305f83e15","strict-transport-security":"max-age=31536000; includeSubDomains; preload","via":"1.1 Caddy","x-accel-buffering":"no","x-content-type-options":"nosniff","x-envoy-upstream-service-time":"3275","x-ms-client-request-id":"Not-Set","x-ms-deployment-name":"gpt-5-chat-global","x-ms-rai-invoked":"true","x-ms-region":"Switzerland North","x-new-api-version":"0.4.25-alpha.4","x-oneapi-request-id":"20260413061856437660879rPc8zJ6f","x-ratelimit-limit-requests":"1000","x-ratelimit-limit-tokens":"1000000","x-ratelimit-remaining-requests":"929","x-ratelimit-remaining-tokens":"481880","x-request-id":"c119c0cf-cb89-4f64-b4fb-232cd4e5f8e2","x-shellapi-request-id":"2026041314185638132714539450570"}</t>
  </si>
  <si>
    <t>HoodesVicinityVicinity green zip-up hoodie made of thick soft cotton, features retro pixel art print, loose fit with adjustable drawstring, unisex casual streetwear style, warm and trendy.</t>
  </si>
  <si>
    <t>{"choices":[{"content_filter_results":{"hate":{"filtered":false,"severity":"safe"},"protected_material_code":{"filtered":false,"detected":false},"protected_material_text":{"filtered":false,"detected":false},"self_harm":{"filtered":false,"severity":"safe"},"sexual":{"filtered":false,"severity":"safe"},"violence":{"filtered":false,"severity":"safe"}},"finish_reason":"stop","index":0,"logprobs":null,"message":{"annotations":[],"content":"HoodesVicinity,hoodie,kakobuy,kakebuy2026,kekobuysheet,kakobuysheet2026,2026kakobuy,kakobuyspreadsheeet,kakobuylink,kakebuylist,Kakobuy MEGA Spreadsheet,kakobuysheetfind,kakobuysheetfind2026,2026kakobuysheetfind,kakobuysheet2026","refusal":null,"role":"assistant"}}],"created":1776061438,"id":"chatcmpl-DU50AmlshUYFk9SkPzqItZg4H9Txj","model":"gpt-5-chat-2025-10-03","object":"chat.completion","prompt_filter_results":[{"prompt_index":1,"content_filter_result":{"sexual":{"filtered":false,"severity":"safe"},"violence":{"filtered":false,"severity":"safe"},"hate":{"filtered":false,"severity":"safe"},"self_harm":{"filtered":false,"severity":"safe"}}},{"prompt_index":0,"content_filter_result":{}}],"system_fingerprint":"fp_ad66631dec","usage":{"completion_tokens":91,"completion_tokens_details":{"accepted_prediction_tokens":0,"audio_tokens":0,"reasoning_tokens":0,"rejected_prediction_tokens":0},"prompt_tokens":815,"prompt_tokens_details":{"audio_tokens":0,"cached_tokens":0},"total_tokens":906}}</t>
  </si>
  <si>
    <t>HoodesVicinity,hoodie,kakobuy,kakebuy2026,kekobuysheet,kakobuysheet2026,2026kakobuy,kakobuyspreadsheeet,kakobuylink,kakebuylist,Kakobuy MEGA Spreadsheet,kakobuysheetfind,kakobuysheetfind2026,2026kakobuysheetfind,kakobuysheet2026</t>
  </si>
  <si>
    <t>Green, Retro, Unisex, Streetwear</t>
  </si>
  <si>
    <t>recvgxFjjAw6af</t>
  </si>
  <si>
    <t>hoodesvicinity-green-pixel-art-hoodie-recvgxfjjaw6af</t>
  </si>
  <si>
    <t>{"choices":[{"content_filter_results":{"hate":{"filtered":false,"severity":"safe"},"protected_material_code":{"filtered":false,"detected":false},"protected_material_text":{"filtered":false,"detected":false},"self_harm":{"filtered":false,"severity":"safe"},"sexual":{"filtered":false,"severity":"safe"},"violence":{"filtered":false,"severity":"safe"}},"finish_reason":"stop","index":0,"logprobs":null,"message":{"annotations":[],"content":"Vicinity绿色拉链连帽卫衣，采用柔软厚质棉料，胸前复古像素人物印花彰显艺术街头气息。宽松版型搭配可调节抽绳设计，适合男女日常休闲穿搭，舒适保暖又极具潮流质感。","refusal":null,"role":"assistant"}}],"created":1776044296,"id":"chatcmpl-DU0XgMlahuAhVIPVoswJVs3ymNIZ0","model":"gpt-5-chat-2025-10-03","object":"chat.completion","prompt_filter_results":[{"prompt_index":0,"content_filter_results":{"hate":{"filtered":false,"severity":"safe"},"jailbreak":{"filtered":false,"detected":false},"self_harm":{"filtered":false,"severity":"safe"},"sexual":{"filtered":false,"severity":"safe"},"violence":{"filtered":false,"severity":"safe"}}}],"system_fingerprint":"fp_ad66631dec","usage":{"completion_tokens":73,"completion_tokens_details":{"accepted_prediction_tokens":0,"audio_tokens":0,"reasoning_tokens":0,"rejected_prediction_tokens":0},"prompt_tokens":1307,"prompt_tokens_details":{"audio_tokens":0,"cached_tokens":1280},"total_tokens":1380}}</t>
  </si>
  <si>
    <t>Vicinity绿色拉链连帽卫衣，采用柔软厚质棉料，胸前复古像素人物印花彰显艺术街头气息。宽松版型搭配可调节抽绳设计，适合男女日常休闲穿搭，舒适保暖又极具潮流质感。</t>
  </si>
  <si>
    <t>109</t>
  </si>
  <si>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Bape Green Graffiti Logo Hoodie Unisex Streetwear Pullover","refusal":null,"role":"assistant"}}],"created":1776061194,"id":"chatcmpl-DU4wEbkKplRp3Jjc2yjDP7AMZLas2","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ad66631dec","usage":{"completion_tokens":14,"completion_tokens_details":{"accepted_prediction_tokens":0,"audio_tokens":0,"reasoning_tokens":0,"rejected_prediction_tokens":0},"prompt_tokens":879,"prompt_tokens_details":{"audio_tokens":0,"cached_tokens":0},"total_tokens":893}}</t>
  </si>
  <si>
    <t>Bape Green Graffiti Logo Hoodie Unisex Streetwear Pullover</t>
  </si>
  <si>
    <t>{"choices":[{"content_filter_results":{"hate":{"filtered":false,"severity":"safe"},"protected_material_code":{"filtered":false,"detected":false},"protected_material_text":{"filtered":false,"detected":false},"self_harm":{"filtered":false,"severity":"safe"},"sexual":{"filtered":false,"severity":"safe"},"violence":{"filtered":false,"severity":"safe"}},"finish_reason":"stop","index":0,"logprobs":null,"message":{"annotations":[],"content":"HoodesBapeOther green graffiti logo hoodie, made of soft thick cotton, features a loose streetwear fit for comfy unisex style, perfect for casual fashion and everyday wear.","refusal":null,"role":"assistant"}}],"created":1776045012,"id":"chatcmpl-DU0jEwjF58taa6pOmwu8AF2G6kWzR","model":"gpt-5-chat-2025-10-03","object":"chat.completion","prompt_filter_results":[{"prompt_index":0,"content_filter_results":{"hate":{"filtered":false,"severity":"safe"},"jailbreak":{"filtered":false,"detected":false},"self_harm":{"filtered":false,"severity":"safe"},"sexual":{"filtered":false,"severity":"safe"},"violence":{"filtered":false,"severity":"safe"}}}],"system_fingerprint":"fp_ad66631dec","usage":{"completion_tokens":38,"completion_tokens_details":{"accepted_prediction_tokens":0,"audio_tokens":0,"reasoning_tokens":0,"rejected_prediction_tokens":0},"prompt_tokens":898,"prompt_tokens_details":{"audio_tokens":0,"cached_tokens":0},"total_tokens":936}}</t>
  </si>
  <si>
    <t>{"alt-svc":"h3=\":443\"; ma=2592000","apim-request-id":"089aa0c3-fe01-4105-81d1-db0e999f02fb","azureml-model-session":"d20260405234249-f9874baf","connection":"close","content-length":"1384","content-type":"application/json","date":"Mon, 13 Apr 2026 01:50:13 GMT","skip-error-remapping":"true","strict-transport-security":"max-age=31536000; includeSubDomains; preload","via":"1.1 Caddy","x-accel-buffering":"no","x-content-type-options":"nosniff","x-ms-client-request-id":"Not-Set","x-ms-is-spilled-over":"false","x-ms-rai-invoked":"true","x-ms-region":"East US","x-new-api-version":"0.4.25-alpha.4","x-oneapi-request-id":"2026041301501252372817HIubU0bW","x-ratelimit-abusepenalty-active":"False","x-ratelimit-limit-requests":"1000","x-ratelimit-limit-tokens":"1000000","x-ratelimit-remaining-requests":"999","x-ratelimit-remaining-tokens":"998835","x-ratelimit-renewalperiod-requests":"60","x-ratelimit-renewalperiod-tokens":"60","x-ratelimit-reset-requests":"60","x-ratelimit-reset-tokens":"69","x-request-id":"2558bfeb-c9c7-4945-a042-8c779b49e258","x-shellapi-request-id":"202604130950121487992372464958"}</t>
  </si>
  <si>
    <t>HoodesBapeOther green graffiti logo hoodie, made of soft thick cotton, features a loose streetwear fit for comfy unisex style, perfect for casual fashion and everyday wear.</t>
  </si>
  <si>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Stussy,Hoodie,kakobuy,kakebuy2026,kekobuysheet,kakobuysheet2026,2026kakobuy,kakobuyspreadsheeet,kakobuylink,kakebuylist,Kakobuy MEGA Spreadsheet,kakobuysheetfind,kakobuysheetfind2026,2026kakobuysheetfind,kakobusheet2026","refusal":null,"role":"assistant"}}],"created":1776061375,"id":"chatcmpl-DU4z96S73wDJ61ZSkUwWMymHI33Si","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ad66631dec","usage":{"completion_tokens":87,"completion_tokens_details":{"accepted_prediction_tokens":0,"audio_tokens":0,"reasoning_tokens":0,"rejected_prediction_tokens":0},"prompt_tokens":784,"prompt_tokens_details":{"audio_tokens":0,"cached_tokens":0},"total_tokens":871}}</t>
  </si>
  <si>
    <t>Stussy,Hoodie,kakobuy,kakebuy2026,kekobuysheet,kakobuysheet2026,2026kakobuy,kakobuyspreadsheeet,kakobuylink,kakebuylist,Kakobuy MEGA Spreadsheet,kakobuysheetfind,kakobuysheetfind2026,2026kakobuysheetfind,kakobusheet2026</t>
  </si>
  <si>
    <t>BAPE, Green, Streetwear, Unisex</t>
  </si>
  <si>
    <t>recvgxFjjABp3t</t>
  </si>
  <si>
    <t>bape-green-graffiti-logo-hoodie-recvgxfjjabp3t</t>
  </si>
  <si>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Other系列绿色连帽卫衣，选用柔软厚实棉质面料，胸前醒目涂鸦标识彰显街头潮流，宽松剪裁兼具舒适与时尚，适合男女休闲穿搭。","refusal":null,"role":"assistant"}}],"created":1776044397,"id":"chatcmpl-DU0ZJn40BpAeBo0aw0EjWPFPn3Jei","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ad66631dec","usage":{"completion_tokens":58,"completion_tokens_details":{"accepted_prediction_tokens":0,"audio_tokens":0,"reasoning_tokens":0,"rejected_prediction_tokens":0},"prompt_tokens":1311,"prompt_tokens_details":{"audio_tokens":0,"cached_tokens":0},"total_tokens":1369}}</t>
  </si>
  <si>
    <t>Other系列绿色连帽卫衣，选用柔软厚实棉质面料，胸前醒目涂鸦标识彰显街头潮流，宽松剪裁兼具舒适与时尚，适合男女休闲穿搭。</t>
  </si>
  <si>
    <t>Canada Goose</t>
  </si>
  <si>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Canada Goose Deep Navy Hooded Down Jacket","refusal":null,"role":"assistant"}}],"created":1776061288,"id":"chatcmpl-DU4xkpYlsPSUVjDUBzTrokCIL2AMf","model":"gpt-5-chat-2025-10-03","object":"chat.completion","prompt_filter_results":[{"prompt_index":1,"content_filter_result":{"sexual":{"filtered":false,"severity":"safe"},"violence":{"filtered":false,"severity":"safe"},"hate":{"filtered":false,"severity":"safe"},"self_harm":{"filtered":false,"severity":"safe"}}},{"prompt_index":0,"content_filter_result":{}}],"system_fingerprint":"fp_ad66631dec","usage":{"completion_tokens":9,"completion_tokens_details":{"accepted_prediction_tokens":0,"audio_tokens":0,"reasoning_tokens":0,"rejected_prediction_tokens":0},"prompt_tokens":876,"prompt_tokens_details":{"audio_tokens":0,"cached_tokens":0},"total_tokens":885}}</t>
  </si>
  <si>
    <t>Canada Goose Deep Navy Hooded Down Jacket</t>
  </si>
  <si>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Canada Goose premium deep navy hooded down jacket, windproof waterproof nylon, lightweight and warm. Tailored fit with minimalist zipper, unisex urban outdoor style for fall and winter.","refusal":null,"role":"assistant"}}],"created":1776044959,"id":"chatcmpl-DU0iNy8jGDBWOYMk8tIyM6eLYyIHj","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ad66631dec","usage":{"completion_tokens":37,"completion_tokens_details":{"accepted_prediction_tokens":0,"audio_tokens":0,"reasoning_tokens":0,"rejected_prediction_tokens":0},"prompt_tokens":923,"prompt_tokens_details":{"audio_tokens":0,"cached_tokens":0},"total_tokens":960}}</t>
  </si>
  <si>
    <t>{"alt-svc":"h3=\":443\"; ma=2592000","apim-request-id":"04e94cc7-33bc-45e4-9fba-106f6de0162f","azureml-model-session":"d20260402074105-51db401e","connection":"close","content-length":"1422","content-type":"application/json","date":"Mon, 13 Apr 2026 01:49:21 GMT","skip-error-remapping":"true","strict-transport-security":"max-age=31536000; includeSubDomains; preload","via":"1.1 Caddy","x-accel-buffering":"no","x-content-type-options":"nosniff","x-ms-client-request-id":"Not-Set","x-ms-is-spilled-over":"false","x-ms-rai-invoked":"true","x-ms-region":"Japan East","x-new-api-version":"0.4.25-alpha.4","x-oneapi-request-id":"20260413014917773882956o30iAbmw","x-ratelimit-abusepenalty-active":"False","x-ratelimit-limit-requests":"1000","x-ratelimit-limit-tokens":"1000000","x-ratelimit-remaining-requests":"999","x-ratelimit-remaining-tokens":"998825","x-ratelimit-renewalperiod-requests":"60","x-ratelimit-renewalperiod-tokens":"60","x-ratelimit-reset-requests":"60","x-ratelimit-reset-tokens":"70","x-request-id":"219e74e6-0203-4176-b193-692a49542915","x-shellapi-request-id":"2026041309491773290638469244541"}</t>
  </si>
  <si>
    <t>Canada Goose premium deep navy hooded down jacket, windproof waterproof nylon, lightweight and warm. Tailored fit with minimalist zipper, unisex urban outdoor style for fall and winter.</t>
  </si>
  <si>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Canada Goose, Jackets, kakobuy, kakebuy2026, kekobuysheet, kakobuysheet2026, 2026kakobuy, kakobuyspreadsheeet, kakobuylink, kakebuylist, Kakobuy MEGA Spreadsheet, kakobuysheetfind, kakobuysheetfind2026, 2026kakobuysheetfind, kakobuysheet2026","refusal":null,"role":"assistant"}}],"created":1776061415,"id":"chatcmpl-DU4zncz56MQh62H8bwrGKvjcOdIDT","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ad66631dec","usage":{"completion_tokens":91,"completion_tokens_details":{"accepted_prediction_tokens":0,"audio_tokens":0,"reasoning_tokens":0,"rejected_prediction_tokens":0},"prompt_tokens":783,"prompt_tokens_details":{"audio_tokens":0,"cached_tokens":0},"total_tokens":874}}</t>
  </si>
  <si>
    <t>Canada Goose, Jackets, kakobuy, kakebuy2026, kekobuysheet, kakobuysheet2026, 2026kakobuy, kakobuyspreadsheeet, kakobuylink, kakebuylist, Kakobuy MEGA Spreadsheet, kakobuysheetfind, kakobuysheetfind2026, 2026kakobuysheetfind, kakobuysheet2026</t>
  </si>
  <si>
    <t>Navy, Nylon, Windproof, Waterproof, Autumn And Winter, Unisex</t>
  </si>
  <si>
    <t>recvgxFjjALP5x</t>
  </si>
  <si>
    <t>canada-goose-deep-navy-hooded-down-jacket-recvgxfjjalp5x</t>
  </si>
  <si>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Canada Goose：高级深蓝色连帽羽绒夹克，甄选防风防水尼龙材质，轻盈保暖。立体剪裁搭配简约拉链设计，彰显都市户外风格。男女通用款，适合秋冬季穿着，尽显经典与实用兼备的高端质感。","refusal":null,"role":"assistant"}}],"created":1776044198,"id":"chatcmpl-DU0W6CdUU0DMo8Rmzck6r0X5J99PN","model":"gpt-5-chat-2025-10-03","object":"chat.completion","prompt_filter_results":[{"prompt_index":0,"content_filter_results":{"hate":{"filtered":false,"severity":"safe"},"jailbreak":{"detected":false,"filtered":false},"self_harm":{"filtered":false,"severity":"safe"},"sexual":{"filtered":false,"severity":"safe"},"violence":{"filtered":false,"severity":"safe"}}}],"system_fingerprint":"fp_ad66631dec","usage":{"completion_tokens":80,"completion_tokens_details":{"accepted_prediction_tokens":0,"audio_tokens":0,"reasoning_tokens":0,"rejected_prediction_tokens":0},"prompt_tokens":1318,"prompt_tokens_details":{"audio_tokens":0,"cached_tokens":1280},"total_tokens":1398}}</t>
  </si>
  <si>
    <t>Canada Goose：高级深蓝色连帽羽绒夹克，甄选防风防水尼龙材质，轻盈保暖。立体剪裁搭配简约拉链设计，彰显都市户外风格。男女通用款，适合秋冬季穿着，尽显经典与实用兼备的高端质感。</t>
  </si>
  <si>
    <t>196</t>
  </si>
  <si>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Stone Island Black Cotton Zip Hoodie for Men Women","refusal":null,"role":"assistant"}}],"created":1776061211,"id":"chatcmpl-DU4wV3j57SeFH0RjL1wcddzxEth3X","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ad66631dec","usage":{"completion_tokens":10,"completion_tokens_details":{"accepted_prediction_tokens":0,"audio_tokens":0,"reasoning_tokens":0,"rejected_prediction_tokens":0},"prompt_tokens":877,"prompt_tokens_details":{"audio_tokens":0,"cached_tokens":0},"total_tokens":887}}</t>
  </si>
  <si>
    <t>Stone Island Black Cotton Zip Hoodie for Men Women</t>
  </si>
  <si>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Stone Island Black Cotton Zip Hoodie featuring signature Compass logo on sleeve, adjustable drawstring hood, soft high-density fabric for comfort and breathability, perfect streetwear for men and women.","refusal":null,"role":"assistant"}}],"created":1776044934,"id":"chatcmpl-DU0hybNIh104MWWPGH4qGUGlx0DUE","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ad66631dec","usage":{"completion_tokens":37,"completion_tokens_details":{"accepted_prediction_tokens":0,"audio_tokens":0,"reasoning_tokens":0,"rejected_prediction_tokens":0},"prompt_tokens":942,"prompt_tokens_details":{"audio_tokens":0,"cached_tokens":0},"total_tokens":979}}</t>
  </si>
  <si>
    <t>{"alt-svc":"h3=\":443\"; ma=2592000","apim-request-id":"c9f02e2a-9c78-441a-b288-eed135e5bfba","azureml-model-session":"d20260405221325-2e8d5e76","connection":"close","content-length":"1439","content-type":"application/json","date":"Mon, 13 Apr 2026 01:48:54 GMT","skip-error-remapping":"true","strict-transport-security":"max-age=31536000; includeSubDomains; preload","via":"1.1 Caddy","x-accel-buffering":"no","x-content-type-options":"nosniff","x-ms-client-request-id":"Not-Set","x-ms-is-spilled-over":"false","x-ms-rai-invoked":"true","x-ms-region":"Australia East","x-new-api-version":"0.4.25-alpha.4","x-oneapi-request-id":"20260413014852458054014MYDavlRZ","x-ratelimit-abusepenalty-active":"False","x-ratelimit-limit-requests":"1000","x-ratelimit-limit-tokens":"1000000","x-ratelimit-remaining-requests":"999","x-ratelimit-remaining-tokens":"998820","x-ratelimit-renewalperiod-requests":"60","x-ratelimit-renewalperiod-tokens":"60","x-ratelimit-reset-requests":"60","x-ratelimit-reset-tokens":"70","x-request-id":"673f3df0-4d63-45bd-9a91-b16f6dcf19a9","x-shellapi-request-id":"2026041309485240802382704539475"}</t>
  </si>
  <si>
    <t>Stone Island Black Cotton Zip Hoodie featuring signature Compass logo on sleeve, adjustable drawstring hood, soft high-density fabric for comfort and breathability, perfect streetwear for men and women.</t>
  </si>
  <si>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Stone Island, Hoodies, kakobuy, kakebuy2026, kekobuysheet, kakobuysheet2026, 2026kakobuy, kakobuyspreadsheeet, kakobuylink, kakebuylist, Kakobuy MEGA Spreadsheet, kakobuysheetfind, kakobuysheetfind2026, 2026kakobuysheetfind, kakobuysheet2026","refusal":null,"role":"assistant"}}],"created":1776061349,"id":"chatcmpl-DU4yjluItoORnp73gQeJEkdbfNlww","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ad66631dec","usage":{"completion_tokens":92,"completion_tokens_details":{"accepted_prediction_tokens":0,"audio_tokens":0,"reasoning_tokens":0,"rejected_prediction_tokens":0},"prompt_tokens":784,"prompt_tokens_details":{"audio_tokens":0,"cached_tokens":0},"total_tokens":876}}</t>
  </si>
  <si>
    <t>Stone Island, Hoodies, kakobuy, kakebuy2026, kekobuysheet, kakobuysheet2026, 2026kakobuy, kakobuyspreadsheeet, kakobuylink, kakebuylist, Kakobuy MEGA Spreadsheet, kakobuysheetfind, kakobuysheetfind2026, 2026kakobuysheetfind, kakobuysheet2026</t>
  </si>
  <si>
    <t>Streetwear, Unisex, Black, Comfort, Breathable</t>
  </si>
  <si>
    <t>recvgxFjjABwCa</t>
  </si>
  <si>
    <t>stone-island-black-cotton-zip-hoodie-recvgxfjjabwca</t>
  </si>
  <si>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Stone Island：黑色连帽拉链卫衣，采用高密度纯棉材质，质感柔软舒适，袖口缀以标志性罗盘徽章，彰显品牌街头机能美学。简约剪裁搭配可调节抽绳设计，兼具保暖与透气性，男女皆宜，适合日常休闲或潮流穿搭，展现意式都市风格。","refusal":null,"role":"assistant"}}],"created":1776044396,"id":"chatcmpl-DU0ZIGBitqhd1SxZ2xD8ehcyFbzn8","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ad66631dec","usage":{"completion_tokens":100,"completion_tokens_details":{"accepted_prediction_tokens":0,"audio_tokens":0,"reasoning_tokens":0,"rejected_prediction_tokens":0},"prompt_tokens":1315,"prompt_tokens_details":{"audio_tokens":0,"cached_tokens":0},"total_tokens":1415}}</t>
  </si>
  <si>
    <t>Stone Island：黑色连帽拉链卫衣，采用高密度纯棉材质，质感柔软舒适，袖口缀以标志性罗盘徽章，彰显品牌街头机能美学。简约剪裁搭配可调节抽绳设计，兼具保暖与透气性，男女皆宜，适合日常休闲或潮流穿搭，展现意式都市风格。</t>
  </si>
  <si>
    <t>292</t>
  </si>
  <si>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HoodesSuperme Gray Box Logo Heavy Cotton Hoodie","refusal":null,"role":"assistant"}}],"created":1776061189,"id":"chatcmpl-DU4w9QEakbxuANsHykRD6cOgez3t9","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ad66631dec","usage":{"completion_tokens":12,"completion_tokens_details":{"accepted_prediction_tokens":0,"audio_tokens":0,"reasoning_tokens":0,"rejected_prediction_tokens":0},"prompt_tokens":879,"prompt_tokens_details":{"audio_tokens":0,"cached_tokens":0},"total_tokens":891}}</t>
  </si>
  <si>
    <t>HoodesSuperme Gray Box Logo Heavy Cotton Hoodie</t>
  </si>
  <si>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HoodesSupermeSupreme Classic Gray Hoodie featuring red Box Logo embroidery, heavy cotton fabric, unisex streetwear design, perfect for autumn and winter casual warmth and youthful style.","refusal":null,"role":"assistant"}}],"created":1776044941,"id":"chatcmpl-DU0i5D7kIGpfyS3pSUR3fKgOy2hv9","model":"gpt-5-chat-2025-10-03","object":"chat.completion","prompt_filter_results":[{"prompt_index":0,"content_filter_results":{"hate":{"filtered":false,"severity":"safe"},"jailbreak":{"detected":false,"filtered":false},"self_harm":{"filtered":false,"severity":"safe"},"sexual":{"filtered":false,"severity":"safe"},"violence":{"filtered":false,"severity":"safe"}}}],"system_fingerprint":"fp_ad66631dec","usage":{"completion_tokens":38,"completion_tokens_details":{"accepted_prediction_tokens":0,"audio_tokens":0,"reasoning_tokens":0,"rejected_prediction_tokens":0},"prompt_tokens":905,"prompt_tokens_details":{"audio_tokens":0,"cached_tokens":0},"total_tokens":943}}</t>
  </si>
  <si>
    <t>{"alt-svc":"h3=\":443\"; ma=2592000","apim-request-id":"14c0e3e2-7f12-4439-884e-0006c3003a8d","azureml-model-session":"d20260405212659-a9daa006","connection":"close","content-length":"1398","content-type":"application/json","date":"Mon, 13 Apr 2026 01:49:02 GMT","skip-error-remapping":"true","strict-transport-security":"max-age=31536000; includeSubDomains; preload","via":"1.1 Caddy","x-accel-buffering":"no","x-content-type-options":"nosniff","x-ms-client-request-id":"Not-Set","x-ms-is-spilled-over":"false","x-ms-rai-invoked":"true","x-ms-region":"East US 2","x-new-api-version":"0.4.25-alpha.4","x-oneapi-request-id":"20260413014859928966546keInNjFP","x-ratelimit-abusepenalty-active":"False","x-ratelimit-limit-requests":"1000","x-ratelimit-limit-tokens":"1000000","x-ratelimit-remaining-requests":"999","x-ratelimit-remaining-tokens":"998830","x-ratelimit-renewalperiod-requests":"60","x-ratelimit-renewalperiod-tokens":"60","x-ratelimit-reset-requests":"60","x-ratelimit-reset-tokens":"70","x-request-id":"cfe57d9e-ba3a-47e2-8b07-0f0de717b9bb","x-shellapi-request-id":"2026041309485989213001136601219"}</t>
  </si>
  <si>
    <t>HoodesSupermeSupreme Classic Gray Hoodie featuring red Box Logo embroidery, heavy cotton fabric, unisex streetwear design, perfect for autumn and winter casual warmth and youthful style.</t>
  </si>
  <si>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Supreme,Hoodie,kakobuy,kakebuy2026,kekobuysheet,kakobuysheet2026,2026kakobuy,kakobuyspreadsheeet,kakobuylink,kakebuylist,Kakobuy MEGA Spreadsheet,kakobuysheetfind,kakobuysheetfind2026,2026kakobuysheetfind,kakobuysheet2026","refusal":null,"role":"assistant"}}],"created":1776061434,"id":"chatcmpl-DU506he9l2KZ69Egs2Cy3IxdD467B","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ad66631dec","usage":{"completion_tokens":88,"completion_tokens_details":{"accepted_prediction_tokens":0,"audio_tokens":0,"reasoning_tokens":0,"rejected_prediction_tokens":0},"prompt_tokens":784,"prompt_tokens_details":{"audio_tokens":0,"cached_tokens":0},"total_tokens":872}}</t>
  </si>
  <si>
    <t>Supreme,Hoodie,kakobuy,kakebuy2026,kekobuysheet,kakobuysheet2026,2026kakobuy,kakobuyspreadsheeet,kakobuylink,kakebuylist,Kakobuy MEGA Spreadsheet,kakobuysheetfind,kakobuysheetfind2026,2026kakobuysheetfind,kakobuysheet2026</t>
  </si>
  <si>
    <t>Supreme, Gray, Streetwear, Autumn And Winter, Unisex</t>
  </si>
  <si>
    <t>recvgxFjjAeGCY</t>
  </si>
  <si>
    <t>hoodesuperme-gray-box-logo-hoodie-recvgxfjjaegecy</t>
  </si>
  <si>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Supreme：经典系列灰色连帽卫衣，采用高克重纯棉面料，胸前标志性红色Box Logo刺绣设计，简约街头风格，男女同款，秋冬季休闲保暖必备，展现年轻潮流态度。","refusal":null,"role":"assistant"}}],"created":1776044309,"id":"chatcmpl-DU0XtCTiBdDAR7XMOa6bZf6iIyLLD","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ad66631dec","usage":{"completion_tokens":66,"completion_tokens_details":{"accepted_prediction_tokens":0,"audio_tokens":0,"reasoning_tokens":0,"rejected_prediction_tokens":0},"prompt_tokens":1309,"prompt_tokens_details":{"audio_tokens":0,"cached_tokens":0},"total_tokens":1375}}</t>
  </si>
  <si>
    <t>Supreme：经典系列灰色连帽卫衣，采用高克重纯棉面料，胸前标志性红色Box Logo刺绣设计，简约街头风格，男女同款，秋冬季休闲保暖必备，展现年轻潮流态度。</t>
  </si>
  <si>
    <t>Hommy Hilfiger</t>
  </si>
  <si>
    <t>89</t>
  </si>
  <si>
    <t>{"choices":[{"content_filter_result":{"error":{"code":"content_filter_error","message":"The contents are not filtered"}},"content_filter_results":{},"finish_reason":"stop","index":0,"logprobs":null,"message":{"annotations":[],"content":"Tommy Hilfiger Classic Green Unisex Hoodie","refusal":null,"role":"assistant"}}],"created":1776061291,"id":"chatcmpl-DU4xnxayYk2glY34ZZnlOBIYLjxu2","model":"gpt-5-chat-2025-10-03","object":"chat.completion","prompt_filter_results":[{"prompt_index":0,"content_filter_results":{"hate":{"filtered":false,"severity":"safe"},"jailbreak":{"filtered":false,"detected":false},"self_harm":{"filtered":false,"severity":"safe"},"sexual":{"filtered":false,"severity":"safe"},"violence":{"filtered":false,"severity":"safe"}}}],"system_fingerprint":"fp_ad66631dec","usage":{"completion_tokens":11,"completion_tokens_details":{"accepted_prediction_tokens":0,"audio_tokens":0,"reasoning_tokens":0,"rejected_prediction_tokens":0},"prompt_tokens":876,"prompt_tokens_details":{"audio_tokens":0,"cached_tokens":0},"total_tokens":887}}</t>
  </si>
  <si>
    <t>Tommy Hilfiger Classic Green Unisex Hoodie</t>
  </si>
  <si>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Tommy Hilfiger Classic Deep Green Hoodie, soft cotton fabric, iconic chest logo print, casual unisex American street style, perfect for daily wear and effortless fashion.","refusal":null,"role":"assistant"}}],"created":1776044988,"id":"chatcmpl-DU0iqh310kbI8Lu1b7RlWxs6m2Kf8","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ad66631dec","usage":{"completion_tokens":35,"completion_tokens_details":{"accepted_prediction_tokens":0,"audio_tokens":0,"reasoning_tokens":0,"rejected_prediction_tokens":0},"prompt_tokens":901,"prompt_tokens_details":{"audio_tokens":0,"cached_tokens":0},"total_tokens":936}}</t>
  </si>
  <si>
    <t>{"alt-svc":"h3=\":443\"; ma=2592000","apim-request-id":"71585ea2-453c-4582-a016-1554ecd69b43","azureml-model-session":"d20260405225800-40f19e54","connection":"close","content-length":"1407","content-type":"application/json","date":"Mon, 13 Apr 2026 01:49:49 GMT","skip-error-remapping":"true","strict-transport-security":"max-age=31536000; includeSubDomains; preload","via":"1.1 Caddy","x-accel-buffering":"no","x-content-type-options":"nosniff","x-ms-client-request-id":"Not-Set","x-ms-is-spilled-over":"false","x-ms-rai-invoked":"true","x-ms-region":"UK South","x-new-api-version":"0.4.25-alpha.4","x-oneapi-request-id":"20260413014947501033011UVSTvRud","x-ratelimit-abusepenalty-active":"False","x-ratelimit-limit-requests":"1000","x-ratelimit-limit-tokens":"1000000","x-ratelimit-remaining-requests":"999","x-ratelimit-remaining-tokens":"998831","x-ratelimit-renewalperiod-requests":"60","x-ratelimit-renewalperiod-tokens":"60","x-ratelimit-reset-requests":"60","x-ratelimit-reset-tokens":"70","x-request-id":"041ce75d-2cbf-4445-a6cf-b45767350969","x-shellapi-request-id":"2026041309494746069351600480129"}</t>
  </si>
  <si>
    <t>Tommy Hilfiger Classic Deep Green Hoodie, soft cotton fabric, iconic chest logo print, casual unisex American street style, perfect for daily wear and effortless fashion.</t>
  </si>
  <si>
    <t>{"choices":[{"content_filter_results":{"hate":{"filtered":false,"severity":"safe"},"protected_material_code":{"filtered":false,"detected":false},"protected_material_text":{"filtered":false,"detected":false},"self_harm":{"filtered":false,"severity":"safe"},"sexual":{"filtered":false,"severity":"safe"},"violence":{"filtered":false,"severity":"safe"}},"finish_reason":"stop","index":0,"logprobs":null,"message":{"annotations":[],"content":"Tommy Hilfiger, Hoodie, kakobuy, kakebuy2026, kekobuysheet, kakobuysheet2026, 2026kakobuy, kakobuyspreadsheeet, kakobuylink, kakebuylist, Kakobuy MEGA Spreadsheet, kakobuysheetfind, kakobuysheetfind2026, 2026kakobuysheetfind, kakobuysheet2026","refusal":null,"role":"assistant"}}],"created":1776061471,"id":"chatcmpl-DU50hGtdPgvxMKP6EwWnuzR06T50Q","model":"gpt-5-chat-2025-10-03","object":"chat.completion","prompt_filter_results":[{"prompt_index":0,"content_filter_results":{"hate":{"filtered":false,"severity":"safe"},"jailbreak":{"filtered":false,"detected":false},"self_harm":{"filtered":false,"severity":"safe"},"sexual":{"filtered":false,"severity":"safe"},"violence":{"filtered":false,"severity":"safe"}}}],"system_fingerprint":"fp_ad66631dec","usage":{"completion_tokens":94,"completion_tokens_details":{"accepted_prediction_tokens":0,"audio_tokens":0,"reasoning_tokens":0,"rejected_prediction_tokens":0},"prompt_tokens":787,"prompt_tokens_details":{"audio_tokens":0,"cached_tokens":0},"total_tokens":881}}</t>
  </si>
  <si>
    <t>Tommy Hilfiger, Hoodie, kakobuy, kakebuy2026, kekobuysheet, kakobuysheet2026, 2026kakobuy, kakobuyspreadsheeet, kakobuylink, kakebuylist, Kakobuy MEGA Spreadsheet, kakobuysheetfind, kakobuysheetfind2026, 2026kakobuysheetfind, kakobuysheet2026</t>
  </si>
  <si>
    <t>Street, Unisex</t>
  </si>
  <si>
    <t>recvgxFjjACG6g</t>
  </si>
  <si>
    <t>tommy-hilfiger-classic-green-hoodie-recvgxfjjacg6g</t>
  </si>
  <si>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Tommy Hilfiger：经典系列深绿色连帽卫衣，柔软棉质面料，胸前标志性LOGO印花，简约美式街头风，男女通用休闲款，适合日常穿搭。","refusal":null,"role":"assistant"}}],"created":1776044232,"id":"chatcmpl-DU0WelY5nkX8zhyRwa9i4LGvArmWP","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ad66631dec","usage":{"completion_tokens":56,"completion_tokens_details":{"accepted_prediction_tokens":0,"audio_tokens":0,"reasoning_tokens":0,"rejected_prediction_tokens":0},"prompt_tokens":1321,"prompt_tokens_details":{"audio_tokens":0,"cached_tokens":0},"total_tokens":1377}}</t>
  </si>
  <si>
    <t>Tommy Hilfiger：经典系列深绿色连帽卫衣，柔软棉质面料，胸前标志性LOGO印花，简约美式街头风，男女通用休闲款，适合日常穿搭。</t>
  </si>
  <si>
    <t>136</t>
  </si>
  <si>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Stussy Classic White Cotton Logo T-Shirt Unisex","refusal":null,"role":"assistant"}}],"created":1776061238,"id":"chatcmpl-DU4wwRxiJQZM9uw85hNuLfacVrAha","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ad66631dec","usage":{"completion_tokens":11,"completion_tokens_details":{"accepted_prediction_tokens":0,"audio_tokens":0,"reasoning_tokens":0,"rejected_prediction_tokens":0},"prompt_tokens":870,"prompt_tokens_details":{"audio_tokens":0,"cached_tokens":0},"total_tokens":881}}</t>
  </si>
  <si>
    <t>Stussy Classic White Cotton Logo T-Shirt Unisex</t>
  </si>
  <si>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Stussy Classic White T-Shirt, made of premium soft breathable cotton, features iconic black graffiti logo print; unisex streetwear showcasing California skate culture freedom and individuality.","refusal":null,"role":"assistant"}}],"created":1776045010,"id":"chatcmpl-DU0jCxR0P2HMrCo8idw42HwKjON8K","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ad66631dec","usage":{"completion_tokens":34,"completion_tokens_details":{"accepted_prediction_tokens":0,"audio_tokens":0,"reasoning_tokens":0,"rejected_prediction_tokens":0},"prompt_tokens":903,"prompt_tokens_details":{"audio_tokens":0,"cached_tokens":0},"total_tokens":937}}</t>
  </si>
  <si>
    <t>{"alt-svc":"h3=\":443\"; ma=2592000","apim-request-id":"36b30bc2-873b-4e6f-bf57-db70f406bdec","azureml-model-session":"d20260402075109-1fc5a0ec","connection":"close","content-length":"1430","content-type":"application/json","date":"Mon, 13 Apr 2026 01:50:11 GMT","skip-error-remapping":"true","strict-transport-security":"max-age=31536000; includeSubDomains; preload","via":"1.1 Caddy","x-accel-buffering":"no","x-content-type-options":"nosniff","x-ms-client-request-id":"Not-Set","x-ms-is-spilled-over":"false","x-ms-rai-invoked":"true","x-ms-region":"UK South","x-new-api-version":"0.4.25-alpha.4","x-oneapi-request-id":"20260413015009645205336ksHX8TwE","x-ratelimit-abusepenalty-active":"False","x-ratelimit-limit-requests":"1000","x-ratelimit-limit-tokens":"1000000","x-ratelimit-remaining-requests":"999","x-ratelimit-remaining-tokens":"998832","x-ratelimit-renewalperiod-requests":"60","x-ratelimit-renewalperiod-tokens":"60","x-ratelimit-reset-requests":"60","x-ratelimit-reset-tokens":"70","x-request-id":"bd2785c2-793b-403c-83ad-c7c6f63df117","x-shellapi-request-id":"2026041309500959442863394172613"}</t>
  </si>
  <si>
    <t>Stussy Classic White T-Shirt, made of premium soft breathable cotton, features iconic black graffiti logo print; unisex streetwear showcasing California skate culture freedom and individuality.</t>
  </si>
  <si>
    <t>{"choices":[{"content_filter_results":{"hate":{"filtered":false,"severity":"safe"},"protected_material_code":{"filtered":false,"detected":false},"protected_material_text":{"filtered":false,"detected":false},"self_harm":{"filtered":false,"severity":"safe"},"sexual":{"filtered":false,"severity":"safe"},"violence":{"filtered":false,"severity":"safe"}},"finish_reason":"stop","index":0,"logprobs":null,"message":{"annotations":[],"content":"Stussy,T-Shirts,kakobuy,kakebuy2026,kekobuysheet,kakobuysheet2026,2026kakobuy,kakobuyspreadsheeet,kakobuylink,kakebuylist,Kakobuy MEGA Spreadsheet,kakobuysheetfind,kakobuysheetfind2026,2026kakobuysheetfind,kakobuysheet2026","refusal":null,"role":"assistant"}}],"created":1776061435,"id":"chatcmpl-DU507DfuwnOFs5oTMsLjkfR63k0Zs","model":"gpt-5-chat-2025-10-03","object":"chat.completion","prompt_filter_results":[{"prompt_index":0,"content_filter_results":{"hate":{"filtered":false,"severity":"safe"},"jailbreak":{"filtered":false,"detected":false},"self_harm":{"filtered":false,"severity":"safe"},"sexual":{"filtered":false,"severity":"safe"},"violence":{"filtered":false,"severity":"safe"}}}],"system_fingerprint":"fp_ad66631dec","usage":{"completion_tokens":87,"completion_tokens_details":{"accepted_prediction_tokens":0,"audio_tokens":0,"reasoning_tokens":0,"rejected_prediction_tokens":0},"prompt_tokens":783,"prompt_tokens_details":{"audio_tokens":0,"cached_tokens":0},"total_tokens":870}}</t>
  </si>
  <si>
    <t>Stussy,T-Shirts,kakobuy,kakebuy2026,kekobuysheet,kakobuysheet2026,2026kakobuy,kakobuyspreadsheeet,kakobuylink,kakebuylist,Kakobuy MEGA Spreadsheet,kakobuysheetfind,kakobuysheetfind2026,2026kakobuysheetfind,kakobuysheet2026</t>
  </si>
  <si>
    <t>Stussy, White, Streetwear, Unisex, Breathable</t>
  </si>
  <si>
    <t>recvgxFjjA1WDr</t>
  </si>
  <si>
    <t>stussy-classic-white-cotton-logo-tshirt-recvgxfjja1wdr</t>
  </si>
  <si>
    <t>{"choices":[{"content_filter_results":{"hate":{"filtered":false,"severity":"safe"},"protected_material_code":{"filtered":false,"detected":false},"protected_material_text":{"filtered":false,"detected":false},"self_harm":{"filtered":false,"severity":"safe"},"sexual":{"filtered":false,"severity":"safe"},"violence":{"filtered":false,"severity":"safe"}},"finish_reason":"stop","index":0,"logprobs":null,"message":{"annotations":[],"content":"Stussy：经典系列白色短袖T恤，优质纯棉材质柔软透气，胸前黑色涂鸦Logo印花设计，街头潮流风格，男女通用款，展现加州滑板文化的自由与个性。","refusal":null,"role":"assistant"}}],"created":1776044409,"id":"chatcmpl-DU0ZVAkvFxjzRRBeKjlw1BotaFyUX","model":"gpt-5-chat-2025-10-03","object":"chat.completion","prompt_filter_results":[{"prompt_index":0,"content_filter_results":{"hate":{"filtered":false,"severity":"safe"},"jailbreak":{"filtered":false,"detected":false},"self_harm":{"filtered":false,"severity":"safe"},"sexual":{"filtered":false,"severity":"safe"},"violence":{"filtered":false,"severity":"safe"}}}],"system_fingerprint":"fp_ad66631dec","usage":{"completion_tokens":64,"completion_tokens_details":{"accepted_prediction_tokens":0,"audio_tokens":0,"reasoning_tokens":0,"rejected_prediction_tokens":0},"prompt_tokens":1310,"prompt_tokens_details":{"audio_tokens":0,"cached_tokens":0},"total_tokens":1374}}</t>
  </si>
  <si>
    <t>Stussy：经典系列白色短袖T恤，优质纯棉材质柔软透气，胸前黑色涂鸦Logo印花设计，街头潮流风格，男女通用款，展现加州滑板文化的自由与个性。</t>
  </si>
  <si>
    <t>CEL</t>
  </si>
  <si>
    <t>188</t>
  </si>
  <si>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HoodesCEL Black Zip Hoodie Unisex Streetwear","refusal":null,"role":"assistant"}}],"created":1776061210,"id":"chatcmpl-DU4wUZFUM72XzD0TedISclGHqGZHH","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ad66631dec","usage":{"completion_tokens":12,"completion_tokens_details":{"accepted_prediction_tokens":0,"audio_tokens":0,"reasoning_tokens":0,"rejected_prediction_tokens":0},"prompt_tokens":898,"prompt_tokens_details":{"audio_tokens":0,"cached_tokens":0},"total_tokens":910}}</t>
  </si>
  <si>
    <t>HoodesCEL Black Zip Hoodie Unisex Streetwear</t>
  </si>
  <si>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HoodesCELCEL black zip hoodie in high-density cotton blend, soft and durable. Features white “CEL” logo on hood, relaxed unisex fit, double zipper, drawstrings—French minimalist street style for fall/winter.","refusal":null,"role":"assistant"}}],"created":1776044989,"id":"chatcmpl-DU0irYjnC9MFGJbqV1kpWRrw8CEoy","model":"gpt-5-chat-2025-10-03","object":"chat.completion","prompt_filter_results":[{"prompt_index":0,"content_filter_results":{"hate":{"filtered":false,"severity":"safe"},"jailbreak":{"detected":false,"filtered":false},"self_harm":{"filtered":false,"severity":"safe"},"sexual":{"filtered":false,"severity":"safe"},"violence":{"filtered":false,"severity":"safe"}}}],"system_fingerprint":"fp_ad66631dec","usage":{"completion_tokens":48,"completion_tokens_details":{"accepted_prediction_tokens":0,"audio_tokens":0,"reasoning_tokens":0,"rejected_prediction_tokens":0},"prompt_tokens":951,"prompt_tokens_details":{"audio_tokens":0,"cached_tokens":0},"total_tokens":999}}</t>
  </si>
  <si>
    <t>{"alt-svc":"h3=\":443\"; ma=2592000","apim-request-id":"4ff06e9a-ab27-4cef-bc1b-c6bd410aaaa3","azureml-model-session":"d20260402084046-4209e968","connection":"close","content-length":"1425","content-type":"application/json","date":"Mon, 13 Apr 2026 01:49:50 GMT","skip-error-remapping":"true","strict-transport-security":"max-age=31536000; includeSubDomains; preload","via":"1.1 Caddy","x-accel-buffering":"no","x-content-type-options":"nosniff","x-ms-client-request-id":"Not-Set","x-ms-is-spilled-over":"false","x-ms-rai-invoked":"true","x-ms-region":"East US 2","x-new-api-version":"0.4.25-alpha.4","x-oneapi-request-id":"2026041301494815961417586MypSoV","x-ratelimit-abusepenalty-active":"False","x-ratelimit-limit-requests":"1000","x-ratelimit-limit-tokens":"1000000","x-ratelimit-remaining-requests":"999","x-ratelimit-remaining-tokens":"998823","x-ratelimit-renewalperiod-requests":"60","x-ratelimit-renewalperiod-tokens":"60","x-ratelimit-reset-requests":"60","x-ratelimit-reset-tokens":"70","x-request-id":"d1430354-063e-4f87-827d-7a03e2991b14","x-shellapi-request-id":"2026041309494810969207757627075"}</t>
  </si>
  <si>
    <t>HoodesCELCEL black zip hoodie in high-density cotton blend, soft and durable. Features white “CEL” logo on hood, relaxed unisex fit, double zipper, drawstrings—French minimalist street style for fall/winter.</t>
  </si>
  <si>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CELINE,Hoodie,kakobuy,kakebuy2026,kekobuysheet,kakobuysheet2026,2026kakobuy,kakobuyspreadsheeet,kakobuylink,kakebuylist,Kakobuy MEGA Spreadsheet,kakobuysheetfind,kakobuysheetfind2026,2026kakobuysheetfind,kakobuysheet2026","refusal":null,"role":"assistant"}}],"created":1776061412,"id":"chatcmpl-DU4zkqmQAHZ0JbWsS73Ec3ZRzovpD","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ad66631dec","usage":{"completion_tokens":88,"completion_tokens_details":{"accepted_prediction_tokens":0,"audio_tokens":0,"reasoning_tokens":0,"rejected_prediction_tokens":0},"prompt_tokens":783,"prompt_tokens_details":{"audio_tokens":0,"cached_tokens":0},"total_tokens":871}}</t>
  </si>
  <si>
    <t>CELINE,Hoodie,kakobuy,kakebuy2026,kekobuysheet,kakobuysheet2026,2026kakobuy,kakobuyspreadsheeet,kakobuylink,kakebuylist,Kakobuy MEGA Spreadsheet,kakobuysheetfind,kakobuysheetfind2026,2026kakobuysheetfind,kakobuysheet2026</t>
  </si>
  <si>
    <t>Black, Minimalist, Streetwear, Autumn And Winter, Unisex</t>
  </si>
  <si>
    <t>recvgxFjjAl0uc</t>
  </si>
  <si>
    <t>hoodescel-black-zip-hoodie-recvgxfjjal0uc</t>
  </si>
  <si>
    <t>{"choices":[{"content_filter_results":{"hate":{"filtered":false,"severity":"safe"},"protected_material_code":{"filtered":false,"detected":false},"protected_material_text":{"filtered":false,"detected":false},"self_harm":{"filtered":false,"severity":"safe"},"sexual":{"filtered":false,"severity":"safe"},"violence":{"filtered":false,"severity":"safe"}},"finish_reason":"stop","index":0,"logprobs":null,"message":{"annotations":[],"content":"CEL：黑色连帽拉链卫衣，采用高密度棉质混纺面料，柔软舒适不易变形。帽檐印有简约白色“CEL”字母标识，极具品牌辨识度。宽松廓形设计搭配双向拉链与抽绳细节，男女皆宜，演绎法式极简街头风格。适合秋冬日常穿搭，兼具保暖与时尚感。","refusal":null,"role":"assistant"}}],"created":1776044298,"id":"chatcmpl-DU0Xi1U7QSq62Hr0Rq9GfpfaNdgYb","model":"gpt-5-chat-2025-10-03","object":"chat.completion","prompt_filter_results":[{"prompt_index":0,"content_filter_results":{"hate":{"filtered":false,"severity":"safe"},"jailbreak":{"filtered":false,"detected":false},"self_harm":{"filtered":false,"severity":"safe"},"sexual":{"filtered":false,"severity":"safe"},"violence":{"filtered":false,"severity":"safe"}}}],"service_tier":"default","system_fingerprint":"fp_ad66631dec","usage":{"completion_tokens":111,"completion_tokens_details":{"accepted_prediction_tokens":0,"audio_tokens":0,"reasoning_tokens":0,"rejected_prediction_tokens":0},"prompt_tokens":1311,"prompt_tokens_details":{"audio_tokens":0,"cached_tokens":1280},"total_tokens":1422}}</t>
  </si>
  <si>
    <t>CEL：黑色连帽拉链卫衣，采用高密度棉质混纺面料，柔软舒适不易变形。帽檐印有简约白色“CEL”字母标识，极具品牌辨识度。宽松廓形设计搭配双向拉链与抽绳细节，男女皆宜，演绎法式极简街头风格。适合秋冬日常穿搭，兼具保暖与时尚感。</t>
  </si>
  <si>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Gallery Dept Black Pullover Hoodie Streetwear Unisex","refusal":null,"role":"assistant"}}],"created":1776061242,"id":"chatcmpl-DU4x0oEkeqPbxVSN7f9zScbzWmcs3","model":"gpt-5-chat-2025-10-03","object":"chat.completion","prompt_filter_results":[{"prompt_index":0,"content_filter_results":{"hate":{"filtered":false,"severity":"safe"},"jailbreak":{"detected":false,"filtered":false},"self_harm":{"filtered":false,"severity":"safe"},"sexual":{"filtered":false,"severity":"safe"},"violence":{"filtered":false,"severity":"safe"}}}],"system_fingerprint":"fp_ad66631dec","usage":{"completion_tokens":11,"completion_tokens_details":{"accepted_prediction_tokens":0,"audio_tokens":0,"reasoning_tokens":0,"rejected_prediction_tokens":0},"prompt_tokens":897,"prompt_tokens_details":{"audio_tokens":0,"cached_tokens":0},"total_tokens":908}}</t>
  </si>
  <si>
    <t>Gallery Dept Black Pullover Hoodie Streetwear Unisex</t>
  </si>
  <si>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Gallery Dept Black Pullover Hoodie, premium cotton for soft breathable comfort. Features iconic white “DEPT. de la GALERIE” print, relaxed unisex fit with drawstring hood and kangaroo pocket for streetwear style.","refusal":null,"role":"assistant"}}],"created":1776044986,"id":"chatcmpl-DU0iopZVPy4QfC0KswNPMMkzCxz64","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ad66631dec","usage":{"completion_tokens":47,"completion_tokens_details":{"accepted_prediction_tokens":0,"audio_tokens":0,"reasoning_tokens":0,"rejected_prediction_tokens":0},"prompt_tokens":954,"prompt_tokens_details":{"audio_tokens":0,"cached_tokens":0},"total_tokens":1001}}</t>
  </si>
  <si>
    <t>{"alt-svc":"h3=\":443\"; ma=2592000","apim-request-id":"ec63762f-d7b8-4aaf-92bd-f85806d7ff11","azureml-model-session":"d20260405234249-f9874baf","connection":"close","content-length":"1454","content-type":"application/json","date":"Mon, 13 Apr 2026 01:49:47 GMT","skip-error-remapping":"true","strict-transport-security":"max-age=31536000; includeSubDomains; preload","via":"1.1 Caddy","x-accel-buffering":"no","x-content-type-options":"nosniff","x-ms-client-request-id":"Not-Set","x-ms-is-spilled-over":"false","x-ms-rai-invoked":"true","x-ms-region":"Japan East","x-new-api-version":"0.4.25-alpha.4","x-oneapi-request-id":"202604130149442304854804PNyeuzc","x-ratelimit-abusepenalty-active":"False","x-ratelimit-limit-requests":"1000","x-ratelimit-limit-tokens":"1000000","x-ratelimit-remaining-requests":"999","x-ratelimit-remaining-tokens":"998815","x-ratelimit-renewalperiod-requests":"60","x-ratelimit-renewalperiod-tokens":"60","x-ratelimit-reset-requests":"60","x-ratelimit-reset-tokens":"71","x-request-id":"40b3c332-2179-4a93-8bd4-22daf0d2c9f5","x-shellapi-request-id":"2026041309494419477206039496405"}</t>
  </si>
  <si>
    <t>Gallery Dept Black Pullover Hoodie, premium cotton for soft breathable comfort. Features iconic white “DEPT. de la GALERIE” print, relaxed unisex fit with drawstring hood and kangaroo pocket for streetwear style.</t>
  </si>
  <si>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Gallery Dept, Hoodie, kakobuy, kakebuy2026, kekobuysheet, kakobuysheet2026, 2026kakobuy, kakobuyspreadsheeet, kakobuylink, kakebuylist, Kakobuy MEGA Spreadsheet, kakobuysheetfind, kakobuysheetfind2026, 2026kakobuysheetfind, kakobuysheet2026","refusal":null,"role":"assistant"}}],"created":1776061415,"id":"chatcmpl-DU4zn2roFcWJ3wXesoe2GCjHMo9qR","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ad66631dec","usage":{"completion_tokens":91,"completion_tokens_details":{"accepted_prediction_tokens":0,"audio_tokens":0,"reasoning_tokens":0,"rejected_prediction_tokens":0},"prompt_tokens":784,"prompt_tokens_details":{"audio_tokens":0,"cached_tokens":0},"total_tokens":875}}</t>
  </si>
  <si>
    <t>Black, Unisex, Streetwear, Comfort, Breathable</t>
  </si>
  <si>
    <t>recvgxFjjAA9yQ</t>
  </si>
  <si>
    <t>gallery-dept-black-pullover-hoodie-recvgxfjjaa9yq</t>
  </si>
  <si>
    <t>{"choices":[{"content_filter_results":{"hate":{"filtered":false,"severity":"safe"},"protected_material_code":{"filtered":false,"detected":false},"protected_material_text":{"filtered":false,"detected":false},"self_harm":{"filtered":false,"severity":"safe"},"sexual":{"filtered":false,"severity":"safe"},"violence":{"filtered":false,"severity":"safe"}},"finish_reason":"stop","index":0,"logprobs":null,"message":{"annotations":[],"content":"Gallery Dept：黑色套头连帽卫衣，精选纯棉材质，柔软亲肤透气。正面印有品牌经典白色“DEPT. de la GALERIE”字样，极具街头艺术感。宽松廓形设计搭配抽绳帽兜与实用袋鼠口袋，男女皆宜。复古美式街头风格，彰显独立个性与随性态度，适合日常休闲与潮流穿搭。","refusal":null,"role":"assistant"}}],"created":1776044245,"id":"chatcmpl-DU0WrzBdQVQAQTgC0s8mojnC2meba","model":"gpt-5-chat-2025-10-03","object":"chat.completion","prompt_filter_results":[{"prompt_index":0,"content_filter_results":{"hate":{"filtered":false,"severity":"safe"},"jailbreak":{"filtered":false,"detected":false},"self_harm":{"filtered":false,"severity":"safe"},"sexual":{"filtered":false,"severity":"safe"},"violence":{"filtered":false,"severity":"safe"}}}],"service_tier":"default","system_fingerprint":"fp_ad66631dec","usage":{"completion_tokens":114,"completion_tokens_details":{"accepted_prediction_tokens":0,"audio_tokens":0,"reasoning_tokens":0,"rejected_prediction_tokens":0},"prompt_tokens":1311,"prompt_tokens_details":{"audio_tokens":0,"cached_tokens":1280},"total_tokens":1425}}</t>
  </si>
  <si>
    <t>Gallery Dept：黑色套头连帽卫衣，精选纯棉材质，柔软亲肤透气。正面印有品牌经典白色“DEPT. de la GALERIE”字样，极具街头艺术感。宽松廓形设计搭配抽绳帽兜与实用袋鼠口袋，男女皆宜。复古美式街头风格，彰显独立个性与随性态度，适合日常休闲与潮流穿搭。</t>
  </si>
  <si>
    <t>550</t>
  </si>
  <si>
    <t>{"choices":[{"content_filter_results":{"hate":{"filtered":false,"severity":"safe"},"protected_material_code":{"filtered":false,"detected":false},"protected_material_text":{"filtered":false,"detected":false},"self_harm":{"filtered":false,"severity":"safe"},"sexual":{"filtered":false,"severity":"safe"},"violence":{"filtered":false,"severity":"safe"}},"finish_reason":"stop","index":0,"logprobs":null,"message":{"annotations":[],"content":"Ralph Lauren Navy Hooded Down Jacket Winter Coat","refusal":null,"role":"assistant"}}],"created":1776061191,"id":"chatcmpl-DU4wBg0PlG1bPmAInqF8J99L6jXKE","model":"gpt-5-chat-2025-10-03","object":"chat.completion","prompt_filter_results":[{"prompt_index":0,"content_filter_results":{"hate":{"filtered":false,"severity":"safe"},"jailbreak":{"filtered":false,"detected":false},"self_harm":{"filtered":false,"severity":"safe"},"sexual":{"filtered":false,"severity":"safe"},"violence":{"filtered":false,"severity":"safe"}}}],"system_fingerprint":"fp_ad66631dec","usage":{"completion_tokens":11,"completion_tokens_details":{"accepted_prediction_tokens":0,"audio_tokens":0,"reasoning_tokens":0,"rejected_prediction_tokens":0},"prompt_tokens":881,"prompt_tokens_details":{"audio_tokens":0,"cached_tokens":0},"total_tokens":892}}</t>
  </si>
  <si>
    <t>Ralph Lauren Navy Hooded Down Jacket Winter Coat</t>
  </si>
  <si>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Ralph Lauren Navy Down Jacket—crafted from premium windproof nylon, lightweight and warm. Iconic red polo logo, stand collar with hood, perfect for men and women winter casual wear.","refusal":null,"role":"assistant"}}],"created":1776045012,"id":"chatcmpl-DU0jE2Us8xM0Ic71rFigtqZrA50gE","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ad66631dec","usage":{"completion_tokens":39,"completion_tokens_details":{"accepted_prediction_tokens":0,"audio_tokens":0,"reasoning_tokens":0,"rejected_prediction_tokens":0},"prompt_tokens":916,"prompt_tokens_details":{"audio_tokens":0,"cached_tokens":0},"total_tokens":955}}</t>
  </si>
  <si>
    <t>{"alt-svc":"h3=\":443\"; ma=2592000","apim-request-id":"0210e0cb-a9b6-4825-bd77-0308f1ad1088","azureml-model-session":"d20260405212659-a9daa006","connection":"close","content-length":"1420","content-type":"application/json","date":"Mon, 13 Apr 2026 01:50:14 GMT","skip-error-remapping":"true","strict-transport-security":"max-age=31536000; includeSubDomains; preload","via":"1.1 Caddy","x-accel-buffering":"no","x-content-type-options":"nosniff","x-ms-client-request-id":"Not-Set","x-ms-is-spilled-over":"false","x-ms-rai-invoked":"true","x-ms-region":"UK South","x-new-api-version":"0.4.25-alpha.4","x-oneapi-request-id":"202604130150112335827450mkTAgSw","x-ratelimit-abusepenalty-active":"False","x-ratelimit-limit-requests":"1000","x-ratelimit-limit-tokens":"1000000","x-ratelimit-remaining-requests":"999","x-ratelimit-remaining-tokens":"998825","x-ratelimit-renewalperiod-requests":"60","x-ratelimit-renewalperiod-tokens":"60","x-ratelimit-reset-requests":"60","x-ratelimit-reset-tokens":"70","x-request-id":"426a80f3-e1fb-4831-a494-456187878cbb","x-shellapi-request-id":"2026041309501119759042731909495"}</t>
  </si>
  <si>
    <t>Ralph Lauren Navy Down Jacket—crafted from premium windproof nylon, lightweight and warm. Iconic red polo logo, stand collar with hood, perfect for men and women winter casual wear.</t>
  </si>
  <si>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Ralph Lauren, Jackets, kakobuy, kakebuy2026, kekobuysheet, kakobuysheet2026, 2026kakobuy, kakobuyspreadsheeet, kakobuylink, kakebuylist, Kakobuy MEGA Spreadsheet, kakobuysheetfind, kakobuysheetfind2026, 2026kakobuysheetfind, kakobuysheet2026","refusal":null,"role":"assistant"}}],"created":1776061461,"id":"chatcmpl-DU50XtqmaIc8XnmSYskCAV8ikHfpz","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ad66631dec","usage":{"completion_tokens":92,"completion_tokens_details":{"accepted_prediction_tokens":0,"audio_tokens":0,"reasoning_tokens":0,"rejected_prediction_tokens":0},"prompt_tokens":784,"prompt_tokens_details":{"audio_tokens":0,"cached_tokens":0},"total_tokens":876}}</t>
  </si>
  <si>
    <t>Navy, Windproof, Nylon, Lightweight, Winter, Men's And Women's</t>
  </si>
  <si>
    <t>recvgxFjjAwtSp</t>
  </si>
  <si>
    <t>ralph-lauren-navy-hooded-down-jacket-recvgxfjjawtsp</t>
  </si>
  <si>
    <t>{"choices":[{"content_filter_results":{"hate":{"filtered":false,"severity":"safe"},"protected_material_code":{"filtered":false,"detected":false},"protected_material_text":{"filtered":false,"detected":false},"self_harm":{"filtered":false,"severity":"safe"},"sexual":{"filtered":false,"severity":"safe"},"violence":{"filtered":false,"severity":"safe"}},"finish_reason":"stop","index":0,"logprobs":null,"message":{"annotations":[],"content":"Ralph Lauren 海军蓝羽绒外套，精选优质防风尼龙面料，轻盈保暖。胸前标志性红色骑士徽标彰显品牌格调，立领连帽设计兼具时尚与实用，适合男女冬季休闲穿搭，展现经典美式简约风格。","refusal":null,"role":"assistant"}}],"created":1776044354,"id":"chatcmpl-DU0YcG5okAffLLnVM4cyzZa72ClKR","model":"gpt-5-chat-2025-10-03","object":"chat.completion","prompt_filter_results":[{"prompt_index":0,"content_filter_results":{"hate":{"filtered":false,"severity":"safe"},"jailbreak":{"filtered":false,"detected":false},"self_harm":{"filtered":false,"severity":"safe"},"sexual":{"filtered":false,"severity":"safe"},"violence":{"filtered":false,"severity":"safe"}}}],"system_fingerprint":"fp_ad66631dec","usage":{"completion_tokens":78,"completion_tokens_details":{"accepted_prediction_tokens":0,"audio_tokens":0,"reasoning_tokens":0,"rejected_prediction_tokens":0},"prompt_tokens":1308,"prompt_tokens_details":{"audio_tokens":0,"cached_tokens":1280},"total_tokens":1386}}</t>
  </si>
  <si>
    <t>Ralph Lauren 海军蓝羽绒外套，精选优质防风尼龙面料，轻盈保暖。胸前标志性红色骑士徽标彰显品牌格调，立领连帽设计兼具时尚与实用，适合男女冬季休闲穿搭，展现经典美式简约风格。</t>
  </si>
  <si>
    <t>Chrome Hearts</t>
  </si>
  <si>
    <t>197</t>
  </si>
  <si>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Chrome Hearts Red Long Sleeve Gothic Streetwear T-Shirt","refusal":null,"role":"assistant"}}],"created":1776061173,"id":"chatcmpl-DU4vt6mlOVcSfEjh01SE2tVbicvsE","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ad66631dec","usage":{"completion_tokens":11,"completion_tokens_details":{"accepted_prediction_tokens":0,"audio_tokens":0,"reasoning_tokens":0,"rejected_prediction_tokens":0},"prompt_tokens":874,"prompt_tokens_details":{"audio_tokens":0,"cached_tokens":0},"total_tokens":885}}</t>
  </si>
  <si>
    <t>Chrome Hearts Red Long Sleeve Gothic Streetwear T-Shirt</t>
  </si>
  <si>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Chrome Hearts Red Long Sleeve T-Shirt crafted from premium cotton, featuring silver logo and heart cross motif, gothic print on sleeves, relaxed unisex fit for edgy streetwear style.","refusal":null,"role":"assistant"}}],"created":1776045026,"id":"chatcmpl-DU0jSLcEXugauUskzNVbf4luWBTAH","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ad66631dec","usage":{"completion_tokens":36,"completion_tokens_details":{"accepted_prediction_tokens":0,"audio_tokens":0,"reasoning_tokens":0,"rejected_prediction_tokens":0},"prompt_tokens":944,"prompt_tokens_details":{"audio_tokens":0,"cached_tokens":0},"total_tokens":980}}</t>
  </si>
  <si>
    <t>{"alt-svc":"h3=\":443\"; ma=2592000","apim-request-id":"5fa70da7-e2f3-413e-bbf6-4619e5c9072e","azureml-model-session":"d20260405234249-f9874baf","connection":"close","content-length":"1419","content-type":"application/json","date":"Mon, 13 Apr 2026 01:50:28 GMT","skip-error-remapping":"true","strict-transport-security":"max-age=31536000; includeSubDomains; preload","via":"1.1 Caddy","x-accel-buffering":"no","x-content-type-options":"nosniff","x-ms-client-request-id":"Not-Set","x-ms-is-spilled-over":"false","x-ms-rai-invoked":"true","x-ms-region":"UK South","x-new-api-version":"0.4.25-alpha.4","x-oneapi-request-id":"20260413015026168425368wm3PFoxB","x-ratelimit-abusepenalty-active":"False","x-ratelimit-limit-requests":"1000","x-ratelimit-limit-tokens":"1000000","x-ratelimit-remaining-requests":"999","x-ratelimit-remaining-tokens":"998817","x-ratelimit-renewalperiod-requests":"60","x-ratelimit-renewalperiod-tokens":"60","x-ratelimit-reset-requests":"60","x-ratelimit-reset-tokens":"70","x-request-id":"6c0c9120-03a0-44e4-944a-b505fe57b247","x-shellapi-request-id":"2026041309502611474114823428669"}</t>
  </si>
  <si>
    <t>Chrome Hearts Red Long Sleeve T-Shirt crafted from premium cotton, featuring silver logo and heart cross motif, gothic print on sleeves, relaxed unisex fit for edgy streetwear style.</t>
  </si>
  <si>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Chrome Hearts, T-Shirts, kakobuy, kakebuy2026, kekobuysheet, kakobuysheet2026, 2026kakobuy, kakobuyspreadsheeet, kakobuylink, kakebuylist, Kakobuy MEGA Spreadsheet, kakobuysheetfind, kakobuysheetfind2026, 2026kakobuysheetfind, kakobuysheet2026","refusal":null,"role":"assistant"}}],"created":1776061353,"id":"chatcmpl-DU4ynr09qSWRMZU6cQ83Tr3UXHfm8","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ad66631dec","usage":{"completion_tokens":92,"completion_tokens_details":{"accepted_prediction_tokens":0,"audio_tokens":0,"reasoning_tokens":0,"rejected_prediction_tokens":0},"prompt_tokens":783,"prompt_tokens_details":{"audio_tokens":0,"cached_tokens":0},"total_tokens":875}}</t>
  </si>
  <si>
    <t>Chrome Hearts, T-Shirts, kakobuy, kakebuy2026, kekobuysheet, kakobuysheet2026, 2026kakobuy, kakobuyspreadsheeet, kakobuylink, kakebuylist, Kakobuy MEGA Spreadsheet, kakobuysheetfind, kakobuysheetfind2026, 2026kakobuysheetfind, kakobuysheet2026</t>
  </si>
  <si>
    <t>Red, Unisex, Gothic, Streetwear, Edgy</t>
  </si>
  <si>
    <t>recvgxFjjAVSDu</t>
  </si>
  <si>
    <t>chrome-hearts-red-long-sleeve-gothic-streetwear-t-shirt-recvgxFjjAVSDu</t>
  </si>
  <si>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Chrome Hearts：红色长袖T恤，甄选纯棉材质，柔软舒适。胸前点缀品牌经典银色Logo字样与心形十字图腾，袖子饰以白色哥特字体印花，展现街头摇滚风格。宽松中性版型设计，适合男女穿搭，凸显个性与潮流态度，打造2020年代标志性街头造型。","refusal":null,"role":"assistant"}}],"created":1776044471,"id":"chatcmpl-DU0aVHHw2tLkJ5KgkXUg5fXmX0OFj","model":"gpt-5-chat-2025-10-03","object":"chat.completion","prompt_filter_results":[{"prompt_index":0,"content_filter_results":{"hate":{"filtered":false,"severity":"safe"},"jailbreak":{"detected":false,"filtered":false},"self_harm":{"filtered":false,"severity":"safe"},"sexual":{"filtered":false,"severity":"safe"},"violence":{"filtered":false,"severity":"safe"}}}],"system_fingerprint":"fp_ad66631dec","usage":{"completion_tokens":103,"completion_tokens_details":{"accepted_prediction_tokens":0,"audio_tokens":0,"reasoning_tokens":0,"rejected_prediction_tokens":0},"prompt_tokens":1314,"prompt_tokens_details":{"audio_tokens":0,"cached_tokens":0},"total_tokens":1417}}</t>
  </si>
  <si>
    <t>Chrome Hearts：红色长袖T恤，甄选纯棉材质，柔软舒适。胸前点缀品牌经典银色Logo字样与心形十字图腾，袖子饰以白色哥特字体印花，展现街头摇滚风格。宽松中性版型设计，适合男女穿搭，凸显个性与潮流态度，打造2020年代标志性街头造型。</t>
  </si>
  <si>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Canada Goose White Down Vest Lightweight Jacket","refusal":null,"role":"assistant"}}],"created":1776061263,"id":"chatcmpl-DU4xLvUrVEPTluciyKZNRINCNYeUY","model":"gpt-5-chat-2025-10-03","object":"chat.completion","prompt_filter_results":[{"prompt_index":1,"content_filter_result":{"sexual":{"filtered":false,"severity":"safe"},"violence":{"filtered":false,"severity":"safe"},"hate":{"filtered":false,"severity":"safe"},"self_harm":{"filtered":false,"severity":"safe"}}},{"prompt_index":0,"content_filter_result":{}}],"system_fingerprint":"fp_ad66631dec","usage":{"completion_tokens":8,"completion_tokens_details":{"accepted_prediction_tokens":0,"audio_tokens":0,"reasoning_tokens":0,"rejected_prediction_tokens":0},"prompt_tokens":882,"prompt_tokens_details":{"audio_tokens":0,"cached_tokens":0},"total_tokens":890}}</t>
  </si>
  <si>
    <t>Canada Goose White Down Vest Lightweight Jacket</t>
  </si>
  <si>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Canada Goose White Lightweight Down Vest – filled with high-loft goose down for warmth without bulk. Sleeveless stand collar, zip front, and unisex modern minimalist design for stylish urban winter looks.","refusal":null,"role":"assistant"}}],"created":1776044978,"id":"chatcmpl-DU0igoafSOI6XukOMjpqik9rLpqgr","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ad66631dec","usage":{"completion_tokens":40,"completion_tokens_details":{"accepted_prediction_tokens":0,"audio_tokens":0,"reasoning_tokens":0,"rejected_prediction_tokens":0},"prompt_tokens":916,"prompt_tokens_details":{"audio_tokens":0,"cached_tokens":0},"total_tokens":956}}</t>
  </si>
  <si>
    <t>{"alt-svc":"h3=\":443\"; ma=2592000","apim-request-id":"254d79a6-f45c-4e52-8fb8-d33a25e30b28","azureml-model-session":"d20260405225800-40f19e54","connection":"close","content-length":"1443","content-type":"application/json","date":"Mon, 13 Apr 2026 01:49:39 GMT","skip-error-remapping":"true","strict-transport-security":"max-age=31536000; includeSubDomains; preload","via":"1.1 Caddy","x-accel-buffering":"no","x-content-type-options":"nosniff","x-ms-client-request-id":"Not-Set","x-ms-is-spilled-over":"false","x-ms-rai-invoked":"true","x-ms-region":"Korea Central","x-new-api-version":"0.4.25-alpha.4","x-oneapi-request-id":"20260413014937230304777yGMx3VK9","x-ratelimit-abusepenalty-active":"False","x-ratelimit-limit-requests":"1000","x-ratelimit-limit-tokens":"1000000","x-ratelimit-remaining-requests":"999","x-ratelimit-remaining-tokens":"998827","x-ratelimit-renewalperiod-requests":"60","x-ratelimit-renewalperiod-tokens":"60","x-ratelimit-reset-requests":"60","x-ratelimit-reset-tokens":"70","x-request-id":"ab231f2e-4791-44b5-97c8-156052c56ae6","x-shellapi-request-id":"2026041309493719271098414613116"}</t>
  </si>
  <si>
    <t>Canada Goose White Lightweight Down Vest – filled with high-loft goose down for warmth without bulk. Sleeveless stand collar, zip front, and unisex modern minimalist design for stylish urban winter looks.</t>
  </si>
  <si>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Canada Goose,T-Shirts,kakobuy,kakebuy2026,kekobuysheet,kakobuysheet2026,2026kakobuy,kakobuyspreadsheeet,kakobuylink,kakebuylist,Kakobuy MEGA Spreadsheet,kakobuysheetfind,kakobuysheetfind2026,2026kakobuysheetfind,kakobuysheet2026","refusal":null,"role":"assistant"}}],"created":1776061351,"id":"chatcmpl-DU4ylSulRbeUzs0ixCFdJ8fmKwmnx","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ad66631dec","usage":{"completion_tokens":87,"completion_tokens_details":{"accepted_prediction_tokens":0,"audio_tokens":0,"reasoning_tokens":0,"rejected_prediction_tokens":0},"prompt_tokens":783,"prompt_tokens_details":{"audio_tokens":0,"cached_tokens":0},"total_tokens":870}}</t>
  </si>
  <si>
    <t>Canada Goose,T-Shirts,kakobuy,kakebuy2026,kekobuysheet,kakobuysheet2026,2026kakobuy,kakobuyspreadsheeet,kakobuylink,kakebuylist,Kakobuy MEGA Spreadsheet,kakobuysheetfind,kakobuysheetfind2026,2026kakobuysheetfind,kakobuysheet2026</t>
  </si>
  <si>
    <t>White, Lightweight, Winter, Unisex, Minimalist</t>
  </si>
  <si>
    <t>recvgxFjjA13I4</t>
  </si>
  <si>
    <t>canada-goose-white-down-vest-lightweight-jacket-recvgxfjja13i4</t>
  </si>
  <si>
    <t>{"choices":[{"content_filter_results":{"hate":{"filtered":false,"severity":"safe"},"protected_material_code":{"filtered":false,"detected":false},"protected_material_text":{"filtered":false,"detected":false},"self_harm":{"filtered":false,"severity":"safe"},"sexual":{"filtered":false,"severity":"safe"},"violence":{"filtered":false,"severity":"safe"}},"finish_reason":"stop","index":0,"logprobs":null,"message":{"annotations":[],"content":"Canada Goose：白色轻盈羽绒马甲，选用高蓬松度鹅绒填充，保暖又不显臃肿。简约无袖立领设计，搭配拉链前襟，层次分明。中性剪裁适合男女穿搭，现代极简风格彰显都市冬日高级质感。","refusal":null,"role":"assistant"}}],"created":1776044271,"id":"chatcmpl-DU0XH1zhK7pHpc0FxBUUi7pshdsIy","model":"gpt-5-chat-2025-10-03","object":"chat.completion","prompt_filter_results":[{"prompt_index":0,"content_filter_results":{"hate":{"filtered":false,"severity":"safe"},"jailbreak":{"filtered":false,"detected":false},"self_harm":{"filtered":false,"severity":"safe"},"sexual":{"filtered":false,"severity":"safe"},"violence":{"filtered":false,"severity":"safe"}}}],"service_tier":"default","system_fingerprint":"fp_ad66631dec","usage":{"completion_tokens":82,"completion_tokens_details":{"accepted_prediction_tokens":0,"audio_tokens":0,"reasoning_tokens":0,"rejected_prediction_tokens":0},"prompt_tokens":1300,"prompt_tokens_details":{"audio_tokens":0,"cached_tokens":1280},"total_tokens":1382}}</t>
  </si>
  <si>
    <t>Canada Goose：白色轻盈羽绒马甲，选用高蓬松度鹅绒填充，保暖又不显臃肿。简约无袖立领设计，搭配拉链前襟，层次分明。中性剪裁适合男女穿搭，现代极简风格彰显都市冬日高级质感。</t>
  </si>
  <si>
    <t>369</t>
  </si>
  <si>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Balenciaga Black Logo Oversized Unisex Hoodie","refusal":null,"role":"assistant"}}],"created":1776061242,"id":"chatcmpl-DU4x0ABESaZ6PUmpfSM7BzE4l5c1f","model":"gpt-5-chat-2025-10-03","object":"chat.completion","prompt_filter_results":[{"prompt_index":1,"content_filter_result":{"sexual":{"filtered":false,"severity":"safe"},"violence":{"filtered":false,"severity":"safe"},"hate":{"filtered":false,"severity":"safe"},"self_harm":{"filtered":false,"severity":"safe"}}},{"prompt_index":0,"content_filter_result":{}}],"system_fingerprint":"fp_ad66631dec","usage":{"completion_tokens":11,"completion_tokens_details":{"accepted_prediction_tokens":0,"audio_tokens":0,"reasoning_tokens":0,"rejected_prediction_tokens":0},"prompt_tokens":872,"prompt_tokens_details":{"audio_tokens":0,"cached_tokens":0},"total_tokens":883}}</t>
  </si>
  <si>
    <t>Balenciaga Black Logo Oversized Unisex Hoodie</t>
  </si>
  <si>
    <t>{"choices":[{"content_filter_result":{"error":{"code":"content_filter_error","message":"The contents are not filtered"}},"content_filter_results":{"protected_material_code":{"detected":false,"filtered":false},"protected_material_text":{"detected":false,"filtered":false}},"finish_reason":"stop","index":0,"logprobs":null,"message":{"annotations":[],"content":"Balenciaga Black Logo Embroidered Hoodie – Soft cotton fabric, oversized fit, unisex streetwear style with minimalist design and premium comfort for modern fashion lovers.","refusal":null,"role":"assistant"}}],"created":1776045025,"id":"chatcmpl-DU0jRVDwet5JeBjotJcne6kTteQoK","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ad66631dec","usage":{"completion_tokens":34,"completion_tokens_details":{"accepted_prediction_tokens":0,"audio_tokens":0,"reasoning_tokens":0,"rejected_prediction_tokens":0},"prompt_tokens":890,"prompt_tokens_details":{"audio_tokens":0,"cached_tokens":0},"total_tokens":924}}</t>
  </si>
  <si>
    <t>{"alt-svc":"h3=\":443\"; ma=2592000","apim-request-id":"3f6c240d-42eb-4bb4-a821-26c88f0d0007","azureml-model-session":"d20260405225800-40f19e54","connection":"close","content-length":"1331","content-type":"application/json","date":"Mon, 13 Apr 2026 01:50:26 GMT","skip-error-remapping":"true","strict-transport-security":"max-age=31536000; includeSubDomains; preload","via":"1.1 Caddy","x-accel-buffering":"no","x-content-type-options":"nosniff","x-ms-client-request-id":"Not-Set","x-ms-is-spilled-over":"false","x-ms-rai-invoked":"true","x-ms-region":"Japan East","x-new-api-version":"0.4.25-alpha.4","x-oneapi-request-id":"202604130150247787306064rTIgUtM","x-ratelimit-abusepenalty-active":"False","x-ratelimit-limit-requests":"1000","x-ratelimit-limit-tokens":"1000000","x-ratelimit-remaining-requests":"999","x-ratelimit-remaining-tokens":"998835","x-ratelimit-renewalperiod-requests":"60","x-ratelimit-renewalperiod-tokens":"60","x-ratelimit-reset-requests":"60","x-ratelimit-reset-tokens":"69","x-request-id":"8217ae2e-deba-4a4f-9fe1-d93481bde106","x-shellapi-request-id":"2026041309502473773042814728543"}</t>
  </si>
  <si>
    <t>Balenciaga Black Logo Embroidered Hoodie – Soft cotton fabric, oversized fit, unisex streetwear style with minimalist design and premium comfort for modern fashion lovers.</t>
  </si>
  <si>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Balenciaga,Hoodie,kakobuy,kakebuy2026,kekobuysheet,kakobuysheet2026,2026kakobuy,kakobuyspreadsheeet,kakobuylink,kakebuylist,Kakobuy MEGA Spreadsheet,kakobuysheetfind,kakobuysheetfind2026,2026kakobuysheetfind,kakobuysheet2026","refusal":null,"role":"assistant"}}],"created":1776061408,"id":"chatcmpl-DU4zgGkxbogm1hSEXJnWOIsXLqkPY","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ad66631dec","usage":{"completion_tokens":89,"completion_tokens_details":{"accepted_prediction_tokens":0,"audio_tokens":0,"reasoning_tokens":0,"rejected_prediction_tokens":0},"prompt_tokens":785,"prompt_tokens_details":{"audio_tokens":0,"cached_tokens":0},"total_tokens":874}}</t>
  </si>
  <si>
    <t>Balenciaga,Hoodie,kakobuy,kakebuy2026,kekobuysheet,kakobuysheet2026,2026kakobuy,kakobuyspreadsheeet,kakobuylink,kakebuylist,Kakobuy MEGA Spreadsheet,kakobuysheetfind,kakobuysheetfind2026,2026kakobuysheetfind,kakobuysheet2026</t>
  </si>
  <si>
    <t>Balenciaga, Black, Streetwear, Minimalist, Unisex</t>
  </si>
  <si>
    <t>recvgxFjjAQktJ</t>
  </si>
  <si>
    <t>balenciaga-black-logo-oversized-hoodie-recvgxfjjaqktj</t>
  </si>
  <si>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Balenciaga：黑色Logo刺绣连帽卫衣，采用柔软棉质面料，宽松廓形设计，男女通用，展现极简街头风格与潮流质感。","refusal":null,"role":"assistant"}}],"created":1776044471,"id":"chatcmpl-DU0aVhKribRtQwctsakqBmpumUFs6","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ad66631dec","usage":{"completion_tokens":50,"completion_tokens_details":{"accepted_prediction_tokens":0,"audio_tokens":0,"reasoning_tokens":0,"rejected_prediction_tokens":0},"prompt_tokens":1311,"prompt_tokens_details":{"audio_tokens":0,"cached_tokens":1280},"total_tokens":1361}}</t>
  </si>
  <si>
    <t>Balenciaga：黑色Logo刺绣连帽卫衣，采用柔软棉质面料，宽松廓形设计，男女通用，展现极简街头风格与潮流质感。</t>
  </si>
  <si>
    <t>137</t>
  </si>
  <si>
    <t>{"choices":[{"content_filter_results":{"hate":{"filtered":false,"severity":"safe"},"protected_material_code":{"filtered":false,"detected":false},"protected_material_text":{"filtered":false,"detected":false},"self_harm":{"filtered":false,"severity":"safe"},"sexual":{"filtered":false,"severity":"safe"},"violence":{"filtered":false,"severity":"safe"}},"finish_reason":"stop","index":0,"logprobs":null,"message":{"annotations":[],"content":"Essentials White Logo Hoodie Unisex Streetwear Pullover","refusal":null,"role":"assistant"}}],"created":1776061284,"id":"chatcmpl-DU4xgMk9FfqZVqLBzCe6RjoV0gWBo","model":"gpt-5-chat-2025-10-03","object":"chat.completion","prompt_filter_results":[{"prompt_index":0,"content_filter_results":{}}],"system_fingerprint":"fp_ad66631dec","usage":{"completion_tokens":12,"completion_tokens_details":{"accepted_prediction_tokens":0,"audio_tokens":0,"reasoning_tokens":0,"rejected_prediction_tokens":0},"prompt_tokens":875,"prompt_tokens_details":{"audio_tokens":0,"cached_tokens":0},"total_tokens":887}}</t>
  </si>
  <si>
    <t>Essentials White Logo Hoodie Unisex Streetwear Pullover</t>
  </si>
  <si>
    <t>{"choices":[{"content_filter_results":{"hate":{"filtered":false,"severity":"safe"},"protected_material_code":{"filtered":false,"detected":false},"protected_material_text":{"filtered":false,"detected":false},"self_harm":{"filtered":false,"severity":"safe"},"sexual":{"filtered":false,"severity":"safe"},"violence":{"filtered":false,"severity":"safe"}},"finish_reason":"stop","index":0,"logprobs":null,"message":{"annotations":[],"content":"Essentials Hooded Sweatshirt: White cotton hoodie with bold black logo print, soft thick fabric, relaxed fit for men and women, minimalist street style for modern casual fashion.","refusal":null,"role":"assistant"}}],"created":1776044909,"id":"chatcmpl-DU0hZIgbTKjYCjW1SSTEPsr2yXEOn","model":"gpt-5-chat-2025-10-03","object":"chat.completion","prompt_filter_results":[{"prompt_index":0,"content_filter_results":{"hate":{"filtered":false,"severity":"safe"},"jailbreak":{"filtered":false,"detected":false},"self_harm":{"filtered":false,"severity":"safe"},"sexual":{"filtered":false,"severity":"safe"},"violence":{"filtered":false,"severity":"safe"}}}],"system_fingerprint":"fp_ad66631dec","usage":{"completion_tokens":36,"completion_tokens_details":{"accepted_prediction_tokens":0,"audio_tokens":0,"reasoning_tokens":0,"rejected_prediction_tokens":0},"prompt_tokens":902,"prompt_tokens_details":{"audio_tokens":0,"cached_tokens":0},"total_tokens":938}}</t>
  </si>
  <si>
    <t>{"alt-svc":"h3=\":443\"; ma=2592000","apim-request-id":"8229b17d-17bf-4664-bc20-9ed3cfecd7b5","azureml-model-session":"d20260405221325-2e8d5e76","connection":"close","content-length":"1390","content-type":"application/json","date":"Mon, 13 Apr 2026 01:48:30 GMT","skip-error-remapping":"true","strict-transport-security":"max-age=31536000; includeSubDomains; preload","via":"1.1 Caddy","x-accel-buffering":"no","x-content-type-options":"nosniff","x-ms-client-request-id":"Not-Set","x-ms-is-spilled-over":"false","x-ms-rai-invoked":"true","x-ms-region":"East US","x-new-api-version":"0.4.25-alpha.4","x-oneapi-request-id":"20260413014828435123731lHQoij61","x-ratelimit-abusepenalty-active":"False","x-ratelimit-limit-requests":"1000","x-ratelimit-limit-tokens":"1000000","x-ratelimit-remaining-requests":"999","x-ratelimit-remaining-tokens":"998831","x-ratelimit-renewalperiod-requests":"60","x-ratelimit-renewalperiod-tokens":"60","x-ratelimit-reset-requests":"60","x-ratelimit-reset-tokens":"70","x-request-id":"1e3a410c-dcbb-4c9d-80cf-9a09bfe24aad","x-shellapi-request-id":"2026041309482838282488491165947"}</t>
  </si>
  <si>
    <t>Essentials Hooded Sweatshirt: White cotton hoodie with bold black logo print, soft thick fabric, relaxed fit for men and women, minimalist street style for modern casual fashion.</t>
  </si>
  <si>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Essentials,hoodie,kakobuy,kakebuy2026,kekobuysheet,kakobuysheet2026,2026kakobuy,kakobuyspreadsheeet,kakobuylink,kakebuylist,Kakobuy MEGA Spreadsheet,kakobuysheetfind,kakobuysheetfind2026,2026kakobuysheetfind,kakobuysheet2026","refusal":null,"role":"assistant"}}],"created":1776061462,"id":"chatcmpl-DU50YRJIbVidjZGCYW9YzjMT5p6OH","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ad66631dec","usage":{"completion_tokens":88,"completion_tokens_details":{"accepted_prediction_tokens":0,"audio_tokens":0,"reasoning_tokens":0,"rejected_prediction_tokens":0},"prompt_tokens":784,"prompt_tokens_details":{"audio_tokens":0,"cached_tokens":0},"total_tokens":872}}</t>
  </si>
  <si>
    <t>White, Minimalist, Street, Unisex</t>
  </si>
  <si>
    <t>recvgxFjjASdUk</t>
  </si>
  <si>
    <t>essentials-white-logo-hoodie-recvgxfjjasduk</t>
  </si>
  <si>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Essentials：白色连帽卫衣，精选柔软厚实棉质面料，正面黑色品牌标识印花设计，简约街头风格，宽松剪裁舒适百搭，男女皆宜，展现现代休闲潮流态度。","refusal":null,"role":"assistant"}}],"created":1776044273,"id":"chatcmpl-DU0XJXSJEPaY93cZzcJbiQNlYmkg1","model":"gpt-5-chat-2025-10-03","object":"chat.completion","prompt_filter_results":[{"prompt_index":0,"content_filter_results":{"hate":{"filtered":false,"severity":"safe"},"jailbreak":{"detected":false,"filtered":false},"self_harm":{"filtered":false,"severity":"safe"},"sexual":{"filtered":false,"severity":"safe"},"violence":{"filtered":false,"severity":"safe"}}}],"system_fingerprint":"fp_ad66631dec","usage":{"completion_tokens":63,"completion_tokens_details":{"accepted_prediction_tokens":0,"audio_tokens":0,"reasoning_tokens":0,"rejected_prediction_tokens":0},"prompt_tokens":1309,"prompt_tokens_details":{"audio_tokens":0,"cached_tokens":1280},"total_tokens":1372}}</t>
  </si>
  <si>
    <t>Essentials：白色连帽卫衣，精选柔软厚实棉质面料，正面黑色品牌标识印花设计，简约街头风格，宽松剪裁舒适百搭，男女皆宜，展现现代休闲潮流态度。</t>
  </si>
  <si>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Ralph Lauren Navy Half Zip Cotton Long Sleeve Shirt","refusal":null,"role":"assistant"}}],"created":1776061265,"id":"chatcmpl-DU4xNxRFvExQmm7HKcbH1D9x1HBVa","model":"gpt-5-chat-2025-10-03","object":"chat.completion","prompt_filter_results":[{"prompt_index":1,"content_filter_result":{"sexual":{"filtered":false,"severity":"safe"},"violence":{"filtered":false,"severity":"safe"},"hate":{"filtered":false,"severity":"safe"},"self_harm":{"filtered":false,"severity":"safe"}}},{"prompt_index":0,"content_filter_result":{}}],"system_fingerprint":"fp_ad66631dec","usage":{"completion_tokens":11,"completion_tokens_details":{"accepted_prediction_tokens":0,"audio_tokens":0,"reasoning_tokens":0,"rejected_prediction_tokens":0},"prompt_tokens":877,"prompt_tokens_details":{"audio_tokens":0,"cached_tokens":0},"total_tokens":888}}</t>
  </si>
  <si>
    <t>Ralph Lauren Navy Half Zip Cotton Long Sleeve Shirt</t>
  </si>
  <si>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Ralph Lauren navy half-zip long sleeve shirt made of premium cotton, soft and breathable with iconic red pony logo, unisex modern casual luxury style for comfort and timeless elegance.","refusal":null,"role":"assistant"}}],"created":1776045020,"id":"chatcmpl-DU0jMpPenUPdJSYjTWC6qS9csqkym","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ad66631dec","usage":{"completion_tokens":37,"completion_tokens_details":{"accepted_prediction_tokens":0,"audio_tokens":0,"reasoning_tokens":0,"rejected_prediction_tokens":0},"prompt_tokens":910,"prompt_tokens_details":{"audio_tokens":0,"cached_tokens":0},"total_tokens":947}}</t>
  </si>
  <si>
    <t>{"alt-svc":"h3=\":443\"; ma=2592000","apim-request-id":"c905c6b2-33de-4d35-9d57-51858059818e","azureml-model-session":"d20260402075109-1fc5a0ec","connection":"close","content-length":"1421","content-type":"application/json","date":"Mon, 13 Apr 2026 01:50:23 GMT","skip-error-remapping":"true","strict-transport-security":"max-age=31536000; includeSubDomains; preload","via":"1.1 Caddy","x-accel-buffering":"no","x-content-type-options":"nosniff","x-ms-client-request-id":"Not-Set","x-ms-is-spilled-over":"false","x-ms-rai-invoked":"true","x-ms-region":"Australia East","x-new-api-version":"0.4.25-alpha.4","x-oneapi-request-id":"20260413015018445022996xWDMpZRX","x-ratelimit-abusepenalty-active":"False","x-ratelimit-limit-requests":"1000","x-ratelimit-limit-tokens":"1000000","x-ratelimit-remaining-requests":"999","x-ratelimit-remaining-tokens":"998827","x-ratelimit-renewalperiod-requests":"60","x-ratelimit-renewalperiod-tokens":"60","x-ratelimit-reset-requests":"60","x-ratelimit-reset-tokens":"70","x-request-id":"5082a0dd-5bfc-4d2b-8841-0a0d1755f2a1","x-shellapi-request-id":"2026041309501840734998166277495"}</t>
  </si>
  <si>
    <t>Ralph Lauren navy half-zip long sleeve shirt made of premium cotton, soft and breathable with iconic red pony logo, unisex modern casual luxury style for comfort and timeless elegance.</t>
  </si>
  <si>
    <t>{"choices":[{"content_filter_results":{"hate":{"filtered":false,"severity":"safe"},"protected_material_code":{"filtered":false,"detected":false},"protected_material_text":{"filtered":false,"detected":false},"self_harm":{"filtered":false,"severity":"safe"},"sexual":{"filtered":false,"severity":"safe"},"violence":{"filtered":false,"severity":"safe"}},"finish_reason":"stop","index":0,"logprobs":null,"message":{"annotations":[],"content":"Ralph Lauren,T-Shirts,kakobuy,kakebuy2026,kekobuysheet,kakobuysheet2026,2026kakobuy,kakobuyspreadsheeet,kakobuylink,kakebuylist,Kakobuy MEGA Spreadsheet,kakobuysheetfind,kakobuysheetfind2026,2026kakobuysheetfind,kakobuysheet2026","refusal":null,"role":"assistant"}}],"created":1776061463,"id":"chatcmpl-DU50Z18L9xX9BPePK5IyBYvjJYcNX","model":"gpt-5-chat-2025-10-03","object":"chat.completion","prompt_filter_results":[{"prompt_index":0,"content_filter_results":{"hate":{"filtered":false,"severity":"safe"},"jailbreak":{"filtered":false,"detected":false},"self_harm":{"filtered":false,"severity":"safe"},"sexual":{"filtered":false,"severity":"safe"},"violence":{"filtered":false,"severity":"safe"}}}],"system_fingerprint":"fp_ad66631dec","usage":{"completion_tokens":88,"completion_tokens_details":{"accepted_prediction_tokens":0,"audio_tokens":0,"reasoning_tokens":0,"rejected_prediction_tokens":0},"prompt_tokens":784,"prompt_tokens_details":{"audio_tokens":0,"cached_tokens":0},"total_tokens":872}}</t>
  </si>
  <si>
    <t>Ralph Lauren,T-Shirts,kakobuy,kakebuy2026,kekobuysheet,kakobuysheet2026,2026kakobuy,kakobuyspreadsheeet,kakobuylink,kakebuylist,Kakobuy MEGA Spreadsheet,kakobuysheetfind,kakobuysheetfind2026,2026kakobuysheetfind,kakobuysheet2026</t>
  </si>
  <si>
    <t>Navy, Unisex, Comfort, Elegant</t>
  </si>
  <si>
    <t>recvgxFjjASccB</t>
  </si>
  <si>
    <t>ralph-lauren-navy-half-zip-cotton-long-sleeve-shirt-recvgxfjjasc</t>
  </si>
  <si>
    <t>{"choices":[{"content_filter_results":{"hate":{"filtered":false,"severity":"safe"},"protected_material_code":{"filtered":false,"detected":false},"protected_material_text":{"filtered":false,"detected":false},"self_harm":{"filtered":false,"severity":"safe"},"sexual":{"filtered":false,"severity":"safe"},"violence":{"filtered":false,"severity":"safe"}},"finish_reason":"stop","index":0,"logprobs":null,"message":{"annotations":[],"content":"Ralph Lauren 海军蓝半拉链长袖上衣，甄选优质棉质面料，触感柔软透气，胸前红色刺绣马标彰显品牌经典，简约运动休闲风格，男女皆宜，现代都市轻奢系列，展现优雅品味与舒适穿感。","refusal":null,"role":"assistant"}}],"created":1776044236,"id":"chatcmpl-DU0WiQMfBU7DqesdbhCQRM0RWTJRQ","model":"gpt-5-chat-2025-10-03","object":"chat.completion","prompt_filter_results":[{"prompt_index":0,"content_filter_results":{"hate":{"filtered":false,"severity":"safe"},"jailbreak":{"filtered":false,"detected":false},"self_harm":{"filtered":false,"severity":"safe"},"sexual":{"filtered":false,"severity":"safe"},"violence":{"filtered":false,"severity":"safe"}}}],"system_fingerprint":"fp_ad66631dec","usage":{"completion_tokens":78,"completion_tokens_details":{"accepted_prediction_tokens":0,"audio_tokens":0,"reasoning_tokens":0,"rejected_prediction_tokens":0},"prompt_tokens":1296,"prompt_tokens_details":{"audio_tokens":0,"cached_tokens":0},"total_tokens":1374}}</t>
  </si>
  <si>
    <t>Ralph Lauren 海军蓝半拉链长袖上衣，甄选优质棉质面料，触感柔软透气，胸前红色刺绣马标彰显品牌经典，简约运动休闲风格，男女皆宜，现代都市轻奢系列，展现优雅品味与舒适穿感。</t>
  </si>
  <si>
    <t>Broken Hearts</t>
  </si>
  <si>
    <t>191</t>
  </si>
  <si>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Hoodes Broken Hearts Brown Cotton Unisex Hoodie Set","refusal":null,"role":"assistant"}}],"created":1776061269,"id":"chatcmpl-DU4xR2BWAUDcZam4S6O8tJ1nO4IL7","model":"gpt-5-chat-2025-10-03","object":"chat.completion","prompt_filter_results":[{"prompt_index":0,"content_filter_results":{"hate":{"filtered":false,"severity":"safe"},"jailbreak":{"detected":false,"filtered":false},"self_harm":{"filtered":false,"severity":"safe"},"sexual":{"filtered":false,"severity":"safe"},"violence":{"filtered":false,"severity":"safe"}}}],"system_fingerprint":"fp_ad66631dec","usage":{"completion_tokens":12,"completion_tokens_details":{"accepted_prediction_tokens":0,"audio_tokens":0,"reasoning_tokens":0,"rejected_prediction_tokens":0},"prompt_tokens":869,"prompt_tokens_details":{"audio_tokens":0,"cached_tokens":0},"total_tokens":881}}</t>
  </si>
  <si>
    <t>Hoodes Broken Hearts Brown Cotton Unisex Hoodie Set</t>
  </si>
  <si>
    <t>{"choices":[{"content_filter_result":{"error":{"code":"content_filter_error","message":"The contents are not filtered"}},"content_filter_results":{},"finish_reason":"stop","index":0,"logprobs":null,"message":{"annotations":[],"content":"HoodesBroken Hearts Series brown cotton hoodie set with twin heart graphic and logo, soft, breathable, unisex retro streetwear for casual daily fashion style.","refusal":null,"role":"assistant"}}],"created":1776044930,"id":"chatcmpl-DU0hu92ewjDmrM9nyYKAISsNUcznE","model":"gpt-5-chat-2025-10-03","object":"chat.completion","prompt_filter_results":[{"prompt_index":0,"content_filter_results":{"hate":{"filtered":false,"severity":"safe"},"jailbreak":{"filtered":false,"detected":false},"self_harm":{"filtered":false,"severity":"safe"},"sexual":{"filtered":false,"severity":"safe"},"violence":{"filtered":false,"severity":"safe"}}}],"system_fingerprint":"fp_ad66631dec","usage":{"completion_tokens":33,"completion_tokens_details":{"accepted_prediction_tokens":0,"audio_tokens":0,"reasoning_tokens":0,"rejected_prediction_tokens":0},"prompt_tokens":901,"prompt_tokens_details":{"audio_tokens":0,"cached_tokens":0},"total_tokens":934}}</t>
  </si>
  <si>
    <t>{"alt-svc":"h3=\":443\"; ma=2592000","apim-request-id":"abea7903-b4f4-4b16-97a6-83b9e2e87d6d","azureml-model-session":"d20260402083108-57a85543","connection":"close","content-length":"1168","content-type":"application/json","date":"Mon, 13 Apr 2026 01:48:52 GMT","skip-error-remapping":"true","strict-transport-security":"max-age=31536000; includeSubDomains; preload","via":"1.1 Caddy","x-accel-buffering":"no","x-content-type-options":"nosniff","x-ms-client-request-id":"Not-Set","x-ms-is-spilled-over":"false","x-ms-rai-invoked":"true","x-ms-region":"Sweden Central","x-new-api-version":"0.4.25-alpha.4","x-oneapi-request-id":"20260413014849212007113re1vBxBO","x-ratelimit-abusepenalty-active":"False","x-ratelimit-limit-requests":"1000","x-ratelimit-limit-tokens":"1000000","x-ratelimit-remaining-requests":"999","x-ratelimit-remaining-tokens":"998830","x-ratelimit-renewalperiod-requests":"60","x-ratelimit-renewalperiod-tokens":"60","x-ratelimit-reset-requests":"60","x-ratelimit-reset-tokens":"70","x-request-id":"831a4137-fa5d-41d6-aa41-36ea70c3bbc5","x-shellapi-request-id":"2026041309484916429632025237943"}</t>
  </si>
  <si>
    <t>HoodesBroken Hearts Series brown cotton hoodie set with twin heart graphic and logo, soft, breathable, unisex retro streetwear for casual daily fashion style.</t>
  </si>
  <si>
    <t>{"choices":[{"content_filter_results":{"hate":{"filtered":false,"severity":"safe"},"protected_material_code":{"filtered":false,"detected":false},"protected_material_text":{"filtered":false,"detected":false},"self_harm":{"filtered":false,"severity":"safe"},"sexual":{"filtered":false,"severity":"safe"},"violence":{"filtered":false,"severity":"safe"}},"finish_reason":"stop","index":0,"logprobs":null,"message":{"annotations":[],"content":"HoodesBroken Hearts,hoodie set,kakobuy,kakebuy2026,kekobuysheet,kakobuysheet2026,2026kakobuy,kakobuyspreadsheeet,kakobuylink,kakebuylist,Kakobuy MEGA Spreadsheet,kakobuysheetfind,kakobuysheetfind2026,2026kakobuysheetfind,kakobuysheet2026","refusal":null,"role":"assistant"}}],"created":1776061434,"id":"chatcmpl-DU506ddxOhWnr3I1ftri2VFGyGhIe","model":"gpt-5-chat-2025-10-03","object":"chat.completion","prompt_filter_results":[{"prompt_index":0,"content_filter_results":{"hate":{"filtered":false,"severity":"safe"},"jailbreak":{"filtered":false,"detected":false},"self_harm":{"filtered":false,"severity":"safe"},"sexual":{"filtered":false,"severity":"safe"},"violence":{"filtered":false,"severity":"safe"}}}],"system_fingerprint":"fp_ad66631dec","usage":{"completion_tokens":92,"completion_tokens_details":{"accepted_prediction_tokens":0,"audio_tokens":0,"reasoning_tokens":0,"rejected_prediction_tokens":0},"prompt_tokens":784,"prompt_tokens_details":{"audio_tokens":0,"cached_tokens":0},"total_tokens":876}}</t>
  </si>
  <si>
    <t>HoodesBroken Hearts,hoodie set,kakobuy,kakebuy2026,kekobuysheet,kakobuysheet2026,2026kakobuy,kakobuyspreadsheeet,kakobuylink,kakebuylist,Kakobuy MEGA Spreadsheet,kakobuysheetfind,kakobuysheetfind2026,2026kakobuysheetfind,kakobuysheet2026</t>
  </si>
  <si>
    <t>Brown, Unisex, Retro, Streetwear</t>
  </si>
  <si>
    <t>recvgxFjjA70J2</t>
  </si>
  <si>
    <t>hoodes-broken-hearts-brown-cotton-hoodie-recvgxFjjA70J2</t>
  </si>
  <si>
    <t>{"choices":[{"content_filter_results":{"hate":{"filtered":false,"severity":"safe"},"protected_material_code":{"filtered":false,"detected":false},"protected_material_text":{"filtered":false,"detected":false},"self_harm":{"filtered":false,"severity":"safe"},"sexual":{"filtered":false,"severity":"safe"},"violence":{"filtered":false,"severity":"safe"}},"finish_reason":"stop","index":0,"logprobs":null,"message":{"annotations":[],"content":"Broken Hearts 系列棕色连帽卫衣套装，采用优质纯棉材质，印有可爱双心碎图腾与品牌标识，柔软透气，彰显复古街头风格，男女皆宜，休闲穿搭首选。","refusal":null,"role":"assistant"}}],"created":1776044486,"id":"chatcmpl-DU0akZWU7thwweRX0y3sv4czwm43w","model":"gpt-5-chat-2025-10-03","object":"chat.completion","prompt_filter_results":[{"prompt_index":0,"content_filter_results":{"hate":{"filtered":false,"severity":"safe"},"jailbreak":{"filtered":false,"detected":false},"self_harm":{"filtered":false,"severity":"safe"},"sexual":{"filtered":false,"severity":"safe"},"violence":{"filtered":false,"severity":"safe"}}}],"service_tier":"default","system_fingerprint":"fp_ad66631dec","usage":{"completion_tokens":63,"completion_tokens_details":{"accepted_prediction_tokens":0,"audio_tokens":0,"reasoning_tokens":0,"rejected_prediction_tokens":0},"prompt_tokens":1307,"prompt_tokens_details":{"audio_tokens":0,"cached_tokens":0},"total_tokens":1370}}</t>
  </si>
  <si>
    <t>Broken Hearts 系列棕色连帽卫衣套装，采用优质纯棉材质，印有可爱双心碎图腾与品牌标识，柔软透气，彰显复古街头风格，男女皆宜，休闲穿搭首选。</t>
  </si>
  <si>
    <t>Moncler</t>
  </si>
  <si>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Moncler Off-White Unisex Hooded Down Jacket","refusal":null,"role":"assistant"}}],"created":1776061263,"id":"chatcmpl-DU4xLkUGu19jhVxobZ5mMKpJRRhEs","model":"gpt-5-chat-2025-10-03","object":"chat.completion","prompt_filter_results":[{"prompt_index":0,"content_filter_results":{"jailbreak":{"detected":false,"filtered":false}}}],"system_fingerprint":"fp_ad66631dec","usage":{"completion_tokens":12,"completion_tokens_details":{"accepted_prediction_tokens":0,"audio_tokens":0,"reasoning_tokens":0,"rejected_prediction_tokens":0},"prompt_tokens":892,"prompt_tokens_details":{"audio_tokens":0,"cached_tokens":0},"total_tokens":904}}</t>
  </si>
  <si>
    <t>Moncler Off-White Unisex Hooded Down Jacket</t>
  </si>
  <si>
    <t>{"choices":[{"content_filter_results":{"hate":{"filtered":false,"severity":"safe"},"protected_material_code":{"filtered":false,"detected":false},"protected_material_text":{"filtered":false,"detected":false},"self_harm":{"filtered":false,"severity":"safe"},"sexual":{"filtered":false,"severity":"safe"},"violence":{"filtered":false,"severity":"safe"}},"finish_reason":"stop","index":0,"logprobs":null,"message":{"annotations":[],"content":"Moncler Off-White Hooded Down Jacket, made with lightweight windproof nylon and premium goose down. Loose unisex fit, black embroidery logo, contrast lining—warm, breathable, and stylish for winter city wear.","refusal":null,"role":"assistant"}}],"created":1776044993,"id":"chatcmpl-DU0ivx7ZMO15IsL4O5971sFVwZKTd","model":"gpt-5-chat-2025-10-03","object":"chat.completion","prompt_filter_results":[{"prompt_index":0,"content_filter_results":{"hate":{"filtered":false,"severity":"safe"},"jailbreak":{"filtered":false,"detected":false},"self_harm":{"filtered":false,"severity":"safe"},"sexual":{"filtered":false,"severity":"safe"},"violence":{"filtered":false,"severity":"safe"}}}],"service_tier":"default","system_fingerprint":"fp_ad66631dec","usage":{"completion_tokens":45,"completion_tokens_details":{"accepted_prediction_tokens":0,"audio_tokens":0,"reasoning_tokens":0,"rejected_prediction_tokens":0},"prompt_tokens":936,"prompt_tokens_details":{"audio_tokens":0,"cached_tokens":0},"total_tokens":981}}</t>
  </si>
  <si>
    <t>{"alt-svc":"h3=\":443\"; ma=2592000","apim-request-id":"d40805ae-a04b-4f76-af6e-2bf220e340e7","azureml-model-session":"d20260405212659-a9daa006","connection":"close","content-length":"1447","content-type":"application/json","date":"Mon, 13 Apr 2026 01:49:54 GMT","skip-error-remapping":"true","strict-transport-security":"max-age=31536000; includeSubDomains; preload","via":"1.1 Caddy","x-accel-buffering":"no","x-content-type-options":"nosniff","x-ms-client-request-id":"Not-Set","x-ms-is-spilled-over":"false","x-ms-rai-invoked":"true","x-ms-region":"Switzerland North","x-new-api-version":"0.4.25-alpha.4","x-oneapi-request-id":"202604130149522251207631Qq9ndE2","x-ratelimit-abusepenalty-active":"False","x-ratelimit-limit-requests":"1000","x-ratelimit-limit-tokens":"1000000","x-ratelimit-remaining-requests":"999","x-ratelimit-remaining-tokens":"998825","x-ratelimit-renewalperiod-requests":"60","x-ratelimit-renewalperiod-tokens":"60","x-ratelimit-reset-requests":"60","x-ratelimit-reset-tokens":"70","x-request-id":"e1ee947b-4763-42a6-adfa-25e6559fdb1e","x-shellapi-request-id":"2026041309495218897356695185853"}</t>
  </si>
  <si>
    <t>Moncler Off-White Hooded Down Jacket, made with lightweight windproof nylon and premium goose down. Loose unisex fit, black embroidery logo, contrast lining—warm, breathable, and stylish for winter city wear.</t>
  </si>
  <si>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Moncler, Jackets, kakobuy, kakebuy2026, kekobuysheet, kakobuysheet2026, 2026kakobuy, kakobuyspreadsheeet, kakobuylink, kakebuylist, Kakobuy MEGA Spreadsheet, kakobuysheetfind, kakobuysheetfind2026, 2026kakobuysheetfind, kakobuysheet2026","refusal":null,"role":"assistant"}}],"created":1776061442,"id":"chatcmpl-DU50EoeuS80Waw7eXUWx22oOv29UB","model":"gpt-5-chat-2025-10-03","object":"chat.completion","prompt_filter_results":[{"prompt_index":0,"content_filter_results":{"hate":{"filtered":false,"severity":"safe"},"jailbreak":{"detected":false,"filtered":false},"self_harm":{"filtered":false,"severity":"safe"},"sexual":{"filtered":false,"severity":"safe"},"violence":{"filtered":false,"severity":"safe"}}}],"system_fingerprint":"fp_ad66631dec","usage":{"completion_tokens":91,"completion_tokens_details":{"accepted_prediction_tokens":0,"audio_tokens":0,"reasoning_tokens":0,"rejected_prediction_tokens":0},"prompt_tokens":783,"prompt_tokens_details":{"audio_tokens":0,"cached_tokens":0},"total_tokens":874}}</t>
  </si>
  <si>
    <t>Moncler, Jackets, kakobuy, kakebuy2026, kekobuysheet, kakobuysheet2026, 2026kakobuy, kakobuyspreadsheeet, kakobuylink, kakebuylist, Kakobuy MEGA Spreadsheet, kakobuysheetfind, kakobuysheetfind2026, 2026kakobuysheetfind, kakobuysheet2026</t>
  </si>
  <si>
    <t>Unisex, Winter, Nylon, Windproof, Breathable, Black</t>
  </si>
  <si>
    <t>recvgxFjjAqv9O</t>
  </si>
  <si>
    <t>moncler-off-white-hooded-down-jacket-recvgxfjjAqv9O</t>
  </si>
  <si>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Other：米白色高蓬松连帽羽绒服，采用轻盈防风尼龙面料与优质鹅绒填充，保暖透气。简约立体剪裁搭配黑色刺绣标识与撞色内衬，彰显街头潮流美学。男女皆宜，休闲宽松版型适合冬季都市出行，兼顾功能性与时尚感。","refusal":null,"role":"assistant"}}],"created":1776044264,"id":"chatcmpl-DU0XAHvkPlzw0mCL9vCQNnevhid8m","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ad66631dec","usage":{"completion_tokens":98,"completion_tokens_details":{"accepted_prediction_tokens":0,"audio_tokens":0,"reasoning_tokens":0,"rejected_prediction_tokens":0},"prompt_tokens":1308,"prompt_tokens_details":{"audio_tokens":0,"cached_tokens":1280},"total_tokens":1406}}</t>
  </si>
  <si>
    <t>Other：米白色高蓬松连帽羽绒服，采用轻盈防风尼龙面料与优质鹅绒填充，保暖透气。简约立体剪裁搭配黑色刺绣标识与撞色内衬，彰显街头潮流美学。男女皆宜，休闲宽松版型适合冬季都市出行，兼顾功能性与时尚感。</t>
  </si>
  <si>
    <t>154</t>
  </si>
  <si>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Off White Arrow Print Cotton Sweatshirt Unisex Streetwear","refusal":null,"role":"assistant"}}],"created":1776061265,"id":"chatcmpl-DU4xNiXSp1R0nm3mvpcCy7njB6QYs","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ad66631dec","usage":{"completion_tokens":12,"completion_tokens_details":{"accepted_prediction_tokens":0,"audio_tokens":0,"reasoning_tokens":0,"rejected_prediction_tokens":0},"prompt_tokens":870,"prompt_tokens_details":{"audio_tokens":0,"cached_tokens":0},"total_tokens":882}}</t>
  </si>
  <si>
    <t>Off White Arrow Print Cotton Sweatshirt Unisex Streetwear</t>
  </si>
  <si>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Off-White black cotton sweatshirt with iconic arrow graphic, artistic sleeve patch prints, unisex loose fit, streetwear style, bold design for modern urban fashion lovers.","refusal":null,"role":"assistant"}}],"created":1776044954,"id":"chatcmpl-DU0iIiLaUtA0GMlDV1nSJoVq28CrJ","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ad66631dec","usage":{"completion_tokens":34,"completion_tokens_details":{"accepted_prediction_tokens":0,"audio_tokens":0,"reasoning_tokens":0,"rejected_prediction_tokens":0},"prompt_tokens":929,"prompt_tokens_details":{"audio_tokens":0,"cached_tokens":0},"total_tokens":963}}</t>
  </si>
  <si>
    <t>{"alt-svc":"h3=\":443\"; ma=2592000","apim-request-id":"bf25d460-1d06-4824-beff-379cb21f369a","azureml-model-session":"d20260405225800-40f19e54","connection":"close","content-length":"1408","content-type":"application/json","date":"Mon, 13 Apr 2026 01:49:16 GMT","skip-error-remapping":"true","strict-transport-security":"max-age=31536000; includeSubDomains; preload","via":"1.1 Caddy","x-accel-buffering":"no","x-content-type-options":"nosniff","x-ms-client-request-id":"Not-Set","x-ms-is-spilled-over":"false","x-ms-rai-invoked":"true","x-ms-region":"Australia East","x-new-api-version":"0.4.25-alpha.4","x-oneapi-request-id":"20260413014913683238298Yffnxg16","x-ratelimit-abusepenalty-active":"False","x-ratelimit-limit-requests":"1000","x-ratelimit-limit-tokens":"1000000","x-ratelimit-remaining-requests":"999","x-ratelimit-remaining-tokens":"998478","x-ratelimit-renewalperiod-requests":"60","x-ratelimit-renewalperiod-tokens":"60","x-ratelimit-reset-requests":"60","x-ratelimit-reset-tokens":"91","x-request-id":"5cdd67b0-0b1c-4af0-b5a0-5aac085619b6","x-shellapi-request-id":"2026041309491364628798287064960"}</t>
  </si>
  <si>
    <t>Off-White black cotton sweatshirt with iconic arrow graphic, artistic sleeve patch prints, unisex loose fit, streetwear style, bold design for modern urban fashion lovers.</t>
  </si>
  <si>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Off-White, Jacket, kakobuy, kakebuy2026, kekobuysheet, kakobuysheet2026, 2026kakobuy, kakobuyspreadsheeet, kakobuylink, kakebuylist, Kakobuy MEGA Spreadsheet, kakobuysheetfind, kakobuysheetfind2026, 2026kakobuysheetfind, kakobuysheet2026","refusal":null,"role":"assistant"}}],"created":1776061381,"id":"chatcmpl-DU4zFnJRCYE9BCi7f4rfFbs4wuEJS","model":"gpt-5-chat-2025-10-03","object":"chat.completion","prompt_filter_results":[{"prompt_index":0,"content_filter_results":{"hate":{"filtered":false,"severity":"safe"},"jailbreak":{"detected":false,"filtered":false},"self_harm":{"filtered":false,"severity":"safe"},"sexual":{"filtered":false,"severity":"safe"},"violence":{"filtered":false,"severity":"safe"}}}],"system_fingerprint":"fp_ad66631dec","usage":{"completion_tokens":92,"completion_tokens_details":{"accepted_prediction_tokens":0,"audio_tokens":0,"reasoning_tokens":0,"rejected_prediction_tokens":0},"prompt_tokens":783,"prompt_tokens_details":{"audio_tokens":0,"cached_tokens":0},"total_tokens":875}}</t>
  </si>
  <si>
    <t>Off-White, Jacket, kakobuy, kakebuy2026, kekobuysheet, kakobuysheet2026, 2026kakobuy, kakobuyspreadsheeet, kakobuylink, kakebuylist, Kakobuy MEGA Spreadsheet, kakobuysheetfind, kakobuysheetfind2026, 2026kakobuysheetfind, kakobuysheet2026</t>
  </si>
  <si>
    <t>Off-White, Black, Streetwear, Unisex, Modern</t>
  </si>
  <si>
    <t>recvgxFjjAoMz6</t>
  </si>
  <si>
    <t>off-white-arrow-print-cotton-sweatshirt-recvgxFjjAoMz6</t>
  </si>
  <si>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Off-White：黑色拼接印花箭头系列卫衣，采用纯棉材质，柔软舒适。背部醒目标志“箭头”几何图腾，袖部融入艺术拼框印花细节，彰显潮流前卫设计风格。宽松休闲版型，男女皆宜，街头艺术感浓厚，展现品牌独特美学。","refusal":null,"role":"assistant"}}],"created":1776044405,"id":"chatcmpl-DU0ZRE8RmYazaOcIlhImklY9FhRai","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ad66631dec","usage":{"completion_tokens":91,"completion_tokens_details":{"accepted_prediction_tokens":0,"audio_tokens":0,"reasoning_tokens":0,"rejected_prediction_tokens":0},"prompt_tokens":1308,"prompt_tokens_details":{"audio_tokens":0,"cached_tokens":0},"total_tokens":1399}}</t>
  </si>
  <si>
    <t>Off-White：黑色拼接印花箭头系列卫衣，采用纯棉材质，柔软舒适。背部醒目标志“箭头”几何图腾，袖部融入艺术拼框印花细节，彰显潮流前卫设计风格。宽松休闲版型，男女皆宜，街头艺术感浓厚，展现品牌独特美学。</t>
  </si>
  <si>
    <t>480</t>
  </si>
  <si>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Canada Goose White Down Parka Fur Hood Winter Coat","refusal":null,"role":"assistant"}}],"created":1776061167,"id":"chatcmpl-DU4vnRn8w3MzEWUdOAElQC7UgvVJu","model":"gpt-5-chat-2025-10-03","object":"chat.completion","prompt_filter_results":[{"prompt_index":0,"content_filter_results":{"hate":{"filtered":false,"severity":"safe"},"jailbreak":{"detected":false,"filtered":false},"self_harm":{"filtered":false,"severity":"safe"},"sexual":{"filtered":false,"severity":"safe"},"violence":{"filtered":false,"severity":"safe"}}}],"system_fingerprint":"fp_ad66631dec","usage":{"completion_tokens":11,"completion_tokens_details":{"accepted_prediction_tokens":0,"audio_tokens":0,"reasoning_tokens":0,"rejected_prediction_tokens":0},"prompt_tokens":882,"prompt_tokens_details":{"audio_tokens":0,"cached_tokens":0},"total_tokens":893}}</t>
  </si>
  <si>
    <t>Canada Goose White Down Parka Fur Hood Winter Coat</t>
  </si>
  <si>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Canada Goose White Down Parka – premium goose down fill, windproof and cold-resistant, real fur hood, unisex urban style, perfect for winter travel, outdoor activities, and daily wear.","refusal":null,"role":"assistant"}}],"created":1776044963,"id":"chatcmpl-DU0iRbwRVZSVLTUu20tsWTEi9ep21","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ad66631dec","usage":{"completion_tokens":40,"completion_tokens_details":{"accepted_prediction_tokens":0,"audio_tokens":0,"reasoning_tokens":0,"rejected_prediction_tokens":0},"prompt_tokens":911,"prompt_tokens_details":{"audio_tokens":0,"cached_tokens":0},"total_tokens":951}}</t>
  </si>
  <si>
    <t>{"alt-svc":"h3=\":443\"; ma=2592000","apim-request-id":"6eee7fbe-9a34-4439-8dfe-34a6d3899ccc","azureml-model-session":"d20260405225800-40f19e54","connection":"close","content-length":"1423","content-type":"application/json","date":"Mon, 13 Apr 2026 01:49:24 GMT","skip-error-remapping":"true","strict-transport-security":"max-age=31536000; includeSubDomains; preload","via":"1.1 Caddy","x-accel-buffering":"no","x-content-type-options":"nosniff","x-ms-client-request-id":"Not-Set","x-ms-is-spilled-over":"false","x-ms-rai-invoked":"true","x-ms-region":"Japan East","x-new-api-version":"0.4.25-alpha.4","x-oneapi-request-id":"202604130149216268965nMHffbON","x-ratelimit-abusepenalty-active":"False","x-ratelimit-limit-requests":"1000","x-ratelimit-limit-tokens":"1000000","x-ratelimit-remaining-requests":"999","x-ratelimit-remaining-tokens":"998827","x-ratelimit-renewalperiod-requests":"60","x-ratelimit-renewalperiod-tokens":"60","x-ratelimit-reset-requests":"60","x-ratelimit-reset-tokens":"70","x-request-id":"f3c5612e-549d-4f52-a4d5-1e04a8aa8ba0","x-shellapi-request-id":"2026041309492097043829864206396"}</t>
  </si>
  <si>
    <t>Canada Goose White Down Parka – premium goose down fill, windproof and cold-resistant, real fur hood, unisex urban style, perfect for winter travel, outdoor activities, and daily wear.</t>
  </si>
  <si>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Canada Goose, Jackets, kakobuy, kakebuy2026, kekobuysheet, kakobuysheet2026, 2026kakobuy, kakobuyspreadsheeet, kakobuylink, kakebuylist, Kakobuy MEGA Spreadsheet, kakobuysheetfind, kakobuysheetfind2026, 2026kakobuysheetfind, kakobuysheet2026","refusal":null,"role":"assistant"}}],"created":1776061376,"id":"chatcmpl-DU4zAe0eKmMpHvHvqWpl3zTriYTLU","model":"gpt-5-chat-2025-10-03","object":"chat.completion","prompt_filter_results":[{"prompt_index":1,"content_filter_result":{"sexual":{"filtered":false,"severity":"safe"},"violence":{"filtered":false,"severity":"safe"},"hate":{"filtered":false,"severity":"safe"},"self_harm":{"filtered":false,"severity":"safe"}}},{"prompt_index":0,"content_filter_result":{}}],"system_fingerprint":"fp_ad66631dec","usage":{"completion_tokens":91,"completion_tokens_details":{"accepted_prediction_tokens":0,"audio_tokens":0,"reasoning_tokens":0,"rejected_prediction_tokens":0},"prompt_tokens":814,"prompt_tokens_details":{"audio_tokens":0,"cached_tokens":0},"total_tokens":905}}</t>
  </si>
  <si>
    <t>recvgxFjjAdkqq</t>
  </si>
  <si>
    <t>canada-goose-white-down-parka-fur-hood-winter-coat-recvgxfjjadkqq</t>
  </si>
  <si>
    <t>{"choices":[{"content_filter_results":{"hate":{"filtered":false,"severity":"safe"},"protected_material_code":{"filtered":false,"detected":false},"protected_material_text":{"filtered":false,"detected":false},"self_harm":{"filtered":false,"severity":"safe"},"sexual":{"filtered":false,"severity":"safe"},"violence":{"filtered":false,"severity":"safe"}},"finish_reason":"stop","index":0,"logprobs":null,"message":{"annotations":[],"content":"Canada Goose：白色羽绒派克大衣，高蓬松鹅绒填充，防风防寒功能卓越。配真毛连帽设计，休闲都市风格，男女通用款，保暖舒适兼具时尚品味，冬季户外旅行与日常穿搭皆宜。","refusal":null,"role":"assistant"}}],"created":1776044459,"id":"chatcmpl-DU0aJiyhgk5CqUsnZXKKpImwcUHgL","model":"gpt-5-chat-2025-10-03","object":"chat.completion","prompt_filter_results":[{"prompt_index":0,"content_filter_results":{"hate":{"filtered":false,"severity":"safe"},"jailbreak":{"filtered":false,"detected":false},"self_harm":{"filtered":false,"severity":"safe"},"sexual":{"filtered":false,"severity":"safe"},"violence":{"filtered":false,"severity":"safe"}}}],"system_fingerprint":"fp_ad66631dec","usage":{"completion_tokens":74,"completion_tokens_details":{"accepted_prediction_tokens":0,"audio_tokens":0,"reasoning_tokens":0,"rejected_prediction_tokens":0},"prompt_tokens":1308,"prompt_tokens_details":{"audio_tokens":0,"cached_tokens":0},"total_tokens":1382}}</t>
  </si>
  <si>
    <t>Canada Goose：白色羽绒派克大衣，高蓬松鹅绒填充，防风防寒功能卓越。配真毛连帽设计，休闲都市风格，男女通用款，保暖舒适兼具时尚品味，冬季户外旅行与日常穿搭皆宜。</t>
  </si>
  <si>
    <t>336</t>
  </si>
  <si>
    <t>{"choices":[{"content_filter_results":{"hate":{"filtered":false,"severity":"safe"},"protected_material_code":{"filtered":false,"detected":false},"protected_material_text":{"filtered":false,"detected":false},"self_harm":{"filtered":false,"severity":"safe"},"sexual":{"filtered":false,"severity":"safe"},"violence":{"filtered":false,"severity":"safe"}},"finish_reason":"stop","index":0,"logprobs":null,"message":{"annotations":[],"content":"Acne Studios Stockholm 1996 Black Unisex Hoodie","refusal":null,"role":"assistant"}}],"created":1776061166,"id":"chatcmpl-DU4vmpcJDg1V8qEP40uWyFJj7MnDX","model":"gpt-5-chat-2025-10-03","object":"chat.completion","prompt_filter_results":[{"prompt_index":0,"content_filter_results":{"hate":{"filtered":false,"severity":"safe"},"jailbreak":{"filtered":false,"detected":false},"self_harm":{"filtered":false,"severity":"safe"},"sexual":{"filtered":false,"severity":"safe"},"violence":{"filtered":false,"severity":"safe"}}}],"system_fingerprint":"fp_ad66631dec","usage":{"completion_tokens":12,"completion_tokens_details":{"accepted_prediction_tokens":0,"audio_tokens":0,"reasoning_tokens":0,"rejected_prediction_tokens":0},"prompt_tokens":887,"prompt_tokens_details":{"audio_tokens":0,"cached_tokens":0},"total_tokens":899}}</t>
  </si>
  <si>
    <t>Acne Studios Stockholm 1996 Black Unisex Hoodie</t>
  </si>
  <si>
    <t>{"choices":[{"content_filter_results":{"hate":{"filtered":false,"severity":"safe"},"protected_material_code":{"filtered":false,"detected":false},"protected_material_text":{"filtered":false,"detected":false},"self_harm":{"filtered":false,"severity":"safe"},"sexual":{"filtered":false,"severity":"safe"},"violence":{"filtered":false,"severity":"safe"}},"finish_reason":"stop","index":0,"logprobs":null,"message":{"annotations":[],"content":"Acne Studios black classic cotton hoodie with “STOCKHOLM 1996” embroidery, unisex relaxed fit, soft texture, minimal Nordic design, perfect for casual streetwear and modern fashion style.","refusal":null,"role":"assistant"}}],"created":1776045032,"id":"chatcmpl-DU0jYyv8L1XYxrkYeyilTtFG8Uyr6","model":"gpt-5-chat-2025-10-03","object":"chat.completion","prompt_filter_results":[{"prompt_index":0,"content_filter_results":{"hate":{"filtered":false,"severity":"safe"},"jailbreak":{"filtered":false,"detected":false},"self_harm":{"filtered":false,"severity":"safe"},"sexual":{"filtered":false,"severity":"safe"},"violence":{"filtered":false,"severity":"safe"}}}],"system_fingerprint":"fp_ad66631dec","usage":{"completion_tokens":42,"completion_tokens_details":{"accepted_prediction_tokens":0,"audio_tokens":0,"reasoning_tokens":0,"rejected_prediction_tokens":0},"prompt_tokens":917,"prompt_tokens_details":{"audio_tokens":0,"cached_tokens":0},"total_tokens":959}}</t>
  </si>
  <si>
    <t>{"alt-svc":"h3=\":443\"; ma=2592000","apim-request-id":"c28013ac-4596-4734-bf37-9155da6ddbf9","azureml-model-session":"d20260402084046-4209e968","connection":"close","content-length":"1403","content-type":"application/json","date":"Mon, 13 Apr 2026 01:50:33 GMT","skip-error-remapping":"true","strict-transport-security":"max-age=31536000; includeSubDomains; preload","via":"1.1 Caddy","x-accel-buffering":"no","x-content-type-options":"nosniff","x-ms-client-request-id":"Not-Set","x-ms-is-spilled-over":"false","x-ms-rai-invoked":"true","x-ms-region":"East US","x-new-api-version":"0.4.25-alpha.4","x-oneapi-request-id":"20260413015031175496109lBV5UQcN","x-ratelimit-abusepenalty-active":"False","x-ratelimit-limit-requests":"1000","x-ratelimit-limit-tokens":"1000000","x-ratelimit-remaining-requests":"999","x-ratelimit-remaining-tokens":"998824","x-ratelimit-renewalperiod-requests":"60","x-ratelimit-renewalperiod-tokens":"60","x-ratelimit-reset-requests":"60","x-ratelimit-reset-tokens":"70","x-request-id":"42e0e63d-72bf-452c-91b8-782d58efaee4","x-shellapi-request-id":"2026041309503113763499912070682"}</t>
  </si>
  <si>
    <t>Acne Studios black classic cotton hoodie with “STOCKHOLM 1996” embroidery, unisex relaxed fit, soft texture, minimal Nordic design, perfect for casual streetwear and modern fashion style.</t>
  </si>
  <si>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Acne Studios, Jackets, kakobuy, kakebuy2026, kekobuysheet, kakobuysheet2026, 2026kakobuy, kakobuyspreadsheeet, kakobuylink, kakebuylist, Kakobuy MEGA Spreadsheet, kakobuysheetfind, kakobuysheetfind2026, 2026kakobuysheetfind, kakobuysheet2026","refusal":null,"role":"assistant"}}],"created":1776061505,"id":"chatcmpl-DU51Fm4cFAX5Wp07cuc2IYnAgnWtc","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ad66631dec","usage":{"completion_tokens":92,"completion_tokens_details":{"accepted_prediction_tokens":0,"audio_tokens":0,"reasoning_tokens":0,"rejected_prediction_tokens":0},"prompt_tokens":784,"prompt_tokens_details":{"audio_tokens":0,"cached_tokens":0},"total_tokens":876}}</t>
  </si>
  <si>
    <t>Acne Studios, Jackets, kakobuy, kakebuy2026, kekobuysheet, kakobuysheet2026, 2026kakobuy, kakobuyspreadsheeet, kakobuylink, kakebuylist, Kakobuy MEGA Spreadsheet, kakobuysheetfind, kakobuysheetfind2026, 2026kakobuysheetfind, kakobuysheet2026</t>
  </si>
  <si>
    <t>Black, Classic, Unisex, Streetwear, Modern</t>
  </si>
  <si>
    <t>recvgxFjjAYTwK</t>
  </si>
  <si>
    <t>acne-studios-stockholm-1996-black-hoodie-recvgxFjjAYTwK</t>
  </si>
  <si>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Acne Studios：黑色经典连帽卫衣，柔软棉质材质提供舒适触感，背面刺绣“STOCKHOLM 1996”字样彰显北欧极简设计魅力，宽松版型适合男女穿着，休闲街头风格，完美融合时尚与功能。","refusal":null,"role":"assistant"}}],"created":1776044315,"id":"chatcmpl-DU0XzOBXr3rycfzwshpqLJZz3DhUj","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ad66631dec","usage":{"completion_tokens":77,"completion_tokens_details":{"accepted_prediction_tokens":0,"audio_tokens":0,"reasoning_tokens":0,"rejected_prediction_tokens":0},"prompt_tokens":1312,"prompt_tokens_details":{"audio_tokens":0,"cached_tokens":0},"total_tokens":1389}}</t>
  </si>
  <si>
    <t>Acne Studios：黑色经典连帽卫衣，柔软棉质材质提供舒适触感，背面刺绣“STOCKHOLM 1996”字样彰显北欧极简设计魅力，宽松版型适合男女穿着，休闲街头风格，完美融合时尚与功能。</t>
  </si>
  <si>
    <t>Sp5der</t>
  </si>
  <si>
    <t>182</t>
  </si>
  <si>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Sp5der Black Punk Street Cotton Hoodie Unisex","refusal":null,"role":"assistant"}}],"created":1776061240,"id":"chatcmpl-DU4wy93zjUKRdQfHeKY9FMr4EMKNf","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ad66631dec","usage":{"completion_tokens":11,"completion_tokens_details":{"accepted_prediction_tokens":0,"audio_tokens":0,"reasoning_tokens":0,"rejected_prediction_tokens":0},"prompt_tokens":879,"prompt_tokens_details":{"audio_tokens":0,"cached_tokens":0},"total_tokens":890}}</t>
  </si>
  <si>
    <t>Sp5der Black Punk Street Cotton Hoodie Unisex</t>
  </si>
  <si>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JacketsSp5derSp5der black street hoodie made of premium cotton, featuring colorful spiderweb and letter print, punk-inspired design, loose unisex fit showing millennium fashion attitude.","refusal":null,"role":"assistant"}}],"created":1776044907,"id":"chatcmpl-DU0hXtGMmGzrgWteYSTAOu9930iru","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ad66631dec","usage":{"completion_tokens":38,"completion_tokens_details":{"accepted_prediction_tokens":0,"audio_tokens":0,"reasoning_tokens":0,"rejected_prediction_tokens":0},"prompt_tokens":904,"prompt_tokens_details":{"audio_tokens":0,"cached_tokens":0},"total_tokens":942}}</t>
  </si>
  <si>
    <t>{"alt-svc":"h3=\":443\"; ma=2592000","apim-request-id":"175f3cfd-6326-4cb7-88d1-c323c0c14f69","azureml-model-session":"d20260405221325-2e8d5e76","connection":"close","content-length":"1423","content-type":"application/json","date":"Mon, 13 Apr 2026 01:48:29 GMT","skip-error-remapping":"true","strict-transport-security":"max-age=31536000; includeSubDomains; preload","via":"1.1 Caddy","x-accel-buffering":"no","x-content-type-options":"nosniff","x-ms-client-request-id":"Not-Set","x-ms-is-spilled-over":"false","x-ms-rai-invoked":"true","x-ms-region":"Australia East","x-new-api-version":"0.4.25-alpha.4","x-oneapi-request-id":"20260413014826763621814OzxT2Buk","x-ratelimit-abusepenalty-active":"False","x-ratelimit-limit-requests":"1000","x-ratelimit-limit-tokens":"1000000","x-ratelimit-remaining-requests":"999","x-ratelimit-remaining-tokens":"998832","x-ratelimit-renewalperiod-requests":"60","x-ratelimit-renewalperiod-tokens":"60","x-ratelimit-reset-requests":"60","x-ratelimit-reset-tokens":"70","x-request-id":"3abe0b24-a392-4c92-acf3-b1c2b48cabe4","x-shellapi-request-id":"2026041309482672797523712181072"}</t>
  </si>
  <si>
    <t>JacketsSp5derSp5der black street hoodie made of premium cotton, featuring colorful spiderweb and letter print, punk-inspired design, loose unisex fit showing millennium fashion attitude.</t>
  </si>
  <si>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JacketsSp5der,Hoodie,kakobuy,kakebuy2026,kekobuysheet,kakobuysheet2026,2026kakobuy,kakobuyspreadsheeet,kakobuylink,kakebuylist,Kakobuy MEGA Spreadsheet,kakobuysheetfind,kakobuysheetfind2026,2026kakobuysheetfind,kakobuysheet2026","refusal":null,"role":"assistant"}}],"created":1776061445,"id":"chatcmpl-DU50HLW0zRKKWznrN6tn50Ms8BxVy","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ad66631dec","usage":{"completion_tokens":91,"completion_tokens_details":{"accepted_prediction_tokens":0,"audio_tokens":0,"reasoning_tokens":0,"rejected_prediction_tokens":0},"prompt_tokens":784,"prompt_tokens_details":{"audio_tokens":0,"cached_tokens":0},"total_tokens":875}}</t>
  </si>
  <si>
    <t>JacketsSp5der,Hoodie,kakobuy,kakebuy2026,kekobuysheet,kakobuysheet2026,2026kakobuy,kakobuyspreadsheeet,kakobuylink,kakebuylist,Kakobuy MEGA Spreadsheet,kakobuysheetfind,kakobuysheetfind2026,2026kakobuysheetfind,kakobuysheet2026</t>
  </si>
  <si>
    <t>Black, Punk, Unisex, Street, Streetwear</t>
  </si>
  <si>
    <t>recvgxFjjAWmwH</t>
  </si>
  <si>
    <t>sp5der-black-punk-street-cotton-hoodie-recvgxfjjawmwh</t>
  </si>
  <si>
    <t>{"choices":[{"content_filter_results":{"hate":{"filtered":false,"severity":"safe"},"protected_material_code":{"filtered":false,"detected":false},"protected_material_text":{"filtered":false,"detected":false},"self_harm":{"filtered":false,"severity":"safe"},"sexual":{"filtered":false,"severity":"safe"},"violence":{"filtered":false,"severity":"safe"}},"finish_reason":"stop","index":0,"logprobs":null,"message":{"annotations":[],"content":"Sp5der：黑色街头系列连帽卫衣，采用优质纯棉材质，胸前亮点蜘蛛网与彩色字母图腾，融合朋克设计美学，宽松休闲版型男女皆宜，彰显千禧年代潮流态度。","refusal":null,"role":"assistant"}}],"created":1776044459,"id":"chatcmpl-DU0aJfmrs2d7VNNY4OJvh6XGGrzOX","model":"gpt-5-chat-2025-10-03","object":"chat.completion","prompt_filter_results":[{"prompt_index":0,"content_filter_results":{"hate":{"filtered":false,"severity":"safe"},"jailbreak":{"filtered":false,"detected":false},"self_harm":{"filtered":false,"severity":"safe"},"sexual":{"filtered":false,"severity":"safe"},"violence":{"filtered":false,"severity":"safe"}}}],"service_tier":"default","system_fingerprint":"fp_ad66631dec","usage":{"completion_tokens":64,"completion_tokens_details":{"accepted_prediction_tokens":0,"audio_tokens":0,"reasoning_tokens":0,"rejected_prediction_tokens":0},"prompt_tokens":1312,"prompt_tokens_details":{"audio_tokens":0,"cached_tokens":1280},"total_tokens":1376}}</t>
  </si>
  <si>
    <t>Sp5der：黑色街头系列连帽卫衣，采用优质纯棉材质，胸前亮点蜘蛛网与彩色字母图腾，融合朋克设计美学，宽松休闲版型男女皆宜，彰显千禧年代潮流态度。</t>
  </si>
  <si>
    <t>Carhartt</t>
  </si>
  <si>
    <t>193</t>
  </si>
  <si>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Carhartt Khaki Crewneck Workwear Sweatshirt Unisex Casual","refusal":null,"role":"assistant"}}],"created":1776061218,"id":"chatcmpl-DU4wcpCJhuk6Kqk1SiEnbRJm1mTNa","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ad66631dec","usage":{"completion_tokens":15,"completion_tokens_details":{"accepted_prediction_tokens":0,"audio_tokens":0,"reasoning_tokens":0,"rejected_prediction_tokens":0},"prompt_tokens":891,"prompt_tokens_details":{"audio_tokens":0,"cached_tokens":0},"total_tokens":906}}</t>
  </si>
  <si>
    <t>Carhartt Khaki Crewneck Workwear Sweatshirt Unisex Casual</t>
  </si>
  <si>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Carhartt Classic Workwear Crewneck Sweatshirt, made from thick soft cotton for warmth and comfort, features square chest logo, khaki color, unisex loose fit, perfect for casual street or daily wear.","refusal":null,"role":"assistant"}}],"created":1776044983,"id":"chatcmpl-DU0iltR5jICsb01JerXF1qRquYG4N","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ad66631dec","usage":{"completion_tokens":44,"completion_tokens_details":{"accepted_prediction_tokens":0,"audio_tokens":0,"reasoning_tokens":0,"rejected_prediction_tokens":0},"prompt_tokens":913,"prompt_tokens_details":{"audio_tokens":0,"cached_tokens":0},"total_tokens":957}}</t>
  </si>
  <si>
    <t>{"alt-svc":"h3=\":443\"; ma=2592000","apim-request-id":"152c5bfc-7dae-4979-9e44-96123469d0e4","azureml-model-session":"d20260402075109-1fc5a0ec","connection":"close","content-length":"1435","content-type":"application/json","date":"Mon, 13 Apr 2026 01:49:45 GMT","skip-error-remapping":"true","strict-transport-security":"max-age=31536000; includeSubDomains; preload","via":"1.1 Caddy","x-accel-buffering":"no","x-content-type-options":"nosniff","x-ms-client-request-id":"Not-Set","x-ms-is-spilled-over":"false","x-ms-rai-invoked":"true","x-ms-region":"UK South","x-new-api-version":"0.4.25-alpha.4","x-oneapi-request-id":"20260413014942795760448DQ3ojnmj","x-ratelimit-abusepenalty-active":"False","x-ratelimit-limit-requests":"1000","x-ratelimit-limit-tokens":"1000000","x-ratelimit-remaining-requests":"999","x-ratelimit-remaining-tokens":"998829","x-ratelimit-renewalperiod-requests":"60","x-ratelimit-renewalperiod-tokens":"60","x-ratelimit-reset-requests":"60","x-ratelimit-reset-tokens":"70","x-request-id":"6705ed0d-8b35-4c10-be28-4dad6ee04a04","x-shellapi-request-id":"2026041309494275580607148049348"}</t>
  </si>
  <si>
    <t>Carhartt Classic Workwear Crewneck Sweatshirt, made from thick soft cotton for warmth and comfort, features square chest logo, khaki color, unisex loose fit, perfect for casual street or daily wear.</t>
  </si>
  <si>
    <t>{"choices":[{"content_filter_results":{"hate":{"filtered":false,"severity":"safe"},"protected_material_code":{"filtered":false,"detected":false},"protected_material_text":{"filtered":false,"detected":false},"self_harm":{"filtered":false,"severity":"safe"},"sexual":{"filtered":false,"severity":"safe"},"violence":{"filtered":false,"severity":"safe"}},"finish_reason":"stop","index":0,"logprobs":null,"message":{"annotations":[],"content":"Carhartt,Jackets,kakobuy,kakebuy2026,kekobuysheet,kakobuysheet2026,2026kakobuy,kakobuyspreadsheeet,kakobuylink,kakebuylist,Kakobuy MEGA Spreadsheet,kakobuysheetfind,kakobuysheetfind2026,2026kakobuysheetfind,kakobuysheet2026","refusal":null,"role":"assistant"}}],"created":1776061383,"id":"chatcmpl-DU4zHgaKciTiYECnBHGuOIBs8sY3y","model":"gpt-5-chat-2025-10-03","object":"chat.completion","prompt_filter_results":[{"prompt_index":1,"content_filter_result":{"sexual":{"filtered":false,"severity":"safe"},"violence":{"filtered":false,"severity":"safe"},"hate":{"filtered":false,"severity":"safe"},"self_harm":{"filtered":false,"severity":"safe"}}},{"prompt_index":0,"content_filter_result":{}}],"system_fingerprint":"fp_ad66631dec","usage":{"completion_tokens":88,"completion_tokens_details":{"accepted_prediction_tokens":0,"audio_tokens":0,"reasoning_tokens":0,"rejected_prediction_tokens":0},"prompt_tokens":784,"prompt_tokens_details":{"audio_tokens":0,"cached_tokens":0},"total_tokens":872}}</t>
  </si>
  <si>
    <t>Carhartt,Jackets,kakobuy,kakebuy2026,kekobuysheet,kakobuysheet2026,2026kakobuy,kakobuyspreadsheeet,kakobuylink,kakebuylist,Kakobuy MEGA Spreadsheet,kakobuysheetfind,kakobuysheetfind2026,2026kakobuysheetfind,kakobuysheet2026</t>
  </si>
  <si>
    <t>Unisex, Streetwear</t>
  </si>
  <si>
    <t>recvgxFjjAsfnC</t>
  </si>
  <si>
    <t>carhartt-khaki-crewneck-workwear-sweatshirt-recvgxfjjAsfnC</t>
  </si>
  <si>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Carhartt：经典工装系列卡其色圆领卫衣，厚实纯棉材质柔软保暖，胸前方形Logo简约有型，宽松中性版型适合男女穿搭，复古街头风格演绎休闲质感，日常出行与都市混搭皆宜。","refusal":null,"role":"assistant"}}],"created":1776044221,"id":"chatcmpl-DU0WT0kUkUFDWL3ITlL8jr6336Vmg","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ad66631dec","usage":{"completion_tokens":76,"completion_tokens_details":{"accepted_prediction_tokens":0,"audio_tokens":0,"reasoning_tokens":0,"rejected_prediction_tokens":0},"prompt_tokens":1306,"prompt_tokens_details":{"audio_tokens":0,"cached_tokens":0},"total_tokens":1382}}</t>
  </si>
  <si>
    <t>Carhartt：经典工装系列卡其色圆领卫衣，厚实纯棉材质柔软保暖，胸前方形Logo简约有型，宽松中性版型适合男女穿搭，复古街头风格演绎休闲质感，日常出行与都市混搭皆宜。</t>
  </si>
  <si>
    <t xml:space="preserve"> Palm Angels</t>
  </si>
  <si>
    <t>147</t>
  </si>
  <si>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Palm Angels Street Style Black Cotton Logo Hoodie","refusal":null,"role":"assistant"}}],"created":1776061189,"id":"chatcmpl-DU4w9uyzvKqD2Tp96o26x0NHa3p3S","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ad66631dec","usage":{"completion_tokens":9,"completion_tokens_details":{"accepted_prediction_tokens":0,"audio_tokens":0,"reasoning_tokens":0,"rejected_prediction_tokens":0},"prompt_tokens":883,"prompt_tokens_details":{"audio_tokens":0,"cached_tokens":0},"total_tokens":892}}</t>
  </si>
  <si>
    <t>Palm Angels Street Style Black Cotton Logo Hoodie</t>
  </si>
  <si>
    <t>{"choices":[{"content_filter_results":{"hate":{"filtered":false,"severity":"safe"},"protected_material_code":{"filtered":false,"detected":false},"protected_material_text":{"filtered":false,"detected":false},"self_harm":{"filtered":false,"severity":"safe"},"sexual":{"filtered":false,"severity":"safe"},"violence":{"filtered":false,"severity":"safe"}},"finish_reason":"stop","index":0,"logprobs":null,"message":{"annotations":[],"content":"Palm Angels Street Style Black Hoodie crafted from heavyweight cotton for warmth and comfort, featuring iconic logo prints on front and back, loose fit, drawstring hood, and kangaroo pocket for urban fashion.","refusal":null,"role":"assistant"}}],"created":1776044958,"id":"chatcmpl-DU0iMJPoOfQeyLJH4iW6YTsJjZIOl","model":"gpt-5-chat-2025-10-03","object":"chat.completion","prompt_filter_results":[{"prompt_index":0,"content_filter_results":{"hate":{"filtered":false,"severity":"safe"},"jailbreak":{"filtered":false,"detected":false},"self_harm":{"filtered":false,"severity":"safe"},"sexual":{"filtered":false,"severity":"safe"},"violence":{"filtered":false,"severity":"safe"}}}],"system_fingerprint":"fp_ad66631dec","usage":{"completion_tokens":40,"completion_tokens_details":{"accepted_prediction_tokens":0,"audio_tokens":0,"reasoning_tokens":0,"rejected_prediction_tokens":0},"prompt_tokens":943,"prompt_tokens_details":{"audio_tokens":0,"cached_tokens":0},"total_tokens":983}}</t>
  </si>
  <si>
    <t>{"alt-svc":"h3=\":443\"; ma=2592000","apim-request-id":"ff41d40d-57d3-4fe4-8c05-d064bfb936f0","azureml-model-session":"d20260402074105-51db401e","connection":"close","content-length":"1420","content-type":"application/json","date":"Mon, 13 Apr 2026 01:49:22 GMT","skip-error-remapping":"true","strict-transport-security":"max-age=31536000; includeSubDomains; preload","via":"1.1 Caddy","x-accel-buffering":"no","x-content-type-options":"nosniff","x-ms-client-request-id":"Not-Set","x-ms-is-spilled-over":"false","x-ms-rai-invoked":"true","x-ms-region":"Sweden Central","x-new-api-version":"0.4.25-alpha.4","x-oneapi-request-id":"20260413014917770115647qIGxX95C","x-ratelimit-abusepenalty-active":"False","x-ratelimit-limit-requests":"1000","x-ratelimit-limit-tokens":"1000000","x-ratelimit-remaining-requests":"999","x-ratelimit-remaining-tokens":"998820","x-ratelimit-renewalperiod-requests":"60","x-ratelimit-renewalperiod-tokens":"60","x-ratelimit-reset-requests":"60","x-ratelimit-reset-tokens":"70","x-request-id":"ea8bc301-3fb7-49f7-9ed7-ddd31e52c554","x-shellapi-request-id":"2026041309491773225283165370338"}</t>
  </si>
  <si>
    <t>Palm Angels Street Style Black Hoodie crafted from heavyweight cotton for warmth and comfort, featuring iconic logo prints on front and back, loose fit, drawstring hood, and kangaroo pocket for urban fashion.</t>
  </si>
  <si>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Palm Angels,Hoodie,kakobuy,kakebuy2026,kekobuysheet,kakobuysheet2026,2026kakobuy,kakobuyspreadsheeet,kakobuylink,kakebuylist,Kakobuy MEGA Spreadsheet,kakobuysheetfind,kakobuysheetfind2026,2026kakobuysheetfind,kakobuysheet2026","refusal":null,"role":"assistant"}}],"created":1776061499,"id":"chatcmpl-DU5191Ny7nTWZ9wmPDXzssykV7XSG","model":"gpt-5-chat-2025-10-03","object":"chat.completion","prompt_filter_results":[{"prompt_index":0,"content_filter_results":{"hate":{"filtered":false,"severity":"safe"},"jailbreak":{"detected":false,"filtered":false},"self_harm":{"filtered":false,"severity":"safe"},"sexual":{"filtered":false,"severity":"safe"},"violence":{"filtered":false,"severity":"safe"}}}],"system_fingerprint":"fp_ad66631dec","usage":{"completion_tokens":88,"completion_tokens_details":{"accepted_prediction_tokens":0,"audio_tokens":0,"reasoning_tokens":0,"rejected_prediction_tokens":0},"prompt_tokens":784,"prompt_tokens_details":{"audio_tokens":0,"cached_tokens":0},"total_tokens":872}}</t>
  </si>
  <si>
    <t>Palm Angels,Hoodie,kakobuy,kakebuy2026,kekobuysheet,kakobuysheet2026,2026kakobuy,kakobuyspreadsheeet,kakobuylink,kakebuylist,Kakobuy MEGA Spreadsheet,kakobuysheetfind,kakobuysheetfind2026,2026kakobuysheetfind,kakobuysheet2026</t>
  </si>
  <si>
    <t>Streetwear, Black, Comfort, Fashion, Unisex</t>
  </si>
  <si>
    <t>recvgxFjjA1HzM</t>
  </si>
  <si>
    <t>palm-angels-street-style-black-cotton-logo-hoodie-recvgxfjja1hzm</t>
  </si>
  <si>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Palm Angels：街头系列黑色连帽卫衣，选用高克重纯棉材质，柔软舒适且保暖。胸前及背部印有品牌标志性字母印花，彰显潮流态度。宽松剪裁结合抽绳帽与袋鼠兜设计，兼具实用与时尚感。男女皆宜，都市街头风格凸显个性与自由精神，适合日常休闲穿搭。","refusal":null,"role":"assistant"}}],"created":1776044434,"id":"chatcmpl-DU0ZukeyGKQrYedvZRHuCWa8lSqqe","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ad66631dec","usage":{"completion_tokens":107,"completion_tokens_details":{"accepted_prediction_tokens":0,"audio_tokens":0,"reasoning_tokens":0,"rejected_prediction_tokens":0},"prompt_tokens":1303,"prompt_tokens_details":{"audio_tokens":0,"cached_tokens":0},"total_tokens":1410}}</t>
  </si>
  <si>
    <t>Palm Angels：街头系列黑色连帽卫衣，选用高克重纯棉材质，柔软舒适且保暖。胸前及背部印有品牌标志性字母印花，彰显潮流态度。宽松剪裁结合抽绳帽与袋鼠兜设计，兼具实用与时尚感。男女皆宜，都市街头风格凸显个性与自由精神，适合日常休闲穿搭。</t>
  </si>
  <si>
    <t>108</t>
  </si>
  <si>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Ralph Lauren Classic Navy Wool Cable Knit Sweater","refusal":null,"role":"assistant"}}],"created":1776061286,"id":"chatcmpl-DU4xiqIzk8uEtWeq0moeLB16RWQIt","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ad66631dec","usage":{"completion_tokens":11,"completion_tokens_details":{"accepted_prediction_tokens":0,"audio_tokens":0,"reasoning_tokens":0,"rejected_prediction_tokens":0},"prompt_tokens":877,"prompt_tokens_details":{"audio_tokens":0,"cached_tokens":0},"total_tokens":888}}</t>
  </si>
  <si>
    <t>Ralph Lauren Classic Navy Wool Cable Knit Sweater</t>
  </si>
  <si>
    <t>{"choices":[{"content_filter_results":{"hate":{"filtered":false,"severity":"safe"},"protected_material_code":{"filtered":false,"detected":false},"protected_material_text":{"filtered":false,"detected":false},"self_harm":{"filtered":false,"severity":"safe"},"sexual":{"filtered":false,"severity":"safe"},"violence":{"filtered":false,"severity":"safe"}},"finish_reason":"stop","index":0,"logprobs":null,"message":{"annotations":[],"content":"Ralph Lauren Classic Navy Cable Knit Wool Sweater, warm and soft, timeless texture for elegant taste, unisex design brings vintage preppy style, perfect for everyday casual layering.","refusal":null,"role":"assistant"}}],"created":1776044985,"id":"chatcmpl-DU0in5vNtOERRnB6nJC1GSE6bejez","model":"gpt-5-chat-2025-10-03","object":"chat.completion","prompt_filter_results":[{"prompt_index":0,"content_filter_results":{"hate":{"filtered":false,"severity":"safe"},"jailbreak":{"filtered":false,"detected":false},"self_harm":{"filtered":false,"severity":"safe"},"sexual":{"filtered":false,"severity":"safe"},"violence":{"filtered":false,"severity":"safe"}}}],"system_fingerprint":"fp_ad66631dec","usage":{"completion_tokens":37,"completion_tokens_details":{"accepted_prediction_tokens":0,"audio_tokens":0,"reasoning_tokens":0,"rejected_prediction_tokens":0},"prompt_tokens":913,"prompt_tokens_details":{"audio_tokens":0,"cached_tokens":0},"total_tokens":950}}</t>
  </si>
  <si>
    <t>{"alt-svc":"h3=\":443\"; ma=2592000","apim-request-id":"e4a19a99-c09f-4c7f-b74e-aca19e2d9f23","azureml-model-session":"d20260405221325-2e8d5e76","connection":"close","content-length":"1394","content-type":"application/json","date":"Mon, 13 Apr 2026 01:49:46 GMT","skip-error-remapping":"true","strict-transport-security":"max-age=31536000; includeSubDomains; preload","via":"1.1 Caddy","x-accel-buffering":"no","x-content-type-options":"nosniff","x-ms-client-request-id":"Not-Set","x-ms-is-spilled-over":"false","x-ms-rai-invoked":"true","x-ms-region":"Sweden Central","x-new-api-version":"0.4.25-alpha.4","x-oneapi-request-id":"2026041301494446958653ZgAJACec","x-ratelimit-abusepenalty-active":"False","x-ratelimit-limit-requests":"1000","x-ratelimit-limit-tokens":"1000000","x-ratelimit-remaining-requests":"999","x-ratelimit-remaining-tokens":"998828","x-ratelimit-renewalperiod-requests":"60","x-ratelimit-renewalperiod-tokens":"60","x-ratelimit-reset-requests":"60","x-ratelimit-reset-tokens":"70","x-request-id":"8835c0ad-0a8f-41d3-a00e-ce19cc492b0c","x-shellapi-request-id":"202604130949441128477831843956"}</t>
  </si>
  <si>
    <t>Ralph Lauren Classic Navy Cable Knit Wool Sweater, warm and soft, timeless texture for elegant taste, unisex design brings vintage preppy style, perfect for everyday casual layering.</t>
  </si>
  <si>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Ralph Lauren, Sweaters, kakobuy, kakebuy2026, kekobuysheet, kakobuysheet2026, 2026kakobuy, kakobuyspreadsheeet, kakobuylink, kakebuylist, Kakobuy MEGA Spreadsheet, kakobuysheetfind, kakobuysheetfind2026, 2026kakobuysheetfind, kakobuysheet2026","refusal":null,"role":"assistant"}}],"created":1776061494,"id":"chatcmpl-DU514MzicQSq4i4ZcQF966GMeiOUF","model":"gpt-5-chat-2025-10-03","object":"chat.completion","prompt_filter_results":[{"prompt_index":0,"content_filter_results":{"hate":{"filtered":false,"severity":"safe"},"jailbreak":{"detected":false,"filtered":false},"self_harm":{"filtered":false,"severity":"safe"},"sexual":{"filtered":false,"severity":"safe"},"violence":{"filtered":false,"severity":"safe"}}}],"system_fingerprint":"fp_ad66631dec","usage":{"completion_tokens":93,"completion_tokens_details":{"accepted_prediction_tokens":0,"audio_tokens":0,"reasoning_tokens":0,"rejected_prediction_tokens":0},"prompt_tokens":784,"prompt_tokens_details":{"audio_tokens":0,"cached_tokens":0},"total_tokens":877}}</t>
  </si>
  <si>
    <t>Ralph Lauren, Sweaters, kakobuy, kakebuy2026, kekobuysheet, kakobuysheet2026, 2026kakobuy, kakobuyspreadsheeet, kakobuylink, kakebuylist, Kakobuy MEGA Spreadsheet, kakobuysheetfind, kakobuysheetfind2026, 2026kakobuysheetfind, kakobuysheet2026</t>
  </si>
  <si>
    <t>Wool, Unisex, Vintage, Preppy</t>
  </si>
  <si>
    <t>recvgxFjjAl0BS</t>
  </si>
  <si>
    <t>ralph-lauren-navy-wool-cable-knit-sweater-recvgxfjjal0bs</t>
  </si>
  <si>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Ralph Lauren：经典海军蓝麻花针织圆领毛衣，甄选纯羊毛材质，保暖舒适。简约立体编织纹理凸显优雅品味，适合男女皆宜，展现美式学院复古风格，日常休闲与层次穿搭皆宜。","refusal":null,"role":"assistant"}}],"created":1776044373,"id":"chatcmpl-DU0YvZa38BqtkimP1abbdrc5eIKhU","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ad66631dec","usage":{"completion_tokens":75,"completion_tokens_details":{"accepted_prediction_tokens":0,"audio_tokens":0,"reasoning_tokens":0,"rejected_prediction_tokens":0},"prompt_tokens":1308,"prompt_tokens_details":{"audio_tokens":0,"cached_tokens":0},"total_tokens":1383}}</t>
  </si>
  <si>
    <t>Ralph Lauren：经典海军蓝麻花针织圆领毛衣，甄选纯羊毛材质，保暖舒适。简约立体编织纹理凸显优雅品味，适合男女皆宜，展现美式学院复古风格，日常休闲与层次穿搭皆宜。</t>
  </si>
  <si>
    <t>356</t>
  </si>
  <si>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Stone Island Off-White Tech Windproof Jacket","refusal":null,"role":"assistant"}}],"created":1776061289,"id":"chatcmpl-DU4xlduPAo7hZEFBhV2pSkBddjAjK","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ad66631dec","usage":{"completion_tokens":10,"completion_tokens_details":{"accepted_prediction_tokens":0,"audio_tokens":0,"reasoning_tokens":0,"rejected_prediction_tokens":0},"prompt_tokens":892,"prompt_tokens_details":{"audio_tokens":0,"cached_tokens":0},"total_tokens":902}}</t>
  </si>
  <si>
    <t>Stone Island Off-White Tech Windproof Jacket</t>
  </si>
  <si>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Stone Island Off-White Tech Windproof Jacket, crafted from high-density fabric with a 3D cut design, features iconic sleeve badge, sleek minimalist style, ideal for urban casual and outdoor wear for men and women.","refusal":null,"role":"assistant"}}],"created":1776044987,"id":"chatcmpl-DU0ipX2KNNn4RunNsIMRTsUMWSsOO","model":"gpt-5-chat-2025-10-03","object":"chat.completion","prompt_filter_results":[{"prompt_index":0,"content_filter_results":{"hate":{"filtered":false,"severity":"safe"},"jailbreak":{"detected":false,"filtered":false},"self_harm":{"filtered":false,"severity":"safe"},"sexual":{"filtered":false,"severity":"safe"},"violence":{"filtered":false,"severity":"safe"}}}],"system_fingerprint":"fp_ad66631dec","usage":{"completion_tokens":45,"completion_tokens_details":{"accepted_prediction_tokens":0,"audio_tokens":0,"reasoning_tokens":0,"rejected_prediction_tokens":0},"prompt_tokens":908,"prompt_tokens_details":{"audio_tokens":0,"cached_tokens":0},"total_tokens":953}}</t>
  </si>
  <si>
    <t>{"alt-svc":"h3=\":443\"; ma=2592000","apim-request-id":"e2f086ed-d004-4a4b-87e1-2eac0653973d","azureml-model-session":"d20260405234249-f9874baf","connection":"close","content-length":"1425","content-type":"application/json","date":"Mon, 13 Apr 2026 01:49:48 GMT","skip-error-remapping":"true","strict-transport-security":"max-age=31536000; includeSubDomains; preload","via":"1.1 Caddy","x-accel-buffering":"no","x-content-type-options":"nosniff","x-ms-client-request-id":"Not-Set","x-ms-is-spilled-over":"false","x-ms-rai-invoked":"true","x-ms-region":"East US 2","x-new-api-version":"0.4.25-alpha.4","x-oneapi-request-id":"20260413014946137476951DHd4gWAr","x-ratelimit-abusepenalty-active":"False","x-ratelimit-limit-requests":"1000","x-ratelimit-limit-tokens":"1000000","x-ratelimit-remaining-requests":"999","x-ratelimit-remaining-tokens":"998827","x-ratelimit-renewalperiod-requests":"60","x-ratelimit-renewalperiod-tokens":"60","x-ratelimit-reset-requests":"60","x-ratelimit-reset-tokens":"70","x-request-id":"055f6156-db0d-4540-9d9b-fce687860fd1","x-shellapi-request-id":"2026041309494610101137596864955"}</t>
  </si>
  <si>
    <t>Stone Island Off-White Tech Windproof Jacket, crafted from high-density fabric with a 3D cut design, features iconic sleeve badge, sleek minimalist style, ideal for urban casual and outdoor wear for men and women.</t>
  </si>
  <si>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Stone Island, Jackets, kakobuy, kakebuy2026, kekobuysheet, kakobuysheet2026, 2026kakobuy, kakobuyspreadsheeet, kakobuylink, kakebuylist, Kakobuy MEGA Spreadsheet, kakobuysheetfind, kakobuysheetfind2026, 2026kakobuysheetfind, kakobuysheet2026","refusal":null,"role":"assistant"}}],"created":1776061431,"id":"chatcmpl-DU5033Lpwwj7iUMGI6Yx2mFQPh1kw","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ad66631dec","usage":{"completion_tokens":91,"completion_tokens_details":{"accepted_prediction_tokens":0,"audio_tokens":0,"reasoning_tokens":0,"rejected_prediction_tokens":0},"prompt_tokens":783,"prompt_tokens_details":{"audio_tokens":0,"cached_tokens":0},"total_tokens":874}}</t>
  </si>
  <si>
    <t>Windproof, Unisex, Minimalist, Outdoor, Streetwear</t>
  </si>
  <si>
    <t>recvgxFjjA1xMr</t>
  </si>
  <si>
    <t>stone-island-off-white-tech-windproof-jacket-recvgxfjja1xmr</t>
  </si>
  <si>
    <t>{"choices":[{"content_filter_results":{"hate":{"filtered":false,"severity":"safe"},"protected_material_code":{"filtered":false,"detected":false},"protected_material_text":{"filtered":false,"detected":false},"self_harm":{"filtered":false,"severity":"safe"},"sexual":{"filtered":false,"severity":"safe"},"violence":{"filtered":false,"severity":"safe"}},"finish_reason":"stop","index":0,"logprobs":null,"message":{"annotations":[],"content":"Stone Island：米白色功能型防风外套，采用高密度科技面料与立体剪裁设计，袖标徽章彰显品牌辨识度，整体简约利落兼具实用美学，男女皆宜，适合都市休闲与户外穿搭。","refusal":null,"role":"assistant"}}],"created":1776044216,"id":"chatcmpl-DU0WOH4n0mPOUPD4BkDJsaFC6o34l","model":"gpt-5-chat-2025-10-03","object":"chat.completion","prompt_filter_results":[{"prompt_index":0,"content_filter_results":{"hate":{"filtered":false,"severity":"safe"},"jailbreak":{"filtered":false,"detected":false},"self_harm":{"filtered":false,"severity":"safe"},"sexual":{"filtered":false,"severity":"safe"},"violence":{"filtered":false,"severity":"safe"}}}],"service_tier":"default","system_fingerprint":"fp_ad66631dec","usage":{"completion_tokens":66,"completion_tokens_details":{"accepted_prediction_tokens":0,"audio_tokens":0,"reasoning_tokens":0,"rejected_prediction_tokens":0},"prompt_tokens":1316,"prompt_tokens_details":{"audio_tokens":0,"cached_tokens":0},"total_tokens":1382}}</t>
  </si>
  <si>
    <t>Stone Island：米白色功能型防风外套，采用高密度科技面料与立体剪裁设计，袖标徽章彰显品牌辨识度，整体简约利落兼具实用美学，男女皆宜，适合都市休闲与户外穿搭。</t>
  </si>
  <si>
    <t>498</t>
  </si>
  <si>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Balenciaga Grey Patchwork Oversized Unisex Hoodie","refusal":null,"role":"assistant"}}],"created":1776061241,"id":"chatcmpl-DU4wzu6CQiWZC9HnfU5HUrWJmSvAE","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ad66631dec","usage":{"completion_tokens":12,"completion_tokens_details":{"accepted_prediction_tokens":0,"audio_tokens":0,"reasoning_tokens":0,"rejected_prediction_tokens":0},"prompt_tokens":882,"prompt_tokens_details":{"audio_tokens":0,"cached_tokens":0},"total_tokens":894}}</t>
  </si>
  <si>
    <t>Balenciaga Grey Patchwork Oversized Unisex Hoodie</t>
  </si>
  <si>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Balenciaga Hooded Sweatshirt: Grey patchwork design crafted from premium cotton blend. Loose fit with layered shoulders, round neck, and long sleeves for modern unisex minimalist street style.","refusal":null,"role":"assistant"}}],"created":1776044913,"id":"chatcmpl-DU0hddxpY9igjUy0zpjy2dzCulWkY","model":"gpt-5-chat-2025-10-03","object":"chat.completion","prompt_filter_results":[{"prompt_index":0,"content_filter_results":{"hate":{"filtered":false,"severity":"safe"},"jailbreak":{"detected":false,"filtered":false},"self_harm":{"filtered":false,"severity":"safe"},"sexual":{"filtered":false,"severity":"safe"},"violence":{"filtered":false,"severity":"safe"}}}],"system_fingerprint":"fp_ad66631dec","usage":{"completion_tokens":39,"completion_tokens_details":{"accepted_prediction_tokens":0,"audio_tokens":0,"reasoning_tokens":0,"rejected_prediction_tokens":0},"prompt_tokens":929,"prompt_tokens_details":{"audio_tokens":0,"cached_tokens":0},"total_tokens":968}}</t>
  </si>
  <si>
    <t>{"alt-svc":"h3=\":443\"; ma=2592000","apim-request-id":"8a8cbce1-9e28-490b-864b-6873a005b2e2","azureml-model-session":"d20260402083108-57a85543","connection":"close","content-length":"1404","content-type":"application/json","date":"Mon, 13 Apr 2026 01:48:33 GMT","skip-error-remapping":"true","strict-transport-security":"max-age=31536000; includeSubDomains; preload","via":"1.1 Caddy","x-accel-buffering":"no","x-content-type-options":"nosniff","x-ms-client-request-id":"Not-Set","x-ms-is-spilled-over":"false","x-ms-rai-invoked":"true","x-ms-region":"East US 2","x-new-api-version":"0.4.25-alpha.4","x-oneapi-request-id":"20260413014831688094655Zevj45qF","x-ratelimit-abusepenalty-active":"False","x-ratelimit-limit-requests":"1000","x-ratelimit-limit-tokens":"1000000","x-ratelimit-remaining-requests":"999","x-ratelimit-remaining-tokens":"998826","x-ratelimit-renewalperiod-requests":"60","x-ratelimit-renewalperiod-tokens":"60","x-ratelimit-reset-requests":"60","x-ratelimit-reset-tokens":"70","x-request-id":"f0fcb98c-6a97-4132-930a-e1f870b0f9d6","x-shellapi-request-id":"2026041309483164248756193850939"}</t>
  </si>
  <si>
    <t>Balenciaga Hooded Sweatshirt: Grey patchwork design crafted from premium cotton blend. Loose fit with layered shoulders, round neck, and long sleeves for modern unisex minimalist street style.</t>
  </si>
  <si>
    <t>{"choices":[{"content_filter_results":{"hate":{"filtered":false,"severity":"safe"},"protected_material_code":{"filtered":false,"detected":false},"protected_material_text":{"filtered":false,"detected":false},"self_harm":{"filtered":false,"severity":"safe"},"sexual":{"filtered":false,"severity":"safe"},"violence":{"filtered":false,"severity":"safe"}},"finish_reason":"stop","index":0,"logprobs":null,"message":{"annotations":[],"content":"Balenciaga,Hoodie,kakobuy,kakebuy2026,kekobuysheet,kakobuysheet2026,2026kakobuy,kakobuyspreadsheeet,kakobuylink,kakebuylist,Kakobuy MEGA Spreadsheet,kakobuysheetfind,kakobuysheetfind2026,2026kakobuysheetfind,kakobuysheet2026","refusal":null,"role":"assistant"}}],"created":1776061472,"id":"chatcmpl-DU50imjyoVIjaLM5VKZu7JA5lLQqm","model":"gpt-5-chat-2025-10-03","object":"chat.completion","prompt_filter_results":[{"prompt_index":1,"content_filter_result":{"sexual":{"filtered":false,"severity":"safe"},"violence":{"filtered":false,"severity":"safe"},"hate":{"filtered":false,"severity":"safe"},"self_harm":{"filtered":false,"severity":"safe"}}},{"prompt_index":0,"content_filter_result":{}}],"system_fingerprint":"fp_ad66631dec","usage":{"completion_tokens":89,"completion_tokens_details":{"accepted_prediction_tokens":0,"audio_tokens":0,"reasoning_tokens":0,"rejected_prediction_tokens":0},"prompt_tokens":785,"prompt_tokens_details":{"audio_tokens":0,"cached_tokens":0},"total_tokens":874}}</t>
  </si>
  <si>
    <t>Balenciaga, Grey, Minimalist, Streetwear, Unisex</t>
  </si>
  <si>
    <t>recvgxFjjA3t8x</t>
  </si>
  <si>
    <t>balenciaga-grey-patchwork-oversized-hoodie-recvgxfjja3t8x</t>
  </si>
  <si>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Balenciaga：灰色拼接卫衣，采用优质棉质混纺面料，剪裁宽松廓形设计，肩部叠搭结构展现前卫解构风格。简约圆领搭配微落肩长袖，展现极简街头时尚魅力，男女皆宜，日常与潮流并存。","refusal":null,"role":"assistant"}}],"created":1776044282,"id":"chatcmpl-DU0XSc2J0poGV72jK44PiwN99UJtj","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ad66631dec","usage":{"completion_tokens":83,"completion_tokens_details":{"accepted_prediction_tokens":0,"audio_tokens":0,"reasoning_tokens":0,"rejected_prediction_tokens":0},"prompt_tokens":1323,"prompt_tokens_details":{"audio_tokens":0,"cached_tokens":0},"total_tokens":1406}}</t>
  </si>
  <si>
    <t>Balenciaga：灰色拼接卫衣，采用优质棉质混纺面料，剪裁宽松廓形设计，肩部叠搭结构展现前卫解构风格。简约圆领搭配微落肩长袖，展现极简街头时尚魅力，男女皆宜，日常与潮流并存。</t>
  </si>
  <si>
    <t>560</t>
  </si>
  <si>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The North Face Grey White Long Down Jacket","refusal":null,"role":"assistant"}}],"created":1776061231,"id":"chatcmpl-DU4wpYEjdVCGIxcnzpUk73TrRrAS3","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ad66631dec","usage":{"completion_tokens":9,"completion_tokens_details":{"accepted_prediction_tokens":0,"audio_tokens":0,"reasoning_tokens":0,"rejected_prediction_tokens":0},"prompt_tokens":868,"prompt_tokens_details":{"audio_tokens":0,"cached_tokens":0},"total_tokens":877}}</t>
  </si>
  <si>
    <t>The North Face Grey White Long Down Jacket</t>
  </si>
  <si>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The North Face long grey-white down jacket with hood, windproof high-density nylon fabric, warm urban style, perfect for men and women winter outdoor travel.","refusal":null,"role":"assistant"}}],"created":1776044913,"id":"chatcmpl-DU0hdN47b6hh8M6NHp0ZRIAdFzY1o","model":"gpt-5-chat-2025-10-03","object":"chat.completion","prompt_filter_results":[{"prompt_index":0,"content_filter_results":{"hate":{"filtered":false,"severity":"safe"},"jailbreak":{"detected":false,"filtered":false},"self_harm":{"filtered":false,"severity":"safe"},"sexual":{"filtered":false,"severity":"safe"},"violence":{"filtered":false,"severity":"safe"}}}],"system_fingerprint":"fp_ad66631dec","usage":{"completion_tokens":32,"completion_tokens_details":{"accepted_prediction_tokens":0,"audio_tokens":0,"reasoning_tokens":0,"rejected_prediction_tokens":0},"prompt_tokens":886,"prompt_tokens_details":{"audio_tokens":0,"cached_tokens":0},"total_tokens":918}}</t>
  </si>
  <si>
    <t>{"alt-svc":"h3=\":443\"; ma=2592000","apim-request-id":"398032b0-e21b-4d8d-8d6a-01caf41a6796","azureml-model-session":"d20260405234249-f9874baf","connection":"close","content-length":"1369","content-type":"application/json","date":"Mon, 13 Apr 2026 01:48:33 GMT","skip-error-remapping":"true","strict-transport-security":"max-age=31536000; includeSubDomains; preload","via":"1.1 Caddy","x-accel-buffering":"no","x-content-type-options":"nosniff","x-ms-client-request-id":"Not-Set","x-ms-is-spilled-over":"false","x-ms-rai-invoked":"true","x-ms-region":"East US 2","x-new-api-version":"0.4.25-alpha.4","x-oneapi-request-id":"202604130148322851170322IXDICE7","x-ratelimit-abusepenalty-active":"False","x-ratelimit-limit-requests":"1000","x-ratelimit-limit-tokens":"1000000","x-ratelimit-remaining-requests":"999","x-ratelimit-remaining-tokens":"998833","x-ratelimit-renewalperiod-requests":"60","x-ratelimit-renewalperiod-tokens":"60","x-ratelimit-reset-requests":"60","x-ratelimit-reset-tokens":"70","x-request-id":"7693da56-0f22-4f23-b6a5-05773e29e3e5","x-shellapi-request-id":"2026041309483222743081953826298"}</t>
  </si>
  <si>
    <t>The North Face long grey-white down jacket with hood, windproof high-density nylon fabric, warm urban style, perfect for men and women winter outdoor travel.</t>
  </si>
  <si>
    <t>{"choices":[{"content_filter_results":{"hate":{"filtered":false,"severity":"safe"},"protected_material_code":{"filtered":false,"detected":false},"protected_material_text":{"filtered":false,"detected":false},"self_harm":{"filtered":false,"severity":"safe"},"sexual":{"filtered":false,"severity":"safe"},"violence":{"filtered":false,"severity":"safe"}},"finish_reason":"stop","index":0,"logprobs":null,"message":{"annotations":[],"content":"The North Face, Jacket, kakobuy, kakebuy2026, kekobuysheet, kakobuysheet2026, 2026kakobuy, kakobuyspreadsheeet, kakobuylink, kakebuylist, Kakobuy MEGA Spreadsheet, kakobuysheetfind, kakobuysheetfind2026, 2026kakobuysheetfind, kakobuysheet2026","refusal":null,"role":"assistant"}}],"created":1776061404,"id":"chatcmpl-DU4zcJEeD8dv8gB5hytJ2dyu5ydqA","model":"gpt-5-chat-2025-10-03","object":"chat.completion","prompt_filter_results":[{"prompt_index":0,"content_filter_results":{"hate":{"filtered":false,"severity":"safe"},"jailbreak":{"filtered":false,"detected":false},"self_harm":{"filtered":false,"severity":"safe"},"sexual":{"filtered":false,"severity":"safe"},"violence":{"filtered":false,"severity":"safe"}}}],"system_fingerprint":"fp_ad66631dec","usage":{"completion_tokens":92,"completion_tokens_details":{"accepted_prediction_tokens":0,"audio_tokens":0,"reasoning_tokens":0,"rejected_prediction_tokens":0},"prompt_tokens":785,"prompt_tokens_details":{"audio_tokens":0,"cached_tokens":0},"total_tokens":877}}</t>
  </si>
  <si>
    <t>The North Face, Jacket, kakobuy, kakebuy2026, kekobuysheet, kakobuysheet2026, 2026kakobuy, kakobuyspreadsheeet, kakobuylink, kakebuylist, Kakobuy MEGA Spreadsheet, kakobuysheetfind, kakobuysheetfind2026, 2026kakobuysheetfind, kakobuysheet2026</t>
  </si>
  <si>
    <t>Windproof, Nylon, Winter, Unisex, Outdoor, Gray</t>
  </si>
  <si>
    <t>recvgxFjjAFUvM</t>
  </si>
  <si>
    <t>the-north-face-grey-white-long-down-jacket-recvgxfjjafuvm</t>
  </si>
  <si>
    <t>{"choices":[{"content_filter_results":{"hate":{"filtered":false,"severity":"safe"},"protected_material_code":{"filtered":false,"detected":false},"protected_material_text":{"filtered":false,"detected":false},"self_harm":{"filtered":false,"severity":"safe"},"sexual":{"filtered":false,"severity":"safe"},"violence":{"filtered":false,"severity":"safe"}},"finish_reason":"stop","index":0,"logprobs":null,"message":{"annotations":[],"content":"The North Face 灰白色长款羽绒外套，含帽防风设计，高密度尼龙面料保暖抗寒，简约都市风格，男女皆宜冬季出行必备。","refusal":null,"role":"assistant"}}],"created":1776044442,"id":"chatcmpl-DU0a2my8UDqOgX37XJy2mY6EOcKAP","model":"gpt-5-chat-2025-10-03","object":"chat.completion","prompt_filter_results":[{"prompt_index":0,"content_filter_results":{"hate":{"filtered":false,"severity":"safe"},"jailbreak":{"filtered":false,"detected":false},"self_harm":{"filtered":false,"severity":"safe"},"sexual":{"filtered":false,"severity":"safe"},"violence":{"filtered":false,"severity":"safe"}}}],"service_tier":"default","system_fingerprint":"fp_ad66631dec","usage":{"completion_tokens":50,"completion_tokens_details":{"accepted_prediction_tokens":0,"audio_tokens":0,"reasoning_tokens":0,"rejected_prediction_tokens":0},"prompt_tokens":1306,"prompt_tokens_details":{"audio_tokens":0,"cached_tokens":1280},"total_tokens":1356}}</t>
  </si>
  <si>
    <t>The North Face 灰白色长款羽绒外套，含帽防风设计，高密度尼龙面料保暖抗寒，简约都市风格，男女皆宜冬季出行必备。</t>
  </si>
  <si>
    <t>159</t>
  </si>
  <si>
    <t>{"choices":[{"content_filter_results":{"hate":{"filtered":false,"severity":"safe"},"protected_material_code":{"filtered":false,"detected":false},"protected_material_text":{"filtered":false,"detected":false},"self_harm":{"filtered":false,"severity":"safe"},"sexual":{"filtered":false,"severity":"safe"},"violence":{"filtered":false,"severity":"safe"}},"finish_reason":"stop","index":0,"logprobs":null,"message":{"annotations":[],"content":"Ralph Lauren Black Cotton Zip Hoodie Unisex Jacket","refusal":null,"role":"assistant"}}],"created":1776061173,"id":"chatcmpl-DU4vtVAXExSJD9uYBEkYRp6d2Ydfe","model":"gpt-5-chat-2025-10-03","object":"chat.completion","prompt_filter_results":[{"prompt_index":1,"content_filter_result":{"sexual":{"filtered":false,"severity":"safe"},"violence":{"filtered":false,"severity":"safe"},"hate":{"filtered":false,"severity":"safe"},"self_harm":{"filtered":false,"severity":"safe"}}},{"prompt_index":0,"content_filter_result":{}}],"system_fingerprint":"fp_ad66631dec","usage":{"completion_tokens":11,"completion_tokens_details":{"accepted_prediction_tokens":0,"audio_tokens":0,"reasoning_tokens":0,"rejected_prediction_tokens":0},"prompt_tokens":881,"prompt_tokens_details":{"audio_tokens":0,"cached_tokens":0},"total_tokens":892}}</t>
  </si>
  <si>
    <t>Ralph Lauren Black Cotton Zip Hoodie Unisex Jacket</t>
  </si>
  <si>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Ralph Lauren Classic Black Full-Zip Hoodie, crafted from soft cotton with red pony embroidery. Features kangaroo pockets, unisex relaxed fit, blending preppy style and modern urban comfort.","refusal":null,"role":"assistant"}}],"created":1776044906,"id":"chatcmpl-DU0hWiMPesu1eqeOxIuhLxR7qPSWn","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ad66631dec","usage":{"completion_tokens":39,"completion_tokens_details":{"accepted_prediction_tokens":0,"audio_tokens":0,"reasoning_tokens":0,"rejected_prediction_tokens":0},"prompt_tokens":933,"prompt_tokens_details":{"audio_tokens":0,"cached_tokens":0},"total_tokens":972}}</t>
  </si>
  <si>
    <t>{"alt-svc":"h3=\":443\"; ma=2592000","apim-request-id":"8db1a046-bd8c-4720-8c71-3f0685eaf2a3","azureml-model-session":"d20260402084046-4209e968","connection":"close","content-length":"1426","content-type":"application/json","date":"Mon, 13 Apr 2026 01:48:28 GMT","skip-error-remapping":"true","strict-transport-security":"max-age=31536000; includeSubDomains; preload","via":"1.1 Caddy","x-accel-buffering":"no","x-content-type-options":"nosniff","x-ms-client-request-id":"Not-Set","x-ms-is-spilled-over":"false","x-ms-rai-invoked":"true","x-ms-region":"Japan East","x-new-api-version":"0.4.25-alpha.4","x-oneapi-request-id":"20260413014825511695917XlXHz0gJ","x-ratelimit-abusepenalty-active":"False","x-ratelimit-limit-requests":"1000","x-ratelimit-limit-tokens":"1000000","x-ratelimit-remaining-requests":"999","x-ratelimit-remaining-tokens":"998821","x-ratelimit-renewalperiod-requests":"60","x-ratelimit-renewalperiod-tokens":"60","x-ratelimit-reset-requests":"60","x-ratelimit-reset-tokens":"70","x-request-id":"a4c3e4ec-7808-44fe-8e53-25cb9f72f7fc","x-shellapi-request-id":"2026041309482547565419120915332"}</t>
  </si>
  <si>
    <t>Ralph Lauren Classic Black Full-Zip Hoodie, crafted from soft cotton with red pony embroidery. Features kangaroo pockets, unisex relaxed fit, blending preppy style and modern urban comfort.</t>
  </si>
  <si>
    <t>{"choices":[{"content_filter_results":{"hate":{"filtered":false,"severity":"safe"},"protected_material_code":{"filtered":false,"detected":false},"protected_material_text":{"filtered":false,"detected":false},"self_harm":{"filtered":false,"severity":"safe"},"sexual":{"filtered":false,"severity":"safe"},"violence":{"filtered":false,"severity":"safe"}},"finish_reason":"stop","index":0,"logprobs":null,"message":{"annotations":[],"content":"Ralph Lauren, Jackets, kakobuy, kakebuy2026, kekobuysheet, kakobuysheet2026, 2026kakobuy, kakobuyspreadsheeet, kakobuylink, kakebuylist, Kakobuy MEGA Spreadsheet, kakobuysheetfind, kakobuysheetfind2026, 2026kakobuysheetfind, kakobuysheet2026","refusal":null,"role":"assistant"}}],"created":1776061491,"id":"chatcmpl-DU511K0zUPVarvZDYbCWorQka3gas","model":"gpt-5-chat-2025-10-03","object":"chat.completion","prompt_filter_results":[{"prompt_index":0,"content_filter_results":{"hate":{"filtered":false,"severity":"safe"},"jailbreak":{"filtered":false,"detected":false},"self_harm":{"filtered":false,"severity":"safe"},"sexual":{"filtered":false,"severity":"safe"},"violence":{"filtered":false,"severity":"safe"}}}],"system_fingerprint":"fp_ad66631dec","usage":{"completion_tokens":92,"completion_tokens_details":{"accepted_prediction_tokens":0,"audio_tokens":0,"reasoning_tokens":0,"rejected_prediction_tokens":0},"prompt_tokens":784,"prompt_tokens_details":{"audio_tokens":0,"cached_tokens":0},"total_tokens":876}}</t>
  </si>
  <si>
    <t>Black, Preppy, Unisex</t>
  </si>
  <si>
    <t>recvgxFjjA0YZK</t>
  </si>
  <si>
    <t>ralph-lauren-black-cotton-zip-hoodie-recvgxfjja0yzk</t>
  </si>
  <si>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Ralph Lauren：经典黑色全拉链连帽卫衣，精选柔软纯棉面料，胸前红色马标刺绣彰显品牌优雅传承。双袋袋鼠口设计兼具实用与休闲感，宽松剪裁适合男女皆宜。融合美式学院风格与现代都市气息，展现经典与舒适并存的时尚魅力。","refusal":null,"role":"assistant"}}],"created":1776044432,"id":"chatcmpl-DU0ZsrVrNczAiKMgDqRdfgINqV14e","model":"gpt-5-chat-2025-10-03","object":"chat.completion","prompt_filter_results":[{"prompt_index":0,"content_filter_results":{"hate":{"filtered":false,"severity":"safe"},"jailbreak":{"detected":false,"filtered":false},"self_harm":{"filtered":false,"severity":"safe"},"sexual":{"filtered":false,"severity":"safe"},"violence":{"filtered":false,"severity":"safe"}}}],"system_fingerprint":"fp_ad66631dec","usage":{"completion_tokens":94,"completion_tokens_details":{"accepted_prediction_tokens":0,"audio_tokens":0,"reasoning_tokens":0,"rejected_prediction_tokens":0},"prompt_tokens":1312,"prompt_tokens_details":{"audio_tokens":0,"cached_tokens":1280},"total_tokens":1406}}</t>
  </si>
  <si>
    <t>Ralph Lauren：经典黑色全拉链连帽卫衣，精选柔软纯棉面料，胸前红色马标刺绣彰显品牌优雅传承。双袋袋鼠口设计兼具实用与休闲感，宽松剪裁适合男女皆宜。融合美式学院风格与现代都市气息，展现经典与舒适并存的时尚魅力。</t>
  </si>
  <si>
    <t>94</t>
  </si>
  <si>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Essentials Beige Hoodie Unisex Pullover Streetwear Sweatshirt","refusal":null,"role":"assistant"}}],"created":1776061220,"id":"chatcmpl-DU4weF8CunielPWKbhhN9p4SpWT7k","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ad66631dec","usage":{"completion_tokens":13,"completion_tokens_details":{"accepted_prediction_tokens":0,"audio_tokens":0,"reasoning_tokens":0,"rejected_prediction_tokens":0},"prompt_tokens":879,"prompt_tokens_details":{"audio_tokens":0,"cached_tokens":0},"total_tokens":892}}</t>
  </si>
  <si>
    <t>Essentials Beige Hoodie Unisex Pullover Streetwear Sweatshirt</t>
  </si>
  <si>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Essentials Beige Hoodie made from premium cotton blend, soft and breathable. Features bold black logo, kangaroo pocket, and relaxed fit. Unisex streetwear style for casual urban fashion.","refusal":null,"role":"assistant"}}],"created":1776044956,"id":"chatcmpl-DU0iK2pK8OngFiZpkz2L6JyRCDCzr","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ad66631dec","usage":{"completion_tokens":38,"completion_tokens_details":{"accepted_prediction_tokens":0,"audio_tokens":0,"reasoning_tokens":0,"rejected_prediction_tokens":0},"prompt_tokens":934,"prompt_tokens_details":{"audio_tokens":0,"cached_tokens":0},"total_tokens":972}}</t>
  </si>
  <si>
    <t>{"alt-svc":"h3=\":443\"; ma=2592000","apim-request-id":"f374fe99-31b9-4a9b-a32a-4edd89561dcf","azureml-model-session":"d20260405225800-40f19e54","connection":"close","content-length":"1423","content-type":"application/json","date":"Mon, 13 Apr 2026 01:49:17 GMT","skip-error-remapping":"true","strict-transport-security":"max-age=31536000; includeSubDomains; preload","via":"1.1 Caddy","x-accel-buffering":"no","x-content-type-options":"nosniff","x-ms-client-request-id":"Not-Set","x-ms-is-spilled-over":"false","x-ms-rai-invoked":"true","x-ms-region":"UK South","x-new-api-version":"0.4.25-alpha.4","x-oneapi-request-id":"20260413014915803155503Xfo9u8CW","x-ratelimit-abusepenalty-active":"False","x-ratelimit-limit-requests":"1000","x-ratelimit-limit-tokens":"1000000","x-ratelimit-remaining-requests":"999","x-ratelimit-remaining-tokens":"998823","x-ratelimit-renewalperiod-requests":"60","x-ratelimit-renewalperiod-tokens":"60","x-ratelimit-reset-requests":"60","x-ratelimit-reset-tokens":"70","x-request-id":"26cf6a3c-5ae2-4c83-a4f3-0768839521a8","x-shellapi-request-id":"2026041309491576673659898906896"}</t>
  </si>
  <si>
    <t>Essentials Beige Hoodie made from premium cotton blend, soft and breathable. Features bold black logo, kangaroo pocket, and relaxed fit. Unisex streetwear style for casual urban fashion.</t>
  </si>
  <si>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HoodesEssentials,hoodie,kakobuy,kakebuy2026,kekobuysheet,kakobuysheet2026,2026kakobuy,kakobuyspreadsheeet,kakobuylink,kakebuylist,Kakobuy MEGA Spreadsheet,kakobuysheetfind,kakobuysheetfind2026,2026kakobuysheetfind,kakobuysheet2026  \nHoodesEssentials,joggers,kakobuy,kakebuy2026,kekobuysheet,kakobuysheet2026,2026kakobuy,kakobuyspreadsheeet,kakobuylink,kakebuylist,Kakobuy MEGA Spreadsheet,kakobuysheetfind,kakobuysheetfind2026,2026kakobuysheetfind,kakobuysheet2026","refusal":null,"role":"assistant"}}],"created":1776061356,"id":"chatcmpl-DU4yqze1gtqSzL1PAbsdJ34FwEfKI","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ad66631dec","usage":{"completion_tokens":182,"completion_tokens_details":{"accepted_prediction_tokens":0,"audio_tokens":0,"reasoning_tokens":0,"rejected_prediction_tokens":0},"prompt_tokens":784,"prompt_tokens_details":{"audio_tokens":0,"cached_tokens":0},"total_tokens":966}}</t>
  </si>
  <si>
    <t>HoodesEssentials,hoodie,kakobuy,kakebuy2026,kekobuysheet,kakobuysheet2026,2026kakobuy,kakobuyspreadsheeet,kakobuylink,kakebuylist,Kakobuy MEGA Spreadsheet,kakobuysheetfind,kakobuysheetfind2026,2026kakobuysheetfind,kakobuysheet2026  
HoodesEssentials,joggers,kakobuy,kakebuy2026,kekobuysheet,kakobuysheet2026,2026kakobuy,kakobuyspreadsheeet,kakobuylink,kakebuylist,Kakobuy MEGA Spreadsheet,kakobuysheetfind,kakobuysheetfind2026,2026kakobuysheetfind,kakobuysheet2026</t>
  </si>
  <si>
    <t>Beige, Unisex, Streetwear, Breathable</t>
  </si>
  <si>
    <t>recvgxFjjAAFDE</t>
  </si>
  <si>
    <t>essentials-beige-hoodie-unisex-recvgxfjj aafde</t>
  </si>
  <si>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Essentials：米色连帽卫衣，采用高密度纯棉混纺面料，触感柔软透气。正面黑色品牌标识简约醒目，宽松版型搭配实用袋鼠兜设计，展现极简街头风格。男女通穿，休闲与时尚兼备，适合都市潮流日常穿搭，彰显简约高级质感。","refusal":null,"role":"assistant"}}],"created":1776044246,"id":"chatcmpl-DU0WsduLQXFVgdt0lRzNKuOZ95Zsf","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ad66631dec","usage":{"completion_tokens":96,"completion_tokens_details":{"accepted_prediction_tokens":0,"audio_tokens":0,"reasoning_tokens":0,"rejected_prediction_tokens":0},"prompt_tokens":1307,"prompt_tokens_details":{"audio_tokens":0,"cached_tokens":0},"total_tokens":1403}}</t>
  </si>
  <si>
    <t>Essentials：米色连帽卫衣，采用高密度纯棉混纺面料，触感柔软透气。正面黑色品牌标识简约醒目，宽松版型搭配实用袋鼠兜设计，展现极简街头风格。男女通穿，休闲与时尚兼备，适合都市潮流日常穿搭，彰显简约高级质感。</t>
  </si>
  <si>
    <t xml:space="preserve"> Louis Vuitton</t>
  </si>
  <si>
    <t>528</t>
  </si>
  <si>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Louis Vuitton Monogram Black Hooded Down Jacket","refusal":null,"role":"assistant"}}],"created":1776061216,"id":"chatcmpl-DU4waF6Gw4TreptPS64ScEIew4ulc","model":"gpt-5-chat-2025-10-03","object":"chat.completion","prompt_filter_results":[{"prompt_index":1,"content_filter_result":{"sexual":{"filtered":false,"severity":"safe"},"violence":{"filtered":false,"severity":"safe"},"hate":{"filtered":false,"severity":"safe"},"self_harm":{"filtered":false,"severity":"safe"}}},{"prompt_index":0,"content_filter_result":{}}],"system_fingerprint":"fp_ad66631dec","usage":{"completion_tokens":10,"completion_tokens_details":{"accepted_prediction_tokens":0,"audio_tokens":0,"reasoning_tokens":0,"rejected_prediction_tokens":0},"prompt_tokens":874,"prompt_tokens_details":{"audio_tokens":0,"cached_tokens":0},"total_tokens":884}}</t>
  </si>
  <si>
    <t>Louis Vuitton Monogram Black Hooded Down Jacket</t>
  </si>
  <si>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Louis Vuitton Monogram Black Down Jacket, lightweight windproof nylon, subtle LV pattern, hooded stand collar, warm and stylish, unisex design for luxury winter urban fashion.","refusal":null,"role":"assistant"}}],"created":1776044930,"id":"chatcmpl-DU0hu5Z9iGcvyjjJhMc0VMEsO9LPg","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ad66631dec","usage":{"completion_tokens":36,"completion_tokens_details":{"accepted_prediction_tokens":0,"audio_tokens":0,"reasoning_tokens":0,"rejected_prediction_tokens":0},"prompt_tokens":907,"prompt_tokens_details":{"audio_tokens":0,"cached_tokens":0},"total_tokens":943}}</t>
  </si>
  <si>
    <t>{"alt-svc":"h3=\":443\"; ma=2592000","apim-request-id":"b927f41e-12b3-4edd-9c20-37067a6aa062","azureml-model-session":"d20260402083108-57a85543","connection":"close","content-length":"1412","content-type":"application/json","date":"Mon, 13 Apr 2026 01:48:52 GMT","skip-error-remapping":"true","strict-transport-security":"max-age=31536000; includeSubDomains; preload","via":"1.1 Caddy","x-accel-buffering":"no","x-content-type-options":"nosniff","x-ms-client-request-id":"Not-Set","x-ms-is-spilled-over":"false","x-ms-rai-invoked":"true","x-ms-region":"UK South","x-new-api-version":"0.4.25-alpha.4","x-oneapi-request-id":"20260413014849533230915ExQ8HK6j","x-ratelimit-abusepenalty-active":"False","x-ratelimit-limit-requests":"1000","x-ratelimit-limit-tokens":"1000000","x-ratelimit-remaining-requests":"999","x-ratelimit-remaining-tokens":"998826","x-ratelimit-renewalperiod-requests":"60","x-ratelimit-renewalperiod-tokens":"60","x-ratelimit-reset-requests":"60","x-ratelimit-reset-tokens":"70","x-request-id":"c00cf03d-0804-4a28-9015-c2097ae7f27d","x-shellapi-request-id":"2026041309484947836201976108505"}</t>
  </si>
  <si>
    <t>Louis Vuitton Monogram Black Down Jacket, lightweight windproof nylon, subtle LV pattern, hooded stand collar, warm and stylish, unisex design for luxury winter urban fashion.</t>
  </si>
  <si>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Louis Vuitton, Jackets, kakobuy, kakebuy2026, kekobuysheet, kakobuysheet2026, 2026kakobuy, kakobuyspreadsheeet, kakobuylink, kakebuylist, Kakobuy MEGA Spreadsheet, kakobuysheetfind, kakobuysheetfind2026, 2026kakobuysheetfind, kakobuysheet2026","refusal":null,"role":"assistant"}}],"created":1776061446,"id":"chatcmpl-DU50IZJm59IkKSOoylfev6DhZkWoj","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ad66631dec","usage":{"completion_tokens":91,"completion_tokens_details":{"accepted_prediction_tokens":0,"audio_tokens":0,"reasoning_tokens":0,"rejected_prediction_tokens":0},"prompt_tokens":783,"prompt_tokens_details":{"audio_tokens":0,"cached_tokens":0},"total_tokens":874}}</t>
  </si>
  <si>
    <t>Louis Vuitton, Jackets, kakobuy, kakebuy2026, kekobuysheet, kakobuysheet2026, 2026kakobuy, kakobuyspreadsheeet, kakobuylink, kakebuylist, Kakobuy MEGA Spreadsheet, kakobuysheetfind, kakobuysheetfind2026, 2026kakobuysheetfind, kakobuysheet2026</t>
  </si>
  <si>
    <t>LV, Nylon, Windproof, Lightweight, Winter, Unisex</t>
  </si>
  <si>
    <t>recvgxFjjA5U08</t>
  </si>
  <si>
    <t>louis-vuitton-monogram-black-hooded-down-jacket-recvgxfjja5u08</t>
  </si>
  <si>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Louis Vuitton：Monogram黑色羽绒夹克，轻盈防风尼龙面料，经典LV老花低调浮现，立领连帽设计保暖实用，简约剪裁彰显都市奢华格调，男女皆宜的冬季时尚外套之选。","refusal":null,"role":"assistant"}}],"created":1776044412,"id":"chatcmpl-DU0ZYQV1ijB0dYyKbcUPK1UosAhXk","model":"gpt-5-chat-2025-10-03","object":"chat.completion","prompt_filter_results":[{"prompt_index":0,"content_filter_results":{"hate":{"filtered":false,"severity":"safe"},"jailbreak":{"detected":false,"filtered":false},"self_harm":{"filtered":false,"severity":"safe"},"sexual":{"filtered":false,"severity":"safe"},"violence":{"filtered":false,"severity":"safe"}}}],"system_fingerprint":"fp_ad66631dec","usage":{"completion_tokens":68,"completion_tokens_details":{"accepted_prediction_tokens":0,"audio_tokens":0,"reasoning_tokens":0,"rejected_prediction_tokens":0},"prompt_tokens":1310,"prompt_tokens_details":{"audio_tokens":0,"cached_tokens":1280},"total_tokens":1378}}</t>
  </si>
  <si>
    <t>Louis Vuitton：Monogram黑色羽绒夹克，轻盈防风尼龙面料，经典LV老花低调浮现，立领连帽设计保暖实用，简约剪裁彰显都市奢华格调，男女皆宜的冬季时尚外套之选。</t>
  </si>
  <si>
    <t>{"choices":[{"content_filter_results":{"hate":{"filtered":false,"severity":"safe"},"protected_material_code":{"filtered":false,"detected":false},"protected_material_text":{"filtered":false,"detected":false},"self_harm":{"filtered":false,"severity":"safe"},"sexual":{"filtered":false,"severity":"safe"},"violence":{"filtered":false,"severity":"safe"}},"finish_reason":"stop","index":0,"logprobs":null,"message":{"annotations":[],"content":"Gallery Dept Grey Black Paint Splatter Sweatpants","refusal":null,"role":"assistant"}}],"created":1776061240,"id":"chatcmpl-DU4wytqH5YZ8bZXiaJxQdbRWNLusu","model":"gpt-5-chat-2025-10-03","object":"chat.completion","prompt_filter_results":[{"prompt_index":0,"content_filter_results":{"hate":{"filtered":false,"severity":"safe"},"jailbreak":{"filtered":false,"detected":false},"self_harm":{"filtered":false,"severity":"safe"},"sexual":{"filtered":false,"severity":"safe"},"violence":{"filtered":false,"severity":"safe"}}}],"system_fingerprint":"fp_ad66631dec","usage":{"completion_tokens":10,"completion_tokens_details":{"accepted_prediction_tokens":0,"audio_tokens":0,"reasoning_tokens":0,"rejected_prediction_tokens":0},"prompt_tokens":878,"prompt_tokens_details":{"audio_tokens":0,"cached_tokens":0},"total_tokens":888}}</t>
  </si>
  <si>
    <t>Gallery Dept Grey Black Paint Splatter Sweatpants</t>
  </si>
  <si>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Gallery Dept Grey-Black Paint-Splatter Sweatpants, unisex loose-fit cotton design with handmade graffiti, elastic waist, vintage workwear meets modern street style for bold urban expression.","refusal":null,"role":"assistant"}}],"created":1776045021,"id":"chatcmpl-DU0jNFvQbEMkp2rv2v0KV1ila6d93","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ad66631dec","usage":{"completion_tokens":38,"completion_tokens_details":{"accepted_prediction_tokens":0,"audio_tokens":0,"reasoning_tokens":0,"rejected_prediction_tokens":0},"prompt_tokens":930,"prompt_tokens_details":{"audio_tokens":0,"cached_tokens":0},"total_tokens":968}}</t>
  </si>
  <si>
    <t>{"alt-svc":"h3=\":443\"; ma=2592000","apim-request-id":"db5f30f0-4f65-4554-b9ff-41d1e1da1743","azureml-model-session":"d20260405225800-40f19e54","connection":"close","content-length":"1427","content-type":"application/json","date":"Mon, 13 Apr 2026 01:50:23 GMT","skip-error-remapping":"true","strict-transport-security":"max-age=31536000; includeSubDomains; preload","via":"1.1 Caddy","x-accel-buffering":"no","x-content-type-options":"nosniff","x-ms-client-request-id":"Not-Set","x-ms-is-spilled-over":"false","x-ms-rai-invoked":"true","x-ms-region":"Australia East","x-new-api-version":"0.4.25-alpha.4","x-oneapi-request-id":"20260413015020714609355sCAM3AzI","x-ratelimit-abusepenalty-active":"False","x-ratelimit-limit-requests":"1000","x-ratelimit-limit-tokens":"1000000","x-ratelimit-remaining-requests":"999","x-ratelimit-remaining-tokens":"998823","x-ratelimit-renewalperiod-requests":"60","x-ratelimit-renewalperiod-tokens":"60","x-ratelimit-reset-requests":"60","x-ratelimit-reset-tokens":"70","x-request-id":"b8247c78-f14c-42a5-ae63-9ca11bcfbce9","x-shellapi-request-id":"2026041309502067794324544976765"}</t>
  </si>
  <si>
    <t>Gallery Dept Grey-Black Paint-Splatter Sweatpants, unisex loose-fit cotton design with handmade graffiti, elastic waist, vintage workwear meets modern street style for bold urban expression.</t>
  </si>
  <si>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Gallery Dept,Pants,kakobuy,kakebuy2026,kekobuysheet,kakobuysheet2026,2026kakobuy,kakobuyspreadsheeet,kakobuylink,kakebuylist,Kakobuy MEGA Spreadsheet,kakobuysheetfind,kakobuysheetfind2026,2026kakobuysheetfind,kakobuysheet2026","refusal":null,"role":"assistant"}}],"created":1776061489,"id":"chatcmpl-DU50zIpum4zQybuVplJ8T2fqdeT6J","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ad66631dec","usage":{"completion_tokens":87,"completion_tokens_details":{"accepted_prediction_tokens":0,"audio_tokens":0,"reasoning_tokens":0,"rejected_prediction_tokens":0},"prompt_tokens":783,"prompt_tokens_details":{"audio_tokens":0,"cached_tokens":0},"total_tokens":870}}</t>
  </si>
  <si>
    <t>Gallery Dept,Pants,kakobuy,kakebuy2026,kekobuysheet,kakobuysheet2026,2026kakobuy,kakobuyspreadsheeet,kakobuylink,kakebuylist,Kakobuy MEGA Spreadsheet,kakobuysheetfind,kakobuysheetfind2026,2026kakobuysheetfind,kakobuysheet2026</t>
  </si>
  <si>
    <t>Grey, Black, Unisex, Streetwear, Workwear, Vintage</t>
  </si>
  <si>
    <t>recvgxFjjABbZE</t>
  </si>
  <si>
    <t>gallery-dept-grey-black-paint-splatter-sweatpants-recvgxfjjabbze</t>
  </si>
  <si>
    <t>{"choices":[{"content_filter_results":{"hate":{"filtered":false,"severity":"safe"},"protected_material_code":{"filtered":false,"detected":false},"protected_material_text":{"filtered":false,"detected":false},"self_harm":{"filtered":false,"severity":"safe"},"sexual":{"filtered":false,"severity":"safe"},"violence":{"filtered":false,"severity":"safe"}},"finish_reason":"stop","index":0,"logprobs":null,"message":{"annotations":[],"content":"Gallery Dept：灰黑拼色泼墨运动长裤，选用舒适棉质面料，手工涂鸦油漆设计展现街头艺术感。宽松直筒剪裁搭配松紧腰设计，男女皆宜。融合复古工装与现代城市潮流风格，彰显品牌解构美学，休闲穿搭凸显个性与态度。","refusal":null,"role":"assistant"}}],"created":1776044267,"id":"chatcmpl-DU0XDrRON41O92NWaXb3sNWYMKJQS","model":"gpt-5-chat-2025-10-03","object":"chat.completion","prompt_filter_results":[{"prompt_index":0,"content_filter_results":{"hate":{"filtered":false,"severity":"safe"},"jailbreak":{"filtered":false,"detected":false},"self_harm":{"filtered":false,"severity":"safe"},"sexual":{"filtered":false,"severity":"safe"},"violence":{"filtered":false,"severity":"safe"}}}],"system_fingerprint":"fp_ad66631dec","usage":{"completion_tokens":93,"completion_tokens_details":{"accepted_prediction_tokens":0,"audio_tokens":0,"reasoning_tokens":0,"rejected_prediction_tokens":0},"prompt_tokens":1306,"prompt_tokens_details":{"audio_tokens":0,"cached_tokens":0},"total_tokens":1399}}</t>
  </si>
  <si>
    <t>Gallery Dept：灰黑拼色泼墨运动长裤，选用舒适棉质面料，手工涂鸦油漆设计展现街头艺术感。宽松直筒剪裁搭配松紧腰设计，男女皆宜。融合复古工装与现代城市潮流风格，彰显品牌解构美学，休闲穿搭凸显个性与态度。</t>
  </si>
  <si>
    <t>Casablanca</t>
  </si>
  <si>
    <t>96</t>
  </si>
  <si>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Casablanca Tennis Club Black Cotton Retro T-Shirt","refusal":null,"role":"assistant"}}],"created":1776061243,"id":"chatcmpl-DU4x115INqBRRZ1iXJozxHfDdBqrM","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ad66631dec","usage":{"completion_tokens":10,"completion_tokens_details":{"accepted_prediction_tokens":0,"audio_tokens":0,"reasoning_tokens":0,"rejected_prediction_tokens":0},"prompt_tokens":874,"prompt_tokens_details":{"audio_tokens":0,"cached_tokens":0},"total_tokens":884}}</t>
  </si>
  <si>
    <t>Casablanca Tennis Club Black Cotton Retro T-Shirt</t>
  </si>
  <si>
    <t>{"choices":[{"content_filter_results":{"hate":{"filtered":false,"severity":"safe"},"protected_material_code":{"filtered":false,"detected":false},"protected_material_text":{"filtered":false,"detected":false},"self_harm":{"filtered":false,"severity":"safe"},"sexual":{"filtered":false,"severity":"safe"},"violence":{"filtered":false,"severity":"safe"}},"finish_reason":"stop","index":0,"logprobs":null,"message":{"annotations":[],"content":"Casablanca Tennis Club Black T-Shirt—crafted from soft cotton with geometric gold and green court print, blending sporty elegance and retro Parisian style for timeless unisex resort fashion.","refusal":null,"role":"assistant"}}],"created":1776045012,"id":"chatcmpl-DU0jEMg1W3yUlDAfsbcAoJWqTKVle","model":"gpt-5-chat-2025-10-03","object":"chat.completion","prompt_filter_results":[{"prompt_index":0,"content_filter_results":{"hate":{"filtered":false,"severity":"safe"},"jailbreak":{"filtered":false,"detected":false},"self_harm":{"filtered":false,"severity":"safe"},"sexual":{"filtered":false,"severity":"safe"},"violence":{"filtered":false,"severity":"safe"}}}],"system_fingerprint":"fp_ad66631dec","usage":{"completion_tokens":36,"completion_tokens_details":{"accepted_prediction_tokens":0,"audio_tokens":0,"reasoning_tokens":0,"rejected_prediction_tokens":0},"prompt_tokens":918,"prompt_tokens_details":{"audio_tokens":0,"cached_tokens":0},"total_tokens":954}}</t>
  </si>
  <si>
    <t>{"alt-svc":"h3=\":443\"; ma=2592000","apim-request-id":"60ee301c-064c-49e8-aa74-93810bb1ac84","azureml-model-session":"d20260405212659-a9daa006","connection":"close","content-length":"1404","content-type":"application/json","date":"Mon, 13 Apr 2026 01:50:12 GMT","skip-error-remapping":"true","strict-transport-security":"max-age=31536000; includeSubDomains; preload","via":"1.1 Caddy","x-accel-buffering":"no","x-content-type-options":"nosniff","x-ms-client-request-id":"Not-Set","x-ms-is-spilled-over":"false","x-ms-rai-invoked":"true","x-ms-region":"East US","x-new-api-version":"0.4.25-alpha.4","x-oneapi-request-id":"20260413015011133498762OvHPb9pw","x-ratelimit-abusepenalty-active":"False","x-ratelimit-limit-requests":"1000","x-ratelimit-limit-tokens":"1000000","x-ratelimit-remaining-requests":"999","x-ratelimit-remaining-tokens":"998823","x-ratelimit-renewalperiod-requests":"60","x-ratelimit-renewalperiod-tokens":"60","x-ratelimit-reset-requests":"60","x-ratelimit-reset-tokens":"70","x-request-id":"ca4d5cfb-baab-4e43-9cd5-8944f51ceef2","x-shellapi-request-id":"202604130950117327876189421206"}</t>
  </si>
  <si>
    <t>Casablanca Tennis Club Black T-Shirt—crafted from soft cotton with geometric gold and green court print, blending sporty elegance and retro Parisian style for timeless unisex resort fashion.</t>
  </si>
  <si>
    <t>{"choices":[{"content_filter_results":{"hate":{"filtered":false,"severity":"safe"},"protected_material_code":{"filtered":false,"detected":false},"protected_material_text":{"filtered":false,"detected":false},"self_harm":{"filtered":false,"severity":"safe"},"sexual":{"filtered":false,"severity":"safe"},"violence":{"filtered":false,"severity":"safe"}},"finish_reason":"stop","index":0,"logprobs":null,"message":{"annotations":[],"content":"Casablanca,T-Shirts,kakobuy,kakebuy2026,kekobuysheet,kakobuysheet2026,2026kakobuy,kakobuyspreadsheeet,kakobuylink,kakebuylist,Kakobuy MEGA Spreadsheet,kakobuysheetfind,kakobuysheetfind2026,2026kakobuysheetfind,kakobuysheet2026","refusal":null,"role":"assistant"}}],"created":1776061348,"id":"chatcmpl-DU4yiTCZdkkaGpMP9AZkJ2q9zPYJf","model":"gpt-5-chat-2025-10-03","object":"chat.completion","prompt_filter_results":[{"prompt_index":0,"content_filter_results":{"hate":{"filtered":false,"severity":"safe"},"jailbreak":{"filtered":false,"detected":false},"self_harm":{"filtered":false,"severity":"safe"},"sexual":{"filtered":false,"severity":"safe"},"violence":{"filtered":false,"severity":"safe"}}}],"system_fingerprint":"fp_ad66631dec","usage":{"completion_tokens":87,"completion_tokens_details":{"accepted_prediction_tokens":0,"audio_tokens":0,"reasoning_tokens":0,"rejected_prediction_tokens":0},"prompt_tokens":783,"prompt_tokens_details":{"audio_tokens":0,"cached_tokens":0},"total_tokens":870}}</t>
  </si>
  <si>
    <t>Casablanca,T-Shirts,kakobuy,kakebuy2026,kekobuysheet,kakobuysheet2026,2026kakobuy,kakobuyspreadsheeet,kakobuylink,kakebuylist,Kakobuy MEGA Spreadsheet,kakobuysheetfind,kakobuysheetfind2026,2026kakobuysheetfind,kakobuysheet2026</t>
  </si>
  <si>
    <t>Black, Gold, Green, Geometric, Sporty, Retro</t>
  </si>
  <si>
    <t>recvgxFjjAqI1x</t>
  </si>
  <si>
    <t>casablanca-tennis-club-black-cotton-retro-tshirt-recvgxfjjaqi1x</t>
  </si>
  <si>
    <t>{"choices":[{"content_filter_results":{"hate":{"filtered":false,"severity":"safe"},"protected_material_code":{"filtered":false,"detected":false},"protected_material_text":{"filtered":false,"detected":false},"self_harm":{"filtered":false,"severity":"safe"},"sexual":{"filtered":false,"severity":"safe"},"violence":{"filtered":false,"severity":"safe"}},"finish_reason":"stop","index":0,"logprobs":null,"message":{"annotations":[],"content":"Casablanca：黑色Tennis Club系列短袖T恤，柔软纯棉面料呈现舒适触感，胸前几何网球场印花融合绿色与金色线条，彰显运动美学与复古巴黎风格，适合男女休闲穿搭，散发1980年代高端度假气息。","refusal":null,"role":"assistant"}}],"created":1776044437,"id":"chatcmpl-DU0ZxAr0pFhEDPsp3Bs3XV17xEZuU","model":"gpt-5-chat-2025-10-03","object":"chat.completion","prompt_filter_results":[{"prompt_index":0,"content_filter_results":{"hate":{"filtered":false,"severity":"safe"},"jailbreak":{"filtered":false,"detected":false},"self_harm":{"filtered":false,"severity":"safe"},"sexual":{"filtered":false,"severity":"safe"},"violence":{"filtered":false,"severity":"safe"}}}],"system_fingerprint":"fp_ad66631dec","usage":{"completion_tokens":79,"completion_tokens_details":{"accepted_prediction_tokens":0,"audio_tokens":0,"reasoning_tokens":0,"rejected_prediction_tokens":0},"prompt_tokens":1310,"prompt_tokens_details":{"audio_tokens":0,"cached_tokens":0},"total_tokens":1389}}</t>
  </si>
  <si>
    <t>Casablanca：黑色Tennis Club系列短袖T恤，柔软纯棉面料呈现舒适触感，胸前几何网球场印花融合绿色与金色线条，彰显运动美学与复古巴黎风格，适合男女休闲穿搭，散发1980年代高端度假气息。</t>
  </si>
  <si>
    <t>960</t>
  </si>
  <si>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Canada Goose Black Fur Hood Down Parka Jacket","refusal":null,"role":"assistant"}}],"created":1776061198,"id":"chatcmpl-DU4wIpZX4ojvmy2MuFTlkBoltCRVS","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ad66631dec","usage":{"completion_tokens":10,"completion_tokens_details":{"accepted_prediction_tokens":0,"audio_tokens":0,"reasoning_tokens":0,"rejected_prediction_tokens":0},"prompt_tokens":884,"prompt_tokens_details":{"audio_tokens":0,"cached_tokens":0},"total_tokens":894}}</t>
  </si>
  <si>
    <t>Canada Goose Black Fur Hood Down Parka Jacket</t>
  </si>
  <si>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Canada Goose Black Down Jacket – luxurious high-loft goose down parka with genuine fur-trimmed hood, windproof and warm, perfect for urban adventures and polar exploration in timeless unisex style.","refusal":null,"role":"assistant"}}],"created":1776044965,"id":"chatcmpl-DU0iTZlBaKiUnzeRgvP9vPdvpwemf","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ad66631dec","usage":{"completion_tokens":41,"completion_tokens_details":{"accepted_prediction_tokens":0,"audio_tokens":0,"reasoning_tokens":0,"rejected_prediction_tokens":0},"prompt_tokens":900,"prompt_tokens_details":{"audio_tokens":0,"cached_tokens":0},"total_tokens":941}}</t>
  </si>
  <si>
    <t>{"alt-svc":"h3=\":443\"; ma=2592000","apim-request-id":"20f4d54b-d0fc-4a54-823a-9349eb7cc7b5","azureml-model-session":"d20260402075109-1fc5a0ec","connection":"close","content-length":"1436","content-type":"application/json","date":"Mon, 13 Apr 2026 01:49:26 GMT","skip-error-remapping":"true","strict-transport-security":"max-age=31536000; includeSubDomains; preload","via":"1.1 Caddy","x-accel-buffering":"no","x-content-type-options":"nosniff","x-ms-client-request-id":"Not-Set","x-ms-is-spilled-over":"false","x-ms-rai-invoked":"true","x-ms-region":"UK South","x-new-api-version":"0.4.25-alpha.4","x-oneapi-request-id":"20260413014924348979040tuGNSsAy","x-ratelimit-abusepenalty-active":"False","x-ratelimit-limit-requests":"1000","x-ratelimit-limit-tokens":"1000000","x-ratelimit-remaining-requests":"999","x-ratelimit-remaining-tokens":"998831","x-ratelimit-renewalperiod-requests":"60","x-ratelimit-renewalperiod-tokens":"60","x-ratelimit-reset-requests":"60","x-ratelimit-reset-tokens":"70","x-request-id":"594ce6c9-254e-4b53-98d7-2d12012ed0ba","x-shellapi-request-id":"2026041309492431172464595563508"}</t>
  </si>
  <si>
    <t>Canada Goose Black Down Jacket – luxurious high-loft goose down parka with genuine fur-trimmed hood, windproof and warm, perfect for urban adventures and polar exploration in timeless unisex style.</t>
  </si>
  <si>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Canada Goose, Jacket, kakobuy, kakebuy2026, kekobuysheet, kakobuysheet2026, 2026kakobuy, kakobuyspreadsheeet, kakobuylink, kakebuylist, Kakobuy MEGA Spreadsheet, kakobuysheetfind, kakobuysheetfind2026, 2026kakobuysheetfind, kakobuysheet2026","refusal":null,"role":"assistant"}}],"created":1776061354,"id":"chatcmpl-DU4yo1s6JgKF1rp3xRBlfybx5OfA7","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ad66631dec","usage":{"completion_tokens":91,"completion_tokens_details":{"accepted_prediction_tokens":0,"audio_tokens":0,"reasoning_tokens":0,"rejected_prediction_tokens":0},"prompt_tokens":783,"prompt_tokens_details":{"audio_tokens":0,"cached_tokens":0},"total_tokens":874}}</t>
  </si>
  <si>
    <t>Canada Goose, Jacket, kakobuy, kakebuy2026, kekobuysheet, kakobuysheet2026, 2026kakobuy, kakobuyspreadsheeet, kakobuylink, kakebuylist, Kakobuy MEGA Spreadsheet, kakobuysheetfind, kakobuysheetfind2026, 2026kakobuysheetfind, kakobuysheet2026</t>
  </si>
  <si>
    <t>Unisex, Windproof, Winter, Genuine Leather, Fur</t>
  </si>
  <si>
    <t>recvgxFjjA1iLs</t>
  </si>
  <si>
    <t>canada-goose-black-fur-hood-down-parka-jacket-recvgxfjja1ils</t>
  </si>
  <si>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Canada Goose：黑色奢华羽绒夹克，高蓬松鹅绒填充，搭配真毛领连帽设计，防风保暖兼具都市户外风格，男女皆宜的经典冬季外套，彰显极地探险精神与时尚品味。","refusal":null,"role":"assistant"}}],"created":1776044327,"id":"chatcmpl-DU0YBWXm49zxTMjfYXzvJIPX8N6zO","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ad66631dec","usage":{"completion_tokens":69,"completion_tokens_details":{"accepted_prediction_tokens":0,"audio_tokens":0,"reasoning_tokens":0,"rejected_prediction_tokens":0},"prompt_tokens":1296,"prompt_tokens_details":{"audio_tokens":0,"cached_tokens":1280},"total_tokens":1365}}</t>
  </si>
  <si>
    <t>Canada Goose：黑色奢华羽绒夹克，高蓬松鹅绒填充，搭配真毛领连帽设计，防风保暖兼具都市户外风格，男女皆宜的经典冬季外套，彰显极地探险精神与时尚品味。</t>
  </si>
  <si>
    <t>49</t>
  </si>
  <si>
    <t>{"choices":[{"content_filter_result":{"error":{"code":"content_filter_error","message":"The contents are not filtered"}},"content_filter_results":{},"finish_reason":"stop","index":0,"logprobs":null,"message":{"annotations":[],"content":"Nike Classic White Cotton T-Shirt Unisex Casual Top","refusal":null,"role":"assistant"}}],"created":1776061216,"id":"chatcmpl-DU4wabg9lFPW14YgVJdho8NgLHAUY","model":"gpt-5-chat-2025-10-03","object":"chat.completion","prompt_filter_results":[{"prompt_index":0,"content_filter_results":{}}],"system_fingerprint":"fp_ad66631dec","usage":{"completion_tokens":11,"completion_tokens_details":{"accepted_prediction_tokens":0,"audio_tokens":0,"reasoning_tokens":0,"rejected_prediction_tokens":0},"prompt_tokens":871,"prompt_tokens_details":{"audio_tokens":0,"cached_tokens":0},"total_tokens":882}}</t>
  </si>
  <si>
    <t>Nike Classic White Cotton T-Shirt Unisex Casual Top</t>
  </si>
  <si>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Nike Classic White Cotton T-Shirt with embroidered Swoosh logo, soft, breathable, unisex, perfect for everyday wear, minimalist style showcasing sporty fashion and casual comfort.","refusal":null,"role":"assistant"}}],"created":1776045002,"id":"chatcmpl-DU0j4MxMCtMNKoUDBAxuKlwHRaJrG","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ad66631dec","usage":{"completion_tokens":35,"completion_tokens_details":{"accepted_prediction_tokens":0,"audio_tokens":0,"reasoning_tokens":0,"rejected_prediction_tokens":0},"prompt_tokens":897,"prompt_tokens_details":{"audio_tokens":0,"cached_tokens":0},"total_tokens":932}}</t>
  </si>
  <si>
    <t>{"alt-svc":"h3=\":443\"; ma=2592000","apim-request-id":"f4dc32b5-47d4-401f-a36f-f24ea75bd29f","azureml-model-session":"d20260402074105-51db401e","connection":"close","content-length":"1416","content-type":"application/json","date":"Mon, 13 Apr 2026 01:50:04 GMT","skip-error-remapping":"true","strict-transport-security":"max-age=31536000; includeSubDomains; preload","via":"1.1 Caddy","x-accel-buffering":"no","x-content-type-options":"nosniff","x-ms-client-request-id":"Not-Set","x-ms-is-spilled-over":"false","x-ms-rai-invoked":"true","x-ms-region":"Korea Central","x-new-api-version":"0.4.25-alpha.4","x-oneapi-request-id":"202604130150013827885236mZL6mrS","x-ratelimit-abusepenalty-active":"False","x-ratelimit-limit-requests":"1000","x-ratelimit-limit-tokens":"1000000","x-ratelimit-remaining-requests":"999","x-ratelimit-remaining-tokens":"998833","x-ratelimit-renewalperiod-requests":"60","x-ratelimit-renewalperiod-tokens":"60","x-ratelimit-reset-requests":"60","x-ratelimit-reset-tokens":"70","x-request-id":"61f6b5ef-18e2-472d-8340-8b911dd93d46","x-shellapi-request-id":"2026041309500133927789354038019"}</t>
  </si>
  <si>
    <t>Nike Classic White Cotton T-Shirt with embroidered Swoosh logo, soft, breathable, unisex, perfect for everyday wear, minimalist style showcasing sporty fashion and casual comfort.</t>
  </si>
  <si>
    <t>{"choices":[{"content_filter_result":{"error":{"code":"content_filter_error","message":"The contents are not filtered"}},"content_filter_results":{},"finish_reason":"stop","index":0,"logprobs":null,"message":{"annotations":[],"content":"Nike, T-Shirts, kakobuy, kakebuy2026, kekobuysheet, kakobuysheet2026, 2026kakobuy, kakobuyspreadsheeet, kakobuylink, kakebuylist, Kakobuy MEGA Spreadsheet, kakobuysheetfind, kakobuysheetfind2026, 2026kakobuysheetfind, kakobuysheet2026","refusal":null,"role":"assistant"}}],"created":1776061407,"id":"chatcmpl-DU4zfot0LwiPtUSg8FDGHqWqNIw7G","model":"gpt-5-chat-2025-10-03","object":"chat.completion","prompt_filter_results":[{"prompt_index":0,"content_filter_results":{"hate":{"filtered":false,"severity":"safe"},"jailbreak":{"filtered":false,"detected":false},"self_harm":{"filtered":false,"severity":"safe"},"sexual":{"filtered":false,"severity":"safe"},"violence":{"filtered":false,"severity":"safe"}}}],"system_fingerprint":"fp_ad66631dec","usage":{"completion_tokens":91,"completion_tokens_details":{"accepted_prediction_tokens":0,"audio_tokens":0,"reasoning_tokens":0,"rejected_prediction_tokens":0},"prompt_tokens":782,"prompt_tokens_details":{"audio_tokens":0,"cached_tokens":0},"total_tokens":873}}</t>
  </si>
  <si>
    <t>Nike, T-Shirts, kakobuy, kakebuy2026, kekobuysheet, kakobuysheet2026, 2026kakobuy, kakobuyspreadsheeet, kakobuylink, kakebuylist, Kakobuy MEGA Spreadsheet, kakobuysheetfind, kakobuysheetfind2026, 2026kakobuysheetfind, kakobuysheet2026</t>
  </si>
  <si>
    <t>Nike, White, Unisex, Minimalist</t>
  </si>
  <si>
    <t>recvgxFjjAaqxU</t>
  </si>
  <si>
    <t>nike-classic-white-cotton-t-shirt-recvgxfjjaaqxu</t>
  </si>
  <si>
    <t>{"choices":[{"content_filter_results":{"hate":{"filtered":false,"severity":"safe"},"protected_material_code":{"filtered":false,"detected":false},"protected_material_text":{"filtered":false,"detected":false},"self_harm":{"filtered":false,"severity":"safe"},"sexual":{"filtered":false,"severity":"safe"},"violence":{"filtered":false,"severity":"safe"}},"finish_reason":"stop","index":0,"logprobs":null,"message":{"annotations":[],"content":"Nike：经典白色简约Logo棉质T恤，柔软舒适透气，胸前刺绣Swoosh标志，男女皆宜，百搭休闲风格，适合日常穿搭展现运动时尚态度。","refusal":null,"role":"assistant"}}],"created":1776044383,"id":"chatcmpl-DU0Z5fsHEB2REqST8wxS6N4xThven","model":"gpt-5-chat-2025-10-03","object":"chat.completion","prompt_filter_results":[{"prompt_index":0,"content_filter_results":{"hate":{"filtered":false,"severity":"safe"},"jailbreak":{"filtered":false,"detected":false},"self_harm":{"filtered":false,"severity":"safe"},"sexual":{"filtered":false,"severity":"safe"},"violence":{"filtered":false,"severity":"safe"}}}],"service_tier":"default","system_fingerprint":"fp_ad66631dec","usage":{"completion_tokens":59,"completion_tokens_details":{"accepted_prediction_tokens":0,"audio_tokens":0,"reasoning_tokens":0,"rejected_prediction_tokens":0},"prompt_tokens":1308,"prompt_tokens_details":{"audio_tokens":0,"cached_tokens":0},"total_tokens":1367}}</t>
  </si>
  <si>
    <t>Nike：经典白色简约Logo棉质T恤，柔软舒适透气，胸前刺绣Swoosh标志，男女皆宜，百搭休闲风格，适合日常穿搭展现运动时尚态度。</t>
  </si>
  <si>
    <t>98</t>
  </si>
  <si>
    <t>{"choices":[{"content_filter_results":{"hate":{"filtered":false,"severity":"safe"},"protected_material_code":{"filtered":false,"detected":false},"protected_material_text":{"filtered":false,"detected":false},"self_harm":{"filtered":false,"severity":"safe"},"sexual":{"filtered":false,"severity":"safe"},"violence":{"filtered":false,"severity":"safe"}},"finish_reason":"stop","index":0,"logprobs":null,"message":{"annotations":[],"content":"Ralph Lauren Classic Navy Men’s Swim Shorts","refusal":null,"role":"assistant"}}],"created":1776061190,"id":"chatcmpl-DU4wATKiyHhDDsqQyHCOnWAMrkSQz","model":"gpt-5-chat-2025-10-03","object":"chat.completion","prompt_filter_results":[{"prompt_index":0,"content_filter_results":{"hate":{"filtered":false,"severity":"safe"},"jailbreak":{"filtered":false,"detected":false},"self_harm":{"filtered":false,"severity":"safe"},"sexual":{"filtered":false,"severity":"safe"},"violence":{"filtered":false,"severity":"safe"}}}],"system_fingerprint":"fp_ad66631dec","usage":{"completion_tokens":10,"completion_tokens_details":{"accepted_prediction_tokens":0,"audio_tokens":0,"reasoning_tokens":0,"rejected_prediction_tokens":0},"prompt_tokens":873,"prompt_tokens_details":{"audio_tokens":0,"cached_tokens":0},"total_tokens":883}}</t>
  </si>
  <si>
    <t>Ralph Lauren Classic Navy Men’s Swim Shorts</t>
  </si>
  <si>
    <t>{"choices":[{"content_filter_results":{"hate":{"filtered":false,"severity":"safe"},"protected_material_code":{"filtered":false,"detected":false},"protected_material_text":{"filtered":false,"detected":false},"self_harm":{"filtered":false,"severity":"safe"},"sexual":{"filtered":false,"severity":"safe"},"violence":{"filtered":false,"severity":"safe"}},"finish_reason":"stop","index":0,"logprobs":null,"message":{"annotations":[],"content":"Ralph Lauren Classic Navy Men’s Swim Shorts, lightweight quick-dry nylon fabric with white drawstring and signature golden embroidered polo logo, showcasing casual and refined American style.","refusal":null,"role":"assistant"}}],"created":1776044999,"id":"chatcmpl-DU0j18SlsTDxEtQtB5CSKWIjYF0OX","model":"gpt-5-chat-2025-10-03","object":"chat.completion","prompt_filter_results":[{"prompt_index":0,"content_filter_results":{"hate":{"filtered":false,"severity":"safe"},"jailbreak":{"filtered":false,"detected":false},"self_harm":{"filtered":false,"severity":"safe"},"sexual":{"filtered":false,"severity":"safe"},"violence":{"filtered":false,"severity":"safe"}}}],"system_fingerprint":"fp_ad66631dec","usage":{"completion_tokens":35,"completion_tokens_details":{"accepted_prediction_tokens":0,"audio_tokens":0,"reasoning_tokens":0,"rejected_prediction_tokens":0},"prompt_tokens":892,"prompt_tokens_details":{"audio_tokens":0,"cached_tokens":0},"total_tokens":927}}</t>
  </si>
  <si>
    <t>{"alt-svc":"h3=\":443\"; ma=2592000","apim-request-id":"5d2e4dac-48dd-42f7-b837-65ced395d5fa","azureml-model-session":"d20260405225800-40f19e54","connection":"close","content-length":"1405","content-type":"application/json","date":"Mon, 13 Apr 2026 01:49:59 GMT","skip-error-remapping":"true","strict-transport-security":"max-age=31536000; includeSubDomains; preload","via":"1.1 Caddy","x-accel-buffering":"no","x-content-type-options":"nosniff","x-ms-client-request-id":"Not-Set","x-ms-is-spilled-over":"false","x-ms-rai-invoked":"true","x-ms-region":"East US","x-new-api-version":"0.4.25-alpha.4","x-oneapi-request-id":"20260413014958794488791WjV8TS54","x-ratelimit-abusepenalty-active":"False","x-ratelimit-limit-requests":"1000","x-ratelimit-limit-tokens":"1000000","x-ratelimit-remaining-requests":"999","x-ratelimit-remaining-tokens":"998834","x-ratelimit-renewalperiod-requests":"60","x-ratelimit-renewalperiod-tokens":"60","x-ratelimit-reset-requests":"60","x-ratelimit-reset-tokens":"69","x-request-id":"4cd07420-8658-4fcc-8db0-fb2e706f1642","x-shellapi-request-id":"2026041309495875811631122016625"}</t>
  </si>
  <si>
    <t>Ralph Lauren Classic Navy Men’s Swim Shorts, lightweight quick-dry nylon fabric with white drawstring and signature golden embroidered polo logo, showcasing casual and refined American style.</t>
  </si>
  <si>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Ralph Lauren,Pants,kakobuy,kakebuy2026,kekobuysheet,kakobuysheet2026,2026kakobuy,kakobuyspreadsheeet,kakobuylink,kakebuylist,Kakobuy MEGA Spreadsheet,kakobuysheetfind,kakobuysheetfind2026,2026kakobuysheetfind,kakobuysheet2026","refusal":null,"role":"assistant"}}],"created":1776061349,"id":"chatcmpl-DU4yjMWANYhnSx1QFhztw0b2JEJjF","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ad66631dec","usage":{"completion_tokens":88,"completion_tokens_details":{"accepted_prediction_tokens":0,"audio_tokens":0,"reasoning_tokens":0,"rejected_prediction_tokens":0},"prompt_tokens":784,"prompt_tokens_details":{"audio_tokens":0,"cached_tokens":0},"total_tokens":872}}</t>
  </si>
  <si>
    <t>Ralph Lauren,Pants,kakobuy,kakebuy2026,kekobuysheet,kakobuysheet2026,2026kakobuy,kakobuyspreadsheeet,kakobuylink,kakebuylist,Kakobuy MEGA Spreadsheet,kakobuysheetfind,kakobuysheetfind2026,2026kakobuysheetfind,kakobuysheet2026</t>
  </si>
  <si>
    <t>Navy, Men, Summer, Nylon, Quick Dry, Lightweight</t>
  </si>
  <si>
    <t>recvgxFjjAwv9K</t>
  </si>
  <si>
    <t>ralph-lauren-navy-swim-shorts-recvgxFjjAwv9K</t>
  </si>
  <si>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Ralph Lauren：经典海军蓝男士泳裤，轻盈速干尼龙材质，配白色抽绳与标志性金色刺绣骑士徽标，展现休闲优雅美式风格。","refusal":null,"role":"assistant"}}],"created":1776044377,"id":"chatcmpl-DU0YzDrqLBzEVnrcycUqQ76QqrTUW","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ad66631dec","usage":{"completion_tokens":54,"completion_tokens_details":{"accepted_prediction_tokens":0,"audio_tokens":0,"reasoning_tokens":0,"rejected_prediction_tokens":0},"prompt_tokens":1308,"prompt_tokens_details":{"audio_tokens":0,"cached_tokens":0},"total_tokens":1362}}</t>
  </si>
  <si>
    <t>Ralph Lauren：经典海军蓝男士泳裤，轻盈速干尼龙材质，配白色抽绳与标志性金色刺绣骑士徽标，展现休闲优雅美式风格。</t>
  </si>
  <si>
    <t>Toys</t>
  </si>
  <si>
    <t>Robot Dog</t>
  </si>
  <si>
    <t>204</t>
  </si>
  <si>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ToysRobot Smart Electronic Dog Space Design Toy","refusal":null,"role":"assistant"}}],"created":1776061259,"id":"chatcmpl-DU4xH6HbHUb0wSzxRNNs5epY7o9x3","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ad66631dec","usage":{"completion_tokens":10,"completion_tokens_details":{"accepted_prediction_tokens":0,"audio_tokens":0,"reasoning_tokens":0,"rejected_prediction_tokens":0},"prompt_tokens":894,"prompt_tokens_details":{"audio_tokens":0,"cached_tokens":0},"total_tokens":904}}</t>
  </si>
  <si>
    <t>ToysRobot Smart Electronic Dog Space Design Toy</t>
  </si>
  <si>
    <t>{"choices":[{"content_filter_results":{"hate":{"filtered":false,"severity":"safe"},"protected_material_code":{"filtered":false,"detected":false},"protected_material_text":{"filtered":false,"detected":false},"self_harm":{"filtered":false,"severity":"safe"},"sexual":{"filtered":false,"severity":"safe"},"violence":{"filtered":false,"severity":"safe"}},"finish_reason":"stop","index":0,"logprobs":null,"message":{"annotations":[],"content":"ToysRobot DogRobot Dog Smart Electronic Pet—ABS eco-friendly material, futuristic space design, sings, dances, jumps, greets, and interacts; ideal tech toy for all ages, perfect for science and robot lovers.","refusal":null,"role":"assistant"}}],"created":1776044938,"id":"chatcmpl-DU0i2nPC3l1eWkp8qVKnxWnxW4fnL","model":"gpt-5-chat-2025-10-03","object":"chat.completion","prompt_filter_results":[{"prompt_index":0,"content_filter_results":{"hate":{"filtered":false,"severity":"safe"},"jailbreak":{"filtered":false,"detected":false},"self_harm":{"filtered":false,"severity":"safe"},"sexual":{"filtered":false,"severity":"safe"},"violence":{"filtered":false,"severity":"safe"}}}],"system_fingerprint":"fp_ad66631dec","usage":{"completion_tokens":46,"completion_tokens_details":{"accepted_prediction_tokens":0,"audio_tokens":0,"reasoning_tokens":0,"rejected_prediction_tokens":0},"prompt_tokens":906,"prompt_tokens_details":{"audio_tokens":0,"cached_tokens":0},"total_tokens":952}}</t>
  </si>
  <si>
    <t>{"alt-svc":"h3=\":443\"; ma=2592000","apim-request-id":"3d2c58c9-1634-4337-8113-bd37bbef31aa","azureml-model-session":"d20260405225800-40f19e54","connection":"close","content-length":"1421","content-type":"application/json","date":"Mon, 13 Apr 2026 01:49:00 GMT","skip-error-remapping":"true","strict-transport-security":"max-age=31536000; includeSubDomains; preload","via":"1.1 Caddy","x-accel-buffering":"no","x-content-type-options":"nosniff","x-ms-client-request-id":"Not-Set","x-ms-is-spilled-over":"false","x-ms-rai-invoked":"true","x-ms-region":"East US","x-new-api-version":"0.4.25-alpha.4","x-oneapi-request-id":"20260413014856719513175QX6DlRKX","x-ratelimit-abusepenalty-active":"False","x-ratelimit-limit-requests":"1000","x-ratelimit-limit-tokens":"1000000","x-ratelimit-remaining-requests":"999","x-ratelimit-remaining-tokens":"998827","x-ratelimit-renewalperiod-requests":"60","x-ratelimit-renewalperiod-tokens":"60","x-ratelimit-reset-requests":"60","x-ratelimit-reset-tokens":"70","x-request-id":"346e6fe2-ac6e-4804-bf8f-b735a119c5bd","x-shellapi-request-id":"2026041309485667883161833184765"}</t>
  </si>
  <si>
    <t>ToysRobot DogRobot Dog Smart Electronic Pet—ABS eco-friendly material, futuristic space design, sings, dances, jumps, greets, and interacts; ideal tech toy for all ages, perfect for science and robot lovers.</t>
  </si>
  <si>
    <t>{"choices":[{"content_filter_results":{"hate":{"filtered":false,"severity":"safe"},"protected_material_code":{"filtered":false,"detected":false},"protected_material_text":{"filtered":false,"detected":false},"self_harm":{"filtered":false,"severity":"safe"},"sexual":{"filtered":false,"severity":"safe"},"violence":{"filtered":false,"severity":"safe"}},"finish_reason":"stop","index":0,"logprobs":null,"message":{"annotations":[],"content":"Toys, Robot Dog, kakobuy, kakebuy2026, kekobuysheet, kakobuysheet2026, 2026kakobuy, kakobuyspreadsheeet, kakobuylink, kakebuylist, Kakobuy MEGA Spreadsheet, kakobuysheetfind, kakobuysheetfind2026, 2026kakobuysheetfind, kakobuysheet2026","refusal":null,"role":"assistant"}}],"created":1776061438,"id":"chatcmpl-DU50AanWXkdVzRqgygZ2Vmp645UhN","model":"gpt-5-chat-2025-10-03","object":"chat.completion","prompt_filter_results":[{"prompt_index":0,"content_filter_results":{"hate":{"filtered":false,"severity":"safe"},"jailbreak":{"filtered":false,"detected":false},"self_harm":{"filtered":false,"severity":"safe"},"sexual":{"filtered":false,"severity":"safe"},"violence":{"filtered":false,"severity":"safe"}}}],"system_fingerprint":"fp_ad66631dec","usage":{"completion_tokens":92,"completion_tokens_details":{"accepted_prediction_tokens":0,"audio_tokens":0,"reasoning_tokens":0,"rejected_prediction_tokens":0},"prompt_tokens":783,"prompt_tokens_details":{"audio_tokens":0,"cached_tokens":0},"total_tokens":875}}</t>
  </si>
  <si>
    <t>Toys, Robot Dog, kakobuy, kakebuy2026, kekobuysheet, kakobuysheet2026, 2026kakobuy, kakobuyspreadsheeet, kakobuylink, kakebuylist, Kakobuy MEGA Spreadsheet, kakobuysheetfind, kakobuysheetfind2026, 2026kakobuysheetfind, kakobuysheet2026</t>
  </si>
  <si>
    <t>recvgxFjjAI29d</t>
  </si>
  <si>
    <t>toysrobot-smart-electronic-dog-space-design-toy-recvgxfjjai29d</t>
  </si>
  <si>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Robot Dog：未来科技系列白灰智能电子宠物狗，ABS环保材质打造，具备歌舞表演、运动互动、跳跃迎宾等多种炫技功能，动感设计融合太空科幻风格，适合男女老少，现代智能科技玩具新品。","refusal":null,"role":"assistant"}}],"created":1776044205,"id":"chatcmpl-DU0WDhcVAJqYnYzg8CUna7MBi4hcq","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ad66631dec","usage":{"completion_tokens":67,"completion_tokens_details":{"accepted_prediction_tokens":0,"audio_tokens":0,"reasoning_tokens":0,"rejected_prediction_tokens":0},"prompt_tokens":1310,"prompt_tokens_details":{"audio_tokens":0,"cached_tokens":1280},"total_tokens":1377}}</t>
  </si>
  <si>
    <t>Robot Dog：未来科技系列白灰智能电子宠物狗，ABS环保材质打造，具备歌舞表演、运动互动、跳跃迎宾等多种炫技功能，动感设计融合太空科幻风格，适合男女老少，现代智能科技玩具新品。</t>
  </si>
  <si>
    <t>Svaiwr</t>
  </si>
  <si>
    <t>172</t>
  </si>
  <si>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ToysSvaiwr Silver Smart Robotic Dog Voice Control Toy","refusal":null,"role":"assistant"}}],"created":1776061187,"id":"chatcmpl-DU4w7gJFw26TtkprvmJLipcMUKELb","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ad66631dec","usage":{"completion_tokens":14,"completion_tokens_details":{"accepted_prediction_tokens":0,"audio_tokens":0,"reasoning_tokens":0,"rejected_prediction_tokens":0},"prompt_tokens":885,"prompt_tokens_details":{"audio_tokens":0,"cached_tokens":0},"total_tokens":899}}</t>
  </si>
  <si>
    <t>ToysSvaiwr Silver Smart Robotic Dog Voice Control Toy</t>
  </si>
  <si>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ToysSvaiwr Smart Robotic Dog – Silver AI companion with bionic design, voice control, emotional feedback, programmable interaction, aerospace alloy body, ideal for all ages, futuristic STEM toy.","refusal":null,"role":"assistant"}}],"created":1776044910,"id":"chatcmpl-DU0haMoesGzUpo7QUKObRMmZVoGYV","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ad66631dec","usage":{"completion_tokens":41,"completion_tokens_details":{"accepted_prediction_tokens":0,"audio_tokens":0,"reasoning_tokens":0,"rejected_prediction_tokens":0},"prompt_tokens":935,"prompt_tokens_details":{"audio_tokens":0,"cached_tokens":0},"total_tokens":976}}</t>
  </si>
  <si>
    <t>{"alt-svc":"h3=\":443\"; ma=2592000","apim-request-id":"aaad5a90-ca4f-4a07-8963-220aa421e1d1","azureml-model-session":"d20260402083108-57a85543","connection":"close","content-length":"1433","content-type":"application/json","date":"Mon, 13 Apr 2026 01:48:32 GMT","skip-error-remapping":"true","strict-transport-security":"max-age=31536000; includeSubDomains; preload","via":"1.1 Caddy","x-accel-buffering":"no","x-content-type-options":"nosniff","x-ms-client-request-id":"Not-Set","x-ms-is-spilled-over":"false","x-ms-rai-invoked":"true","x-ms-region":"Korea Central","x-new-api-version":"0.4.25-alpha.4","x-oneapi-request-id":"202604130148293477675433uQlBP7N","x-ratelimit-abusepenalty-active":"False","x-ratelimit-limit-requests":"1000","x-ratelimit-limit-tokens":"1000000","x-ratelimit-remaining-requests":"999","x-ratelimit-remaining-tokens":"998821","x-ratelimit-renewalperiod-requests":"60","x-ratelimit-renewalperiod-tokens":"60","x-ratelimit-reset-requests":"60","x-ratelimit-reset-tokens":"70","x-request-id":"d830f9ba-4af3-4142-b607-56006920971c","x-shellapi-request-id":"2026041309482930734005665331364"}</t>
  </si>
  <si>
    <t>ToysSvaiwr Smart Robotic Dog – Silver AI companion with bionic design, voice control, emotional feedback, programmable interaction, aerospace alloy body, ideal for all ages, futuristic STEM toy.</t>
  </si>
  <si>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Saviur,Robot Dog,kakobuy,kakebuy2026,kekobuysheet,kakobuysheet2026,2026kakobuy,kakobuyspreadsheeet,kakobuylink,kakebuylist,Kakobuy MEGA Spreadsheet,kakobuysheetfind,kakobuysheetfind2026,2026kakobuysheetfind,kakobuysheet2026","refusal":null,"role":"assistant"}}],"created":1776061463,"id":"chatcmpl-DU50Zynhez5ETtfD0exZaNtvEt7JS","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ad66631dec","usage":{"completion_tokens":89,"completion_tokens_details":{"accepted_prediction_tokens":0,"audio_tokens":0,"reasoning_tokens":0,"rejected_prediction_tokens":0},"prompt_tokens":784,"prompt_tokens_details":{"audio_tokens":0,"cached_tokens":0},"total_tokens":873}}</t>
  </si>
  <si>
    <t>Saviur,Robot Dog,kakobuy,kakebuy2026,kekobuysheet,kakobuysheet2026,2026kakobuy,kakobuyspreadsheeet,kakobuylink,kakebuylist,Kakobuy MEGA Spreadsheet,kakobuysheetfind,kakobuysheetfind2026,2026kakobuysheetfind,kakobuysheet2026</t>
  </si>
  <si>
    <t>recvgxFjjAayCF</t>
  </si>
  <si>
    <t>toyssvaiwr-silver-smart-robotic-dog-voice-control-toy-recvgxfjj-aaycf</t>
  </si>
  <si>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Svaiwr：银灰色AI智能陪伴机器狗，融合仿生机械设计与高灵敏感应系统，支持语音指令、编程互动与情感反馈，采用航空级合金机身，造型未来科技感十足，通用男女老少适用，启发式教育玩具与智能陪伴机器人完美结合，展现次世代人工智能科技魅力。","refusal":null,"role":"assistant"}}],"created":1776044213,"id":"chatcmpl-DU0WLvaFczDlpgRw0aWwvR2tc87ZF","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ad66631dec","usage":{"completion_tokens":93,"completion_tokens_details":{"accepted_prediction_tokens":0,"audio_tokens":0,"reasoning_tokens":0,"rejected_prediction_tokens":0},"prompt_tokens":1316,"prompt_tokens_details":{"audio_tokens":0,"cached_tokens":0},"total_tokens":1409}}</t>
  </si>
  <si>
    <t>Svaiwr：银灰色AI智能陪伴机器狗，融合仿生机械设计与高灵敏感应系统，支持语音指令、编程互动与情感反馈，采用航空级合金机身，造型未来科技感十足，通用男女老少适用，启发式教育玩具与智能陪伴机器人完美结合，展现次世代人工智能科技魅力。</t>
  </si>
  <si>
    <t>Kidbe</t>
  </si>
  <si>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ToysKidbe RX-F White Smart Robot Dog Toy for Kids","refusal":null,"role":"assistant"}}],"created":1776061193,"id":"chatcmpl-DU4wDPyBMdrpqLq6qFpyO8TbrkHvI","model":"gpt-5-chat-2025-10-03","object":"chat.completion","prompt_filter_results":[{"prompt_index":0,"content_filter_results":{"hate":{"filtered":false,"severity":"safe"},"jailbreak":{"detected":false,"filtered":false},"self_harm":{"filtered":false,"severity":"safe"},"sexual":{"filtered":false,"severity":"safe"},"violence":{"filtered":false,"severity":"safe"}}}],"service_tier":"default","system_fingerprint":"fp_ad66631dec","usage":{"completion_tokens":14,"completion_tokens_details":{"accepted_prediction_tokens":0,"audio_tokens":0,"reasoning_tokens":0,"rejected_prediction_tokens":0},"prompt_tokens":884,"prompt_tokens_details":{"audio_tokens":0,"cached_tokens":0},"total_tokens":898}}</t>
  </si>
  <si>
    <t>ToysKidbe RX-F White Smart Robot Dog Toy for Kids</t>
  </si>
  <si>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ToysKidbeKidbe RX-F White AI Bionic Robot Dog with Voice and Remote Control, LED lights, sounds, dance moves, and programmable system for creative interactive fun for boys and girls.","refusal":null,"role":"assistant"}}],"created":1776044935,"id":"chatcmpl-DU0hznWapztyECnBQfDDgXGdKC1tD","model":"gpt-5-chat-2025-10-03","object":"chat.completion","prompt_filter_results":[{"prompt_index":0,"content_filter_results":{"hate":{"filtered":false,"severity":"safe"},"jailbreak":{"detected":false,"filtered":false},"self_harm":{"filtered":false,"severity":"safe"},"sexual":{"filtered":false,"severity":"safe"},"violence":{"filtered":false,"severity":"safe"}}}],"system_fingerprint":"fp_ad66631dec","usage":{"completion_tokens":41,"completion_tokens_details":{"accepted_prediction_tokens":0,"audio_tokens":0,"reasoning_tokens":0,"rejected_prediction_tokens":0},"prompt_tokens":905,"prompt_tokens_details":{"audio_tokens":0,"cached_tokens":0},"total_tokens":946}}</t>
  </si>
  <si>
    <t>{"alt-svc":"h3=\":443\"; ma=2592000","apim-request-id":"677f8972-e19e-46d7-b331-9e749d2caa1a","azureml-model-session":"d20260402075109-1fc5a0ec","connection":"close","content-length":"1394","content-type":"application/json","date":"Mon, 13 Apr 2026 01:48:56 GMT","skip-error-remapping":"true","strict-transport-security":"max-age=31536000; includeSubDomains; preload","via":"1.1 Caddy","x-accel-buffering":"no","x-content-type-options":"nosniff","x-ms-client-request-id":"Not-Set","x-ms-is-spilled-over":"false","x-ms-rai-invoked":"true","x-ms-region":"East US 2","x-new-api-version":"0.4.25-alpha.4","x-oneapi-request-id":"20260413014853983948912swEkNYTM","x-ratelimit-abusepenalty-active":"False","x-ratelimit-limit-requests":"1000","x-ratelimit-limit-tokens":"1000000","x-ratelimit-remaining-requests":"999","x-ratelimit-remaining-tokens":"998831","x-ratelimit-renewalperiod-requests":"60","x-ratelimit-renewalperiod-tokens":"60","x-ratelimit-reset-requests":"60","x-ratelimit-reset-tokens":"70","x-request-id":"1e95f01f-ee5a-43c9-9101-5b778aceb6d0","x-shellapi-request-id":"2026041309485394818409674504835"}</t>
  </si>
  <si>
    <t>ToysKidbeKidbe RX-F White AI Bionic Robot Dog with Voice and Remote Control, LED lights, sounds, dance moves, and programmable system for creative interactive fun for boys and girls.</t>
  </si>
  <si>
    <t>{"choices":[{"content_filter_results":{"hate":{"filtered":false,"severity":"safe"},"protected_material_code":{"filtered":false,"detected":false},"protected_material_text":{"filtered":false,"detected":false},"self_harm":{"filtered":false,"severity":"safe"},"sexual":{"filtered":false,"severity":"safe"},"violence":{"filtered":false,"severity":"safe"}},"finish_reason":"stop","index":0,"logprobs":null,"message":{"annotations":[],"content":"ToysKidbe,Robot Dog,kakobuy,kakebuy2026,kekobuysheet,kakobuysheet2026,2026kakobuy,kakobuyspreadsheeet,kakobuylink,kakebuylist,Kakobuy MEGA Spreadsheet,kakobuysheetfind,kakobuysheetfind2026,2026kakobuysheetfind,kakobuysheet2026","refusal":null,"role":"assistant"}}],"created":1776061409,"id":"chatcmpl-DU4zhqUDaUEiZHkugxgKhhB4aYcpJ","model":"gpt-5-chat-2025-10-03","object":"chat.completion","prompt_filter_results":[{"prompt_index":1,"content_filter_result":{"sexual":{"filtered":false,"severity":"safe"},"violence":{"filtered":false,"severity":"safe"},"hate":{"filtered":false,"severity":"safe"},"self_harm":{"filtered":false,"severity":"safe"}}},{"prompt_index":0,"content_filter_result":{}}],"system_fingerprint":"fp_ad66631dec","usage":{"completion_tokens":90,"completion_tokens_details":{"accepted_prediction_tokens":0,"audio_tokens":0,"reasoning_tokens":0,"rejected_prediction_tokens":0},"prompt_tokens":783,"prompt_tokens_details":{"audio_tokens":0,"cached_tokens":0},"total_tokens":873}}</t>
  </si>
  <si>
    <t>ToysKidbe,Robot Dog,kakobuy,kakebuy2026,kekobuysheet,kakobuysheet2026,2026kakobuy,kakobuyspreadsheeet,kakobuylink,kakebuylist,Kakobuy MEGA Spreadsheet,kakobuysheetfind,kakobuysheetfind2026,2026kakobuysheetfind,kakobuysheet2026</t>
  </si>
  <si>
    <t>recvgxFjjAsCGS</t>
  </si>
  <si>
    <t>toyskidbe-rx-f-white-smart-robot-dog-recvgxfjjascgs</t>
  </si>
  <si>
    <t>{"choices":[{"content_filter_results":{"hate":{"filtered":false,"severity":"safe"},"protected_material_code":{"detected":false,"filtered":false},"protected_material_text":{"detected":false,"filtered":false},"self_harm":{"filtered":false,"severity":"safe"},"sexual":{"filtered":false,"severity":"safe"},"violence":{"filtered":false,"severity":"safe"}},"finish_reason":"stop","index":0,"logprobs":null,"message":{"annotations":[],"content":"Kidbe：RX-F白色AI仿生智能机械狗，支持语音声控与手柄遥控，具灯光音效与编程系统设计，科技未来风格，趣味跳舞互动玩具，男女皆宜，激发儿童创造与探索乐趣。","refusal":null,"role":"assistant"}}],"created":1776044323,"id":"chatcmpl-DU0Y7nvrR23gZVAohU8dZuKcFK5v8","model":"gpt-5-chat-2025-10-03","object":"chat.completion","prompt_filter_results":[{"prompt_index":0,"content_filter_results":{"hate":{"filtered":false,"severity":"safe"},"jailbreak":{"detected":false,"filtered":false},"self_harm":{"filtered":false,"severity":"safe"},"sexual":{"filtered":false,"severity":"safe"},"violence":{"filtered":false,"severity":"safe"}}}],"system_fingerprint":"fp_ad66631dec","usage":{"completion_tokens":64,"completion_tokens_details":{"accepted_prediction_tokens":0,"audio_tokens":0,"reasoning_tokens":0,"rejected_prediction_tokens":0},"prompt_tokens":1314,"prompt_tokens_details":{"audio_tokens":0,"cached_tokens":1280},"total_tokens":1378}}</t>
  </si>
  <si>
    <t>Kidbe：RX-F白色AI仿生智能机械狗，支持语音声控与手柄遥控，具灯光音效与编程系统设计，科技未来风格，趣味跳舞互动玩具，男女皆宜，激发儿童创造与探索乐趣。</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</si>
</sst>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DengXian"/>
      <charset val="134"/>
    </font>
    <font>
      <sz val="10"/>
      <name val="Calibri"/>
      <charset val="134"/>
    </font>
    <font>
      <u/>
      <sz val="11"/>
      <color rgb="FF0000FF"/>
      <name val="DengXian"/>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2"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3" borderId="4" applyNumberFormat="0" applyAlignment="0" applyProtection="0">
      <alignment vertical="center"/>
    </xf>
    <xf numFmtId="0" fontId="13" fillId="4" borderId="5" applyNumberFormat="0" applyAlignment="0" applyProtection="0">
      <alignment vertical="center"/>
    </xf>
    <xf numFmtId="0" fontId="14" fillId="4" borderId="4" applyNumberFormat="0" applyAlignment="0" applyProtection="0">
      <alignment vertical="center"/>
    </xf>
    <xf numFmtId="0" fontId="15" fillId="5"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3">
    <xf numFmtId="0" fontId="0" fillId="0" borderId="0" xfId="0"/>
    <xf numFmtId="0" fontId="1" fillId="0" borderId="0" xfId="0" applyFont="1" applyAlignment="1">
      <alignment vertical="center"/>
    </xf>
    <xf numFmtId="0" fontId="2" fillId="0" borderId="0" xfId="0" applyFo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311"/>
  <sheetViews>
    <sheetView tabSelected="1" topLeftCell="A196" workbookViewId="0">
      <selection activeCell="B206" sqref="B206"/>
    </sheetView>
  </sheetViews>
  <sheetFormatPr defaultColWidth="9.64285714285714" defaultRowHeight="16.8"/>
  <cols>
    <col min="1" max="23" width="19" customWidth="1"/>
  </cols>
  <sheetData>
    <row r="1" ht="13" customHeight="1" spans="1:2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ht="25.5" customHeight="1" spans="1:23">
      <c r="A2">
        <v>1639009235</v>
      </c>
      <c r="B2">
        <v>7577408005</v>
      </c>
      <c r="C2" s="2" t="str">
        <f>HYPERLINK("https://weidian.com/item.html?itemID=7577408005","https://weidian.com/item.html?itemID=7577408005")</f>
        <v>https://weidian.com/item.html?itemID=7577408005</v>
      </c>
      <c r="E2" s="2" t="str">
        <f>HYPERLINK("https://si.geilicdn.com/pcitem901931856508-5b1600000195b88776900a23038e_1440_1440.jpg?w=640&amp;h=640","https://si.geilicdn.com/pcitem901931856508-5b1600000195b88776900a23038e_1440_1440.jpg?w=640&amp;h=640")</f>
        <v>https://si.geilicdn.com/pcitem901931856508-5b1600000195b88776900a23038e_1440_1440.jpg?w=640&amp;h=640</v>
      </c>
      <c r="F2" t="s">
        <v>23</v>
      </c>
      <c r="G2" t="s">
        <v>24</v>
      </c>
      <c r="H2" t="s">
        <v>25</v>
      </c>
      <c r="I2">
        <v>31.3</v>
      </c>
      <c r="J2" t="s">
        <v>26</v>
      </c>
      <c r="K2" t="s">
        <v>27</v>
      </c>
      <c r="L2" t="s">
        <v>28</v>
      </c>
      <c r="M2" t="s">
        <v>29</v>
      </c>
      <c r="N2" t="s">
        <v>30</v>
      </c>
      <c r="O2" t="s">
        <v>31</v>
      </c>
      <c r="P2" t="s">
        <v>32</v>
      </c>
      <c r="Q2" t="s">
        <v>33</v>
      </c>
      <c r="R2" t="s">
        <v>34</v>
      </c>
      <c r="V2" t="s">
        <v>35</v>
      </c>
      <c r="W2" t="s">
        <v>36</v>
      </c>
    </row>
    <row r="3" ht="25.5" customHeight="1" spans="1:23">
      <c r="A3">
        <v>1639009235</v>
      </c>
      <c r="B3">
        <v>7579221300</v>
      </c>
      <c r="C3" s="2" t="str">
        <f>HYPERLINK("https://weidian.com/item.html?itemID=7579221300","https://weidian.com/item.html?itemID=7579221300")</f>
        <v>https://weidian.com/item.html?itemID=7579221300</v>
      </c>
      <c r="E3" s="2" t="str">
        <f>HYPERLINK("https://si.geilicdn.com/pcitem901931856508-7422000001958463ecdb0a21146b_1084_1084.jpg?w=640&amp;h=640","https://si.geilicdn.com/pcitem901931856508-7422000001958463ecdb0a21146b_1084_1084.jpg?w=640&amp;h=640")</f>
        <v>https://si.geilicdn.com/pcitem901931856508-7422000001958463ecdb0a21146b_1084_1084.jpg?w=640&amp;h=640</v>
      </c>
      <c r="F3" t="s">
        <v>23</v>
      </c>
      <c r="G3" t="s">
        <v>37</v>
      </c>
      <c r="H3" t="s">
        <v>38</v>
      </c>
      <c r="I3">
        <v>99.2753623188405</v>
      </c>
      <c r="J3" t="s">
        <v>39</v>
      </c>
      <c r="K3" t="s">
        <v>40</v>
      </c>
      <c r="L3" t="s">
        <v>41</v>
      </c>
      <c r="M3" t="s">
        <v>42</v>
      </c>
      <c r="N3" t="s">
        <v>43</v>
      </c>
      <c r="O3" t="s">
        <v>44</v>
      </c>
      <c r="P3" t="s">
        <v>45</v>
      </c>
      <c r="Q3" t="s">
        <v>46</v>
      </c>
      <c r="R3" t="s">
        <v>47</v>
      </c>
      <c r="V3" t="s">
        <v>48</v>
      </c>
      <c r="W3" t="s">
        <v>49</v>
      </c>
    </row>
    <row r="4" ht="25.5" customHeight="1" spans="1:23">
      <c r="A4">
        <v>1639009235</v>
      </c>
      <c r="B4">
        <v>7579268548</v>
      </c>
      <c r="C4" s="2" t="str">
        <f>HYPERLINK("https://weidian.com/item.html?itemID=7579268548","https://weidian.com/item.html?itemID=7579268548")</f>
        <v>https://weidian.com/item.html?itemID=7579268548</v>
      </c>
      <c r="E4" s="2" t="str">
        <f>HYPERLINK("https://si.geilicdn.com/pcitem901931856508-724600000195846acde90a8134f0_1080_1080.jpg?w=640&amp;h=640","https://si.geilicdn.com/pcitem901931856508-724600000195846acde90a8134f0_1080_1080.jpg?w=640&amp;h=640")</f>
        <v>https://si.geilicdn.com/pcitem901931856508-724600000195846acde90a8134f0_1080_1080.jpg?w=640&amp;h=640</v>
      </c>
      <c r="F4" t="s">
        <v>23</v>
      </c>
      <c r="G4" t="s">
        <v>50</v>
      </c>
      <c r="H4" t="s">
        <v>51</v>
      </c>
      <c r="I4">
        <v>64.64</v>
      </c>
      <c r="J4" t="s">
        <v>52</v>
      </c>
      <c r="K4" t="s">
        <v>53</v>
      </c>
      <c r="L4" t="s">
        <v>54</v>
      </c>
      <c r="M4" t="s">
        <v>55</v>
      </c>
      <c r="N4" t="s">
        <v>56</v>
      </c>
      <c r="O4" t="s">
        <v>57</v>
      </c>
      <c r="P4" t="s">
        <v>58</v>
      </c>
      <c r="Q4" t="s">
        <v>59</v>
      </c>
      <c r="R4" t="s">
        <v>60</v>
      </c>
      <c r="V4" t="s">
        <v>61</v>
      </c>
      <c r="W4" t="s">
        <v>62</v>
      </c>
    </row>
    <row r="5" ht="25.5" customHeight="1" spans="1:23">
      <c r="A5">
        <v>1639009235</v>
      </c>
      <c r="B5">
        <v>7577320857</v>
      </c>
      <c r="C5" s="2" t="str">
        <f>HYPERLINK("https://weidian.com/item.html?itemID=7577320857","https://weidian.com/item.html?itemID=7577320857")</f>
        <v>https://weidian.com/item.html?itemID=7577320857</v>
      </c>
      <c r="E5" s="2" t="str">
        <f>HYPERLINK("https://si.geilicdn.com/pcitem901912182792-291900000193a506e76e0a20e273_1279_1921.jpg?w=640&amp;h=640","https://si.geilicdn.com/pcitem901912182792-291900000193a506e76e0a20e273_1279_1921.jpg?w=640&amp;h=640")</f>
        <v>https://si.geilicdn.com/pcitem901912182792-291900000193a506e76e0a20e273_1279_1921.jpg?w=640&amp;h=640</v>
      </c>
      <c r="F5" t="s">
        <v>23</v>
      </c>
      <c r="G5" t="s">
        <v>63</v>
      </c>
      <c r="H5" t="s">
        <v>64</v>
      </c>
      <c r="I5">
        <v>28.695652173913</v>
      </c>
      <c r="J5" t="s">
        <v>65</v>
      </c>
      <c r="K5" t="s">
        <v>66</v>
      </c>
      <c r="L5" t="s">
        <v>67</v>
      </c>
      <c r="M5" t="s">
        <v>68</v>
      </c>
      <c r="N5" t="s">
        <v>69</v>
      </c>
      <c r="O5" t="s">
        <v>70</v>
      </c>
      <c r="P5" t="s">
        <v>71</v>
      </c>
      <c r="Q5" t="s">
        <v>72</v>
      </c>
      <c r="R5" t="s">
        <v>73</v>
      </c>
      <c r="V5" t="s">
        <v>74</v>
      </c>
      <c r="W5" t="s">
        <v>75</v>
      </c>
    </row>
    <row r="6" ht="25.5" customHeight="1" spans="1:23">
      <c r="A6">
        <v>1639009235</v>
      </c>
      <c r="B6">
        <v>7576575309</v>
      </c>
      <c r="C6" s="2" t="str">
        <f>HYPERLINK("https://weidian.com/item.html?itemID=7576575309","https://weidian.com/item.html?itemID=7576575309")</f>
        <v>https://weidian.com/item.html?itemID=7576575309</v>
      </c>
      <c r="E6" s="2" t="str">
        <f>HYPERLINK("https://si.geilicdn.com/pcitem901931856508-731800000195846bcdc00a23057e_1080_1080.jpg?w=640&amp;h=640","https://si.geilicdn.com/pcitem901931856508-731800000195846bcdc00a23057e_1080_1080.jpg?w=640&amp;h=640")</f>
        <v>https://si.geilicdn.com/pcitem901931856508-731800000195846bcdc00a23057e_1080_1080.jpg?w=640&amp;h=640</v>
      </c>
      <c r="F6" t="s">
        <v>23</v>
      </c>
      <c r="G6" t="s">
        <v>76</v>
      </c>
      <c r="H6" t="s">
        <v>77</v>
      </c>
      <c r="I6">
        <v>43.19</v>
      </c>
      <c r="J6" t="s">
        <v>78</v>
      </c>
      <c r="K6" t="s">
        <v>79</v>
      </c>
      <c r="L6" t="s">
        <v>80</v>
      </c>
      <c r="M6" t="s">
        <v>81</v>
      </c>
      <c r="N6" t="s">
        <v>82</v>
      </c>
      <c r="O6" t="s">
        <v>83</v>
      </c>
      <c r="P6" t="s">
        <v>84</v>
      </c>
      <c r="Q6" t="s">
        <v>85</v>
      </c>
      <c r="R6" t="s">
        <v>86</v>
      </c>
      <c r="V6" t="s">
        <v>87</v>
      </c>
      <c r="W6" t="s">
        <v>88</v>
      </c>
    </row>
    <row r="7" ht="25.5" customHeight="1" spans="1:23">
      <c r="A7">
        <v>1639009235</v>
      </c>
      <c r="B7">
        <v>7579337688</v>
      </c>
      <c r="C7" s="2" t="str">
        <f>HYPERLINK("https://weidian.com/item.html?itemID=7579337688","https://weidian.com/item.html?itemID=7579337688")</f>
        <v>https://weidian.com/item.html?itemID=7579337688</v>
      </c>
      <c r="E7" s="2" t="str">
        <f>HYPERLINK("https://si.geilicdn.com/pcitem901931856508-2b98000001952c563ea20a23041a_1442_1920.jpg?w=640&amp;h=640","https://si.geilicdn.com/pcitem901931856508-2b98000001952c563ea20a23041a_1442_1920.jpg?w=640&amp;h=640")</f>
        <v>https://si.geilicdn.com/pcitem901931856508-2b98000001952c563ea20a23041a_1442_1920.jpg?w=640&amp;h=640</v>
      </c>
      <c r="F7" t="s">
        <v>23</v>
      </c>
      <c r="G7" t="s">
        <v>89</v>
      </c>
      <c r="H7" t="s">
        <v>90</v>
      </c>
      <c r="I7">
        <v>30.29</v>
      </c>
      <c r="J7" t="s">
        <v>91</v>
      </c>
      <c r="K7" t="s">
        <v>92</v>
      </c>
      <c r="L7" t="s">
        <v>93</v>
      </c>
      <c r="M7" t="s">
        <v>94</v>
      </c>
      <c r="N7" t="s">
        <v>95</v>
      </c>
      <c r="O7" t="s">
        <v>96</v>
      </c>
      <c r="P7" t="s">
        <v>97</v>
      </c>
      <c r="Q7" t="s">
        <v>98</v>
      </c>
      <c r="R7" t="s">
        <v>99</v>
      </c>
      <c r="V7" t="s">
        <v>100</v>
      </c>
      <c r="W7" t="s">
        <v>101</v>
      </c>
    </row>
    <row r="8" ht="25.5" customHeight="1" spans="1:23">
      <c r="A8">
        <v>1639009235</v>
      </c>
      <c r="B8">
        <v>7579254884</v>
      </c>
      <c r="C8" s="2" t="str">
        <f>HYPERLINK("https://weidian.com/item.html?itemID=7579254884","https://weidian.com/item.html?itemID=7579254884")</f>
        <v>https://weidian.com/item.html?itemID=7579254884</v>
      </c>
      <c r="E8" s="2" t="str">
        <f>HYPERLINK("https://si.geilicdn.com/pcitem901931856508-2dc3000001952c4d2eab0a20e273_1442_1920.jpg?w=640&amp;h=640","https://si.geilicdn.com/pcitem901931856508-2dc3000001952c4d2eab0a20e273_1442_1920.jpg?w=640&amp;h=640")</f>
        <v>https://si.geilicdn.com/pcitem901931856508-2dc3000001952c4d2eab0a20e273_1442_1920.jpg?w=640&amp;h=640</v>
      </c>
      <c r="F8" t="s">
        <v>23</v>
      </c>
      <c r="G8" t="s">
        <v>89</v>
      </c>
      <c r="H8" t="s">
        <v>90</v>
      </c>
      <c r="I8">
        <v>30.29</v>
      </c>
      <c r="J8" t="s">
        <v>102</v>
      </c>
      <c r="K8" t="s">
        <v>103</v>
      </c>
      <c r="L8" t="s">
        <v>104</v>
      </c>
      <c r="M8" t="s">
        <v>105</v>
      </c>
      <c r="N8" t="s">
        <v>106</v>
      </c>
      <c r="O8" t="s">
        <v>96</v>
      </c>
      <c r="P8" t="s">
        <v>107</v>
      </c>
      <c r="Q8" t="s">
        <v>108</v>
      </c>
      <c r="R8" t="s">
        <v>109</v>
      </c>
      <c r="V8" t="s">
        <v>110</v>
      </c>
      <c r="W8" t="s">
        <v>111</v>
      </c>
    </row>
    <row r="9" ht="25.5" customHeight="1" spans="1:23">
      <c r="A9">
        <v>1639009235</v>
      </c>
      <c r="B9">
        <v>7576667913</v>
      </c>
      <c r="C9" s="2" t="str">
        <f>HYPERLINK("https://weidian.com/item.html?itemID=7576667913","https://weidian.com/item.html?itemID=7576667913")</f>
        <v>https://weidian.com/item.html?itemID=7576667913</v>
      </c>
      <c r="E9" s="2" t="str">
        <f>HYPERLINK("https://si.geilicdn.com/pcitem901912182792-33b800000195359fcb260a20e2c5_1074_1074.jpg?w=640&amp;h=640","https://si.geilicdn.com/pcitem901912182792-33b800000195359fcb260a20e2c5_1074_1074.jpg?w=640&amp;h=640")</f>
        <v>https://si.geilicdn.com/pcitem901912182792-33b800000195359fcb260a20e2c5_1074_1074.jpg?w=640&amp;h=640</v>
      </c>
      <c r="F9" t="s">
        <v>23</v>
      </c>
      <c r="G9" t="s">
        <v>112</v>
      </c>
      <c r="H9" t="s">
        <v>113</v>
      </c>
      <c r="I9">
        <v>45.07</v>
      </c>
      <c r="J9" t="s">
        <v>114</v>
      </c>
      <c r="K9" t="s">
        <v>115</v>
      </c>
      <c r="L9" t="s">
        <v>116</v>
      </c>
      <c r="M9" t="s">
        <v>117</v>
      </c>
      <c r="N9" t="s">
        <v>118</v>
      </c>
      <c r="O9" t="s">
        <v>119</v>
      </c>
      <c r="P9" t="s">
        <v>120</v>
      </c>
      <c r="Q9" t="s">
        <v>121</v>
      </c>
      <c r="R9" t="s">
        <v>122</v>
      </c>
      <c r="V9" t="s">
        <v>123</v>
      </c>
      <c r="W9" t="s">
        <v>124</v>
      </c>
    </row>
    <row r="10" ht="25.5" customHeight="1" spans="1:23">
      <c r="A10">
        <v>1639009235</v>
      </c>
      <c r="B10">
        <v>7579331800</v>
      </c>
      <c r="C10" s="2" t="str">
        <f>HYPERLINK("https://weidian.com/item.html?itemID=7579331800","https://weidian.com/item.html?itemID=7579331800")</f>
        <v>https://weidian.com/item.html?itemID=7579331800</v>
      </c>
      <c r="E10" s="2" t="str">
        <f>HYPERLINK("https://si.geilicdn.com/pcitem901931856508-55fb00000195840500f80a81347d_1440_1920.jpg?w=640&amp;h=640","https://si.geilicdn.com/pcitem901931856508-55fb00000195840500f80a81347d_1440_1920.jpg?w=640&amp;h=640")</f>
        <v>https://si.geilicdn.com/pcitem901931856508-55fb00000195840500f80a81347d_1440_1920.jpg?w=640&amp;h=640</v>
      </c>
      <c r="F10" t="s">
        <v>23</v>
      </c>
      <c r="G10" t="s">
        <v>125</v>
      </c>
      <c r="H10" t="s">
        <v>126</v>
      </c>
      <c r="I10">
        <v>85.51</v>
      </c>
      <c r="J10" t="s">
        <v>127</v>
      </c>
      <c r="K10" t="s">
        <v>128</v>
      </c>
      <c r="L10" t="s">
        <v>129</v>
      </c>
      <c r="M10" t="s">
        <v>130</v>
      </c>
      <c r="N10" t="s">
        <v>131</v>
      </c>
      <c r="O10" t="s">
        <v>132</v>
      </c>
      <c r="P10" t="s">
        <v>133</v>
      </c>
      <c r="Q10" t="s">
        <v>134</v>
      </c>
      <c r="R10" t="s">
        <v>135</v>
      </c>
      <c r="V10" t="s">
        <v>136</v>
      </c>
      <c r="W10" t="s">
        <v>137</v>
      </c>
    </row>
    <row r="11" ht="25.5" customHeight="1" spans="1:23">
      <c r="A11">
        <v>1639009235</v>
      </c>
      <c r="B11">
        <v>7695095649</v>
      </c>
      <c r="C11" s="2" t="str">
        <f>HYPERLINK("https://weidian.com/item.html?itemID=7695095649","https://weidian.com/item.html?itemID=7695095649")</f>
        <v>https://weidian.com/item.html?itemID=7695095649</v>
      </c>
      <c r="E11" s="2" t="str">
        <f>HYPERLINK("https://si.geilicdn.com/pcitem902002701844-4c740000019c8dce16480a2304aa_1440_1920.jpg?w=640&amp;h=640","https://si.geilicdn.com/pcitem902002701844-4c740000019c8dce16480a2304aa_1440_1920.jpg?w=640&amp;h=640")</f>
        <v>https://si.geilicdn.com/pcitem902002701844-4c740000019c8dce16480a2304aa_1440_1920.jpg?w=640&amp;h=640</v>
      </c>
      <c r="F11" t="s">
        <v>23</v>
      </c>
      <c r="G11" t="s">
        <v>63</v>
      </c>
      <c r="H11" t="s">
        <v>138</v>
      </c>
      <c r="I11">
        <v>23.19</v>
      </c>
      <c r="J11" t="s">
        <v>139</v>
      </c>
      <c r="K11" t="s">
        <v>140</v>
      </c>
      <c r="L11" t="s">
        <v>141</v>
      </c>
      <c r="M11" t="s">
        <v>142</v>
      </c>
      <c r="N11" t="s">
        <v>143</v>
      </c>
      <c r="O11" t="s">
        <v>144</v>
      </c>
      <c r="P11" t="s">
        <v>145</v>
      </c>
      <c r="Q11" t="s">
        <v>146</v>
      </c>
      <c r="R11" t="s">
        <v>147</v>
      </c>
      <c r="V11" t="s">
        <v>148</v>
      </c>
      <c r="W11" t="s">
        <v>149</v>
      </c>
    </row>
    <row r="12" ht="25.5" customHeight="1" spans="1:23">
      <c r="A12">
        <v>1639009235</v>
      </c>
      <c r="B12">
        <v>7697896750</v>
      </c>
      <c r="C12" s="2" t="str">
        <f>HYPERLINK("https://weidian.com/item.html?itemID=7697896750","https://weidian.com/item.html?itemID=7697896750")</f>
        <v>https://weidian.com/item.html?itemID=7697896750</v>
      </c>
      <c r="E12" s="2" t="str">
        <f>HYPERLINK("https://si.geilicdn.com/pcitem902002701844-5db20000019c89c9e34d0a20e672_1080_720.jpg?w=640&amp;h=640","https://si.geilicdn.com/pcitem902002701844-5db20000019c89c9e34d0a20e672_1080_720.jpg?w=640&amp;h=640")</f>
        <v>https://si.geilicdn.com/pcitem902002701844-5db20000019c89c9e34d0a20e672_1080_720.jpg?w=640&amp;h=640</v>
      </c>
      <c r="F12" t="s">
        <v>23</v>
      </c>
      <c r="G12" t="s">
        <v>24</v>
      </c>
      <c r="H12" t="s">
        <v>150</v>
      </c>
      <c r="I12">
        <v>37.68</v>
      </c>
      <c r="J12" t="s">
        <v>151</v>
      </c>
      <c r="K12" t="s">
        <v>152</v>
      </c>
      <c r="L12" t="s">
        <v>153</v>
      </c>
      <c r="M12" t="s">
        <v>154</v>
      </c>
      <c r="N12" t="s">
        <v>155</v>
      </c>
      <c r="O12" t="s">
        <v>31</v>
      </c>
      <c r="P12" t="s">
        <v>156</v>
      </c>
      <c r="Q12" t="s">
        <v>157</v>
      </c>
      <c r="R12" t="s">
        <v>158</v>
      </c>
      <c r="V12" t="s">
        <v>159</v>
      </c>
      <c r="W12" t="s">
        <v>160</v>
      </c>
    </row>
    <row r="13" ht="25.5" customHeight="1" spans="1:23">
      <c r="A13">
        <v>1639009235</v>
      </c>
      <c r="B13">
        <v>7698059774</v>
      </c>
      <c r="C13" s="2" t="str">
        <f>HYPERLINK("https://weidian.com/item.html?itemID=7698059774","https://weidian.com/item.html?itemID=7698059774")</f>
        <v>https://weidian.com/item.html?itemID=7698059774</v>
      </c>
      <c r="E13" s="2" t="str">
        <f>HYPERLINK("https://si.geilicdn.com/pcitem902002701844-6b880000019c8dbee4090a23057e_1440_1920.jpg?w=640&amp;h=640","https://si.geilicdn.com/pcitem902002701844-6b880000019c8dbee4090a23057e_1440_1920.jpg?w=640&amp;h=640")</f>
        <v>https://si.geilicdn.com/pcitem902002701844-6b880000019c8dbee4090a23057e_1440_1920.jpg?w=640&amp;h=640</v>
      </c>
      <c r="F13" t="s">
        <v>23</v>
      </c>
      <c r="G13" t="s">
        <v>63</v>
      </c>
      <c r="H13" t="s">
        <v>138</v>
      </c>
      <c r="I13">
        <v>23.19</v>
      </c>
      <c r="J13" t="s">
        <v>161</v>
      </c>
      <c r="K13" t="s">
        <v>162</v>
      </c>
      <c r="L13" t="s">
        <v>163</v>
      </c>
      <c r="M13" t="s">
        <v>164</v>
      </c>
      <c r="N13" t="s">
        <v>165</v>
      </c>
      <c r="O13" t="s">
        <v>166</v>
      </c>
      <c r="P13" t="s">
        <v>167</v>
      </c>
      <c r="Q13" t="s">
        <v>168</v>
      </c>
      <c r="R13" t="s">
        <v>169</v>
      </c>
      <c r="V13" t="s">
        <v>170</v>
      </c>
      <c r="W13" t="s">
        <v>171</v>
      </c>
    </row>
    <row r="14" ht="25.5" customHeight="1" spans="1:23">
      <c r="A14">
        <v>1639009235</v>
      </c>
      <c r="B14">
        <v>7695010779</v>
      </c>
      <c r="C14" s="2" t="str">
        <f>HYPERLINK("https://weidian.com/item.html?itemID=7695010779","https://weidian.com/item.html?itemID=7695010779")</f>
        <v>https://weidian.com/item.html?itemID=7695010779</v>
      </c>
      <c r="E14" s="2" t="str">
        <f>HYPERLINK("https://si.geilicdn.com/pcitem902002701844-73a90000019c8dc14fcd0a23111a_1440_1920.jpg?w=640&amp;h=640","https://si.geilicdn.com/pcitem902002701844-73a90000019c8dc14fcd0a23111a_1440_1920.jpg?w=640&amp;h=640")</f>
        <v>https://si.geilicdn.com/pcitem902002701844-73a90000019c8dc14fcd0a23111a_1440_1920.jpg?w=640&amp;h=640</v>
      </c>
      <c r="F14" t="s">
        <v>23</v>
      </c>
      <c r="G14" t="s">
        <v>63</v>
      </c>
      <c r="H14" t="s">
        <v>138</v>
      </c>
      <c r="I14">
        <v>23.19</v>
      </c>
      <c r="J14" t="s">
        <v>172</v>
      </c>
      <c r="K14" t="s">
        <v>173</v>
      </c>
      <c r="L14" t="s">
        <v>174</v>
      </c>
      <c r="M14" t="s">
        <v>175</v>
      </c>
      <c r="N14" t="s">
        <v>176</v>
      </c>
      <c r="O14" t="s">
        <v>177</v>
      </c>
      <c r="P14" t="s">
        <v>178</v>
      </c>
      <c r="Q14" t="s">
        <v>179</v>
      </c>
      <c r="R14" t="s">
        <v>180</v>
      </c>
      <c r="V14" t="s">
        <v>181</v>
      </c>
      <c r="W14" t="s">
        <v>182</v>
      </c>
    </row>
    <row r="15" ht="25.5" customHeight="1" spans="1:23">
      <c r="A15">
        <v>1639009235</v>
      </c>
      <c r="B15">
        <v>7694951539</v>
      </c>
      <c r="C15" s="2" t="str">
        <f>HYPERLINK("https://weidian.com/item.html?itemID=7694951539","https://weidian.com/item.html?itemID=7694951539")</f>
        <v>https://weidian.com/item.html?itemID=7694951539</v>
      </c>
      <c r="E15" s="2" t="str">
        <f>HYPERLINK("https://si.geilicdn.com/pcitem902002701844-74a90000019c8dbdc12a0a2303ee_1440_1920.jpg?w=640&amp;h=640","https://si.geilicdn.com/pcitem902002701844-74a90000019c8dbdc12a0a2303ee_1440_1920.jpg?w=640&amp;h=640")</f>
        <v>https://si.geilicdn.com/pcitem902002701844-74a90000019c8dbdc12a0a2303ee_1440_1920.jpg?w=640&amp;h=640</v>
      </c>
      <c r="F15" t="s">
        <v>23</v>
      </c>
      <c r="G15" t="s">
        <v>63</v>
      </c>
      <c r="H15" t="s">
        <v>138</v>
      </c>
      <c r="I15">
        <v>23.19</v>
      </c>
      <c r="J15" t="s">
        <v>183</v>
      </c>
      <c r="K15" t="s">
        <v>184</v>
      </c>
      <c r="L15" t="s">
        <v>185</v>
      </c>
      <c r="M15" t="s">
        <v>186</v>
      </c>
      <c r="N15" t="s">
        <v>187</v>
      </c>
      <c r="O15" t="s">
        <v>166</v>
      </c>
      <c r="P15" t="s">
        <v>188</v>
      </c>
      <c r="Q15" t="s">
        <v>189</v>
      </c>
      <c r="R15" t="s">
        <v>190</v>
      </c>
      <c r="V15" t="s">
        <v>191</v>
      </c>
      <c r="W15" t="s">
        <v>192</v>
      </c>
    </row>
    <row r="16" ht="25.5" customHeight="1" spans="1:23">
      <c r="A16">
        <v>1639009235</v>
      </c>
      <c r="B16">
        <v>7694373155</v>
      </c>
      <c r="C16" s="2" t="str">
        <f>HYPERLINK("https://weidian.com/item.html?itemID=7694373155","https://weidian.com/item.html?itemID=7694373155")</f>
        <v>https://weidian.com/item.html?itemID=7694373155</v>
      </c>
      <c r="E16" s="2" t="str">
        <f>HYPERLINK("https://si.geilicdn.com/pcitem902002701844-24fe0000019c89c4afd50a21146b_1080_720.jpg?w=640&amp;h=640","https://si.geilicdn.com/pcitem902002701844-24fe0000019c89c4afd50a21146b_1080_720.jpg?w=640&amp;h=640")</f>
        <v>https://si.geilicdn.com/pcitem902002701844-24fe0000019c89c4afd50a21146b_1080_720.jpg?w=640&amp;h=640</v>
      </c>
      <c r="F16" t="s">
        <v>23</v>
      </c>
      <c r="G16" t="s">
        <v>24</v>
      </c>
      <c r="H16" t="s">
        <v>150</v>
      </c>
      <c r="I16">
        <v>37.68</v>
      </c>
      <c r="J16" t="s">
        <v>193</v>
      </c>
      <c r="K16" t="s">
        <v>194</v>
      </c>
      <c r="L16" t="s">
        <v>195</v>
      </c>
      <c r="M16" t="s">
        <v>196</v>
      </c>
      <c r="N16" t="s">
        <v>197</v>
      </c>
      <c r="O16" t="s">
        <v>31</v>
      </c>
      <c r="P16" t="s">
        <v>198</v>
      </c>
      <c r="Q16" t="s">
        <v>199</v>
      </c>
      <c r="R16" t="s">
        <v>200</v>
      </c>
      <c r="V16" t="s">
        <v>201</v>
      </c>
      <c r="W16" t="s">
        <v>202</v>
      </c>
    </row>
    <row r="17" ht="25.5" customHeight="1" spans="1:23">
      <c r="A17">
        <v>1639009235</v>
      </c>
      <c r="B17">
        <v>7697957714</v>
      </c>
      <c r="C17" s="2" t="str">
        <f>HYPERLINK("https://weidian.com/item.html?itemID=7697957714","https://weidian.com/item.html?itemID=7697957714")</f>
        <v>https://weidian.com/item.html?itemID=7697957714</v>
      </c>
      <c r="E17" s="2" t="str">
        <f>HYPERLINK("https://si.geilicdn.com/pcitem902002701844-5da30000019c89c916a00a239846_1080_720.jpg?w=640&amp;h=640","https://si.geilicdn.com/pcitem902002701844-5da30000019c89c916a00a239846_1080_720.jpg?w=640&amp;h=640")</f>
        <v>https://si.geilicdn.com/pcitem902002701844-5da30000019c89c916a00a239846_1080_720.jpg?w=640&amp;h=640</v>
      </c>
      <c r="F17" t="s">
        <v>23</v>
      </c>
      <c r="G17" t="s">
        <v>24</v>
      </c>
      <c r="H17" t="s">
        <v>150</v>
      </c>
      <c r="I17">
        <v>37.68</v>
      </c>
      <c r="J17" t="s">
        <v>203</v>
      </c>
      <c r="K17" t="s">
        <v>204</v>
      </c>
      <c r="L17" t="s">
        <v>205</v>
      </c>
      <c r="M17" t="s">
        <v>206</v>
      </c>
      <c r="N17" t="s">
        <v>207</v>
      </c>
      <c r="O17" t="s">
        <v>31</v>
      </c>
      <c r="P17" t="s">
        <v>208</v>
      </c>
      <c r="Q17" t="s">
        <v>209</v>
      </c>
      <c r="R17" t="s">
        <v>210</v>
      </c>
      <c r="V17" t="s">
        <v>211</v>
      </c>
      <c r="W17" t="s">
        <v>212</v>
      </c>
    </row>
    <row r="18" ht="25.5" customHeight="1" spans="1:23">
      <c r="A18">
        <v>1639009235</v>
      </c>
      <c r="B18">
        <v>7698051742</v>
      </c>
      <c r="C18" s="2" t="str">
        <f>HYPERLINK("https://weidian.com/item.html?itemID=7698051742","https://weidian.com/item.html?itemID=7698051742")</f>
        <v>https://weidian.com/item.html?itemID=7698051742</v>
      </c>
      <c r="E18" s="2" t="str">
        <f>HYPERLINK("https://si.geilicdn.com/pcitem902002701844-53e30000019c8db456c60a20e7c7_1080_1080.jpg?w=640&amp;h=640","https://si.geilicdn.com/pcitem902002701844-53e30000019c8db456c60a20e7c7_1080_1080.jpg?w=640&amp;h=640")</f>
        <v>https://si.geilicdn.com/pcitem902002701844-53e30000019c8db456c60a20e7c7_1080_1080.jpg?w=640&amp;h=640</v>
      </c>
      <c r="F18" t="s">
        <v>23</v>
      </c>
      <c r="G18" t="s">
        <v>63</v>
      </c>
      <c r="H18" t="s">
        <v>138</v>
      </c>
      <c r="I18">
        <v>23.19</v>
      </c>
      <c r="J18" t="s">
        <v>213</v>
      </c>
      <c r="K18" t="s">
        <v>214</v>
      </c>
      <c r="L18" t="s">
        <v>215</v>
      </c>
      <c r="M18" t="s">
        <v>216</v>
      </c>
      <c r="N18" t="s">
        <v>217</v>
      </c>
      <c r="O18" t="s">
        <v>70</v>
      </c>
      <c r="P18" t="s">
        <v>218</v>
      </c>
      <c r="Q18" t="s">
        <v>219</v>
      </c>
      <c r="R18" t="s">
        <v>220</v>
      </c>
      <c r="V18" t="s">
        <v>221</v>
      </c>
      <c r="W18" t="s">
        <v>222</v>
      </c>
    </row>
    <row r="19" ht="25.5" customHeight="1" spans="1:23">
      <c r="A19">
        <v>1639009235</v>
      </c>
      <c r="B19">
        <v>7695081725</v>
      </c>
      <c r="C19" s="2" t="str">
        <f>HYPERLINK("https://weidian.com/item.html?itemID=7695081725","https://weidian.com/item.html?itemID=7695081725")</f>
        <v>https://weidian.com/item.html?itemID=7695081725</v>
      </c>
      <c r="E19" s="2" t="str">
        <f>HYPERLINK("https://si.geilicdn.com/pcitem902002701844-7a2e0000019c8dcd86130a230115_1440_1920.jpg?w=640&amp;h=640","https://si.geilicdn.com/pcitem902002701844-7a2e0000019c8dcd86130a230115_1440_1920.jpg?w=640&amp;h=640")</f>
        <v>https://si.geilicdn.com/pcitem902002701844-7a2e0000019c8dcd86130a230115_1440_1920.jpg?w=640&amp;h=640</v>
      </c>
      <c r="F19" t="s">
        <v>23</v>
      </c>
      <c r="G19" t="s">
        <v>63</v>
      </c>
      <c r="H19" t="s">
        <v>138</v>
      </c>
      <c r="I19">
        <v>23.19</v>
      </c>
      <c r="J19" t="s">
        <v>223</v>
      </c>
      <c r="K19" t="s">
        <v>224</v>
      </c>
      <c r="L19" t="s">
        <v>225</v>
      </c>
      <c r="M19" t="s">
        <v>226</v>
      </c>
      <c r="N19" t="s">
        <v>227</v>
      </c>
      <c r="O19" t="s">
        <v>166</v>
      </c>
      <c r="P19" t="s">
        <v>228</v>
      </c>
      <c r="Q19" t="s">
        <v>229</v>
      </c>
      <c r="R19" t="s">
        <v>230</v>
      </c>
      <c r="V19" t="s">
        <v>231</v>
      </c>
      <c r="W19" t="s">
        <v>232</v>
      </c>
    </row>
    <row r="20" ht="25.5" customHeight="1" spans="1:23">
      <c r="A20">
        <v>1639009235</v>
      </c>
      <c r="B20">
        <v>7694932433</v>
      </c>
      <c r="C20" s="2" t="str">
        <f>HYPERLINK("https://weidian.com/item.html?itemID=7694932433","https://weidian.com/item.html?itemID=7694932433")</f>
        <v>https://weidian.com/item.html?itemID=7694932433</v>
      </c>
      <c r="E20" s="2" t="str">
        <f>HYPERLINK("https://si.geilicdn.com/pcitem902002701844-06420000019c89cb35380a23038e_1080_720.jpg?w=640&amp;h=640","https://si.geilicdn.com/pcitem902002701844-06420000019c89cb35380a23038e_1080_720.jpg?w=640&amp;h=640")</f>
        <v>https://si.geilicdn.com/pcitem902002701844-06420000019c89cb35380a23038e_1080_720.jpg?w=640&amp;h=640</v>
      </c>
      <c r="F20" t="s">
        <v>23</v>
      </c>
      <c r="G20" t="s">
        <v>24</v>
      </c>
      <c r="H20" t="s">
        <v>150</v>
      </c>
      <c r="I20">
        <v>37.68</v>
      </c>
      <c r="J20" t="s">
        <v>233</v>
      </c>
      <c r="K20" t="s">
        <v>234</v>
      </c>
      <c r="L20" t="s">
        <v>235</v>
      </c>
      <c r="M20" t="s">
        <v>236</v>
      </c>
      <c r="N20" t="s">
        <v>237</v>
      </c>
      <c r="O20" t="s">
        <v>238</v>
      </c>
      <c r="P20" t="s">
        <v>239</v>
      </c>
      <c r="Q20" t="s">
        <v>240</v>
      </c>
      <c r="R20" t="s">
        <v>241</v>
      </c>
      <c r="V20" t="s">
        <v>242</v>
      </c>
      <c r="W20" t="s">
        <v>243</v>
      </c>
    </row>
    <row r="21" ht="25.5" customHeight="1" spans="1:23">
      <c r="A21">
        <v>1639009235</v>
      </c>
      <c r="B21">
        <v>7694979723</v>
      </c>
      <c r="C21" s="2" t="str">
        <f>HYPERLINK("https://weidian.com/item.html?itemID=7694979723","https://weidian.com/item.html?itemID=7694979723")</f>
        <v>https://weidian.com/item.html?itemID=7694979723</v>
      </c>
      <c r="E21" s="2" t="str">
        <f>HYPERLINK("https://si.geilicdn.com/pcitem902002701844-6a3f0000019c89b6a7800a81347d_1440_1080.jpg?w=640&amp;h=640","https://si.geilicdn.com/pcitem902002701844-6a3f0000019c89b6a7800a81347d_1440_1080.jpg?w=640&amp;h=640")</f>
        <v>https://si.geilicdn.com/pcitem902002701844-6a3f0000019c89b6a7800a81347d_1440_1080.jpg?w=640&amp;h=640</v>
      </c>
      <c r="F21" t="s">
        <v>23</v>
      </c>
      <c r="G21" t="s">
        <v>24</v>
      </c>
      <c r="H21" t="s">
        <v>244</v>
      </c>
      <c r="I21">
        <v>57.97</v>
      </c>
      <c r="J21" t="s">
        <v>245</v>
      </c>
      <c r="K21" t="s">
        <v>246</v>
      </c>
      <c r="L21" t="s">
        <v>247</v>
      </c>
      <c r="M21" t="s">
        <v>248</v>
      </c>
      <c r="N21" t="s">
        <v>249</v>
      </c>
      <c r="O21" t="s">
        <v>31</v>
      </c>
      <c r="P21" t="s">
        <v>250</v>
      </c>
      <c r="Q21" t="s">
        <v>251</v>
      </c>
      <c r="R21" t="s">
        <v>252</v>
      </c>
      <c r="V21" t="s">
        <v>253</v>
      </c>
      <c r="W21" t="s">
        <v>254</v>
      </c>
    </row>
    <row r="22" ht="25.5" customHeight="1" spans="1:23">
      <c r="A22">
        <v>1639009235</v>
      </c>
      <c r="B22">
        <v>7695083709</v>
      </c>
      <c r="C22" s="2" t="str">
        <f>HYPERLINK("https://weidian.com/item.html?itemID=7695083709","https://weidian.com/item.html?itemID=7695083709")</f>
        <v>https://weidian.com/item.html?itemID=7695083709</v>
      </c>
      <c r="E22" s="2" t="str">
        <f>HYPERLINK("https://si.geilicdn.com/pcitem902002701844-00550000019c8dccacef0a23038e_1440_1920.jpg?w=640&amp;h=640","https://si.geilicdn.com/pcitem902002701844-00550000019c8dccacef0a23038e_1440_1920.jpg?w=640&amp;h=640")</f>
        <v>https://si.geilicdn.com/pcitem902002701844-00550000019c8dccacef0a23038e_1440_1920.jpg?w=640&amp;h=640</v>
      </c>
      <c r="F22" t="s">
        <v>23</v>
      </c>
      <c r="G22" t="s">
        <v>63</v>
      </c>
      <c r="H22" t="s">
        <v>138</v>
      </c>
      <c r="I22">
        <v>23.19</v>
      </c>
      <c r="J22" t="s">
        <v>255</v>
      </c>
      <c r="K22" t="s">
        <v>256</v>
      </c>
      <c r="L22" t="s">
        <v>257</v>
      </c>
      <c r="M22" t="s">
        <v>258</v>
      </c>
      <c r="N22" t="s">
        <v>259</v>
      </c>
      <c r="O22" t="s">
        <v>166</v>
      </c>
      <c r="P22" t="s">
        <v>260</v>
      </c>
      <c r="Q22" t="s">
        <v>261</v>
      </c>
      <c r="R22" t="s">
        <v>262</v>
      </c>
      <c r="V22" t="s">
        <v>263</v>
      </c>
      <c r="W22" t="s">
        <v>264</v>
      </c>
    </row>
    <row r="23" ht="25.5" customHeight="1" spans="1:23">
      <c r="A23">
        <v>1639009235</v>
      </c>
      <c r="B23">
        <v>7694860951</v>
      </c>
      <c r="C23" s="2" t="str">
        <f>HYPERLINK("https://weidian.com/item.html?itemID=7694860951","https://weidian.com/item.html?itemID=7694860951")</f>
        <v>https://weidian.com/item.html?itemID=7694860951</v>
      </c>
      <c r="E23" s="2" t="str">
        <f>HYPERLINK("https://si.geilicdn.com/pcitem902002701844-78290000019c89cf272e0a81347d_1440_1920.jpg?w=640&amp;h=640","https://si.geilicdn.com/pcitem902002701844-78290000019c89cf272e0a81347d_1440_1920.jpg?w=640&amp;h=640")</f>
        <v>https://si.geilicdn.com/pcitem902002701844-78290000019c89cf272e0a81347d_1440_1920.jpg?w=640&amp;h=640</v>
      </c>
      <c r="F23" t="s">
        <v>23</v>
      </c>
      <c r="G23" t="s">
        <v>76</v>
      </c>
      <c r="H23" t="s">
        <v>265</v>
      </c>
      <c r="I23">
        <v>43.48</v>
      </c>
      <c r="J23" t="s">
        <v>266</v>
      </c>
      <c r="K23" t="s">
        <v>267</v>
      </c>
      <c r="L23" t="s">
        <v>268</v>
      </c>
      <c r="M23" t="s">
        <v>269</v>
      </c>
      <c r="N23" t="s">
        <v>270</v>
      </c>
      <c r="O23" t="s">
        <v>83</v>
      </c>
      <c r="P23" t="s">
        <v>271</v>
      </c>
      <c r="Q23" t="s">
        <v>272</v>
      </c>
      <c r="R23" t="s">
        <v>273</v>
      </c>
      <c r="V23" t="s">
        <v>274</v>
      </c>
      <c r="W23" t="s">
        <v>275</v>
      </c>
    </row>
    <row r="24" ht="25.5" customHeight="1" spans="1:23">
      <c r="A24">
        <v>1639009235</v>
      </c>
      <c r="B24">
        <v>7697936100</v>
      </c>
      <c r="C24" s="2" t="str">
        <f>HYPERLINK("https://weidian.com/item.html?itemID=7697936100","https://weidian.com/item.html?itemID=7697936100")</f>
        <v>https://weidian.com/item.html?itemID=7697936100</v>
      </c>
      <c r="E24" s="2" t="str">
        <f>HYPERLINK("https://si.geilicdn.com/pcitem902002701844-72440000019c89bd72f70a23057e_1440_1080.jpg?w=640&amp;h=640","https://si.geilicdn.com/pcitem902002701844-72440000019c89bd72f70a23057e_1440_1080.jpg?w=640&amp;h=640")</f>
        <v>https://si.geilicdn.com/pcitem902002701844-72440000019c89bd72f70a23057e_1440_1080.jpg?w=640&amp;h=640</v>
      </c>
      <c r="F24" t="s">
        <v>23</v>
      </c>
      <c r="G24" t="s">
        <v>24</v>
      </c>
      <c r="H24" t="s">
        <v>244</v>
      </c>
      <c r="I24">
        <v>57.97</v>
      </c>
      <c r="J24" t="s">
        <v>276</v>
      </c>
      <c r="K24" t="s">
        <v>277</v>
      </c>
      <c r="L24" t="s">
        <v>278</v>
      </c>
      <c r="M24" t="s">
        <v>279</v>
      </c>
      <c r="N24" t="s">
        <v>280</v>
      </c>
      <c r="O24" t="s">
        <v>31</v>
      </c>
      <c r="P24" t="s">
        <v>281</v>
      </c>
      <c r="Q24" t="s">
        <v>282</v>
      </c>
      <c r="R24" t="s">
        <v>283</v>
      </c>
      <c r="V24" t="s">
        <v>284</v>
      </c>
      <c r="W24" t="s">
        <v>285</v>
      </c>
    </row>
    <row r="25" ht="25.5" customHeight="1" spans="1:23">
      <c r="A25">
        <v>1639009235</v>
      </c>
      <c r="B25">
        <v>7697969178</v>
      </c>
      <c r="C25" s="2" t="str">
        <f>HYPERLINK("https://weidian.com/item.html?itemID=7697969178","https://weidian.com/item.html?itemID=7697969178")</f>
        <v>https://weidian.com/item.html?itemID=7697969178</v>
      </c>
      <c r="E25" s="2" t="str">
        <f>HYPERLINK("https://si.geilicdn.com/pcitem902002701844-41470000019c8dc439610a231316_1440_1920.jpg?w=640&amp;h=640","https://si.geilicdn.com/pcitem902002701844-41470000019c8dc439610a231316_1440_1920.jpg?w=640&amp;h=640")</f>
        <v>https://si.geilicdn.com/pcitem902002701844-41470000019c8dc439610a231316_1440_1920.jpg?w=640&amp;h=640</v>
      </c>
      <c r="F25" t="s">
        <v>23</v>
      </c>
      <c r="G25" t="s">
        <v>63</v>
      </c>
      <c r="H25" t="s">
        <v>138</v>
      </c>
      <c r="I25">
        <v>23.19</v>
      </c>
      <c r="J25" t="s">
        <v>286</v>
      </c>
      <c r="K25" t="s">
        <v>287</v>
      </c>
      <c r="L25" t="s">
        <v>288</v>
      </c>
      <c r="M25" t="s">
        <v>289</v>
      </c>
      <c r="N25" t="s">
        <v>290</v>
      </c>
      <c r="O25" t="s">
        <v>166</v>
      </c>
      <c r="P25" t="s">
        <v>291</v>
      </c>
      <c r="Q25" t="s">
        <v>292</v>
      </c>
      <c r="R25" t="s">
        <v>293</v>
      </c>
      <c r="V25" t="s">
        <v>294</v>
      </c>
      <c r="W25" t="s">
        <v>295</v>
      </c>
    </row>
    <row r="26" ht="25.5" customHeight="1" spans="1:23">
      <c r="A26">
        <v>1639009235</v>
      </c>
      <c r="B26">
        <v>7694983637</v>
      </c>
      <c r="C26" s="2" t="str">
        <f>HYPERLINK("https://weidian.com/item.html?itemID=7694983637","https://weidian.com/item.html?itemID=7694983637")</f>
        <v>https://weidian.com/item.html?itemID=7694983637</v>
      </c>
      <c r="E26" s="2" t="str">
        <f>HYPERLINK("https://si.geilicdn.com/pcitem902002701844-7b6f0000019c89ce33ae0a23057e_1512_2016.jpg?w=750&amp;h=750&amp;cp=1","https://si.geilicdn.com/pcitem902002701844-7b6f0000019c89ce33ae0a23057e_1512_2016.jpg?w=750&amp;h=750&amp;cp=1")</f>
        <v>https://si.geilicdn.com/pcitem902002701844-7b6f0000019c89ce33ae0a23057e_1512_2016.jpg?w=750&amp;h=750&amp;cp=1</v>
      </c>
      <c r="F26" t="s">
        <v>23</v>
      </c>
      <c r="G26" t="s">
        <v>24</v>
      </c>
      <c r="H26" t="s">
        <v>296</v>
      </c>
      <c r="I26">
        <v>60.87</v>
      </c>
      <c r="J26" t="s">
        <v>297</v>
      </c>
      <c r="K26" t="s">
        <v>298</v>
      </c>
      <c r="L26" t="s">
        <v>299</v>
      </c>
      <c r="M26" t="s">
        <v>300</v>
      </c>
      <c r="N26" t="s">
        <v>301</v>
      </c>
      <c r="O26" t="s">
        <v>31</v>
      </c>
      <c r="P26" t="s">
        <v>302</v>
      </c>
      <c r="Q26" t="s">
        <v>303</v>
      </c>
      <c r="R26" t="s">
        <v>304</v>
      </c>
      <c r="V26" t="s">
        <v>305</v>
      </c>
      <c r="W26" t="s">
        <v>306</v>
      </c>
    </row>
    <row r="27" ht="25.5" customHeight="1" spans="1:23">
      <c r="A27">
        <v>1639009235</v>
      </c>
      <c r="B27">
        <v>7694504981</v>
      </c>
      <c r="C27" s="2" t="str">
        <f>HYPERLINK("https://weidian.com/item.html?itemID=7694504981","https://weidian.com/item.html?itemID=7694504981")</f>
        <v>https://weidian.com/item.html?itemID=7694504981</v>
      </c>
      <c r="E27" s="2" t="str">
        <f>HYPERLINK("https://si.geilicdn.com/pcitem902002701844-7ba80000019c8dcedc8d0a23111a_1440_1920.jpg?w=640&amp;h=640","https://si.geilicdn.com/pcitem902002701844-7ba80000019c8dcedc8d0a23111a_1440_1920.jpg?w=640&amp;h=640")</f>
        <v>https://si.geilicdn.com/pcitem902002701844-7ba80000019c8dcedc8d0a23111a_1440_1920.jpg?w=640&amp;h=640</v>
      </c>
      <c r="F27" t="s">
        <v>23</v>
      </c>
      <c r="G27" t="s">
        <v>63</v>
      </c>
      <c r="H27" t="s">
        <v>138</v>
      </c>
      <c r="I27">
        <v>23.19</v>
      </c>
      <c r="J27" t="s">
        <v>307</v>
      </c>
      <c r="K27" t="s">
        <v>308</v>
      </c>
      <c r="L27" t="s">
        <v>309</v>
      </c>
      <c r="M27" t="s">
        <v>310</v>
      </c>
      <c r="N27" t="s">
        <v>311</v>
      </c>
      <c r="O27" t="s">
        <v>166</v>
      </c>
      <c r="P27" t="s">
        <v>312</v>
      </c>
      <c r="Q27" t="s">
        <v>313</v>
      </c>
      <c r="R27" t="s">
        <v>314</v>
      </c>
      <c r="V27" t="s">
        <v>315</v>
      </c>
      <c r="W27" t="s">
        <v>316</v>
      </c>
    </row>
    <row r="28" ht="25.5" customHeight="1" spans="1:23">
      <c r="A28">
        <v>1639009235</v>
      </c>
      <c r="B28">
        <v>7694934325</v>
      </c>
      <c r="C28" s="2" t="str">
        <f>HYPERLINK("https://weidian.com/item.html?itemID=7694934325","https://weidian.com/item.html?itemID=7694934325")</f>
        <v>https://weidian.com/item.html?itemID=7694934325</v>
      </c>
      <c r="E28" s="2" t="str">
        <f>HYPERLINK("https://si.geilicdn.com/pcitem902002701844-714d0000019c89b4f4a70a207569_1440_1080.jpg?w=640&amp;h=640","https://si.geilicdn.com/pcitem902002701844-714d0000019c89b4f4a70a207569_1440_1080.jpg?w=640&amp;h=640")</f>
        <v>https://si.geilicdn.com/pcitem902002701844-714d0000019c89b4f4a70a207569_1440_1080.jpg?w=640&amp;h=640</v>
      </c>
      <c r="F28" t="s">
        <v>23</v>
      </c>
      <c r="G28" t="s">
        <v>24</v>
      </c>
      <c r="H28" t="s">
        <v>244</v>
      </c>
      <c r="I28">
        <v>57.97</v>
      </c>
      <c r="J28" t="s">
        <v>317</v>
      </c>
      <c r="K28" t="s">
        <v>318</v>
      </c>
      <c r="L28" t="s">
        <v>319</v>
      </c>
      <c r="M28" t="s">
        <v>320</v>
      </c>
      <c r="N28" t="s">
        <v>321</v>
      </c>
      <c r="O28" t="s">
        <v>31</v>
      </c>
      <c r="P28" t="s">
        <v>322</v>
      </c>
      <c r="Q28" t="s">
        <v>323</v>
      </c>
      <c r="R28" t="s">
        <v>324</v>
      </c>
      <c r="V28" t="s">
        <v>325</v>
      </c>
      <c r="W28" t="s">
        <v>326</v>
      </c>
    </row>
    <row r="29" ht="25.5" customHeight="1" spans="1:23">
      <c r="A29">
        <v>1639009235</v>
      </c>
      <c r="B29">
        <v>7694984633</v>
      </c>
      <c r="C29" s="2" t="str">
        <f>HYPERLINK("https://weidian.com/item.html?itemID=7694984633","https://weidian.com/item.html?itemID=7694984633")</f>
        <v>https://weidian.com/item.html?itemID=7694984633</v>
      </c>
      <c r="E29" s="2" t="str">
        <f>HYPERLINK("https://si.geilicdn.com/pcitem902002701844-78960000019c8dc9c50f0a23111a_1440_1920.jpg?w=640&amp;h=640","https://si.geilicdn.com/pcitem902002701844-78960000019c8dc9c50f0a23111a_1440_1920.jpg?w=640&amp;h=640")</f>
        <v>https://si.geilicdn.com/pcitem902002701844-78960000019c8dc9c50f0a23111a_1440_1920.jpg?w=640&amp;h=640</v>
      </c>
      <c r="F29" t="s">
        <v>23</v>
      </c>
      <c r="G29" t="s">
        <v>63</v>
      </c>
      <c r="H29" t="s">
        <v>138</v>
      </c>
      <c r="I29">
        <v>23.19</v>
      </c>
      <c r="J29" t="s">
        <v>327</v>
      </c>
      <c r="K29" t="s">
        <v>328</v>
      </c>
      <c r="L29" t="s">
        <v>329</v>
      </c>
      <c r="M29" t="s">
        <v>330</v>
      </c>
      <c r="N29" t="s">
        <v>331</v>
      </c>
      <c r="O29" t="s">
        <v>332</v>
      </c>
      <c r="P29" t="s">
        <v>333</v>
      </c>
      <c r="Q29" t="s">
        <v>334</v>
      </c>
      <c r="R29" t="s">
        <v>335</v>
      </c>
      <c r="V29" t="s">
        <v>336</v>
      </c>
      <c r="W29" t="s">
        <v>337</v>
      </c>
    </row>
    <row r="30" ht="25.5" customHeight="1" spans="1:23">
      <c r="A30">
        <v>1639009235</v>
      </c>
      <c r="B30">
        <v>7698014606</v>
      </c>
      <c r="C30" s="2" t="str">
        <f>HYPERLINK("https://weidian.com/item.html?itemID=7698014606","https://weidian.com/item.html?itemID=7698014606")</f>
        <v>https://weidian.com/item.html?itemID=7698014606</v>
      </c>
      <c r="E30" s="2" t="str">
        <f>HYPERLINK("https://si.geilicdn.com/pcitem902002701844-677d0000019c8ea078110a81347d_1317_1757.jpg?w=640&amp;h=640","https://si.geilicdn.com/pcitem902002701844-677d0000019c8ea078110a81347d_1317_1757.jpg?w=640&amp;h=640")</f>
        <v>https://si.geilicdn.com/pcitem902002701844-677d0000019c8ea078110a81347d_1317_1757.jpg?w=640&amp;h=640</v>
      </c>
      <c r="F30" t="s">
        <v>23</v>
      </c>
      <c r="G30" t="s">
        <v>338</v>
      </c>
      <c r="H30" t="s">
        <v>339</v>
      </c>
      <c r="I30">
        <v>75.36</v>
      </c>
      <c r="J30" t="s">
        <v>340</v>
      </c>
      <c r="K30" t="s">
        <v>341</v>
      </c>
      <c r="L30" t="s">
        <v>342</v>
      </c>
      <c r="M30" t="s">
        <v>343</v>
      </c>
      <c r="N30" t="s">
        <v>344</v>
      </c>
      <c r="O30" t="s">
        <v>345</v>
      </c>
      <c r="P30" t="s">
        <v>346</v>
      </c>
      <c r="Q30" t="s">
        <v>347</v>
      </c>
      <c r="R30" t="s">
        <v>348</v>
      </c>
      <c r="V30" t="s">
        <v>349</v>
      </c>
      <c r="W30" t="s">
        <v>350</v>
      </c>
    </row>
    <row r="31" ht="25.5" customHeight="1" spans="1:23">
      <c r="A31">
        <v>1639009235</v>
      </c>
      <c r="B31">
        <v>7697488926</v>
      </c>
      <c r="C31" s="2" t="str">
        <f>HYPERLINK("https://weidian.com/item.html?itemID=7697488926","https://weidian.com/item.html?itemID=7697488926")</f>
        <v>https://weidian.com/item.html?itemID=7697488926</v>
      </c>
      <c r="E31" s="2" t="str">
        <f>HYPERLINK("https://si.geilicdn.com/pcitem902002701844-3b240000019c8dc683460a811411_1440_1920.jpg?w=640&amp;h=640","https://si.geilicdn.com/pcitem902002701844-3b240000019c8dc683460a811411_1440_1920.jpg?w=640&amp;h=640")</f>
        <v>https://si.geilicdn.com/pcitem902002701844-3b240000019c8dc683460a811411_1440_1920.jpg?w=640&amp;h=640</v>
      </c>
      <c r="F31" t="s">
        <v>23</v>
      </c>
      <c r="G31" t="s">
        <v>63</v>
      </c>
      <c r="H31" t="s">
        <v>138</v>
      </c>
      <c r="I31">
        <v>23.19</v>
      </c>
      <c r="J31" t="s">
        <v>351</v>
      </c>
      <c r="K31" t="s">
        <v>352</v>
      </c>
      <c r="L31" t="s">
        <v>353</v>
      </c>
      <c r="M31" t="s">
        <v>354</v>
      </c>
      <c r="N31" t="s">
        <v>355</v>
      </c>
      <c r="O31" t="s">
        <v>70</v>
      </c>
      <c r="P31" t="s">
        <v>356</v>
      </c>
      <c r="Q31" t="s">
        <v>357</v>
      </c>
      <c r="R31" t="s">
        <v>358</v>
      </c>
      <c r="V31" t="s">
        <v>359</v>
      </c>
      <c r="W31" t="s">
        <v>360</v>
      </c>
    </row>
    <row r="32" ht="25.5" customHeight="1" spans="1:23">
      <c r="A32">
        <v>1639009235</v>
      </c>
      <c r="B32">
        <v>7697957320</v>
      </c>
      <c r="C32" s="2" t="str">
        <f>HYPERLINK("https://weidian.com/item.html?itemID=7697957320","https://weidian.com/item.html?itemID=7697957320")</f>
        <v>https://weidian.com/item.html?itemID=7697957320</v>
      </c>
      <c r="E32" s="2" t="str">
        <f>HYPERLINK("https://si.geilicdn.com/pcitem902002701844-7d1e0000019c8dd089450a8133cc_1440_1920.jpg?w=640&amp;h=640","https://si.geilicdn.com/pcitem902002701844-7d1e0000019c8dd089450a8133cc_1440_1920.jpg?w=640&amp;h=640")</f>
        <v>https://si.geilicdn.com/pcitem902002701844-7d1e0000019c8dd089450a8133cc_1440_1920.jpg?w=640&amp;h=640</v>
      </c>
      <c r="F32" t="s">
        <v>23</v>
      </c>
      <c r="G32" t="s">
        <v>63</v>
      </c>
      <c r="H32" t="s">
        <v>138</v>
      </c>
      <c r="I32">
        <v>23.19</v>
      </c>
      <c r="J32" t="s">
        <v>361</v>
      </c>
      <c r="K32" t="s">
        <v>362</v>
      </c>
      <c r="L32" t="s">
        <v>363</v>
      </c>
      <c r="M32" t="s">
        <v>364</v>
      </c>
      <c r="N32" t="s">
        <v>365</v>
      </c>
      <c r="O32" t="s">
        <v>70</v>
      </c>
      <c r="P32" t="s">
        <v>366</v>
      </c>
      <c r="Q32" t="s">
        <v>367</v>
      </c>
      <c r="R32" t="s">
        <v>368</v>
      </c>
      <c r="V32" t="s">
        <v>369</v>
      </c>
      <c r="W32" t="s">
        <v>370</v>
      </c>
    </row>
    <row r="33" ht="25.5" customHeight="1" spans="1:23">
      <c r="A33">
        <v>1639009235</v>
      </c>
      <c r="B33">
        <v>7698039836</v>
      </c>
      <c r="C33" s="2" t="str">
        <f>HYPERLINK("https://weidian.com/item.html?itemID=7698039836","https://weidian.com/item.html?itemID=7698039836")</f>
        <v>https://weidian.com/item.html?itemID=7698039836</v>
      </c>
      <c r="E33" s="2" t="str">
        <f>HYPERLINK("https://si.geilicdn.com/pcitem902002701844-674a0000019c8dc0491f0a20e284_1440_1920.jpg?w=640&amp;h=640","https://si.geilicdn.com/pcitem902002701844-674a0000019c8dc0491f0a20e284_1440_1920.jpg?w=640&amp;h=640")</f>
        <v>https://si.geilicdn.com/pcitem902002701844-674a0000019c8dc0491f0a20e284_1440_1920.jpg?w=640&amp;h=640</v>
      </c>
      <c r="F33" t="s">
        <v>23</v>
      </c>
      <c r="G33" t="s">
        <v>63</v>
      </c>
      <c r="H33" t="s">
        <v>138</v>
      </c>
      <c r="I33">
        <v>23.19</v>
      </c>
      <c r="J33" t="s">
        <v>371</v>
      </c>
      <c r="K33" t="s">
        <v>372</v>
      </c>
      <c r="L33" t="s">
        <v>373</v>
      </c>
      <c r="M33" t="s">
        <v>374</v>
      </c>
      <c r="N33" t="s">
        <v>375</v>
      </c>
      <c r="O33" t="s">
        <v>166</v>
      </c>
      <c r="P33" t="s">
        <v>376</v>
      </c>
      <c r="Q33" t="s">
        <v>377</v>
      </c>
      <c r="R33" t="s">
        <v>378</v>
      </c>
      <c r="V33" t="s">
        <v>379</v>
      </c>
      <c r="W33" t="s">
        <v>380</v>
      </c>
    </row>
    <row r="34" ht="25.5" customHeight="1" spans="1:23">
      <c r="A34">
        <v>1639009235</v>
      </c>
      <c r="B34">
        <v>7694862879</v>
      </c>
      <c r="C34" s="2" t="str">
        <f>HYPERLINK("https://weidian.com/item.html?itemID=7694862879","https://weidian.com/item.html?itemID=7694862879")</f>
        <v>https://weidian.com/item.html?itemID=7694862879</v>
      </c>
      <c r="E34" s="2" t="str">
        <f>HYPERLINK("https://si.geilicdn.com/pcitem902002701844-74930000019c89b867580a230115_1440_1080.jpg?w=640&amp;h=640","https://si.geilicdn.com/pcitem902002701844-74930000019c89b867580a230115_1440_1080.jpg?w=640&amp;h=640")</f>
        <v>https://si.geilicdn.com/pcitem902002701844-74930000019c89b867580a230115_1440_1080.jpg?w=640&amp;h=640</v>
      </c>
      <c r="F34" t="s">
        <v>23</v>
      </c>
      <c r="G34" t="s">
        <v>24</v>
      </c>
      <c r="H34" t="s">
        <v>244</v>
      </c>
      <c r="I34">
        <v>57.97</v>
      </c>
      <c r="J34" t="s">
        <v>381</v>
      </c>
      <c r="K34" t="s">
        <v>382</v>
      </c>
      <c r="L34" t="s">
        <v>383</v>
      </c>
      <c r="M34" t="s">
        <v>384</v>
      </c>
      <c r="N34" t="s">
        <v>385</v>
      </c>
      <c r="O34" t="s">
        <v>238</v>
      </c>
      <c r="P34" t="s">
        <v>386</v>
      </c>
      <c r="Q34" t="s">
        <v>387</v>
      </c>
      <c r="R34" t="s">
        <v>388</v>
      </c>
      <c r="V34" t="s">
        <v>389</v>
      </c>
      <c r="W34" t="s">
        <v>390</v>
      </c>
    </row>
    <row r="35" ht="25.5" customHeight="1" spans="1:23">
      <c r="A35">
        <v>1639009235</v>
      </c>
      <c r="B35">
        <v>7697883070</v>
      </c>
      <c r="C35" s="2" t="str">
        <f>HYPERLINK("https://weidian.com/item.html?itemID=7697883070","https://weidian.com/item.html?itemID=7697883070")</f>
        <v>https://weidian.com/item.html?itemID=7697883070</v>
      </c>
      <c r="E35" s="2" t="str">
        <f>HYPERLINK("https://si.geilicdn.com/pcitem902002701844-4b630000019c89cd5d0d0a20e2c5_1512_2016.jpg?w=640&amp;h=640","https://si.geilicdn.com/pcitem902002701844-4b630000019c89cd5d0d0a20e2c5_1512_2016.jpg?w=640&amp;h=640")</f>
        <v>https://si.geilicdn.com/pcitem902002701844-4b630000019c89cd5d0d0a20e2c5_1512_2016.jpg?w=640&amp;h=640</v>
      </c>
      <c r="F35" t="s">
        <v>23</v>
      </c>
      <c r="G35" t="s">
        <v>24</v>
      </c>
      <c r="H35" t="s">
        <v>296</v>
      </c>
      <c r="I35">
        <v>60.87</v>
      </c>
      <c r="J35" t="s">
        <v>391</v>
      </c>
      <c r="K35" t="s">
        <v>392</v>
      </c>
      <c r="L35" t="s">
        <v>393</v>
      </c>
      <c r="M35" t="s">
        <v>394</v>
      </c>
      <c r="N35" t="s">
        <v>395</v>
      </c>
      <c r="O35" t="s">
        <v>238</v>
      </c>
      <c r="P35" t="s">
        <v>396</v>
      </c>
      <c r="Q35" t="s">
        <v>397</v>
      </c>
      <c r="R35" t="s">
        <v>398</v>
      </c>
      <c r="V35" t="s">
        <v>399</v>
      </c>
      <c r="W35" t="s">
        <v>400</v>
      </c>
    </row>
    <row r="36" ht="25.5" customHeight="1" spans="1:23">
      <c r="A36">
        <v>1639009235</v>
      </c>
      <c r="B36">
        <v>7694942239</v>
      </c>
      <c r="C36" s="2" t="str">
        <f>HYPERLINK("https://weidian.com/item.html?itemID=7694942239","https://weidian.com/item.html?itemID=7694942239")</f>
        <v>https://weidian.com/item.html?itemID=7694942239</v>
      </c>
      <c r="E36" s="2" t="str">
        <f>HYPERLINK("https://si.geilicdn.com/pcitem902002701844-7cb50000019c89bfc84f0a2303ee_1086_816.jpg?w=640&amp;h=640","https://si.geilicdn.com/pcitem902002701844-7cb50000019c89bfc84f0a2303ee_1086_816.jpg?w=640&amp;h=640")</f>
        <v>https://si.geilicdn.com/pcitem902002701844-7cb50000019c89bfc84f0a2303ee_1086_816.jpg?w=640&amp;h=640</v>
      </c>
      <c r="F36" t="s">
        <v>23</v>
      </c>
      <c r="G36" t="s">
        <v>24</v>
      </c>
      <c r="H36" t="s">
        <v>401</v>
      </c>
      <c r="I36">
        <v>66.67</v>
      </c>
      <c r="J36" t="s">
        <v>402</v>
      </c>
      <c r="K36" t="s">
        <v>403</v>
      </c>
      <c r="L36" t="s">
        <v>404</v>
      </c>
      <c r="M36" t="s">
        <v>405</v>
      </c>
      <c r="N36" t="s">
        <v>406</v>
      </c>
      <c r="O36" t="s">
        <v>238</v>
      </c>
      <c r="P36" t="s">
        <v>407</v>
      </c>
      <c r="Q36" t="s">
        <v>408</v>
      </c>
      <c r="R36" t="s">
        <v>409</v>
      </c>
      <c r="V36" t="s">
        <v>410</v>
      </c>
      <c r="W36" t="s">
        <v>411</v>
      </c>
    </row>
    <row r="37" ht="25.5" customHeight="1" spans="1:23">
      <c r="A37">
        <v>1639009235</v>
      </c>
      <c r="B37">
        <v>7695002859</v>
      </c>
      <c r="C37" s="2" t="str">
        <f>HYPERLINK("https://weidian.com/item.html?itemID=7695002859","https://weidian.com/item.html?itemID=7695002859")</f>
        <v>https://weidian.com/item.html?itemID=7695002859</v>
      </c>
      <c r="E37" s="2" t="str">
        <f>HYPERLINK("https://si.geilicdn.com/pcitem902002701844-708f0000019c8dd020510a20e284_1440_1920.jpg?w=640&amp;h=640","https://si.geilicdn.com/pcitem902002701844-708f0000019c8dd020510a20e284_1440_1920.jpg?w=640&amp;h=640")</f>
        <v>https://si.geilicdn.com/pcitem902002701844-708f0000019c8dd020510a20e284_1440_1920.jpg?w=640&amp;h=640</v>
      </c>
      <c r="F37" t="s">
        <v>23</v>
      </c>
      <c r="G37" t="s">
        <v>63</v>
      </c>
      <c r="H37" t="s">
        <v>138</v>
      </c>
      <c r="I37">
        <v>23.19</v>
      </c>
      <c r="J37" t="s">
        <v>412</v>
      </c>
      <c r="K37" t="s">
        <v>413</v>
      </c>
      <c r="L37" t="s">
        <v>414</v>
      </c>
      <c r="M37" t="s">
        <v>415</v>
      </c>
      <c r="N37" t="s">
        <v>416</v>
      </c>
      <c r="O37" t="s">
        <v>144</v>
      </c>
      <c r="P37" t="s">
        <v>417</v>
      </c>
      <c r="Q37" t="s">
        <v>418</v>
      </c>
      <c r="R37" t="s">
        <v>419</v>
      </c>
      <c r="V37" t="s">
        <v>420</v>
      </c>
      <c r="W37" t="s">
        <v>421</v>
      </c>
    </row>
    <row r="38" ht="25.5" customHeight="1" spans="1:23">
      <c r="A38">
        <v>1639009235</v>
      </c>
      <c r="B38">
        <v>7697490522</v>
      </c>
      <c r="C38" s="2" t="str">
        <f>HYPERLINK("https://weidian.com/item.html?itemID=7697490522","https://weidian.com/item.html?itemID=7697490522")</f>
        <v>https://weidian.com/item.html?itemID=7697490522</v>
      </c>
      <c r="E38" s="2" t="str">
        <f>HYPERLINK("https://si.geilicdn.com/pcitem902002701844-745a0000019c89be83590a2315ef_1440_1080.jpg?w=640&amp;h=640","https://si.geilicdn.com/pcitem902002701844-745a0000019c89be83590a2315ef_1440_1080.jpg?w=640&amp;h=640")</f>
        <v>https://si.geilicdn.com/pcitem902002701844-745a0000019c89be83590a2315ef_1440_1080.jpg?w=640&amp;h=640</v>
      </c>
      <c r="F38" t="s">
        <v>23</v>
      </c>
      <c r="G38" t="s">
        <v>24</v>
      </c>
      <c r="H38" t="s">
        <v>244</v>
      </c>
      <c r="I38">
        <v>57.97</v>
      </c>
      <c r="J38" t="s">
        <v>422</v>
      </c>
      <c r="K38" t="s">
        <v>423</v>
      </c>
      <c r="L38" t="s">
        <v>424</v>
      </c>
      <c r="M38" t="s">
        <v>425</v>
      </c>
      <c r="N38" t="s">
        <v>426</v>
      </c>
      <c r="O38" t="s">
        <v>238</v>
      </c>
      <c r="P38" t="s">
        <v>427</v>
      </c>
      <c r="Q38" t="s">
        <v>428</v>
      </c>
      <c r="R38" t="s">
        <v>429</v>
      </c>
      <c r="V38" t="s">
        <v>430</v>
      </c>
      <c r="W38" t="s">
        <v>431</v>
      </c>
    </row>
    <row r="39" ht="25.5" customHeight="1" spans="1:23">
      <c r="A39">
        <v>1639009235</v>
      </c>
      <c r="B39">
        <v>7694885401</v>
      </c>
      <c r="C39" s="2" t="str">
        <f>HYPERLINK("https://weidian.com/item.html?itemID=7694885401","https://weidian.com/item.html?itemID=7694885401")</f>
        <v>https://weidian.com/item.html?itemID=7694885401</v>
      </c>
      <c r="E39" s="2" t="str">
        <f>HYPERLINK("https://si.geilicdn.com/pcitem902002701844-7aec0000019c89b739f20a23038e_1440_1080.jpg?w=640&amp;h=640","https://si.geilicdn.com/pcitem902002701844-7aec0000019c89b739f20a23038e_1440_1080.jpg?w=640&amp;h=640")</f>
        <v>https://si.geilicdn.com/pcitem902002701844-7aec0000019c89b739f20a23038e_1440_1080.jpg?w=640&amp;h=640</v>
      </c>
      <c r="F39" t="s">
        <v>23</v>
      </c>
      <c r="G39" t="s">
        <v>24</v>
      </c>
      <c r="H39" t="s">
        <v>244</v>
      </c>
      <c r="I39">
        <v>57.97</v>
      </c>
      <c r="J39" t="s">
        <v>432</v>
      </c>
      <c r="K39" t="s">
        <v>433</v>
      </c>
      <c r="L39" t="s">
        <v>434</v>
      </c>
      <c r="M39" t="s">
        <v>435</v>
      </c>
      <c r="N39" t="s">
        <v>436</v>
      </c>
      <c r="O39" t="s">
        <v>238</v>
      </c>
      <c r="P39" t="s">
        <v>437</v>
      </c>
      <c r="Q39" t="s">
        <v>438</v>
      </c>
      <c r="R39" t="s">
        <v>439</v>
      </c>
      <c r="V39" t="s">
        <v>440</v>
      </c>
      <c r="W39" t="s">
        <v>441</v>
      </c>
    </row>
    <row r="40" ht="25.5" customHeight="1" spans="1:23">
      <c r="A40">
        <v>1639009235</v>
      </c>
      <c r="B40">
        <v>7698054406</v>
      </c>
      <c r="C40" s="2" t="str">
        <f>HYPERLINK("https://weidian.com/item.html?itemID=7698054406","https://weidian.com/item.html?itemID=7698054406")</f>
        <v>https://weidian.com/item.html?itemID=7698054406</v>
      </c>
      <c r="E40" s="2" t="str">
        <f>HYPERLINK("https://si.geilicdn.com/pcitem902002701844-3ac10000019c8e9e27e40a20e2c5_1363_1800.jpg?w=640&amp;h=640","https://si.geilicdn.com/pcitem902002701844-3ac10000019c8e9e27e40a20e2c5_1363_1800.jpg?w=640&amp;h=640")</f>
        <v>https://si.geilicdn.com/pcitem902002701844-3ac10000019c8e9e27e40a20e2c5_1363_1800.jpg?w=640&amp;h=640</v>
      </c>
      <c r="F40" t="s">
        <v>23</v>
      </c>
      <c r="G40" t="s">
        <v>338</v>
      </c>
      <c r="H40" t="s">
        <v>339</v>
      </c>
      <c r="I40">
        <v>75.36</v>
      </c>
      <c r="J40" t="s">
        <v>442</v>
      </c>
      <c r="K40" t="s">
        <v>443</v>
      </c>
      <c r="L40" t="s">
        <v>444</v>
      </c>
      <c r="M40" t="s">
        <v>445</v>
      </c>
      <c r="N40" t="s">
        <v>446</v>
      </c>
      <c r="O40" t="s">
        <v>447</v>
      </c>
      <c r="P40" t="s">
        <v>448</v>
      </c>
      <c r="Q40" t="s">
        <v>449</v>
      </c>
      <c r="R40" t="s">
        <v>450</v>
      </c>
      <c r="V40" t="s">
        <v>451</v>
      </c>
      <c r="W40" t="s">
        <v>452</v>
      </c>
    </row>
    <row r="41" ht="25.5" customHeight="1" spans="1:23">
      <c r="A41">
        <v>1639009235</v>
      </c>
      <c r="B41">
        <v>7697971632</v>
      </c>
      <c r="C41" s="2" t="str">
        <f>HYPERLINK("https://weidian.com/item.html?itemID=7697971632","https://weidian.com/item.html?itemID=7697971632")</f>
        <v>https://weidian.com/item.html?itemID=7697971632</v>
      </c>
      <c r="E41" s="2" t="str">
        <f>HYPERLINK("https://si.geilicdn.com/pcitem902002701844-59070000019c89c0d8b00a239846_2304_1728.jpg?w=640&amp;h=640","https://si.geilicdn.com/pcitem902002701844-59070000019c89c0d8b00a239846_2304_1728.jpg?w=640&amp;h=640")</f>
        <v>https://si.geilicdn.com/pcitem902002701844-59070000019c89c0d8b00a239846_2304_1728.jpg?w=640&amp;h=640</v>
      </c>
      <c r="F41" t="s">
        <v>23</v>
      </c>
      <c r="G41" t="s">
        <v>24</v>
      </c>
      <c r="H41" t="s">
        <v>150</v>
      </c>
      <c r="I41">
        <v>37.68</v>
      </c>
      <c r="J41" t="s">
        <v>453</v>
      </c>
      <c r="K41" t="s">
        <v>454</v>
      </c>
      <c r="L41" t="s">
        <v>455</v>
      </c>
      <c r="M41" t="s">
        <v>456</v>
      </c>
      <c r="N41" t="s">
        <v>457</v>
      </c>
      <c r="O41" t="s">
        <v>238</v>
      </c>
      <c r="P41" t="s">
        <v>458</v>
      </c>
      <c r="Q41" t="s">
        <v>459</v>
      </c>
      <c r="R41" t="s">
        <v>460</v>
      </c>
      <c r="V41" t="s">
        <v>461</v>
      </c>
      <c r="W41" t="s">
        <v>462</v>
      </c>
    </row>
    <row r="42" ht="25.5" customHeight="1" spans="1:23">
      <c r="A42">
        <v>1639009235</v>
      </c>
      <c r="B42">
        <v>7695010815</v>
      </c>
      <c r="C42" s="2" t="str">
        <f>HYPERLINK("https://weidian.com/item.html?itemID=7695010815","https://weidian.com/item.html?itemID=7695010815")</f>
        <v>https://weidian.com/item.html?itemID=7695010815</v>
      </c>
      <c r="E42" s="2" t="str">
        <f>HYPERLINK("https://si.geilicdn.com/pcitem902002701844-412d0000019c8dc7ac000a20e2c5_1440_1920.jpg?w=640&amp;h=640","https://si.geilicdn.com/pcitem902002701844-412d0000019c8dc7ac000a20e2c5_1440_1920.jpg?w=640&amp;h=640")</f>
        <v>https://si.geilicdn.com/pcitem902002701844-412d0000019c8dc7ac000a20e2c5_1440_1920.jpg?w=640&amp;h=640</v>
      </c>
      <c r="F42" t="s">
        <v>23</v>
      </c>
      <c r="G42" t="s">
        <v>63</v>
      </c>
      <c r="H42" t="s">
        <v>138</v>
      </c>
      <c r="I42">
        <v>23.19</v>
      </c>
      <c r="J42" t="s">
        <v>463</v>
      </c>
      <c r="K42" t="s">
        <v>464</v>
      </c>
      <c r="L42" t="s">
        <v>465</v>
      </c>
      <c r="M42" t="s">
        <v>466</v>
      </c>
      <c r="N42" t="s">
        <v>467</v>
      </c>
      <c r="O42" t="s">
        <v>332</v>
      </c>
      <c r="P42" t="s">
        <v>468</v>
      </c>
      <c r="Q42" t="s">
        <v>469</v>
      </c>
      <c r="R42" t="s">
        <v>470</v>
      </c>
      <c r="V42" t="s">
        <v>471</v>
      </c>
      <c r="W42" t="s">
        <v>472</v>
      </c>
    </row>
    <row r="43" ht="25.5" customHeight="1" spans="1:23">
      <c r="A43">
        <v>1639009235</v>
      </c>
      <c r="B43">
        <v>7697867294</v>
      </c>
      <c r="C43" s="2" t="str">
        <f>HYPERLINK("https://weidian.com/item.html?itemID=7697867294","https://weidian.com/item.html?itemID=7697867294")</f>
        <v>https://weidian.com/item.html?itemID=7697867294</v>
      </c>
      <c r="E43" s="2" t="str">
        <f>HYPERLINK("https://si.geilicdn.com/pcitem902002701844-4bb40000019c89cc40e60a231316_1512_2016.jpg?w=640&amp;h=640","https://si.geilicdn.com/pcitem902002701844-4bb40000019c89cc40e60a231316_1512_2016.jpg?w=640&amp;h=640")</f>
        <v>https://si.geilicdn.com/pcitem902002701844-4bb40000019c89cc40e60a231316_1512_2016.jpg?w=640&amp;h=640</v>
      </c>
      <c r="F43" t="s">
        <v>23</v>
      </c>
      <c r="G43" t="s">
        <v>24</v>
      </c>
      <c r="H43" t="s">
        <v>296</v>
      </c>
      <c r="I43">
        <v>60.87</v>
      </c>
      <c r="J43" t="s">
        <v>473</v>
      </c>
      <c r="K43" t="s">
        <v>474</v>
      </c>
      <c r="L43" t="s">
        <v>475</v>
      </c>
      <c r="M43" t="s">
        <v>476</v>
      </c>
      <c r="N43" t="s">
        <v>477</v>
      </c>
      <c r="O43" t="s">
        <v>238</v>
      </c>
      <c r="P43" t="s">
        <v>478</v>
      </c>
      <c r="Q43" t="s">
        <v>479</v>
      </c>
      <c r="R43" t="s">
        <v>480</v>
      </c>
      <c r="V43" t="s">
        <v>481</v>
      </c>
      <c r="W43" t="s">
        <v>482</v>
      </c>
    </row>
    <row r="44" ht="25.5" customHeight="1" spans="1:23">
      <c r="A44">
        <v>1639009235</v>
      </c>
      <c r="B44">
        <v>7695069797</v>
      </c>
      <c r="C44" s="2" t="str">
        <f>HYPERLINK("https://weidian.com/item.html?itemID=7695069797","https://weidian.com/item.html?itemID=7695069797")</f>
        <v>https://weidian.com/item.html?itemID=7695069797</v>
      </c>
      <c r="E44" s="2" t="str">
        <f>HYPERLINK("https://si.geilicdn.com/pcitem902002701844-68bf0000019c8dc54ac30a210256_1440_1920.jpg?w=640&amp;h=640","https://si.geilicdn.com/pcitem902002701844-68bf0000019c8dc54ac30a210256_1440_1920.jpg?w=640&amp;h=640")</f>
        <v>https://si.geilicdn.com/pcitem902002701844-68bf0000019c8dc54ac30a210256_1440_1920.jpg?w=640&amp;h=640</v>
      </c>
      <c r="F44" t="s">
        <v>23</v>
      </c>
      <c r="G44" t="s">
        <v>63</v>
      </c>
      <c r="H44" t="s">
        <v>138</v>
      </c>
      <c r="I44">
        <v>23.19</v>
      </c>
      <c r="J44" t="s">
        <v>483</v>
      </c>
      <c r="K44" t="s">
        <v>484</v>
      </c>
      <c r="L44" t="s">
        <v>485</v>
      </c>
      <c r="M44" t="s">
        <v>486</v>
      </c>
      <c r="N44" t="s">
        <v>487</v>
      </c>
      <c r="O44" t="s">
        <v>488</v>
      </c>
      <c r="P44" t="s">
        <v>489</v>
      </c>
      <c r="Q44" t="s">
        <v>490</v>
      </c>
      <c r="R44" t="s">
        <v>491</v>
      </c>
      <c r="V44" t="s">
        <v>492</v>
      </c>
      <c r="W44" t="s">
        <v>493</v>
      </c>
    </row>
    <row r="45" ht="25.5" customHeight="1" spans="1:23">
      <c r="A45">
        <v>1639009235</v>
      </c>
      <c r="B45">
        <v>7694979725</v>
      </c>
      <c r="C45" s="2" t="str">
        <f>HYPERLINK("https://weidian.com/item.html?itemID=7694979725","https://weidian.com/item.html?itemID=7694979725")</f>
        <v>https://weidian.com/item.html?itemID=7694979725</v>
      </c>
      <c r="E45" s="2" t="str">
        <f>HYPERLINK("https://si.geilicdn.com/pcitem902002701844-742d0000019c89b98abd0a207569_1440_1080.jpg?w=640&amp;h=640","https://si.geilicdn.com/pcitem902002701844-742d0000019c89b98abd0a207569_1440_1080.jpg?w=640&amp;h=640")</f>
        <v>https://si.geilicdn.com/pcitem902002701844-742d0000019c89b98abd0a207569_1440_1080.jpg?w=640&amp;h=640</v>
      </c>
      <c r="F45" t="s">
        <v>23</v>
      </c>
      <c r="G45" t="s">
        <v>24</v>
      </c>
      <c r="H45" t="s">
        <v>244</v>
      </c>
      <c r="I45">
        <v>57.97</v>
      </c>
      <c r="J45" t="s">
        <v>494</v>
      </c>
      <c r="K45" t="s">
        <v>495</v>
      </c>
      <c r="L45" t="s">
        <v>496</v>
      </c>
      <c r="M45" t="s">
        <v>497</v>
      </c>
      <c r="N45" t="s">
        <v>498</v>
      </c>
      <c r="O45" t="s">
        <v>238</v>
      </c>
      <c r="P45" t="s">
        <v>499</v>
      </c>
      <c r="Q45" t="s">
        <v>500</v>
      </c>
      <c r="R45" t="s">
        <v>501</v>
      </c>
      <c r="V45" t="s">
        <v>502</v>
      </c>
      <c r="W45" t="s">
        <v>503</v>
      </c>
    </row>
    <row r="46" ht="25.5" customHeight="1" spans="1:23">
      <c r="A46">
        <v>1639009235</v>
      </c>
      <c r="B46">
        <v>7694963965</v>
      </c>
      <c r="C46" s="2" t="str">
        <f>HYPERLINK("https://weidian.com/item.html?itemID=7694963965","https://weidian.com/item.html?itemID=7694963965")</f>
        <v>https://weidian.com/item.html?itemID=7694963965</v>
      </c>
      <c r="E46" s="2" t="str">
        <f>HYPERLINK("https://si.geilicdn.com/pcitem902002701844-3b530000019c89ba9c110a811411_1440_1080.jpg?w=640&amp;h=640","https://si.geilicdn.com/pcitem902002701844-3b530000019c89ba9c110a811411_1440_1080.jpg?w=640&amp;h=640")</f>
        <v>https://si.geilicdn.com/pcitem902002701844-3b530000019c89ba9c110a811411_1440_1080.jpg?w=640&amp;h=640</v>
      </c>
      <c r="F46" t="s">
        <v>23</v>
      </c>
      <c r="G46" t="s">
        <v>24</v>
      </c>
      <c r="H46" t="s">
        <v>244</v>
      </c>
      <c r="I46">
        <v>57.97</v>
      </c>
      <c r="J46" t="s">
        <v>504</v>
      </c>
      <c r="K46" t="s">
        <v>505</v>
      </c>
      <c r="L46" t="s">
        <v>506</v>
      </c>
      <c r="M46" t="s">
        <v>507</v>
      </c>
      <c r="N46" t="s">
        <v>508</v>
      </c>
      <c r="O46" t="s">
        <v>238</v>
      </c>
      <c r="P46" t="s">
        <v>509</v>
      </c>
      <c r="Q46" t="s">
        <v>510</v>
      </c>
      <c r="R46" t="s">
        <v>511</v>
      </c>
      <c r="V46" t="s">
        <v>512</v>
      </c>
      <c r="W46" t="s">
        <v>513</v>
      </c>
    </row>
    <row r="47" ht="25.5" customHeight="1" spans="1:23">
      <c r="A47">
        <v>1639009235</v>
      </c>
      <c r="B47">
        <v>7697916410</v>
      </c>
      <c r="C47" s="2" t="str">
        <f>HYPERLINK("https://weidian.com/item.html?itemID=7697916410","https://weidian.com/item.html?itemID=7697916410")</f>
        <v>https://weidian.com/item.html?itemID=7697916410</v>
      </c>
      <c r="E47" s="2" t="str">
        <f>HYPERLINK("https://si.geilicdn.com/pcitem902002701844-7d580000019c89c5bd400a8133cc_1080_720.jpg?w=640&amp;h=640","https://si.geilicdn.com/pcitem902002701844-7d580000019c89c5bd400a8133cc_1080_720.jpg?w=640&amp;h=640")</f>
        <v>https://si.geilicdn.com/pcitem902002701844-7d580000019c89c5bd400a8133cc_1080_720.jpg?w=640&amp;h=640</v>
      </c>
      <c r="F47" t="s">
        <v>23</v>
      </c>
      <c r="G47" t="s">
        <v>24</v>
      </c>
      <c r="H47" t="s">
        <v>150</v>
      </c>
      <c r="I47">
        <v>37.68</v>
      </c>
      <c r="J47" t="s">
        <v>514</v>
      </c>
      <c r="K47" t="s">
        <v>515</v>
      </c>
      <c r="L47" t="s">
        <v>516</v>
      </c>
      <c r="M47" t="s">
        <v>517</v>
      </c>
      <c r="N47" t="s">
        <v>518</v>
      </c>
      <c r="O47" t="s">
        <v>31</v>
      </c>
      <c r="P47" t="s">
        <v>519</v>
      </c>
      <c r="Q47" t="s">
        <v>520</v>
      </c>
      <c r="R47" t="s">
        <v>521</v>
      </c>
      <c r="V47" t="s">
        <v>522</v>
      </c>
      <c r="W47" t="s">
        <v>523</v>
      </c>
    </row>
    <row r="48" ht="25.5" customHeight="1" spans="1:23">
      <c r="A48">
        <v>1639009235</v>
      </c>
      <c r="B48">
        <v>7694981251</v>
      </c>
      <c r="C48" s="2" t="str">
        <f>HYPERLINK("https://weidian.com/item.html?itemID=7694981251","https://weidian.com/item.html?itemID=7694981251")</f>
        <v>https://weidian.com/item.html?itemID=7694981251</v>
      </c>
      <c r="E48" s="2" t="str">
        <f>HYPERLINK("https://si.geilicdn.com/pcitem902002701844-43630000019c8dcb82150a20e2c5_1440_1440.jpg?w=640&amp;h=640","https://si.geilicdn.com/pcitem902002701844-43630000019c8dcb82150a20e2c5_1440_1440.jpg?w=640&amp;h=640")</f>
        <v>https://si.geilicdn.com/pcitem902002701844-43630000019c8dcb82150a20e2c5_1440_1440.jpg?w=640&amp;h=640</v>
      </c>
      <c r="F48" t="s">
        <v>23</v>
      </c>
      <c r="G48" t="s">
        <v>63</v>
      </c>
      <c r="H48" t="s">
        <v>138</v>
      </c>
      <c r="I48">
        <v>23.19</v>
      </c>
      <c r="J48" t="s">
        <v>524</v>
      </c>
      <c r="K48" t="s">
        <v>525</v>
      </c>
      <c r="L48" t="s">
        <v>526</v>
      </c>
      <c r="M48" t="s">
        <v>527</v>
      </c>
      <c r="N48" t="s">
        <v>528</v>
      </c>
      <c r="O48" t="s">
        <v>177</v>
      </c>
      <c r="P48" t="s">
        <v>529</v>
      </c>
      <c r="Q48" t="s">
        <v>530</v>
      </c>
      <c r="R48" t="s">
        <v>531</v>
      </c>
      <c r="V48" t="s">
        <v>532</v>
      </c>
      <c r="W48" t="s">
        <v>533</v>
      </c>
    </row>
    <row r="49" ht="25.5" customHeight="1" spans="1:23">
      <c r="A49">
        <v>1639009235</v>
      </c>
      <c r="B49">
        <v>7697912388</v>
      </c>
      <c r="C49" s="2" t="str">
        <f>HYPERLINK("https://weidian.com/item.html?itemID=7697912388","https://weidian.com/item.html?itemID=7697912388")</f>
        <v>https://weidian.com/item.html?itemID=7697912388</v>
      </c>
      <c r="E49" s="2" t="str">
        <f>HYPERLINK("https://si.geilicdn.com/pcitem902002701844-64600000019c89c2d4c50a20e7c7_1080_720.jpg?w=640&amp;h=640","https://si.geilicdn.com/pcitem902002701844-64600000019c89c2d4c50a20e7c7_1080_720.jpg?w=640&amp;h=640")</f>
        <v>https://si.geilicdn.com/pcitem902002701844-64600000019c89c2d4c50a20e7c7_1080_720.jpg?w=640&amp;h=640</v>
      </c>
      <c r="F49" t="s">
        <v>23</v>
      </c>
      <c r="G49" t="s">
        <v>24</v>
      </c>
      <c r="H49" t="s">
        <v>150</v>
      </c>
      <c r="I49">
        <v>37.68</v>
      </c>
      <c r="J49" t="s">
        <v>534</v>
      </c>
      <c r="K49" t="s">
        <v>535</v>
      </c>
      <c r="L49" t="s">
        <v>536</v>
      </c>
      <c r="M49" t="s">
        <v>537</v>
      </c>
      <c r="N49" t="s">
        <v>538</v>
      </c>
      <c r="O49" t="s">
        <v>238</v>
      </c>
      <c r="P49" t="s">
        <v>539</v>
      </c>
      <c r="Q49" t="s">
        <v>540</v>
      </c>
      <c r="R49" t="s">
        <v>541</v>
      </c>
      <c r="V49" t="s">
        <v>542</v>
      </c>
      <c r="W49" t="s">
        <v>543</v>
      </c>
    </row>
    <row r="50" ht="25.5" customHeight="1" spans="1:23">
      <c r="A50">
        <v>1639009235</v>
      </c>
      <c r="B50">
        <v>7694924405</v>
      </c>
      <c r="C50" s="2" t="str">
        <f>HYPERLINK("https://weidian.com/item.html?itemID=7694924405","https://weidian.com/item.html?itemID=7694924405")</f>
        <v>https://weidian.com/item.html?itemID=7694924405</v>
      </c>
      <c r="E50" s="2" t="str">
        <f>HYPERLINK("https://si.geilicdn.com/pcitem902002701844-18960000019c89b022b10a21146b_1440_1080.jpg?w=640&amp;h=640","https://si.geilicdn.com/pcitem902002701844-18960000019c89b022b10a21146b_1440_1080.jpg?w=640&amp;h=640")</f>
        <v>https://si.geilicdn.com/pcitem902002701844-18960000019c89b022b10a21146b_1440_1080.jpg?w=640&amp;h=640</v>
      </c>
      <c r="F50" t="s">
        <v>23</v>
      </c>
      <c r="G50" t="s">
        <v>24</v>
      </c>
      <c r="H50" t="s">
        <v>544</v>
      </c>
      <c r="I50">
        <v>78.26</v>
      </c>
      <c r="J50" t="s">
        <v>545</v>
      </c>
      <c r="K50" t="s">
        <v>546</v>
      </c>
      <c r="L50" t="s">
        <v>547</v>
      </c>
      <c r="M50" t="s">
        <v>548</v>
      </c>
      <c r="N50" t="s">
        <v>549</v>
      </c>
      <c r="O50" t="s">
        <v>238</v>
      </c>
      <c r="P50" t="s">
        <v>550</v>
      </c>
      <c r="Q50" t="s">
        <v>551</v>
      </c>
      <c r="R50" t="s">
        <v>552</v>
      </c>
      <c r="V50" t="s">
        <v>553</v>
      </c>
      <c r="W50" t="s">
        <v>554</v>
      </c>
    </row>
    <row r="51" ht="25.5" customHeight="1" spans="1:23">
      <c r="A51">
        <v>1639009235</v>
      </c>
      <c r="B51">
        <v>7695002779</v>
      </c>
      <c r="C51" s="2" t="str">
        <f>HYPERLINK("https://weidian.com/item.html?itemID=7695002779","https://weidian.com/item.html?itemID=7695002779")</f>
        <v>https://weidian.com/item.html?itemID=7695002779</v>
      </c>
      <c r="E51" s="2" t="str">
        <f>HYPERLINK("https://si.geilicdn.com/pcitem902002701844-45b40000019c8dc29a7e0a2304aa_1440_1920.jpg?w=640&amp;h=640","https://si.geilicdn.com/pcitem902002701844-45b40000019c8dc29a7e0a2304aa_1440_1920.jpg?w=640&amp;h=640")</f>
        <v>https://si.geilicdn.com/pcitem902002701844-45b40000019c8dc29a7e0a2304aa_1440_1920.jpg?w=640&amp;h=640</v>
      </c>
      <c r="F51" t="s">
        <v>23</v>
      </c>
      <c r="G51" t="s">
        <v>63</v>
      </c>
      <c r="H51" t="s">
        <v>138</v>
      </c>
      <c r="I51">
        <v>23.19</v>
      </c>
      <c r="J51" t="s">
        <v>555</v>
      </c>
      <c r="K51" t="s">
        <v>556</v>
      </c>
      <c r="L51" t="s">
        <v>557</v>
      </c>
      <c r="M51" t="s">
        <v>558</v>
      </c>
      <c r="N51" t="s">
        <v>559</v>
      </c>
      <c r="O51" t="s">
        <v>166</v>
      </c>
      <c r="P51" t="s">
        <v>560</v>
      </c>
      <c r="Q51" t="s">
        <v>561</v>
      </c>
      <c r="R51" t="s">
        <v>562</v>
      </c>
      <c r="V51" t="s">
        <v>563</v>
      </c>
      <c r="W51" t="s">
        <v>564</v>
      </c>
    </row>
    <row r="52" ht="25.5" customHeight="1" spans="1:23">
      <c r="A52">
        <v>1639009235</v>
      </c>
      <c r="B52">
        <v>7694942245</v>
      </c>
      <c r="C52" s="2" t="str">
        <f>HYPERLINK("https://weidian.com/item.html?itemID=7694942245","https://weidian.com/item.html?itemID=7694942245")</f>
        <v>https://weidian.com/item.html?itemID=7694942245</v>
      </c>
      <c r="E52" s="2" t="str">
        <f>HYPERLINK("https://si.geilicdn.com/pcitem902002701844-7be30000019c89c31beb0a8133cc_1080_720.jpg?w=640&amp;h=640","https://si.geilicdn.com/pcitem902002701844-7be30000019c89c31beb0a8133cc_1080_720.jpg?w=640&amp;h=640")</f>
        <v>https://si.geilicdn.com/pcitem902002701844-7be30000019c89c31beb0a8133cc_1080_720.jpg?w=640&amp;h=640</v>
      </c>
      <c r="F52" t="s">
        <v>23</v>
      </c>
      <c r="G52" t="s">
        <v>24</v>
      </c>
      <c r="H52" t="s">
        <v>150</v>
      </c>
      <c r="I52">
        <v>37.68</v>
      </c>
      <c r="J52" t="s">
        <v>565</v>
      </c>
      <c r="K52" t="s">
        <v>566</v>
      </c>
      <c r="L52" t="s">
        <v>567</v>
      </c>
      <c r="M52" t="s">
        <v>568</v>
      </c>
      <c r="N52" t="s">
        <v>569</v>
      </c>
      <c r="O52" t="s">
        <v>238</v>
      </c>
      <c r="P52" t="s">
        <v>570</v>
      </c>
      <c r="Q52" t="s">
        <v>571</v>
      </c>
      <c r="R52" t="s">
        <v>572</v>
      </c>
      <c r="V52" t="s">
        <v>573</v>
      </c>
      <c r="W52" t="s">
        <v>574</v>
      </c>
    </row>
    <row r="53" ht="25.5" customHeight="1" spans="1:23">
      <c r="A53">
        <v>1639009235</v>
      </c>
      <c r="B53">
        <v>7697502832</v>
      </c>
      <c r="C53" s="2" t="str">
        <f>HYPERLINK("https://weidian.com/item.html?itemID=7697502832","https://weidian.com/item.html?itemID=7697502832")</f>
        <v>https://weidian.com/item.html?itemID=7697502832</v>
      </c>
      <c r="E53" s="2" t="str">
        <f>HYPERLINK("https://si.geilicdn.com/pcitem902002701844-60bc0000019c8dbc61210a8134f0_1080_1080.jpg?w=640&amp;h=640","https://si.geilicdn.com/pcitem902002701844-60bc0000019c8dbc61210a8134f0_1080_1080.jpg?w=640&amp;h=640")</f>
        <v>https://si.geilicdn.com/pcitem902002701844-60bc0000019c8dbc61210a8134f0_1080_1080.jpg?w=640&amp;h=640</v>
      </c>
      <c r="F53" t="s">
        <v>23</v>
      </c>
      <c r="G53" t="s">
        <v>63</v>
      </c>
      <c r="H53" t="s">
        <v>138</v>
      </c>
      <c r="I53">
        <v>23.19</v>
      </c>
      <c r="J53" t="s">
        <v>575</v>
      </c>
      <c r="K53" t="s">
        <v>576</v>
      </c>
      <c r="L53" t="s">
        <v>577</v>
      </c>
      <c r="M53" t="s">
        <v>578</v>
      </c>
      <c r="N53" t="s">
        <v>579</v>
      </c>
      <c r="O53" t="s">
        <v>580</v>
      </c>
      <c r="P53" t="s">
        <v>581</v>
      </c>
      <c r="Q53" t="s">
        <v>582</v>
      </c>
      <c r="R53" t="s">
        <v>583</v>
      </c>
      <c r="V53" t="s">
        <v>584</v>
      </c>
      <c r="W53" t="s">
        <v>585</v>
      </c>
    </row>
    <row r="54" ht="25.5" customHeight="1" spans="1:23">
      <c r="A54">
        <v>1639009235</v>
      </c>
      <c r="B54">
        <v>7577390419</v>
      </c>
      <c r="C54" s="2" t="str">
        <f>HYPERLINK("https://weidian.com/item.html?itemID=7577390419","https://weidian.com/item.html?itemID=7577390419")</f>
        <v>https://weidian.com/item.html?itemID=7577390419</v>
      </c>
      <c r="E54" s="2" t="str">
        <f>HYPERLINK("https://si.geilicdn.com/pcitem901931856508-73e0000001958462f1f80a21146b_1080_720.jpg?w=640&amp;h=640","https://si.geilicdn.com/pcitem901931856508-73e0000001958462f1f80a21146b_1080_720.jpg?w=640&amp;h=640")</f>
        <v>https://si.geilicdn.com/pcitem901931856508-73e0000001958462f1f80a21146b_1080_720.jpg?w=640&amp;h=640</v>
      </c>
      <c r="F54" t="s">
        <v>23</v>
      </c>
      <c r="G54" t="s">
        <v>586</v>
      </c>
      <c r="H54" t="s">
        <v>587</v>
      </c>
      <c r="I54">
        <v>35.2173913043478</v>
      </c>
      <c r="J54" t="s">
        <v>588</v>
      </c>
      <c r="K54" t="s">
        <v>589</v>
      </c>
      <c r="L54" t="s">
        <v>590</v>
      </c>
      <c r="M54" t="s">
        <v>591</v>
      </c>
      <c r="N54" t="s">
        <v>592</v>
      </c>
      <c r="O54" t="s">
        <v>593</v>
      </c>
      <c r="P54" t="s">
        <v>594</v>
      </c>
      <c r="Q54" t="s">
        <v>595</v>
      </c>
      <c r="R54" t="s">
        <v>596</v>
      </c>
      <c r="V54" t="s">
        <v>597</v>
      </c>
      <c r="W54" t="s">
        <v>598</v>
      </c>
    </row>
    <row r="55" ht="25.5" customHeight="1" spans="1:23">
      <c r="A55">
        <v>1639009235</v>
      </c>
      <c r="B55">
        <v>7700321679</v>
      </c>
      <c r="C55" s="2" t="str">
        <f>HYPERLINK("https://weidian.com/item.html?itemID=7700321679","https://weidian.com/item.html?itemID=7700321679")</f>
        <v>https://weidian.com/item.html?itemID=7700321679</v>
      </c>
      <c r="E55" s="2" t="str">
        <f>HYPERLINK("https://si.geilicdn.com/pcitem902002701844-43e70000019cb6f9d9410a21146b_1074_1074.jpg?w=640&amp;h=640","https://si.geilicdn.com/pcitem902002701844-43e70000019cb6f9d9410a21146b_1074_1074.jpg?w=640&amp;h=640")</f>
        <v>https://si.geilicdn.com/pcitem902002701844-43e70000019cb6f9d9410a21146b_1074_1074.jpg?w=640&amp;h=640</v>
      </c>
      <c r="F55" t="s">
        <v>23</v>
      </c>
      <c r="G55" t="s">
        <v>599</v>
      </c>
      <c r="H55" t="s">
        <v>265</v>
      </c>
      <c r="I55">
        <v>43.48</v>
      </c>
      <c r="J55" t="s">
        <v>600</v>
      </c>
      <c r="K55" t="s">
        <v>601</v>
      </c>
      <c r="L55" t="s">
        <v>602</v>
      </c>
      <c r="M55" t="s">
        <v>603</v>
      </c>
      <c r="N55" t="s">
        <v>604</v>
      </c>
      <c r="O55" t="s">
        <v>605</v>
      </c>
      <c r="P55" t="s">
        <v>606</v>
      </c>
      <c r="Q55" t="s">
        <v>607</v>
      </c>
      <c r="R55" t="s">
        <v>608</v>
      </c>
      <c r="V55" t="s">
        <v>609</v>
      </c>
      <c r="W55" t="s">
        <v>610</v>
      </c>
    </row>
    <row r="56" ht="25.5" customHeight="1" spans="1:23">
      <c r="A56">
        <v>1639009235</v>
      </c>
      <c r="B56">
        <v>7700199327</v>
      </c>
      <c r="C56" s="2" t="str">
        <f>HYPERLINK("https://weidian.com/item.html?itemID=7700199327","https://weidian.com/item.html?itemID=7700199327")</f>
        <v>https://weidian.com/item.html?itemID=7700199327</v>
      </c>
      <c r="E56" s="2" t="str">
        <f>HYPERLINK("https://si.geilicdn.com/pcitem902002701844-0bb00000019cb6ec634c0a23057e_1074_1074.jpg?w=640&amp;h=640","https://si.geilicdn.com/pcitem902002701844-0bb00000019cb6ec634c0a23057e_1074_1074.jpg?w=640&amp;h=640")</f>
        <v>https://si.geilicdn.com/pcitem902002701844-0bb00000019cb6ec634c0a23057e_1074_1074.jpg?w=640&amp;h=640</v>
      </c>
      <c r="F56" t="s">
        <v>23</v>
      </c>
      <c r="G56" t="s">
        <v>599</v>
      </c>
      <c r="H56" t="s">
        <v>265</v>
      </c>
      <c r="I56">
        <v>43.48</v>
      </c>
      <c r="J56" t="s">
        <v>611</v>
      </c>
      <c r="K56" t="s">
        <v>612</v>
      </c>
      <c r="L56" t="s">
        <v>613</v>
      </c>
      <c r="M56" t="s">
        <v>614</v>
      </c>
      <c r="N56" t="s">
        <v>615</v>
      </c>
      <c r="O56" t="s">
        <v>616</v>
      </c>
      <c r="P56" t="s">
        <v>617</v>
      </c>
      <c r="Q56" t="s">
        <v>618</v>
      </c>
      <c r="R56" t="s">
        <v>619</v>
      </c>
      <c r="V56" t="s">
        <v>620</v>
      </c>
      <c r="W56" t="s">
        <v>621</v>
      </c>
    </row>
    <row r="57" ht="25.5" customHeight="1" spans="1:23">
      <c r="A57">
        <v>1639009235</v>
      </c>
      <c r="B57">
        <v>7699822455</v>
      </c>
      <c r="C57" s="2" t="str">
        <f>HYPERLINK("https://weidian.com/item.html?itemID=7699822455","https://weidian.com/item.html?itemID=7699822455")</f>
        <v>https://weidian.com/item.html?itemID=7699822455</v>
      </c>
      <c r="E57" s="2" t="str">
        <f>HYPERLINK("https://si.geilicdn.com/pcitem902002701844-56620000019cb6dda7720a231316_1442_1922.jpg?w=640&amp;h=640","https://si.geilicdn.com/pcitem902002701844-56620000019cb6dda7720a231316_1442_1922.jpg?w=640&amp;h=640")</f>
        <v>https://si.geilicdn.com/pcitem902002701844-56620000019cb6dda7720a231316_1442_1922.jpg?w=640&amp;h=640</v>
      </c>
      <c r="F57" t="s">
        <v>23</v>
      </c>
      <c r="G57" t="s">
        <v>599</v>
      </c>
      <c r="H57" t="s">
        <v>265</v>
      </c>
      <c r="I57">
        <v>43.48</v>
      </c>
      <c r="J57" t="s">
        <v>622</v>
      </c>
      <c r="K57" t="s">
        <v>623</v>
      </c>
      <c r="L57" t="s">
        <v>624</v>
      </c>
      <c r="M57" t="s">
        <v>625</v>
      </c>
      <c r="N57" t="s">
        <v>626</v>
      </c>
      <c r="O57" t="s">
        <v>605</v>
      </c>
      <c r="P57" t="s">
        <v>627</v>
      </c>
      <c r="Q57" t="s">
        <v>628</v>
      </c>
      <c r="R57" t="s">
        <v>629</v>
      </c>
      <c r="V57" t="s">
        <v>630</v>
      </c>
      <c r="W57" t="s">
        <v>631</v>
      </c>
    </row>
    <row r="58" ht="25.5" customHeight="1" spans="1:23">
      <c r="A58">
        <v>1639009235</v>
      </c>
      <c r="B58">
        <v>7700749242</v>
      </c>
      <c r="C58" s="2" t="str">
        <f>HYPERLINK("https://weidian.com/item.html?itemID=7700749242","https://weidian.com/item.html?itemID=7700749242")</f>
        <v>https://weidian.com/item.html?itemID=7700749242</v>
      </c>
      <c r="E58" s="2" t="str">
        <f>HYPERLINK("https://si.geilicdn.com/pcitem902002701844-5a5e0000019ca8d4d43b0a8134f0_1080_1080.jpg?w=640&amp;h=640","https://si.geilicdn.com/pcitem902002701844-5a5e0000019ca8d4d43b0a8134f0_1080_1080.jpg?w=640&amp;h=640")</f>
        <v>https://si.geilicdn.com/pcitem902002701844-5a5e0000019ca8d4d43b0a8134f0_1080_1080.jpg?w=640&amp;h=640</v>
      </c>
      <c r="F58" t="s">
        <v>23</v>
      </c>
      <c r="G58" t="s">
        <v>632</v>
      </c>
      <c r="H58" t="s">
        <v>633</v>
      </c>
      <c r="I58">
        <v>95.65</v>
      </c>
      <c r="J58" t="s">
        <v>634</v>
      </c>
      <c r="K58" t="s">
        <v>635</v>
      </c>
      <c r="L58" t="s">
        <v>636</v>
      </c>
      <c r="M58" t="s">
        <v>637</v>
      </c>
      <c r="N58" t="s">
        <v>638</v>
      </c>
      <c r="O58" t="s">
        <v>639</v>
      </c>
      <c r="P58" t="s">
        <v>640</v>
      </c>
      <c r="Q58" t="s">
        <v>641</v>
      </c>
      <c r="R58" t="s">
        <v>642</v>
      </c>
      <c r="V58" t="s">
        <v>643</v>
      </c>
      <c r="W58" t="s">
        <v>644</v>
      </c>
    </row>
    <row r="59" ht="25.5" customHeight="1" spans="1:23">
      <c r="A59">
        <v>1639009235</v>
      </c>
      <c r="B59">
        <v>7701471314</v>
      </c>
      <c r="C59" s="2" t="str">
        <f>HYPERLINK("https://weidian.com/item.html?itemID=7701471314","https://weidian.com/item.html?itemID=7701471314")</f>
        <v>https://weidian.com/item.html?itemID=7701471314</v>
      </c>
      <c r="E59" s="2" t="str">
        <f>HYPERLINK("https://si.geilicdn.com/pcitem902002701844-68eb0000019ca8d0c2450a8133cc_1086_816.jpg?w=640&amp;h=640","https://si.geilicdn.com/pcitem902002701844-68eb0000019ca8d0c2450a8133cc_1086_816.jpg?w=640&amp;h=640")</f>
        <v>https://si.geilicdn.com/pcitem902002701844-68eb0000019ca8d0c2450a8133cc_1086_816.jpg?w=640&amp;h=640</v>
      </c>
      <c r="F59" t="s">
        <v>23</v>
      </c>
      <c r="G59" t="s">
        <v>632</v>
      </c>
      <c r="H59" t="s">
        <v>645</v>
      </c>
      <c r="I59">
        <v>55.07</v>
      </c>
      <c r="J59" t="s">
        <v>646</v>
      </c>
      <c r="K59" t="s">
        <v>647</v>
      </c>
      <c r="L59" t="s">
        <v>648</v>
      </c>
      <c r="M59" t="s">
        <v>649</v>
      </c>
      <c r="N59" t="s">
        <v>650</v>
      </c>
      <c r="O59" t="s">
        <v>651</v>
      </c>
      <c r="P59" t="s">
        <v>652</v>
      </c>
      <c r="Q59" t="s">
        <v>653</v>
      </c>
      <c r="R59" t="s">
        <v>654</v>
      </c>
      <c r="V59" t="s">
        <v>655</v>
      </c>
      <c r="W59" t="s">
        <v>656</v>
      </c>
    </row>
    <row r="60" ht="25.5" customHeight="1" spans="1:23">
      <c r="A60">
        <v>1639009235</v>
      </c>
      <c r="B60">
        <v>7697383585</v>
      </c>
      <c r="C60" s="2" t="str">
        <f>HYPERLINK("https://weidian.com/item.html?itemID=7697383585","https://weidian.com/item.html?itemID=7697383585")</f>
        <v>https://weidian.com/item.html?itemID=7697383585</v>
      </c>
      <c r="E60" s="2" t="str">
        <f>HYPERLINK("https://si.geilicdn.com/pcitem902002701844-66240000019ca8cd54c20a230115_1160_1450.jpg?w=640&amp;h=640","https://si.geilicdn.com/pcitem902002701844-66240000019ca8cd54c20a230115_1160_1450.jpg?w=640&amp;h=640")</f>
        <v>https://si.geilicdn.com/pcitem902002701844-66240000019ca8cd54c20a230115_1160_1450.jpg?w=640&amp;h=640</v>
      </c>
      <c r="F60" t="s">
        <v>23</v>
      </c>
      <c r="G60" t="s">
        <v>632</v>
      </c>
      <c r="H60" t="s">
        <v>657</v>
      </c>
      <c r="I60">
        <v>46.38</v>
      </c>
      <c r="J60" t="s">
        <v>658</v>
      </c>
      <c r="K60" t="s">
        <v>659</v>
      </c>
      <c r="L60" t="s">
        <v>660</v>
      </c>
      <c r="M60" t="s">
        <v>661</v>
      </c>
      <c r="N60" t="s">
        <v>662</v>
      </c>
      <c r="O60" t="s">
        <v>639</v>
      </c>
      <c r="P60" t="s">
        <v>663</v>
      </c>
      <c r="Q60" t="s">
        <v>664</v>
      </c>
      <c r="R60" t="s">
        <v>665</v>
      </c>
      <c r="V60" t="s">
        <v>666</v>
      </c>
      <c r="W60" t="s">
        <v>667</v>
      </c>
    </row>
    <row r="61" ht="25.5" customHeight="1" spans="1:23">
      <c r="A61">
        <v>1639009235</v>
      </c>
      <c r="B61">
        <v>7701483116</v>
      </c>
      <c r="C61" s="2" t="str">
        <f>HYPERLINK("https://weidian.com/item.html?itemID=7701483116","https://weidian.com/item.html?itemID=7701483116")</f>
        <v>https://weidian.com/item.html?itemID=7701483116</v>
      </c>
      <c r="E61" s="2" t="str">
        <f>HYPERLINK("https://si.geilicdn.com/pcitem902002701844-55310000019ca8cbc2930a2102c5_1160_1450.jpg?w=640&amp;h=640","https://si.geilicdn.com/pcitem902002701844-55310000019ca8cbc2930a2102c5_1160_1450.jpg?w=640&amp;h=640")</f>
        <v>https://si.geilicdn.com/pcitem902002701844-55310000019ca8cbc2930a2102c5_1160_1450.jpg?w=640&amp;h=640</v>
      </c>
      <c r="F61" t="s">
        <v>23</v>
      </c>
      <c r="G61" t="s">
        <v>632</v>
      </c>
      <c r="H61" t="s">
        <v>657</v>
      </c>
      <c r="I61">
        <v>46.38</v>
      </c>
      <c r="J61" t="s">
        <v>668</v>
      </c>
      <c r="K61" t="s">
        <v>669</v>
      </c>
      <c r="L61" t="s">
        <v>670</v>
      </c>
      <c r="M61" t="s">
        <v>671</v>
      </c>
      <c r="N61" t="s">
        <v>672</v>
      </c>
      <c r="O61" t="s">
        <v>673</v>
      </c>
      <c r="P61" t="s">
        <v>674</v>
      </c>
      <c r="Q61" t="s">
        <v>675</v>
      </c>
      <c r="R61" t="s">
        <v>676</v>
      </c>
      <c r="V61" t="s">
        <v>677</v>
      </c>
      <c r="W61" t="s">
        <v>678</v>
      </c>
    </row>
    <row r="62" ht="25.5" customHeight="1" spans="1:23">
      <c r="A62">
        <v>1639009235</v>
      </c>
      <c r="B62">
        <v>7698500751</v>
      </c>
      <c r="C62" s="2" t="str">
        <f>HYPERLINK("https://weidian.com/item.html?itemID=7698500751","https://weidian.com/item.html?itemID=7698500751")</f>
        <v>https://weidian.com/item.html?itemID=7698500751</v>
      </c>
      <c r="E62" s="2" t="str">
        <f>HYPERLINK("https://si.geilicdn.com/pcitem902002701844-57230000019ca8c857e00a20e284_1086_816.jpg?w=640&amp;h=640","https://si.geilicdn.com/pcitem902002701844-57230000019ca8c857e00a20e284_1086_816.jpg?w=640&amp;h=640")</f>
        <v>https://si.geilicdn.com/pcitem902002701844-57230000019ca8c857e00a20e284_1086_816.jpg?w=640&amp;h=640</v>
      </c>
      <c r="F62" t="s">
        <v>23</v>
      </c>
      <c r="G62" t="s">
        <v>632</v>
      </c>
      <c r="H62" t="s">
        <v>657</v>
      </c>
      <c r="I62">
        <v>46.38</v>
      </c>
      <c r="J62" t="s">
        <v>679</v>
      </c>
      <c r="K62" t="s">
        <v>680</v>
      </c>
      <c r="L62" t="s">
        <v>681</v>
      </c>
      <c r="M62" t="s">
        <v>682</v>
      </c>
      <c r="N62" t="s">
        <v>683</v>
      </c>
      <c r="O62" t="s">
        <v>639</v>
      </c>
      <c r="P62" t="s">
        <v>684</v>
      </c>
      <c r="Q62" t="s">
        <v>685</v>
      </c>
      <c r="R62" t="s">
        <v>686</v>
      </c>
      <c r="V62" t="s">
        <v>687</v>
      </c>
      <c r="W62" t="s">
        <v>688</v>
      </c>
    </row>
    <row r="63" ht="25.5" customHeight="1" spans="1:23">
      <c r="A63">
        <v>1639009235</v>
      </c>
      <c r="B63">
        <v>7701512692</v>
      </c>
      <c r="C63" s="2" t="str">
        <f>HYPERLINK("https://weidian.com/item.html?itemID=7701512692","https://weidian.com/item.html?itemID=7701512692")</f>
        <v>https://weidian.com/item.html?itemID=7701512692</v>
      </c>
      <c r="E63" s="2" t="str">
        <f>HYPERLINK("https://si.geilicdn.com/pcitem902002701844-620d0000019ca8c664120a230115_1086_816.jpg?w=640&amp;h=640","https://si.geilicdn.com/pcitem902002701844-620d0000019ca8c664120a230115_1086_816.jpg?w=640&amp;h=640")</f>
        <v>https://si.geilicdn.com/pcitem902002701844-620d0000019ca8c664120a230115_1086_816.jpg?w=640&amp;h=640</v>
      </c>
      <c r="F63" t="s">
        <v>23</v>
      </c>
      <c r="G63" t="s">
        <v>632</v>
      </c>
      <c r="H63" t="s">
        <v>657</v>
      </c>
      <c r="I63">
        <v>46.38</v>
      </c>
      <c r="J63" t="s">
        <v>689</v>
      </c>
      <c r="K63" t="s">
        <v>690</v>
      </c>
      <c r="L63" t="s">
        <v>691</v>
      </c>
      <c r="M63" t="s">
        <v>692</v>
      </c>
      <c r="N63" t="s">
        <v>693</v>
      </c>
      <c r="O63" t="s">
        <v>639</v>
      </c>
      <c r="P63" t="s">
        <v>694</v>
      </c>
      <c r="Q63" t="s">
        <v>695</v>
      </c>
      <c r="R63" t="s">
        <v>696</v>
      </c>
      <c r="V63" t="s">
        <v>697</v>
      </c>
      <c r="W63" t="s">
        <v>698</v>
      </c>
    </row>
    <row r="64" ht="25.5" customHeight="1" spans="1:23">
      <c r="A64">
        <v>1639009235</v>
      </c>
      <c r="B64">
        <v>7698520791</v>
      </c>
      <c r="C64" s="2" t="str">
        <f>HYPERLINK("https://weidian.com/item.html?itemID=7698520791","https://weidian.com/item.html?itemID=7698520791")</f>
        <v>https://weidian.com/item.html?itemID=7698520791</v>
      </c>
      <c r="E64" s="2" t="str">
        <f>HYPERLINK("https://si.geilicdn.com/pcitem902002701844-31c60000019ca8c2cfd80a23913e_1440_1920.jpg?w=640&amp;h=640","https://si.geilicdn.com/pcitem902002701844-31c60000019ca8c2cfd80a23913e_1440_1920.jpg?w=640&amp;h=640")</f>
        <v>https://si.geilicdn.com/pcitem902002701844-31c60000019ca8c2cfd80a23913e_1440_1920.jpg?w=640&amp;h=640</v>
      </c>
      <c r="F64" t="s">
        <v>23</v>
      </c>
      <c r="G64" t="s">
        <v>632</v>
      </c>
      <c r="H64" t="s">
        <v>657</v>
      </c>
      <c r="I64">
        <v>46.38</v>
      </c>
      <c r="J64" t="s">
        <v>699</v>
      </c>
      <c r="K64" t="s">
        <v>700</v>
      </c>
      <c r="L64" t="s">
        <v>701</v>
      </c>
      <c r="M64" t="s">
        <v>702</v>
      </c>
      <c r="N64" t="s">
        <v>703</v>
      </c>
      <c r="O64" t="s">
        <v>639</v>
      </c>
      <c r="P64" t="s">
        <v>704</v>
      </c>
      <c r="Q64" t="s">
        <v>705</v>
      </c>
      <c r="R64" t="s">
        <v>706</v>
      </c>
      <c r="V64" t="s">
        <v>707</v>
      </c>
      <c r="W64" t="s">
        <v>708</v>
      </c>
    </row>
    <row r="65" ht="25.5" customHeight="1" spans="1:23">
      <c r="A65">
        <v>1639009235</v>
      </c>
      <c r="B65">
        <v>7700246857</v>
      </c>
      <c r="C65" s="2" t="str">
        <f>HYPERLINK("https://weidian.com/item.html?itemID=7700246857","https://weidian.com/item.html?itemID=7700246857")</f>
        <v>https://weidian.com/item.html?itemID=7700246857</v>
      </c>
      <c r="E65" s="2" t="str">
        <f>HYPERLINK("https://si.geilicdn.com/pcitem902002701844-074f0000019cb7006a060a239646_1074_1074.jpg?w=640&amp;h=640","https://si.geilicdn.com/pcitem902002701844-074f0000019cb7006a060a239646_1074_1074.jpg?w=640&amp;h=640")</f>
        <v>https://si.geilicdn.com/pcitem902002701844-074f0000019cb7006a060a239646_1074_1074.jpg?w=640&amp;h=640</v>
      </c>
      <c r="F65" t="s">
        <v>23</v>
      </c>
      <c r="G65" t="s">
        <v>599</v>
      </c>
      <c r="H65" t="s">
        <v>265</v>
      </c>
      <c r="I65">
        <v>43.48</v>
      </c>
      <c r="J65" t="s">
        <v>709</v>
      </c>
      <c r="K65" t="s">
        <v>710</v>
      </c>
      <c r="L65" t="s">
        <v>711</v>
      </c>
      <c r="M65" t="s">
        <v>712</v>
      </c>
      <c r="N65" t="s">
        <v>713</v>
      </c>
      <c r="O65" t="s">
        <v>714</v>
      </c>
      <c r="P65" t="s">
        <v>715</v>
      </c>
      <c r="Q65" t="s">
        <v>716</v>
      </c>
      <c r="R65" t="s">
        <v>717</v>
      </c>
      <c r="V65" t="s">
        <v>718</v>
      </c>
      <c r="W65" t="s">
        <v>719</v>
      </c>
    </row>
    <row r="66" ht="25.5" customHeight="1" spans="1:23">
      <c r="A66">
        <v>1639009235</v>
      </c>
      <c r="B66">
        <v>7700321691</v>
      </c>
      <c r="C66" s="2" t="str">
        <f>HYPERLINK("https://weidian.com/item.html?itemID=7700321691","https://weidian.com/item.html?itemID=7700321691")</f>
        <v>https://weidian.com/item.html?itemID=7700321691</v>
      </c>
      <c r="E66" s="2" t="str">
        <f>HYPERLINK("https://si.geilicdn.com/pcitem902002701844-19d00000019cb6fbff390a207569_1074_1074.jpg?w=640&amp;h=640","https://si.geilicdn.com/pcitem902002701844-19d00000019cb6fbff390a207569_1074_1074.jpg?w=640&amp;h=640")</f>
        <v>https://si.geilicdn.com/pcitem902002701844-19d00000019cb6fbff390a207569_1074_1074.jpg?w=640&amp;h=640</v>
      </c>
      <c r="F66" t="s">
        <v>23</v>
      </c>
      <c r="G66" t="s">
        <v>599</v>
      </c>
      <c r="H66" t="s">
        <v>265</v>
      </c>
      <c r="I66">
        <v>43.48</v>
      </c>
      <c r="J66" t="s">
        <v>720</v>
      </c>
      <c r="K66" t="s">
        <v>721</v>
      </c>
      <c r="L66" t="s">
        <v>722</v>
      </c>
      <c r="M66" t="s">
        <v>723</v>
      </c>
      <c r="N66" t="s">
        <v>724</v>
      </c>
      <c r="O66" t="s">
        <v>616</v>
      </c>
      <c r="P66" t="s">
        <v>725</v>
      </c>
      <c r="Q66" t="s">
        <v>726</v>
      </c>
      <c r="R66" t="s">
        <v>727</v>
      </c>
      <c r="V66" t="s">
        <v>728</v>
      </c>
      <c r="W66" t="s">
        <v>729</v>
      </c>
    </row>
    <row r="67" ht="25.5" customHeight="1" spans="1:23">
      <c r="A67">
        <v>1639009235</v>
      </c>
      <c r="B67">
        <v>7700193489</v>
      </c>
      <c r="C67" s="2" t="str">
        <f>HYPERLINK("https://weidian.com/item.html?itemID=7700193489","https://weidian.com/item.html?itemID=7700193489")</f>
        <v>https://weidian.com/item.html?itemID=7700193489</v>
      </c>
      <c r="E67" s="2" t="str">
        <f>HYPERLINK("https://si.geilicdn.com/pcitem902002701844-613a0000019cb6f8d0730a811411_1074_1074.jpg?w=640&amp;h=640","https://si.geilicdn.com/pcitem902002701844-613a0000019cb6f8d0730a811411_1074_1074.jpg?w=640&amp;h=640")</f>
        <v>https://si.geilicdn.com/pcitem902002701844-613a0000019cb6f8d0730a811411_1074_1074.jpg?w=640&amp;h=640</v>
      </c>
      <c r="F67" t="s">
        <v>23</v>
      </c>
      <c r="G67" t="s">
        <v>599</v>
      </c>
      <c r="H67" t="s">
        <v>265</v>
      </c>
      <c r="I67">
        <v>43.48</v>
      </c>
      <c r="J67" t="s">
        <v>730</v>
      </c>
      <c r="K67" t="s">
        <v>731</v>
      </c>
      <c r="L67" t="s">
        <v>732</v>
      </c>
      <c r="M67" t="s">
        <v>733</v>
      </c>
      <c r="N67" t="s">
        <v>734</v>
      </c>
      <c r="O67" t="s">
        <v>714</v>
      </c>
      <c r="P67" t="s">
        <v>735</v>
      </c>
      <c r="Q67" t="s">
        <v>736</v>
      </c>
      <c r="R67" t="s">
        <v>737</v>
      </c>
      <c r="V67" t="s">
        <v>738</v>
      </c>
      <c r="W67" t="s">
        <v>739</v>
      </c>
    </row>
    <row r="68" ht="25.5" customHeight="1" spans="1:23">
      <c r="A68">
        <v>1639009235</v>
      </c>
      <c r="B68">
        <v>7700276185</v>
      </c>
      <c r="C68" s="2" t="str">
        <f>HYPERLINK("https://weidian.com/item.html?itemID=7700276185","https://weidian.com/item.html?itemID=7700276185")</f>
        <v>https://weidian.com/item.html?itemID=7700276185</v>
      </c>
      <c r="E68" s="2" t="str">
        <f>HYPERLINK("https://si.geilicdn.com/pcitem902002701844-027f0000019cb6ee09160a2102c5_1074_1074.jpg?w=640&amp;h=640","https://si.geilicdn.com/pcitem902002701844-027f0000019cb6ee09160a2102c5_1074_1074.jpg?w=640&amp;h=640")</f>
        <v>https://si.geilicdn.com/pcitem902002701844-027f0000019cb6ee09160a2102c5_1074_1074.jpg?w=640&amp;h=640</v>
      </c>
      <c r="F68" t="s">
        <v>23</v>
      </c>
      <c r="G68" t="s">
        <v>599</v>
      </c>
      <c r="H68" t="s">
        <v>265</v>
      </c>
      <c r="I68">
        <v>43.48</v>
      </c>
      <c r="J68" t="s">
        <v>740</v>
      </c>
      <c r="K68" t="s">
        <v>741</v>
      </c>
      <c r="L68" t="s">
        <v>742</v>
      </c>
      <c r="M68" t="s">
        <v>743</v>
      </c>
      <c r="N68" t="s">
        <v>744</v>
      </c>
      <c r="O68" t="s">
        <v>745</v>
      </c>
      <c r="P68" t="s">
        <v>746</v>
      </c>
      <c r="Q68" t="s">
        <v>747</v>
      </c>
      <c r="R68" t="s">
        <v>748</v>
      </c>
      <c r="V68" t="s">
        <v>749</v>
      </c>
      <c r="W68" t="s">
        <v>750</v>
      </c>
    </row>
    <row r="69" ht="25.5" customHeight="1" spans="1:23">
      <c r="A69">
        <v>1639009235</v>
      </c>
      <c r="B69">
        <v>7703262180</v>
      </c>
      <c r="C69" s="2" t="str">
        <f>HYPERLINK("https://weidian.com/item.html?itemID=7703262180","https://weidian.com/item.html?itemID=7703262180")</f>
        <v>https://weidian.com/item.html?itemID=7703262180</v>
      </c>
      <c r="E69" s="2" t="str">
        <f>HYPERLINK("https://si.geilicdn.com/pcitem902002701844-07820000019cb6eaf1c80a81347d_1074_1074.jpg?w=640&amp;h=640","https://si.geilicdn.com/pcitem902002701844-07820000019cb6eaf1c80a81347d_1074_1074.jpg?w=640&amp;h=640")</f>
        <v>https://si.geilicdn.com/pcitem902002701844-07820000019cb6eaf1c80a81347d_1074_1074.jpg?w=640&amp;h=640</v>
      </c>
      <c r="F69" t="s">
        <v>23</v>
      </c>
      <c r="G69" t="s">
        <v>599</v>
      </c>
      <c r="H69" t="s">
        <v>265</v>
      </c>
      <c r="I69">
        <v>43.48</v>
      </c>
      <c r="J69" t="s">
        <v>751</v>
      </c>
      <c r="K69" t="s">
        <v>752</v>
      </c>
      <c r="L69" t="s">
        <v>753</v>
      </c>
      <c r="M69" t="s">
        <v>754</v>
      </c>
      <c r="N69" t="s">
        <v>755</v>
      </c>
      <c r="O69" t="s">
        <v>756</v>
      </c>
      <c r="P69" t="s">
        <v>757</v>
      </c>
      <c r="Q69" t="s">
        <v>758</v>
      </c>
      <c r="R69" t="s">
        <v>759</v>
      </c>
      <c r="V69" t="s">
        <v>760</v>
      </c>
      <c r="W69" t="s">
        <v>761</v>
      </c>
    </row>
    <row r="70" ht="25.5" customHeight="1" spans="1:23">
      <c r="A70">
        <v>1639009235</v>
      </c>
      <c r="B70">
        <v>7703189280</v>
      </c>
      <c r="C70" s="2" t="str">
        <f>HYPERLINK("https://weidian.com/item.html?itemID=7703189280","https://weidian.com/item.html?itemID=7703189280")</f>
        <v>https://weidian.com/item.html?itemID=7703189280</v>
      </c>
      <c r="E70" s="2" t="str">
        <f>HYPERLINK("https://si.geilicdn.com/pcitem902002701844-602e0000019cb6e6da460a23913e_1442_1922.jpg?w=640&amp;h=640","https://si.geilicdn.com/pcitem902002701844-602e0000019cb6e6da460a23913e_1442_1922.jpg?w=640&amp;h=640")</f>
        <v>https://si.geilicdn.com/pcitem902002701844-602e0000019cb6e6da460a23913e_1442_1922.jpg?w=640&amp;h=640</v>
      </c>
      <c r="F70" t="s">
        <v>23</v>
      </c>
      <c r="G70" t="s">
        <v>599</v>
      </c>
      <c r="H70" t="s">
        <v>265</v>
      </c>
      <c r="I70">
        <v>43.48</v>
      </c>
      <c r="J70" t="s">
        <v>762</v>
      </c>
      <c r="K70" t="s">
        <v>763</v>
      </c>
      <c r="L70" t="s">
        <v>764</v>
      </c>
      <c r="M70" t="s">
        <v>765</v>
      </c>
      <c r="N70" t="s">
        <v>766</v>
      </c>
      <c r="O70" t="s">
        <v>767</v>
      </c>
      <c r="P70" t="s">
        <v>768</v>
      </c>
      <c r="Q70" t="s">
        <v>769</v>
      </c>
      <c r="R70" t="s">
        <v>770</v>
      </c>
      <c r="V70" t="s">
        <v>771</v>
      </c>
      <c r="W70" t="s">
        <v>772</v>
      </c>
    </row>
    <row r="71" ht="25.5" customHeight="1" spans="1:23">
      <c r="A71">
        <v>1639009235</v>
      </c>
      <c r="B71">
        <v>7703181410</v>
      </c>
      <c r="C71" s="2" t="str">
        <f>HYPERLINK("https://weidian.com/item.html?itemID=7703181410","https://weidian.com/item.html?itemID=7703181410")</f>
        <v>https://weidian.com/item.html?itemID=7703181410</v>
      </c>
      <c r="E71" s="2" t="str">
        <f>HYPERLINK("https://si.geilicdn.com/pcitem902002701844-0bd70000019cb6e38c2a0a8133cc_1442_1922.jpg?w=640&amp;h=640","https://si.geilicdn.com/pcitem902002701844-0bd70000019cb6e38c2a0a8133cc_1442_1922.jpg?w=640&amp;h=640")</f>
        <v>https://si.geilicdn.com/pcitem902002701844-0bd70000019cb6e38c2a0a8133cc_1442_1922.jpg?w=640&amp;h=640</v>
      </c>
      <c r="F71" t="s">
        <v>23</v>
      </c>
      <c r="G71" t="s">
        <v>599</v>
      </c>
      <c r="H71" t="s">
        <v>265</v>
      </c>
      <c r="I71">
        <v>43.48</v>
      </c>
      <c r="J71" t="s">
        <v>773</v>
      </c>
      <c r="K71" t="s">
        <v>774</v>
      </c>
      <c r="L71" t="s">
        <v>775</v>
      </c>
      <c r="M71" t="s">
        <v>776</v>
      </c>
      <c r="N71" t="s">
        <v>777</v>
      </c>
      <c r="O71" t="s">
        <v>778</v>
      </c>
      <c r="P71" t="s">
        <v>779</v>
      </c>
      <c r="Q71" t="s">
        <v>780</v>
      </c>
      <c r="R71" t="s">
        <v>781</v>
      </c>
      <c r="V71" t="s">
        <v>782</v>
      </c>
      <c r="W71" t="s">
        <v>783</v>
      </c>
    </row>
    <row r="72" ht="25.5" customHeight="1" spans="1:23">
      <c r="A72">
        <v>1639009235</v>
      </c>
      <c r="B72">
        <v>7698475349</v>
      </c>
      <c r="C72" s="2" t="str">
        <f>HYPERLINK("https://weidian.com/item.html?itemID=7698475349","https://weidian.com/item.html?itemID=7698475349")</f>
        <v>https://weidian.com/item.html?itemID=7698475349</v>
      </c>
      <c r="E72" s="2" t="str">
        <f>HYPERLINK("https://si.geilicdn.com/pcitem902002701844-36670000019ca8ca67230a2304aa_1086_816.jpg?w=640&amp;h=640","https://si.geilicdn.com/pcitem902002701844-36670000019ca8ca67230a2304aa_1086_816.jpg?w=640&amp;h=640")</f>
        <v>https://si.geilicdn.com/pcitem902002701844-36670000019ca8ca67230a2304aa_1086_816.jpg?w=640&amp;h=640</v>
      </c>
      <c r="F72" t="s">
        <v>23</v>
      </c>
      <c r="G72" t="s">
        <v>632</v>
      </c>
      <c r="H72" t="s">
        <v>657</v>
      </c>
      <c r="I72">
        <v>46.38</v>
      </c>
      <c r="J72" t="s">
        <v>784</v>
      </c>
      <c r="K72" t="s">
        <v>785</v>
      </c>
      <c r="L72" t="s">
        <v>786</v>
      </c>
      <c r="M72" t="s">
        <v>787</v>
      </c>
      <c r="N72" t="s">
        <v>788</v>
      </c>
      <c r="O72" t="s">
        <v>673</v>
      </c>
      <c r="P72" t="s">
        <v>789</v>
      </c>
      <c r="Q72" t="s">
        <v>790</v>
      </c>
      <c r="R72" t="s">
        <v>791</v>
      </c>
      <c r="V72" t="s">
        <v>792</v>
      </c>
      <c r="W72" t="s">
        <v>793</v>
      </c>
    </row>
    <row r="73" ht="25.5" customHeight="1" spans="1:23">
      <c r="A73">
        <v>1639009235</v>
      </c>
      <c r="B73">
        <v>7698583667</v>
      </c>
      <c r="C73" s="2" t="str">
        <f>HYPERLINK("https://weidian.com/item.html?itemID=7698583667","https://weidian.com/item.html?itemID=7698583667")</f>
        <v>https://weidian.com/item.html?itemID=7698583667</v>
      </c>
      <c r="E73" s="2" t="str">
        <f>HYPERLINK("https://si.geilicdn.com/pcitem902002701844-5e0e0000019ca8c4adc20a23037f_1086_816.jpg?w=640&amp;h=640","https://si.geilicdn.com/pcitem902002701844-5e0e0000019ca8c4adc20a23037f_1086_816.jpg?w=640&amp;h=640")</f>
        <v>https://si.geilicdn.com/pcitem902002701844-5e0e0000019ca8c4adc20a23037f_1086_816.jpg?w=640&amp;h=640</v>
      </c>
      <c r="F73" t="s">
        <v>23</v>
      </c>
      <c r="G73" t="s">
        <v>632</v>
      </c>
      <c r="H73" t="s">
        <v>657</v>
      </c>
      <c r="I73">
        <v>46.38</v>
      </c>
      <c r="J73" t="s">
        <v>794</v>
      </c>
      <c r="K73" t="s">
        <v>795</v>
      </c>
      <c r="L73" t="s">
        <v>796</v>
      </c>
      <c r="M73" t="s">
        <v>797</v>
      </c>
      <c r="N73" t="s">
        <v>798</v>
      </c>
      <c r="O73" t="s">
        <v>639</v>
      </c>
      <c r="P73" t="s">
        <v>799</v>
      </c>
      <c r="Q73" t="s">
        <v>800</v>
      </c>
      <c r="R73" t="s">
        <v>801</v>
      </c>
      <c r="V73" t="s">
        <v>802</v>
      </c>
      <c r="W73" t="s">
        <v>803</v>
      </c>
    </row>
    <row r="74" ht="25.5" customHeight="1" spans="1:23">
      <c r="A74">
        <v>1639009235</v>
      </c>
      <c r="B74">
        <v>7698566051</v>
      </c>
      <c r="C74" s="2" t="str">
        <f>HYPERLINK("https://weidian.com/item.html?itemID=7698566051","https://weidian.com/item.html?itemID=7698566051")</f>
        <v>https://weidian.com/item.html?itemID=7698566051</v>
      </c>
      <c r="E74" s="2" t="str">
        <f>HYPERLINK("https://si.geilicdn.com/pcitem902002701844-54540000019ca8c3b0320a20e284_1086_816.jpg?w=640&amp;h=640","https://si.geilicdn.com/pcitem902002701844-54540000019ca8c3b0320a20e284_1086_816.jpg?w=640&amp;h=640")</f>
        <v>https://si.geilicdn.com/pcitem902002701844-54540000019ca8c3b0320a20e284_1086_816.jpg?w=640&amp;h=640</v>
      </c>
      <c r="F74" t="s">
        <v>23</v>
      </c>
      <c r="G74" t="s">
        <v>632</v>
      </c>
      <c r="H74" t="s">
        <v>657</v>
      </c>
      <c r="I74">
        <v>46.38</v>
      </c>
      <c r="J74" t="s">
        <v>804</v>
      </c>
      <c r="K74" t="s">
        <v>805</v>
      </c>
      <c r="L74" t="s">
        <v>806</v>
      </c>
      <c r="M74" t="s">
        <v>807</v>
      </c>
      <c r="N74" t="s">
        <v>808</v>
      </c>
      <c r="O74" t="s">
        <v>639</v>
      </c>
      <c r="P74" t="s">
        <v>809</v>
      </c>
      <c r="Q74" t="s">
        <v>810</v>
      </c>
      <c r="R74" t="s">
        <v>811</v>
      </c>
      <c r="V74" t="s">
        <v>812</v>
      </c>
      <c r="W74" t="s">
        <v>813</v>
      </c>
    </row>
    <row r="75" ht="25.5" customHeight="1" spans="1:23">
      <c r="A75">
        <v>1639009235</v>
      </c>
      <c r="B75">
        <v>7698544531</v>
      </c>
      <c r="C75" s="2" t="str">
        <f>HYPERLINK("https://weidian.com/item.html?itemID=7698544531","https://weidian.com/item.html?itemID=7698544531")</f>
        <v>https://weidian.com/item.html?itemID=7698544531</v>
      </c>
      <c r="E75" s="2" t="str">
        <f>HYPERLINK("https://si.geilicdn.com/pcitem902002701844-28fc0000019ca8bdfa4d0a20e2c5_1086_816.jpg?w=640&amp;h=640","https://si.geilicdn.com/pcitem902002701844-28fc0000019ca8bdfa4d0a20e2c5_1086_816.jpg?w=640&amp;h=640")</f>
        <v>https://si.geilicdn.com/pcitem902002701844-28fc0000019ca8bdfa4d0a20e2c5_1086_816.jpg?w=640&amp;h=640</v>
      </c>
      <c r="F75" t="s">
        <v>23</v>
      </c>
      <c r="G75" t="s">
        <v>632</v>
      </c>
      <c r="H75" t="s">
        <v>265</v>
      </c>
      <c r="I75">
        <v>43.48</v>
      </c>
      <c r="J75" t="s">
        <v>814</v>
      </c>
      <c r="K75" t="s">
        <v>815</v>
      </c>
      <c r="L75" t="s">
        <v>816</v>
      </c>
      <c r="M75" t="s">
        <v>817</v>
      </c>
      <c r="N75" t="s">
        <v>818</v>
      </c>
      <c r="O75" t="s">
        <v>639</v>
      </c>
      <c r="P75" t="s">
        <v>819</v>
      </c>
      <c r="Q75" t="s">
        <v>820</v>
      </c>
      <c r="R75" t="s">
        <v>821</v>
      </c>
      <c r="V75" t="s">
        <v>822</v>
      </c>
      <c r="W75" t="s">
        <v>823</v>
      </c>
    </row>
    <row r="76" ht="25.5" customHeight="1" spans="1:23">
      <c r="A76">
        <v>1639009235</v>
      </c>
      <c r="B76">
        <v>7701494968</v>
      </c>
      <c r="C76" s="2" t="str">
        <f>HYPERLINK("https://weidian.com/item.html?itemID=7701494968","https://weidian.com/item.html?itemID=7701494968")</f>
        <v>https://weidian.com/item.html?itemID=7701494968</v>
      </c>
      <c r="E76" s="2" t="str">
        <f>HYPERLINK("https://si.geilicdn.com/pcitem902002701844-28790000019ca8bd20f20a20e2c5_1086_816.jpg?w=640&amp;h=640","https://si.geilicdn.com/pcitem902002701844-28790000019ca8bd20f20a20e2c5_1086_816.jpg?w=640&amp;h=640")</f>
        <v>https://si.geilicdn.com/pcitem902002701844-28790000019ca8bd20f20a20e2c5_1086_816.jpg?w=640&amp;h=640</v>
      </c>
      <c r="F76" t="s">
        <v>23</v>
      </c>
      <c r="G76" t="s">
        <v>632</v>
      </c>
      <c r="H76" t="s">
        <v>265</v>
      </c>
      <c r="I76">
        <v>43.48</v>
      </c>
      <c r="J76" t="s">
        <v>824</v>
      </c>
      <c r="K76" t="s">
        <v>825</v>
      </c>
      <c r="L76" t="s">
        <v>826</v>
      </c>
      <c r="M76" t="s">
        <v>827</v>
      </c>
      <c r="N76" t="s">
        <v>828</v>
      </c>
      <c r="O76" t="s">
        <v>639</v>
      </c>
      <c r="P76" t="s">
        <v>829</v>
      </c>
      <c r="Q76" t="s">
        <v>830</v>
      </c>
      <c r="R76" t="s">
        <v>831</v>
      </c>
      <c r="V76" t="s">
        <v>832</v>
      </c>
      <c r="W76" t="s">
        <v>833</v>
      </c>
    </row>
    <row r="77" ht="25.5" customHeight="1" spans="1:23">
      <c r="A77">
        <v>1639009235</v>
      </c>
      <c r="B77">
        <v>7698491219</v>
      </c>
      <c r="C77" s="2" t="str">
        <f>HYPERLINK("https://weidian.com/item.html?itemID=7698491219","https://weidian.com/item.html?itemID=7698491219")</f>
        <v>https://weidian.com/item.html?itemID=7698491219</v>
      </c>
      <c r="E77" s="2" t="str">
        <f>HYPERLINK("https://si.geilicdn.com/pcitem902002701844-26b70000019ca8ba40bf0a20e2c5_1080_1080.jpg?w=640&amp;h=640","https://si.geilicdn.com/pcitem902002701844-26b70000019ca8ba40bf0a20e2c5_1080_1080.jpg?w=640&amp;h=640")</f>
        <v>https://si.geilicdn.com/pcitem902002701844-26b70000019ca8ba40bf0a20e2c5_1080_1080.jpg?w=640&amp;h=640</v>
      </c>
      <c r="F77" t="s">
        <v>23</v>
      </c>
      <c r="G77" t="s">
        <v>632</v>
      </c>
      <c r="H77" t="s">
        <v>834</v>
      </c>
      <c r="I77">
        <v>34.78</v>
      </c>
      <c r="J77" t="s">
        <v>835</v>
      </c>
      <c r="K77" t="s">
        <v>836</v>
      </c>
      <c r="L77" t="s">
        <v>837</v>
      </c>
      <c r="M77" t="s">
        <v>838</v>
      </c>
      <c r="N77" t="s">
        <v>839</v>
      </c>
      <c r="O77" t="s">
        <v>651</v>
      </c>
      <c r="P77" t="s">
        <v>840</v>
      </c>
      <c r="Q77" t="s">
        <v>841</v>
      </c>
      <c r="R77" t="s">
        <v>842</v>
      </c>
      <c r="V77" t="s">
        <v>843</v>
      </c>
      <c r="W77" t="s">
        <v>844</v>
      </c>
    </row>
    <row r="78" ht="25.5" customHeight="1" spans="1:23">
      <c r="A78">
        <v>1639009235</v>
      </c>
      <c r="B78">
        <v>7703272198</v>
      </c>
      <c r="C78" s="2" t="str">
        <f>HYPERLINK("https://weidian.com/item.html?itemID=7703272198","https://weidian.com/item.html?itemID=7703272198")</f>
        <v>https://weidian.com/item.html?itemID=7703272198</v>
      </c>
      <c r="E78" s="2" t="str">
        <f>HYPERLINK("https://si.geilicdn.com/pcitem902002701844-1df50000019cb6ff4bd80a23111a_1074_1074.jpg?w=640&amp;h=640","https://si.geilicdn.com/pcitem902002701844-1df50000019cb6ff4bd80a23111a_1074_1074.jpg?w=640&amp;h=640")</f>
        <v>https://si.geilicdn.com/pcitem902002701844-1df50000019cb6ff4bd80a23111a_1074_1074.jpg?w=640&amp;h=640</v>
      </c>
      <c r="F78" t="s">
        <v>23</v>
      </c>
      <c r="G78" t="s">
        <v>599</v>
      </c>
      <c r="H78" t="s">
        <v>265</v>
      </c>
      <c r="I78">
        <v>43.48</v>
      </c>
      <c r="J78" t="s">
        <v>845</v>
      </c>
      <c r="K78" t="s">
        <v>846</v>
      </c>
      <c r="L78" t="s">
        <v>847</v>
      </c>
      <c r="M78" t="s">
        <v>848</v>
      </c>
      <c r="N78" t="s">
        <v>849</v>
      </c>
      <c r="O78" t="s">
        <v>616</v>
      </c>
      <c r="P78" t="s">
        <v>850</v>
      </c>
      <c r="Q78" t="s">
        <v>851</v>
      </c>
      <c r="R78" t="s">
        <v>852</v>
      </c>
      <c r="V78" t="s">
        <v>853</v>
      </c>
      <c r="W78" t="s">
        <v>854</v>
      </c>
    </row>
    <row r="79" ht="25.5" customHeight="1" spans="1:23">
      <c r="A79">
        <v>1639009235</v>
      </c>
      <c r="B79">
        <v>7702259482</v>
      </c>
      <c r="C79" s="2" t="str">
        <f>HYPERLINK("https://weidian.com/item.html?itemID=7702259482","https://weidian.com/item.html?itemID=7702259482")</f>
        <v>https://weidian.com/item.html?itemID=7702259482</v>
      </c>
      <c r="E79" s="2" t="str">
        <f>HYPERLINK("https://si.geilicdn.com/pcitem902002701844-162c0000019cb6fd10210a23047e_1074_1074.jpg?w=640&amp;h=640","https://si.geilicdn.com/pcitem902002701844-162c0000019cb6fd10210a23047e_1074_1074.jpg?w=640&amp;h=640")</f>
        <v>https://si.geilicdn.com/pcitem902002701844-162c0000019cb6fd10210a23047e_1074_1074.jpg?w=640&amp;h=640</v>
      </c>
      <c r="F79" t="s">
        <v>23</v>
      </c>
      <c r="G79" t="s">
        <v>599</v>
      </c>
      <c r="H79" t="s">
        <v>265</v>
      </c>
      <c r="I79">
        <v>43.48</v>
      </c>
      <c r="J79" t="s">
        <v>855</v>
      </c>
      <c r="K79" t="s">
        <v>856</v>
      </c>
      <c r="L79" t="s">
        <v>857</v>
      </c>
      <c r="M79" t="s">
        <v>858</v>
      </c>
      <c r="N79" t="s">
        <v>859</v>
      </c>
      <c r="O79" t="s">
        <v>714</v>
      </c>
      <c r="P79" t="s">
        <v>860</v>
      </c>
      <c r="Q79" t="s">
        <v>861</v>
      </c>
      <c r="R79" t="s">
        <v>862</v>
      </c>
      <c r="V79" t="s">
        <v>863</v>
      </c>
      <c r="W79" t="s">
        <v>864</v>
      </c>
    </row>
    <row r="80" ht="25.5" customHeight="1" spans="1:23">
      <c r="A80">
        <v>1639009235</v>
      </c>
      <c r="B80">
        <v>7700313693</v>
      </c>
      <c r="C80" s="2" t="str">
        <f>HYPERLINK("https://weidian.com/item.html?itemID=7700313693","https://weidian.com/item.html?itemID=7700313693")</f>
        <v>https://weidian.com/item.html?itemID=7700313693</v>
      </c>
      <c r="E80" s="2" t="str">
        <f>HYPERLINK("https://si.geilicdn.com/pcitem902002701844-35c30000019cb6fb02d40a2103bd_1074_1074.jpg?w=640&amp;h=640","https://si.geilicdn.com/pcitem902002701844-35c30000019cb6fb02d40a2103bd_1074_1074.jpg?w=640&amp;h=640")</f>
        <v>https://si.geilicdn.com/pcitem902002701844-35c30000019cb6fb02d40a2103bd_1074_1074.jpg?w=640&amp;h=640</v>
      </c>
      <c r="F80" t="s">
        <v>23</v>
      </c>
      <c r="G80" t="s">
        <v>599</v>
      </c>
      <c r="H80" t="s">
        <v>265</v>
      </c>
      <c r="I80">
        <v>43.48</v>
      </c>
      <c r="J80" t="s">
        <v>865</v>
      </c>
      <c r="K80" t="s">
        <v>866</v>
      </c>
      <c r="L80" t="s">
        <v>867</v>
      </c>
      <c r="M80" t="s">
        <v>868</v>
      </c>
      <c r="N80" t="s">
        <v>869</v>
      </c>
      <c r="O80" t="s">
        <v>870</v>
      </c>
      <c r="P80" t="s">
        <v>871</v>
      </c>
      <c r="Q80" t="s">
        <v>872</v>
      </c>
      <c r="R80" t="s">
        <v>873</v>
      </c>
      <c r="V80" t="s">
        <v>874</v>
      </c>
      <c r="W80" t="s">
        <v>875</v>
      </c>
    </row>
    <row r="81" ht="25.5" customHeight="1" spans="1:23">
      <c r="A81">
        <v>1639009235</v>
      </c>
      <c r="B81">
        <v>7700219065</v>
      </c>
      <c r="C81" s="2" t="str">
        <f>HYPERLINK("https://weidian.com/item.html?itemID=7700219065","https://weidian.com/item.html?itemID=7700219065")</f>
        <v>https://weidian.com/item.html?itemID=7700219065</v>
      </c>
      <c r="E81" s="2" t="str">
        <f>HYPERLINK("https://si.geilicdn.com/pcitem902002701844-0dd30000019cb6f06c4f0a23057e_1074_1074.jpg?w=640&amp;h=640","https://si.geilicdn.com/pcitem902002701844-0dd30000019cb6f06c4f0a23057e_1074_1074.jpg?w=640&amp;h=640")</f>
        <v>https://si.geilicdn.com/pcitem902002701844-0dd30000019cb6f06c4f0a23057e_1074_1074.jpg?w=640&amp;h=640</v>
      </c>
      <c r="F81" t="s">
        <v>23</v>
      </c>
      <c r="G81" t="s">
        <v>599</v>
      </c>
      <c r="H81" t="s">
        <v>265</v>
      </c>
      <c r="I81">
        <v>43.48</v>
      </c>
      <c r="J81" t="s">
        <v>876</v>
      </c>
      <c r="K81" t="s">
        <v>877</v>
      </c>
      <c r="L81" t="s">
        <v>878</v>
      </c>
      <c r="M81" t="s">
        <v>879</v>
      </c>
      <c r="N81" t="s">
        <v>880</v>
      </c>
      <c r="O81" t="s">
        <v>870</v>
      </c>
      <c r="P81" t="s">
        <v>881</v>
      </c>
      <c r="Q81" t="s">
        <v>882</v>
      </c>
      <c r="R81" t="s">
        <v>883</v>
      </c>
      <c r="V81" t="s">
        <v>884</v>
      </c>
      <c r="W81" t="s">
        <v>885</v>
      </c>
    </row>
    <row r="82" ht="25.5" customHeight="1" spans="1:23">
      <c r="A82">
        <v>1639009235</v>
      </c>
      <c r="B82">
        <v>7700219057</v>
      </c>
      <c r="C82" s="2" t="str">
        <f>HYPERLINK("https://weidian.com/item.html?itemID=7700219057","https://weidian.com/item.html?itemID=7700219057")</f>
        <v>https://weidian.com/item.html?itemID=7700219057</v>
      </c>
      <c r="E82" s="2" t="str">
        <f>HYPERLINK("https://si.geilicdn.com/pcitem902002701844-0e4c0000019cb6ef2c880a23047e_1074_1074.jpg?w=640&amp;h=640","https://si.geilicdn.com/pcitem902002701844-0e4c0000019cb6ef2c880a23047e_1074_1074.jpg?w=640&amp;h=640")</f>
        <v>https://si.geilicdn.com/pcitem902002701844-0e4c0000019cb6ef2c880a23047e_1074_1074.jpg?w=640&amp;h=640</v>
      </c>
      <c r="F82" t="s">
        <v>23</v>
      </c>
      <c r="G82" t="s">
        <v>599</v>
      </c>
      <c r="H82" t="s">
        <v>265</v>
      </c>
      <c r="I82">
        <v>43.48</v>
      </c>
      <c r="J82" t="s">
        <v>886</v>
      </c>
      <c r="K82" t="s">
        <v>887</v>
      </c>
      <c r="L82" t="s">
        <v>888</v>
      </c>
      <c r="M82" t="s">
        <v>889</v>
      </c>
      <c r="N82" t="s">
        <v>890</v>
      </c>
      <c r="O82" t="s">
        <v>616</v>
      </c>
      <c r="P82" t="s">
        <v>891</v>
      </c>
      <c r="Q82" t="s">
        <v>892</v>
      </c>
      <c r="R82" t="s">
        <v>893</v>
      </c>
      <c r="V82" t="s">
        <v>894</v>
      </c>
      <c r="W82" t="s">
        <v>895</v>
      </c>
    </row>
    <row r="83" ht="25.5" customHeight="1" spans="1:23">
      <c r="A83">
        <v>1639009235</v>
      </c>
      <c r="B83">
        <v>7700227031</v>
      </c>
      <c r="C83" s="2" t="str">
        <f>HYPERLINK("https://weidian.com/item.html?itemID=7700227031","https://weidian.com/item.html?itemID=7700227031")</f>
        <v>https://weidian.com/item.html?itemID=7700227031</v>
      </c>
      <c r="E83" s="2" t="str">
        <f>HYPERLINK("https://si.geilicdn.com/pcitem902002701844-06700000019cb6e8f4670a81347d_1442_1922.jpg?w=640&amp;h=640","https://si.geilicdn.com/pcitem902002701844-06700000019cb6e8f4670a81347d_1442_1922.jpg?w=640&amp;h=640")</f>
        <v>https://si.geilicdn.com/pcitem902002701844-06700000019cb6e8f4670a81347d_1442_1922.jpg?w=640&amp;h=640</v>
      </c>
      <c r="F83" t="s">
        <v>23</v>
      </c>
      <c r="G83" t="s">
        <v>599</v>
      </c>
      <c r="H83" t="s">
        <v>896</v>
      </c>
      <c r="I83">
        <v>118.84</v>
      </c>
      <c r="J83" t="s">
        <v>897</v>
      </c>
      <c r="K83" t="s">
        <v>898</v>
      </c>
      <c r="L83" t="s">
        <v>899</v>
      </c>
      <c r="M83" t="s">
        <v>900</v>
      </c>
      <c r="N83" t="s">
        <v>901</v>
      </c>
      <c r="O83" t="s">
        <v>778</v>
      </c>
      <c r="P83" t="s">
        <v>902</v>
      </c>
      <c r="Q83" t="s">
        <v>903</v>
      </c>
      <c r="R83" t="s">
        <v>904</v>
      </c>
      <c r="V83" t="s">
        <v>905</v>
      </c>
      <c r="W83" t="s">
        <v>906</v>
      </c>
    </row>
    <row r="84" ht="25.5" customHeight="1" spans="1:23">
      <c r="A84">
        <v>1639009235</v>
      </c>
      <c r="B84">
        <v>7700272151</v>
      </c>
      <c r="C84" s="2" t="str">
        <f>HYPERLINK("https://weidian.com/item.html?itemID=7700272151","https://weidian.com/item.html?itemID=7700272151")</f>
        <v>https://weidian.com/item.html?itemID=7700272151</v>
      </c>
      <c r="E84" s="2" t="str">
        <f>HYPERLINK("https://si.geilicdn.com/pcitem902002701844-38700000019cb6e4f0350a21146b_1442_1922.jpg?w=640&amp;h=640","https://si.geilicdn.com/pcitem902002701844-38700000019cb6e4f0350a21146b_1442_1922.jpg?w=640&amp;h=640")</f>
        <v>https://si.geilicdn.com/pcitem902002701844-38700000019cb6e4f0350a21146b_1442_1922.jpg?w=640&amp;h=640</v>
      </c>
      <c r="F84" t="s">
        <v>23</v>
      </c>
      <c r="G84" t="s">
        <v>599</v>
      </c>
      <c r="H84" t="s">
        <v>896</v>
      </c>
      <c r="I84">
        <v>118.84</v>
      </c>
      <c r="J84" t="s">
        <v>907</v>
      </c>
      <c r="K84" t="s">
        <v>908</v>
      </c>
      <c r="L84" t="s">
        <v>909</v>
      </c>
      <c r="M84" t="s">
        <v>910</v>
      </c>
      <c r="N84" t="s">
        <v>911</v>
      </c>
      <c r="O84" t="s">
        <v>767</v>
      </c>
      <c r="P84" t="s">
        <v>912</v>
      </c>
      <c r="Q84" t="s">
        <v>913</v>
      </c>
      <c r="R84" t="s">
        <v>914</v>
      </c>
      <c r="V84" t="s">
        <v>915</v>
      </c>
      <c r="W84" t="s">
        <v>916</v>
      </c>
    </row>
    <row r="85" ht="25.5" customHeight="1" spans="1:23">
      <c r="A85">
        <v>1639009235</v>
      </c>
      <c r="B85">
        <v>7698780535</v>
      </c>
      <c r="C85" s="2" t="str">
        <f>HYPERLINK("https://weidian.com/item.html?itemID=7698780535","https://weidian.com/item.html?itemID=7698780535")</f>
        <v>https://weidian.com/item.html?itemID=7698780535</v>
      </c>
      <c r="E85" s="2" t="str">
        <f>HYPERLINK("https://si.geilicdn.com/pcitem902002701844-7c6d0000019cac2d58120a231177_1512_2016.jpg?w=640&amp;h=640","https://si.geilicdn.com/pcitem902002701844-7c6d0000019cac2d58120a231177_1512_2016.jpg?w=640&amp;h=640")</f>
        <v>https://si.geilicdn.com/pcitem902002701844-7c6d0000019cac2d58120a231177_1512_2016.jpg?w=640&amp;h=640</v>
      </c>
      <c r="F85" t="s">
        <v>23</v>
      </c>
      <c r="G85" t="s">
        <v>89</v>
      </c>
      <c r="H85" t="s">
        <v>917</v>
      </c>
      <c r="I85">
        <v>110.14</v>
      </c>
      <c r="J85" t="s">
        <v>918</v>
      </c>
      <c r="K85" t="s">
        <v>919</v>
      </c>
      <c r="L85" t="s">
        <v>920</v>
      </c>
      <c r="M85" t="s">
        <v>921</v>
      </c>
      <c r="N85" t="s">
        <v>922</v>
      </c>
      <c r="O85" t="s">
        <v>96</v>
      </c>
      <c r="P85" t="s">
        <v>923</v>
      </c>
      <c r="Q85" t="s">
        <v>924</v>
      </c>
      <c r="R85" t="s">
        <v>925</v>
      </c>
      <c r="V85" t="s">
        <v>926</v>
      </c>
      <c r="W85" t="s">
        <v>927</v>
      </c>
    </row>
    <row r="86" ht="25.5" customHeight="1" spans="1:23">
      <c r="A86">
        <v>1639009235</v>
      </c>
      <c r="B86">
        <v>7701559920</v>
      </c>
      <c r="C86" s="2" t="str">
        <f>HYPERLINK("https://weidian.com/item.html?itemID=7701559920","https://weidian.com/item.html?itemID=7701559920")</f>
        <v>https://weidian.com/item.html?itemID=7701559920</v>
      </c>
      <c r="E86" s="2" t="str">
        <f>HYPERLINK("https://si.geilicdn.com/pcitem902002701844-54740000019ca8cf11600a20e273_1440_1080.jpg?w=640&amp;h=640","https://si.geilicdn.com/pcitem902002701844-54740000019ca8cf11600a20e273_1440_1080.jpg?w=640&amp;h=640")</f>
        <v>https://si.geilicdn.com/pcitem902002701844-54740000019ca8cf11600a20e273_1440_1080.jpg?w=640&amp;h=640</v>
      </c>
      <c r="F86" t="s">
        <v>23</v>
      </c>
      <c r="G86" t="s">
        <v>632</v>
      </c>
      <c r="H86" t="s">
        <v>645</v>
      </c>
      <c r="I86">
        <v>55.07</v>
      </c>
      <c r="J86" t="s">
        <v>928</v>
      </c>
      <c r="K86" t="s">
        <v>929</v>
      </c>
      <c r="L86" t="s">
        <v>930</v>
      </c>
      <c r="M86" t="s">
        <v>931</v>
      </c>
      <c r="N86" t="s">
        <v>932</v>
      </c>
      <c r="O86" t="s">
        <v>639</v>
      </c>
      <c r="P86" t="s">
        <v>933</v>
      </c>
      <c r="Q86" t="s">
        <v>934</v>
      </c>
      <c r="R86" t="s">
        <v>935</v>
      </c>
      <c r="V86" t="s">
        <v>936</v>
      </c>
      <c r="W86" t="s">
        <v>937</v>
      </c>
    </row>
    <row r="87" ht="25.5" customHeight="1" spans="1:23">
      <c r="A87">
        <v>1639009235</v>
      </c>
      <c r="B87">
        <v>7701459404</v>
      </c>
      <c r="C87" s="2" t="str">
        <f>HYPERLINK("https://weidian.com/item.html?itemID=7701459404","https://weidian.com/item.html?itemID=7701459404")</f>
        <v>https://weidian.com/item.html?itemID=7701459404</v>
      </c>
      <c r="E87" s="2" t="str">
        <f>HYPERLINK("https://si.geilicdn.com/pcitem902002701844-4bff0000019ca8c10cf40a20e273_1086_816.jpg?w=640&amp;h=640","https://si.geilicdn.com/pcitem902002701844-4bff0000019ca8c10cf40a20e273_1086_816.jpg?w=640&amp;h=640")</f>
        <v>https://si.geilicdn.com/pcitem902002701844-4bff0000019ca8c10cf40a20e273_1086_816.jpg?w=640&amp;h=640</v>
      </c>
      <c r="F87" t="s">
        <v>23</v>
      </c>
      <c r="G87" t="s">
        <v>632</v>
      </c>
      <c r="H87" t="s">
        <v>265</v>
      </c>
      <c r="I87">
        <v>43.48</v>
      </c>
      <c r="J87" t="s">
        <v>938</v>
      </c>
      <c r="K87" t="s">
        <v>939</v>
      </c>
      <c r="L87" t="s">
        <v>940</v>
      </c>
      <c r="M87" t="s">
        <v>941</v>
      </c>
      <c r="N87" t="s">
        <v>942</v>
      </c>
      <c r="O87" t="s">
        <v>639</v>
      </c>
      <c r="P87" t="s">
        <v>943</v>
      </c>
      <c r="Q87" t="s">
        <v>944</v>
      </c>
      <c r="R87" t="s">
        <v>945</v>
      </c>
      <c r="V87" t="s">
        <v>946</v>
      </c>
      <c r="W87" t="s">
        <v>947</v>
      </c>
    </row>
    <row r="88" ht="25.5" customHeight="1" spans="1:23">
      <c r="A88">
        <v>1639009235</v>
      </c>
      <c r="B88">
        <v>7698566041</v>
      </c>
      <c r="C88" s="2" t="str">
        <f>HYPERLINK("https://weidian.com/item.html?itemID=7698566041","https://weidian.com/item.html?itemID=7698566041")</f>
        <v>https://weidian.com/item.html?itemID=7698566041</v>
      </c>
      <c r="E88" s="2" t="str">
        <f>HYPERLINK("https://si.geilicdn.com/pcitem902002701844-4af80000019ca8bf55b40a20e273_1086_816.jpg?w=640&amp;h=640","https://si.geilicdn.com/pcitem902002701844-4af80000019ca8bf55b40a20e273_1086_816.jpg?w=640&amp;h=640")</f>
        <v>https://si.geilicdn.com/pcitem902002701844-4af80000019ca8bf55b40a20e273_1086_816.jpg?w=640&amp;h=640</v>
      </c>
      <c r="F88" t="s">
        <v>23</v>
      </c>
      <c r="G88" t="s">
        <v>632</v>
      </c>
      <c r="H88" t="s">
        <v>265</v>
      </c>
      <c r="I88">
        <v>43.48</v>
      </c>
      <c r="J88" t="s">
        <v>948</v>
      </c>
      <c r="K88" t="s">
        <v>949</v>
      </c>
      <c r="L88" t="s">
        <v>950</v>
      </c>
      <c r="M88" t="s">
        <v>951</v>
      </c>
      <c r="N88" t="s">
        <v>952</v>
      </c>
      <c r="O88" t="s">
        <v>639</v>
      </c>
      <c r="P88" t="s">
        <v>953</v>
      </c>
      <c r="Q88" t="s">
        <v>954</v>
      </c>
      <c r="R88" t="s">
        <v>955</v>
      </c>
      <c r="V88" t="s">
        <v>956</v>
      </c>
      <c r="W88" t="s">
        <v>957</v>
      </c>
    </row>
    <row r="89" ht="25.5" customHeight="1" spans="1:23">
      <c r="A89">
        <v>1639009235</v>
      </c>
      <c r="B89">
        <v>7701542188</v>
      </c>
      <c r="C89" s="2" t="str">
        <f>HYPERLINK("https://weidian.com/item.html?itemID=7701542188","https://weidian.com/item.html?itemID=7701542188")</f>
        <v>https://weidian.com/item.html?itemID=7701542188</v>
      </c>
      <c r="E89" s="2" t="str">
        <f>HYPERLINK("https://si.geilicdn.com/pcitem902002701844-5daf0000019ca8bc0dc30a23111a_1086_816.jpg?w=640&amp;h=640","https://si.geilicdn.com/pcitem902002701844-5daf0000019ca8bc0dc30a23111a_1086_816.jpg?w=640&amp;h=640")</f>
        <v>https://si.geilicdn.com/pcitem902002701844-5daf0000019ca8bc0dc30a23111a_1086_816.jpg?w=640&amp;h=640</v>
      </c>
      <c r="F89" t="s">
        <v>23</v>
      </c>
      <c r="G89" t="s">
        <v>632</v>
      </c>
      <c r="H89" t="s">
        <v>265</v>
      </c>
      <c r="I89">
        <v>43.48</v>
      </c>
      <c r="J89" t="s">
        <v>958</v>
      </c>
      <c r="K89" t="s">
        <v>959</v>
      </c>
      <c r="L89" t="s">
        <v>960</v>
      </c>
      <c r="M89" t="s">
        <v>961</v>
      </c>
      <c r="N89" t="s">
        <v>962</v>
      </c>
      <c r="O89" t="s">
        <v>639</v>
      </c>
      <c r="P89" t="s">
        <v>963</v>
      </c>
      <c r="Q89" t="s">
        <v>964</v>
      </c>
      <c r="R89" t="s">
        <v>965</v>
      </c>
      <c r="V89" t="s">
        <v>966</v>
      </c>
      <c r="W89" t="s">
        <v>967</v>
      </c>
    </row>
    <row r="90" ht="25.5" customHeight="1" spans="1:23">
      <c r="A90">
        <v>1639009235</v>
      </c>
      <c r="B90">
        <v>7700231021</v>
      </c>
      <c r="C90" s="2" t="str">
        <f>HYPERLINK("https://weidian.com/item.html?itemID=7700231021","https://weidian.com/item.html?itemID=7700231021")</f>
        <v>https://weidian.com/item.html?itemID=7700231021</v>
      </c>
      <c r="E90" s="2" t="str">
        <f>HYPERLINK("https://si.geilicdn.com/pcitem902002701844-05e70000019cb6fe191b0a239646_1074_1074.jpg?w=640&amp;h=640","https://si.geilicdn.com/pcitem902002701844-05e70000019cb6fe191b0a239646_1074_1074.jpg?w=640&amp;h=640")</f>
        <v>https://si.geilicdn.com/pcitem902002701844-05e70000019cb6fe191b0a239646_1074_1074.jpg?w=640&amp;h=640</v>
      </c>
      <c r="F90" t="s">
        <v>23</v>
      </c>
      <c r="G90" t="s">
        <v>599</v>
      </c>
      <c r="H90" t="s">
        <v>265</v>
      </c>
      <c r="I90">
        <v>43.48</v>
      </c>
      <c r="J90" t="s">
        <v>968</v>
      </c>
      <c r="K90" t="s">
        <v>969</v>
      </c>
      <c r="L90" t="s">
        <v>970</v>
      </c>
      <c r="M90" t="s">
        <v>971</v>
      </c>
      <c r="N90" t="s">
        <v>972</v>
      </c>
      <c r="O90" t="s">
        <v>973</v>
      </c>
      <c r="P90" t="s">
        <v>974</v>
      </c>
      <c r="Q90" t="s">
        <v>975</v>
      </c>
      <c r="R90" t="s">
        <v>976</v>
      </c>
      <c r="V90" t="s">
        <v>977</v>
      </c>
      <c r="W90" t="s">
        <v>978</v>
      </c>
    </row>
    <row r="91" ht="25.5" customHeight="1" spans="1:23">
      <c r="A91">
        <v>1639009235</v>
      </c>
      <c r="B91">
        <v>7700287931</v>
      </c>
      <c r="C91" s="2" t="str">
        <f>HYPERLINK("https://weidian.com/item.html?itemID=7700287931","https://weidian.com/item.html?itemID=7700287931")</f>
        <v>https://weidian.com/item.html?itemID=7700287931</v>
      </c>
      <c r="E91" s="2" t="str">
        <f>HYPERLINK("https://si.geilicdn.com/pcitem902002701844-666e0000019cb6f268cb0a23913e_1074_1074.jpg?w=640&amp;h=640","https://si.geilicdn.com/pcitem902002701844-666e0000019cb6f268cb0a23913e_1074_1074.jpg?w=640&amp;h=640")</f>
        <v>https://si.geilicdn.com/pcitem902002701844-666e0000019cb6f268cb0a23913e_1074_1074.jpg?w=640&amp;h=640</v>
      </c>
      <c r="F91" t="s">
        <v>23</v>
      </c>
      <c r="G91" t="s">
        <v>599</v>
      </c>
      <c r="H91" t="s">
        <v>265</v>
      </c>
      <c r="I91">
        <v>43.48</v>
      </c>
      <c r="J91" t="s">
        <v>979</v>
      </c>
      <c r="K91" t="s">
        <v>980</v>
      </c>
      <c r="L91" t="s">
        <v>981</v>
      </c>
      <c r="M91" t="s">
        <v>982</v>
      </c>
      <c r="N91" t="s">
        <v>983</v>
      </c>
      <c r="O91" t="s">
        <v>973</v>
      </c>
      <c r="P91" t="s">
        <v>984</v>
      </c>
      <c r="Q91" t="s">
        <v>985</v>
      </c>
      <c r="R91" t="s">
        <v>986</v>
      </c>
      <c r="V91" t="s">
        <v>987</v>
      </c>
      <c r="W91" t="s">
        <v>988</v>
      </c>
    </row>
    <row r="92" ht="25.5" customHeight="1" spans="1:23">
      <c r="A92">
        <v>1639009235</v>
      </c>
      <c r="B92">
        <v>7700236775</v>
      </c>
      <c r="C92" s="2" t="str">
        <f>HYPERLINK("https://weidian.com/item.html?itemID=7700236775","https://weidian.com/item.html?itemID=7700236775")</f>
        <v>https://weidian.com/item.html?itemID=7700236775</v>
      </c>
      <c r="E92" s="2" t="str">
        <f>HYPERLINK("https://si.geilicdn.com/pcitem902002701844-18180000019cb6e11fe20a2396f4_1442_1922.jpg?w=640&amp;h=640","https://si.geilicdn.com/pcitem902002701844-18180000019cb6e11fe20a2396f4_1442_1922.jpg?w=640&amp;h=640")</f>
        <v>https://si.geilicdn.com/pcitem902002701844-18180000019cb6e11fe20a2396f4_1442_1922.jpg?w=640&amp;h=640</v>
      </c>
      <c r="F92" t="s">
        <v>23</v>
      </c>
      <c r="G92" t="s">
        <v>599</v>
      </c>
      <c r="H92" t="s">
        <v>989</v>
      </c>
      <c r="I92">
        <v>124.64</v>
      </c>
      <c r="J92" t="s">
        <v>990</v>
      </c>
      <c r="K92" t="s">
        <v>991</v>
      </c>
      <c r="L92" t="s">
        <v>992</v>
      </c>
      <c r="M92" t="s">
        <v>993</v>
      </c>
      <c r="N92" t="s">
        <v>994</v>
      </c>
      <c r="O92" t="s">
        <v>767</v>
      </c>
      <c r="P92" t="s">
        <v>995</v>
      </c>
      <c r="Q92" t="s">
        <v>996</v>
      </c>
      <c r="R92" t="s">
        <v>997</v>
      </c>
      <c r="V92" t="s">
        <v>998</v>
      </c>
      <c r="W92" t="s">
        <v>999</v>
      </c>
    </row>
    <row r="93" ht="25.5" customHeight="1" spans="1:23">
      <c r="A93">
        <v>1639009235</v>
      </c>
      <c r="B93">
        <v>7700218943</v>
      </c>
      <c r="C93" s="2" t="str">
        <f>HYPERLINK("https://weidian.com/item.html?itemID=7700218943","https://weidian.com/item.html?itemID=7700218943")</f>
        <v>https://weidian.com/item.html?itemID=7700218943</v>
      </c>
      <c r="E93" s="2" t="str">
        <f>HYPERLINK("https://si.geilicdn.com/pcitem902002701844-0a840000019cb6df1e210a230115_1442_1922.jpg?w=640&amp;h=640","https://si.geilicdn.com/pcitem902002701844-0a840000019cb6df1e210a230115_1442_1922.jpg?w=640&amp;h=640")</f>
        <v>https://si.geilicdn.com/pcitem902002701844-0a840000019cb6df1e210a230115_1442_1922.jpg?w=640&amp;h=640</v>
      </c>
      <c r="F93" t="s">
        <v>23</v>
      </c>
      <c r="G93" t="s">
        <v>599</v>
      </c>
      <c r="H93" t="s">
        <v>896</v>
      </c>
      <c r="I93">
        <v>118.84</v>
      </c>
      <c r="J93" t="s">
        <v>1000</v>
      </c>
      <c r="K93" t="s">
        <v>1001</v>
      </c>
      <c r="L93" t="s">
        <v>1002</v>
      </c>
      <c r="M93" t="s">
        <v>1003</v>
      </c>
      <c r="N93" t="s">
        <v>1004</v>
      </c>
      <c r="O93" t="s">
        <v>767</v>
      </c>
      <c r="P93" t="s">
        <v>1005</v>
      </c>
      <c r="Q93" t="s">
        <v>1006</v>
      </c>
      <c r="R93" t="s">
        <v>1007</v>
      </c>
      <c r="V93" t="s">
        <v>1008</v>
      </c>
      <c r="W93" t="s">
        <v>1009</v>
      </c>
    </row>
    <row r="94" ht="25.5" customHeight="1" spans="1:23">
      <c r="A94">
        <v>1639009235</v>
      </c>
      <c r="B94">
        <v>7700699414</v>
      </c>
      <c r="C94" s="2" t="str">
        <f>HYPERLINK("https://weidian.com/item.html?itemID=7700699414","https://weidian.com/item.html?itemID=7700699414")</f>
        <v>https://weidian.com/item.html?itemID=7700699414</v>
      </c>
      <c r="E94" s="2" t="str">
        <f>HYPERLINK("https://si.geilicdn.com/pcitem902002701844-66f70000019ca8d7903a0a2315ef_1080_1080.jpg?w=640&amp;h=640","https://si.geilicdn.com/pcitem902002701844-66f70000019ca8d7903a0a2315ef_1080_1080.jpg?w=640&amp;h=640")</f>
        <v>https://si.geilicdn.com/pcitem902002701844-66f70000019ca8d7903a0a2315ef_1080_1080.jpg?w=640&amp;h=640</v>
      </c>
      <c r="F94" t="s">
        <v>23</v>
      </c>
      <c r="G94" t="s">
        <v>632</v>
      </c>
      <c r="H94" t="s">
        <v>633</v>
      </c>
      <c r="I94">
        <v>95.65</v>
      </c>
      <c r="J94" t="s">
        <v>1010</v>
      </c>
      <c r="K94" t="s">
        <v>1011</v>
      </c>
      <c r="L94" t="s">
        <v>1012</v>
      </c>
      <c r="M94" t="s">
        <v>1013</v>
      </c>
      <c r="N94" t="s">
        <v>1014</v>
      </c>
      <c r="O94" t="s">
        <v>639</v>
      </c>
      <c r="P94" t="s">
        <v>1015</v>
      </c>
      <c r="Q94" t="s">
        <v>1016</v>
      </c>
      <c r="R94" t="s">
        <v>1017</v>
      </c>
      <c r="V94" t="s">
        <v>1018</v>
      </c>
      <c r="W94" t="s">
        <v>1019</v>
      </c>
    </row>
    <row r="95" ht="25.5" customHeight="1" spans="1:23">
      <c r="A95">
        <v>1639009235</v>
      </c>
      <c r="B95">
        <v>7698542561</v>
      </c>
      <c r="C95" s="2" t="str">
        <f>HYPERLINK("https://weidian.com/item.html?itemID=7698542561","https://weidian.com/item.html?itemID=7698542561")</f>
        <v>https://weidian.com/item.html?itemID=7698542561</v>
      </c>
      <c r="E95" s="2" t="str">
        <f>HYPERLINK("https://si.geilicdn.com/pcitem902002701844-77be0000019ca8d59ee10a2396f4_1080_1080.jpg?w=640&amp;h=640","https://si.geilicdn.com/pcitem902002701844-77be0000019ca8d59ee10a2396f4_1080_1080.jpg?w=640&amp;h=640")</f>
        <v>https://si.geilicdn.com/pcitem902002701844-77be0000019ca8d59ee10a2396f4_1080_1080.jpg?w=640&amp;h=640</v>
      </c>
      <c r="F95" t="s">
        <v>23</v>
      </c>
      <c r="G95" t="s">
        <v>632</v>
      </c>
      <c r="H95" t="s">
        <v>633</v>
      </c>
      <c r="I95">
        <v>95.65</v>
      </c>
      <c r="J95" t="s">
        <v>1020</v>
      </c>
      <c r="K95" t="s">
        <v>1021</v>
      </c>
      <c r="L95" t="s">
        <v>1022</v>
      </c>
      <c r="M95" t="s">
        <v>1023</v>
      </c>
      <c r="N95" t="s">
        <v>1024</v>
      </c>
      <c r="O95" t="s">
        <v>639</v>
      </c>
      <c r="P95" t="s">
        <v>1025</v>
      </c>
      <c r="Q95" t="s">
        <v>1026</v>
      </c>
      <c r="R95" t="s">
        <v>1027</v>
      </c>
      <c r="V95" t="s">
        <v>1028</v>
      </c>
      <c r="W95" t="s">
        <v>1029</v>
      </c>
    </row>
    <row r="96" ht="25.5" customHeight="1" spans="1:23">
      <c r="A96">
        <v>1639009235</v>
      </c>
      <c r="B96">
        <v>7701532556</v>
      </c>
      <c r="C96" s="2" t="str">
        <f>HYPERLINK("https://weidian.com/item.html?itemID=7701532556","https://weidian.com/item.html?itemID=7701532556")</f>
        <v>https://weidian.com/item.html?itemID=7701532556</v>
      </c>
      <c r="E96" s="2" t="str">
        <f>HYPERLINK("https://si.geilicdn.com/pcitem902002701844-5c960000019ca8d1c2500a210256_1086_816.jpg?w=640&amp;h=640","https://si.geilicdn.com/pcitem902002701844-5c960000019ca8d1c2500a210256_1086_816.jpg?w=640&amp;h=640")</f>
        <v>https://si.geilicdn.com/pcitem902002701844-5c960000019ca8d1c2500a210256_1086_816.jpg?w=640&amp;h=640</v>
      </c>
      <c r="F96" t="s">
        <v>23</v>
      </c>
      <c r="G96" t="s">
        <v>632</v>
      </c>
      <c r="H96" t="s">
        <v>645</v>
      </c>
      <c r="I96">
        <v>55</v>
      </c>
      <c r="J96" t="s">
        <v>1030</v>
      </c>
      <c r="K96" t="s">
        <v>1031</v>
      </c>
      <c r="L96" t="s">
        <v>1032</v>
      </c>
      <c r="M96" t="s">
        <v>1033</v>
      </c>
      <c r="N96" t="s">
        <v>1034</v>
      </c>
      <c r="O96" t="s">
        <v>639</v>
      </c>
      <c r="P96" t="s">
        <v>1035</v>
      </c>
      <c r="Q96" t="s">
        <v>1036</v>
      </c>
      <c r="R96" t="s">
        <v>1037</v>
      </c>
      <c r="V96" t="s">
        <v>1038</v>
      </c>
      <c r="W96" t="s">
        <v>1039</v>
      </c>
    </row>
    <row r="97" ht="25.5" customHeight="1" spans="1:23">
      <c r="A97">
        <v>1639009235</v>
      </c>
      <c r="B97">
        <v>7701512710</v>
      </c>
      <c r="C97" s="2" t="str">
        <f>HYPERLINK("https://weidian.com/item.html?itemID=7701512710","https://weidian.com/item.html?itemID=7701512710")</f>
        <v>https://weidian.com/item.html?itemID=7701512710</v>
      </c>
      <c r="E97" s="2" t="str">
        <f>HYPERLINK("https://si.geilicdn.com/pcitem902002701844-5d900000019ca8ce0e140a81347d_1160_1450.jpg?w=640&amp;h=640","https://si.geilicdn.com/pcitem902002701844-5d900000019ca8ce0e140a81347d_1160_1450.jpg?w=640&amp;h=640")</f>
        <v>https://si.geilicdn.com/pcitem902002701844-5d900000019ca8ce0e140a81347d_1160_1450.jpg?w=640&amp;h=640</v>
      </c>
      <c r="F97" t="s">
        <v>23</v>
      </c>
      <c r="G97" t="s">
        <v>632</v>
      </c>
      <c r="H97" t="s">
        <v>657</v>
      </c>
      <c r="I97">
        <v>46.38</v>
      </c>
      <c r="J97" t="s">
        <v>1040</v>
      </c>
      <c r="K97" t="s">
        <v>1041</v>
      </c>
      <c r="L97" t="s">
        <v>1042</v>
      </c>
      <c r="M97" t="s">
        <v>1043</v>
      </c>
      <c r="N97" t="s">
        <v>1044</v>
      </c>
      <c r="O97" t="s">
        <v>673</v>
      </c>
      <c r="P97" t="s">
        <v>1045</v>
      </c>
      <c r="Q97" t="s">
        <v>1046</v>
      </c>
      <c r="R97" t="s">
        <v>1047</v>
      </c>
      <c r="V97" t="s">
        <v>1048</v>
      </c>
      <c r="W97" t="s">
        <v>1049</v>
      </c>
    </row>
    <row r="98" ht="25.5" customHeight="1" spans="1:23">
      <c r="A98">
        <v>1639009235</v>
      </c>
      <c r="B98">
        <v>7701463298</v>
      </c>
      <c r="C98" s="2" t="str">
        <f>HYPERLINK("https://weidian.com/item.html?itemID=7701463298","https://weidian.com/item.html?itemID=7701463298")</f>
        <v>https://weidian.com/item.html?itemID=7701463298</v>
      </c>
      <c r="E98" s="2" t="str">
        <f>HYPERLINK("https://si.geilicdn.com/pcitem902002701844-65fa0000019ca8c97b300a23111a_1086_816.jpg?w=640&amp;h=640","https://si.geilicdn.com/pcitem902002701844-65fa0000019ca8c97b300a23111a_1086_816.jpg?w=640&amp;h=640")</f>
        <v>https://si.geilicdn.com/pcitem902002701844-65fa0000019ca8c97b300a23111a_1086_816.jpg?w=640&amp;h=640</v>
      </c>
      <c r="F98" t="s">
        <v>23</v>
      </c>
      <c r="G98" t="s">
        <v>632</v>
      </c>
      <c r="H98" t="s">
        <v>657</v>
      </c>
      <c r="I98">
        <v>46.38</v>
      </c>
      <c r="J98" t="s">
        <v>1050</v>
      </c>
      <c r="K98" t="s">
        <v>1051</v>
      </c>
      <c r="L98" t="s">
        <v>1052</v>
      </c>
      <c r="M98" t="s">
        <v>1053</v>
      </c>
      <c r="N98" t="s">
        <v>1054</v>
      </c>
      <c r="O98" t="s">
        <v>651</v>
      </c>
      <c r="P98" t="s">
        <v>1055</v>
      </c>
      <c r="Q98" t="s">
        <v>1056</v>
      </c>
      <c r="R98" t="s">
        <v>1057</v>
      </c>
      <c r="V98" t="s">
        <v>1058</v>
      </c>
      <c r="W98" t="s">
        <v>1059</v>
      </c>
    </row>
    <row r="99" ht="25.5" customHeight="1" spans="1:23">
      <c r="A99">
        <v>1639009235</v>
      </c>
      <c r="B99">
        <v>7698577763</v>
      </c>
      <c r="C99" s="2" t="str">
        <f>HYPERLINK("https://weidian.com/item.html?itemID=7698577763","https://weidian.com/item.html?itemID=7698577763")</f>
        <v>https://weidian.com/item.html?itemID=7698577763</v>
      </c>
      <c r="E99" s="2" t="str">
        <f>HYPERLINK("https://si.geilicdn.com/pcitem902002701844-3f980000019ca8c207530a239846_1086_816.jpg?w=640&amp;h=640","https://si.geilicdn.com/pcitem902002701844-3f980000019ca8c207530a239846_1086_816.jpg?w=640&amp;h=640")</f>
        <v>https://si.geilicdn.com/pcitem902002701844-3f980000019ca8c207530a239846_1086_816.jpg?w=640&amp;h=640</v>
      </c>
      <c r="F99" t="s">
        <v>23</v>
      </c>
      <c r="G99" t="s">
        <v>632</v>
      </c>
      <c r="H99" t="s">
        <v>265</v>
      </c>
      <c r="I99">
        <v>43.48</v>
      </c>
      <c r="J99" t="s">
        <v>1060</v>
      </c>
      <c r="K99" t="s">
        <v>1061</v>
      </c>
      <c r="L99" t="s">
        <v>1062</v>
      </c>
      <c r="M99" t="s">
        <v>1063</v>
      </c>
      <c r="N99" t="s">
        <v>1064</v>
      </c>
      <c r="O99" t="s">
        <v>639</v>
      </c>
      <c r="P99" t="s">
        <v>1065</v>
      </c>
      <c r="Q99" t="s">
        <v>1066</v>
      </c>
      <c r="R99" t="s">
        <v>1067</v>
      </c>
      <c r="V99" t="s">
        <v>1068</v>
      </c>
      <c r="W99" t="s">
        <v>1069</v>
      </c>
    </row>
    <row r="100" ht="25.5" customHeight="1" spans="1:23">
      <c r="A100">
        <v>1639009235</v>
      </c>
      <c r="B100">
        <v>7701016266</v>
      </c>
      <c r="C100" s="2" t="str">
        <f>HYPERLINK("https://weidian.com/item.html?itemID=7701016266","https://weidian.com/item.html?itemID=7701016266")</f>
        <v>https://weidian.com/item.html?itemID=7701016266</v>
      </c>
      <c r="E100" s="2" t="str">
        <f>HYPERLINK("https://si.geilicdn.com/pcitem902002701844-26320000019ca8b9700b0a20e2c5_1080_1080.jpg?w=640&amp;h=640","https://si.geilicdn.com/pcitem902002701844-26320000019ca8b9700b0a20e2c5_1080_1080.jpg?w=640&amp;h=640")</f>
        <v>https://si.geilicdn.com/pcitem902002701844-26320000019ca8b9700b0a20e2c5_1080_1080.jpg?w=640&amp;h=640</v>
      </c>
      <c r="F100" t="s">
        <v>23</v>
      </c>
      <c r="G100" t="s">
        <v>632</v>
      </c>
      <c r="H100" t="s">
        <v>834</v>
      </c>
      <c r="I100">
        <v>34.78</v>
      </c>
      <c r="J100" t="s">
        <v>1070</v>
      </c>
      <c r="K100" t="s">
        <v>1071</v>
      </c>
      <c r="L100" t="s">
        <v>1072</v>
      </c>
      <c r="M100" t="s">
        <v>1073</v>
      </c>
      <c r="N100" t="s">
        <v>1074</v>
      </c>
      <c r="O100" t="s">
        <v>673</v>
      </c>
      <c r="P100" t="s">
        <v>1075</v>
      </c>
      <c r="Q100" t="s">
        <v>1076</v>
      </c>
      <c r="R100" t="s">
        <v>1077</v>
      </c>
      <c r="V100" t="s">
        <v>1078</v>
      </c>
      <c r="W100" t="s">
        <v>1079</v>
      </c>
    </row>
    <row r="101" ht="25.5" customHeight="1" spans="1:23">
      <c r="A101">
        <v>1639009235</v>
      </c>
      <c r="B101">
        <v>7701518534</v>
      </c>
      <c r="C101" s="2" t="str">
        <f>HYPERLINK("https://weidian.com/item.html?itemID=7701518534","https://weidian.com/item.html?itemID=7701518534")</f>
        <v>https://weidian.com/item.html?itemID=7701518534</v>
      </c>
      <c r="E101" s="2" t="str">
        <f>HYPERLINK("https://si.geilicdn.com/pcitem902002701844-553a0000019ca8ae1cb90a23111a_1537_1921.jpg?w=640&amp;h=640","https://si.geilicdn.com/pcitem902002701844-553a0000019ca8ae1cb90a23111a_1537_1921.jpg?w=640&amp;h=640")</f>
        <v>https://si.geilicdn.com/pcitem902002701844-553a0000019ca8ae1cb90a23111a_1537_1921.jpg?w=640&amp;h=640</v>
      </c>
      <c r="F101" t="s">
        <v>23</v>
      </c>
      <c r="G101" t="s">
        <v>632</v>
      </c>
      <c r="H101" t="s">
        <v>657</v>
      </c>
      <c r="I101">
        <v>46.38</v>
      </c>
      <c r="J101" t="s">
        <v>1080</v>
      </c>
      <c r="K101" t="s">
        <v>1081</v>
      </c>
      <c r="L101" t="s">
        <v>1082</v>
      </c>
      <c r="M101" t="s">
        <v>1083</v>
      </c>
      <c r="N101" t="s">
        <v>1084</v>
      </c>
      <c r="O101" t="s">
        <v>639</v>
      </c>
      <c r="P101" t="s">
        <v>1085</v>
      </c>
      <c r="Q101" t="s">
        <v>1086</v>
      </c>
      <c r="R101" t="s">
        <v>1087</v>
      </c>
      <c r="V101" t="s">
        <v>1088</v>
      </c>
      <c r="W101" t="s">
        <v>1089</v>
      </c>
    </row>
    <row r="102" ht="25.5" customHeight="1" spans="1:23">
      <c r="A102">
        <v>1639009235</v>
      </c>
      <c r="B102">
        <v>7696615073</v>
      </c>
      <c r="C102" s="2" t="str">
        <f>HYPERLINK("https://weidian.com/item.html?itemID=7696615073","https://weidian.com/item.html?itemID=7696615073")</f>
        <v>https://weidian.com/item.html?itemID=7696615073</v>
      </c>
      <c r="E102" s="2" t="str">
        <f>HYPERLINK("https://si.geilicdn.com/pcitem902002701844-59690000019c9c9bf8ca0a23057e_1500_2000.jpg?w=640&amp;h=640","https://si.geilicdn.com/pcitem902002701844-59690000019c9c9bf8ca0a23057e_1500_2000.jpg?w=640&amp;h=640")</f>
        <v>https://si.geilicdn.com/pcitem902002701844-59690000019c9c9bf8ca0a23057e_1500_2000.jpg?w=640&amp;h=640</v>
      </c>
      <c r="F102" t="s">
        <v>23</v>
      </c>
      <c r="G102" t="s">
        <v>1090</v>
      </c>
      <c r="H102" t="s">
        <v>1091</v>
      </c>
      <c r="I102">
        <v>40.58</v>
      </c>
      <c r="J102" t="s">
        <v>1092</v>
      </c>
      <c r="K102" t="s">
        <v>1093</v>
      </c>
      <c r="L102" t="s">
        <v>1094</v>
      </c>
      <c r="M102" t="s">
        <v>1095</v>
      </c>
      <c r="N102" t="s">
        <v>1096</v>
      </c>
      <c r="O102" t="s">
        <v>1097</v>
      </c>
      <c r="P102" t="s">
        <v>1098</v>
      </c>
      <c r="Q102" t="s">
        <v>1099</v>
      </c>
      <c r="R102" t="s">
        <v>1100</v>
      </c>
      <c r="V102" t="s">
        <v>1101</v>
      </c>
      <c r="W102" t="s">
        <v>1102</v>
      </c>
    </row>
    <row r="103" ht="25.5" customHeight="1" spans="1:23">
      <c r="A103">
        <v>1639009235</v>
      </c>
      <c r="B103">
        <v>7696593411</v>
      </c>
      <c r="C103" s="2" t="str">
        <f>HYPERLINK("https://weidian.com/item.html?itemID=7696593411","https://weidian.com/item.html?itemID=7696593411")</f>
        <v>https://weidian.com/item.html?itemID=7696593411</v>
      </c>
      <c r="E103" s="2" t="str">
        <f>HYPERLINK("https://si.geilicdn.com/pcitem902002701844-652b0000019c9c9b008a0a23038e_1500_2000.jpg?w=640&amp;h=640","https://si.geilicdn.com/pcitem902002701844-652b0000019c9c9b008a0a23038e_1500_2000.jpg?w=640&amp;h=640")</f>
        <v>https://si.geilicdn.com/pcitem902002701844-652b0000019c9c9b008a0a23038e_1500_2000.jpg?w=640&amp;h=640</v>
      </c>
      <c r="F103" t="s">
        <v>23</v>
      </c>
      <c r="G103" t="s">
        <v>1090</v>
      </c>
      <c r="H103" t="s">
        <v>1091</v>
      </c>
      <c r="I103">
        <v>40.58</v>
      </c>
      <c r="J103" t="s">
        <v>1103</v>
      </c>
      <c r="K103" t="s">
        <v>1104</v>
      </c>
      <c r="L103" t="s">
        <v>1105</v>
      </c>
      <c r="M103" t="s">
        <v>1106</v>
      </c>
      <c r="N103" t="s">
        <v>1107</v>
      </c>
      <c r="O103" t="s">
        <v>1108</v>
      </c>
      <c r="P103" t="s">
        <v>1109</v>
      </c>
      <c r="Q103" t="s">
        <v>1110</v>
      </c>
      <c r="R103" t="s">
        <v>1111</v>
      </c>
      <c r="V103" t="s">
        <v>1112</v>
      </c>
      <c r="W103" t="s">
        <v>1113</v>
      </c>
    </row>
    <row r="104" ht="25.5" customHeight="1" spans="1:23">
      <c r="A104">
        <v>1639009235</v>
      </c>
      <c r="B104">
        <v>7696666259</v>
      </c>
      <c r="C104" s="2" t="str">
        <f>HYPERLINK("https://weidian.com/item.html?itemID=7696666259","https://weidian.com/item.html?itemID=7696666259")</f>
        <v>https://weidian.com/item.html?itemID=7696666259</v>
      </c>
      <c r="E104" s="2" t="str">
        <f>HYPERLINK("https://si.geilicdn.com/pcitem902002701844-5ee10000019c9c9854d50a23111a_1500_2000.jpg?w=640&amp;h=640","https://si.geilicdn.com/pcitem902002701844-5ee10000019c9c9854d50a23111a_1500_2000.jpg?w=640&amp;h=640")</f>
        <v>https://si.geilicdn.com/pcitem902002701844-5ee10000019c9c9854d50a23111a_1500_2000.jpg?w=640&amp;h=640</v>
      </c>
      <c r="F104" t="s">
        <v>23</v>
      </c>
      <c r="G104" t="s">
        <v>1090</v>
      </c>
      <c r="H104" t="s">
        <v>1091</v>
      </c>
      <c r="I104">
        <v>40.58</v>
      </c>
      <c r="J104" t="s">
        <v>1114</v>
      </c>
      <c r="K104" t="s">
        <v>1115</v>
      </c>
      <c r="L104" t="s">
        <v>1116</v>
      </c>
      <c r="M104" t="s">
        <v>1117</v>
      </c>
      <c r="N104" t="s">
        <v>1118</v>
      </c>
      <c r="O104" t="s">
        <v>1108</v>
      </c>
      <c r="P104" t="s">
        <v>1119</v>
      </c>
      <c r="Q104" t="s">
        <v>1120</v>
      </c>
      <c r="R104" t="s">
        <v>1121</v>
      </c>
      <c r="V104" t="s">
        <v>1122</v>
      </c>
      <c r="W104" t="s">
        <v>1123</v>
      </c>
    </row>
    <row r="105" ht="25.5" customHeight="1" spans="1:23">
      <c r="A105">
        <v>1639009235</v>
      </c>
      <c r="B105">
        <v>7699425158</v>
      </c>
      <c r="C105" s="2" t="str">
        <f>HYPERLINK("https://weidian.com/item.html?itemID=7699425158","https://weidian.com/item.html?itemID=7699425158")</f>
        <v>https://weidian.com/item.html?itemID=7699425158</v>
      </c>
      <c r="E105" s="2" t="str">
        <f>HYPERLINK("https://si.geilicdn.com/pcitem902002701844-498f0000019c99a27a860a20e273_1536_2048.jpg?w=640&amp;h=640","https://si.geilicdn.com/pcitem902002701844-498f0000019c99a27a860a20e273_1536_2048.jpg?w=640&amp;h=640")</f>
        <v>https://si.geilicdn.com/pcitem902002701844-498f0000019c99a27a860a20e273_1536_2048.jpg?w=640&amp;h=640</v>
      </c>
      <c r="F105" t="s">
        <v>23</v>
      </c>
      <c r="G105" t="s">
        <v>1090</v>
      </c>
      <c r="H105" t="s">
        <v>1091</v>
      </c>
      <c r="I105">
        <v>40.58</v>
      </c>
      <c r="J105" t="s">
        <v>1124</v>
      </c>
      <c r="K105" t="s">
        <v>1125</v>
      </c>
      <c r="L105" t="s">
        <v>1126</v>
      </c>
      <c r="M105" t="s">
        <v>1127</v>
      </c>
      <c r="N105" t="s">
        <v>1128</v>
      </c>
      <c r="O105" t="s">
        <v>1108</v>
      </c>
      <c r="P105" t="s">
        <v>1129</v>
      </c>
      <c r="Q105" t="s">
        <v>1130</v>
      </c>
      <c r="R105" t="s">
        <v>1131</v>
      </c>
      <c r="V105" t="s">
        <v>1132</v>
      </c>
      <c r="W105" t="s">
        <v>1133</v>
      </c>
    </row>
    <row r="106" ht="25.5" customHeight="1" spans="1:23">
      <c r="A106">
        <v>1639009235</v>
      </c>
      <c r="B106">
        <v>7698827406</v>
      </c>
      <c r="C106" s="2" t="str">
        <f>HYPERLINK("https://weidian.com/item.html?itemID=7698827406","https://weidian.com/item.html?itemID=7698827406")</f>
        <v>https://weidian.com/item.html?itemID=7698827406</v>
      </c>
      <c r="E106" s="2" t="str">
        <f>HYPERLINK("https://si.geilicdn.com/pcitem902002701844-3e830000019c999dfa240a231177_1150_768.jpg?w=640&amp;h=640","https://si.geilicdn.com/pcitem902002701844-3e830000019c999dfa240a231177_1150_768.jpg?w=640&amp;h=640")</f>
        <v>https://si.geilicdn.com/pcitem902002701844-3e830000019c999dfa240a231177_1150_768.jpg?w=640&amp;h=640</v>
      </c>
      <c r="F106" t="s">
        <v>23</v>
      </c>
      <c r="G106" t="s">
        <v>1090</v>
      </c>
      <c r="H106" t="s">
        <v>1134</v>
      </c>
      <c r="I106">
        <v>36.23</v>
      </c>
      <c r="J106" t="s">
        <v>1135</v>
      </c>
      <c r="K106" t="s">
        <v>1136</v>
      </c>
      <c r="L106" t="s">
        <v>1137</v>
      </c>
      <c r="M106" t="s">
        <v>1138</v>
      </c>
      <c r="N106" t="s">
        <v>1139</v>
      </c>
      <c r="O106" t="s">
        <v>1108</v>
      </c>
      <c r="P106" t="s">
        <v>1140</v>
      </c>
      <c r="Q106" t="s">
        <v>1141</v>
      </c>
      <c r="R106" t="s">
        <v>1142</v>
      </c>
      <c r="V106" t="s">
        <v>1143</v>
      </c>
      <c r="W106" t="s">
        <v>1144</v>
      </c>
    </row>
    <row r="107" ht="25.5" customHeight="1" spans="1:23">
      <c r="A107">
        <v>1639009235</v>
      </c>
      <c r="B107">
        <v>7699411278</v>
      </c>
      <c r="C107" s="2" t="str">
        <f>HYPERLINK("https://weidian.com/item.html?itemID=7699411278","https://weidian.com/item.html?itemID=7699411278")</f>
        <v>https://weidian.com/item.html?itemID=7699411278</v>
      </c>
      <c r="E107" s="2" t="str">
        <f>HYPERLINK("https://si.geilicdn.com/pcitem902002701844-34e70000019c9993896b0a239846_3072_3072.jpg?w=640&amp;h=640","https://si.geilicdn.com/pcitem902002701844-34e70000019c9993896b0a239846_3072_3072.jpg?w=640&amp;h=640")</f>
        <v>https://si.geilicdn.com/pcitem902002701844-34e70000019c9993896b0a239846_3072_3072.jpg?w=640&amp;h=640</v>
      </c>
      <c r="F107" t="s">
        <v>23</v>
      </c>
      <c r="G107" t="s">
        <v>1090</v>
      </c>
      <c r="H107" t="s">
        <v>150</v>
      </c>
      <c r="I107">
        <v>37.68</v>
      </c>
      <c r="J107" t="s">
        <v>1145</v>
      </c>
      <c r="K107" t="s">
        <v>1146</v>
      </c>
      <c r="L107" t="s">
        <v>1147</v>
      </c>
      <c r="M107" t="s">
        <v>1148</v>
      </c>
      <c r="N107" t="s">
        <v>1149</v>
      </c>
      <c r="O107" t="s">
        <v>1097</v>
      </c>
      <c r="P107" t="s">
        <v>1150</v>
      </c>
      <c r="Q107" t="s">
        <v>1151</v>
      </c>
      <c r="R107" t="s">
        <v>1152</v>
      </c>
      <c r="V107" t="s">
        <v>1153</v>
      </c>
      <c r="W107" t="s">
        <v>1154</v>
      </c>
    </row>
    <row r="108" ht="25.5" customHeight="1" spans="1:23">
      <c r="A108">
        <v>1639009235</v>
      </c>
      <c r="B108">
        <v>7696435213</v>
      </c>
      <c r="C108" s="2" t="str">
        <f>HYPERLINK("https://weidian.com/item.html?itemID=7696435213","https://weidian.com/item.html?itemID=7696435213")</f>
        <v>https://weidian.com/item.html?itemID=7696435213</v>
      </c>
      <c r="E108" s="2" t="str">
        <f>HYPERLINK("https://si.geilicdn.com/pcitem902002701844-33be0000019c999149da0a239846_1536_2048.jpg?w=640&amp;h=640","https://si.geilicdn.com/pcitem902002701844-33be0000019c999149da0a239846_1536_2048.jpg?w=640&amp;h=640")</f>
        <v>https://si.geilicdn.com/pcitem902002701844-33be0000019c999149da0a239846_1536_2048.jpg?w=640&amp;h=640</v>
      </c>
      <c r="F108" t="s">
        <v>23</v>
      </c>
      <c r="G108" t="s">
        <v>1090</v>
      </c>
      <c r="H108" t="s">
        <v>1091</v>
      </c>
      <c r="I108">
        <v>40.58</v>
      </c>
      <c r="J108" t="s">
        <v>1155</v>
      </c>
      <c r="K108" t="s">
        <v>1156</v>
      </c>
      <c r="L108" t="s">
        <v>1157</v>
      </c>
      <c r="M108" t="s">
        <v>1158</v>
      </c>
      <c r="N108" t="s">
        <v>1159</v>
      </c>
      <c r="O108" t="s">
        <v>1097</v>
      </c>
      <c r="P108" t="s">
        <v>1160</v>
      </c>
      <c r="Q108" t="s">
        <v>1161</v>
      </c>
      <c r="R108" t="s">
        <v>1162</v>
      </c>
      <c r="V108" t="s">
        <v>1163</v>
      </c>
      <c r="W108" t="s">
        <v>1164</v>
      </c>
    </row>
    <row r="109" ht="25.5" customHeight="1" spans="1:23">
      <c r="A109">
        <v>1639009235</v>
      </c>
      <c r="B109">
        <v>7699470248</v>
      </c>
      <c r="C109" s="2" t="str">
        <f>HYPERLINK("https://weidian.com/item.html?itemID=7699470248","https://weidian.com/item.html?itemID=7699470248")</f>
        <v>https://weidian.com/item.html?itemID=7699470248</v>
      </c>
      <c r="E109" s="2" t="str">
        <f>HYPERLINK("https://si.geilicdn.com/pcitem902002701844-30900000019c998b2af10a239846_1086_816.jpg?w=640&amp;h=640","https://si.geilicdn.com/pcitem902002701844-30900000019c998b2af10a239846_1086_816.jpg?w=640&amp;h=640")</f>
        <v>https://si.geilicdn.com/pcitem902002701844-30900000019c998b2af10a239846_1086_816.jpg?w=640&amp;h=640</v>
      </c>
      <c r="F109" t="s">
        <v>23</v>
      </c>
      <c r="G109" t="s">
        <v>1090</v>
      </c>
      <c r="H109" t="s">
        <v>1165</v>
      </c>
      <c r="I109">
        <v>31.88</v>
      </c>
      <c r="J109" t="s">
        <v>1166</v>
      </c>
      <c r="K109" t="s">
        <v>1167</v>
      </c>
      <c r="L109" t="s">
        <v>1168</v>
      </c>
      <c r="M109" t="s">
        <v>1169</v>
      </c>
      <c r="N109" t="s">
        <v>1170</v>
      </c>
      <c r="O109" t="s">
        <v>1097</v>
      </c>
      <c r="P109" t="s">
        <v>1171</v>
      </c>
      <c r="Q109" t="s">
        <v>1172</v>
      </c>
      <c r="R109" t="s">
        <v>1173</v>
      </c>
      <c r="V109" t="s">
        <v>1174</v>
      </c>
      <c r="W109" t="s">
        <v>1175</v>
      </c>
    </row>
    <row r="110" ht="25.5" customHeight="1" spans="1:23">
      <c r="A110">
        <v>1639009235</v>
      </c>
      <c r="B110">
        <v>7696409463</v>
      </c>
      <c r="C110" s="2" t="str">
        <f>HYPERLINK("https://weidian.com/item.html?itemID=7696409463","https://weidian.com/item.html?itemID=7696409463")</f>
        <v>https://weidian.com/item.html?itemID=7696409463</v>
      </c>
      <c r="E110" s="2" t="str">
        <f>HYPERLINK("https://si.geilicdn.com/pcitem902002701844-47150000019c998a114c0a2301b4_1086_816.jpg?w=640&amp;h=640","https://si.geilicdn.com/pcitem902002701844-47150000019c998a114c0a2301b4_1086_816.jpg?w=640&amp;h=640")</f>
        <v>https://si.geilicdn.com/pcitem902002701844-47150000019c998a114c0a2301b4_1086_816.jpg?w=640&amp;h=640</v>
      </c>
      <c r="F110" t="s">
        <v>23</v>
      </c>
      <c r="G110" t="s">
        <v>1090</v>
      </c>
      <c r="H110" t="s">
        <v>1165</v>
      </c>
      <c r="I110">
        <v>31.88</v>
      </c>
      <c r="J110" t="s">
        <v>1176</v>
      </c>
      <c r="K110" t="s">
        <v>1177</v>
      </c>
      <c r="L110" t="s">
        <v>1178</v>
      </c>
      <c r="M110" t="s">
        <v>1179</v>
      </c>
      <c r="N110" t="s">
        <v>1180</v>
      </c>
      <c r="O110" t="s">
        <v>1108</v>
      </c>
      <c r="P110" t="s">
        <v>1181</v>
      </c>
      <c r="Q110" t="s">
        <v>1182</v>
      </c>
      <c r="R110" t="s">
        <v>1183</v>
      </c>
      <c r="V110" t="s">
        <v>1184</v>
      </c>
      <c r="W110" t="s">
        <v>1185</v>
      </c>
    </row>
    <row r="111" ht="25.5" customHeight="1" spans="1:23">
      <c r="A111">
        <v>1639009235</v>
      </c>
      <c r="B111">
        <v>7699432740</v>
      </c>
      <c r="C111" s="2" t="str">
        <f>HYPERLINK("https://weidian.com/item.html?itemID=7699432740","https://weidian.com/item.html?itemID=7699432740")</f>
        <v>https://weidian.com/item.html?itemID=7699432740</v>
      </c>
      <c r="E111" s="2" t="str">
        <f>HYPERLINK("https://si.geilicdn.com/pcitem902002701844-1d310000019c9984fb740a23913e_1440_1920.jpg?w=640&amp;h=640","https://si.geilicdn.com/pcitem902002701844-1d310000019c9984fb740a23913e_1440_1920.jpg?w=640&amp;h=640")</f>
        <v>https://si.geilicdn.com/pcitem902002701844-1d310000019c9984fb740a23913e_1440_1920.jpg?w=640&amp;h=640</v>
      </c>
      <c r="F111" t="s">
        <v>23</v>
      </c>
      <c r="G111" t="s">
        <v>1090</v>
      </c>
      <c r="H111" t="s">
        <v>1165</v>
      </c>
      <c r="I111">
        <v>31.88</v>
      </c>
      <c r="J111" t="s">
        <v>1186</v>
      </c>
      <c r="K111" t="s">
        <v>1187</v>
      </c>
      <c r="L111" t="s">
        <v>1188</v>
      </c>
      <c r="M111" t="s">
        <v>1189</v>
      </c>
      <c r="N111" t="s">
        <v>1190</v>
      </c>
      <c r="O111" t="s">
        <v>1108</v>
      </c>
      <c r="P111" t="s">
        <v>1191</v>
      </c>
      <c r="Q111" t="s">
        <v>1192</v>
      </c>
      <c r="R111" t="s">
        <v>1193</v>
      </c>
      <c r="V111" t="s">
        <v>1194</v>
      </c>
      <c r="W111" t="s">
        <v>1195</v>
      </c>
    </row>
    <row r="112" ht="25.5" customHeight="1" spans="1:23">
      <c r="A112">
        <v>1639009235</v>
      </c>
      <c r="B112">
        <v>7696025009</v>
      </c>
      <c r="C112" s="2" t="str">
        <f>HYPERLINK("https://weidian.com/item.html?itemID=7696025009","https://weidian.com/item.html?itemID=7696025009")</f>
        <v>https://weidian.com/item.html?itemID=7696025009</v>
      </c>
      <c r="E112" s="2" t="str">
        <f>HYPERLINK("https://si.geilicdn.com/pcitem902002701844-33990000019c9982dc970a239646_1440_1080.jpg?w=640&amp;h=640","https://si.geilicdn.com/pcitem902002701844-33990000019c9982dc970a239646_1440_1080.jpg?w=640&amp;h=640")</f>
        <v>https://si.geilicdn.com/pcitem902002701844-33990000019c9982dc970a239646_1440_1080.jpg?w=640&amp;h=640</v>
      </c>
      <c r="F112" t="s">
        <v>23</v>
      </c>
      <c r="G112" t="s">
        <v>1090</v>
      </c>
      <c r="H112" t="s">
        <v>150</v>
      </c>
      <c r="I112">
        <v>37.68</v>
      </c>
      <c r="J112" t="s">
        <v>1196</v>
      </c>
      <c r="K112" t="s">
        <v>1197</v>
      </c>
      <c r="L112" t="s">
        <v>1198</v>
      </c>
      <c r="M112" t="s">
        <v>1199</v>
      </c>
      <c r="N112" t="s">
        <v>1200</v>
      </c>
      <c r="O112" t="s">
        <v>1108</v>
      </c>
      <c r="P112" t="s">
        <v>1201</v>
      </c>
      <c r="Q112" t="s">
        <v>1202</v>
      </c>
      <c r="R112" t="s">
        <v>1203</v>
      </c>
      <c r="V112" t="s">
        <v>1204</v>
      </c>
      <c r="W112" t="s">
        <v>1205</v>
      </c>
    </row>
    <row r="113" ht="25.5" customHeight="1" spans="1:23">
      <c r="A113">
        <v>1639009235</v>
      </c>
      <c r="B113">
        <v>7698453275</v>
      </c>
      <c r="C113" s="2" t="str">
        <f>HYPERLINK("https://weidian.com/item.html?itemID=7698453275","https://weidian.com/item.html?itemID=7698453275")</f>
        <v>https://weidian.com/item.html?itemID=7698453275</v>
      </c>
      <c r="E113" s="2" t="str">
        <f>HYPERLINK("https://si.geilicdn.com/pcitem902002701844-4bec0000019ca8b6379a0a210256_1080_1080.jpg?w=640&amp;h=640","https://si.geilicdn.com/pcitem902002701844-4bec0000019ca8b6379a0a210256_1080_1080.jpg?w=640&amp;h=640")</f>
        <v>https://si.geilicdn.com/pcitem902002701844-4bec0000019ca8b6379a0a210256_1080_1080.jpg?w=640&amp;h=640</v>
      </c>
      <c r="F113" t="s">
        <v>23</v>
      </c>
      <c r="G113" t="s">
        <v>632</v>
      </c>
      <c r="H113" t="s">
        <v>834</v>
      </c>
      <c r="I113">
        <v>34.78</v>
      </c>
      <c r="J113" t="s">
        <v>1206</v>
      </c>
      <c r="K113" t="s">
        <v>659</v>
      </c>
      <c r="L113" t="s">
        <v>1207</v>
      </c>
      <c r="M113" t="s">
        <v>1208</v>
      </c>
      <c r="N113" t="s">
        <v>1209</v>
      </c>
      <c r="O113" t="s">
        <v>673</v>
      </c>
      <c r="P113" t="s">
        <v>1210</v>
      </c>
      <c r="Q113" t="s">
        <v>1211</v>
      </c>
      <c r="R113" t="s">
        <v>1212</v>
      </c>
      <c r="V113" t="s">
        <v>1213</v>
      </c>
      <c r="W113" t="s">
        <v>1214</v>
      </c>
    </row>
    <row r="114" ht="25.5" customHeight="1" spans="1:23">
      <c r="A114">
        <v>1639009235</v>
      </c>
      <c r="B114">
        <v>7698471363</v>
      </c>
      <c r="C114" s="2" t="str">
        <f>HYPERLINK("https://weidian.com/item.html?itemID=7698471363","https://weidian.com/item.html?itemID=7698471363")</f>
        <v>https://weidian.com/item.html?itemID=7698471363</v>
      </c>
      <c r="E114" s="2" t="str">
        <f>HYPERLINK("https://si.geilicdn.com/pcitem902002701844-4d9c0000019ca8b3b2af0a81347d_1080_1080.jpg?w=640&amp;h=640","https://si.geilicdn.com/pcitem902002701844-4d9c0000019ca8b3b2af0a81347d_1080_1080.jpg?w=640&amp;h=640")</f>
        <v>https://si.geilicdn.com/pcitem902002701844-4d9c0000019ca8b3b2af0a81347d_1080_1080.jpg?w=640&amp;h=640</v>
      </c>
      <c r="F114" t="s">
        <v>23</v>
      </c>
      <c r="G114" t="s">
        <v>632</v>
      </c>
      <c r="H114" t="s">
        <v>834</v>
      </c>
      <c r="I114">
        <v>34.78</v>
      </c>
      <c r="J114" t="s">
        <v>1215</v>
      </c>
      <c r="K114" t="s">
        <v>1216</v>
      </c>
      <c r="L114" t="s">
        <v>1217</v>
      </c>
      <c r="M114" t="s">
        <v>1218</v>
      </c>
      <c r="N114" t="s">
        <v>1219</v>
      </c>
      <c r="O114" t="s">
        <v>639</v>
      </c>
      <c r="P114" t="s">
        <v>1220</v>
      </c>
      <c r="Q114" t="s">
        <v>1221</v>
      </c>
      <c r="R114" t="s">
        <v>1222</v>
      </c>
      <c r="V114" t="s">
        <v>1223</v>
      </c>
      <c r="W114" t="s">
        <v>1224</v>
      </c>
    </row>
    <row r="115" ht="25.5" customHeight="1" spans="1:23">
      <c r="A115">
        <v>1639009235</v>
      </c>
      <c r="B115">
        <v>7699575466</v>
      </c>
      <c r="C115" s="2" t="str">
        <f>HYPERLINK("https://weidian.com/item.html?itemID=7699575466","https://weidian.com/item.html?itemID=7699575466")</f>
        <v>https://weidian.com/item.html?itemID=7699575466</v>
      </c>
      <c r="E115" s="2" t="str">
        <f>HYPERLINK("https://si.geilicdn.com/pcitem902002701844-56100000019c9c9f3bc90a20e284_1440_1920.jpg?w=640&amp;h=640","https://si.geilicdn.com/pcitem902002701844-56100000019c9c9f3bc90a20e284_1440_1920.jpg?w=640&amp;h=640")</f>
        <v>https://si.geilicdn.com/pcitem902002701844-56100000019c9c9f3bc90a20e284_1440_1920.jpg?w=640&amp;h=640</v>
      </c>
      <c r="F115" t="s">
        <v>23</v>
      </c>
      <c r="G115" t="s">
        <v>1090</v>
      </c>
      <c r="H115" t="s">
        <v>1091</v>
      </c>
      <c r="I115">
        <v>40.58</v>
      </c>
      <c r="J115" t="s">
        <v>1225</v>
      </c>
      <c r="K115" t="s">
        <v>1226</v>
      </c>
      <c r="L115" t="s">
        <v>1227</v>
      </c>
      <c r="M115" t="s">
        <v>1228</v>
      </c>
      <c r="N115" t="s">
        <v>1229</v>
      </c>
      <c r="O115" t="s">
        <v>1108</v>
      </c>
      <c r="P115" t="s">
        <v>1230</v>
      </c>
      <c r="Q115" t="s">
        <v>1231</v>
      </c>
      <c r="R115" t="s">
        <v>1232</v>
      </c>
      <c r="V115" t="s">
        <v>1233</v>
      </c>
      <c r="W115" t="s">
        <v>1234</v>
      </c>
    </row>
    <row r="116" ht="25.5" customHeight="1" spans="1:23">
      <c r="A116">
        <v>1639009235</v>
      </c>
      <c r="B116">
        <v>7699608944</v>
      </c>
      <c r="C116" s="2" t="str">
        <f>HYPERLINK("https://weidian.com/item.html?itemID=7699608944","https://weidian.com/item.html?itemID=7699608944")</f>
        <v>https://weidian.com/item.html?itemID=7699608944</v>
      </c>
      <c r="E116" s="2" t="str">
        <f>HYPERLINK("https://si.geilicdn.com/pcitem902002701844-550c0000019c9c9d98ab0a20e284_1440_1920.jpg?w=640&amp;h=640","https://si.geilicdn.com/pcitem902002701844-550c0000019c9c9d98ab0a20e284_1440_1920.jpg?w=640&amp;h=640")</f>
        <v>https://si.geilicdn.com/pcitem902002701844-550c0000019c9c9d98ab0a20e284_1440_1920.jpg?w=640&amp;h=640</v>
      </c>
      <c r="F116" t="s">
        <v>23</v>
      </c>
      <c r="G116" t="s">
        <v>1090</v>
      </c>
      <c r="H116" t="s">
        <v>1091</v>
      </c>
      <c r="I116">
        <v>40.58</v>
      </c>
      <c r="J116" t="s">
        <v>1235</v>
      </c>
      <c r="K116" t="s">
        <v>1236</v>
      </c>
      <c r="L116" t="s">
        <v>1237</v>
      </c>
      <c r="M116" t="s">
        <v>1238</v>
      </c>
      <c r="N116" t="s">
        <v>1239</v>
      </c>
      <c r="O116" t="s">
        <v>1108</v>
      </c>
      <c r="P116" t="s">
        <v>1240</v>
      </c>
      <c r="Q116" t="s">
        <v>1241</v>
      </c>
      <c r="R116" t="s">
        <v>1242</v>
      </c>
      <c r="V116" t="s">
        <v>1243</v>
      </c>
      <c r="W116" t="s">
        <v>1244</v>
      </c>
    </row>
    <row r="117" ht="25.5" customHeight="1" spans="1:23">
      <c r="A117">
        <v>1639009235</v>
      </c>
      <c r="B117">
        <v>7696705775</v>
      </c>
      <c r="C117" s="2" t="str">
        <f>HYPERLINK("https://weidian.com/item.html?itemID=7696705775","https://weidian.com/item.html?itemID=7696705775")</f>
        <v>https://weidian.com/item.html?itemID=7696705775</v>
      </c>
      <c r="E117" s="2" t="str">
        <f>HYPERLINK("https://si.geilicdn.com/pcitem902002701844-53bb0000019c9c9a1bee0a81347d_1440_1920.jpg?w=640&amp;h=640","https://si.geilicdn.com/pcitem902002701844-53bb0000019c9c9a1bee0a81347d_1440_1920.jpg?w=640&amp;h=640")</f>
        <v>https://si.geilicdn.com/pcitem902002701844-53bb0000019c9c9a1bee0a81347d_1440_1920.jpg?w=640&amp;h=640</v>
      </c>
      <c r="F117" t="s">
        <v>23</v>
      </c>
      <c r="G117" t="s">
        <v>1090</v>
      </c>
      <c r="H117" t="s">
        <v>1091</v>
      </c>
      <c r="I117">
        <v>40.58</v>
      </c>
      <c r="J117" t="s">
        <v>1245</v>
      </c>
      <c r="K117" t="s">
        <v>1246</v>
      </c>
      <c r="L117" t="s">
        <v>1247</v>
      </c>
      <c r="M117" t="s">
        <v>1248</v>
      </c>
      <c r="N117" t="s">
        <v>1249</v>
      </c>
      <c r="O117" t="s">
        <v>1108</v>
      </c>
      <c r="P117" t="s">
        <v>1250</v>
      </c>
      <c r="Q117" t="s">
        <v>1251</v>
      </c>
      <c r="R117" t="s">
        <v>1252</v>
      </c>
      <c r="V117" t="s">
        <v>1253</v>
      </c>
      <c r="W117" t="s">
        <v>1254</v>
      </c>
    </row>
    <row r="118" ht="25.5" customHeight="1" spans="1:23">
      <c r="A118">
        <v>1639009235</v>
      </c>
      <c r="B118">
        <v>7699404220</v>
      </c>
      <c r="C118" s="2" t="str">
        <f>HYPERLINK("https://weidian.com/item.html?itemID=7699404220","https://weidian.com/item.html?itemID=7699404220")</f>
        <v>https://weidian.com/item.html?itemID=7699404220</v>
      </c>
      <c r="E118" s="2" t="str">
        <f>HYPERLINK("https://si.geilicdn.com/pcitem902002701844-37c90000019c999f23030a20e672_1440_1920.jpg?w=640&amp;h=640","https://si.geilicdn.com/pcitem902002701844-37c90000019c999f23030a20e672_1440_1920.jpg?w=640&amp;h=640")</f>
        <v>https://si.geilicdn.com/pcitem902002701844-37c90000019c999f23030a20e672_1440_1920.jpg?w=640&amp;h=640</v>
      </c>
      <c r="F118" t="s">
        <v>23</v>
      </c>
      <c r="G118" t="s">
        <v>1090</v>
      </c>
      <c r="H118" t="s">
        <v>1091</v>
      </c>
      <c r="I118">
        <v>40.58</v>
      </c>
      <c r="J118" t="s">
        <v>1255</v>
      </c>
      <c r="K118" t="s">
        <v>1256</v>
      </c>
      <c r="L118" t="s">
        <v>1257</v>
      </c>
      <c r="M118" t="s">
        <v>1258</v>
      </c>
      <c r="N118" t="s">
        <v>1259</v>
      </c>
      <c r="O118" t="s">
        <v>1108</v>
      </c>
      <c r="P118" t="s">
        <v>1260</v>
      </c>
      <c r="Q118" t="s">
        <v>1261</v>
      </c>
      <c r="R118" t="s">
        <v>1262</v>
      </c>
      <c r="V118" t="s">
        <v>1263</v>
      </c>
      <c r="W118" t="s">
        <v>1264</v>
      </c>
    </row>
    <row r="119" ht="25.5" customHeight="1" spans="1:23">
      <c r="A119">
        <v>1639009235</v>
      </c>
      <c r="B119">
        <v>7696482311</v>
      </c>
      <c r="C119" s="2" t="str">
        <f>HYPERLINK("https://weidian.com/item.html?itemID=7696482311","https://weidian.com/item.html?itemID=7696482311")</f>
        <v>https://weidian.com/item.html?itemID=7696482311</v>
      </c>
      <c r="E119" s="2" t="str">
        <f>HYPERLINK("https://si.geilicdn.com/pcitem902002701844-5ec90000019c999bfb750a23038e_1150_768.jpg?w=640&amp;h=640","https://si.geilicdn.com/pcitem902002701844-5ec90000019c999bfb750a23038e_1150_768.jpg?w=640&amp;h=640")</f>
        <v>https://si.geilicdn.com/pcitem902002701844-5ec90000019c999bfb750a23038e_1150_768.jpg?w=640&amp;h=640</v>
      </c>
      <c r="F119" t="s">
        <v>23</v>
      </c>
      <c r="G119" t="s">
        <v>1090</v>
      </c>
      <c r="H119" t="s">
        <v>1265</v>
      </c>
      <c r="I119">
        <v>33.33</v>
      </c>
      <c r="J119" t="s">
        <v>1266</v>
      </c>
      <c r="K119" t="s">
        <v>1267</v>
      </c>
      <c r="L119" t="s">
        <v>1268</v>
      </c>
      <c r="M119" t="s">
        <v>1269</v>
      </c>
      <c r="N119" t="s">
        <v>1270</v>
      </c>
      <c r="O119" t="s">
        <v>1097</v>
      </c>
      <c r="P119" t="s">
        <v>1271</v>
      </c>
      <c r="Q119" t="s">
        <v>1272</v>
      </c>
      <c r="R119" t="s">
        <v>1273</v>
      </c>
      <c r="V119" t="s">
        <v>1274</v>
      </c>
      <c r="W119" t="s">
        <v>1275</v>
      </c>
    </row>
    <row r="120" ht="25.5" customHeight="1" spans="1:23">
      <c r="A120">
        <v>1639009235</v>
      </c>
      <c r="B120">
        <v>7696403527</v>
      </c>
      <c r="C120" s="2" t="str">
        <f>HYPERLINK("https://weidian.com/item.html?itemID=7696403527","https://weidian.com/item.html?itemID=7696403527")</f>
        <v>https://weidian.com/item.html?itemID=7696403527</v>
      </c>
      <c r="E120" s="2" t="str">
        <f>HYPERLINK("https://si.geilicdn.com/pcitem902002701844-72620000019c999947fd0a2103bd_1440_1920.jpg?w=640&amp;h=640","https://si.geilicdn.com/pcitem902002701844-72620000019c999947fd0a2103bd_1440_1920.jpg?w=640&amp;h=640")</f>
        <v>https://si.geilicdn.com/pcitem902002701844-72620000019c999947fd0a2103bd_1440_1920.jpg?w=640&amp;h=640</v>
      </c>
      <c r="F120" t="s">
        <v>23</v>
      </c>
      <c r="G120" t="s">
        <v>1090</v>
      </c>
      <c r="H120" t="s">
        <v>1265</v>
      </c>
      <c r="I120">
        <v>33.33</v>
      </c>
      <c r="J120" t="s">
        <v>1276</v>
      </c>
      <c r="K120" t="s">
        <v>1277</v>
      </c>
      <c r="L120" t="s">
        <v>1278</v>
      </c>
      <c r="M120" t="s">
        <v>1279</v>
      </c>
      <c r="N120" t="s">
        <v>1280</v>
      </c>
      <c r="O120" t="s">
        <v>1108</v>
      </c>
      <c r="P120" t="s">
        <v>1281</v>
      </c>
      <c r="Q120" t="s">
        <v>1282</v>
      </c>
      <c r="R120" t="s">
        <v>1283</v>
      </c>
      <c r="V120" t="s">
        <v>1284</v>
      </c>
      <c r="W120" t="s">
        <v>1285</v>
      </c>
    </row>
    <row r="121" ht="25.5" customHeight="1" spans="1:23">
      <c r="A121">
        <v>1639009235</v>
      </c>
      <c r="B121">
        <v>7699477988</v>
      </c>
      <c r="C121" s="2" t="str">
        <f>HYPERLINK("https://weidian.com/item.html?itemID=7699477988","https://weidian.com/item.html?itemID=7699477988")</f>
        <v>https://weidian.com/item.html?itemID=7699477988</v>
      </c>
      <c r="E121" s="2" t="str">
        <f>HYPERLINK("https://si.geilicdn.com/pcitem902002701844-51fc0000019c999823da0a23047e_1440_1920.jpg?w=640&amp;h=640","https://si.geilicdn.com/pcitem902002701844-51fc0000019c999823da0a23047e_1440_1920.jpg?w=640&amp;h=640")</f>
        <v>https://si.geilicdn.com/pcitem902002701844-51fc0000019c999823da0a23047e_1440_1920.jpg?w=640&amp;h=640</v>
      </c>
      <c r="F121" t="s">
        <v>23</v>
      </c>
      <c r="G121" t="s">
        <v>1090</v>
      </c>
      <c r="H121" t="s">
        <v>1265</v>
      </c>
      <c r="I121">
        <v>33.33</v>
      </c>
      <c r="J121" t="s">
        <v>1286</v>
      </c>
      <c r="K121" t="s">
        <v>1287</v>
      </c>
      <c r="L121" t="s">
        <v>1288</v>
      </c>
      <c r="M121" t="s">
        <v>1289</v>
      </c>
      <c r="N121" t="s">
        <v>1290</v>
      </c>
      <c r="O121" t="s">
        <v>1291</v>
      </c>
      <c r="P121" t="s">
        <v>1292</v>
      </c>
      <c r="Q121" t="s">
        <v>1293</v>
      </c>
      <c r="R121" t="s">
        <v>1294</v>
      </c>
      <c r="V121" t="s">
        <v>1295</v>
      </c>
      <c r="W121" t="s">
        <v>1296</v>
      </c>
    </row>
    <row r="122" ht="25.5" customHeight="1" spans="1:23">
      <c r="A122">
        <v>1639009235</v>
      </c>
      <c r="B122">
        <v>7696531603</v>
      </c>
      <c r="C122" s="2" t="str">
        <f>HYPERLINK("https://weidian.com/item.html?itemID=7696531603","https://weidian.com/item.html?itemID=7696531603")</f>
        <v>https://weidian.com/item.html?itemID=7696531603</v>
      </c>
      <c r="E122" s="2" t="str">
        <f>HYPERLINK("https://si.geilicdn.com/pcitem902002701844-57500000019c9995d9280a23111a_1500_2000.jpg?w=640&amp;h=640","https://si.geilicdn.com/pcitem902002701844-57500000019c9995d9280a23111a_1500_2000.jpg?w=640&amp;h=640")</f>
        <v>https://si.geilicdn.com/pcitem902002701844-57500000019c9995d9280a23111a_1500_2000.jpg?w=640&amp;h=640</v>
      </c>
      <c r="F122" t="s">
        <v>23</v>
      </c>
      <c r="G122" t="s">
        <v>1090</v>
      </c>
      <c r="H122" t="s">
        <v>834</v>
      </c>
      <c r="I122">
        <v>34.78</v>
      </c>
      <c r="J122" t="s">
        <v>1297</v>
      </c>
      <c r="K122" t="s">
        <v>1298</v>
      </c>
      <c r="L122" t="s">
        <v>1299</v>
      </c>
      <c r="M122" t="s">
        <v>1300</v>
      </c>
      <c r="N122" t="s">
        <v>1301</v>
      </c>
      <c r="O122" t="s">
        <v>1108</v>
      </c>
      <c r="P122" t="s">
        <v>1302</v>
      </c>
      <c r="Q122" t="s">
        <v>1303</v>
      </c>
      <c r="R122" t="s">
        <v>1304</v>
      </c>
      <c r="V122" t="s">
        <v>1305</v>
      </c>
      <c r="W122" t="s">
        <v>1306</v>
      </c>
    </row>
    <row r="123" ht="25.5" customHeight="1" spans="1:23">
      <c r="A123">
        <v>1639009235</v>
      </c>
      <c r="B123">
        <v>7696417399</v>
      </c>
      <c r="C123" s="2" t="str">
        <f>HYPERLINK("https://weidian.com/item.html?itemID=7696417399","https://weidian.com/item.html?itemID=7696417399")</f>
        <v>https://weidian.com/item.html?itemID=7696417399</v>
      </c>
      <c r="E123" s="2" t="str">
        <f>HYPERLINK("https://si.geilicdn.com/pcitem902002701844-51df0000019c998e46f50a207569_1536_2048.jpg?w=640&amp;h=640","https://si.geilicdn.com/pcitem902002701844-51df0000019c998e46f50a207569_1536_2048.jpg?w=640&amp;h=640")</f>
        <v>https://si.geilicdn.com/pcitem902002701844-51df0000019c998e46f50a207569_1536_2048.jpg?w=640&amp;h=640</v>
      </c>
      <c r="F123" t="s">
        <v>23</v>
      </c>
      <c r="G123" t="s">
        <v>1090</v>
      </c>
      <c r="H123" t="s">
        <v>1091</v>
      </c>
      <c r="I123">
        <v>40.58</v>
      </c>
      <c r="J123" t="s">
        <v>1307</v>
      </c>
      <c r="K123" t="s">
        <v>1308</v>
      </c>
      <c r="L123" t="s">
        <v>1309</v>
      </c>
      <c r="M123" t="s">
        <v>1310</v>
      </c>
      <c r="N123" t="s">
        <v>1311</v>
      </c>
      <c r="O123" t="s">
        <v>1108</v>
      </c>
      <c r="P123" t="s">
        <v>1312</v>
      </c>
      <c r="Q123" t="s">
        <v>1313</v>
      </c>
      <c r="R123" t="s">
        <v>1314</v>
      </c>
      <c r="V123" t="s">
        <v>1315</v>
      </c>
      <c r="W123" t="s">
        <v>1316</v>
      </c>
    </row>
    <row r="124" ht="25.5" customHeight="1" spans="1:23">
      <c r="A124">
        <v>1639009235</v>
      </c>
      <c r="B124">
        <v>7699438740</v>
      </c>
      <c r="C124" s="2" t="str">
        <f>HYPERLINK("https://weidian.com/item.html?itemID=7699438740","https://weidian.com/item.html?itemID=7699438740")</f>
        <v>https://weidian.com/item.html?itemID=7699438740</v>
      </c>
      <c r="E124" s="2" t="str">
        <f>HYPERLINK("https://si.geilicdn.com/pcitem902002701844-4b270000019c998c33030a2315ef_1080_1440.jpg?w=640&amp;h=640","https://si.geilicdn.com/pcitem902002701844-4b270000019c998c33030a2315ef_1080_1440.jpg?w=640&amp;h=640")</f>
        <v>https://si.geilicdn.com/pcitem902002701844-4b270000019c998c33030a2315ef_1080_1440.jpg?w=640&amp;h=640</v>
      </c>
      <c r="F124" t="s">
        <v>23</v>
      </c>
      <c r="G124" t="s">
        <v>1090</v>
      </c>
      <c r="H124" t="s">
        <v>150</v>
      </c>
      <c r="I124">
        <v>37.68</v>
      </c>
      <c r="J124" t="s">
        <v>1317</v>
      </c>
      <c r="K124" t="s">
        <v>1318</v>
      </c>
      <c r="L124" t="s">
        <v>1319</v>
      </c>
      <c r="M124" t="s">
        <v>1320</v>
      </c>
      <c r="N124" t="s">
        <v>1321</v>
      </c>
      <c r="O124" t="s">
        <v>1097</v>
      </c>
      <c r="P124" t="s">
        <v>1322</v>
      </c>
      <c r="Q124" t="s">
        <v>1323</v>
      </c>
      <c r="R124" t="s">
        <v>1324</v>
      </c>
      <c r="V124" t="s">
        <v>1325</v>
      </c>
      <c r="W124" t="s">
        <v>1326</v>
      </c>
    </row>
    <row r="125" ht="25.5" customHeight="1" spans="1:23">
      <c r="A125">
        <v>1639009235</v>
      </c>
      <c r="B125">
        <v>7696492199</v>
      </c>
      <c r="C125" s="2" t="str">
        <f>HYPERLINK("https://weidian.com/item.html?itemID=7696492199","https://weidian.com/item.html?itemID=7696492199")</f>
        <v>https://weidian.com/item.html?itemID=7696492199</v>
      </c>
      <c r="E125" s="2" t="str">
        <f>HYPERLINK("https://si.geilicdn.com/pcitem902002701844-43610000019c998905130a20e284_1440_1920.jpg?w=640&amp;h=640","https://si.geilicdn.com/pcitem902002701844-43610000019c998905130a20e284_1440_1920.jpg?w=640&amp;h=640")</f>
        <v>https://si.geilicdn.com/pcitem902002701844-43610000019c998905130a20e284_1440_1920.jpg?w=640&amp;h=640</v>
      </c>
      <c r="F125" t="s">
        <v>23</v>
      </c>
      <c r="G125" t="s">
        <v>1090</v>
      </c>
      <c r="H125" t="s">
        <v>1091</v>
      </c>
      <c r="I125">
        <v>40.58</v>
      </c>
      <c r="J125" t="s">
        <v>1327</v>
      </c>
      <c r="K125" t="s">
        <v>1328</v>
      </c>
      <c r="L125" t="s">
        <v>1329</v>
      </c>
      <c r="M125" t="s">
        <v>1330</v>
      </c>
      <c r="N125" t="s">
        <v>1331</v>
      </c>
      <c r="O125" t="s">
        <v>1108</v>
      </c>
      <c r="P125" t="s">
        <v>1250</v>
      </c>
      <c r="Q125" t="s">
        <v>1332</v>
      </c>
      <c r="R125" t="s">
        <v>1333</v>
      </c>
      <c r="V125" t="s">
        <v>1334</v>
      </c>
      <c r="W125" t="s">
        <v>1335</v>
      </c>
    </row>
    <row r="126" ht="25.5" customHeight="1" spans="1:23">
      <c r="A126">
        <v>1639009235</v>
      </c>
      <c r="B126">
        <v>7696480315</v>
      </c>
      <c r="C126" s="2" t="str">
        <f>HYPERLINK("https://weidian.com/item.html?itemID=7696480315","https://weidian.com/item.html?itemID=7696480315")</f>
        <v>https://weidian.com/item.html?itemID=7696480315</v>
      </c>
      <c r="E126" s="2" t="str">
        <f>HYPERLINK("https://si.geilicdn.com/pcitem902002701844-57750000019c9983fe0b0a23041a_1920_1280.jpg?w=640&amp;h=640","https://si.geilicdn.com/pcitem902002701844-57750000019c9983fe0b0a23041a_1920_1280.jpg?w=640&amp;h=640")</f>
        <v>https://si.geilicdn.com/pcitem902002701844-57750000019c9983fe0b0a23041a_1920_1280.jpg?w=640&amp;h=640</v>
      </c>
      <c r="F126" t="s">
        <v>23</v>
      </c>
      <c r="G126" t="s">
        <v>1090</v>
      </c>
      <c r="H126" t="s">
        <v>150</v>
      </c>
      <c r="I126">
        <v>37.68</v>
      </c>
      <c r="J126" t="s">
        <v>1336</v>
      </c>
      <c r="K126" t="s">
        <v>1337</v>
      </c>
      <c r="L126" t="s">
        <v>1338</v>
      </c>
      <c r="M126" t="s">
        <v>1339</v>
      </c>
      <c r="N126" t="s">
        <v>1340</v>
      </c>
      <c r="O126" t="s">
        <v>1108</v>
      </c>
      <c r="P126" t="s">
        <v>1341</v>
      </c>
      <c r="Q126" t="s">
        <v>1342</v>
      </c>
      <c r="R126" t="s">
        <v>1343</v>
      </c>
      <c r="V126" t="s">
        <v>1344</v>
      </c>
      <c r="W126" t="s">
        <v>1345</v>
      </c>
    </row>
    <row r="127" ht="25.5" customHeight="1" spans="1:23">
      <c r="A127">
        <v>1639009235</v>
      </c>
      <c r="B127">
        <v>7696499761</v>
      </c>
      <c r="C127" s="2" t="str">
        <f>HYPERLINK("https://weidian.com/item.html?itemID=7696499761","https://weidian.com/item.html?itemID=7696499761")</f>
        <v>https://weidian.com/item.html?itemID=7696499761</v>
      </c>
      <c r="E127" s="2" t="str">
        <f>HYPERLINK("https://si.geilicdn.com/pcitem902002701844-56290000019c99819cfe0a23041a_1080_1440.jpg?w=640&amp;h=640","https://si.geilicdn.com/pcitem902002701844-56290000019c99819cfe0a23041a_1080_1440.jpg?w=640&amp;h=640")</f>
        <v>https://si.geilicdn.com/pcitem902002701844-56290000019c99819cfe0a23041a_1080_1440.jpg?w=640&amp;h=640</v>
      </c>
      <c r="F127" t="s">
        <v>23</v>
      </c>
      <c r="G127" t="s">
        <v>1090</v>
      </c>
      <c r="H127" t="s">
        <v>150</v>
      </c>
      <c r="I127">
        <v>37.68</v>
      </c>
      <c r="J127" t="s">
        <v>1346</v>
      </c>
      <c r="K127" t="s">
        <v>1347</v>
      </c>
      <c r="L127" t="s">
        <v>1348</v>
      </c>
      <c r="M127" t="s">
        <v>1349</v>
      </c>
      <c r="N127" t="s">
        <v>1350</v>
      </c>
      <c r="O127" t="s">
        <v>1108</v>
      </c>
      <c r="P127" t="s">
        <v>1341</v>
      </c>
      <c r="Q127" t="s">
        <v>1351</v>
      </c>
      <c r="R127" t="s">
        <v>1352</v>
      </c>
      <c r="V127" t="s">
        <v>1353</v>
      </c>
      <c r="W127" t="s">
        <v>1354</v>
      </c>
    </row>
    <row r="128" ht="25.5" customHeight="1" spans="1:23">
      <c r="A128">
        <v>1639009235</v>
      </c>
      <c r="B128">
        <v>7698569999</v>
      </c>
      <c r="C128" s="2" t="str">
        <f>HYPERLINK("https://weidian.com/item.html?itemID=7698569999","https://weidian.com/item.html?itemID=7698569999")</f>
        <v>https://weidian.com/item.html?itemID=7698569999</v>
      </c>
      <c r="E128" s="2" t="str">
        <f>HYPERLINK("https://si.geilicdn.com/pcitem902002701844-5f490000019ca8b78bb90a23038e_1080_1080.jpg?w=640&amp;h=640","https://si.geilicdn.com/pcitem902002701844-5f490000019ca8b78bb90a23038e_1080_1080.jpg?w=640&amp;h=640")</f>
        <v>https://si.geilicdn.com/pcitem902002701844-5f490000019ca8b78bb90a23038e_1080_1080.jpg?w=640&amp;h=640</v>
      </c>
      <c r="F128" t="s">
        <v>23</v>
      </c>
      <c r="G128" t="s">
        <v>632</v>
      </c>
      <c r="H128" t="s">
        <v>834</v>
      </c>
      <c r="I128">
        <v>34.78</v>
      </c>
      <c r="J128" t="s">
        <v>1355</v>
      </c>
      <c r="K128" t="s">
        <v>1356</v>
      </c>
      <c r="L128" t="s">
        <v>1357</v>
      </c>
      <c r="M128" t="s">
        <v>1358</v>
      </c>
      <c r="N128" t="s">
        <v>1359</v>
      </c>
      <c r="O128" t="s">
        <v>673</v>
      </c>
      <c r="P128" t="s">
        <v>1360</v>
      </c>
      <c r="Q128" t="s">
        <v>1361</v>
      </c>
      <c r="R128" t="s">
        <v>1362</v>
      </c>
      <c r="V128" t="s">
        <v>1363</v>
      </c>
      <c r="W128" t="s">
        <v>1364</v>
      </c>
    </row>
    <row r="129" ht="25.5" customHeight="1" spans="1:23">
      <c r="A129">
        <v>1639009235</v>
      </c>
      <c r="B129">
        <v>7698488839</v>
      </c>
      <c r="C129" s="2" t="str">
        <f>HYPERLINK("https://weidian.com/item.html?itemID=7698488839","https://weidian.com/item.html?itemID=7698488839")</f>
        <v>https://weidian.com/item.html?itemID=7698488839</v>
      </c>
      <c r="E129" s="2" t="str">
        <f>HYPERLINK("https://si.geilicdn.com/pcitem902002701844-4cad0000019ca8b222280a81347d_1080_1080.jpg?w=640&amp;h=640","https://si.geilicdn.com/pcitem902002701844-4cad0000019ca8b222280a81347d_1080_1080.jpg?w=640&amp;h=640")</f>
        <v>https://si.geilicdn.com/pcitem902002701844-4cad0000019ca8b222280a81347d_1080_1080.jpg?w=640&amp;h=640</v>
      </c>
      <c r="F129" t="s">
        <v>23</v>
      </c>
      <c r="G129" t="s">
        <v>632</v>
      </c>
      <c r="H129" t="s">
        <v>1365</v>
      </c>
      <c r="I129">
        <v>101.45</v>
      </c>
      <c r="J129" t="s">
        <v>1366</v>
      </c>
      <c r="K129" t="s">
        <v>1367</v>
      </c>
      <c r="L129" t="s">
        <v>1368</v>
      </c>
      <c r="M129" t="s">
        <v>1369</v>
      </c>
      <c r="N129" t="s">
        <v>1370</v>
      </c>
      <c r="O129" t="s">
        <v>673</v>
      </c>
      <c r="P129" t="s">
        <v>1371</v>
      </c>
      <c r="Q129" t="s">
        <v>1372</v>
      </c>
      <c r="R129" t="s">
        <v>1373</v>
      </c>
      <c r="V129" t="s">
        <v>1374</v>
      </c>
      <c r="W129" t="s">
        <v>1375</v>
      </c>
    </row>
    <row r="130" ht="25.5" customHeight="1" spans="1:23">
      <c r="A130">
        <v>1639009235</v>
      </c>
      <c r="B130">
        <v>7701461268</v>
      </c>
      <c r="C130" s="2" t="str">
        <f>HYPERLINK("https://weidian.com/item.html?itemID=7701461268","https://weidian.com/item.html?itemID=7701461268")</f>
        <v>https://weidian.com/item.html?itemID=7701461268</v>
      </c>
      <c r="E130" s="2" t="str">
        <f>HYPERLINK("https://si.geilicdn.com/pcitem902002701844-5a9a0000019ca8b0f7ec0a2303ee_1160_1450.jpg?w=640&amp;h=640","https://si.geilicdn.com/pcitem902002701844-5a9a0000019ca8b0f7ec0a2303ee_1160_1450.jpg?w=640&amp;h=640")</f>
        <v>https://si.geilicdn.com/pcitem902002701844-5a9a0000019ca8b0f7ec0a2303ee_1160_1450.jpg?w=640&amp;h=640</v>
      </c>
      <c r="F130" t="s">
        <v>23</v>
      </c>
      <c r="G130" t="s">
        <v>632</v>
      </c>
      <c r="H130" t="s">
        <v>645</v>
      </c>
      <c r="I130">
        <v>55.07</v>
      </c>
      <c r="J130" t="s">
        <v>1376</v>
      </c>
      <c r="K130" t="s">
        <v>1377</v>
      </c>
      <c r="L130" t="s">
        <v>1378</v>
      </c>
      <c r="M130" t="s">
        <v>1379</v>
      </c>
      <c r="N130" t="s">
        <v>1380</v>
      </c>
      <c r="O130" t="s">
        <v>639</v>
      </c>
      <c r="P130" t="s">
        <v>1381</v>
      </c>
      <c r="Q130" t="s">
        <v>1382</v>
      </c>
      <c r="R130" t="s">
        <v>1383</v>
      </c>
      <c r="V130" t="s">
        <v>1384</v>
      </c>
      <c r="W130" t="s">
        <v>1385</v>
      </c>
    </row>
    <row r="131" ht="25.5" customHeight="1" spans="1:23">
      <c r="A131">
        <v>1639009235</v>
      </c>
      <c r="B131">
        <v>7699605066</v>
      </c>
      <c r="C131" s="2" t="str">
        <f>HYPERLINK("https://weidian.com/item.html?itemID=7699605066","https://weidian.com/item.html?itemID=7699605066")</f>
        <v>https://weidian.com/item.html?itemID=7699605066</v>
      </c>
      <c r="E131" s="2" t="str">
        <f>HYPERLINK("https://si.geilicdn.com/pcitem902002701844-4d9f0000019c9c9e64140a20e273_1440_1920.jpg?w=640&amp;h=640","https://si.geilicdn.com/pcitem902002701844-4d9f0000019c9c9e64140a20e273_1440_1920.jpg?w=640&amp;h=640")</f>
        <v>https://si.geilicdn.com/pcitem902002701844-4d9f0000019c9c9e64140a20e273_1440_1920.jpg?w=640&amp;h=640</v>
      </c>
      <c r="F131" t="s">
        <v>23</v>
      </c>
      <c r="G131" t="s">
        <v>1090</v>
      </c>
      <c r="H131" t="s">
        <v>1265</v>
      </c>
      <c r="I131">
        <v>33.33</v>
      </c>
      <c r="J131" t="s">
        <v>1386</v>
      </c>
      <c r="K131" t="s">
        <v>1387</v>
      </c>
      <c r="L131" t="s">
        <v>1388</v>
      </c>
      <c r="M131" t="s">
        <v>1389</v>
      </c>
      <c r="N131" t="s">
        <v>1390</v>
      </c>
      <c r="O131" t="s">
        <v>1097</v>
      </c>
      <c r="P131" t="s">
        <v>1391</v>
      </c>
      <c r="Q131" t="s">
        <v>1392</v>
      </c>
      <c r="R131" t="s">
        <v>1393</v>
      </c>
      <c r="V131" t="s">
        <v>1394</v>
      </c>
      <c r="W131" t="s">
        <v>1395</v>
      </c>
    </row>
    <row r="132" ht="25.5" customHeight="1" spans="1:23">
      <c r="A132">
        <v>1639009235</v>
      </c>
      <c r="B132">
        <v>7696626867</v>
      </c>
      <c r="C132" s="2" t="str">
        <f>HYPERLINK("https://weidian.com/item.html?itemID=7696626867","https://weidian.com/item.html?itemID=7696626867")</f>
        <v>https://weidian.com/item.html?itemID=7696626867</v>
      </c>
      <c r="E132" s="2" t="str">
        <f>HYPERLINK("https://si.geilicdn.com/pcitem902002701844-25ed0000019c9c9ccbd30a811411_1440_1920.jpg?w=640&amp;h=640","https://si.geilicdn.com/pcitem902002701844-25ed0000019c9c9ccbd30a811411_1440_1920.jpg?w=640&amp;h=640")</f>
        <v>https://si.geilicdn.com/pcitem902002701844-25ed0000019c9c9ccbd30a811411_1440_1920.jpg?w=640&amp;h=640</v>
      </c>
      <c r="F132" t="s">
        <v>23</v>
      </c>
      <c r="G132" t="s">
        <v>1090</v>
      </c>
      <c r="H132" t="s">
        <v>1091</v>
      </c>
      <c r="I132">
        <v>40.58</v>
      </c>
      <c r="J132" t="s">
        <v>1396</v>
      </c>
      <c r="K132" t="s">
        <v>1397</v>
      </c>
      <c r="L132" t="s">
        <v>1398</v>
      </c>
      <c r="M132" t="s">
        <v>1399</v>
      </c>
      <c r="N132" t="s">
        <v>1400</v>
      </c>
      <c r="O132" t="s">
        <v>1108</v>
      </c>
      <c r="P132" t="s">
        <v>1401</v>
      </c>
      <c r="Q132" t="s">
        <v>1402</v>
      </c>
      <c r="R132" t="s">
        <v>1403</v>
      </c>
      <c r="V132" t="s">
        <v>1404</v>
      </c>
      <c r="W132" t="s">
        <v>1405</v>
      </c>
    </row>
    <row r="133" ht="25.5" customHeight="1" spans="1:23">
      <c r="A133">
        <v>1639009235</v>
      </c>
      <c r="B133">
        <v>7699569460</v>
      </c>
      <c r="C133" s="2" t="str">
        <f>HYPERLINK("https://weidian.com/item.html?itemID=7699569460","https://weidian.com/item.html?itemID=7699569460")</f>
        <v>https://weidian.com/item.html?itemID=7699569460</v>
      </c>
      <c r="E133" s="2" t="str">
        <f>HYPERLINK("https://si.geilicdn.com/pcitem902002701844-57c40000019c9c9941230a23057e_1500_2000.jpg?w=640&amp;h=640","https://si.geilicdn.com/pcitem902002701844-57c40000019c9c9941230a23057e_1500_2000.jpg?w=640&amp;h=640")</f>
        <v>https://si.geilicdn.com/pcitem902002701844-57c40000019c9c9941230a23057e_1500_2000.jpg?w=640&amp;h=640</v>
      </c>
      <c r="F133" t="s">
        <v>23</v>
      </c>
      <c r="G133" t="s">
        <v>1090</v>
      </c>
      <c r="H133" t="s">
        <v>1091</v>
      </c>
      <c r="I133">
        <v>40.58</v>
      </c>
      <c r="J133" t="s">
        <v>1406</v>
      </c>
      <c r="K133" t="s">
        <v>1407</v>
      </c>
      <c r="L133" t="s">
        <v>1408</v>
      </c>
      <c r="M133" t="s">
        <v>1409</v>
      </c>
      <c r="N133" t="s">
        <v>1410</v>
      </c>
      <c r="O133" t="s">
        <v>1108</v>
      </c>
      <c r="P133" t="s">
        <v>1411</v>
      </c>
      <c r="Q133" t="s">
        <v>1412</v>
      </c>
      <c r="R133" t="s">
        <v>1413</v>
      </c>
      <c r="V133" t="s">
        <v>1414</v>
      </c>
      <c r="W133" t="s">
        <v>1415</v>
      </c>
    </row>
    <row r="134" ht="25.5" customHeight="1" spans="1:23">
      <c r="A134">
        <v>1639009235</v>
      </c>
      <c r="B134">
        <v>7699413390</v>
      </c>
      <c r="C134" s="2" t="str">
        <f>HYPERLINK("https://weidian.com/item.html?itemID=7699413390","https://weidian.com/item.html?itemID=7699413390")</f>
        <v>https://weidian.com/item.html?itemID=7699413390</v>
      </c>
      <c r="E134" s="2" t="str">
        <f>HYPERLINK("https://si.geilicdn.com/pcitem902002701844-5cc30000019c99a450a60a8133cc_1536_2048.jpg?w=640&amp;h=640","https://si.geilicdn.com/pcitem902002701844-5cc30000019c99a450a60a8133cc_1536_2048.jpg?w=640&amp;h=640")</f>
        <v>https://si.geilicdn.com/pcitem902002701844-5cc30000019c99a450a60a8133cc_1536_2048.jpg?w=640&amp;h=640</v>
      </c>
      <c r="F134" t="s">
        <v>23</v>
      </c>
      <c r="G134" t="s">
        <v>1090</v>
      </c>
      <c r="H134" t="s">
        <v>1091</v>
      </c>
      <c r="I134">
        <v>40.58</v>
      </c>
      <c r="J134" t="s">
        <v>1416</v>
      </c>
      <c r="K134" t="s">
        <v>1417</v>
      </c>
      <c r="L134" t="s">
        <v>1418</v>
      </c>
      <c r="M134" t="s">
        <v>1419</v>
      </c>
      <c r="N134" t="s">
        <v>1420</v>
      </c>
      <c r="O134" t="s">
        <v>1108</v>
      </c>
      <c r="P134" t="s">
        <v>1421</v>
      </c>
      <c r="Q134" t="s">
        <v>1422</v>
      </c>
      <c r="R134" t="s">
        <v>1423</v>
      </c>
      <c r="V134" t="s">
        <v>1424</v>
      </c>
      <c r="W134" t="s">
        <v>1425</v>
      </c>
    </row>
    <row r="135" ht="25.5" customHeight="1" spans="1:23">
      <c r="A135">
        <v>1639009235</v>
      </c>
      <c r="B135">
        <v>7699476316</v>
      </c>
      <c r="C135" s="2" t="str">
        <f>HYPERLINK("https://weidian.com/item.html?itemID=7699476316","https://weidian.com/item.html?itemID=7699476316")</f>
        <v>https://weidian.com/item.html?itemID=7699476316</v>
      </c>
      <c r="E135" s="2" t="str">
        <f>HYPERLINK("https://si.geilicdn.com/pcitem902002701844-64930000019c999d02280a23041a_1150_768.jpg?w=640&amp;h=640","https://si.geilicdn.com/pcitem902002701844-64930000019c999d02280a23041a_1150_768.jpg?w=640&amp;h=640")</f>
        <v>https://si.geilicdn.com/pcitem902002701844-64930000019c999d02280a23041a_1150_768.jpg?w=640&amp;h=640</v>
      </c>
      <c r="F135" t="s">
        <v>23</v>
      </c>
      <c r="G135" t="s">
        <v>1090</v>
      </c>
      <c r="H135" t="s">
        <v>1265</v>
      </c>
      <c r="I135">
        <v>33.33</v>
      </c>
      <c r="J135" t="s">
        <v>1426</v>
      </c>
      <c r="K135" t="s">
        <v>1427</v>
      </c>
      <c r="L135" t="s">
        <v>1428</v>
      </c>
      <c r="M135" t="s">
        <v>1429</v>
      </c>
      <c r="N135" t="s">
        <v>1430</v>
      </c>
      <c r="O135" t="s">
        <v>1108</v>
      </c>
      <c r="P135" t="s">
        <v>1431</v>
      </c>
      <c r="Q135" t="s">
        <v>1432</v>
      </c>
      <c r="R135" t="s">
        <v>1433</v>
      </c>
      <c r="V135" t="s">
        <v>1434</v>
      </c>
      <c r="W135" t="s">
        <v>1435</v>
      </c>
    </row>
    <row r="136" ht="25.5" customHeight="1" spans="1:23">
      <c r="A136">
        <v>1639009235</v>
      </c>
      <c r="B136">
        <v>7699507728</v>
      </c>
      <c r="C136" s="2" t="str">
        <f>HYPERLINK("https://weidian.com/item.html?itemID=7699507728","https://weidian.com/item.html?itemID=7699507728")</f>
        <v>https://weidian.com/item.html?itemID=7699507728</v>
      </c>
      <c r="E136" s="2" t="str">
        <f>HYPERLINK("https://si.geilicdn.com/pcitem902002701844-57f30000019c999701730a23111a_1500_2000.jpg?w=640&amp;h=640","https://si.geilicdn.com/pcitem902002701844-57f30000019c999701730a23111a_1500_2000.jpg?w=640&amp;h=640")</f>
        <v>https://si.geilicdn.com/pcitem902002701844-57f30000019c999701730a23111a_1500_2000.jpg?w=640&amp;h=640</v>
      </c>
      <c r="F136" t="s">
        <v>23</v>
      </c>
      <c r="G136" t="s">
        <v>1090</v>
      </c>
      <c r="H136" t="s">
        <v>834</v>
      </c>
      <c r="I136">
        <v>34.78</v>
      </c>
      <c r="J136" t="s">
        <v>1436</v>
      </c>
      <c r="K136" t="s">
        <v>1437</v>
      </c>
      <c r="L136" t="s">
        <v>1438</v>
      </c>
      <c r="M136" t="s">
        <v>1439</v>
      </c>
      <c r="N136" t="s">
        <v>1440</v>
      </c>
      <c r="O136" t="s">
        <v>1108</v>
      </c>
      <c r="P136" t="s">
        <v>1441</v>
      </c>
      <c r="Q136" t="s">
        <v>1442</v>
      </c>
      <c r="R136" t="s">
        <v>1443</v>
      </c>
      <c r="V136" t="s">
        <v>1444</v>
      </c>
      <c r="W136" t="s">
        <v>1445</v>
      </c>
    </row>
    <row r="137" ht="25.5" customHeight="1" spans="1:23">
      <c r="A137">
        <v>1639009235</v>
      </c>
      <c r="B137">
        <v>7696374433</v>
      </c>
      <c r="C137" s="2" t="str">
        <f>HYPERLINK("https://weidian.com/item.html?itemID=7696374433","https://weidian.com/item.html?itemID=7696374433")</f>
        <v>https://weidian.com/item.html?itemID=7696374433</v>
      </c>
      <c r="E137" s="2" t="str">
        <f>HYPERLINK("https://si.geilicdn.com/pcitem902002701844-25750000019c99949b9e0a23913e_3072_3072.jpg?w=640&amp;h=640","https://si.geilicdn.com/pcitem902002701844-25750000019c99949b9e0a23913e_3072_3072.jpg?w=640&amp;h=640")</f>
        <v>https://si.geilicdn.com/pcitem902002701844-25750000019c99949b9e0a23913e_3072_3072.jpg?w=640&amp;h=640</v>
      </c>
      <c r="F137" t="s">
        <v>23</v>
      </c>
      <c r="G137" t="s">
        <v>1090</v>
      </c>
      <c r="H137" t="s">
        <v>150</v>
      </c>
      <c r="I137">
        <v>37.68</v>
      </c>
      <c r="J137" t="s">
        <v>1446</v>
      </c>
      <c r="K137" t="s">
        <v>1447</v>
      </c>
      <c r="L137" t="s">
        <v>1448</v>
      </c>
      <c r="M137" t="s">
        <v>1449</v>
      </c>
      <c r="N137" t="s">
        <v>1450</v>
      </c>
      <c r="O137" t="s">
        <v>1108</v>
      </c>
      <c r="P137" t="s">
        <v>1451</v>
      </c>
      <c r="Q137" t="s">
        <v>1452</v>
      </c>
      <c r="R137" t="s">
        <v>1453</v>
      </c>
      <c r="V137" t="s">
        <v>1454</v>
      </c>
      <c r="W137" t="s">
        <v>1455</v>
      </c>
    </row>
    <row r="138" ht="25.5" customHeight="1" spans="1:23">
      <c r="A138">
        <v>1639009235</v>
      </c>
      <c r="B138">
        <v>7699497794</v>
      </c>
      <c r="C138" s="2" t="str">
        <f>HYPERLINK("https://weidian.com/item.html?itemID=7699497794","https://weidian.com/item.html?itemID=7699497794")</f>
        <v>https://weidian.com/item.html?itemID=7699497794</v>
      </c>
      <c r="E138" s="2" t="str">
        <f>HYPERLINK("https://si.geilicdn.com/pcitem902002701844-1e150000019c999271a70a20e2c5_3072_3072.jpg?w=640&amp;h=640","https://si.geilicdn.com/pcitem902002701844-1e150000019c999271a70a20e2c5_3072_3072.jpg?w=640&amp;h=640")</f>
        <v>https://si.geilicdn.com/pcitem902002701844-1e150000019c999271a70a20e2c5_3072_3072.jpg?w=640&amp;h=640</v>
      </c>
      <c r="F138" t="s">
        <v>23</v>
      </c>
      <c r="G138" t="s">
        <v>1090</v>
      </c>
      <c r="H138" t="s">
        <v>150</v>
      </c>
      <c r="I138">
        <v>37.68</v>
      </c>
      <c r="J138" t="s">
        <v>1456</v>
      </c>
      <c r="K138" t="s">
        <v>1457</v>
      </c>
      <c r="L138" t="s">
        <v>1458</v>
      </c>
      <c r="M138" t="s">
        <v>1459</v>
      </c>
      <c r="N138" t="s">
        <v>1460</v>
      </c>
      <c r="O138" t="s">
        <v>1097</v>
      </c>
      <c r="P138" t="s">
        <v>1461</v>
      </c>
      <c r="Q138" t="s">
        <v>1462</v>
      </c>
      <c r="R138" t="s">
        <v>1463</v>
      </c>
      <c r="V138" t="s">
        <v>1464</v>
      </c>
      <c r="W138" t="s">
        <v>1465</v>
      </c>
    </row>
    <row r="139" ht="25.5" customHeight="1" spans="1:23">
      <c r="A139">
        <v>1639009235</v>
      </c>
      <c r="B139">
        <v>7699360428</v>
      </c>
      <c r="C139" s="2" t="str">
        <f>HYPERLINK("https://weidian.com/item.html?itemID=7699360428","https://weidian.com/item.html?itemID=7699360428")</f>
        <v>https://weidian.com/item.html?itemID=7699360428</v>
      </c>
      <c r="E139" s="2" t="str">
        <f>HYPERLINK("https://si.geilicdn.com/pcitem902002701844-5d6f0000019c998f715a0a23041a_1536_2048.jpg?w=640&amp;h=640","https://si.geilicdn.com/pcitem902002701844-5d6f0000019c998f715a0a23041a_1536_2048.jpg?w=640&amp;h=640")</f>
        <v>https://si.geilicdn.com/pcitem902002701844-5d6f0000019c998f715a0a23041a_1536_2048.jpg?w=640&amp;h=640</v>
      </c>
      <c r="F139" t="s">
        <v>23</v>
      </c>
      <c r="G139" t="s">
        <v>1090</v>
      </c>
      <c r="H139" t="s">
        <v>1091</v>
      </c>
      <c r="I139">
        <v>40.58</v>
      </c>
      <c r="J139" t="s">
        <v>1466</v>
      </c>
      <c r="K139" t="s">
        <v>1467</v>
      </c>
      <c r="L139" t="s">
        <v>1468</v>
      </c>
      <c r="M139" t="s">
        <v>1469</v>
      </c>
      <c r="N139" t="s">
        <v>1470</v>
      </c>
      <c r="O139" t="s">
        <v>1108</v>
      </c>
      <c r="P139" t="s">
        <v>1471</v>
      </c>
      <c r="Q139" t="s">
        <v>1472</v>
      </c>
      <c r="R139" t="s">
        <v>1473</v>
      </c>
      <c r="V139" t="s">
        <v>1474</v>
      </c>
      <c r="W139" t="s">
        <v>1475</v>
      </c>
    </row>
    <row r="140" ht="25.5" customHeight="1" spans="1:23">
      <c r="A140">
        <v>1639009235</v>
      </c>
      <c r="B140">
        <v>7699400676</v>
      </c>
      <c r="C140" s="2" t="str">
        <f>HYPERLINK("https://weidian.com/item.html?itemID=7699400676","https://weidian.com/item.html?itemID=7699400676")</f>
        <v>https://weidian.com/item.html?itemID=7699400676</v>
      </c>
      <c r="E140" s="2" t="str">
        <f>HYPERLINK("https://si.geilicdn.com/pcitem902002701844-1d400000019c998d1b5d0a231316_1440_1920.jpg?w=640&amp;h=640","https://si.geilicdn.com/pcitem902002701844-1d400000019c998d1b5d0a231316_1440_1920.jpg?w=640&amp;h=640")</f>
        <v>https://si.geilicdn.com/pcitem902002701844-1d400000019c998d1b5d0a231316_1440_1920.jpg?w=640&amp;h=640</v>
      </c>
      <c r="F140" t="s">
        <v>23</v>
      </c>
      <c r="G140" t="s">
        <v>1090</v>
      </c>
      <c r="H140" t="s">
        <v>1091</v>
      </c>
      <c r="I140">
        <v>40.58</v>
      </c>
      <c r="J140" t="s">
        <v>1476</v>
      </c>
      <c r="K140" t="s">
        <v>1477</v>
      </c>
      <c r="L140" t="s">
        <v>1478</v>
      </c>
      <c r="M140" t="s">
        <v>1479</v>
      </c>
      <c r="N140" t="s">
        <v>1480</v>
      </c>
      <c r="O140" t="s">
        <v>1108</v>
      </c>
      <c r="P140" t="s">
        <v>1481</v>
      </c>
      <c r="Q140" t="s">
        <v>1482</v>
      </c>
      <c r="R140" t="s">
        <v>1483</v>
      </c>
      <c r="V140" t="s">
        <v>1484</v>
      </c>
      <c r="W140" t="s">
        <v>1485</v>
      </c>
    </row>
    <row r="141" ht="25.5" customHeight="1" spans="1:23">
      <c r="A141">
        <v>1639009235</v>
      </c>
      <c r="B141">
        <v>7699360418</v>
      </c>
      <c r="C141" s="2" t="str">
        <f>HYPERLINK("https://weidian.com/item.html?itemID=7699360418","https://weidian.com/item.html?itemID=7699360418")</f>
        <v>https://weidian.com/item.html?itemID=7699360418</v>
      </c>
      <c r="E141" s="2" t="str">
        <f>HYPERLINK("https://si.geilicdn.com/pcitem902002701844-3e160000019c9987df5c0a8134f0_1440_1920.jpg?w=640&amp;h=640","https://si.geilicdn.com/pcitem902002701844-3e160000019c9987df5c0a8134f0_1440_1920.jpg?w=640&amp;h=640")</f>
        <v>https://si.geilicdn.com/pcitem902002701844-3e160000019c9987df5c0a8134f0_1440_1920.jpg?w=640&amp;h=640</v>
      </c>
      <c r="F141" t="s">
        <v>23</v>
      </c>
      <c r="G141" t="s">
        <v>1090</v>
      </c>
      <c r="H141" t="s">
        <v>1265</v>
      </c>
      <c r="I141">
        <v>33.33</v>
      </c>
      <c r="J141" t="s">
        <v>1486</v>
      </c>
      <c r="K141" t="s">
        <v>1487</v>
      </c>
      <c r="L141" t="s">
        <v>1488</v>
      </c>
      <c r="M141" t="s">
        <v>1489</v>
      </c>
      <c r="N141" t="s">
        <v>1490</v>
      </c>
      <c r="O141" t="s">
        <v>1108</v>
      </c>
      <c r="P141" t="s">
        <v>1491</v>
      </c>
      <c r="Q141" t="s">
        <v>1492</v>
      </c>
      <c r="R141" t="s">
        <v>1493</v>
      </c>
      <c r="V141" t="s">
        <v>1494</v>
      </c>
      <c r="W141" t="s">
        <v>1495</v>
      </c>
    </row>
    <row r="142" ht="25.5" customHeight="1" spans="1:23">
      <c r="A142">
        <v>1639009235</v>
      </c>
      <c r="B142">
        <v>7696411447</v>
      </c>
      <c r="C142" s="2" t="str">
        <f>HYPERLINK("https://weidian.com/item.html?itemID=7696411447","https://weidian.com/item.html?itemID=7696411447")</f>
        <v>https://weidian.com/item.html?itemID=7696411447</v>
      </c>
      <c r="E142" s="2" t="str">
        <f>HYPERLINK("https://si.geilicdn.com/pcitem902002701844-323f0000019c9986ac730a231177_1440_1920.jpg?w=640&amp;h=640","https://si.geilicdn.com/pcitem902002701844-323f0000019c9986ac730a231177_1440_1920.jpg?w=640&amp;h=640")</f>
        <v>https://si.geilicdn.com/pcitem902002701844-323f0000019c9986ac730a231177_1440_1920.jpg?w=640&amp;h=640</v>
      </c>
      <c r="F142" t="s">
        <v>23</v>
      </c>
      <c r="G142" t="s">
        <v>1090</v>
      </c>
      <c r="H142" t="s">
        <v>150</v>
      </c>
      <c r="I142">
        <v>37.68</v>
      </c>
      <c r="J142" t="s">
        <v>1496</v>
      </c>
      <c r="K142" t="s">
        <v>1497</v>
      </c>
      <c r="L142" t="s">
        <v>1498</v>
      </c>
      <c r="M142" t="s">
        <v>1499</v>
      </c>
      <c r="N142" t="s">
        <v>1500</v>
      </c>
      <c r="O142" t="s">
        <v>1108</v>
      </c>
      <c r="P142" t="s">
        <v>1501</v>
      </c>
      <c r="Q142" t="s">
        <v>1502</v>
      </c>
      <c r="R142" t="s">
        <v>1503</v>
      </c>
      <c r="V142" t="s">
        <v>1504</v>
      </c>
      <c r="W142" t="s">
        <v>1505</v>
      </c>
    </row>
    <row r="143" ht="25.5" customHeight="1" spans="1:23">
      <c r="A143">
        <v>1639009235</v>
      </c>
      <c r="B143">
        <v>7696517679</v>
      </c>
      <c r="C143" s="2" t="str">
        <f>HYPERLINK("https://weidian.com/item.html?itemID=7696517679","https://weidian.com/item.html?itemID=7696517679")</f>
        <v>https://weidian.com/item.html?itemID=7696517679</v>
      </c>
      <c r="E143" s="2" t="str">
        <f>HYPERLINK("https://si.geilicdn.com/pcitem902002701844-55660000019c9980428b0a23041a_1440_1080.jpg?w=640&amp;h=640","https://si.geilicdn.com/pcitem902002701844-55660000019c9980428b0a23041a_1440_1080.jpg?w=640&amp;h=640")</f>
        <v>https://si.geilicdn.com/pcitem902002701844-55660000019c9980428b0a23041a_1440_1080.jpg?w=640&amp;h=640</v>
      </c>
      <c r="F143" t="s">
        <v>23</v>
      </c>
      <c r="G143" t="s">
        <v>1090</v>
      </c>
      <c r="H143" t="s">
        <v>150</v>
      </c>
      <c r="I143">
        <v>37.68</v>
      </c>
      <c r="J143" t="s">
        <v>1506</v>
      </c>
      <c r="K143" t="s">
        <v>1507</v>
      </c>
      <c r="L143" t="s">
        <v>1508</v>
      </c>
      <c r="M143" t="s">
        <v>1509</v>
      </c>
      <c r="N143" t="s">
        <v>1510</v>
      </c>
      <c r="O143" t="s">
        <v>1108</v>
      </c>
      <c r="P143" t="s">
        <v>1511</v>
      </c>
      <c r="Q143" t="s">
        <v>1512</v>
      </c>
      <c r="R143" t="s">
        <v>1513</v>
      </c>
      <c r="V143" t="s">
        <v>1514</v>
      </c>
      <c r="W143" t="s">
        <v>1515</v>
      </c>
    </row>
    <row r="144" ht="25.5" customHeight="1" spans="1:23">
      <c r="A144">
        <v>1639009235</v>
      </c>
      <c r="B144">
        <v>7696427219</v>
      </c>
      <c r="C144" s="2" t="str">
        <f>HYPERLINK("https://weidian.com/item.html?itemID=7696427219","https://weidian.com/item.html?itemID=7696427219")</f>
        <v>https://weidian.com/item.html?itemID=7696427219</v>
      </c>
      <c r="E144" s="2" t="str">
        <f>HYPERLINK("https://si.geilicdn.com/pcitem902002701844-43760000019c997e1b450a2315ef_1440_1920.jpg?w=640&amp;h=640","https://si.geilicdn.com/pcitem902002701844-43760000019c997e1b450a2315ef_1440_1920.jpg?w=640&amp;h=640")</f>
        <v>https://si.geilicdn.com/pcitem902002701844-43760000019c997e1b450a2315ef_1440_1920.jpg?w=640&amp;h=640</v>
      </c>
      <c r="F144" t="s">
        <v>23</v>
      </c>
      <c r="G144" t="s">
        <v>1090</v>
      </c>
      <c r="H144" t="s">
        <v>1091</v>
      </c>
      <c r="I144">
        <v>40.58</v>
      </c>
      <c r="J144" t="s">
        <v>1516</v>
      </c>
      <c r="K144" t="s">
        <v>1517</v>
      </c>
      <c r="L144" t="s">
        <v>1518</v>
      </c>
      <c r="M144" t="s">
        <v>1519</v>
      </c>
      <c r="N144" t="s">
        <v>1520</v>
      </c>
      <c r="O144" t="s">
        <v>1108</v>
      </c>
      <c r="P144" t="s">
        <v>1521</v>
      </c>
      <c r="Q144" t="s">
        <v>1522</v>
      </c>
      <c r="R144" t="s">
        <v>1523</v>
      </c>
      <c r="V144" t="s">
        <v>1524</v>
      </c>
      <c r="W144" t="s">
        <v>1525</v>
      </c>
    </row>
    <row r="145" ht="25.5" customHeight="1" spans="1:23">
      <c r="A145">
        <v>1639009235</v>
      </c>
      <c r="B145">
        <v>7697965440</v>
      </c>
      <c r="C145" s="2" t="str">
        <f>HYPERLINK("https://weidian.com/item.html?itemID=7697965440","https://weidian.com/item.html?itemID=7697965440")</f>
        <v>https://weidian.com/item.html?itemID=7697965440</v>
      </c>
      <c r="E145" s="2" t="str">
        <f>HYPERLINK("https://si.geilicdn.com/pcitem902002701844-2d8b0000019c92ed4ffd0a20e284_1074_1074.jpg?w=640&amp;h=640","https://si.geilicdn.com/pcitem902002701844-2d8b0000019c92ed4ffd0a20e284_1074_1074.jpg?w=640&amp;h=640")</f>
        <v>https://si.geilicdn.com/pcitem902002701844-2d8b0000019c92ed4ffd0a20e284_1074_1074.jpg?w=640&amp;h=640</v>
      </c>
      <c r="F145" t="s">
        <v>23</v>
      </c>
      <c r="G145" t="s">
        <v>1526</v>
      </c>
      <c r="H145" t="s">
        <v>1527</v>
      </c>
      <c r="I145">
        <v>104.35</v>
      </c>
      <c r="J145" t="s">
        <v>1528</v>
      </c>
      <c r="K145" t="s">
        <v>1529</v>
      </c>
      <c r="L145" t="s">
        <v>1530</v>
      </c>
      <c r="M145" t="s">
        <v>1531</v>
      </c>
      <c r="N145" t="s">
        <v>1532</v>
      </c>
      <c r="O145" t="s">
        <v>1533</v>
      </c>
      <c r="P145" t="s">
        <v>1534</v>
      </c>
      <c r="Q145" t="s">
        <v>1535</v>
      </c>
      <c r="R145" t="s">
        <v>1536</v>
      </c>
      <c r="V145" t="s">
        <v>1537</v>
      </c>
      <c r="W145" t="s">
        <v>1538</v>
      </c>
    </row>
    <row r="146" ht="25.5" customHeight="1" spans="1:23">
      <c r="A146">
        <v>1639009235</v>
      </c>
      <c r="B146">
        <v>7695564425</v>
      </c>
      <c r="C146" s="2" t="str">
        <f>HYPERLINK("https://weidian.com/item.html?itemID=7695564425","https://weidian.com/item.html?itemID=7695564425")</f>
        <v>https://weidian.com/item.html?itemID=7695564425</v>
      </c>
      <c r="E146" s="2" t="str">
        <f>HYPERLINK("https://si.geilicdn.com/pcitem902002701844-20c80000019c92ec26e50a20e7c7_1074_1074.jpg?w=640&amp;h=640","https://si.geilicdn.com/pcitem902002701844-20c80000019c92ec26e50a20e7c7_1074_1074.jpg?w=640&amp;h=640")</f>
        <v>https://si.geilicdn.com/pcitem902002701844-20c80000019c92ec26e50a20e7c7_1074_1074.jpg?w=640&amp;h=640</v>
      </c>
      <c r="F146" t="s">
        <v>23</v>
      </c>
      <c r="G146" t="s">
        <v>1526</v>
      </c>
      <c r="H146" t="s">
        <v>1365</v>
      </c>
      <c r="I146">
        <v>101.45</v>
      </c>
      <c r="J146" t="s">
        <v>1539</v>
      </c>
      <c r="K146" t="s">
        <v>1540</v>
      </c>
      <c r="L146" t="s">
        <v>1541</v>
      </c>
      <c r="M146" t="s">
        <v>1542</v>
      </c>
      <c r="N146" t="s">
        <v>1543</v>
      </c>
      <c r="O146" t="s">
        <v>1533</v>
      </c>
      <c r="P146" t="s">
        <v>1544</v>
      </c>
      <c r="Q146" t="s">
        <v>1545</v>
      </c>
      <c r="R146" t="s">
        <v>1546</v>
      </c>
      <c r="V146" t="s">
        <v>1547</v>
      </c>
      <c r="W146" t="s">
        <v>1548</v>
      </c>
    </row>
    <row r="147" ht="25.5" customHeight="1" spans="1:23">
      <c r="A147">
        <v>1639009235</v>
      </c>
      <c r="B147">
        <v>7698552374</v>
      </c>
      <c r="C147" s="2" t="str">
        <f>HYPERLINK("https://weidian.com/item.html?itemID=7698552374","https://weidian.com/item.html?itemID=7698552374")</f>
        <v>https://weidian.com/item.html?itemID=7698552374</v>
      </c>
      <c r="E147" s="2" t="str">
        <f>HYPERLINK("https://si.geilicdn.com/pcitem902002701844-00b80000019c92e9326b0a20e2c5_1074_1074.jpg?w=640&amp;h=640","https://si.geilicdn.com/pcitem902002701844-00b80000019c92e9326b0a20e2c5_1074_1074.jpg?w=640&amp;h=640")</f>
        <v>https://si.geilicdn.com/pcitem902002701844-00b80000019c92e9326b0a20e2c5_1074_1074.jpg?w=640&amp;h=640</v>
      </c>
      <c r="F147" t="s">
        <v>23</v>
      </c>
      <c r="G147" t="s">
        <v>1526</v>
      </c>
      <c r="H147" t="s">
        <v>1549</v>
      </c>
      <c r="I147">
        <v>113.04</v>
      </c>
      <c r="J147" t="s">
        <v>1550</v>
      </c>
      <c r="K147" t="s">
        <v>1551</v>
      </c>
      <c r="L147" t="s">
        <v>1552</v>
      </c>
      <c r="M147" t="s">
        <v>1553</v>
      </c>
      <c r="N147" t="s">
        <v>1554</v>
      </c>
      <c r="O147" t="s">
        <v>1533</v>
      </c>
      <c r="P147" t="s">
        <v>1555</v>
      </c>
      <c r="Q147" t="s">
        <v>1556</v>
      </c>
      <c r="R147" t="s">
        <v>1557</v>
      </c>
      <c r="V147" t="s">
        <v>1558</v>
      </c>
      <c r="W147" t="s">
        <v>1559</v>
      </c>
    </row>
    <row r="148" ht="25.5" customHeight="1" spans="1:23">
      <c r="A148">
        <v>1639009235</v>
      </c>
      <c r="B148">
        <v>7695499589</v>
      </c>
      <c r="C148" s="2" t="str">
        <f>HYPERLINK("https://weidian.com/item.html?itemID=7695499589","https://weidian.com/item.html?itemID=7695499589")</f>
        <v>https://weidian.com/item.html?itemID=7695499589</v>
      </c>
      <c r="E148" s="2" t="str">
        <f>HYPERLINK("https://si.geilicdn.com/pcitem902002701844-300b0000019c92e84be80a23057e_1074_1074.jpg?w=640&amp;h=640","https://si.geilicdn.com/pcitem902002701844-300b0000019c92e84be80a23057e_1074_1074.jpg?w=640&amp;h=640")</f>
        <v>https://si.geilicdn.com/pcitem902002701844-300b0000019c92e84be80a23057e_1074_1074.jpg?w=640&amp;h=640</v>
      </c>
      <c r="F148" t="s">
        <v>23</v>
      </c>
      <c r="G148" t="s">
        <v>1526</v>
      </c>
      <c r="H148" t="s">
        <v>1560</v>
      </c>
      <c r="I148">
        <v>84.35</v>
      </c>
      <c r="J148" t="s">
        <v>1561</v>
      </c>
      <c r="K148" t="s">
        <v>1529</v>
      </c>
      <c r="L148" t="s">
        <v>1562</v>
      </c>
      <c r="M148" t="s">
        <v>1563</v>
      </c>
      <c r="N148" t="s">
        <v>1564</v>
      </c>
      <c r="O148" t="s">
        <v>1565</v>
      </c>
      <c r="P148" t="s">
        <v>1566</v>
      </c>
      <c r="Q148" t="s">
        <v>1567</v>
      </c>
      <c r="R148" t="s">
        <v>1568</v>
      </c>
      <c r="V148" t="s">
        <v>1569</v>
      </c>
      <c r="W148" t="s">
        <v>1570</v>
      </c>
    </row>
    <row r="149" ht="25.5" customHeight="1" spans="1:23">
      <c r="A149">
        <v>1639009235</v>
      </c>
      <c r="B149">
        <v>7695577895</v>
      </c>
      <c r="C149" s="2" t="str">
        <f>HYPERLINK("https://weidian.com/item.html?itemID=7695577895","https://weidian.com/item.html?itemID=7695577895")</f>
        <v>https://weidian.com/item.html?itemID=7695577895</v>
      </c>
      <c r="E149" s="2" t="str">
        <f>HYPERLINK("https://si.geilicdn.com/pcitem902002701844-301e0000019c92e7830d0a23037f_1074_1074.jpg?w=640&amp;h=640","https://si.geilicdn.com/pcitem902002701844-301e0000019c92e7830d0a23037f_1074_1074.jpg?w=640&amp;h=640")</f>
        <v>https://si.geilicdn.com/pcitem902002701844-301e0000019c92e7830d0a23037f_1074_1074.jpg?w=640&amp;h=640</v>
      </c>
      <c r="F149" t="s">
        <v>23</v>
      </c>
      <c r="G149" t="s">
        <v>1526</v>
      </c>
      <c r="H149" t="s">
        <v>1571</v>
      </c>
      <c r="I149">
        <v>89.86</v>
      </c>
      <c r="J149" t="s">
        <v>1572</v>
      </c>
      <c r="K149" t="s">
        <v>1573</v>
      </c>
      <c r="L149" t="s">
        <v>1574</v>
      </c>
      <c r="M149" t="s">
        <v>1575</v>
      </c>
      <c r="N149" t="s">
        <v>1576</v>
      </c>
      <c r="O149" t="s">
        <v>1533</v>
      </c>
      <c r="P149" t="s">
        <v>1577</v>
      </c>
      <c r="Q149" t="s">
        <v>1578</v>
      </c>
      <c r="R149" t="s">
        <v>1579</v>
      </c>
      <c r="V149" t="s">
        <v>1580</v>
      </c>
      <c r="W149" t="s">
        <v>1581</v>
      </c>
    </row>
    <row r="150" ht="25.5" customHeight="1" spans="1:23">
      <c r="A150">
        <v>1639009235</v>
      </c>
      <c r="B150">
        <v>7695576197</v>
      </c>
      <c r="C150" s="2" t="str">
        <f>HYPERLINK("https://weidian.com/item.html?itemID=7695576197","https://weidian.com/item.html?itemID=7695576197")</f>
        <v>https://weidian.com/item.html?itemID=7695576197</v>
      </c>
      <c r="E150" s="2" t="str">
        <f>HYPERLINK("https://si.geilicdn.com/pcitem902002701844-7ac30000019c92e66ee70a811411_1074_1074.jpg?w=640&amp;h=640","https://si.geilicdn.com/pcitem902002701844-7ac30000019c92e66ee70a811411_1074_1074.jpg?w=640&amp;h=640")</f>
        <v>https://si.geilicdn.com/pcitem902002701844-7ac30000019c92e66ee70a811411_1074_1074.jpg?w=640&amp;h=640</v>
      </c>
      <c r="F150" t="s">
        <v>23</v>
      </c>
      <c r="G150" t="s">
        <v>1526</v>
      </c>
      <c r="H150" t="s">
        <v>1582</v>
      </c>
      <c r="I150">
        <v>98.55</v>
      </c>
      <c r="J150" t="s">
        <v>1583</v>
      </c>
      <c r="K150" t="s">
        <v>1584</v>
      </c>
      <c r="L150" t="s">
        <v>1585</v>
      </c>
      <c r="M150" t="s">
        <v>1586</v>
      </c>
      <c r="N150" t="s">
        <v>1587</v>
      </c>
      <c r="O150" t="s">
        <v>1533</v>
      </c>
      <c r="P150" t="s">
        <v>1588</v>
      </c>
      <c r="Q150" t="s">
        <v>1589</v>
      </c>
      <c r="R150" t="s">
        <v>1590</v>
      </c>
      <c r="V150" t="s">
        <v>1591</v>
      </c>
      <c r="W150" t="s">
        <v>1592</v>
      </c>
    </row>
    <row r="151" ht="25.5" customHeight="1" spans="1:23">
      <c r="A151">
        <v>1639009235</v>
      </c>
      <c r="B151">
        <v>7698542430</v>
      </c>
      <c r="C151" s="2" t="str">
        <f>HYPERLINK("https://weidian.com/item.html?itemID=7698542430","https://weidian.com/item.html?itemID=7698542430")</f>
        <v>https://weidian.com/item.html?itemID=7698542430</v>
      </c>
      <c r="E151" s="2" t="str">
        <f>HYPERLINK("https://si.geilicdn.com/pcitem902002701844-216f0000019c92e55d8c0a20e273_1074_1074.jpg?w=640&amp;h=640","https://si.geilicdn.com/pcitem902002701844-216f0000019c92e55d8c0a20e273_1074_1074.jpg?w=640&amp;h=640")</f>
        <v>https://si.geilicdn.com/pcitem902002701844-216f0000019c92e55d8c0a20e273_1074_1074.jpg?w=640&amp;h=640</v>
      </c>
      <c r="F151" t="s">
        <v>23</v>
      </c>
      <c r="G151" t="s">
        <v>1526</v>
      </c>
      <c r="H151" t="s">
        <v>1593</v>
      </c>
      <c r="I151">
        <v>72.46</v>
      </c>
      <c r="J151" t="s">
        <v>1594</v>
      </c>
      <c r="K151" t="s">
        <v>1595</v>
      </c>
      <c r="L151" t="s">
        <v>1596</v>
      </c>
      <c r="M151" t="s">
        <v>1597</v>
      </c>
      <c r="N151" t="s">
        <v>1598</v>
      </c>
      <c r="O151" t="s">
        <v>1565</v>
      </c>
      <c r="P151" t="s">
        <v>1599</v>
      </c>
      <c r="Q151" t="s">
        <v>1600</v>
      </c>
      <c r="R151" t="s">
        <v>1601</v>
      </c>
      <c r="V151" t="s">
        <v>1602</v>
      </c>
      <c r="W151" t="s">
        <v>1603</v>
      </c>
    </row>
    <row r="152" ht="25.5" customHeight="1" spans="1:23">
      <c r="A152">
        <v>1639009235</v>
      </c>
      <c r="B152">
        <v>7698232168</v>
      </c>
      <c r="C152" s="2" t="str">
        <f>HYPERLINK("https://weidian.com/item.html?itemID=7698232168","https://weidian.com/item.html?itemID=7698232168")</f>
        <v>https://weidian.com/item.html?itemID=7698232168</v>
      </c>
      <c r="E152" s="2" t="str">
        <f>HYPERLINK("https://si.geilicdn.com/pcitem902002701844-1b510000019c92e2ad230a20e7c7_1440_1920.jpg?w=640&amp;h=640","https://si.geilicdn.com/pcitem902002701844-1b510000019c92e2ad230a20e7c7_1440_1920.jpg?w=640&amp;h=640")</f>
        <v>https://si.geilicdn.com/pcitem902002701844-1b510000019c92e2ad230a20e7c7_1440_1920.jpg?w=640&amp;h=640</v>
      </c>
      <c r="F152" t="s">
        <v>23</v>
      </c>
      <c r="G152" t="s">
        <v>1526</v>
      </c>
      <c r="H152" t="s">
        <v>150</v>
      </c>
      <c r="I152">
        <v>37.68</v>
      </c>
      <c r="J152" t="s">
        <v>1604</v>
      </c>
      <c r="K152" t="s">
        <v>1605</v>
      </c>
      <c r="L152" t="s">
        <v>1606</v>
      </c>
      <c r="M152" t="s">
        <v>1607</v>
      </c>
      <c r="N152" t="s">
        <v>1608</v>
      </c>
      <c r="O152" t="s">
        <v>1533</v>
      </c>
      <c r="P152" t="s">
        <v>1609</v>
      </c>
      <c r="Q152" t="s">
        <v>1610</v>
      </c>
      <c r="R152" t="s">
        <v>1611</v>
      </c>
      <c r="V152" t="s">
        <v>1612</v>
      </c>
      <c r="W152" t="s">
        <v>1613</v>
      </c>
    </row>
    <row r="153" ht="25.5" customHeight="1" spans="1:23">
      <c r="A153">
        <v>1639009235</v>
      </c>
      <c r="B153">
        <v>7695561875</v>
      </c>
      <c r="C153" s="2" t="str">
        <f>HYPERLINK("https://weidian.com/item.html?itemID=7695561875","https://weidian.com/item.html?itemID=7695561875")</f>
        <v>https://weidian.com/item.html?itemID=7695561875</v>
      </c>
      <c r="E153" s="2" t="str">
        <f>HYPERLINK("https://si.geilicdn.com/pcitem902002701844-26620000019c92de793b0a81347d_1440_1440.jpg?w=640&amp;h=640","https://si.geilicdn.com/pcitem902002701844-26620000019c92de793b0a81347d_1440_1440.jpg?w=640&amp;h=640")</f>
        <v>https://si.geilicdn.com/pcitem902002701844-26620000019c92de793b0a81347d_1440_1440.jpg?w=640&amp;h=640</v>
      </c>
      <c r="F153" t="s">
        <v>23</v>
      </c>
      <c r="G153" t="s">
        <v>1526</v>
      </c>
      <c r="H153" t="s">
        <v>244</v>
      </c>
      <c r="I153">
        <v>57.97</v>
      </c>
      <c r="J153" t="s">
        <v>1614</v>
      </c>
      <c r="K153" t="s">
        <v>1615</v>
      </c>
      <c r="L153" t="s">
        <v>1616</v>
      </c>
      <c r="M153" t="s">
        <v>1617</v>
      </c>
      <c r="N153" t="s">
        <v>1618</v>
      </c>
      <c r="O153" t="s">
        <v>1565</v>
      </c>
      <c r="P153" t="s">
        <v>1619</v>
      </c>
      <c r="Q153" t="s">
        <v>1620</v>
      </c>
      <c r="R153" t="s">
        <v>1621</v>
      </c>
      <c r="V153" t="s">
        <v>1622</v>
      </c>
      <c r="W153" t="s">
        <v>1623</v>
      </c>
    </row>
    <row r="154" ht="25.5" customHeight="1" spans="1:23">
      <c r="A154">
        <v>1639009235</v>
      </c>
      <c r="B154">
        <v>7698494312</v>
      </c>
      <c r="C154" s="2" t="str">
        <f>HYPERLINK("https://weidian.com/item.html?itemID=7698494312","https://weidian.com/item.html?itemID=7698494312")</f>
        <v>https://weidian.com/item.html?itemID=7698494312</v>
      </c>
      <c r="E154" s="2" t="str">
        <f>HYPERLINK("https://si.geilicdn.com/pcitem902002701844-25120000019c92d33b080a23037f_1080_1080.jpg?w=640&amp;h=640","https://si.geilicdn.com/pcitem902002701844-25120000019c92d33b080a23037f_1080_1080.jpg?w=640&amp;h=640")</f>
        <v>https://si.geilicdn.com/pcitem902002701844-25120000019c92d33b080a23037f_1080_1080.jpg?w=640&amp;h=640</v>
      </c>
      <c r="F154" t="s">
        <v>1624</v>
      </c>
      <c r="G154" t="s">
        <v>1526</v>
      </c>
      <c r="H154" t="s">
        <v>265</v>
      </c>
      <c r="I154">
        <v>43.48</v>
      </c>
      <c r="J154" t="s">
        <v>1625</v>
      </c>
      <c r="K154" t="s">
        <v>1626</v>
      </c>
      <c r="L154" t="s">
        <v>1627</v>
      </c>
      <c r="M154" t="s">
        <v>1628</v>
      </c>
      <c r="N154" t="s">
        <v>1629</v>
      </c>
      <c r="O154" t="s">
        <v>1630</v>
      </c>
      <c r="P154" t="s">
        <v>1631</v>
      </c>
      <c r="Q154" t="s">
        <v>1632</v>
      </c>
      <c r="R154" t="s">
        <v>1633</v>
      </c>
      <c r="V154" t="s">
        <v>1634</v>
      </c>
      <c r="W154" t="s">
        <v>1635</v>
      </c>
    </row>
    <row r="155" ht="25.5" customHeight="1" spans="1:23">
      <c r="A155">
        <v>1639009235</v>
      </c>
      <c r="B155">
        <v>7698305794</v>
      </c>
      <c r="C155" s="2" t="str">
        <f>HYPERLINK("https://weidian.com/item.html?itemID=7698305794","https://weidian.com/item.html?itemID=7698305794")</f>
        <v>https://weidian.com/item.html?itemID=7698305794</v>
      </c>
      <c r="E155" s="2" t="str">
        <f>HYPERLINK("https://si.geilicdn.com/pcitem902002701844-0eed0000019c92d1e0ec0a231177_1200_1200.jpg?w=640&amp;h=640","https://si.geilicdn.com/pcitem902002701844-0eed0000019c92d1e0ec0a231177_1200_1200.jpg?w=640&amp;h=640")</f>
        <v>https://si.geilicdn.com/pcitem902002701844-0eed0000019c92d1e0ec0a231177_1200_1200.jpg?w=640&amp;h=640</v>
      </c>
      <c r="F155" t="s">
        <v>1624</v>
      </c>
      <c r="G155" t="s">
        <v>1526</v>
      </c>
      <c r="H155" t="s">
        <v>657</v>
      </c>
      <c r="I155">
        <v>46.38</v>
      </c>
      <c r="J155" t="s">
        <v>1636</v>
      </c>
      <c r="K155" t="s">
        <v>1637</v>
      </c>
      <c r="L155" t="s">
        <v>1638</v>
      </c>
      <c r="M155" t="s">
        <v>1639</v>
      </c>
      <c r="N155" t="s">
        <v>1640</v>
      </c>
      <c r="O155" t="s">
        <v>1641</v>
      </c>
      <c r="P155" t="s">
        <v>1642</v>
      </c>
      <c r="Q155" t="s">
        <v>1643</v>
      </c>
      <c r="R155" t="s">
        <v>1644</v>
      </c>
      <c r="V155" t="s">
        <v>1645</v>
      </c>
      <c r="W155" t="s">
        <v>1646</v>
      </c>
    </row>
    <row r="156" ht="25.5" customHeight="1" spans="1:23">
      <c r="A156">
        <v>1639009235</v>
      </c>
      <c r="B156">
        <v>7698092814</v>
      </c>
      <c r="C156" s="2" t="str">
        <f>HYPERLINK("https://weidian.com/item.html?itemID=7698092814","https://weidian.com/item.html?itemID=7698092814")</f>
        <v>https://weidian.com/item.html?itemID=7698092814</v>
      </c>
      <c r="E156" s="2" t="str">
        <f>HYPERLINK("https://si.geilicdn.com/pcitem902002701844-2d420000019c92d00caa0a2303ee_1074_1074.jpg?w=640&amp;h=640","https://si.geilicdn.com/pcitem902002701844-2d420000019c92d00caa0a2303ee_1074_1074.jpg?w=640&amp;h=640")</f>
        <v>https://si.geilicdn.com/pcitem902002701844-2d420000019c92d00caa0a2303ee_1074_1074.jpg?w=640&amp;h=640</v>
      </c>
      <c r="F156" t="s">
        <v>23</v>
      </c>
      <c r="G156" t="s">
        <v>1526</v>
      </c>
      <c r="H156" t="s">
        <v>339</v>
      </c>
      <c r="I156">
        <v>75.36</v>
      </c>
      <c r="J156" t="s">
        <v>1647</v>
      </c>
      <c r="K156" t="s">
        <v>1648</v>
      </c>
      <c r="L156" t="s">
        <v>1649</v>
      </c>
      <c r="M156" t="s">
        <v>1650</v>
      </c>
      <c r="N156" t="s">
        <v>1651</v>
      </c>
      <c r="O156" t="s">
        <v>1533</v>
      </c>
      <c r="P156" t="s">
        <v>1652</v>
      </c>
      <c r="Q156" t="s">
        <v>1653</v>
      </c>
      <c r="R156" t="s">
        <v>1654</v>
      </c>
      <c r="V156" t="s">
        <v>1655</v>
      </c>
      <c r="W156" t="s">
        <v>1656</v>
      </c>
    </row>
    <row r="157" ht="25.5" customHeight="1" spans="1:23">
      <c r="A157">
        <v>1639009235</v>
      </c>
      <c r="B157">
        <v>7695052403</v>
      </c>
      <c r="C157" s="2" t="str">
        <f>HYPERLINK("https://weidian.com/item.html?itemID=7695052403","https://weidian.com/item.html?itemID=7695052403")</f>
        <v>https://weidian.com/item.html?itemID=7695052403</v>
      </c>
      <c r="E157" s="2" t="str">
        <f>HYPERLINK("https://si.geilicdn.com/pcitem902002701844-7c640000019c8ed170f60a2102c5_1080_1440.jpg?w=640&amp;h=640","https://si.geilicdn.com/pcitem902002701844-7c640000019c8ed170f60a2102c5_1080_1440.jpg?w=640&amp;h=640")</f>
        <v>https://si.geilicdn.com/pcitem902002701844-7c640000019c8ed170f60a2102c5_1080_1440.jpg?w=640&amp;h=640</v>
      </c>
      <c r="F157" t="s">
        <v>23</v>
      </c>
      <c r="G157" t="s">
        <v>338</v>
      </c>
      <c r="H157" t="s">
        <v>1582</v>
      </c>
      <c r="I157">
        <v>98.55</v>
      </c>
      <c r="J157" t="s">
        <v>1657</v>
      </c>
      <c r="K157" t="s">
        <v>1658</v>
      </c>
      <c r="L157" t="s">
        <v>1659</v>
      </c>
      <c r="M157" t="s">
        <v>1660</v>
      </c>
      <c r="N157" t="s">
        <v>1661</v>
      </c>
      <c r="O157" t="s">
        <v>1662</v>
      </c>
      <c r="P157" t="s">
        <v>1663</v>
      </c>
      <c r="Q157" t="s">
        <v>1664</v>
      </c>
      <c r="R157" t="s">
        <v>1665</v>
      </c>
      <c r="V157" t="s">
        <v>1666</v>
      </c>
      <c r="W157" t="s">
        <v>1667</v>
      </c>
    </row>
    <row r="158" ht="25.5" customHeight="1" spans="1:23">
      <c r="A158">
        <v>1639009235</v>
      </c>
      <c r="B158">
        <v>7695058691</v>
      </c>
      <c r="C158" s="2" t="str">
        <f>HYPERLINK("https://weidian.com/item.html?itemID=7695058691","https://weidian.com/item.html?itemID=7695058691")</f>
        <v>https://weidian.com/item.html?itemID=7695058691</v>
      </c>
      <c r="E158" s="2" t="str">
        <f>HYPERLINK("https://si.geilicdn.com/pcitem902002701844-4a4e0000019c8ec1785b0a811411_1440_1920.jpg?w=640&amp;h=640","https://si.geilicdn.com/pcitem902002701844-4a4e0000019c8ec1785b0a811411_1440_1920.jpg?w=640&amp;h=640")</f>
        <v>https://si.geilicdn.com/pcitem902002701844-4a4e0000019c8ec1785b0a811411_1440_1920.jpg?w=640&amp;h=640</v>
      </c>
      <c r="F158" t="s">
        <v>23</v>
      </c>
      <c r="G158" t="s">
        <v>338</v>
      </c>
      <c r="H158" t="s">
        <v>1668</v>
      </c>
      <c r="I158">
        <v>66.96</v>
      </c>
      <c r="J158" t="s">
        <v>1669</v>
      </c>
      <c r="K158" t="s">
        <v>1670</v>
      </c>
      <c r="L158" t="s">
        <v>1671</v>
      </c>
      <c r="M158" t="s">
        <v>1672</v>
      </c>
      <c r="N158" t="s">
        <v>1673</v>
      </c>
      <c r="O158" t="s">
        <v>447</v>
      </c>
      <c r="P158" t="s">
        <v>1674</v>
      </c>
      <c r="Q158" t="s">
        <v>1675</v>
      </c>
      <c r="R158" t="s">
        <v>1676</v>
      </c>
      <c r="V158" t="s">
        <v>1677</v>
      </c>
      <c r="W158" t="s">
        <v>1678</v>
      </c>
    </row>
    <row r="159" ht="25.5" customHeight="1" spans="1:23">
      <c r="A159">
        <v>1639009235</v>
      </c>
      <c r="B159">
        <v>7695025175</v>
      </c>
      <c r="C159" s="2" t="str">
        <f>HYPERLINK("https://weidian.com/item.html?itemID=7695025175","https://weidian.com/item.html?itemID=7695025175")</f>
        <v>https://weidian.com/item.html?itemID=7695025175</v>
      </c>
      <c r="E159" s="2" t="str">
        <f>HYPERLINK("https://si.geilicdn.com/pcitem902002701844-46a40000019c8ebb3b640a811411_1512_2016.jpg?w=640&amp;h=640","https://si.geilicdn.com/pcitem902002701844-46a40000019c8ebb3b640a811411_1512_2016.jpg?w=640&amp;h=640")</f>
        <v>https://si.geilicdn.com/pcitem902002701844-46a40000019c8ebb3b640a811411_1512_2016.jpg?w=640&amp;h=640</v>
      </c>
      <c r="F159" t="s">
        <v>23</v>
      </c>
      <c r="G159" t="s">
        <v>338</v>
      </c>
      <c r="H159" t="s">
        <v>339</v>
      </c>
      <c r="I159">
        <v>75.36</v>
      </c>
      <c r="J159" t="s">
        <v>1679</v>
      </c>
      <c r="K159" t="s">
        <v>1680</v>
      </c>
      <c r="L159" t="s">
        <v>1681</v>
      </c>
      <c r="M159" t="s">
        <v>1682</v>
      </c>
      <c r="N159" t="s">
        <v>1683</v>
      </c>
      <c r="O159" t="s">
        <v>447</v>
      </c>
      <c r="P159" t="s">
        <v>1684</v>
      </c>
      <c r="Q159" t="s">
        <v>1685</v>
      </c>
      <c r="R159" t="s">
        <v>1686</v>
      </c>
      <c r="V159" t="s">
        <v>1687</v>
      </c>
      <c r="W159" t="s">
        <v>1688</v>
      </c>
    </row>
    <row r="160" ht="25.5" customHeight="1" spans="1:23">
      <c r="A160">
        <v>1639009235</v>
      </c>
      <c r="B160">
        <v>7698094036</v>
      </c>
      <c r="C160" s="2" t="str">
        <f>HYPERLINK("https://weidian.com/item.html?itemID=7698094036","https://weidian.com/item.html?itemID=7698094036")</f>
        <v>https://weidian.com/item.html?itemID=7698094036</v>
      </c>
      <c r="E160" s="2" t="str">
        <f>HYPERLINK("https://si.geilicdn.com/pcitem902002701844-7cea0000019c8eb44e7f0a230115_1512_2016.jpg?w=640&amp;h=640","https://si.geilicdn.com/pcitem902002701844-7cea0000019c8eb44e7f0a230115_1512_2016.jpg?w=640&amp;h=640")</f>
        <v>https://si.geilicdn.com/pcitem902002701844-7cea0000019c8eb44e7f0a230115_1512_2016.jpg?w=640&amp;h=640</v>
      </c>
      <c r="F160" t="s">
        <v>23</v>
      </c>
      <c r="G160" t="s">
        <v>338</v>
      </c>
      <c r="H160" t="s">
        <v>339</v>
      </c>
      <c r="I160">
        <v>75.36</v>
      </c>
      <c r="J160" t="s">
        <v>1689</v>
      </c>
      <c r="K160" t="s">
        <v>1690</v>
      </c>
      <c r="L160" t="s">
        <v>1691</v>
      </c>
      <c r="M160" t="s">
        <v>1692</v>
      </c>
      <c r="N160" t="s">
        <v>1693</v>
      </c>
      <c r="O160" t="s">
        <v>447</v>
      </c>
      <c r="P160" t="s">
        <v>1694</v>
      </c>
      <c r="Q160" t="s">
        <v>1695</v>
      </c>
      <c r="R160" t="s">
        <v>1696</v>
      </c>
      <c r="V160" t="s">
        <v>1697</v>
      </c>
      <c r="W160" t="s">
        <v>1698</v>
      </c>
    </row>
    <row r="161" ht="25.5" customHeight="1" spans="1:23">
      <c r="A161">
        <v>1639009235</v>
      </c>
      <c r="B161">
        <v>7694997501</v>
      </c>
      <c r="C161" s="2" t="str">
        <f>HYPERLINK("https://weidian.com/item.html?itemID=7694997501","https://weidian.com/item.html?itemID=7694997501")</f>
        <v>https://weidian.com/item.html?itemID=7694997501</v>
      </c>
      <c r="E161" s="2" t="str">
        <f>HYPERLINK("https://si.geilicdn.com/pcitem902002701844-7dd30000019c8ea199310a23041a_1353_1696.jpg?w=640&amp;h=640","https://si.geilicdn.com/pcitem902002701844-7dd30000019c8ea199310a23041a_1353_1696.jpg?w=640&amp;h=640")</f>
        <v>https://si.geilicdn.com/pcitem902002701844-7dd30000019c8ea199310a23041a_1353_1696.jpg?w=640&amp;h=640</v>
      </c>
      <c r="F161" t="s">
        <v>23</v>
      </c>
      <c r="G161" t="s">
        <v>338</v>
      </c>
      <c r="H161" t="s">
        <v>339</v>
      </c>
      <c r="I161">
        <v>75.36</v>
      </c>
      <c r="J161" t="s">
        <v>1699</v>
      </c>
      <c r="K161" t="s">
        <v>1700</v>
      </c>
      <c r="L161" t="s">
        <v>1701</v>
      </c>
      <c r="M161" t="s">
        <v>1702</v>
      </c>
      <c r="N161" t="s">
        <v>1703</v>
      </c>
      <c r="O161" t="s">
        <v>447</v>
      </c>
      <c r="P161" t="s">
        <v>1704</v>
      </c>
      <c r="Q161" t="s">
        <v>1705</v>
      </c>
      <c r="R161" t="s">
        <v>1706</v>
      </c>
      <c r="V161" t="s">
        <v>1707</v>
      </c>
      <c r="W161" t="s">
        <v>1708</v>
      </c>
    </row>
    <row r="162" ht="25.5" customHeight="1" spans="1:23">
      <c r="A162">
        <v>1639009235</v>
      </c>
      <c r="B162">
        <v>7699428316</v>
      </c>
      <c r="C162" s="2" t="str">
        <f>HYPERLINK("https://weidian.com/item.html?itemID=7699428316","https://weidian.com/item.html?itemID=7699428316")</f>
        <v>https://weidian.com/item.html?itemID=7699428316</v>
      </c>
      <c r="E162" s="2" t="str">
        <f>HYPERLINK("https://si.geilicdn.com/pcitem902002701844-4f6e0000019c997f1e300a23038e_1440_1920.jpg?w=640&amp;h=640","https://si.geilicdn.com/pcitem902002701844-4f6e0000019c997f1e300a23038e_1440_1920.jpg?w=640&amp;h=640")</f>
        <v>https://si.geilicdn.com/pcitem902002701844-4f6e0000019c997f1e300a23038e_1440_1920.jpg?w=640&amp;h=640</v>
      </c>
      <c r="F162" t="s">
        <v>23</v>
      </c>
      <c r="G162" t="s">
        <v>1090</v>
      </c>
      <c r="H162" t="s">
        <v>1091</v>
      </c>
      <c r="I162">
        <v>40.58</v>
      </c>
      <c r="J162" t="s">
        <v>1709</v>
      </c>
      <c r="K162" t="s">
        <v>1710</v>
      </c>
      <c r="L162" t="s">
        <v>1711</v>
      </c>
      <c r="M162" t="s">
        <v>1712</v>
      </c>
      <c r="N162" t="s">
        <v>1713</v>
      </c>
      <c r="O162" t="s">
        <v>1108</v>
      </c>
      <c r="P162" t="s">
        <v>1714</v>
      </c>
      <c r="Q162" t="s">
        <v>1715</v>
      </c>
      <c r="R162" t="s">
        <v>1716</v>
      </c>
      <c r="V162" t="s">
        <v>1717</v>
      </c>
      <c r="W162" t="s">
        <v>1718</v>
      </c>
    </row>
    <row r="163" ht="25.5" customHeight="1" spans="1:23">
      <c r="A163">
        <v>1639009235</v>
      </c>
      <c r="B163">
        <v>7698568108</v>
      </c>
      <c r="C163" s="2" t="str">
        <f>HYPERLINK("https://weidian.com/item.html?itemID=7698568108","https://weidian.com/item.html?itemID=7698568108")</f>
        <v>https://weidian.com/item.html?itemID=7698568108</v>
      </c>
      <c r="E163" s="2" t="str">
        <f>HYPERLINK("https://si.geilicdn.com/pcitem902002701844-28600000019c92ee3de10a2102c5_1074_1074.jpg?w=640&amp;h=640","https://si.geilicdn.com/pcitem902002701844-28600000019c92ee3de10a2102c5_1074_1074.jpg?w=640&amp;h=640")</f>
        <v>https://si.geilicdn.com/pcitem902002701844-28600000019c92ee3de10a2102c5_1074_1074.jpg?w=640&amp;h=640</v>
      </c>
      <c r="F163" t="s">
        <v>23</v>
      </c>
      <c r="G163" t="s">
        <v>1526</v>
      </c>
      <c r="H163" t="s">
        <v>1527</v>
      </c>
      <c r="I163">
        <v>104.35</v>
      </c>
      <c r="J163" t="s">
        <v>1719</v>
      </c>
      <c r="K163" t="s">
        <v>1720</v>
      </c>
      <c r="L163" t="s">
        <v>1721</v>
      </c>
      <c r="M163" t="s">
        <v>1722</v>
      </c>
      <c r="N163" t="s">
        <v>1723</v>
      </c>
      <c r="O163" t="s">
        <v>1533</v>
      </c>
      <c r="P163" t="s">
        <v>1724</v>
      </c>
      <c r="Q163" t="s">
        <v>1725</v>
      </c>
      <c r="R163" t="s">
        <v>1726</v>
      </c>
      <c r="V163" t="s">
        <v>1727</v>
      </c>
      <c r="W163" t="s">
        <v>1728</v>
      </c>
    </row>
    <row r="164" ht="25.5" customHeight="1" spans="1:23">
      <c r="A164">
        <v>1639009235</v>
      </c>
      <c r="B164">
        <v>7695556595</v>
      </c>
      <c r="C164" s="2" t="str">
        <f>HYPERLINK("https://weidian.com/item.html?itemID=7695556595","https://weidian.com/item.html?itemID=7695556595")</f>
        <v>https://weidian.com/item.html?itemID=7695556595</v>
      </c>
      <c r="E164" s="2" t="str">
        <f>HYPERLINK("https://si.geilicdn.com/pcitem902002701844-17f50000019c92eae35d0a239846_1074_1074.jpg?w=640&amp;h=640","https://si.geilicdn.com/pcitem902002701844-17f50000019c92eae35d0a239846_1074_1074.jpg?w=640&amp;h=640")</f>
        <v>https://si.geilicdn.com/pcitem902002701844-17f50000019c92eae35d0a239846_1074_1074.jpg?w=640&amp;h=640</v>
      </c>
      <c r="F164" t="s">
        <v>23</v>
      </c>
      <c r="G164" t="s">
        <v>1526</v>
      </c>
      <c r="H164" t="s">
        <v>1729</v>
      </c>
      <c r="I164">
        <v>121.74</v>
      </c>
      <c r="J164" t="s">
        <v>1730</v>
      </c>
      <c r="K164" t="s">
        <v>1731</v>
      </c>
      <c r="L164" t="s">
        <v>1732</v>
      </c>
      <c r="M164" t="s">
        <v>1733</v>
      </c>
      <c r="N164" t="s">
        <v>1734</v>
      </c>
      <c r="O164" t="s">
        <v>1533</v>
      </c>
      <c r="P164" t="s">
        <v>1735</v>
      </c>
      <c r="Q164" t="s">
        <v>1736</v>
      </c>
      <c r="R164" t="s">
        <v>1737</v>
      </c>
      <c r="V164" t="s">
        <v>1738</v>
      </c>
      <c r="W164" t="s">
        <v>1739</v>
      </c>
    </row>
    <row r="165" ht="25.5" customHeight="1" spans="1:23">
      <c r="A165">
        <v>1639009235</v>
      </c>
      <c r="B165">
        <v>7698558326</v>
      </c>
      <c r="C165" s="2" t="str">
        <f>HYPERLINK("https://weidian.com/item.html?itemID=7698558326","https://weidian.com/item.html?itemID=7698558326")</f>
        <v>https://weidian.com/item.html?itemID=7698558326</v>
      </c>
      <c r="E165" s="2" t="str">
        <f>HYPERLINK("https://si.geilicdn.com/pcitem902002701844-24140000019c92ea02580a20e273_1074_1074.jpg?w=640&amp;h=640","https://si.geilicdn.com/pcitem902002701844-24140000019c92ea02580a20e273_1074_1074.jpg?w=640&amp;h=640")</f>
        <v>https://si.geilicdn.com/pcitem902002701844-24140000019c92ea02580a20e273_1074_1074.jpg?w=640&amp;h=640</v>
      </c>
      <c r="F165" t="s">
        <v>23</v>
      </c>
      <c r="G165" t="s">
        <v>1526</v>
      </c>
      <c r="H165" t="s">
        <v>1582</v>
      </c>
      <c r="I165">
        <v>98.55</v>
      </c>
      <c r="J165" t="s">
        <v>1740</v>
      </c>
      <c r="K165" t="s">
        <v>1741</v>
      </c>
      <c r="L165" t="s">
        <v>1742</v>
      </c>
      <c r="M165" t="s">
        <v>1743</v>
      </c>
      <c r="N165" t="s">
        <v>1744</v>
      </c>
      <c r="O165" t="s">
        <v>1565</v>
      </c>
      <c r="P165" t="s">
        <v>1745</v>
      </c>
      <c r="Q165" t="s">
        <v>1746</v>
      </c>
      <c r="R165" t="s">
        <v>1747</v>
      </c>
      <c r="V165" t="s">
        <v>1748</v>
      </c>
      <c r="W165" t="s">
        <v>1749</v>
      </c>
    </row>
    <row r="166" ht="25.5" customHeight="1" spans="1:23">
      <c r="A166">
        <v>1639009235</v>
      </c>
      <c r="B166">
        <v>7695556397</v>
      </c>
      <c r="C166" s="2" t="str">
        <f>HYPERLINK("https://weidian.com/item.html?itemID=7695556397","https://weidian.com/item.html?itemID=7695556397")</f>
        <v>https://weidian.com/item.html?itemID=7695556397</v>
      </c>
      <c r="E166" s="2" t="str">
        <f>HYPERLINK("https://si.geilicdn.com/pcitem902002701844-240f0000019c92e473690a8134f0_1440_1440.jpg?w=640&amp;h=640","https://si.geilicdn.com/pcitem902002701844-240f0000019c92e473690a8134f0_1440_1440.jpg?w=640&amp;h=640")</f>
        <v>https://si.geilicdn.com/pcitem902002701844-240f0000019c92e473690a8134f0_1440_1440.jpg?w=640&amp;h=640</v>
      </c>
      <c r="F166" t="s">
        <v>23</v>
      </c>
      <c r="G166" t="s">
        <v>1526</v>
      </c>
      <c r="H166" t="s">
        <v>1750</v>
      </c>
      <c r="I166">
        <v>39.13</v>
      </c>
      <c r="J166" t="s">
        <v>1751</v>
      </c>
      <c r="K166" t="s">
        <v>1752</v>
      </c>
      <c r="L166" t="s">
        <v>1753</v>
      </c>
      <c r="M166" t="s">
        <v>1754</v>
      </c>
      <c r="N166" t="s">
        <v>1755</v>
      </c>
      <c r="O166" t="s">
        <v>1533</v>
      </c>
      <c r="P166" t="s">
        <v>1756</v>
      </c>
      <c r="Q166" t="s">
        <v>1757</v>
      </c>
      <c r="R166" t="s">
        <v>1758</v>
      </c>
      <c r="V166" t="s">
        <v>1759</v>
      </c>
      <c r="W166" t="s">
        <v>1760</v>
      </c>
    </row>
    <row r="167" ht="25.5" customHeight="1" spans="1:23">
      <c r="A167">
        <v>1639009235</v>
      </c>
      <c r="B167">
        <v>7694973499</v>
      </c>
      <c r="C167" s="2" t="str">
        <f>HYPERLINK("https://weidian.com/item.html?itemID=7694973499","https://weidian.com/item.html?itemID=7694973499")</f>
        <v>https://weidian.com/item.html?itemID=7694973499</v>
      </c>
      <c r="E167" s="2" t="str">
        <f>HYPERLINK("https://si.geilicdn.com/pcitem902002701844-32fe0000019c92e38bc50a207569_1440_1920.jpg?w=640&amp;h=640","https://si.geilicdn.com/pcitem902002701844-32fe0000019c92e38bc50a207569_1440_1920.jpg?w=640&amp;h=640")</f>
        <v>https://si.geilicdn.com/pcitem902002701844-32fe0000019c92e38bc50a207569_1440_1920.jpg?w=640&amp;h=640</v>
      </c>
      <c r="F167" t="s">
        <v>23</v>
      </c>
      <c r="G167" t="s">
        <v>1526</v>
      </c>
      <c r="H167" t="s">
        <v>150</v>
      </c>
      <c r="I167">
        <v>37.68</v>
      </c>
      <c r="J167" t="s">
        <v>1761</v>
      </c>
      <c r="K167" t="s">
        <v>1762</v>
      </c>
      <c r="L167" t="s">
        <v>1763</v>
      </c>
      <c r="M167" t="s">
        <v>1764</v>
      </c>
      <c r="N167" t="s">
        <v>1765</v>
      </c>
      <c r="O167" t="s">
        <v>1533</v>
      </c>
      <c r="P167" t="s">
        <v>1766</v>
      </c>
      <c r="Q167" t="s">
        <v>1767</v>
      </c>
      <c r="R167" t="s">
        <v>1768</v>
      </c>
      <c r="V167" t="s">
        <v>1769</v>
      </c>
      <c r="W167" t="s">
        <v>1770</v>
      </c>
    </row>
    <row r="168" ht="25.5" customHeight="1" spans="1:23">
      <c r="A168">
        <v>1639009235</v>
      </c>
      <c r="B168">
        <v>7695489415</v>
      </c>
      <c r="C168" s="2" t="str">
        <f>HYPERLINK("https://weidian.com/item.html?itemID=7695489415","https://weidian.com/item.html?itemID=7695489415")</f>
        <v>https://weidian.com/item.html?itemID=7695489415</v>
      </c>
      <c r="E168" s="2" t="str">
        <f>HYPERLINK("https://si.geilicdn.com/pcitem902002701844-2d600000019c92e1b9600a2315ef_1440_1440.jpg?w=640&amp;h=640","https://si.geilicdn.com/pcitem902002701844-2d600000019c92e1b9600a2315ef_1440_1440.jpg?w=640&amp;h=640")</f>
        <v>https://si.geilicdn.com/pcitem902002701844-2d600000019c92e1b9600a2315ef_1440_1440.jpg?w=640&amp;h=640</v>
      </c>
      <c r="F168" t="s">
        <v>23</v>
      </c>
      <c r="G168" t="s">
        <v>1526</v>
      </c>
      <c r="H168" t="s">
        <v>296</v>
      </c>
      <c r="I168">
        <v>60.87</v>
      </c>
      <c r="J168" t="s">
        <v>1771</v>
      </c>
      <c r="K168" t="s">
        <v>1772</v>
      </c>
      <c r="L168" t="s">
        <v>1773</v>
      </c>
      <c r="M168" t="s">
        <v>1774</v>
      </c>
      <c r="N168" t="s">
        <v>1775</v>
      </c>
      <c r="O168" t="s">
        <v>1533</v>
      </c>
      <c r="P168" t="s">
        <v>1776</v>
      </c>
      <c r="Q168" t="s">
        <v>1777</v>
      </c>
      <c r="R168" t="s">
        <v>1778</v>
      </c>
      <c r="V168" t="s">
        <v>1779</v>
      </c>
      <c r="W168" t="s">
        <v>1780</v>
      </c>
    </row>
    <row r="169" ht="25.5" customHeight="1" spans="1:23">
      <c r="A169">
        <v>1639009235</v>
      </c>
      <c r="B169">
        <v>7695485367</v>
      </c>
      <c r="C169" s="2" t="str">
        <f>HYPERLINK("https://weidian.com/item.html?itemID=7695485367","https://weidian.com/item.html?itemID=7695485367")</f>
        <v>https://weidian.com/item.html?itemID=7695485367</v>
      </c>
      <c r="E169" s="2" t="str">
        <f>HYPERLINK("https://si.geilicdn.com/pcitem902002701844-7bf60000019c92e0f05a0a20e2c5_1080_1080.jpg?w=640&amp;h=640","https://si.geilicdn.com/pcitem902002701844-7bf60000019c92e0f05a0a20e2c5_1080_1080.jpg?w=640&amp;h=640")</f>
        <v>https://si.geilicdn.com/pcitem902002701844-7bf60000019c92e0f05a0a20e2c5_1080_1080.jpg?w=640&amp;h=640</v>
      </c>
      <c r="F169" t="s">
        <v>23</v>
      </c>
      <c r="G169" t="s">
        <v>1526</v>
      </c>
      <c r="H169" t="s">
        <v>244</v>
      </c>
      <c r="I169">
        <v>57.97</v>
      </c>
      <c r="J169" t="s">
        <v>1781</v>
      </c>
      <c r="K169" t="s">
        <v>1782</v>
      </c>
      <c r="L169" t="s">
        <v>1783</v>
      </c>
      <c r="M169" t="s">
        <v>1784</v>
      </c>
      <c r="N169" t="s">
        <v>1785</v>
      </c>
      <c r="O169" t="s">
        <v>1533</v>
      </c>
      <c r="P169" t="s">
        <v>1786</v>
      </c>
      <c r="Q169" t="s">
        <v>1787</v>
      </c>
      <c r="R169" t="s">
        <v>1788</v>
      </c>
      <c r="V169" t="s">
        <v>1789</v>
      </c>
      <c r="W169" t="s">
        <v>1790</v>
      </c>
    </row>
    <row r="170" ht="25.5" customHeight="1" spans="1:23">
      <c r="A170">
        <v>1639009235</v>
      </c>
      <c r="B170">
        <v>7698451492</v>
      </c>
      <c r="C170" s="2" t="str">
        <f>HYPERLINK("https://weidian.com/item.html?itemID=7698451492","https://weidian.com/item.html?itemID=7698451492")</f>
        <v>https://weidian.com/item.html?itemID=7698451492</v>
      </c>
      <c r="E170" s="2" t="str">
        <f>HYPERLINK("https://si.geilicdn.com/pcitem902002701844-30fe0000019c92e02b2f0a207569_1160_1450.jpg?w=640&amp;h=640","https://si.geilicdn.com/pcitem902002701844-30fe0000019c92e02b2f0a207569_1160_1450.jpg?w=640&amp;h=640")</f>
        <v>https://si.geilicdn.com/pcitem902002701844-30fe0000019c92e02b2f0a207569_1160_1450.jpg?w=640&amp;h=640</v>
      </c>
      <c r="F170" t="s">
        <v>23</v>
      </c>
      <c r="G170" t="s">
        <v>1526</v>
      </c>
      <c r="H170" t="s">
        <v>645</v>
      </c>
      <c r="I170">
        <v>55.07</v>
      </c>
      <c r="J170" t="s">
        <v>1791</v>
      </c>
      <c r="K170" t="s">
        <v>1792</v>
      </c>
      <c r="L170" t="s">
        <v>1793</v>
      </c>
      <c r="M170" t="s">
        <v>1794</v>
      </c>
      <c r="N170" t="s">
        <v>1795</v>
      </c>
      <c r="O170" t="s">
        <v>1533</v>
      </c>
      <c r="P170" t="s">
        <v>1796</v>
      </c>
      <c r="Q170" t="s">
        <v>1797</v>
      </c>
      <c r="R170" t="s">
        <v>1798</v>
      </c>
      <c r="V170" t="s">
        <v>1799</v>
      </c>
      <c r="W170" t="s">
        <v>1800</v>
      </c>
    </row>
    <row r="171" ht="25.5" customHeight="1" spans="1:23">
      <c r="A171">
        <v>1639009235</v>
      </c>
      <c r="B171">
        <v>7695503037</v>
      </c>
      <c r="C171" s="2" t="str">
        <f>HYPERLINK("https://weidian.com/item.html?itemID=7695503037","https://weidian.com/item.html?itemID=7695503037")</f>
        <v>https://weidian.com/item.html?itemID=7695503037</v>
      </c>
      <c r="E171" s="2" t="str">
        <f>HYPERLINK("https://si.geilicdn.com/pcitem902002701844-30f30000019c92df64ef0a230115_1080_1440.jpg?w=640&amp;h=640","https://si.geilicdn.com/pcitem902002701844-30f30000019c92df64ef0a230115_1080_1440.jpg?w=640&amp;h=640")</f>
        <v>https://si.geilicdn.com/pcitem902002701844-30f30000019c92df64ef0a230115_1080_1440.jpg?w=640&amp;h=640</v>
      </c>
      <c r="F171" t="s">
        <v>23</v>
      </c>
      <c r="G171" t="s">
        <v>1526</v>
      </c>
      <c r="H171" t="s">
        <v>296</v>
      </c>
      <c r="I171">
        <v>60.87</v>
      </c>
      <c r="J171" t="s">
        <v>1801</v>
      </c>
      <c r="K171" t="s">
        <v>1802</v>
      </c>
      <c r="L171" t="s">
        <v>1803</v>
      </c>
      <c r="M171" t="s">
        <v>1804</v>
      </c>
      <c r="N171" t="s">
        <v>1805</v>
      </c>
      <c r="O171" t="s">
        <v>1533</v>
      </c>
      <c r="P171" t="s">
        <v>1806</v>
      </c>
      <c r="Q171" t="s">
        <v>1807</v>
      </c>
      <c r="R171" t="s">
        <v>1808</v>
      </c>
      <c r="V171" t="s">
        <v>1809</v>
      </c>
      <c r="W171" t="s">
        <v>1810</v>
      </c>
    </row>
    <row r="172" ht="25.5" customHeight="1" spans="1:23">
      <c r="A172">
        <v>1639009235</v>
      </c>
      <c r="B172">
        <v>7695528145</v>
      </c>
      <c r="C172" s="2" t="str">
        <f>HYPERLINK("https://weidian.com/item.html?itemID=7695528145","https://weidian.com/item.html?itemID=7695528145")</f>
        <v>https://weidian.com/item.html?itemID=7695528145</v>
      </c>
      <c r="E172" s="2" t="str">
        <f>HYPERLINK("https://si.geilicdn.com/pcitem902002701844-0cbb0000019c92d93a810a20e672_1440_1440.jpg?w=640&amp;h=640","https://si.geilicdn.com/pcitem902002701844-0cbb0000019c92d93a810a20e672_1440_1440.jpg?w=640&amp;h=640")</f>
        <v>https://si.geilicdn.com/pcitem902002701844-0cbb0000019c92d93a810a20e672_1440_1440.jpg?w=640&amp;h=640</v>
      </c>
      <c r="F172" t="s">
        <v>23</v>
      </c>
      <c r="G172" t="s">
        <v>1526</v>
      </c>
      <c r="H172" t="s">
        <v>244</v>
      </c>
      <c r="I172">
        <v>57.97</v>
      </c>
      <c r="J172" t="s">
        <v>1811</v>
      </c>
      <c r="K172" t="s">
        <v>1812</v>
      </c>
      <c r="L172" t="s">
        <v>1813</v>
      </c>
      <c r="M172" t="s">
        <v>1814</v>
      </c>
      <c r="N172" t="s">
        <v>1815</v>
      </c>
      <c r="O172" t="s">
        <v>1533</v>
      </c>
      <c r="P172" t="s">
        <v>1816</v>
      </c>
      <c r="Q172" t="s">
        <v>1817</v>
      </c>
      <c r="R172" t="s">
        <v>1818</v>
      </c>
      <c r="V172" t="s">
        <v>1819</v>
      </c>
      <c r="W172" t="s">
        <v>1820</v>
      </c>
    </row>
    <row r="173" ht="25.5" customHeight="1" spans="1:23">
      <c r="A173">
        <v>1639009235</v>
      </c>
      <c r="B173">
        <v>7695463133</v>
      </c>
      <c r="C173" s="2" t="str">
        <f>HYPERLINK("https://weidian.com/item.html?itemID=7695463133","https://weidian.com/item.html?itemID=7695463133")</f>
        <v>https://weidian.com/item.html?itemID=7695463133</v>
      </c>
      <c r="E173" s="2" t="str">
        <f>HYPERLINK("https://si.geilicdn.com/pcitem902002701844-232c0000019c92d84c860a81347d_1440_1440.jpg?w=640&amp;h=640","https://si.geilicdn.com/pcitem902002701844-232c0000019c92d84c860a81347d_1440_1440.jpg?w=640&amp;h=640")</f>
        <v>https://si.geilicdn.com/pcitem902002701844-232c0000019c92d84c860a81347d_1440_1440.jpg?w=640&amp;h=640</v>
      </c>
      <c r="F173" t="s">
        <v>23</v>
      </c>
      <c r="G173" t="s">
        <v>1526</v>
      </c>
      <c r="H173" t="s">
        <v>244</v>
      </c>
      <c r="I173">
        <v>57.97</v>
      </c>
      <c r="J173" t="s">
        <v>1821</v>
      </c>
      <c r="K173" t="s">
        <v>1822</v>
      </c>
      <c r="L173" t="s">
        <v>1823</v>
      </c>
      <c r="M173" t="s">
        <v>1824</v>
      </c>
      <c r="N173" t="s">
        <v>1825</v>
      </c>
      <c r="O173" t="s">
        <v>1533</v>
      </c>
      <c r="P173" t="s">
        <v>1826</v>
      </c>
      <c r="Q173" t="s">
        <v>1827</v>
      </c>
      <c r="R173" t="s">
        <v>1828</v>
      </c>
      <c r="V173" t="s">
        <v>1829</v>
      </c>
      <c r="W173" t="s">
        <v>1830</v>
      </c>
    </row>
    <row r="174" ht="25.5" customHeight="1" spans="1:23">
      <c r="A174">
        <v>1639009235</v>
      </c>
      <c r="B174">
        <v>7695520309</v>
      </c>
      <c r="C174" s="2" t="str">
        <f>HYPERLINK("https://weidian.com/item.html?itemID=7695520309","https://weidian.com/item.html?itemID=7695520309")</f>
        <v>https://weidian.com/item.html?itemID=7695520309</v>
      </c>
      <c r="E174" s="2" t="str">
        <f>HYPERLINK("https://si.geilicdn.com/pcitem902002701844-2da40000019c92d76f360a23111a_1440_1440.jpg?w=640&amp;h=640","https://si.geilicdn.com/pcitem902002701844-2da40000019c92d76f360a23111a_1440_1440.jpg?w=640&amp;h=640")</f>
        <v>https://si.geilicdn.com/pcitem902002701844-2da40000019c92d76f360a23111a_1440_1440.jpg?w=640&amp;h=640</v>
      </c>
      <c r="F174" t="s">
        <v>23</v>
      </c>
      <c r="G174" t="s">
        <v>1526</v>
      </c>
      <c r="H174" t="s">
        <v>244</v>
      </c>
      <c r="I174">
        <v>57.97</v>
      </c>
      <c r="J174" t="s">
        <v>1831</v>
      </c>
      <c r="K174" t="s">
        <v>1832</v>
      </c>
      <c r="L174" t="s">
        <v>1833</v>
      </c>
      <c r="M174" t="s">
        <v>1834</v>
      </c>
      <c r="N174" t="s">
        <v>1835</v>
      </c>
      <c r="O174" t="s">
        <v>1836</v>
      </c>
      <c r="P174" t="s">
        <v>1837</v>
      </c>
      <c r="Q174" t="s">
        <v>1838</v>
      </c>
      <c r="R174" t="s">
        <v>1839</v>
      </c>
      <c r="V174" t="s">
        <v>1840</v>
      </c>
      <c r="W174" t="s">
        <v>1841</v>
      </c>
    </row>
    <row r="175" ht="25.5" customHeight="1" spans="1:23">
      <c r="A175">
        <v>1639009235</v>
      </c>
      <c r="B175">
        <v>7698425534</v>
      </c>
      <c r="C175" s="2" t="str">
        <f>HYPERLINK("https://weidian.com/item.html?itemID=7698425534","https://weidian.com/item.html?itemID=7698425534")</f>
        <v>https://weidian.com/item.html?itemID=7698425534</v>
      </c>
      <c r="E175" s="2" t="str">
        <f>HYPERLINK("https://si.geilicdn.com/pcitem902002701844-275d0000019c92d667f60a2315ef_3000_3000.jpg?w=640&amp;h=640","https://si.geilicdn.com/pcitem902002701844-275d0000019c92d667f60a2315ef_3000_3000.jpg?w=640&amp;h=640")</f>
        <v>https://si.geilicdn.com/pcitem902002701844-275d0000019c92d667f60a2315ef_3000_3000.jpg?w=640&amp;h=640</v>
      </c>
      <c r="F175" t="s">
        <v>1842</v>
      </c>
      <c r="G175" t="s">
        <v>1526</v>
      </c>
      <c r="H175" t="s">
        <v>1843</v>
      </c>
      <c r="I175">
        <v>22.61</v>
      </c>
      <c r="J175" t="s">
        <v>1844</v>
      </c>
      <c r="K175" t="s">
        <v>1845</v>
      </c>
      <c r="L175" t="s">
        <v>1846</v>
      </c>
      <c r="M175" t="s">
        <v>1847</v>
      </c>
      <c r="N175" t="s">
        <v>1848</v>
      </c>
      <c r="O175" t="s">
        <v>1849</v>
      </c>
      <c r="P175" t="s">
        <v>1850</v>
      </c>
      <c r="Q175" t="s">
        <v>1851</v>
      </c>
      <c r="R175" t="s">
        <v>1852</v>
      </c>
      <c r="V175" t="s">
        <v>1853</v>
      </c>
      <c r="W175" t="s">
        <v>1854</v>
      </c>
    </row>
    <row r="176" ht="25.5" customHeight="1" spans="1:23">
      <c r="A176">
        <v>1639009235</v>
      </c>
      <c r="B176">
        <v>7695271911</v>
      </c>
      <c r="C176" s="2" t="str">
        <f>HYPERLINK("https://weidian.com/item.html?itemID=7695271911","https://weidian.com/item.html?itemID=7695271911")</f>
        <v>https://weidian.com/item.html?itemID=7695271911</v>
      </c>
      <c r="E176" s="2" t="str">
        <f>HYPERLINK("https://si.geilicdn.com/pcitem902002701844-76090000019c92d57c810a20e2c5_1440_2160.jpg?w=640&amp;h=640","https://si.geilicdn.com/pcitem902002701844-76090000019c92d57c810a20e2c5_1440_2160.jpg?w=640&amp;h=640")</f>
        <v>https://si.geilicdn.com/pcitem902002701844-76090000019c92d57c810a20e2c5_1440_2160.jpg?w=640&amp;h=640</v>
      </c>
      <c r="F176" t="s">
        <v>1842</v>
      </c>
      <c r="G176" t="s">
        <v>1526</v>
      </c>
      <c r="H176" t="s">
        <v>1855</v>
      </c>
      <c r="I176">
        <v>25.5072463768115</v>
      </c>
      <c r="J176" t="s">
        <v>1856</v>
      </c>
      <c r="K176" t="s">
        <v>1857</v>
      </c>
      <c r="L176" t="s">
        <v>1858</v>
      </c>
      <c r="M176" t="s">
        <v>1859</v>
      </c>
      <c r="N176" t="s">
        <v>1860</v>
      </c>
      <c r="O176" t="s">
        <v>1849</v>
      </c>
      <c r="P176" t="s">
        <v>1861</v>
      </c>
      <c r="Q176" t="s">
        <v>1862</v>
      </c>
      <c r="R176" t="s">
        <v>1863</v>
      </c>
      <c r="V176" t="s">
        <v>1864</v>
      </c>
      <c r="W176" t="s">
        <v>1865</v>
      </c>
    </row>
    <row r="177" ht="25.5" customHeight="1" spans="1:23">
      <c r="A177">
        <v>1639009235</v>
      </c>
      <c r="B177">
        <v>7695486699</v>
      </c>
      <c r="C177" s="2" t="str">
        <f>HYPERLINK("https://weidian.com/item.html?itemID=7695486699","https://weidian.com/item.html?itemID=7695486699")</f>
        <v>https://weidian.com/item.html?itemID=7695486699</v>
      </c>
      <c r="E177" s="2" t="str">
        <f>HYPERLINK("https://si.geilicdn.com/pcitem902002701844-1f330000019c92d43c640a210256_1440_2160.jpg?w=640&amp;h=640","https://si.geilicdn.com/pcitem902002701844-1f330000019c92d43c640a210256_1440_2160.jpg?w=640&amp;h=640")</f>
        <v>https://si.geilicdn.com/pcitem902002701844-1f330000019c92d43c640a210256_1440_2160.jpg?w=640&amp;h=640</v>
      </c>
      <c r="F177" t="s">
        <v>1842</v>
      </c>
      <c r="G177" t="s">
        <v>1526</v>
      </c>
      <c r="H177" t="s">
        <v>1855</v>
      </c>
      <c r="I177">
        <v>25.51</v>
      </c>
      <c r="J177" t="s">
        <v>1866</v>
      </c>
      <c r="K177" t="s">
        <v>1867</v>
      </c>
      <c r="L177" t="s">
        <v>1868</v>
      </c>
      <c r="M177" t="s">
        <v>1869</v>
      </c>
      <c r="N177" t="s">
        <v>1870</v>
      </c>
      <c r="O177" t="s">
        <v>1871</v>
      </c>
      <c r="P177" t="s">
        <v>1872</v>
      </c>
      <c r="Q177" t="s">
        <v>1873</v>
      </c>
      <c r="R177" t="s">
        <v>1874</v>
      </c>
      <c r="V177" t="s">
        <v>1875</v>
      </c>
      <c r="W177" t="s">
        <v>1876</v>
      </c>
    </row>
    <row r="178" ht="25.5" customHeight="1" spans="1:23">
      <c r="A178">
        <v>1639009235</v>
      </c>
      <c r="B178">
        <v>7695096343</v>
      </c>
      <c r="C178" s="2" t="str">
        <f>HYPERLINK("https://weidian.com/item.html?itemID=7695096343","https://weidian.com/item.html?itemID=7695096343")</f>
        <v>https://weidian.com/item.html?itemID=7695096343</v>
      </c>
      <c r="E178" s="2" t="str">
        <f>HYPERLINK("https://si.geilicdn.com/pcitem902002701844-0f9f0000019c8ece00130a2303ee_1080_720.jpg?w=640&amp;h=640","https://si.geilicdn.com/pcitem902002701844-0f9f0000019c8ece00130a2303ee_1080_720.jpg?w=640&amp;h=640")</f>
        <v>https://si.geilicdn.com/pcitem902002701844-0f9f0000019c8ece00130a2303ee_1080_720.jpg?w=640&amp;h=640</v>
      </c>
      <c r="F178" t="s">
        <v>23</v>
      </c>
      <c r="G178" t="s">
        <v>338</v>
      </c>
      <c r="H178" t="s">
        <v>1549</v>
      </c>
      <c r="I178">
        <v>113.04</v>
      </c>
      <c r="J178" t="s">
        <v>1877</v>
      </c>
      <c r="K178" t="s">
        <v>1878</v>
      </c>
      <c r="L178" t="s">
        <v>1879</v>
      </c>
      <c r="M178" t="s">
        <v>1880</v>
      </c>
      <c r="N178" t="s">
        <v>1881</v>
      </c>
      <c r="O178" t="s">
        <v>447</v>
      </c>
      <c r="P178" t="s">
        <v>1882</v>
      </c>
      <c r="Q178" t="s">
        <v>1883</v>
      </c>
      <c r="R178" t="s">
        <v>1884</v>
      </c>
      <c r="V178" t="s">
        <v>1885</v>
      </c>
      <c r="W178" t="s">
        <v>1886</v>
      </c>
    </row>
    <row r="179" ht="25.5" customHeight="1" spans="1:23">
      <c r="A179">
        <v>1639009235</v>
      </c>
      <c r="B179">
        <v>7698109832</v>
      </c>
      <c r="C179" s="2" t="str">
        <f>HYPERLINK("https://weidian.com/item.html?itemID=7698109832","https://weidian.com/item.html?itemID=7698109832")</f>
        <v>https://weidian.com/item.html?itemID=7698109832</v>
      </c>
      <c r="E179" s="2" t="str">
        <f>HYPERLINK("https://si.geilicdn.com/pcitem902002701844-55c20000019c8ec9dc5a0a231316_1440_1920.jpg?w=640&amp;h=640","https://si.geilicdn.com/pcitem902002701844-55c20000019c8ec9dc5a0a231316_1440_1920.jpg?w=640&amp;h=640")</f>
        <v>https://si.geilicdn.com/pcitem902002701844-55c20000019c8ec9dc5a0a231316_1440_1920.jpg?w=640&amp;h=640</v>
      </c>
      <c r="F179" t="s">
        <v>23</v>
      </c>
      <c r="G179" t="s">
        <v>338</v>
      </c>
      <c r="H179" t="s">
        <v>1593</v>
      </c>
      <c r="I179">
        <v>72.46</v>
      </c>
      <c r="J179" t="s">
        <v>1887</v>
      </c>
      <c r="K179" t="s">
        <v>1888</v>
      </c>
      <c r="L179" t="s">
        <v>1889</v>
      </c>
      <c r="M179" t="s">
        <v>1890</v>
      </c>
      <c r="N179" t="s">
        <v>1891</v>
      </c>
      <c r="O179" t="s">
        <v>447</v>
      </c>
      <c r="P179" t="s">
        <v>1892</v>
      </c>
      <c r="Q179" t="s">
        <v>1893</v>
      </c>
      <c r="R179" t="s">
        <v>1894</v>
      </c>
      <c r="V179" t="s">
        <v>1895</v>
      </c>
      <c r="W179" t="s">
        <v>1896</v>
      </c>
    </row>
    <row r="180" ht="25.5" customHeight="1" spans="1:23">
      <c r="A180">
        <v>1639009235</v>
      </c>
      <c r="B180">
        <v>7695103763</v>
      </c>
      <c r="C180" s="2" t="str">
        <f>HYPERLINK("https://weidian.com/item.html?itemID=7695103763","https://weidian.com/item.html?itemID=7695103763")</f>
        <v>https://weidian.com/item.html?itemID=7695103763</v>
      </c>
      <c r="E180" s="2" t="str">
        <f>HYPERLINK("https://si.geilicdn.com/pcitem902002701844-0f8b0000019c8ebfeabf0a2396f4_1512_2016.jpg?w=640&amp;h=640","https://si.geilicdn.com/pcitem902002701844-0f8b0000019c8ebfeabf0a2396f4_1512_2016.jpg?w=640&amp;h=640")</f>
        <v>https://si.geilicdn.com/pcitem902002701844-0f8b0000019c8ebfeabf0a2396f4_1512_2016.jpg?w=640&amp;h=640</v>
      </c>
      <c r="F180" t="s">
        <v>23</v>
      </c>
      <c r="G180" t="s">
        <v>338</v>
      </c>
      <c r="H180" t="s">
        <v>544</v>
      </c>
      <c r="I180">
        <v>78.26</v>
      </c>
      <c r="J180" t="s">
        <v>1897</v>
      </c>
      <c r="K180" t="s">
        <v>1898</v>
      </c>
      <c r="L180" t="s">
        <v>1899</v>
      </c>
      <c r="M180" t="s">
        <v>1900</v>
      </c>
      <c r="N180" t="s">
        <v>1901</v>
      </c>
      <c r="O180" t="s">
        <v>447</v>
      </c>
      <c r="P180" t="s">
        <v>1902</v>
      </c>
      <c r="Q180" t="s">
        <v>1903</v>
      </c>
      <c r="R180" t="s">
        <v>1904</v>
      </c>
      <c r="V180" t="s">
        <v>1905</v>
      </c>
      <c r="W180" t="s">
        <v>1906</v>
      </c>
    </row>
    <row r="181" ht="25.5" customHeight="1" spans="1:23">
      <c r="A181">
        <v>1639009235</v>
      </c>
      <c r="B181">
        <v>7698062430</v>
      </c>
      <c r="C181" s="2" t="str">
        <f>HYPERLINK("https://weidian.com/item.html?itemID=7698062430","https://weidian.com/item.html?itemID=7698062430")</f>
        <v>https://weidian.com/item.html?itemID=7698062430</v>
      </c>
      <c r="E181" s="2" t="str">
        <f>HYPERLINK("https://si.geilicdn.com/pcitem902002701844-6fdf0000019c8eb7f66b0a8134f0_1512_2016.jpg?w=640&amp;h=640","https://si.geilicdn.com/pcitem902002701844-6fdf0000019c8eb7f66b0a8134f0_1512_2016.jpg?w=640&amp;h=640")</f>
        <v>https://si.geilicdn.com/pcitem902002701844-6fdf0000019c8eb7f66b0a8134f0_1512_2016.jpg?w=640&amp;h=640</v>
      </c>
      <c r="F181" t="s">
        <v>23</v>
      </c>
      <c r="G181" t="s">
        <v>338</v>
      </c>
      <c r="H181" t="s">
        <v>339</v>
      </c>
      <c r="I181">
        <v>75.36</v>
      </c>
      <c r="J181" t="s">
        <v>1907</v>
      </c>
      <c r="K181" t="s">
        <v>1908</v>
      </c>
      <c r="L181" t="s">
        <v>1909</v>
      </c>
      <c r="M181" t="s">
        <v>1910</v>
      </c>
      <c r="N181" t="s">
        <v>1911</v>
      </c>
      <c r="O181" t="s">
        <v>447</v>
      </c>
      <c r="P181" t="s">
        <v>1912</v>
      </c>
      <c r="Q181" t="s">
        <v>1913</v>
      </c>
      <c r="R181" t="s">
        <v>1914</v>
      </c>
      <c r="V181" t="s">
        <v>1915</v>
      </c>
      <c r="W181" t="s">
        <v>1916</v>
      </c>
    </row>
    <row r="182" ht="25.5" customHeight="1" spans="1:23">
      <c r="A182">
        <v>1639009235</v>
      </c>
      <c r="B182">
        <v>7703274254</v>
      </c>
      <c r="C182" s="2" t="str">
        <f>HYPERLINK("https://weidian.com/item.html?itemID=7703274254","https://weidian.com/item.html?itemID=7703274254")</f>
        <v>https://weidian.com/item.html?itemID=7703274254</v>
      </c>
      <c r="E182" s="2" t="str">
        <f>HYPERLINK("https://si.geilicdn.com/pcitem902002701844-21d00000019cb70a2efc0a8133cc_1074_1074.jpg?w=640&amp;h=640","https://si.geilicdn.com/pcitem902002701844-21d00000019cb70a2efc0a8133cc_1074_1074.jpg?w=640&amp;h=640")</f>
        <v>https://si.geilicdn.com/pcitem902002701844-21d00000019cb70a2efc0a8133cc_1074_1074.jpg?w=640&amp;h=640</v>
      </c>
      <c r="F182" t="s">
        <v>23</v>
      </c>
      <c r="G182" t="s">
        <v>599</v>
      </c>
      <c r="H182" t="s">
        <v>265</v>
      </c>
      <c r="I182">
        <v>43.48</v>
      </c>
      <c r="J182" t="s">
        <v>1917</v>
      </c>
      <c r="K182" t="s">
        <v>1918</v>
      </c>
      <c r="L182" t="s">
        <v>1919</v>
      </c>
      <c r="M182" t="s">
        <v>1920</v>
      </c>
      <c r="N182" t="s">
        <v>1921</v>
      </c>
      <c r="O182" t="s">
        <v>756</v>
      </c>
      <c r="P182" t="s">
        <v>1922</v>
      </c>
      <c r="Q182" t="s">
        <v>1923</v>
      </c>
      <c r="R182" t="s">
        <v>1924</v>
      </c>
      <c r="V182" t="s">
        <v>1925</v>
      </c>
      <c r="W182" t="s">
        <v>1926</v>
      </c>
    </row>
    <row r="183" ht="25.5" customHeight="1" spans="1:23">
      <c r="A183">
        <v>1639009235</v>
      </c>
      <c r="B183">
        <v>7700295921</v>
      </c>
      <c r="C183" s="2" t="str">
        <f>HYPERLINK("https://weidian.com/item.html?itemID=7700295921","https://weidian.com/item.html?itemID=7700295921")</f>
        <v>https://weidian.com/item.html?itemID=7700295921</v>
      </c>
      <c r="E183" s="2" t="str">
        <f>HYPERLINK("https://si.geilicdn.com/pcitem902002701844-19020000019cb7092e3f0a81347d_1074_1074.jpg?w=640&amp;h=640","https://si.geilicdn.com/pcitem902002701844-19020000019cb7092e3f0a81347d_1074_1074.jpg?w=640&amp;h=640")</f>
        <v>https://si.geilicdn.com/pcitem902002701844-19020000019cb7092e3f0a81347d_1074_1074.jpg?w=640&amp;h=640</v>
      </c>
      <c r="F183" t="s">
        <v>23</v>
      </c>
      <c r="G183" t="s">
        <v>599</v>
      </c>
      <c r="H183" t="s">
        <v>265</v>
      </c>
      <c r="I183">
        <v>43.48</v>
      </c>
      <c r="J183" t="s">
        <v>1927</v>
      </c>
      <c r="K183" t="s">
        <v>1928</v>
      </c>
      <c r="L183" t="s">
        <v>1929</v>
      </c>
      <c r="M183" t="s">
        <v>1930</v>
      </c>
      <c r="N183" t="s">
        <v>1931</v>
      </c>
      <c r="O183" t="s">
        <v>1932</v>
      </c>
      <c r="P183" t="s">
        <v>1933</v>
      </c>
      <c r="Q183" t="s">
        <v>1934</v>
      </c>
      <c r="R183" t="s">
        <v>1935</v>
      </c>
      <c r="V183" t="s">
        <v>1936</v>
      </c>
      <c r="W183" t="s">
        <v>1937</v>
      </c>
    </row>
    <row r="184" ht="25.5" customHeight="1" spans="1:23">
      <c r="A184">
        <v>1639009235</v>
      </c>
      <c r="B184">
        <v>7700268177</v>
      </c>
      <c r="C184" s="2" t="str">
        <f>HYPERLINK("https://weidian.com/item.html?itemID=7700268177","https://weidian.com/item.html?itemID=7700268177")</f>
        <v>https://weidian.com/item.html?itemID=7700268177</v>
      </c>
      <c r="E184" s="2" t="str">
        <f>HYPERLINK("https://si.geilicdn.com/pcitem902002701844-119f0000019cb70830180a2102c5_1074_1074.jpg?w=640&amp;h=640","https://si.geilicdn.com/pcitem902002701844-119f0000019cb70830180a2102c5_1074_1074.jpg?w=640&amp;h=640")</f>
        <v>https://si.geilicdn.com/pcitem902002701844-119f0000019cb70830180a2102c5_1074_1074.jpg?w=640&amp;h=640</v>
      </c>
      <c r="F184" t="s">
        <v>23</v>
      </c>
      <c r="G184" t="s">
        <v>599</v>
      </c>
      <c r="H184" t="s">
        <v>265</v>
      </c>
      <c r="I184">
        <v>43.48</v>
      </c>
      <c r="J184" t="s">
        <v>1938</v>
      </c>
      <c r="K184" t="s">
        <v>1939</v>
      </c>
      <c r="L184" t="s">
        <v>1940</v>
      </c>
      <c r="M184" t="s">
        <v>1941</v>
      </c>
      <c r="N184" t="s">
        <v>1942</v>
      </c>
      <c r="O184" t="s">
        <v>756</v>
      </c>
      <c r="P184" t="s">
        <v>1943</v>
      </c>
      <c r="Q184" t="s">
        <v>1944</v>
      </c>
      <c r="R184" t="s">
        <v>1945</v>
      </c>
      <c r="V184" t="s">
        <v>1946</v>
      </c>
      <c r="W184" t="s">
        <v>1947</v>
      </c>
    </row>
    <row r="185" ht="25.5" customHeight="1" spans="1:23">
      <c r="A185">
        <v>1639009235</v>
      </c>
      <c r="B185">
        <v>7703191436</v>
      </c>
      <c r="C185" s="2" t="str">
        <f>HYPERLINK("https://weidian.com/item.html?itemID=7703191436","https://weidian.com/item.html?itemID=7703191436")</f>
        <v>https://weidian.com/item.html?itemID=7703191436</v>
      </c>
      <c r="E185" s="2" t="str">
        <f>HYPERLINK("https://si.geilicdn.com/pcitem902002701844-22aa0000019cb7073aa40a23111a_1074_1074.jpg?w=640&amp;h=640","https://si.geilicdn.com/pcitem902002701844-22aa0000019cb7073aa40a23111a_1074_1074.jpg?w=640&amp;h=640")</f>
        <v>https://si.geilicdn.com/pcitem902002701844-22aa0000019cb7073aa40a23111a_1074_1074.jpg?w=640&amp;h=640</v>
      </c>
      <c r="F185" t="s">
        <v>23</v>
      </c>
      <c r="G185" t="s">
        <v>599</v>
      </c>
      <c r="H185" t="s">
        <v>265</v>
      </c>
      <c r="I185">
        <v>43.48</v>
      </c>
      <c r="J185" t="s">
        <v>1948</v>
      </c>
      <c r="K185" t="s">
        <v>1949</v>
      </c>
      <c r="L185" t="s">
        <v>1950</v>
      </c>
      <c r="M185" t="s">
        <v>1951</v>
      </c>
      <c r="N185" t="s">
        <v>1952</v>
      </c>
      <c r="O185" t="s">
        <v>767</v>
      </c>
      <c r="P185" t="s">
        <v>1953</v>
      </c>
      <c r="Q185" t="s">
        <v>1954</v>
      </c>
      <c r="R185" t="s">
        <v>1955</v>
      </c>
      <c r="V185" t="s">
        <v>1956</v>
      </c>
      <c r="W185" t="s">
        <v>1957</v>
      </c>
    </row>
    <row r="186" ht="25.5" customHeight="1" spans="1:23">
      <c r="A186">
        <v>1639009235</v>
      </c>
      <c r="B186">
        <v>7703286030</v>
      </c>
      <c r="C186" s="2" t="str">
        <f>HYPERLINK("https://weidian.com/item.html?itemID=7703286030","https://weidian.com/item.html?itemID=7703286030")</f>
        <v>https://weidian.com/item.html?itemID=7703286030</v>
      </c>
      <c r="E186" s="2" t="str">
        <f>HYPERLINK("https://si.geilicdn.com/pcitem902002701844-1fa80000019cb705ac010a207569_1074_1074.jpg?w=640&amp;h=640","https://si.geilicdn.com/pcitem902002701844-1fa80000019cb705ac010a207569_1074_1074.jpg?w=640&amp;h=640")</f>
        <v>https://si.geilicdn.com/pcitem902002701844-1fa80000019cb705ac010a207569_1074_1074.jpg?w=640&amp;h=640</v>
      </c>
      <c r="F186" t="s">
        <v>23</v>
      </c>
      <c r="G186" t="s">
        <v>599</v>
      </c>
      <c r="H186" t="s">
        <v>265</v>
      </c>
      <c r="I186">
        <v>43.48</v>
      </c>
      <c r="J186" t="s">
        <v>1958</v>
      </c>
      <c r="K186" t="s">
        <v>1959</v>
      </c>
      <c r="L186" t="s">
        <v>1960</v>
      </c>
      <c r="M186" t="s">
        <v>1961</v>
      </c>
      <c r="N186" t="s">
        <v>1962</v>
      </c>
      <c r="O186" t="s">
        <v>605</v>
      </c>
      <c r="P186" t="s">
        <v>1963</v>
      </c>
      <c r="Q186" t="s">
        <v>1964</v>
      </c>
      <c r="R186" t="s">
        <v>1965</v>
      </c>
      <c r="V186" t="s">
        <v>1966</v>
      </c>
      <c r="W186" t="s">
        <v>1967</v>
      </c>
    </row>
    <row r="187" ht="25.5" customHeight="1" spans="1:23">
      <c r="A187">
        <v>1639009235</v>
      </c>
      <c r="B187">
        <v>7703272250</v>
      </c>
      <c r="C187" s="2" t="str">
        <f>HYPERLINK("https://weidian.com/item.html?itemID=7703272250","https://weidian.com/item.html?itemID=7703272250")</f>
        <v>https://weidian.com/item.html?itemID=7703272250</v>
      </c>
      <c r="E187" s="2" t="str">
        <f>HYPERLINK("https://si.geilicdn.com/pcitem902002701844-7d2e0000019cb704af1e0a20e672_1074_1074.jpg?w=640&amp;h=640","https://si.geilicdn.com/pcitem902002701844-7d2e0000019cb704af1e0a20e672_1074_1074.jpg?w=640&amp;h=640")</f>
        <v>https://si.geilicdn.com/pcitem902002701844-7d2e0000019cb704af1e0a20e672_1074_1074.jpg?w=640&amp;h=640</v>
      </c>
      <c r="F187" t="s">
        <v>23</v>
      </c>
      <c r="G187" t="s">
        <v>599</v>
      </c>
      <c r="H187" t="s">
        <v>265</v>
      </c>
      <c r="I187">
        <v>43.48</v>
      </c>
      <c r="J187" t="s">
        <v>1968</v>
      </c>
      <c r="K187" t="s">
        <v>1969</v>
      </c>
      <c r="L187" t="s">
        <v>1970</v>
      </c>
      <c r="M187" t="s">
        <v>1971</v>
      </c>
      <c r="N187" t="s">
        <v>1972</v>
      </c>
      <c r="O187" t="s">
        <v>1973</v>
      </c>
      <c r="P187" t="s">
        <v>1974</v>
      </c>
      <c r="Q187" t="s">
        <v>1975</v>
      </c>
      <c r="R187" t="s">
        <v>1976</v>
      </c>
      <c r="V187" t="s">
        <v>1977</v>
      </c>
      <c r="W187" t="s">
        <v>1978</v>
      </c>
    </row>
    <row r="188" ht="25.5" customHeight="1" spans="1:23">
      <c r="A188">
        <v>1639009235</v>
      </c>
      <c r="B188">
        <v>7703155260</v>
      </c>
      <c r="C188" s="2" t="str">
        <f>HYPERLINK("https://weidian.com/item.html?itemID=7703155260","https://weidian.com/item.html?itemID=7703155260")</f>
        <v>https://weidian.com/item.html?itemID=7703155260</v>
      </c>
      <c r="E188" s="2" t="str">
        <f>HYPERLINK("https://si.geilicdn.com/pcitem902002701844-03070000019cb703a3ab0a231177_1074_1074.jpg?w=640&amp;h=640","https://si.geilicdn.com/pcitem902002701844-03070000019cb703a3ab0a231177_1074_1074.jpg?w=640&amp;h=640")</f>
        <v>https://si.geilicdn.com/pcitem902002701844-03070000019cb703a3ab0a231177_1074_1074.jpg?w=640&amp;h=640</v>
      </c>
      <c r="F188" t="s">
        <v>23</v>
      </c>
      <c r="G188" t="s">
        <v>599</v>
      </c>
      <c r="H188" t="s">
        <v>265</v>
      </c>
      <c r="I188">
        <v>43.48</v>
      </c>
      <c r="J188" t="s">
        <v>1979</v>
      </c>
      <c r="K188" t="s">
        <v>1980</v>
      </c>
      <c r="L188" t="s">
        <v>1981</v>
      </c>
      <c r="M188" t="s">
        <v>1982</v>
      </c>
      <c r="N188" t="s">
        <v>1983</v>
      </c>
      <c r="O188" t="s">
        <v>756</v>
      </c>
      <c r="P188" t="s">
        <v>1984</v>
      </c>
      <c r="Q188" t="s">
        <v>1985</v>
      </c>
      <c r="R188" t="s">
        <v>1986</v>
      </c>
      <c r="V188" t="s">
        <v>1987</v>
      </c>
      <c r="W188" t="s">
        <v>1988</v>
      </c>
    </row>
    <row r="189" ht="25.5" customHeight="1" spans="1:23">
      <c r="A189">
        <v>1639009235</v>
      </c>
      <c r="B189">
        <v>7700297849</v>
      </c>
      <c r="C189" s="2" t="str">
        <f>HYPERLINK("https://weidian.com/item.html?itemID=7700297849","https://weidian.com/item.html?itemID=7700297849")</f>
        <v>https://weidian.com/item.html?itemID=7700297849</v>
      </c>
      <c r="E189" s="2" t="str">
        <f>HYPERLINK("https://si.geilicdn.com/pcitem902002701844-7dbd0000019cb702b1060a239846_1074_1074.jpg?w=640&amp;h=640","https://si.geilicdn.com/pcitem902002701844-7dbd0000019cb702b1060a239846_1074_1074.jpg?w=640&amp;h=640")</f>
        <v>https://si.geilicdn.com/pcitem902002701844-7dbd0000019cb702b1060a239846_1074_1074.jpg?w=640&amp;h=640</v>
      </c>
      <c r="F189" t="s">
        <v>23</v>
      </c>
      <c r="G189" t="s">
        <v>599</v>
      </c>
      <c r="H189" t="s">
        <v>265</v>
      </c>
      <c r="I189">
        <v>43.48</v>
      </c>
      <c r="J189" t="s">
        <v>1989</v>
      </c>
      <c r="K189" t="s">
        <v>1990</v>
      </c>
      <c r="L189" t="s">
        <v>1991</v>
      </c>
      <c r="M189" t="s">
        <v>1992</v>
      </c>
      <c r="N189" t="s">
        <v>1993</v>
      </c>
      <c r="O189" t="s">
        <v>973</v>
      </c>
      <c r="P189" t="s">
        <v>1994</v>
      </c>
      <c r="Q189" t="s">
        <v>1995</v>
      </c>
      <c r="R189" t="s">
        <v>1996</v>
      </c>
      <c r="V189" t="s">
        <v>1997</v>
      </c>
      <c r="W189" t="s">
        <v>1998</v>
      </c>
    </row>
    <row r="190" ht="25.5" customHeight="1" spans="1:23">
      <c r="A190">
        <v>1639009235</v>
      </c>
      <c r="B190">
        <v>7700260601</v>
      </c>
      <c r="C190" s="2" t="str">
        <f>HYPERLINK("https://weidian.com/item.html?itemID=7700260601","https://weidian.com/item.html?itemID=7700260601")</f>
        <v>https://weidian.com/item.html?itemID=7700260601</v>
      </c>
      <c r="E190" s="2" t="str">
        <f>HYPERLINK("https://si.geilicdn.com/pcitem902002701844-697d0000019cb701a90b0a20e2c5_1074_1074.jpg?w=640&amp;h=640","https://si.geilicdn.com/pcitem902002701844-697d0000019cb701a90b0a20e2c5_1074_1074.jpg?w=640&amp;h=640")</f>
        <v>https://si.geilicdn.com/pcitem902002701844-697d0000019cb701a90b0a20e2c5_1074_1074.jpg?w=640&amp;h=640</v>
      </c>
      <c r="F190" t="s">
        <v>23</v>
      </c>
      <c r="G190" t="s">
        <v>599</v>
      </c>
      <c r="H190" t="s">
        <v>265</v>
      </c>
      <c r="I190">
        <v>43.48</v>
      </c>
      <c r="J190" t="s">
        <v>1999</v>
      </c>
      <c r="K190" t="s">
        <v>2000</v>
      </c>
      <c r="L190" t="s">
        <v>2001</v>
      </c>
      <c r="M190" t="s">
        <v>2002</v>
      </c>
      <c r="N190" t="s">
        <v>2003</v>
      </c>
      <c r="O190" t="s">
        <v>714</v>
      </c>
      <c r="P190" t="s">
        <v>2004</v>
      </c>
      <c r="Q190" t="s">
        <v>2005</v>
      </c>
      <c r="R190" t="s">
        <v>2006</v>
      </c>
      <c r="V190" t="s">
        <v>2007</v>
      </c>
      <c r="W190" t="s">
        <v>2008</v>
      </c>
    </row>
    <row r="191" ht="25.5" customHeight="1" spans="1:23">
      <c r="A191">
        <v>1639009235</v>
      </c>
      <c r="B191">
        <v>7723477360</v>
      </c>
      <c r="C191" s="2" t="str">
        <f>HYPERLINK("https://weidian.com/item.html?itemID=7723477360","https://weidian.com/item.html?itemID=7723477360")</f>
        <v>https://weidian.com/item.html?itemID=7723477360</v>
      </c>
      <c r="E191" s="2" t="str">
        <f>HYPERLINK("https://si.geilicdn.com/pcitem902002701844-53b60000019d38c2ad6d0a2396f4_1160_1450.jpg?w=640&amp;h=640","https://si.geilicdn.com/pcitem902002701844-53b60000019d38c2ad6d0a2396f4_1160_1450.jpg?w=640&amp;h=640")</f>
        <v>https://si.geilicdn.com/pcitem902002701844-53b60000019d38c2ad6d0a2396f4_1160_1450.jpg?w=640&amp;h=640</v>
      </c>
      <c r="F191" t="s">
        <v>23</v>
      </c>
      <c r="G191" t="s">
        <v>2009</v>
      </c>
      <c r="H191" t="s">
        <v>265</v>
      </c>
      <c r="I191">
        <v>43.48</v>
      </c>
      <c r="J191" t="s">
        <v>2010</v>
      </c>
      <c r="K191" t="s">
        <v>2011</v>
      </c>
      <c r="L191" t="s">
        <v>2012</v>
      </c>
      <c r="M191" t="s">
        <v>2013</v>
      </c>
      <c r="N191" t="s">
        <v>2014</v>
      </c>
      <c r="O191" t="s">
        <v>2015</v>
      </c>
      <c r="P191" t="s">
        <v>2016</v>
      </c>
      <c r="Q191" t="s">
        <v>2017</v>
      </c>
      <c r="R191" t="s">
        <v>2018</v>
      </c>
      <c r="V191" t="s">
        <v>2019</v>
      </c>
      <c r="W191" t="s">
        <v>2020</v>
      </c>
    </row>
    <row r="192" ht="25.5" customHeight="1" spans="1:23">
      <c r="A192">
        <v>1639009235</v>
      </c>
      <c r="B192">
        <v>7705661000</v>
      </c>
      <c r="C192" s="2" t="str">
        <f>HYPERLINK("https://weidian.com/item.html?itemID=7705661000","https://weidian.com/item.html?itemID=7705661000")</f>
        <v>https://weidian.com/item.html?itemID=7705661000</v>
      </c>
      <c r="E192" s="2" t="str">
        <f>HYPERLINK("https://si.geilicdn.com/pcitem902002701844-283b0000019cc7b19eda0a20e7c7_1074_1074.jpg?w=640&amp;h=640","https://si.geilicdn.com/pcitem902002701844-283b0000019cc7b19eda0a20e7c7_1074_1074.jpg?w=640&amp;h=640")</f>
        <v>https://si.geilicdn.com/pcitem902002701844-283b0000019cc7b19eda0a20e7c7_1074_1074.jpg?w=640&amp;h=640</v>
      </c>
      <c r="F192" t="s">
        <v>23</v>
      </c>
      <c r="G192" t="s">
        <v>2021</v>
      </c>
      <c r="H192" t="s">
        <v>2022</v>
      </c>
      <c r="I192">
        <v>18.84</v>
      </c>
      <c r="J192" t="s">
        <v>2023</v>
      </c>
      <c r="K192" t="s">
        <v>2024</v>
      </c>
      <c r="L192" t="s">
        <v>2025</v>
      </c>
      <c r="M192" t="s">
        <v>2026</v>
      </c>
      <c r="N192" t="s">
        <v>2027</v>
      </c>
      <c r="O192" t="s">
        <v>2028</v>
      </c>
      <c r="P192" t="s">
        <v>2029</v>
      </c>
      <c r="Q192" t="s">
        <v>2030</v>
      </c>
      <c r="R192" t="s">
        <v>2031</v>
      </c>
      <c r="V192" t="s">
        <v>2032</v>
      </c>
      <c r="W192" t="s">
        <v>2033</v>
      </c>
    </row>
    <row r="193" ht="25.5" customHeight="1" spans="1:23">
      <c r="A193">
        <v>1639009235</v>
      </c>
      <c r="B193">
        <v>7702144477</v>
      </c>
      <c r="C193" s="2" t="str">
        <f>HYPERLINK("https://weidian.com/item.html?itemID=7702144477","https://weidian.com/item.html?itemID=7702144477")</f>
        <v>https://weidian.com/item.html?itemID=7702144477</v>
      </c>
      <c r="E193" s="2" t="str">
        <f>HYPERLINK("https://si.geilicdn.com/pcitem902002701844-617d0000019cc2d309fe0a23041a_1074_1074.jpg?w=640&amp;h=640","https://si.geilicdn.com/pcitem902002701844-617d0000019cc2d309fe0a23041a_1074_1074.jpg?w=640&amp;h=640")</f>
        <v>https://si.geilicdn.com/pcitem902002701844-617d0000019cc2d309fe0a23041a_1074_1074.jpg?w=640&amp;h=640</v>
      </c>
      <c r="F193" t="s">
        <v>23</v>
      </c>
      <c r="G193" t="s">
        <v>2021</v>
      </c>
      <c r="H193" t="s">
        <v>834</v>
      </c>
      <c r="I193">
        <v>34.78</v>
      </c>
      <c r="J193" t="s">
        <v>2034</v>
      </c>
      <c r="K193" t="s">
        <v>2035</v>
      </c>
      <c r="L193" t="s">
        <v>2036</v>
      </c>
      <c r="M193" t="s">
        <v>2037</v>
      </c>
      <c r="N193" t="s">
        <v>2038</v>
      </c>
      <c r="O193" t="s">
        <v>2028</v>
      </c>
      <c r="P193" t="s">
        <v>2039</v>
      </c>
      <c r="Q193" t="s">
        <v>2040</v>
      </c>
      <c r="R193" t="s">
        <v>2041</v>
      </c>
      <c r="V193" t="s">
        <v>2042</v>
      </c>
      <c r="W193" t="s">
        <v>2043</v>
      </c>
    </row>
    <row r="194" ht="25.5" customHeight="1" spans="1:23">
      <c r="A194">
        <v>1639009235</v>
      </c>
      <c r="B194">
        <v>7705660994</v>
      </c>
      <c r="C194" s="2" t="str">
        <f>HYPERLINK("https://weidian.com/item.html?itemID=7705660994","https://weidian.com/item.html?itemID=7705660994")</f>
        <v>https://weidian.com/item.html?itemID=7705660994</v>
      </c>
      <c r="E194" s="2" t="str">
        <f>HYPERLINK("https://si.geilicdn.com/pcitem902002701844-3c570000019cc7af24fc0a23037f_1074_1074.jpg?w=640&amp;h=640","https://si.geilicdn.com/pcitem902002701844-3c570000019cc7af24fc0a23037f_1074_1074.jpg?w=640&amp;h=640")</f>
        <v>https://si.geilicdn.com/pcitem902002701844-3c570000019cc7af24fc0a23037f_1074_1074.jpg?w=640&amp;h=640</v>
      </c>
      <c r="F194" t="s">
        <v>23</v>
      </c>
      <c r="G194" t="s">
        <v>2021</v>
      </c>
      <c r="H194" t="s">
        <v>2022</v>
      </c>
      <c r="I194">
        <v>18.84</v>
      </c>
      <c r="J194" t="s">
        <v>2044</v>
      </c>
      <c r="K194" t="s">
        <v>2045</v>
      </c>
      <c r="L194" t="s">
        <v>2046</v>
      </c>
      <c r="M194" t="s">
        <v>2047</v>
      </c>
      <c r="N194" t="s">
        <v>2048</v>
      </c>
      <c r="O194" t="s">
        <v>2028</v>
      </c>
      <c r="P194" t="s">
        <v>2049</v>
      </c>
      <c r="Q194" t="s">
        <v>2050</v>
      </c>
      <c r="R194" t="s">
        <v>2051</v>
      </c>
      <c r="V194" t="s">
        <v>2052</v>
      </c>
      <c r="W194" t="s">
        <v>2053</v>
      </c>
    </row>
    <row r="195" ht="25.5" customHeight="1" spans="1:23">
      <c r="A195">
        <v>1639009235</v>
      </c>
      <c r="B195">
        <v>7702714731</v>
      </c>
      <c r="C195" s="2" t="str">
        <f>HYPERLINK("https://weidian.com/item.html?itemID=7702714731","https://weidian.com/item.html?itemID=7702714731")</f>
        <v>https://weidian.com/item.html?itemID=7702714731</v>
      </c>
      <c r="E195" s="2" t="str">
        <f>HYPERLINK("https://si.geilicdn.com/pcitem902002701844-3bd80000019cc7c330980a2102c5_1080_1080.jpg?w=640&amp;h=640","https://si.geilicdn.com/pcitem902002701844-3bd80000019cc7c330980a2102c5_1080_1080.jpg?w=640&amp;h=640")</f>
        <v>https://si.geilicdn.com/pcitem902002701844-3bd80000019cc7c330980a2102c5_1080_1080.jpg?w=640&amp;h=640</v>
      </c>
      <c r="F195" t="s">
        <v>23</v>
      </c>
      <c r="G195" t="s">
        <v>2021</v>
      </c>
      <c r="H195" t="s">
        <v>2054</v>
      </c>
      <c r="I195">
        <v>17.39</v>
      </c>
      <c r="J195" t="s">
        <v>2055</v>
      </c>
      <c r="K195" t="s">
        <v>2056</v>
      </c>
      <c r="L195" t="s">
        <v>2057</v>
      </c>
      <c r="M195" t="s">
        <v>2058</v>
      </c>
      <c r="N195" t="s">
        <v>2059</v>
      </c>
      <c r="O195" t="s">
        <v>2028</v>
      </c>
      <c r="P195" t="s">
        <v>2060</v>
      </c>
      <c r="Q195" t="s">
        <v>2061</v>
      </c>
      <c r="R195" t="s">
        <v>2062</v>
      </c>
      <c r="V195" t="s">
        <v>2063</v>
      </c>
      <c r="W195" t="s">
        <v>2064</v>
      </c>
    </row>
    <row r="196" ht="25.5" customHeight="1" spans="1:23">
      <c r="A196">
        <v>1639009235</v>
      </c>
      <c r="B196">
        <v>7705672762</v>
      </c>
      <c r="C196" s="2" t="str">
        <f>HYPERLINK("https://weidian.com/item.html?itemID=7705672762","https://weidian.com/item.html?itemID=7705672762")</f>
        <v>https://weidian.com/item.html?itemID=7705672762</v>
      </c>
      <c r="E196" s="2" t="str">
        <f>HYPERLINK("https://si.geilicdn.com/pcitem902002701844-28480000019cc7aae0580a20e273_1074_1074.jpg?w=640&amp;h=640","https://si.geilicdn.com/pcitem902002701844-28480000019cc7aae0580a20e273_1074_1074.jpg?w=640&amp;h=640")</f>
        <v>https://si.geilicdn.com/pcitem902002701844-28480000019cc7aae0580a20e273_1074_1074.jpg?w=640&amp;h=640</v>
      </c>
      <c r="F196" t="s">
        <v>23</v>
      </c>
      <c r="G196" t="s">
        <v>2021</v>
      </c>
      <c r="H196" t="s">
        <v>2022</v>
      </c>
      <c r="I196">
        <v>18.84</v>
      </c>
      <c r="J196" t="s">
        <v>2065</v>
      </c>
      <c r="K196" t="s">
        <v>2066</v>
      </c>
      <c r="L196" t="s">
        <v>2067</v>
      </c>
      <c r="M196" t="s">
        <v>2068</v>
      </c>
      <c r="N196" t="s">
        <v>2069</v>
      </c>
      <c r="O196" t="s">
        <v>2028</v>
      </c>
      <c r="P196" t="s">
        <v>2070</v>
      </c>
      <c r="Q196" t="s">
        <v>2071</v>
      </c>
      <c r="R196" t="s">
        <v>2072</v>
      </c>
      <c r="V196" t="s">
        <v>2073</v>
      </c>
      <c r="W196" t="s">
        <v>2074</v>
      </c>
    </row>
    <row r="197" ht="25.5" customHeight="1" spans="1:23">
      <c r="A197">
        <v>1639009235</v>
      </c>
      <c r="B197">
        <v>7702690651</v>
      </c>
      <c r="C197" s="2" t="str">
        <f>HYPERLINK("https://weidian.com/item.html?itemID=7702690651","https://weidian.com/item.html?itemID=7702690651")</f>
        <v>https://weidian.com/item.html?itemID=7702690651</v>
      </c>
      <c r="E197" s="2" t="str">
        <f>HYPERLINK("https://si.geilicdn.com/pcitem902002701844-2e7c0000019cc798e7bc0a23037f_1074_1074.jpg?w=640&amp;h=640","https://si.geilicdn.com/pcitem902002701844-2e7c0000019cc798e7bc0a23037f_1074_1074.jpg?w=640&amp;h=640")</f>
        <v>https://si.geilicdn.com/pcitem902002701844-2e7c0000019cc798e7bc0a23037f_1074_1074.jpg?w=640&amp;h=640</v>
      </c>
      <c r="F197" t="s">
        <v>23</v>
      </c>
      <c r="G197" t="s">
        <v>2021</v>
      </c>
      <c r="H197" t="s">
        <v>2022</v>
      </c>
      <c r="I197">
        <v>18.84</v>
      </c>
      <c r="J197" t="s">
        <v>2075</v>
      </c>
      <c r="K197" t="s">
        <v>2076</v>
      </c>
      <c r="L197" t="s">
        <v>2077</v>
      </c>
      <c r="M197" t="s">
        <v>2078</v>
      </c>
      <c r="N197" t="s">
        <v>2079</v>
      </c>
      <c r="O197" t="s">
        <v>2028</v>
      </c>
      <c r="P197" t="s">
        <v>2080</v>
      </c>
      <c r="Q197" t="s">
        <v>2081</v>
      </c>
      <c r="R197" t="s">
        <v>2082</v>
      </c>
      <c r="V197" t="s">
        <v>2083</v>
      </c>
      <c r="W197" t="s">
        <v>2084</v>
      </c>
    </row>
    <row r="198" ht="25.5" customHeight="1" spans="1:23">
      <c r="A198">
        <v>1639009235</v>
      </c>
      <c r="B198">
        <v>7702593381</v>
      </c>
      <c r="C198" s="2" t="str">
        <f>HYPERLINK("https://weidian.com/item.html?itemID=7702593381","https://weidian.com/item.html?itemID=7702593381")</f>
        <v>https://weidian.com/item.html?itemID=7702593381</v>
      </c>
      <c r="E198" s="2" t="str">
        <f>HYPERLINK("https://si.geilicdn.com/pcitem902002701844-1bf10000019cc7971c580a20e273_1074_1074.jpg?w=640&amp;h=640","https://si.geilicdn.com/pcitem902002701844-1bf10000019cc7971c580a20e273_1074_1074.jpg?w=640&amp;h=640")</f>
        <v>https://si.geilicdn.com/pcitem902002701844-1bf10000019cc7971c580a20e273_1074_1074.jpg?w=640&amp;h=640</v>
      </c>
      <c r="F198" t="s">
        <v>23</v>
      </c>
      <c r="G198" t="s">
        <v>2021</v>
      </c>
      <c r="H198" t="s">
        <v>2022</v>
      </c>
      <c r="I198">
        <v>18.84</v>
      </c>
      <c r="J198" t="s">
        <v>2085</v>
      </c>
      <c r="K198" t="s">
        <v>2086</v>
      </c>
      <c r="L198" t="s">
        <v>2087</v>
      </c>
      <c r="M198" t="s">
        <v>2088</v>
      </c>
      <c r="N198" t="s">
        <v>2089</v>
      </c>
      <c r="O198" t="s">
        <v>2028</v>
      </c>
      <c r="P198" t="s">
        <v>2090</v>
      </c>
      <c r="Q198" t="s">
        <v>2091</v>
      </c>
      <c r="R198" t="s">
        <v>2092</v>
      </c>
      <c r="V198" t="s">
        <v>2093</v>
      </c>
      <c r="W198" t="s">
        <v>2094</v>
      </c>
    </row>
    <row r="199" ht="25.5" customHeight="1" spans="1:23">
      <c r="A199">
        <v>1639009235</v>
      </c>
      <c r="B199">
        <v>7702718477</v>
      </c>
      <c r="C199" s="2" t="str">
        <f>HYPERLINK("https://weidian.com/item.html?itemID=7702718477","https://weidian.com/item.html?itemID=7702718477")</f>
        <v>https://weidian.com/item.html?itemID=7702718477</v>
      </c>
      <c r="E199" s="2" t="str">
        <f>HYPERLINK("https://si.geilicdn.com/pcitem902002701844-5f770000019cc7b525720a2103bd_2160_1440.jpg?w=640&amp;h=640","https://si.geilicdn.com/pcitem902002701844-5f770000019cc7b525720a2103bd_2160_1440.jpg?w=640&amp;h=640")</f>
        <v>https://si.geilicdn.com/pcitem902002701844-5f770000019cc7b525720a2103bd_2160_1440.jpg?w=640&amp;h=640</v>
      </c>
      <c r="F199" t="s">
        <v>23</v>
      </c>
      <c r="G199" t="s">
        <v>2021</v>
      </c>
      <c r="H199" t="s">
        <v>1165</v>
      </c>
      <c r="I199">
        <v>31.88</v>
      </c>
      <c r="J199" t="s">
        <v>2095</v>
      </c>
      <c r="K199" t="s">
        <v>2096</v>
      </c>
      <c r="L199" t="s">
        <v>2097</v>
      </c>
      <c r="M199" t="s">
        <v>2098</v>
      </c>
      <c r="N199" t="s">
        <v>2099</v>
      </c>
      <c r="O199" t="s">
        <v>2028</v>
      </c>
      <c r="P199" t="s">
        <v>2100</v>
      </c>
      <c r="Q199" t="s">
        <v>2101</v>
      </c>
      <c r="R199" t="s">
        <v>2102</v>
      </c>
      <c r="V199" t="s">
        <v>2103</v>
      </c>
      <c r="W199" t="s">
        <v>2104</v>
      </c>
    </row>
    <row r="200" ht="25.5" customHeight="1" spans="1:23">
      <c r="A200">
        <v>1639009235</v>
      </c>
      <c r="B200">
        <v>7702714221</v>
      </c>
      <c r="C200" s="2" t="str">
        <f>HYPERLINK("https://weidian.com/item.html?itemID=7702714221","https://weidian.com/item.html?itemID=7702714221")</f>
        <v>https://weidian.com/item.html?itemID=7702714221</v>
      </c>
      <c r="E200" s="2" t="str">
        <f>HYPERLINK("https://si.geilicdn.com/pcitem902002701844-364c0000019cc7ba7f830a2102c5_1440_1440.jpg?w=640&amp;h=640","https://si.geilicdn.com/pcitem902002701844-364c0000019cc7ba7f830a2102c5_1440_1440.jpg?w=640&amp;h=640")</f>
        <v>https://si.geilicdn.com/pcitem902002701844-364c0000019cc7ba7f830a2102c5_1440_1440.jpg?w=640&amp;h=640</v>
      </c>
      <c r="F200" t="s">
        <v>23</v>
      </c>
      <c r="G200" t="s">
        <v>2021</v>
      </c>
      <c r="H200" t="s">
        <v>2105</v>
      </c>
      <c r="I200">
        <v>28.99</v>
      </c>
      <c r="J200" t="s">
        <v>2106</v>
      </c>
      <c r="K200" t="s">
        <v>2107</v>
      </c>
      <c r="L200" t="s">
        <v>2108</v>
      </c>
      <c r="M200" t="s">
        <v>2109</v>
      </c>
      <c r="N200" t="s">
        <v>2110</v>
      </c>
      <c r="O200" t="s">
        <v>2028</v>
      </c>
      <c r="P200" t="s">
        <v>2111</v>
      </c>
      <c r="Q200" t="s">
        <v>2112</v>
      </c>
      <c r="R200" t="s">
        <v>2113</v>
      </c>
      <c r="V200" t="s">
        <v>2114</v>
      </c>
      <c r="W200" t="s">
        <v>2115</v>
      </c>
    </row>
    <row r="201" ht="25.5" customHeight="1" spans="1:23">
      <c r="A201">
        <v>1639009235</v>
      </c>
      <c r="B201">
        <v>7702662175</v>
      </c>
      <c r="C201" s="2" t="str">
        <f>HYPERLINK("https://weidian.com/item.html?itemID=7702662175","https://weidian.com/item.html?itemID=7702662175")</f>
        <v>https://weidian.com/item.html?itemID=7702662175</v>
      </c>
      <c r="E201" s="2" t="str">
        <f>HYPERLINK("https://si.geilicdn.com/pcitem902002701844-5b0d0000019cc7ae2db70a2103bd_1074_1074.jpg?w=640&amp;h=640","https://si.geilicdn.com/pcitem902002701844-5b0d0000019cc7ae2db70a2103bd_1074_1074.jpg?w=640&amp;h=640")</f>
        <v>https://si.geilicdn.com/pcitem902002701844-5b0d0000019cc7ae2db70a2103bd_1074_1074.jpg?w=640&amp;h=640</v>
      </c>
      <c r="F201" t="s">
        <v>23</v>
      </c>
      <c r="G201" t="s">
        <v>2021</v>
      </c>
      <c r="H201" t="s">
        <v>2022</v>
      </c>
      <c r="I201">
        <v>18.84</v>
      </c>
      <c r="J201" t="s">
        <v>2116</v>
      </c>
      <c r="K201" t="s">
        <v>2117</v>
      </c>
      <c r="L201" t="s">
        <v>2118</v>
      </c>
      <c r="M201" t="s">
        <v>2119</v>
      </c>
      <c r="N201" t="s">
        <v>2120</v>
      </c>
      <c r="O201" t="s">
        <v>2028</v>
      </c>
      <c r="P201" t="s">
        <v>2121</v>
      </c>
      <c r="Q201" t="s">
        <v>2122</v>
      </c>
      <c r="R201" t="s">
        <v>2123</v>
      </c>
      <c r="V201" t="s">
        <v>2124</v>
      </c>
      <c r="W201" t="s">
        <v>2125</v>
      </c>
    </row>
    <row r="202" ht="25.5" customHeight="1" spans="1:23">
      <c r="A202">
        <v>1639009235</v>
      </c>
      <c r="B202">
        <v>7706979417</v>
      </c>
      <c r="C202" s="2" t="str">
        <f>HYPERLINK("https://weidian.com/item.html?itemID=7706979417","https://weidian.com/item.html?itemID=7706979417")</f>
        <v>https://weidian.com/item.html?itemID=7706979417</v>
      </c>
      <c r="E202" s="2" t="str">
        <f>HYPERLINK("https://si.geilicdn.com/pcitem902002701844-1a9f0000019cea62d4430a20e2c5_1512_2016.jpg?w=640&amp;h=640","https://si.geilicdn.com/pcitem902002701844-1a9f0000019cea62d4430a20e2c5_1512_2016.jpg?w=640&amp;h=640")</f>
        <v>https://si.geilicdn.com/pcitem902002701844-1a9f0000019cea62d4430a20e2c5_1512_2016.jpg?w=640&amp;h=640</v>
      </c>
      <c r="F202" t="s">
        <v>23</v>
      </c>
      <c r="G202" t="s">
        <v>2126</v>
      </c>
      <c r="H202" t="s">
        <v>2127</v>
      </c>
      <c r="I202">
        <v>86.96</v>
      </c>
      <c r="J202" t="s">
        <v>2128</v>
      </c>
      <c r="K202" t="s">
        <v>2129</v>
      </c>
      <c r="L202" t="s">
        <v>2130</v>
      </c>
      <c r="M202" t="s">
        <v>2131</v>
      </c>
      <c r="N202" t="s">
        <v>2132</v>
      </c>
      <c r="O202" t="s">
        <v>2133</v>
      </c>
      <c r="P202" t="s">
        <v>2134</v>
      </c>
      <c r="Q202" t="s">
        <v>2135</v>
      </c>
      <c r="R202" t="s">
        <v>2136</v>
      </c>
      <c r="V202" t="s">
        <v>2137</v>
      </c>
      <c r="W202" t="s">
        <v>2138</v>
      </c>
    </row>
    <row r="203" ht="25.5" customHeight="1" spans="1:23">
      <c r="A203">
        <v>1639009235</v>
      </c>
      <c r="B203">
        <v>7702744521</v>
      </c>
      <c r="C203" s="2" t="str">
        <f>HYPERLINK("https://weidian.com/item.html?itemID=7702744521","https://weidian.com/item.html?itemID=7702744521")</f>
        <v>https://weidian.com/item.html?itemID=7702744521</v>
      </c>
      <c r="E203" s="2" t="str">
        <f>HYPERLINK("https://si.geilicdn.com/pcitem902002701844-43cc0000019cc7c51e650a2301b4_1080_1440.jpg?w=640&amp;h=640","https://si.geilicdn.com/pcitem902002701844-43cc0000019cc7c51e650a2301b4_1080_1440.jpg?w=640&amp;h=640")</f>
        <v>https://si.geilicdn.com/pcitem902002701844-43cc0000019cc7c51e650a2301b4_1080_1440.jpg?w=640&amp;h=640</v>
      </c>
      <c r="F203" t="s">
        <v>23</v>
      </c>
      <c r="G203" t="s">
        <v>2021</v>
      </c>
      <c r="H203" t="s">
        <v>1165</v>
      </c>
      <c r="I203">
        <v>31.88</v>
      </c>
      <c r="J203" t="s">
        <v>2139</v>
      </c>
      <c r="K203" t="s">
        <v>2140</v>
      </c>
      <c r="L203" t="s">
        <v>2141</v>
      </c>
      <c r="M203" t="s">
        <v>2142</v>
      </c>
      <c r="N203" t="s">
        <v>2143</v>
      </c>
      <c r="O203" t="s">
        <v>2028</v>
      </c>
      <c r="P203" t="s">
        <v>2144</v>
      </c>
      <c r="Q203" t="s">
        <v>2145</v>
      </c>
      <c r="R203" t="s">
        <v>2146</v>
      </c>
      <c r="V203" t="s">
        <v>2147</v>
      </c>
      <c r="W203" t="s">
        <v>2148</v>
      </c>
    </row>
    <row r="204" ht="25.5" customHeight="1" spans="1:23">
      <c r="A204">
        <v>1639009235</v>
      </c>
      <c r="B204">
        <v>7705191700</v>
      </c>
      <c r="C204" s="2" t="str">
        <f>HYPERLINK("https://weidian.com/item.html?itemID=7705191700","https://weidian.com/item.html?itemID=7705191700")</f>
        <v>https://weidian.com/item.html?itemID=7705191700</v>
      </c>
      <c r="E204" s="2" t="str">
        <f>HYPERLINK("https://si.geilicdn.com/pcitem902002701844-4d420000019cc2d741360a20e284_1074_1074.jpg?w=640&amp;h=640","https://si.geilicdn.com/pcitem902002701844-4d420000019cc2d741360a20e284_1074_1074.jpg?w=640&amp;h=640")</f>
        <v>https://si.geilicdn.com/pcitem902002701844-4d420000019cc2d741360a20e284_1074_1074.jpg?w=640&amp;h=640</v>
      </c>
      <c r="F204" t="s">
        <v>23</v>
      </c>
      <c r="G204" t="s">
        <v>2021</v>
      </c>
      <c r="H204" t="s">
        <v>2022</v>
      </c>
      <c r="I204">
        <v>18.84</v>
      </c>
      <c r="J204" t="s">
        <v>2149</v>
      </c>
      <c r="K204" t="s">
        <v>2150</v>
      </c>
      <c r="L204" t="s">
        <v>2151</v>
      </c>
      <c r="M204" t="s">
        <v>2152</v>
      </c>
      <c r="N204" t="s">
        <v>2153</v>
      </c>
      <c r="O204" t="s">
        <v>2028</v>
      </c>
      <c r="P204" t="s">
        <v>2154</v>
      </c>
      <c r="Q204" t="s">
        <v>2155</v>
      </c>
      <c r="R204" t="s">
        <v>2156</v>
      </c>
      <c r="V204" t="s">
        <v>2157</v>
      </c>
      <c r="W204" t="s">
        <v>2158</v>
      </c>
    </row>
    <row r="205" ht="25.5" customHeight="1" spans="1:23">
      <c r="A205">
        <v>1639009235</v>
      </c>
      <c r="B205">
        <v>7705185762</v>
      </c>
      <c r="C205" s="2" t="str">
        <f>HYPERLINK("https://weidian.com/item.html?itemID=7705185762","https://weidian.com/item.html?itemID=7705185762")</f>
        <v>https://weidian.com/item.html?itemID=7705185762</v>
      </c>
      <c r="E205" s="2" t="str">
        <f>HYPERLINK("https://si.geilicdn.com/pcitem902002701844-04650000019cc2d810720a21146b_1074_1074.jpg?w=640&amp;h=640","https://si.geilicdn.com/pcitem902002701844-04650000019cc2d810720a21146b_1074_1074.jpg?w=640&amp;h=640")</f>
        <v>https://si.geilicdn.com/pcitem902002701844-04650000019cc2d810720a21146b_1074_1074.jpg?w=640&amp;h=640</v>
      </c>
      <c r="F205" t="s">
        <v>23</v>
      </c>
      <c r="G205" t="s">
        <v>2021</v>
      </c>
      <c r="H205" t="s">
        <v>2022</v>
      </c>
      <c r="I205">
        <v>18.84</v>
      </c>
      <c r="J205" t="s">
        <v>2159</v>
      </c>
      <c r="K205" t="s">
        <v>2160</v>
      </c>
      <c r="L205" t="s">
        <v>2161</v>
      </c>
      <c r="M205" t="s">
        <v>2162</v>
      </c>
      <c r="N205" t="s">
        <v>2163</v>
      </c>
      <c r="O205" t="s">
        <v>2028</v>
      </c>
      <c r="P205" t="s">
        <v>2164</v>
      </c>
      <c r="Q205" t="s">
        <v>2165</v>
      </c>
      <c r="R205" t="s">
        <v>2166</v>
      </c>
      <c r="V205" t="s">
        <v>2167</v>
      </c>
      <c r="W205" t="s">
        <v>2168</v>
      </c>
    </row>
    <row r="206" ht="25.5" customHeight="1" spans="1:23">
      <c r="A206">
        <v>1639009235</v>
      </c>
      <c r="B206">
        <v>7705739758</v>
      </c>
      <c r="C206" s="2" t="str">
        <f>HYPERLINK("https://weidian.com/item.html?itemID=7705739758","https://weidian.com/item.html?itemID=7705739758")</f>
        <v>https://weidian.com/item.html?itemID=7705739758</v>
      </c>
      <c r="E206" s="2" t="str">
        <f>HYPERLINK("https://si.geilicdn.com/pcitem902002701844-3c530000019cc7b3e70b0a23047e_1074_1074.jpg?w=640&amp;h=640","https://si.geilicdn.com/pcitem902002701844-3c530000019cc7b3e70b0a23047e_1074_1074.jpg?w=640&amp;h=640")</f>
        <v>https://si.geilicdn.com/pcitem902002701844-3c530000019cc7b3e70b0a23047e_1074_1074.jpg?w=640&amp;h=640</v>
      </c>
      <c r="F206" t="s">
        <v>23</v>
      </c>
      <c r="G206" t="s">
        <v>2021</v>
      </c>
      <c r="H206" t="s">
        <v>2022</v>
      </c>
      <c r="I206">
        <v>18.84</v>
      </c>
      <c r="J206" t="s">
        <v>2169</v>
      </c>
      <c r="K206" t="s">
        <v>2170</v>
      </c>
      <c r="L206" t="s">
        <v>2171</v>
      </c>
      <c r="M206" t="s">
        <v>2172</v>
      </c>
      <c r="N206" t="s">
        <v>2173</v>
      </c>
      <c r="O206" t="s">
        <v>2028</v>
      </c>
      <c r="P206" t="s">
        <v>2174</v>
      </c>
      <c r="Q206" t="s">
        <v>2175</v>
      </c>
      <c r="R206" t="s">
        <v>2176</v>
      </c>
      <c r="V206" t="s">
        <v>2177</v>
      </c>
      <c r="W206" t="s">
        <v>2178</v>
      </c>
    </row>
    <row r="207" ht="25.5" customHeight="1" spans="1:23">
      <c r="A207">
        <v>1639009235</v>
      </c>
      <c r="B207">
        <v>7702605557</v>
      </c>
      <c r="C207" s="2" t="str">
        <f>HYPERLINK("https://weidian.com/item.html?itemID=7702605557","https://weidian.com/item.html?itemID=7702605557")</f>
        <v>https://weidian.com/item.html?itemID=7702605557</v>
      </c>
      <c r="E207" s="2" t="str">
        <f>HYPERLINK("https://si.geilicdn.com/pcitem902002701844-13df0000019cc7c11e130a231316_1080_1080.jpg?w=640&amp;h=640","https://si.geilicdn.com/pcitem902002701844-13df0000019cc7c11e130a231316_1080_1080.jpg?w=640&amp;h=640")</f>
        <v>https://si.geilicdn.com/pcitem902002701844-13df0000019cc7c11e130a231316_1080_1080.jpg?w=640&amp;h=640</v>
      </c>
      <c r="F207" t="s">
        <v>23</v>
      </c>
      <c r="G207" t="s">
        <v>2021</v>
      </c>
      <c r="H207" t="s">
        <v>1165</v>
      </c>
      <c r="I207">
        <v>31.88</v>
      </c>
      <c r="J207" t="s">
        <v>2179</v>
      </c>
      <c r="K207" t="s">
        <v>2180</v>
      </c>
      <c r="L207" t="s">
        <v>2181</v>
      </c>
      <c r="M207" t="s">
        <v>2182</v>
      </c>
      <c r="N207" t="s">
        <v>2183</v>
      </c>
      <c r="O207" t="s">
        <v>2028</v>
      </c>
      <c r="P207" t="s">
        <v>2184</v>
      </c>
      <c r="Q207" t="s">
        <v>2185</v>
      </c>
      <c r="R207" t="s">
        <v>2186</v>
      </c>
      <c r="V207" t="s">
        <v>2187</v>
      </c>
      <c r="W207" t="s">
        <v>2188</v>
      </c>
    </row>
    <row r="208" ht="25.5" customHeight="1" spans="1:23">
      <c r="A208">
        <v>1639009235</v>
      </c>
      <c r="B208">
        <v>7705661034</v>
      </c>
      <c r="C208" s="2" t="str">
        <f>HYPERLINK("https://weidian.com/item.html?itemID=7705661034","https://weidian.com/item.html?itemID=7705661034")</f>
        <v>https://weidian.com/item.html?itemID=7705661034</v>
      </c>
      <c r="E208" s="2" t="str">
        <f>HYPERLINK("https://si.geilicdn.com/pcitem902002701844-72950000019cc7bba9df0a21146b_1440_1440.jpg?w=640&amp;h=640","https://si.geilicdn.com/pcitem902002701844-72950000019cc7bba9df0a21146b_1440_1440.jpg?w=640&amp;h=640")</f>
        <v>https://si.geilicdn.com/pcitem902002701844-72950000019cc7bba9df0a21146b_1440_1440.jpg?w=640&amp;h=640</v>
      </c>
      <c r="F208" t="s">
        <v>23</v>
      </c>
      <c r="G208" t="s">
        <v>2021</v>
      </c>
      <c r="H208" t="s">
        <v>2189</v>
      </c>
      <c r="I208">
        <v>26.09</v>
      </c>
      <c r="J208" t="s">
        <v>2190</v>
      </c>
      <c r="K208" t="s">
        <v>2191</v>
      </c>
      <c r="L208" t="s">
        <v>2192</v>
      </c>
      <c r="M208" t="s">
        <v>2193</v>
      </c>
      <c r="N208" t="s">
        <v>2194</v>
      </c>
      <c r="O208" t="s">
        <v>2028</v>
      </c>
      <c r="P208" t="s">
        <v>2195</v>
      </c>
      <c r="Q208" t="s">
        <v>2196</v>
      </c>
      <c r="R208" t="s">
        <v>2197</v>
      </c>
      <c r="V208" t="s">
        <v>2198</v>
      </c>
      <c r="W208" t="s">
        <v>2199</v>
      </c>
    </row>
    <row r="209" ht="25.5" customHeight="1" spans="1:23">
      <c r="A209">
        <v>1639009235</v>
      </c>
      <c r="B209">
        <v>7705681126</v>
      </c>
      <c r="C209" s="2" t="str">
        <f>HYPERLINK("https://weidian.com/item.html?itemID=7705681126","https://weidian.com/item.html?itemID=7705681126")</f>
        <v>https://weidian.com/item.html?itemID=7705681126</v>
      </c>
      <c r="E209" s="2" t="str">
        <f>HYPERLINK("https://si.geilicdn.com/pcitem902002701844-49f80000019cc7c2777b0a8133cc_1600_2000.jpg?w=640&amp;h=640","https://si.geilicdn.com/pcitem902002701844-49f80000019cc7c2777b0a8133cc_1600_2000.jpg?w=640&amp;h=640")</f>
        <v>https://si.geilicdn.com/pcitem902002701844-49f80000019cc7c2777b0a8133cc_1600_2000.jpg?w=640&amp;h=640</v>
      </c>
      <c r="F209" t="s">
        <v>23</v>
      </c>
      <c r="G209" t="s">
        <v>2021</v>
      </c>
      <c r="H209" t="s">
        <v>2054</v>
      </c>
      <c r="I209">
        <v>17.39</v>
      </c>
      <c r="J209" t="s">
        <v>2200</v>
      </c>
      <c r="K209" t="s">
        <v>2201</v>
      </c>
      <c r="L209" t="s">
        <v>2202</v>
      </c>
      <c r="M209" t="s">
        <v>2203</v>
      </c>
      <c r="N209" t="s">
        <v>2204</v>
      </c>
      <c r="O209" t="s">
        <v>2028</v>
      </c>
      <c r="P209" t="s">
        <v>2205</v>
      </c>
      <c r="Q209" t="s">
        <v>2206</v>
      </c>
      <c r="R209" t="s">
        <v>2207</v>
      </c>
      <c r="V209" t="s">
        <v>2208</v>
      </c>
      <c r="W209" t="s">
        <v>2209</v>
      </c>
    </row>
    <row r="210" ht="25.5" customHeight="1" spans="1:23">
      <c r="A210">
        <v>1639009235</v>
      </c>
      <c r="B210">
        <v>7702105043</v>
      </c>
      <c r="C210" s="2" t="str">
        <f>HYPERLINK("https://weidian.com/item.html?itemID=7702105043","https://weidian.com/item.html?itemID=7702105043")</f>
        <v>https://weidian.com/item.html?itemID=7702105043</v>
      </c>
      <c r="E210" s="2" t="str">
        <f>HYPERLINK("https://si.geilicdn.com/pcitem902002701844-49bb0000019cc2d8f3750a2102c5_1074_1074.jpg?w=640&amp;h=640","https://si.geilicdn.com/pcitem902002701844-49bb0000019cc2d8f3750a2102c5_1074_1074.jpg?w=640&amp;h=640")</f>
        <v>https://si.geilicdn.com/pcitem902002701844-49bb0000019cc2d8f3750a2102c5_1074_1074.jpg?w=640&amp;h=640</v>
      </c>
      <c r="F210" t="s">
        <v>23</v>
      </c>
      <c r="G210" t="s">
        <v>2021</v>
      </c>
      <c r="H210" t="s">
        <v>2022</v>
      </c>
      <c r="I210">
        <v>18.84</v>
      </c>
      <c r="J210" t="s">
        <v>2210</v>
      </c>
      <c r="K210" t="s">
        <v>2211</v>
      </c>
      <c r="L210" t="s">
        <v>2212</v>
      </c>
      <c r="M210" t="s">
        <v>2213</v>
      </c>
      <c r="N210" t="s">
        <v>2214</v>
      </c>
      <c r="O210" t="s">
        <v>2028</v>
      </c>
      <c r="P210" t="s">
        <v>2215</v>
      </c>
      <c r="Q210" t="s">
        <v>2216</v>
      </c>
      <c r="R210" t="s">
        <v>2217</v>
      </c>
      <c r="V210" t="s">
        <v>2218</v>
      </c>
      <c r="W210" t="s">
        <v>2219</v>
      </c>
    </row>
    <row r="211" ht="25.5" customHeight="1" spans="1:23">
      <c r="A211">
        <v>1639009235</v>
      </c>
      <c r="B211">
        <v>7723500470</v>
      </c>
      <c r="C211" s="2" t="str">
        <f>HYPERLINK("https://weidian.com/item.html?itemID=7723500470","https://weidian.com/item.html?itemID=7723500470")</f>
        <v>https://weidian.com/item.html?itemID=7723500470</v>
      </c>
      <c r="E211" s="2" t="str">
        <f>HYPERLINK("https://si.geilicdn.com/pcitem902002701844-28ce0000019d38a4c02d0a207569_1456_1941.jpg?w=640&amp;h=640","https://si.geilicdn.com/pcitem902002701844-28ce0000019d38a4c02d0a207569_1456_1941.jpg?w=640&amp;h=640")</f>
        <v>https://si.geilicdn.com/pcitem902002701844-28ce0000019d38a4c02d0a207569_1456_1941.jpg?w=640&amp;h=640</v>
      </c>
      <c r="F211" t="s">
        <v>23</v>
      </c>
      <c r="G211" t="s">
        <v>2220</v>
      </c>
      <c r="H211" t="s">
        <v>265</v>
      </c>
      <c r="I211">
        <v>43.48</v>
      </c>
      <c r="J211" t="s">
        <v>2221</v>
      </c>
      <c r="K211" t="s">
        <v>2222</v>
      </c>
      <c r="L211" t="s">
        <v>2223</v>
      </c>
      <c r="M211" t="s">
        <v>2224</v>
      </c>
      <c r="N211" t="s">
        <v>2225</v>
      </c>
      <c r="O211" t="s">
        <v>2015</v>
      </c>
      <c r="P211" t="s">
        <v>2226</v>
      </c>
      <c r="Q211" t="s">
        <v>2227</v>
      </c>
      <c r="R211" t="s">
        <v>2228</v>
      </c>
      <c r="V211" t="s">
        <v>2229</v>
      </c>
      <c r="W211" t="s">
        <v>2230</v>
      </c>
    </row>
    <row r="212" ht="25.5" customHeight="1" spans="1:23">
      <c r="A212">
        <v>1639009235</v>
      </c>
      <c r="B212">
        <v>7702255039</v>
      </c>
      <c r="C212" s="2" t="str">
        <f>HYPERLINK("https://weidian.com/item.html?itemID=7702255039","https://weidian.com/item.html?itemID=7702255039")</f>
        <v>https://weidian.com/item.html?itemID=7702255039</v>
      </c>
      <c r="E212" s="2" t="str">
        <f>HYPERLINK("https://si.geilicdn.com/pcitem902002701844-3ed10000019cc7c0517b0a81347d_1080_1080.jpg?w=640&amp;h=640","https://si.geilicdn.com/pcitem902002701844-3ed10000019cc7c0517b0a81347d_1080_1080.jpg?w=640&amp;h=640")</f>
        <v>https://si.geilicdn.com/pcitem902002701844-3ed10000019cc7c0517b0a81347d_1080_1080.jpg?w=640&amp;h=640</v>
      </c>
      <c r="F212" t="s">
        <v>23</v>
      </c>
      <c r="G212" t="s">
        <v>2021</v>
      </c>
      <c r="H212" t="s">
        <v>1165</v>
      </c>
      <c r="I212">
        <v>31.88</v>
      </c>
      <c r="J212" t="s">
        <v>2231</v>
      </c>
      <c r="K212" t="s">
        <v>2232</v>
      </c>
      <c r="L212" t="s">
        <v>2233</v>
      </c>
      <c r="M212" t="s">
        <v>2234</v>
      </c>
      <c r="N212" t="s">
        <v>2235</v>
      </c>
      <c r="O212" t="s">
        <v>2028</v>
      </c>
      <c r="P212" t="s">
        <v>2236</v>
      </c>
      <c r="Q212" t="s">
        <v>2237</v>
      </c>
      <c r="R212" t="s">
        <v>2238</v>
      </c>
      <c r="V212" t="s">
        <v>2239</v>
      </c>
      <c r="W212" t="s">
        <v>2240</v>
      </c>
    </row>
    <row r="213" ht="25.5" customHeight="1" spans="1:23">
      <c r="A213">
        <v>1639009235</v>
      </c>
      <c r="B213">
        <v>7705700336</v>
      </c>
      <c r="C213" s="2" t="str">
        <f>HYPERLINK("https://weidian.com/item.html?itemID=7705700336","https://weidian.com/item.html?itemID=7705700336")</f>
        <v>https://weidian.com/item.html?itemID=7705700336</v>
      </c>
      <c r="E213" s="2" t="str">
        <f>HYPERLINK("https://si.geilicdn.com/pcitem902002701844-3aee0000019cc7bf74170a210256_1536_1920.jpg?w=640&amp;h=640","https://si.geilicdn.com/pcitem902002701844-3aee0000019cc7bf74170a210256_1536_1920.jpg?w=640&amp;h=640")</f>
        <v>https://si.geilicdn.com/pcitem902002701844-3aee0000019cc7bf74170a210256_1536_1920.jpg?w=640&amp;h=640</v>
      </c>
      <c r="F213" t="s">
        <v>23</v>
      </c>
      <c r="G213" t="s">
        <v>2021</v>
      </c>
      <c r="H213" t="s">
        <v>834</v>
      </c>
      <c r="I213">
        <v>34.78</v>
      </c>
      <c r="J213" t="s">
        <v>2241</v>
      </c>
      <c r="K213" t="s">
        <v>2242</v>
      </c>
      <c r="L213" t="s">
        <v>2243</v>
      </c>
      <c r="M213" t="s">
        <v>2244</v>
      </c>
      <c r="N213" t="s">
        <v>2245</v>
      </c>
      <c r="O213" t="s">
        <v>2028</v>
      </c>
      <c r="P213" t="s">
        <v>2246</v>
      </c>
      <c r="Q213" t="s">
        <v>2247</v>
      </c>
      <c r="R213" t="s">
        <v>2248</v>
      </c>
      <c r="V213" t="s">
        <v>2249</v>
      </c>
      <c r="W213" t="s">
        <v>2250</v>
      </c>
    </row>
    <row r="214" ht="25.5" customHeight="1" spans="1:23">
      <c r="A214">
        <v>1639009235</v>
      </c>
      <c r="B214">
        <v>7705075446</v>
      </c>
      <c r="C214" s="2" t="str">
        <f>HYPERLINK("https://weidian.com/item.html?itemID=7705075446","https://weidian.com/item.html?itemID=7705075446")</f>
        <v>https://weidian.com/item.html?itemID=7705075446</v>
      </c>
      <c r="E214" s="2" t="str">
        <f>HYPERLINK("https://si.geilicdn.com/pcitem902002701844-4f7b0000019cc2cf70ce0a23047e_1074_1074.jpg?w=640&amp;h=640","https://si.geilicdn.com/pcitem902002701844-4f7b0000019cc2cf70ce0a23047e_1074_1074.jpg?w=640&amp;h=640")</f>
        <v>https://si.geilicdn.com/pcitem902002701844-4f7b0000019cc2cf70ce0a23047e_1074_1074.jpg?w=640&amp;h=640</v>
      </c>
      <c r="F214" t="s">
        <v>23</v>
      </c>
      <c r="G214" t="s">
        <v>2021</v>
      </c>
      <c r="H214" t="s">
        <v>834</v>
      </c>
      <c r="I214">
        <v>34.78</v>
      </c>
      <c r="J214" t="s">
        <v>2251</v>
      </c>
      <c r="K214" t="s">
        <v>2252</v>
      </c>
      <c r="L214" t="s">
        <v>2253</v>
      </c>
      <c r="M214" t="s">
        <v>2254</v>
      </c>
      <c r="N214" t="s">
        <v>2255</v>
      </c>
      <c r="O214" t="s">
        <v>2256</v>
      </c>
      <c r="P214" t="s">
        <v>2257</v>
      </c>
      <c r="Q214" t="s">
        <v>2258</v>
      </c>
      <c r="R214" t="s">
        <v>2259</v>
      </c>
      <c r="V214" t="s">
        <v>2260</v>
      </c>
      <c r="W214" t="s">
        <v>2261</v>
      </c>
    </row>
    <row r="215" ht="25.5" customHeight="1" spans="1:23">
      <c r="A215">
        <v>1639009235</v>
      </c>
      <c r="B215">
        <v>7705637438</v>
      </c>
      <c r="C215" s="2" t="str">
        <f>HYPERLINK("https://weidian.com/item.html?itemID=7705637438","https://weidian.com/item.html?itemID=7705637438")</f>
        <v>https://weidian.com/item.html?itemID=7705637438</v>
      </c>
      <c r="E215" s="2" t="str">
        <f>HYPERLINK("https://si.geilicdn.com/pcitem902002701844-1b040000019cc7ac87cf0a239846_1074_1074.jpg?w=640&amp;h=640","https://si.geilicdn.com/pcitem902002701844-1b040000019cc7ac87cf0a239846_1074_1074.jpg?w=640&amp;h=640")</f>
        <v>https://si.geilicdn.com/pcitem902002701844-1b040000019cc7ac87cf0a239846_1074_1074.jpg?w=640&amp;h=640</v>
      </c>
      <c r="F215" t="s">
        <v>23</v>
      </c>
      <c r="G215" t="s">
        <v>2021</v>
      </c>
      <c r="H215" t="s">
        <v>2022</v>
      </c>
      <c r="I215">
        <v>18.84</v>
      </c>
      <c r="J215" t="s">
        <v>2262</v>
      </c>
      <c r="K215" t="s">
        <v>2263</v>
      </c>
      <c r="L215" t="s">
        <v>2264</v>
      </c>
      <c r="M215" t="s">
        <v>2265</v>
      </c>
      <c r="N215" t="s">
        <v>2266</v>
      </c>
      <c r="O215" t="s">
        <v>2028</v>
      </c>
      <c r="P215" t="s">
        <v>2267</v>
      </c>
      <c r="Q215" t="s">
        <v>2268</v>
      </c>
      <c r="R215" t="s">
        <v>2269</v>
      </c>
      <c r="V215" t="s">
        <v>2270</v>
      </c>
      <c r="W215" t="s">
        <v>2271</v>
      </c>
    </row>
    <row r="216" ht="25.5" customHeight="1" spans="1:23">
      <c r="A216">
        <v>1639009235</v>
      </c>
      <c r="B216">
        <v>7709977202</v>
      </c>
      <c r="C216" s="2" t="str">
        <f>HYPERLINK("https://weidian.com/item.html?itemID=7709977202","https://weidian.com/item.html?itemID=7709977202")</f>
        <v>https://weidian.com/item.html?itemID=7709977202</v>
      </c>
      <c r="E216" s="2" t="str">
        <f>HYPERLINK("https://si.geilicdn.com/pcitem902002701844-19a60000019cea5d33fc0a811411_1512_2016.jpg?w=640&amp;h=640","https://si.geilicdn.com/pcitem902002701844-19a60000019cea5d33fc0a811411_1512_2016.jpg?w=640&amp;h=640")</f>
        <v>https://si.geilicdn.com/pcitem902002701844-19a60000019cea5d33fc0a811411_1512_2016.jpg?w=640&amp;h=640</v>
      </c>
      <c r="F216" t="s">
        <v>23</v>
      </c>
      <c r="G216" t="s">
        <v>2126</v>
      </c>
      <c r="H216" t="s">
        <v>2127</v>
      </c>
      <c r="I216">
        <v>86.96</v>
      </c>
      <c r="J216" t="s">
        <v>2272</v>
      </c>
      <c r="K216" t="s">
        <v>2273</v>
      </c>
      <c r="L216" t="s">
        <v>2274</v>
      </c>
      <c r="M216" t="s">
        <v>2275</v>
      </c>
      <c r="N216" t="s">
        <v>2276</v>
      </c>
      <c r="O216" t="s">
        <v>2277</v>
      </c>
      <c r="P216" t="s">
        <v>2278</v>
      </c>
      <c r="Q216" t="s">
        <v>2279</v>
      </c>
      <c r="R216" t="s">
        <v>2280</v>
      </c>
      <c r="V216" t="s">
        <v>2281</v>
      </c>
      <c r="W216" t="s">
        <v>2282</v>
      </c>
    </row>
    <row r="217" ht="25.5" customHeight="1" spans="1:23">
      <c r="A217">
        <v>1639009235</v>
      </c>
      <c r="B217">
        <v>7709971554</v>
      </c>
      <c r="C217" s="2" t="str">
        <f>HYPERLINK("https://weidian.com/item.html?itemID=7709971554","https://weidian.com/item.html?itemID=7709971554")</f>
        <v>https://weidian.com/item.html?itemID=7709971554</v>
      </c>
      <c r="E217" s="2" t="str">
        <f>HYPERLINK("https://si.geilicdn.com/pcitem902002701844-4ff70000019cea6439030a207569_1512_2016.jpg?w=640&amp;h=640","https://si.geilicdn.com/pcitem902002701844-4ff70000019cea6439030a207569_1512_2016.jpg?w=640&amp;h=640")</f>
        <v>https://si.geilicdn.com/pcitem902002701844-4ff70000019cea6439030a207569_1512_2016.jpg?w=640&amp;h=640</v>
      </c>
      <c r="F217" t="s">
        <v>23</v>
      </c>
      <c r="G217" t="s">
        <v>2126</v>
      </c>
      <c r="H217" t="s">
        <v>2127</v>
      </c>
      <c r="I217">
        <v>86.96</v>
      </c>
      <c r="J217" t="s">
        <v>2283</v>
      </c>
      <c r="K217" t="s">
        <v>2284</v>
      </c>
      <c r="L217" t="s">
        <v>2285</v>
      </c>
      <c r="M217" t="s">
        <v>2286</v>
      </c>
      <c r="N217" t="s">
        <v>2287</v>
      </c>
      <c r="O217" t="s">
        <v>2277</v>
      </c>
      <c r="P217" t="s">
        <v>2288</v>
      </c>
      <c r="Q217" t="s">
        <v>2289</v>
      </c>
      <c r="R217" t="s">
        <v>2290</v>
      </c>
      <c r="V217" t="s">
        <v>2291</v>
      </c>
      <c r="W217" t="s">
        <v>2292</v>
      </c>
    </row>
    <row r="218" ht="25.5" customHeight="1" spans="1:23">
      <c r="A218">
        <v>1639009235</v>
      </c>
      <c r="B218">
        <v>7705112700</v>
      </c>
      <c r="C218" s="2" t="str">
        <f>HYPERLINK("https://weidian.com/item.html?itemID=7705112700","https://weidian.com/item.html?itemID=7705112700")</f>
        <v>https://weidian.com/item.html?itemID=7705112700</v>
      </c>
      <c r="E218" s="2" t="str">
        <f>HYPERLINK("https://si.geilicdn.com/pcitem902002701844-03750000019cc2d655ad0a21146b_1074_1074.jpg?w=640&amp;h=640","https://si.geilicdn.com/pcitem902002701844-03750000019cc2d655ad0a21146b_1074_1074.jpg?w=640&amp;h=640")</f>
        <v>https://si.geilicdn.com/pcitem902002701844-03750000019cc2d655ad0a21146b_1074_1074.jpg?w=640&amp;h=640</v>
      </c>
      <c r="F218" t="s">
        <v>23</v>
      </c>
      <c r="G218" t="s">
        <v>2021</v>
      </c>
      <c r="H218" t="s">
        <v>2105</v>
      </c>
      <c r="I218">
        <v>28.99</v>
      </c>
      <c r="J218" t="s">
        <v>2293</v>
      </c>
      <c r="K218" t="s">
        <v>2294</v>
      </c>
      <c r="L218" t="s">
        <v>2295</v>
      </c>
      <c r="M218" t="s">
        <v>2296</v>
      </c>
      <c r="N218" t="s">
        <v>2297</v>
      </c>
      <c r="O218" t="s">
        <v>2028</v>
      </c>
      <c r="P218" t="s">
        <v>2298</v>
      </c>
      <c r="Q218" t="s">
        <v>2299</v>
      </c>
      <c r="R218" t="s">
        <v>2300</v>
      </c>
      <c r="V218" t="s">
        <v>2301</v>
      </c>
      <c r="W218" t="s">
        <v>2302</v>
      </c>
    </row>
    <row r="219" ht="25.5" customHeight="1" spans="1:23">
      <c r="A219">
        <v>1639009235</v>
      </c>
      <c r="B219">
        <v>7709985206</v>
      </c>
      <c r="C219" s="2" t="str">
        <f>HYPERLINK("https://weidian.com/item.html?itemID=7709985206","https://weidian.com/item.html?itemID=7709985206")</f>
        <v>https://weidian.com/item.html?itemID=7709985206</v>
      </c>
      <c r="E219" s="2" t="str">
        <f>HYPERLINK("https://si.geilicdn.com/pcitem902002701844-5f0b0000019cea617b470a2396f4_1512_2016.jpg?w=640&amp;h=640","https://si.geilicdn.com/pcitem902002701844-5f0b0000019cea617b470a2396f4_1512_2016.jpg?w=640&amp;h=640")</f>
        <v>https://si.geilicdn.com/pcitem902002701844-5f0b0000019cea617b470a2396f4_1512_2016.jpg?w=640&amp;h=640</v>
      </c>
      <c r="F219" t="s">
        <v>23</v>
      </c>
      <c r="G219" t="s">
        <v>2126</v>
      </c>
      <c r="H219" t="s">
        <v>2127</v>
      </c>
      <c r="I219">
        <v>86.96</v>
      </c>
      <c r="J219" t="s">
        <v>2303</v>
      </c>
      <c r="K219" t="s">
        <v>2304</v>
      </c>
      <c r="L219" t="s">
        <v>2305</v>
      </c>
      <c r="M219" t="s">
        <v>2306</v>
      </c>
      <c r="N219" t="s">
        <v>2307</v>
      </c>
      <c r="O219" t="s">
        <v>2277</v>
      </c>
      <c r="P219" t="s">
        <v>2308</v>
      </c>
      <c r="Q219" t="s">
        <v>2309</v>
      </c>
      <c r="R219" t="s">
        <v>2310</v>
      </c>
      <c r="V219" t="s">
        <v>2311</v>
      </c>
      <c r="W219" t="s">
        <v>2312</v>
      </c>
    </row>
    <row r="220" ht="25.5" customHeight="1" spans="1:23">
      <c r="A220">
        <v>1639009235</v>
      </c>
      <c r="B220">
        <v>7707002987</v>
      </c>
      <c r="C220" s="2" t="str">
        <f>HYPERLINK("https://weidian.com/item.html?itemID=7707002987","https://weidian.com/item.html?itemID=7707002987")</f>
        <v>https://weidian.com/item.html?itemID=7707002987</v>
      </c>
      <c r="E220" s="2" t="str">
        <f>HYPERLINK("https://si.geilicdn.com/pcitem902002701844-4c720000019cea5c0e160a8133cc_1512_2016.jpg?w=640&amp;h=640","https://si.geilicdn.com/pcitem902002701844-4c720000019cea5c0e160a8133cc_1512_2016.jpg?w=640&amp;h=640")</f>
        <v>https://si.geilicdn.com/pcitem902002701844-4c720000019cea5c0e160a8133cc_1512_2016.jpg?w=640&amp;h=640</v>
      </c>
      <c r="F220" t="s">
        <v>23</v>
      </c>
      <c r="G220" t="s">
        <v>2126</v>
      </c>
      <c r="H220" t="s">
        <v>2127</v>
      </c>
      <c r="I220">
        <v>86.96</v>
      </c>
      <c r="J220" t="s">
        <v>2313</v>
      </c>
      <c r="K220" t="s">
        <v>2314</v>
      </c>
      <c r="L220" t="s">
        <v>2315</v>
      </c>
      <c r="M220" t="s">
        <v>2316</v>
      </c>
      <c r="N220" t="s">
        <v>2317</v>
      </c>
      <c r="O220" t="s">
        <v>2133</v>
      </c>
      <c r="P220" t="s">
        <v>2318</v>
      </c>
      <c r="Q220" t="s">
        <v>2319</v>
      </c>
      <c r="R220" t="s">
        <v>2320</v>
      </c>
      <c r="V220" t="s">
        <v>2321</v>
      </c>
      <c r="W220" t="s">
        <v>2322</v>
      </c>
    </row>
    <row r="221" ht="25.5" customHeight="1" spans="1:23">
      <c r="A221">
        <v>1639009235</v>
      </c>
      <c r="B221">
        <v>7702632939</v>
      </c>
      <c r="C221" s="2" t="str">
        <f>HYPERLINK("https://weidian.com/item.html?itemID=7702632939","https://weidian.com/item.html?itemID=7702632939")</f>
        <v>https://weidian.com/item.html?itemID=7702632939</v>
      </c>
      <c r="E221" s="2" t="str">
        <f>HYPERLINK("https://si.geilicdn.com/pcitem902002701844-16980000019cc7b642d60a2304aa_2160_1440.jpg?w=640&amp;h=640","https://si.geilicdn.com/pcitem902002701844-16980000019cc7b642d60a2304aa_2160_1440.jpg?w=640&amp;h=640")</f>
        <v>https://si.geilicdn.com/pcitem902002701844-16980000019cc7b642d60a2304aa_2160_1440.jpg?w=640&amp;h=640</v>
      </c>
      <c r="F221" t="s">
        <v>23</v>
      </c>
      <c r="G221" t="s">
        <v>2021</v>
      </c>
      <c r="H221" t="s">
        <v>2105</v>
      </c>
      <c r="I221">
        <v>28.99</v>
      </c>
      <c r="J221" t="s">
        <v>2323</v>
      </c>
      <c r="K221" t="s">
        <v>2324</v>
      </c>
      <c r="L221" t="s">
        <v>2325</v>
      </c>
      <c r="M221" t="s">
        <v>2326</v>
      </c>
      <c r="N221" t="s">
        <v>2327</v>
      </c>
      <c r="O221" t="s">
        <v>2028</v>
      </c>
      <c r="P221" t="s">
        <v>2328</v>
      </c>
      <c r="Q221" t="s">
        <v>2329</v>
      </c>
      <c r="R221" t="s">
        <v>2330</v>
      </c>
      <c r="V221" t="s">
        <v>2331</v>
      </c>
      <c r="W221" t="s">
        <v>2332</v>
      </c>
    </row>
    <row r="222" ht="25.5" customHeight="1" spans="1:23">
      <c r="A222">
        <v>1639009235</v>
      </c>
      <c r="B222">
        <v>7705641362</v>
      </c>
      <c r="C222" s="2" t="str">
        <f>HYPERLINK("https://weidian.com/item.html?itemID=7705641362","https://weidian.com/item.html?itemID=7705641362")</f>
        <v>https://weidian.com/item.html?itemID=7705641362</v>
      </c>
      <c r="E222" s="2" t="str">
        <f>HYPERLINK("https://si.geilicdn.com/pcitem902002701844-33310000019cc7bc9d9a0a20e273_1440_1440.jpg?w=640&amp;h=640","https://si.geilicdn.com/pcitem902002701844-33310000019cc7bc9d9a0a20e273_1440_1440.jpg?w=640&amp;h=640")</f>
        <v>https://si.geilicdn.com/pcitem902002701844-33310000019cc7bc9d9a0a20e273_1440_1440.jpg?w=640&amp;h=640</v>
      </c>
      <c r="F222" t="s">
        <v>23</v>
      </c>
      <c r="G222" t="s">
        <v>2021</v>
      </c>
      <c r="H222" t="s">
        <v>2105</v>
      </c>
      <c r="I222">
        <v>28.99</v>
      </c>
      <c r="J222" t="s">
        <v>2333</v>
      </c>
      <c r="K222" t="s">
        <v>2334</v>
      </c>
      <c r="L222" t="s">
        <v>2335</v>
      </c>
      <c r="M222" t="s">
        <v>2336</v>
      </c>
      <c r="N222" t="s">
        <v>2337</v>
      </c>
      <c r="O222" t="s">
        <v>2028</v>
      </c>
      <c r="P222" t="s">
        <v>2338</v>
      </c>
      <c r="Q222" t="s">
        <v>2339</v>
      </c>
      <c r="R222" t="s">
        <v>2340</v>
      </c>
      <c r="V222" t="s">
        <v>2341</v>
      </c>
      <c r="W222" t="s">
        <v>2342</v>
      </c>
    </row>
    <row r="223" ht="25.5" customHeight="1" spans="1:23">
      <c r="A223">
        <v>1639009235</v>
      </c>
      <c r="B223">
        <v>7705657142</v>
      </c>
      <c r="C223" s="2" t="str">
        <f>HYPERLINK("https://weidian.com/item.html?itemID=7705657142","https://weidian.com/item.html?itemID=7705657142")</f>
        <v>https://weidian.com/item.html?itemID=7705657142</v>
      </c>
      <c r="E223" s="2" t="str">
        <f>HYPERLINK("https://si.geilicdn.com/pcitem902002701844-3eed0000019cc7b884960a23047e_1440_1440.jpg?w=640&amp;h=640","https://si.geilicdn.com/pcitem902002701844-3eed0000019cc7b884960a23047e_1440_1440.jpg?w=640&amp;h=640")</f>
        <v>https://si.geilicdn.com/pcitem902002701844-3eed0000019cc7b884960a23047e_1440_1440.jpg?w=640&amp;h=640</v>
      </c>
      <c r="F223" t="s">
        <v>23</v>
      </c>
      <c r="G223" t="s">
        <v>2021</v>
      </c>
      <c r="H223" t="s">
        <v>1165</v>
      </c>
      <c r="I223">
        <v>31.88</v>
      </c>
      <c r="J223" t="s">
        <v>2343</v>
      </c>
      <c r="K223" t="s">
        <v>2344</v>
      </c>
      <c r="L223" t="s">
        <v>2345</v>
      </c>
      <c r="M223" t="s">
        <v>2346</v>
      </c>
      <c r="N223" t="s">
        <v>2347</v>
      </c>
      <c r="O223" t="s">
        <v>2256</v>
      </c>
      <c r="P223" t="s">
        <v>2348</v>
      </c>
      <c r="Q223" t="s">
        <v>2349</v>
      </c>
      <c r="R223" t="s">
        <v>2350</v>
      </c>
      <c r="V223" t="s">
        <v>2351</v>
      </c>
      <c r="W223" t="s">
        <v>2352</v>
      </c>
    </row>
    <row r="224" ht="25.5" customHeight="1" spans="1:23">
      <c r="A224">
        <v>1639009235</v>
      </c>
      <c r="B224">
        <v>7702696333</v>
      </c>
      <c r="C224" s="2" t="str">
        <f>HYPERLINK("https://weidian.com/item.html?itemID=7702696333","https://weidian.com/item.html?itemID=7702696333")</f>
        <v>https://weidian.com/item.html?itemID=7702696333</v>
      </c>
      <c r="E224" s="2" t="str">
        <f>HYPERLINK("https://si.geilicdn.com/pcitem902002701844-31890000019cc7aff0760a210256_1074_1074.jpg?w=640&amp;h=640","https://si.geilicdn.com/pcitem902002701844-31890000019cc7aff0760a210256_1074_1074.jpg?w=640&amp;h=640")</f>
        <v>https://si.geilicdn.com/pcitem902002701844-31890000019cc7aff0760a210256_1074_1074.jpg?w=640&amp;h=640</v>
      </c>
      <c r="F224" t="s">
        <v>23</v>
      </c>
      <c r="G224" t="s">
        <v>2021</v>
      </c>
      <c r="H224" t="s">
        <v>2022</v>
      </c>
      <c r="I224">
        <v>18.84</v>
      </c>
      <c r="J224" t="s">
        <v>2353</v>
      </c>
      <c r="K224" t="s">
        <v>2354</v>
      </c>
      <c r="L224" t="s">
        <v>2355</v>
      </c>
      <c r="M224" t="s">
        <v>2356</v>
      </c>
      <c r="N224" t="s">
        <v>2357</v>
      </c>
      <c r="O224" t="s">
        <v>2028</v>
      </c>
      <c r="P224" t="s">
        <v>2358</v>
      </c>
      <c r="Q224" t="s">
        <v>2359</v>
      </c>
      <c r="R224" t="s">
        <v>2360</v>
      </c>
      <c r="V224" t="s">
        <v>2361</v>
      </c>
      <c r="W224" t="s">
        <v>2362</v>
      </c>
    </row>
    <row r="225" ht="25.5" customHeight="1" spans="1:23">
      <c r="A225">
        <v>1639009235</v>
      </c>
      <c r="B225">
        <v>7702105033</v>
      </c>
      <c r="C225" s="2" t="str">
        <f>HYPERLINK("https://weidian.com/item.html?itemID=7702105033","https://weidian.com/item.html?itemID=7702105033")</f>
        <v>https://weidian.com/item.html?itemID=7702105033</v>
      </c>
      <c r="E225" s="2" t="str">
        <f>HYPERLINK("https://si.geilicdn.com/pcitem902002701844-02d90000019cc2d528810a21146b_1074_1074.jpg?w=640&amp;h=640","https://si.geilicdn.com/pcitem902002701844-02d90000019cc2d528810a21146b_1074_1074.jpg?w=640&amp;h=640")</f>
        <v>https://si.geilicdn.com/pcitem902002701844-02d90000019cc2d528810a21146b_1074_1074.jpg?w=640&amp;h=640</v>
      </c>
      <c r="F225" t="s">
        <v>23</v>
      </c>
      <c r="G225" t="s">
        <v>2021</v>
      </c>
      <c r="H225" t="s">
        <v>2105</v>
      </c>
      <c r="I225">
        <v>28.99</v>
      </c>
      <c r="J225" t="s">
        <v>2363</v>
      </c>
      <c r="K225" t="s">
        <v>2252</v>
      </c>
      <c r="L225" t="s">
        <v>2364</v>
      </c>
      <c r="M225" t="s">
        <v>2365</v>
      </c>
      <c r="N225" t="s">
        <v>2366</v>
      </c>
      <c r="O225" t="s">
        <v>2256</v>
      </c>
      <c r="P225" t="s">
        <v>2367</v>
      </c>
      <c r="Q225" t="s">
        <v>2368</v>
      </c>
      <c r="R225" t="s">
        <v>2369</v>
      </c>
      <c r="V225" t="s">
        <v>2370</v>
      </c>
      <c r="W225" t="s">
        <v>2371</v>
      </c>
    </row>
    <row r="226" ht="25.5" customHeight="1" spans="1:23">
      <c r="A226">
        <v>1639009235</v>
      </c>
      <c r="B226">
        <v>7705710330</v>
      </c>
      <c r="C226" s="2" t="str">
        <f>HYPERLINK("https://weidian.com/item.html?itemID=7705710330","https://weidian.com/item.html?itemID=7705710330")</f>
        <v>https://weidian.com/item.html?itemID=7705710330</v>
      </c>
      <c r="E226" s="2" t="str">
        <f>HYPERLINK("https://si.geilicdn.com/pcitem902002701844-2ecd0000019cc7a7b61e0a20e284_1074_1074.jpg?w=640&amp;h=640","https://si.geilicdn.com/pcitem902002701844-2ecd0000019cc7a7b61e0a20e284_1074_1074.jpg?w=640&amp;h=640")</f>
        <v>https://si.geilicdn.com/pcitem902002701844-2ecd0000019cc7a7b61e0a20e284_1074_1074.jpg?w=640&amp;h=640</v>
      </c>
      <c r="F226" t="s">
        <v>23</v>
      </c>
      <c r="G226" t="s">
        <v>2021</v>
      </c>
      <c r="H226" t="s">
        <v>2022</v>
      </c>
      <c r="I226">
        <v>18.84</v>
      </c>
      <c r="J226" t="s">
        <v>2372</v>
      </c>
      <c r="K226" t="s">
        <v>2373</v>
      </c>
      <c r="L226" t="s">
        <v>2374</v>
      </c>
      <c r="M226" t="s">
        <v>2375</v>
      </c>
      <c r="N226" t="s">
        <v>2376</v>
      </c>
      <c r="O226" t="s">
        <v>2256</v>
      </c>
      <c r="P226" t="s">
        <v>2377</v>
      </c>
      <c r="Q226" t="s">
        <v>2378</v>
      </c>
      <c r="R226" t="s">
        <v>2379</v>
      </c>
      <c r="V226" t="s">
        <v>2380</v>
      </c>
      <c r="W226" t="s">
        <v>2381</v>
      </c>
    </row>
    <row r="227" ht="25.5" customHeight="1" spans="1:23">
      <c r="A227">
        <v>1639009235</v>
      </c>
      <c r="B227">
        <v>7705670070</v>
      </c>
      <c r="C227" s="2" t="str">
        <f>HYPERLINK("https://weidian.com/item.html?itemID=7705670070","https://weidian.com/item.html?itemID=7705670070")</f>
        <v>https://weidian.com/item.html?itemID=7705670070</v>
      </c>
      <c r="E227" s="2" t="str">
        <f>HYPERLINK("https://si.geilicdn.com/pcitem902002701844-31460000019cc7b9498e0a20e273_1440_1440.jpg?w=640&amp;h=640","https://si.geilicdn.com/pcitem902002701844-31460000019cc7b9498e0a20e273_1440_1440.jpg?w=640&amp;h=640")</f>
        <v>https://si.geilicdn.com/pcitem902002701844-31460000019cc7b9498e0a20e273_1440_1440.jpg?w=640&amp;h=640</v>
      </c>
      <c r="F227" t="s">
        <v>23</v>
      </c>
      <c r="G227" t="s">
        <v>2021</v>
      </c>
      <c r="H227" t="s">
        <v>2105</v>
      </c>
      <c r="I227">
        <v>28.99</v>
      </c>
      <c r="J227" t="s">
        <v>2382</v>
      </c>
      <c r="K227" t="s">
        <v>2383</v>
      </c>
      <c r="L227" t="s">
        <v>2384</v>
      </c>
      <c r="M227" t="s">
        <v>2385</v>
      </c>
      <c r="N227" t="s">
        <v>2386</v>
      </c>
      <c r="O227" t="s">
        <v>2028</v>
      </c>
      <c r="P227" t="s">
        <v>2387</v>
      </c>
      <c r="Q227" t="s">
        <v>2388</v>
      </c>
      <c r="R227" t="s">
        <v>2389</v>
      </c>
      <c r="V227" t="s">
        <v>2390</v>
      </c>
      <c r="W227" t="s">
        <v>2391</v>
      </c>
    </row>
    <row r="228" ht="25.5" customHeight="1" spans="1:23">
      <c r="A228">
        <v>1639009235</v>
      </c>
      <c r="B228">
        <v>7705164100</v>
      </c>
      <c r="C228" s="2" t="str">
        <f>HYPERLINK("https://weidian.com/item.html?itemID=7705164100","https://weidian.com/item.html?itemID=7705164100")</f>
        <v>https://weidian.com/item.html?itemID=7705164100</v>
      </c>
      <c r="E228" s="2" t="str">
        <f>HYPERLINK("https://si.geilicdn.com/pcitem902002701844-597a0000019cc2d9b6260a8133cc_1080_1080.jpg?w=640&amp;h=640","https://si.geilicdn.com/pcitem902002701844-597a0000019cc2d9b6260a8133cc_1080_1080.jpg?w=640&amp;h=640")</f>
        <v>https://si.geilicdn.com/pcitem902002701844-597a0000019cc2d9b6260a8133cc_1080_1080.jpg?w=640&amp;h=640</v>
      </c>
      <c r="F228" t="s">
        <v>23</v>
      </c>
      <c r="G228" t="s">
        <v>2021</v>
      </c>
      <c r="H228" t="s">
        <v>2022</v>
      </c>
      <c r="I228">
        <v>18.84</v>
      </c>
      <c r="J228" t="s">
        <v>2392</v>
      </c>
      <c r="K228" t="s">
        <v>2393</v>
      </c>
      <c r="L228" t="s">
        <v>2394</v>
      </c>
      <c r="M228" t="s">
        <v>2395</v>
      </c>
      <c r="N228" t="s">
        <v>2396</v>
      </c>
      <c r="O228" t="s">
        <v>2028</v>
      </c>
      <c r="P228" t="s">
        <v>2397</v>
      </c>
      <c r="Q228" t="s">
        <v>2398</v>
      </c>
      <c r="R228" t="s">
        <v>2399</v>
      </c>
      <c r="V228" t="s">
        <v>2400</v>
      </c>
      <c r="W228" t="s">
        <v>2401</v>
      </c>
    </row>
    <row r="229" ht="25.5" customHeight="1" spans="1:23">
      <c r="A229">
        <v>1639009235</v>
      </c>
      <c r="B229">
        <v>7705743704</v>
      </c>
      <c r="C229" s="2" t="str">
        <f>HYPERLINK("https://weidian.com/item.html?itemID=7705743704","https://weidian.com/item.html?itemID=7705743704")</f>
        <v>https://weidian.com/item.html?itemID=7705743704</v>
      </c>
      <c r="E229" s="2" t="str">
        <f>HYPERLINK("https://si.geilicdn.com/pcitem902002701844-33500000019cc7ad500a0a81347d_1074_1074.jpg?w=640&amp;h=640","https://si.geilicdn.com/pcitem902002701844-33500000019cc7ad500a0a81347d_1074_1074.jpg?w=640&amp;h=640")</f>
        <v>https://si.geilicdn.com/pcitem902002701844-33500000019cc7ad500a0a81347d_1074_1074.jpg?w=640&amp;h=640</v>
      </c>
      <c r="F229" t="s">
        <v>23</v>
      </c>
      <c r="G229" t="s">
        <v>2021</v>
      </c>
      <c r="H229" t="s">
        <v>2022</v>
      </c>
      <c r="I229">
        <v>18.84</v>
      </c>
      <c r="J229" t="s">
        <v>2402</v>
      </c>
      <c r="K229" t="s">
        <v>2403</v>
      </c>
      <c r="L229" t="s">
        <v>2404</v>
      </c>
      <c r="M229" t="s">
        <v>2405</v>
      </c>
      <c r="N229" t="s">
        <v>2406</v>
      </c>
      <c r="O229" t="s">
        <v>2028</v>
      </c>
      <c r="P229" t="s">
        <v>2407</v>
      </c>
      <c r="Q229" t="s">
        <v>2408</v>
      </c>
      <c r="R229" t="s">
        <v>2409</v>
      </c>
      <c r="V229" t="s">
        <v>2410</v>
      </c>
      <c r="W229" t="s">
        <v>2411</v>
      </c>
    </row>
    <row r="230" ht="25.5" customHeight="1" spans="1:23">
      <c r="A230">
        <v>1639009235</v>
      </c>
      <c r="B230">
        <v>7702722369</v>
      </c>
      <c r="C230" s="2" t="str">
        <f>HYPERLINK("https://weidian.com/item.html?itemID=7702722369","https://weidian.com/item.html?itemID=7702722369")</f>
        <v>https://weidian.com/item.html?itemID=7702722369</v>
      </c>
      <c r="E230" s="2" t="str">
        <f>HYPERLINK("https://si.geilicdn.com/pcitem902002701844-38d70000019cc7b7afff0a20e284_1440_1440.jpg?w=640&amp;h=640","https://si.geilicdn.com/pcitem902002701844-38d70000019cc7b7afff0a20e284_1440_1440.jpg?w=640&amp;h=640")</f>
        <v>https://si.geilicdn.com/pcitem902002701844-38d70000019cc7b7afff0a20e284_1440_1440.jpg?w=640&amp;h=640</v>
      </c>
      <c r="F230" t="s">
        <v>23</v>
      </c>
      <c r="G230" t="s">
        <v>2021</v>
      </c>
      <c r="H230" t="s">
        <v>1165</v>
      </c>
      <c r="I230">
        <v>31.88</v>
      </c>
      <c r="J230" t="s">
        <v>2412</v>
      </c>
      <c r="K230" t="s">
        <v>2413</v>
      </c>
      <c r="L230" t="s">
        <v>2414</v>
      </c>
      <c r="M230" t="s">
        <v>2415</v>
      </c>
      <c r="N230" t="s">
        <v>2416</v>
      </c>
      <c r="O230" t="s">
        <v>2028</v>
      </c>
      <c r="P230" t="s">
        <v>2417</v>
      </c>
      <c r="Q230" t="s">
        <v>2418</v>
      </c>
      <c r="R230" t="s">
        <v>2419</v>
      </c>
      <c r="V230" t="s">
        <v>2420</v>
      </c>
      <c r="W230" t="s">
        <v>2421</v>
      </c>
    </row>
    <row r="231" ht="25.5" customHeight="1" spans="1:23">
      <c r="A231">
        <v>1639009235</v>
      </c>
      <c r="B231">
        <v>7702380703</v>
      </c>
      <c r="C231" s="2" t="str">
        <f>HYPERLINK("https://weidian.com/item.html?itemID=7702380703","https://weidian.com/item.html?itemID=7702380703")</f>
        <v>https://weidian.com/item.html?itemID=7702380703</v>
      </c>
      <c r="E231" s="2" t="str">
        <f>HYPERLINK("https://si.geilicdn.com/pcitem902002701844-78170000019cc7c4327b0a21146b_2160_1440.jpg?w=640&amp;h=640","https://si.geilicdn.com/pcitem902002701844-78170000019cc7c4327b0a21146b_2160_1440.jpg?w=640&amp;h=640")</f>
        <v>https://si.geilicdn.com/pcitem902002701844-78170000019cc7c4327b0a21146b_2160_1440.jpg?w=640&amp;h=640</v>
      </c>
      <c r="F231" t="s">
        <v>23</v>
      </c>
      <c r="G231" t="s">
        <v>2021</v>
      </c>
      <c r="H231" t="s">
        <v>1165</v>
      </c>
      <c r="I231">
        <v>31.88</v>
      </c>
      <c r="J231" t="s">
        <v>2422</v>
      </c>
      <c r="K231" t="s">
        <v>2423</v>
      </c>
      <c r="L231" t="s">
        <v>2424</v>
      </c>
      <c r="M231" t="s">
        <v>2425</v>
      </c>
      <c r="N231" t="s">
        <v>2426</v>
      </c>
      <c r="O231" t="s">
        <v>2028</v>
      </c>
      <c r="P231" t="s">
        <v>2427</v>
      </c>
      <c r="Q231" t="s">
        <v>2428</v>
      </c>
      <c r="R231" t="s">
        <v>2429</v>
      </c>
      <c r="V231" t="s">
        <v>2430</v>
      </c>
      <c r="W231" t="s">
        <v>2431</v>
      </c>
    </row>
    <row r="232" ht="25.5" customHeight="1" spans="1:23">
      <c r="A232">
        <v>1639009235</v>
      </c>
      <c r="B232">
        <v>7702110981</v>
      </c>
      <c r="C232" s="2" t="str">
        <f>HYPERLINK("https://weidian.com/item.html?itemID=7702110981","https://weidian.com/item.html?itemID=7702110981")</f>
        <v>https://weidian.com/item.html?itemID=7702110981</v>
      </c>
      <c r="E232" s="2" t="str">
        <f>HYPERLINK("https://si.geilicdn.com/pcitem902002701844-56a10000019cc2d192c80a23111a_1074_1074.jpg?w=640&amp;h=640","https://si.geilicdn.com/pcitem902002701844-56a10000019cc2d192c80a23111a_1074_1074.jpg?w=640&amp;h=640")</f>
        <v>https://si.geilicdn.com/pcitem902002701844-56a10000019cc2d192c80a23111a_1074_1074.jpg?w=640&amp;h=640</v>
      </c>
      <c r="F232" t="s">
        <v>23</v>
      </c>
      <c r="G232" t="s">
        <v>2021</v>
      </c>
      <c r="H232" t="s">
        <v>1165</v>
      </c>
      <c r="I232">
        <v>31.88</v>
      </c>
      <c r="J232" t="s">
        <v>2432</v>
      </c>
      <c r="K232" t="s">
        <v>2433</v>
      </c>
      <c r="L232" t="s">
        <v>2434</v>
      </c>
      <c r="M232" t="s">
        <v>2435</v>
      </c>
      <c r="N232" t="s">
        <v>2436</v>
      </c>
      <c r="O232" t="s">
        <v>2028</v>
      </c>
      <c r="P232" t="s">
        <v>2437</v>
      </c>
      <c r="Q232" t="s">
        <v>2438</v>
      </c>
      <c r="R232" t="s">
        <v>2439</v>
      </c>
      <c r="V232" t="s">
        <v>2440</v>
      </c>
      <c r="W232" t="s">
        <v>2441</v>
      </c>
    </row>
    <row r="233" ht="25.5" customHeight="1" spans="1:23">
      <c r="A233">
        <v>1639009235</v>
      </c>
      <c r="B233">
        <v>7702671121</v>
      </c>
      <c r="C233" s="2" t="str">
        <f>HYPERLINK("https://weidian.com/item.html?itemID=7702671121","https://weidian.com/item.html?itemID=7702671121")</f>
        <v>https://weidian.com/item.html?itemID=7702671121</v>
      </c>
      <c r="E233" s="2" t="str">
        <f>HYPERLINK("https://si.geilicdn.com/pcitem902002701844-5dd80000019cc7b2819f0a2103bd_1074_1074.jpg?w=640&amp;h=640","https://si.geilicdn.com/pcitem902002701844-5dd80000019cc7b2819f0a2103bd_1074_1074.jpg?w=640&amp;h=640")</f>
        <v>https://si.geilicdn.com/pcitem902002701844-5dd80000019cc7b2819f0a2103bd_1074_1074.jpg?w=640&amp;h=640</v>
      </c>
      <c r="F233" t="s">
        <v>23</v>
      </c>
      <c r="G233" t="s">
        <v>2021</v>
      </c>
      <c r="H233" t="s">
        <v>2022</v>
      </c>
      <c r="I233">
        <v>18.84</v>
      </c>
      <c r="J233" t="s">
        <v>2442</v>
      </c>
      <c r="K233" t="s">
        <v>2443</v>
      </c>
      <c r="L233" t="s">
        <v>2444</v>
      </c>
      <c r="M233" t="s">
        <v>2445</v>
      </c>
      <c r="N233" t="s">
        <v>2446</v>
      </c>
      <c r="O233" t="s">
        <v>2028</v>
      </c>
      <c r="P233" t="s">
        <v>2447</v>
      </c>
      <c r="Q233" t="s">
        <v>2448</v>
      </c>
      <c r="R233" t="s">
        <v>2449</v>
      </c>
      <c r="V233" t="s">
        <v>2450</v>
      </c>
      <c r="W233" t="s">
        <v>2451</v>
      </c>
    </row>
    <row r="234" ht="25.5" customHeight="1" spans="1:23">
      <c r="A234">
        <v>1639009235</v>
      </c>
      <c r="B234">
        <v>7710022460</v>
      </c>
      <c r="C234" s="2" t="str">
        <f>HYPERLINK("https://weidian.com/item.html?itemID=7710022460","https://weidian.com/item.html?itemID=7710022460")</f>
        <v>https://weidian.com/item.html?itemID=7710022460</v>
      </c>
      <c r="E234" s="2" t="str">
        <f>HYPERLINK("https://si.geilicdn.com/pcitem902002701844-59f30000019cea5e55650a23041a_1512_2016.jpg?w=640&amp;h=640","https://si.geilicdn.com/pcitem902002701844-59f30000019cea5e55650a23041a_1512_2016.jpg?w=640&amp;h=640")</f>
        <v>https://si.geilicdn.com/pcitem902002701844-59f30000019cea5e55650a23041a_1512_2016.jpg?w=640&amp;h=640</v>
      </c>
      <c r="F234" t="s">
        <v>23</v>
      </c>
      <c r="G234" t="s">
        <v>2126</v>
      </c>
      <c r="H234" t="s">
        <v>2127</v>
      </c>
      <c r="I234">
        <v>86.96</v>
      </c>
      <c r="J234" t="s">
        <v>2452</v>
      </c>
      <c r="K234" t="s">
        <v>2453</v>
      </c>
      <c r="L234" t="s">
        <v>2454</v>
      </c>
      <c r="M234" t="s">
        <v>2455</v>
      </c>
      <c r="N234" t="s">
        <v>2456</v>
      </c>
      <c r="O234" t="s">
        <v>2133</v>
      </c>
      <c r="P234" t="s">
        <v>2457</v>
      </c>
      <c r="Q234" t="s">
        <v>2458</v>
      </c>
      <c r="R234" t="s">
        <v>2459</v>
      </c>
      <c r="V234" t="s">
        <v>2460</v>
      </c>
      <c r="W234" t="s">
        <v>2461</v>
      </c>
    </row>
    <row r="235" ht="25.5" customHeight="1" spans="1:23">
      <c r="A235">
        <v>1639009235</v>
      </c>
      <c r="B235">
        <v>7705668968</v>
      </c>
      <c r="C235" s="2" t="str">
        <f>HYPERLINK("https://weidian.com/item.html?itemID=7705668968","https://weidian.com/item.html?itemID=7705668968")</f>
        <v>https://weidian.com/item.html?itemID=7705668968</v>
      </c>
      <c r="E235" s="2" t="str">
        <f>HYPERLINK("https://si.geilicdn.com/pcitem902002701844-2f730000019cc7bdb9db0a20e7c7_1440_1440.jpg?w=640&amp;h=640","https://si.geilicdn.com/pcitem902002701844-2f730000019cc7bdb9db0a20e7c7_1440_1440.jpg?w=640&amp;h=640")</f>
        <v>https://si.geilicdn.com/pcitem902002701844-2f730000019cc7bdb9db0a20e7c7_1440_1440.jpg?w=640&amp;h=640</v>
      </c>
      <c r="F235" t="s">
        <v>23</v>
      </c>
      <c r="G235" t="s">
        <v>2021</v>
      </c>
      <c r="H235" t="s">
        <v>2105</v>
      </c>
      <c r="I235">
        <v>28.99</v>
      </c>
      <c r="J235" t="s">
        <v>2462</v>
      </c>
      <c r="K235" t="s">
        <v>2463</v>
      </c>
      <c r="L235" t="s">
        <v>2464</v>
      </c>
      <c r="M235" t="s">
        <v>2465</v>
      </c>
      <c r="N235" t="s">
        <v>2466</v>
      </c>
      <c r="O235" t="s">
        <v>2028</v>
      </c>
      <c r="P235" t="s">
        <v>2467</v>
      </c>
      <c r="Q235" t="s">
        <v>2468</v>
      </c>
      <c r="R235" t="s">
        <v>2469</v>
      </c>
      <c r="V235" t="s">
        <v>2470</v>
      </c>
      <c r="W235" t="s">
        <v>2471</v>
      </c>
    </row>
    <row r="236" ht="25.5" customHeight="1" spans="1:23">
      <c r="A236">
        <v>1639009235</v>
      </c>
      <c r="B236">
        <v>7709961536</v>
      </c>
      <c r="C236" s="2" t="str">
        <f>HYPERLINK("https://weidian.com/item.html?itemID=7709961536","https://weidian.com/item.html?itemID=7709961536")</f>
        <v>https://weidian.com/item.html?itemID=7709961536</v>
      </c>
      <c r="E236" s="2" t="str">
        <f>HYPERLINK("https://si.geilicdn.com/pcitem902002701844-41220000019cea601d590a210256_1512_2016.jpg?w=640&amp;h=640","https://si.geilicdn.com/pcitem902002701844-41220000019cea601d590a210256_1512_2016.jpg?w=640&amp;h=640")</f>
        <v>https://si.geilicdn.com/pcitem902002701844-41220000019cea601d590a210256_1512_2016.jpg?w=640&amp;h=640</v>
      </c>
      <c r="F236" t="s">
        <v>23</v>
      </c>
      <c r="G236" t="s">
        <v>2126</v>
      </c>
      <c r="H236" t="s">
        <v>2127</v>
      </c>
      <c r="I236">
        <v>86.96</v>
      </c>
      <c r="J236" t="s">
        <v>2472</v>
      </c>
      <c r="K236" t="s">
        <v>2473</v>
      </c>
      <c r="L236" t="s">
        <v>2474</v>
      </c>
      <c r="M236" t="s">
        <v>2475</v>
      </c>
      <c r="N236" t="s">
        <v>2476</v>
      </c>
      <c r="O236" t="s">
        <v>2277</v>
      </c>
      <c r="P236" t="s">
        <v>2477</v>
      </c>
      <c r="Q236" t="s">
        <v>2478</v>
      </c>
      <c r="R236" t="s">
        <v>2479</v>
      </c>
      <c r="V236" t="s">
        <v>2480</v>
      </c>
      <c r="W236" t="s">
        <v>2481</v>
      </c>
    </row>
    <row r="237" ht="25.5" customHeight="1" spans="1:23">
      <c r="A237">
        <v>1639009235</v>
      </c>
      <c r="B237">
        <v>7723811220</v>
      </c>
      <c r="C237" s="2" t="str">
        <f>HYPERLINK("https://weidian.com/item.html?itemID=7723811220","https://weidian.com/item.html?itemID=7723811220")</f>
        <v>https://weidian.com/item.html?itemID=7723811220</v>
      </c>
      <c r="E237" s="2" t="str">
        <f>HYPERLINK("https://si.geilicdn.com/pcitem902002701844-1faa0000019d3cbacdcb0a231177_1080_1440.jpg?w=640&amp;h=640","https://si.geilicdn.com/pcitem902002701844-1faa0000019d3cbacdcb0a231177_1080_1440.jpg?w=640&amp;h=640")</f>
        <v>https://si.geilicdn.com/pcitem902002701844-1faa0000019d3cbacdcb0a231177_1080_1440.jpg?w=640&amp;h=640</v>
      </c>
      <c r="F237" t="s">
        <v>23</v>
      </c>
      <c r="G237" t="s">
        <v>24</v>
      </c>
      <c r="H237" t="s">
        <v>1091</v>
      </c>
      <c r="I237">
        <v>40.58</v>
      </c>
      <c r="J237" t="s">
        <v>2482</v>
      </c>
      <c r="K237" t="s">
        <v>2483</v>
      </c>
      <c r="L237" t="s">
        <v>2484</v>
      </c>
      <c r="M237" t="s">
        <v>2485</v>
      </c>
      <c r="N237" t="s">
        <v>2486</v>
      </c>
      <c r="O237" t="s">
        <v>238</v>
      </c>
      <c r="P237" t="s">
        <v>2487</v>
      </c>
      <c r="Q237" t="s">
        <v>2488</v>
      </c>
      <c r="R237" t="s">
        <v>2489</v>
      </c>
      <c r="V237" t="s">
        <v>2490</v>
      </c>
      <c r="W237" t="s">
        <v>2491</v>
      </c>
    </row>
    <row r="238" ht="25.5" customHeight="1" spans="1:23">
      <c r="A238">
        <v>1639009235</v>
      </c>
      <c r="B238">
        <v>7723890332</v>
      </c>
      <c r="C238" s="2" t="str">
        <f>HYPERLINK("https://weidian.com/item.html?itemID=7723890332","https://weidian.com/item.html?itemID=7723890332")</f>
        <v>https://weidian.com/item.html?itemID=7723890332</v>
      </c>
      <c r="E238" s="2" t="str">
        <f>HYPERLINK("https://si.geilicdn.com/pcitem902002701844-3e020000019d3cbb681d0a23037f_1160_1547.jpg?w=640&amp;h=640","https://si.geilicdn.com/pcitem902002701844-3e020000019d3cbb681d0a23037f_1160_1547.jpg?w=640&amp;h=640")</f>
        <v>https://si.geilicdn.com/pcitem902002701844-3e020000019d3cbb681d0a23037f_1160_1547.jpg?w=640&amp;h=640</v>
      </c>
      <c r="F238" t="s">
        <v>23</v>
      </c>
      <c r="G238" t="s">
        <v>89</v>
      </c>
      <c r="H238" t="s">
        <v>1091</v>
      </c>
      <c r="I238">
        <v>40.58</v>
      </c>
      <c r="J238" t="s">
        <v>2492</v>
      </c>
      <c r="K238" t="s">
        <v>2493</v>
      </c>
      <c r="L238" t="s">
        <v>2494</v>
      </c>
      <c r="M238" t="s">
        <v>2495</v>
      </c>
      <c r="N238" t="s">
        <v>2496</v>
      </c>
      <c r="O238" t="s">
        <v>96</v>
      </c>
      <c r="P238" t="s">
        <v>2497</v>
      </c>
      <c r="Q238" t="s">
        <v>2498</v>
      </c>
      <c r="R238" t="s">
        <v>2499</v>
      </c>
      <c r="V238" t="s">
        <v>2500</v>
      </c>
      <c r="W238" t="s">
        <v>2501</v>
      </c>
    </row>
    <row r="239" ht="25.5" customHeight="1" spans="1:23">
      <c r="A239">
        <v>1639009235</v>
      </c>
      <c r="B239">
        <v>7724210900</v>
      </c>
      <c r="C239" s="2" t="str">
        <f>HYPERLINK("https://weidian.com/item.html?itemID=7724210900","https://weidian.com/item.html?itemID=7724210900")</f>
        <v>https://weidian.com/item.html?itemID=7724210900</v>
      </c>
      <c r="E239" s="2" t="str">
        <f>HYPERLINK("https://si.geilicdn.com/pcitem902002701844-7cc40000019d3e34a1f80a8132bd_1080_1440.jpg?w=640&amp;h=640","https://si.geilicdn.com/pcitem902002701844-7cc40000019d3e34a1f80a8132bd_1080_1440.jpg?w=640&amp;h=640")</f>
        <v>https://si.geilicdn.com/pcitem902002701844-7cc40000019d3e34a1f80a8132bd_1080_1440.jpg?w=640&amp;h=640</v>
      </c>
      <c r="F239" t="s">
        <v>23</v>
      </c>
      <c r="G239" t="s">
        <v>2220</v>
      </c>
      <c r="H239" t="s">
        <v>2502</v>
      </c>
      <c r="I239">
        <v>49.2753623188405</v>
      </c>
      <c r="J239" t="s">
        <v>2503</v>
      </c>
      <c r="K239" t="s">
        <v>2504</v>
      </c>
      <c r="L239" t="s">
        <v>2505</v>
      </c>
      <c r="M239" t="s">
        <v>2506</v>
      </c>
      <c r="N239" t="s">
        <v>2507</v>
      </c>
      <c r="O239" t="s">
        <v>2015</v>
      </c>
      <c r="P239" t="s">
        <v>2508</v>
      </c>
      <c r="Q239" t="s">
        <v>2509</v>
      </c>
      <c r="R239" t="s">
        <v>2510</v>
      </c>
      <c r="V239" t="s">
        <v>2511</v>
      </c>
      <c r="W239" t="s">
        <v>2512</v>
      </c>
    </row>
    <row r="240" ht="25.5" customHeight="1" spans="1:23">
      <c r="A240">
        <v>1639009235</v>
      </c>
      <c r="B240">
        <v>7721280071</v>
      </c>
      <c r="C240" s="2" t="str">
        <f>HYPERLINK("https://weidian.com/item.html?itemID=7721280071","https://weidian.com/item.html?itemID=7721280071")</f>
        <v>https://weidian.com/item.html?itemID=7721280071</v>
      </c>
      <c r="E240" s="2" t="str">
        <f>HYPERLINK("https://si.geilicdn.com/pcitem902002701844-4ce80000019d3e2bcfd40a20e7c7_1160_1547.jpg?w=640&amp;h=640","https://si.geilicdn.com/pcitem902002701844-4ce80000019d3e2bcfd40a20e7c7_1160_1547.jpg?w=640&amp;h=640")</f>
        <v>https://si.geilicdn.com/pcitem902002701844-4ce80000019d3e2bcfd40a20e7c7_1160_1547.jpg?w=640&amp;h=640</v>
      </c>
      <c r="F240" t="s">
        <v>23</v>
      </c>
      <c r="G240" t="s">
        <v>2220</v>
      </c>
      <c r="H240" t="s">
        <v>1091</v>
      </c>
      <c r="I240">
        <v>40.58</v>
      </c>
      <c r="J240" t="s">
        <v>2513</v>
      </c>
      <c r="K240" t="s">
        <v>2514</v>
      </c>
      <c r="L240" t="s">
        <v>2515</v>
      </c>
      <c r="M240" t="s">
        <v>2516</v>
      </c>
      <c r="N240" t="s">
        <v>2517</v>
      </c>
      <c r="O240" t="s">
        <v>2015</v>
      </c>
      <c r="P240" t="s">
        <v>2518</v>
      </c>
      <c r="Q240" t="s">
        <v>2519</v>
      </c>
      <c r="R240" t="s">
        <v>2520</v>
      </c>
      <c r="V240" t="s">
        <v>2521</v>
      </c>
      <c r="W240" t="s">
        <v>2522</v>
      </c>
    </row>
    <row r="241" ht="25.5" customHeight="1" spans="1:24">
      <c r="A241">
        <v>1639009235</v>
      </c>
      <c r="B241">
        <v>7721185573</v>
      </c>
      <c r="C241" s="2" t="str">
        <f>HYPERLINK("https://weidian.com/item.html?itemID=7721185573","https://weidian.com/item.html?itemID=7721185573")</f>
        <v>https://weidian.com/item.html?itemID=7721185573</v>
      </c>
      <c r="E241" s="2" t="str">
        <f>HYPERLINK("https://si.geilicdn.com/pcitem902002701844-62f30000019d3e2ecca20a23047e_1160_1547.jpg?w=640&amp;h=640","https://si.geilicdn.com/pcitem902002701844-62f30000019d3e2ecca20a23047e_1160_1547.jpg?w=640&amp;h=640")</f>
        <v>https://si.geilicdn.com/pcitem902002701844-62f30000019d3e2ecca20a23047e_1160_1547.jpg?w=640&amp;h=640</v>
      </c>
      <c r="F241" t="s">
        <v>23</v>
      </c>
      <c r="G241" t="s">
        <v>89</v>
      </c>
      <c r="H241" t="s">
        <v>1091</v>
      </c>
      <c r="I241">
        <v>40.58</v>
      </c>
      <c r="J241" t="s">
        <v>2523</v>
      </c>
      <c r="K241" t="s">
        <v>2524</v>
      </c>
      <c r="L241" t="s">
        <v>2525</v>
      </c>
      <c r="M241" t="s">
        <v>2526</v>
      </c>
      <c r="N241" t="s">
        <v>2527</v>
      </c>
      <c r="O241" t="s">
        <v>2528</v>
      </c>
      <c r="P241" t="s">
        <v>2529</v>
      </c>
      <c r="Q241" t="s">
        <v>2530</v>
      </c>
      <c r="R241" t="s">
        <v>2531</v>
      </c>
      <c r="V241" t="s">
        <v>2532</v>
      </c>
      <c r="W241" t="s">
        <v>2533</v>
      </c>
    </row>
    <row r="242" ht="25.5" customHeight="1" spans="1:24">
      <c r="A242">
        <v>1639009235</v>
      </c>
      <c r="B242">
        <v>7724214852</v>
      </c>
      <c r="C242" s="2" t="str">
        <f>HYPERLINK("https://weidian.com/item.html?itemID=7724214852","https://weidian.com/item.html?itemID=7724214852")</f>
        <v>https://weidian.com/item.html?itemID=7724214852</v>
      </c>
      <c r="E242" s="2" t="str">
        <f>HYPERLINK("https://si.geilicdn.com/pcitem902002701844-5f020000019d3e3026f00a81347d_1160_1547.jpg?w=640&amp;h=640","https://si.geilicdn.com/pcitem902002701844-5f020000019d3e3026f00a81347d_1160_1547.jpg?w=640&amp;h=640")</f>
        <v>https://si.geilicdn.com/pcitem902002701844-5f020000019d3e3026f00a81347d_1160_1547.jpg?w=640&amp;h=640</v>
      </c>
      <c r="F242" t="s">
        <v>23</v>
      </c>
      <c r="G242" t="s">
        <v>2220</v>
      </c>
      <c r="H242" t="s">
        <v>544</v>
      </c>
      <c r="I242">
        <v>78.26</v>
      </c>
      <c r="J242" t="s">
        <v>2534</v>
      </c>
      <c r="K242" t="s">
        <v>2535</v>
      </c>
      <c r="L242" t="s">
        <v>2536</v>
      </c>
      <c r="M242" t="s">
        <v>2537</v>
      </c>
      <c r="N242" t="s">
        <v>2538</v>
      </c>
      <c r="O242" t="s">
        <v>2539</v>
      </c>
      <c r="P242" t="s">
        <v>2540</v>
      </c>
      <c r="Q242" t="s">
        <v>2541</v>
      </c>
      <c r="R242" t="s">
        <v>2542</v>
      </c>
      <c r="V242" t="s">
        <v>2543</v>
      </c>
      <c r="W242" t="s">
        <v>2544</v>
      </c>
    </row>
    <row r="243" ht="25.5" customHeight="1" spans="1:24">
      <c r="A243">
        <v>1639009235</v>
      </c>
      <c r="B243">
        <v>7721305861</v>
      </c>
      <c r="C243" s="2" t="str">
        <f>HYPERLINK("https://weidian.com/item.html?itemID=7721305861","https://weidian.com/item.html?itemID=7721305861")</f>
        <v>https://weidian.com/item.html?itemID=7721305861</v>
      </c>
      <c r="E243" s="2" t="str">
        <f>HYPERLINK("https://si.geilicdn.com/pcitem902002701844-5a790000019d3e320ebd0a210256_1160_1547.jpg?w=640&amp;h=640","https://si.geilicdn.com/pcitem902002701844-5a790000019d3e320ebd0a210256_1160_1547.jpg?w=640&amp;h=640")</f>
        <v>https://si.geilicdn.com/pcitem902002701844-5a790000019d3e320ebd0a210256_1160_1547.jpg?w=640&amp;h=640</v>
      </c>
      <c r="F243" t="s">
        <v>23</v>
      </c>
      <c r="G243" t="s">
        <v>2220</v>
      </c>
      <c r="H243" t="s">
        <v>1091</v>
      </c>
      <c r="I243">
        <v>40.58</v>
      </c>
      <c r="J243" t="s">
        <v>2545</v>
      </c>
      <c r="K243" t="s">
        <v>2546</v>
      </c>
      <c r="L243" t="s">
        <v>2547</v>
      </c>
      <c r="M243" t="s">
        <v>2548</v>
      </c>
      <c r="N243" t="s">
        <v>2549</v>
      </c>
      <c r="O243" t="s">
        <v>2015</v>
      </c>
      <c r="P243" t="s">
        <v>2550</v>
      </c>
      <c r="Q243" t="s">
        <v>2551</v>
      </c>
      <c r="R243" t="s">
        <v>2552</v>
      </c>
      <c r="V243" t="s">
        <v>2553</v>
      </c>
      <c r="W243" t="s">
        <v>2554</v>
      </c>
    </row>
    <row r="244" ht="25.5" customHeight="1" spans="1:24">
      <c r="A244">
        <v>1639009235</v>
      </c>
      <c r="B244">
        <v>7721307891</v>
      </c>
      <c r="C244" s="2" t="str">
        <f>HYPERLINK("https://weidian.com/item.html?itemID=7721307891","https://weidian.com/item.html?itemID=7721307891")</f>
        <v>https://weidian.com/item.html?itemID=7721307891</v>
      </c>
      <c r="E244" s="2" t="str">
        <f>HYPERLINK("https://si.geilicdn.com/pcitem902002701844-64cd0000019d3e3602250a230115_1080_1440.jpg?w=640&amp;h=640","https://si.geilicdn.com/pcitem902002701844-64cd0000019d3e3602250a230115_1080_1440.jpg?w=640&amp;h=640")</f>
        <v>https://si.geilicdn.com/pcitem902002701844-64cd0000019d3e3602250a230115_1080_1440.jpg?w=640&amp;h=640</v>
      </c>
      <c r="F244" t="s">
        <v>23</v>
      </c>
      <c r="G244" t="s">
        <v>2220</v>
      </c>
      <c r="H244" t="s">
        <v>2502</v>
      </c>
      <c r="I244">
        <v>49.2898550724637</v>
      </c>
      <c r="J244" t="s">
        <v>2555</v>
      </c>
      <c r="K244" t="s">
        <v>2556</v>
      </c>
      <c r="L244" t="s">
        <v>2557</v>
      </c>
      <c r="M244" t="s">
        <v>2558</v>
      </c>
      <c r="N244" t="s">
        <v>2559</v>
      </c>
      <c r="O244" t="s">
        <v>2015</v>
      </c>
      <c r="P244" t="s">
        <v>2560</v>
      </c>
      <c r="Q244" t="s">
        <v>2561</v>
      </c>
      <c r="R244" t="s">
        <v>2562</v>
      </c>
      <c r="V244" t="s">
        <v>2563</v>
      </c>
      <c r="W244" t="s">
        <v>2564</v>
      </c>
    </row>
    <row r="245" ht="25.5" customHeight="1" spans="1:24">
      <c r="A245">
        <v>1639009235</v>
      </c>
      <c r="B245">
        <v>7721234663</v>
      </c>
      <c r="C245" s="2" t="str">
        <f>HYPERLINK("https://weidian.com/item.html?itemID=7721234663","https://weidian.com/item.html?itemID=7721234663")</f>
        <v>https://weidian.com/item.html?itemID=7721234663</v>
      </c>
      <c r="E245" s="2" t="str">
        <f>HYPERLINK("https://si.geilicdn.com/pcitem902002701844-5b990000019d3e2d04210a20e284_1160_1547.jpg?w=640&amp;h=640","https://si.geilicdn.com/pcitem902002701844-5b990000019d3e2d04210a20e284_1160_1547.jpg?w=640&amp;h=640")</f>
        <v>https://si.geilicdn.com/pcitem902002701844-5b990000019d3e2d04210a20e284_1160_1547.jpg?w=640&amp;h=640</v>
      </c>
      <c r="F245" t="s">
        <v>23</v>
      </c>
      <c r="G245" t="s">
        <v>2220</v>
      </c>
      <c r="H245" t="s">
        <v>2502</v>
      </c>
      <c r="I245">
        <v>49.2898550724637</v>
      </c>
      <c r="J245" t="s">
        <v>2565</v>
      </c>
      <c r="K245" t="s">
        <v>2566</v>
      </c>
      <c r="L245" t="s">
        <v>2567</v>
      </c>
      <c r="M245" t="s">
        <v>2568</v>
      </c>
      <c r="N245" t="s">
        <v>2569</v>
      </c>
      <c r="O245" t="s">
        <v>2015</v>
      </c>
      <c r="P245" t="s">
        <v>2570</v>
      </c>
      <c r="Q245" t="s">
        <v>2571</v>
      </c>
      <c r="R245" t="s">
        <v>2572</v>
      </c>
      <c r="V245" t="s">
        <v>2573</v>
      </c>
      <c r="W245" t="s">
        <v>2574</v>
      </c>
    </row>
    <row r="246" ht="25.5" customHeight="1" spans="1:24">
      <c r="A246">
        <v>1639009235</v>
      </c>
      <c r="B246">
        <v>7724291906</v>
      </c>
      <c r="C246" s="2" t="str">
        <f>HYPERLINK("https://weidian.com/item.html?itemID=7724291906","https://weidian.com/item.html?itemID=7724291906")</f>
        <v>https://weidian.com/item.html?itemID=7724291906</v>
      </c>
      <c r="E246" s="2" t="str">
        <f>HYPERLINK("https://si.geilicdn.com/pcitem902002701844-5f6a0000019d3e3576320a20e284_1080_1440.jpg?w=640&amp;h=640","https://si.geilicdn.com/pcitem902002701844-5f6a0000019d3e3576320a20e284_1080_1440.jpg?w=640&amp;h=640")</f>
        <v>https://si.geilicdn.com/pcitem902002701844-5f6a0000019d3e3576320a20e284_1080_1440.jpg?w=640&amp;h=640</v>
      </c>
      <c r="F246" t="s">
        <v>23</v>
      </c>
      <c r="G246" t="s">
        <v>2220</v>
      </c>
      <c r="H246" t="s">
        <v>2575</v>
      </c>
      <c r="I246">
        <v>63.77</v>
      </c>
      <c r="J246" t="s">
        <v>2576</v>
      </c>
      <c r="K246" t="s">
        <v>2577</v>
      </c>
      <c r="L246" t="s">
        <v>2578</v>
      </c>
      <c r="M246" t="s">
        <v>2579</v>
      </c>
      <c r="N246" t="s">
        <v>2580</v>
      </c>
      <c r="O246" t="s">
        <v>2015</v>
      </c>
      <c r="P246" t="s">
        <v>2581</v>
      </c>
      <c r="Q246" t="s">
        <v>2582</v>
      </c>
      <c r="R246" t="s">
        <v>2583</v>
      </c>
      <c r="V246" t="s">
        <v>2584</v>
      </c>
      <c r="W246" t="s">
        <v>2585</v>
      </c>
    </row>
    <row r="247" ht="25.5" customHeight="1" spans="1:24">
      <c r="A247">
        <v>1639009235</v>
      </c>
      <c r="B247">
        <v>7724194672</v>
      </c>
      <c r="C247" s="2" t="str">
        <f>HYPERLINK("https://weidian.com/item.html?itemID=7724194672","https://weidian.com/item.html?itemID=7724194672")</f>
        <v>https://weidian.com/item.html?itemID=7724194672</v>
      </c>
      <c r="E247" s="2" t="str">
        <f>HYPERLINK("https://si.geilicdn.com/pcitem902002701844-65210000019d3e33e0740a23047e_1080_1440.jpg?w=640&amp;h=640","https://si.geilicdn.com/pcitem902002701844-65210000019d3e33e0740a23047e_1080_1440.jpg?w=640&amp;h=640")</f>
        <v>https://si.geilicdn.com/pcitem902002701844-65210000019d3e33e0740a23047e_1080_1440.jpg?w=640&amp;h=640</v>
      </c>
      <c r="F247" t="s">
        <v>23</v>
      </c>
      <c r="G247" t="s">
        <v>2220</v>
      </c>
      <c r="H247" t="s">
        <v>2575</v>
      </c>
      <c r="I247">
        <v>63.77</v>
      </c>
      <c r="J247" t="s">
        <v>2586</v>
      </c>
      <c r="K247" t="s">
        <v>2587</v>
      </c>
      <c r="L247" t="s">
        <v>2588</v>
      </c>
      <c r="M247" t="s">
        <v>2589</v>
      </c>
      <c r="N247" t="s">
        <v>2590</v>
      </c>
      <c r="O247" t="s">
        <v>2015</v>
      </c>
      <c r="P247" t="s">
        <v>2591</v>
      </c>
      <c r="Q247" t="s">
        <v>2592</v>
      </c>
      <c r="R247" t="s">
        <v>2593</v>
      </c>
      <c r="V247" t="s">
        <v>2594</v>
      </c>
      <c r="W247" t="s">
        <v>2595</v>
      </c>
    </row>
    <row r="248" ht="25.5" customHeight="1" spans="1:24">
      <c r="A248">
        <v>1639009235</v>
      </c>
      <c r="B248">
        <v>7721282073</v>
      </c>
      <c r="C248" s="2" t="str">
        <f>HYPERLINK("https://weidian.com/item.html?itemID=7721282073","https://weidian.com/item.html?itemID=7721282073")</f>
        <v>https://weidian.com/item.html?itemID=7721282073</v>
      </c>
      <c r="E248" s="2" t="str">
        <f>HYPERLINK("https://si.geilicdn.com/pcitem902002701844-52680000019d3e2c641c0a20e273_1160_1547.jpg?w=640&amp;h=640","https://si.geilicdn.com/pcitem902002701844-52680000019d3e2c641c0a20e273_1160_1547.jpg?w=640&amp;h=640")</f>
        <v>https://si.geilicdn.com/pcitem902002701844-52680000019d3e2c641c0a20e273_1160_1547.jpg?w=640&amp;h=640</v>
      </c>
      <c r="F248" t="s">
        <v>23</v>
      </c>
      <c r="G248" t="s">
        <v>2220</v>
      </c>
      <c r="H248" t="s">
        <v>2596</v>
      </c>
      <c r="I248">
        <v>84.06</v>
      </c>
      <c r="J248" t="s">
        <v>2597</v>
      </c>
      <c r="K248" t="s">
        <v>2598</v>
      </c>
      <c r="L248" t="s">
        <v>2599</v>
      </c>
      <c r="M248" t="s">
        <v>2600</v>
      </c>
      <c r="N248" t="s">
        <v>2601</v>
      </c>
      <c r="O248" t="s">
        <v>2015</v>
      </c>
      <c r="P248" t="s">
        <v>2602</v>
      </c>
      <c r="Q248" t="s">
        <v>2603</v>
      </c>
      <c r="R248" t="s">
        <v>2604</v>
      </c>
      <c r="V248" t="s">
        <v>2605</v>
      </c>
      <c r="W248" t="s">
        <v>2606</v>
      </c>
    </row>
    <row r="249" ht="25.5" customHeight="1" spans="1:24">
      <c r="A249">
        <v>1639009235</v>
      </c>
      <c r="B249">
        <v>7721282123</v>
      </c>
      <c r="C249" s="2" t="str">
        <f>HYPERLINK("https://weidian.com/item.html?itemID=7721282123","https://weidian.com/item.html?itemID=7721282123")</f>
        <v>https://weidian.com/item.html?itemID=7721282123</v>
      </c>
      <c r="E249" s="2" t="str">
        <f>HYPERLINK("https://si.geilicdn.com/pcitem902002701844-14c30000019d3e33022f0a21146b_1546_2061.jpg?w=640&amp;h=640","https://si.geilicdn.com/pcitem902002701844-14c30000019d3e33022f0a21146b_1546_2061.jpg?w=640&amp;h=640")</f>
        <v>https://si.geilicdn.com/pcitem902002701844-14c30000019d3e33022f0a21146b_1546_2061.jpg?w=640&amp;h=640</v>
      </c>
      <c r="F249" t="s">
        <v>23</v>
      </c>
      <c r="G249" t="s">
        <v>2220</v>
      </c>
      <c r="H249" t="s">
        <v>2596</v>
      </c>
      <c r="I249">
        <v>84.06</v>
      </c>
      <c r="J249" t="s">
        <v>2607</v>
      </c>
      <c r="K249" t="s">
        <v>2608</v>
      </c>
      <c r="L249" t="s">
        <v>2609</v>
      </c>
      <c r="M249" t="s">
        <v>2610</v>
      </c>
      <c r="N249" t="s">
        <v>2611</v>
      </c>
      <c r="O249" t="s">
        <v>2015</v>
      </c>
      <c r="P249" t="s">
        <v>2612</v>
      </c>
      <c r="Q249" t="s">
        <v>2613</v>
      </c>
      <c r="R249" t="s">
        <v>2614</v>
      </c>
      <c r="V249" t="s">
        <v>2615</v>
      </c>
      <c r="W249" t="s">
        <v>2616</v>
      </c>
    </row>
    <row r="250" ht="25.5" customHeight="1" spans="1:24">
      <c r="A250">
        <v>1639009235</v>
      </c>
      <c r="B250">
        <v>7721315725</v>
      </c>
      <c r="C250" s="2" t="str">
        <f>HYPERLINK("https://weidian.com/item.html?itemID=7721315725","https://weidian.com/item.html?itemID=7721315725")</f>
        <v>https://weidian.com/item.html?itemID=7721315725</v>
      </c>
      <c r="E250" s="2" t="str">
        <f>HYPERLINK("https://si.geilicdn.com/pcitem902002701844-353c0000019d3e2f150c0a20e2c5_1160_1547.jpg?w=640&amp;h=640","https://si.geilicdn.com/pcitem902002701844-353c0000019d3e2f150c0a20e2c5_1160_1547.jpg?w=640&amp;h=640")</f>
        <v>https://si.geilicdn.com/pcitem902002701844-353c0000019d3e2f150c0a20e2c5_1160_1547.jpg?w=640&amp;h=640</v>
      </c>
      <c r="F250" t="s">
        <v>23</v>
      </c>
      <c r="G250" t="s">
        <v>2220</v>
      </c>
      <c r="H250" t="s">
        <v>244</v>
      </c>
      <c r="I250">
        <v>57.97</v>
      </c>
      <c r="J250" t="s">
        <v>2617</v>
      </c>
      <c r="K250" t="s">
        <v>2618</v>
      </c>
      <c r="L250" t="s">
        <v>2619</v>
      </c>
      <c r="M250" t="s">
        <v>2620</v>
      </c>
      <c r="N250" t="s">
        <v>2621</v>
      </c>
      <c r="O250" t="s">
        <v>2015</v>
      </c>
      <c r="P250" t="s">
        <v>2622</v>
      </c>
      <c r="Q250" t="s">
        <v>2623</v>
      </c>
      <c r="R250" t="s">
        <v>2624</v>
      </c>
      <c r="V250" t="s">
        <v>2625</v>
      </c>
      <c r="W250" t="s">
        <v>2626</v>
      </c>
    </row>
    <row r="251" ht="25.5" customHeight="1" spans="1:24">
      <c r="A251">
        <v>1639009235</v>
      </c>
      <c r="B251">
        <v>7724295844</v>
      </c>
      <c r="C251" s="2" t="str">
        <f>HYPERLINK("https://weidian.com/item.html?itemID=7724295844","https://weidian.com/item.html?itemID=7724295844")</f>
        <v>https://weidian.com/item.html?itemID=7724295844</v>
      </c>
      <c r="E251" s="2" t="str">
        <f>HYPERLINK("https://si.geilicdn.com/pcitem902002701844-64ed0000019d3e30e97c0a207569_1160_1547.jpg?w=640&amp;h=640","https://si.geilicdn.com/pcitem902002701844-64ed0000019d3e30e97c0a207569_1160_1547.jpg?w=640&amp;h=640")</f>
        <v>https://si.geilicdn.com/pcitem902002701844-64ed0000019d3e30e97c0a207569_1160_1547.jpg?w=640&amp;h=640</v>
      </c>
      <c r="F251" t="s">
        <v>23</v>
      </c>
      <c r="G251" t="s">
        <v>2627</v>
      </c>
      <c r="H251" t="s">
        <v>244</v>
      </c>
      <c r="I251">
        <v>57.97</v>
      </c>
      <c r="J251" t="s">
        <v>2628</v>
      </c>
      <c r="K251" t="s">
        <v>2629</v>
      </c>
      <c r="L251" t="s">
        <v>2630</v>
      </c>
      <c r="M251" t="s">
        <v>2631</v>
      </c>
      <c r="N251" t="s">
        <v>2632</v>
      </c>
      <c r="O251" t="s">
        <v>2633</v>
      </c>
      <c r="P251" t="s">
        <v>2634</v>
      </c>
      <c r="Q251" t="s">
        <v>2635</v>
      </c>
      <c r="R251" t="s">
        <v>2636</v>
      </c>
      <c r="V251" t="s">
        <v>2637</v>
      </c>
      <c r="W251" t="s">
        <v>2638</v>
      </c>
    </row>
    <row r="252" customFormat="1" ht="25.5" customHeight="1" spans="1:24">
      <c r="A252">
        <v>1701442386</v>
      </c>
      <c r="B252">
        <v>7568668370</v>
      </c>
      <c r="C252" s="2" t="str">
        <f>HYPERLINK("https://weidian.com/item.html?itemID=7568668370","https://weidian.com/item.html?itemID=7568668370")</f>
        <v>https://weidian.com/item.html?itemID=7568668370</v>
      </c>
      <c r="E252" s="2" t="str">
        <f>HYPERLINK("https://si.geilicdn.com/open1701442386-252808396-325c00000199bdcc20f10aa0229a_1080_1080.jpg?w=750&amp;h=750&amp;cp=1","https://si.geilicdn.com/open1701442386-252808396-325c00000199bdcc20f10aa0229a_1080_1080.jpg?w=750&amp;h=750&amp;cp=1")</f>
        <v>https://si.geilicdn.com/open1701442386-252808396-325c00000199bdcc20f10aa0229a_1080_1080.jpg?w=750&amp;h=750&amp;cp=1</v>
      </c>
      <c r="F252" t="s">
        <v>2639</v>
      </c>
      <c r="G252" t="s">
        <v>2640</v>
      </c>
      <c r="H252" t="s">
        <v>1582</v>
      </c>
      <c r="I252">
        <v>98.55</v>
      </c>
      <c r="J252" t="s">
        <v>2641</v>
      </c>
      <c r="K252" t="s">
        <v>2642</v>
      </c>
      <c r="L252" t="s">
        <v>2643</v>
      </c>
      <c r="M252" t="s">
        <v>2644</v>
      </c>
      <c r="N252" t="s">
        <v>2645</v>
      </c>
      <c r="O252" t="s">
        <v>2646</v>
      </c>
      <c r="P252" t="s">
        <v>2647</v>
      </c>
      <c r="Q252" t="s">
        <v>2648</v>
      </c>
      <c r="R252" t="s">
        <v>33</v>
      </c>
      <c r="S252" t="s">
        <v>2649</v>
      </c>
      <c r="W252" t="s">
        <v>2650</v>
      </c>
      <c r="X252" t="s">
        <v>2651</v>
      </c>
    </row>
    <row r="253" customFormat="1" ht="25.5" customHeight="1" spans="1:24">
      <c r="A253">
        <v>1701442386</v>
      </c>
      <c r="B253">
        <v>7583053431</v>
      </c>
      <c r="C253" s="2" t="str">
        <f>HYPERLINK("https://weidian.com/item.html?itemID=7583053431","https://weidian.com/item.html?itemID=7583053431")</f>
        <v>https://weidian.com/item.html?itemID=7583053431</v>
      </c>
      <c r="E253" s="2" t="str">
        <f>HYPERLINK("https://si.geilicdn.com/open1832946205-252808396-4c6c00000197e946b9840a231226_1920_1920.jpg?w=750&amp;h=750&amp;cp=1","https://si.geilicdn.com/open1832946205-252808396-4c6c00000197e946b9840a231226_1920_1920.jpg?w=750&amp;h=750&amp;cp=1")</f>
        <v>https://si.geilicdn.com/open1832946205-252808396-4c6c00000197e946b9840a231226_1920_1920.jpg?w=750&amp;h=750&amp;cp=1</v>
      </c>
      <c r="F253" t="s">
        <v>2639</v>
      </c>
      <c r="G253" t="s">
        <v>2640</v>
      </c>
      <c r="H253" t="s">
        <v>2652</v>
      </c>
      <c r="I253">
        <v>24.64</v>
      </c>
      <c r="J253" t="s">
        <v>2653</v>
      </c>
      <c r="K253" t="s">
        <v>2654</v>
      </c>
      <c r="L253" t="s">
        <v>2655</v>
      </c>
      <c r="M253" t="s">
        <v>2656</v>
      </c>
      <c r="N253" t="s">
        <v>2657</v>
      </c>
      <c r="O253" t="s">
        <v>2658</v>
      </c>
      <c r="P253" t="s">
        <v>2647</v>
      </c>
      <c r="Q253" t="s">
        <v>2659</v>
      </c>
      <c r="R253" t="s">
        <v>46</v>
      </c>
      <c r="S253" t="s">
        <v>2660</v>
      </c>
      <c r="W253" t="s">
        <v>2661</v>
      </c>
      <c r="X253" t="s">
        <v>2662</v>
      </c>
    </row>
    <row r="254" customFormat="1" ht="25.5" customHeight="1" spans="1:24">
      <c r="A254">
        <v>1701442386</v>
      </c>
      <c r="B254">
        <v>7582544326</v>
      </c>
      <c r="C254" s="2" t="str">
        <f>HYPERLINK("https://weidian.com/item.html?itemID=7582544326","https://weidian.com/item.html?itemID=7582544326")</f>
        <v>https://weidian.com/item.html?itemID=7582544326</v>
      </c>
      <c r="E254" s="2" t="str">
        <f>HYPERLINK("https://si.geilicdn.com/open1701442386-252808396-4b740000019a0f779f840a23b4de_1000_1000.jpg?w=750&amp;h=750&amp;cp=1","https://si.geilicdn.com/open1701442386-252808396-4b740000019a0f779f840a23b4de_1000_1000.jpg?w=750&amp;h=750&amp;cp=1")</f>
        <v>https://si.geilicdn.com/open1701442386-252808396-4b740000019a0f779f840a23b4de_1000_1000.jpg?w=750&amp;h=750&amp;cp=1</v>
      </c>
      <c r="F254" t="s">
        <v>2639</v>
      </c>
      <c r="G254" t="s">
        <v>2663</v>
      </c>
      <c r="H254" t="s">
        <v>2664</v>
      </c>
      <c r="I254">
        <v>52.9</v>
      </c>
      <c r="J254" t="s">
        <v>2665</v>
      </c>
      <c r="K254" t="s">
        <v>2666</v>
      </c>
      <c r="L254" t="s">
        <v>2667</v>
      </c>
      <c r="M254" t="s">
        <v>2668</v>
      </c>
      <c r="N254" t="s">
        <v>2669</v>
      </c>
      <c r="O254" t="s">
        <v>2670</v>
      </c>
      <c r="P254" t="s">
        <v>2671</v>
      </c>
      <c r="Q254" t="s">
        <v>2672</v>
      </c>
      <c r="R254" t="s">
        <v>59</v>
      </c>
      <c r="S254" t="s">
        <v>2673</v>
      </c>
      <c r="W254" t="s">
        <v>2674</v>
      </c>
      <c r="X254" t="s">
        <v>2675</v>
      </c>
    </row>
    <row r="255" customFormat="1" ht="25.5" customHeight="1" spans="1:24">
      <c r="A255">
        <v>1701442386</v>
      </c>
      <c r="B255">
        <v>7580676633</v>
      </c>
      <c r="C255" s="2" t="str">
        <f>HYPERLINK("https://weidian.com/item.html?itemID=7580676633","https://weidian.com/item.html?itemID=7580676633")</f>
        <v>https://weidian.com/item.html?itemID=7580676633</v>
      </c>
      <c r="E255" s="2" t="str">
        <f>HYPERLINK("https://si.geilicdn.com/open1701442386-252808396-6e210000019a0fadc1af0a231226_748_748.jpg?w=750&amp;h=750&amp;cp=1","https://si.geilicdn.com/open1701442386-252808396-6e210000019a0fadc1af0a231226_748_748.jpg?w=750&amp;h=750&amp;cp=1")</f>
        <v>https://si.geilicdn.com/open1701442386-252808396-6e210000019a0fadc1af0a231226_748_748.jpg?w=750&amp;h=750&amp;cp=1</v>
      </c>
      <c r="F255" t="s">
        <v>2676</v>
      </c>
      <c r="G255" t="s">
        <v>2677</v>
      </c>
      <c r="H255" t="s">
        <v>2678</v>
      </c>
      <c r="I255">
        <v>30.43</v>
      </c>
      <c r="J255" t="s">
        <v>2679</v>
      </c>
      <c r="K255" t="s">
        <v>2680</v>
      </c>
      <c r="L255" t="s">
        <v>2681</v>
      </c>
      <c r="M255" t="s">
        <v>2682</v>
      </c>
      <c r="N255" t="s">
        <v>2683</v>
      </c>
      <c r="O255" t="s">
        <v>2684</v>
      </c>
      <c r="P255" t="s">
        <v>2685</v>
      </c>
      <c r="Q255" t="s">
        <v>2686</v>
      </c>
      <c r="R255" t="s">
        <v>72</v>
      </c>
      <c r="S255" t="s">
        <v>2687</v>
      </c>
      <c r="W255" t="s">
        <v>2688</v>
      </c>
      <c r="X255" t="s">
        <v>2689</v>
      </c>
    </row>
    <row r="256" customFormat="1" ht="25.5" customHeight="1" spans="1:24">
      <c r="A256">
        <v>1701442386</v>
      </c>
      <c r="B256">
        <v>7582595922</v>
      </c>
      <c r="C256" s="2" t="str">
        <f>HYPERLINK("https://weidian.com/item.html?itemID=7582595922","https://weidian.com/item.html?itemID=7582595922")</f>
        <v>https://weidian.com/item.html?itemID=7582595922</v>
      </c>
      <c r="E256" s="2" t="str">
        <f>HYPERLINK("https://si.geilicdn.com/open1701442386-252808396-6a200000019a0faa81ad0a23b4de_1920_1920.jpg?w=750&amp;h=750&amp;cp=1","https://si.geilicdn.com/open1701442386-252808396-6a200000019a0faa81ad0a23b4de_1920_1920.jpg?w=750&amp;h=750&amp;cp=1")</f>
        <v>https://si.geilicdn.com/open1701442386-252808396-6a200000019a0faa81ad0a23b4de_1920_1920.jpg?w=750&amp;h=750&amp;cp=1</v>
      </c>
      <c r="F256" t="s">
        <v>1624</v>
      </c>
      <c r="G256" t="s">
        <v>2690</v>
      </c>
      <c r="H256" t="s">
        <v>2691</v>
      </c>
      <c r="I256">
        <v>38.55</v>
      </c>
      <c r="J256" t="s">
        <v>2692</v>
      </c>
      <c r="K256" t="s">
        <v>2693</v>
      </c>
      <c r="L256" t="s">
        <v>2694</v>
      </c>
      <c r="M256" t="s">
        <v>2695</v>
      </c>
      <c r="N256" t="s">
        <v>2696</v>
      </c>
      <c r="O256" t="s">
        <v>2697</v>
      </c>
      <c r="P256" t="s">
        <v>2698</v>
      </c>
      <c r="Q256" t="s">
        <v>2699</v>
      </c>
      <c r="R256" t="s">
        <v>85</v>
      </c>
      <c r="S256" t="s">
        <v>2700</v>
      </c>
      <c r="W256" t="s">
        <v>2701</v>
      </c>
      <c r="X256" t="s">
        <v>2702</v>
      </c>
    </row>
    <row r="257" customFormat="1" ht="25.5" customHeight="1" spans="1:24">
      <c r="A257">
        <v>1701442386</v>
      </c>
      <c r="B257">
        <v>7584049362</v>
      </c>
      <c r="C257" s="2" t="str">
        <f>HYPERLINK("https://weidian.com/item.html?itemID=7584049362","https://weidian.com/item.html?itemID=7584049362")</f>
        <v>https://weidian.com/item.html?itemID=7584049362</v>
      </c>
      <c r="E257" s="2" t="str">
        <f>HYPERLINK("https://si.geilicdn.com/pcitem901998089496-2ddd0000019a157419900a811411_1024_1024.jpg?w=750&amp;h=750&amp;cp=1","https://si.geilicdn.com/pcitem901998089496-2ddd0000019a157419900a811411_1024_1024.jpg?w=750&amp;h=750&amp;cp=1")</f>
        <v>https://si.geilicdn.com/pcitem901998089496-2ddd0000019a157419900a811411_1024_1024.jpg?w=750&amp;h=750&amp;cp=1</v>
      </c>
      <c r="F257" t="s">
        <v>2639</v>
      </c>
      <c r="G257" t="s">
        <v>2703</v>
      </c>
      <c r="H257" t="s">
        <v>2704</v>
      </c>
      <c r="I257">
        <v>34.64</v>
      </c>
      <c r="J257" t="s">
        <v>2705</v>
      </c>
      <c r="K257" t="s">
        <v>2706</v>
      </c>
      <c r="L257" t="s">
        <v>2707</v>
      </c>
      <c r="M257" t="s">
        <v>2708</v>
      </c>
      <c r="N257" t="s">
        <v>2709</v>
      </c>
      <c r="O257" t="s">
        <v>2710</v>
      </c>
      <c r="P257" t="s">
        <v>2711</v>
      </c>
      <c r="R257" t="s">
        <v>2712</v>
      </c>
      <c r="S257" t="s">
        <v>2713</v>
      </c>
      <c r="W257" t="s">
        <v>2714</v>
      </c>
      <c r="X257" t="s">
        <v>2715</v>
      </c>
    </row>
    <row r="258" customFormat="1" ht="25.5" customHeight="1" spans="1:24">
      <c r="A258">
        <v>1701442386</v>
      </c>
      <c r="B258">
        <v>7582661882</v>
      </c>
      <c r="C258" s="2" t="str">
        <f>HYPERLINK("https://weidian.com/item.html?itemID=7582661882","https://weidian.com/item.html?itemID=7582661882")</f>
        <v>https://weidian.com/item.html?itemID=7582661882</v>
      </c>
      <c r="E258" s="2" t="str">
        <f>HYPERLINK("https://si.geilicdn.com/open1701442386-252808396-6f5f0000019a0fb311b20a231226_1200_1800.jpg?w=640&amp;h=640","https://si.geilicdn.com/open1701442386-252808396-6f5f0000019a0fb311b20a231226_1200_1800.jpg?w=640&amp;h=640")</f>
        <v>https://si.geilicdn.com/open1701442386-252808396-6f5f0000019a0fb311b20a231226_1200_1800.jpg?w=640&amp;h=640</v>
      </c>
      <c r="F258" t="s">
        <v>2676</v>
      </c>
      <c r="G258" t="s">
        <v>2677</v>
      </c>
      <c r="H258" t="s">
        <v>2716</v>
      </c>
      <c r="I258">
        <v>21.45</v>
      </c>
      <c r="J258" t="s">
        <v>2717</v>
      </c>
      <c r="K258" t="s">
        <v>2718</v>
      </c>
      <c r="L258" t="s">
        <v>2719</v>
      </c>
      <c r="M258" t="s">
        <v>2720</v>
      </c>
      <c r="N258" t="s">
        <v>2721</v>
      </c>
      <c r="O258" t="s">
        <v>2722</v>
      </c>
      <c r="P258" t="s">
        <v>2723</v>
      </c>
      <c r="Q258" t="s">
        <v>2724</v>
      </c>
      <c r="R258" t="s">
        <v>2725</v>
      </c>
      <c r="S258" t="s">
        <v>2726</v>
      </c>
      <c r="W258" t="s">
        <v>2727</v>
      </c>
      <c r="X258" t="s">
        <v>2728</v>
      </c>
    </row>
    <row r="259" customFormat="1" ht="25.5" customHeight="1" spans="1:24">
      <c r="A259">
        <v>1701442386</v>
      </c>
      <c r="B259">
        <v>7580610791</v>
      </c>
      <c r="C259" s="2" t="str">
        <f>HYPERLINK("https://weidian.com/item.html?itemID=7580610791","https://weidian.com/item.html?itemID=7580610791")</f>
        <v>https://weidian.com/item.html?itemID=7580610791</v>
      </c>
      <c r="E259" s="2" t="str">
        <f>HYPERLINK("https://si.geilicdn.com/open1701442386-252808396-564c0000019a0f94272f0a23b4de_1432_1432.jpg?w=750&amp;h=750&amp;cp=1","https://si.geilicdn.com/open1701442386-252808396-564c0000019a0f94272f0a23b4de_1432_1432.jpg?w=750&amp;h=750&amp;cp=1")</f>
        <v>https://si.geilicdn.com/open1701442386-252808396-564c0000019a0f94272f0a23b4de_1432_1432.jpg?w=750&amp;h=750&amp;cp=1</v>
      </c>
      <c r="F259" t="s">
        <v>2639</v>
      </c>
      <c r="G259" t="s">
        <v>2729</v>
      </c>
      <c r="H259" t="s">
        <v>77</v>
      </c>
      <c r="I259">
        <v>43.19</v>
      </c>
      <c r="J259" t="s">
        <v>2730</v>
      </c>
      <c r="K259" t="s">
        <v>2731</v>
      </c>
      <c r="L259" t="s">
        <v>2732</v>
      </c>
      <c r="M259" t="s">
        <v>2733</v>
      </c>
      <c r="N259" t="s">
        <v>2734</v>
      </c>
      <c r="O259" t="s">
        <v>2735</v>
      </c>
      <c r="P259" t="s">
        <v>2736</v>
      </c>
      <c r="Q259" t="s">
        <v>2737</v>
      </c>
      <c r="R259" t="s">
        <v>2738</v>
      </c>
      <c r="S259" t="s">
        <v>2739</v>
      </c>
      <c r="W259" t="s">
        <v>2740</v>
      </c>
      <c r="X259" t="s">
        <v>2741</v>
      </c>
    </row>
    <row r="260" customFormat="1" ht="25.5" customHeight="1" spans="1:24">
      <c r="A260">
        <v>1701442386</v>
      </c>
      <c r="B260">
        <v>7580562823</v>
      </c>
      <c r="C260" s="2" t="str">
        <f>HYPERLINK("https://weidian.com/item.html?itemID=7580562823","https://weidian.com/item.html?itemID=7580562823")</f>
        <v>https://weidian.com/item.html?itemID=7580562823</v>
      </c>
      <c r="E260" s="2" t="str">
        <f>HYPERLINK("https://si.geilicdn.com/open1701442386-252808396-638f0000019a0f669f6a0aa081c2_800_800.jpg?w=640&amp;h=640","https://si.geilicdn.com/open1701442386-252808396-638f0000019a0f669f6a0aa081c2_800_800.jpg?w=640&amp;h=640")</f>
        <v>https://si.geilicdn.com/open1701442386-252808396-638f0000019a0f669f6a0aa081c2_800_800.jpg?w=640&amp;h=640</v>
      </c>
      <c r="F260" t="s">
        <v>2742</v>
      </c>
      <c r="G260" t="s">
        <v>2743</v>
      </c>
      <c r="H260" t="s">
        <v>2744</v>
      </c>
      <c r="I260">
        <v>11.01</v>
      </c>
      <c r="J260" t="s">
        <v>2745</v>
      </c>
      <c r="K260" t="s">
        <v>2746</v>
      </c>
      <c r="L260" t="s">
        <v>2747</v>
      </c>
      <c r="M260" t="s">
        <v>2748</v>
      </c>
      <c r="N260" t="s">
        <v>2749</v>
      </c>
      <c r="O260" t="s">
        <v>2750</v>
      </c>
      <c r="P260" t="s">
        <v>2751</v>
      </c>
      <c r="Q260" t="s">
        <v>2752</v>
      </c>
      <c r="R260" t="s">
        <v>2753</v>
      </c>
      <c r="S260" t="s">
        <v>2754</v>
      </c>
      <c r="W260" t="s">
        <v>2755</v>
      </c>
      <c r="X260" t="s">
        <v>2756</v>
      </c>
    </row>
    <row r="261" customFormat="1" ht="25.5" customHeight="1" spans="1:24">
      <c r="A261">
        <v>1701442386</v>
      </c>
      <c r="B261">
        <v>7582492714</v>
      </c>
      <c r="C261" s="2" t="str">
        <f>HYPERLINK("https://weidian.com/item.html?itemID=7582492714","https://weidian.com/item.html?itemID=7582492714")</f>
        <v>https://weidian.com/item.html?itemID=7582492714</v>
      </c>
      <c r="E261" s="2" t="str">
        <f>HYPERLINK("https://si.geilicdn.com/open1701442386-252808396-43d10000019a0f71acda0aa00428_800_800.jpg?w=640&amp;h=640","https://si.geilicdn.com/open1701442386-252808396-43d10000019a0f71acda0aa00428_800_800.jpg?w=640&amp;h=640")</f>
        <v>https://si.geilicdn.com/open1701442386-252808396-43d10000019a0f71acda0aa00428_800_800.jpg?w=640&amp;h=640</v>
      </c>
      <c r="F261" t="s">
        <v>2639</v>
      </c>
      <c r="G261" t="s">
        <v>2663</v>
      </c>
      <c r="H261" t="s">
        <v>2757</v>
      </c>
      <c r="I261">
        <v>41.45</v>
      </c>
      <c r="J261" t="s">
        <v>2758</v>
      </c>
      <c r="K261" t="s">
        <v>2759</v>
      </c>
      <c r="L261" t="s">
        <v>2760</v>
      </c>
      <c r="M261" t="s">
        <v>2761</v>
      </c>
      <c r="N261" t="s">
        <v>2762</v>
      </c>
      <c r="O261" t="s">
        <v>2763</v>
      </c>
      <c r="P261" t="s">
        <v>2671</v>
      </c>
      <c r="Q261" t="s">
        <v>2764</v>
      </c>
      <c r="R261" t="s">
        <v>2765</v>
      </c>
      <c r="S261" t="s">
        <v>2766</v>
      </c>
      <c r="W261" t="s">
        <v>2767</v>
      </c>
      <c r="X261" t="s">
        <v>2768</v>
      </c>
    </row>
    <row r="262" customFormat="1" ht="25.5" customHeight="1" spans="1:24">
      <c r="A262">
        <v>1701442386</v>
      </c>
      <c r="B262">
        <v>7580596487</v>
      </c>
      <c r="C262" s="2" t="str">
        <f>HYPERLINK("https://weidian.com/item.html?itemID=7580596487","https://weidian.com/item.html?itemID=7580596487")</f>
        <v>https://weidian.com/item.html?itemID=7580596487</v>
      </c>
      <c r="E262" s="2" t="str">
        <f>HYPERLINK("https://si.geilicdn.com/open1701442386-252808396-64b30000019a0f6bc27b0aa081c2_800_800.jpg?w=750&amp;h=750&amp;cp=1","https://si.geilicdn.com/open1701442386-252808396-64b30000019a0f6bc27b0aa081c2_800_800.jpg?w=750&amp;h=750&amp;cp=1")</f>
        <v>https://si.geilicdn.com/open1701442386-252808396-64b30000019a0f6bc27b0aa081c2_800_800.jpg?w=750&amp;h=750&amp;cp=1</v>
      </c>
      <c r="F262" t="s">
        <v>2676</v>
      </c>
      <c r="G262" t="s">
        <v>2769</v>
      </c>
      <c r="H262" t="s">
        <v>2770</v>
      </c>
      <c r="I262">
        <v>13.33</v>
      </c>
      <c r="J262" t="s">
        <v>2771</v>
      </c>
      <c r="K262" t="s">
        <v>2772</v>
      </c>
      <c r="L262" t="s">
        <v>2773</v>
      </c>
      <c r="M262" t="s">
        <v>2774</v>
      </c>
      <c r="N262" t="s">
        <v>2775</v>
      </c>
      <c r="O262" t="s">
        <v>2776</v>
      </c>
      <c r="P262" t="s">
        <v>2777</v>
      </c>
      <c r="Q262" t="s">
        <v>2778</v>
      </c>
      <c r="R262" t="s">
        <v>2779</v>
      </c>
      <c r="S262" t="s">
        <v>2780</v>
      </c>
      <c r="W262" t="s">
        <v>2781</v>
      </c>
      <c r="X262" t="s">
        <v>2782</v>
      </c>
    </row>
    <row r="263" customFormat="1" ht="25.5" customHeight="1" spans="1:24">
      <c r="A263">
        <v>1701442386</v>
      </c>
      <c r="B263">
        <v>7575471886</v>
      </c>
      <c r="C263" s="2" t="str">
        <f>HYPERLINK("https://weidian.com/item.html?itemID=7575471886","https://weidian.com/item.html?itemID=7575471886")</f>
        <v>https://weidian.com/item.html?itemID=7575471886</v>
      </c>
      <c r="E263" s="2" t="str">
        <f>HYPERLINK("https://si.geilicdn.com/open1701442386-252808396-291600000199ecb1f8eb0aa081c2_1920_1920.jpg?w=750&amp;h=750&amp;cp=1","https://si.geilicdn.com/open1701442386-252808396-291600000199ecb1f8eb0aa081c2_1920_1920.jpg?w=750&amp;h=750&amp;cp=1")</f>
        <v>https://si.geilicdn.com/open1701442386-252808396-291600000199ecb1f8eb0aa081c2_1920_1920.jpg?w=750&amp;h=750&amp;cp=1</v>
      </c>
      <c r="F263" t="s">
        <v>2639</v>
      </c>
      <c r="G263" t="s">
        <v>2783</v>
      </c>
      <c r="H263" t="s">
        <v>2784</v>
      </c>
      <c r="I263">
        <v>56.52</v>
      </c>
      <c r="J263" t="s">
        <v>2785</v>
      </c>
      <c r="K263" t="s">
        <v>2786</v>
      </c>
      <c r="L263" t="s">
        <v>2787</v>
      </c>
      <c r="M263" t="s">
        <v>2788</v>
      </c>
      <c r="N263" t="s">
        <v>2789</v>
      </c>
      <c r="O263" t="s">
        <v>2790</v>
      </c>
      <c r="P263" t="s">
        <v>2791</v>
      </c>
      <c r="Q263" t="s">
        <v>2792</v>
      </c>
      <c r="R263" t="s">
        <v>2793</v>
      </c>
      <c r="S263" t="s">
        <v>2794</v>
      </c>
      <c r="W263" t="s">
        <v>2795</v>
      </c>
      <c r="X263" t="s">
        <v>2796</v>
      </c>
    </row>
    <row r="264" customFormat="1" ht="25.5" customHeight="1" spans="1:24">
      <c r="A264">
        <v>1701442386</v>
      </c>
      <c r="B264">
        <v>7573471209</v>
      </c>
      <c r="C264" s="2" t="str">
        <f>HYPERLINK("https://weidian.com/item.html?itemID=7573471209","https://weidian.com/item.html?itemID=7573471209")</f>
        <v>https://weidian.com/item.html?itemID=7573471209</v>
      </c>
      <c r="E264" s="2" t="str">
        <f>HYPERLINK("https://si.geilicdn.com/open1701442386-252808396-04e600000199ecb146830a8115c2_1200_1200.jpg?w=750&amp;h=750&amp;cp=1","https://si.geilicdn.com/open1701442386-252808396-04e600000199ecb146830a8115c2_1200_1200.jpg?w=750&amp;h=750&amp;cp=1")</f>
        <v>https://si.geilicdn.com/open1701442386-252808396-04e600000199ecb146830a8115c2_1200_1200.jpg?w=750&amp;h=750&amp;cp=1</v>
      </c>
      <c r="F264" t="s">
        <v>1624</v>
      </c>
      <c r="G264" t="s">
        <v>2797</v>
      </c>
      <c r="H264" t="s">
        <v>2798</v>
      </c>
      <c r="I264">
        <v>35.36</v>
      </c>
      <c r="J264" t="s">
        <v>2799</v>
      </c>
      <c r="K264" t="s">
        <v>2800</v>
      </c>
      <c r="L264" t="s">
        <v>2801</v>
      </c>
      <c r="M264" t="s">
        <v>2802</v>
      </c>
      <c r="N264" t="s">
        <v>2803</v>
      </c>
      <c r="O264" t="s">
        <v>2804</v>
      </c>
      <c r="P264" t="s">
        <v>2805</v>
      </c>
      <c r="Q264" t="s">
        <v>2806</v>
      </c>
      <c r="R264" t="s">
        <v>2807</v>
      </c>
      <c r="S264" t="s">
        <v>2808</v>
      </c>
      <c r="W264" t="s">
        <v>2809</v>
      </c>
      <c r="X264" t="s">
        <v>2810</v>
      </c>
    </row>
    <row r="265" customFormat="1" ht="25.5" customHeight="1" spans="1:24">
      <c r="A265">
        <v>1701442386</v>
      </c>
      <c r="B265">
        <v>7573710650</v>
      </c>
      <c r="C265" s="2" t="str">
        <f>HYPERLINK("https://weidian.com/item.html?itemID=7573710650","https://weidian.com/item.html?itemID=7573710650")</f>
        <v>https://weidian.com/item.html?itemID=7573710650</v>
      </c>
      <c r="E265" s="2" t="str">
        <f>HYPERLINK("https://si.geilicdn.com/open1701442386-252808396-5ec600000199e5a7be290a8115c2_800_800.jpg?w=640&amp;h=640","https://si.geilicdn.com/open1701442386-252808396-5ec600000199e5a7be290a8115c2_800_800.jpg?w=640&amp;h=640")</f>
        <v>https://si.geilicdn.com/open1701442386-252808396-5ec600000199e5a7be290a8115c2_800_800.jpg?w=640&amp;h=640</v>
      </c>
      <c r="F265" t="s">
        <v>1624</v>
      </c>
      <c r="G265" t="s">
        <v>2811</v>
      </c>
      <c r="H265" t="s">
        <v>2812</v>
      </c>
      <c r="I265">
        <v>41.74</v>
      </c>
      <c r="J265" t="s">
        <v>2813</v>
      </c>
      <c r="K265" t="s">
        <v>2814</v>
      </c>
      <c r="L265" t="s">
        <v>2815</v>
      </c>
      <c r="M265" t="s">
        <v>2816</v>
      </c>
      <c r="N265" t="s">
        <v>2817</v>
      </c>
      <c r="O265" t="s">
        <v>2818</v>
      </c>
      <c r="P265" t="s">
        <v>2819</v>
      </c>
      <c r="Q265" t="s">
        <v>2820</v>
      </c>
      <c r="R265" t="s">
        <v>2821</v>
      </c>
      <c r="S265" t="s">
        <v>2822</v>
      </c>
      <c r="W265" t="s">
        <v>2823</v>
      </c>
      <c r="X265" t="s">
        <v>2824</v>
      </c>
    </row>
    <row r="266" customFormat="1" ht="25.5" customHeight="1" spans="1:24">
      <c r="A266">
        <v>1701442386</v>
      </c>
      <c r="B266">
        <v>7579108792</v>
      </c>
      <c r="C266" s="2" t="str">
        <f>HYPERLINK("https://weidian.com/item.html?itemID=7579108792","https://weidian.com/item.html?itemID=7579108792")</f>
        <v>https://weidian.com/item.html?itemID=7579108792</v>
      </c>
      <c r="E266" s="2" t="str">
        <f>HYPERLINK("https://si.geilicdn.com/open1701442386-252808396-7ed00000019a00995be20aa00428_800_1067.jpg?w=640&amp;h=640","https://si.geilicdn.com/open1701442386-252808396-7ed00000019a00995be20aa00428_800_1067.jpg?w=640&amp;h=640")</f>
        <v>https://si.geilicdn.com/open1701442386-252808396-7ed00000019a00995be20aa00428_800_1067.jpg?w=640&amp;h=640</v>
      </c>
      <c r="F266" t="s">
        <v>1624</v>
      </c>
      <c r="G266" t="s">
        <v>2825</v>
      </c>
      <c r="H266" t="s">
        <v>2826</v>
      </c>
      <c r="I266">
        <v>44.93</v>
      </c>
      <c r="J266" t="s">
        <v>2827</v>
      </c>
      <c r="K266" t="s">
        <v>2828</v>
      </c>
      <c r="L266" t="s">
        <v>2829</v>
      </c>
      <c r="M266" t="s">
        <v>2830</v>
      </c>
      <c r="N266" t="s">
        <v>2831</v>
      </c>
      <c r="O266" t="s">
        <v>2832</v>
      </c>
      <c r="P266" t="s">
        <v>2833</v>
      </c>
      <c r="Q266" t="s">
        <v>2834</v>
      </c>
      <c r="R266" t="s">
        <v>2835</v>
      </c>
      <c r="S266" t="s">
        <v>2836</v>
      </c>
      <c r="W266" t="s">
        <v>2837</v>
      </c>
      <c r="X266" t="s">
        <v>2838</v>
      </c>
    </row>
    <row r="267" customFormat="1" ht="25.5" customHeight="1" spans="1:24">
      <c r="A267">
        <v>1701442386</v>
      </c>
      <c r="B267">
        <v>7574987670</v>
      </c>
      <c r="C267" s="2" t="str">
        <f>HYPERLINK("https://weidian.com/item.html?itemID=7574987670","https://weidian.com/item.html?itemID=7574987670")</f>
        <v>https://weidian.com/item.html?itemID=7574987670</v>
      </c>
      <c r="E267" s="2" t="str">
        <f>HYPERLINK("https://si.geilicdn.com/open1701442386-252808396-7b9c00000199ec2634110a22d249_800_800.jpg?w=640&amp;h=640","https://si.geilicdn.com/open1701442386-252808396-7b9c00000199ec2634110a22d249_800_800.jpg?w=640&amp;h=640")</f>
        <v>https://si.geilicdn.com/open1701442386-252808396-7b9c00000199ec2634110a22d249_800_800.jpg?w=640&amp;h=640</v>
      </c>
      <c r="F267" t="s">
        <v>1624</v>
      </c>
      <c r="G267" t="s">
        <v>2839</v>
      </c>
      <c r="H267" t="s">
        <v>2840</v>
      </c>
      <c r="I267">
        <v>22.03</v>
      </c>
      <c r="J267" t="s">
        <v>2841</v>
      </c>
      <c r="K267" t="s">
        <v>2842</v>
      </c>
      <c r="L267" t="s">
        <v>2843</v>
      </c>
      <c r="M267" t="s">
        <v>2844</v>
      </c>
      <c r="N267" t="s">
        <v>2845</v>
      </c>
      <c r="O267" t="s">
        <v>2846</v>
      </c>
      <c r="P267" t="s">
        <v>2847</v>
      </c>
      <c r="Q267" t="s">
        <v>2848</v>
      </c>
      <c r="R267" t="s">
        <v>2849</v>
      </c>
      <c r="S267" t="s">
        <v>2850</v>
      </c>
      <c r="W267" t="s">
        <v>2851</v>
      </c>
      <c r="X267" t="s">
        <v>2852</v>
      </c>
    </row>
    <row r="268" customFormat="1" ht="25.5" customHeight="1" spans="1:24">
      <c r="A268">
        <v>1701442386</v>
      </c>
      <c r="B268">
        <v>7570815151</v>
      </c>
      <c r="C268" s="2" t="str">
        <f>HYPERLINK("https://weidian.com/item.html?itemID=7570815151","https://weidian.com/item.html?itemID=7570815151")</f>
        <v>https://weidian.com/item.html?itemID=7570815151</v>
      </c>
      <c r="E268" s="2" t="str">
        <f>HYPERLINK("https://si.geilicdn.com/open1701442386-252808396-59e800000199de06e2670aa081c2_800_800.jpg?w=750&amp;h=750&amp;cp=1","https://si.geilicdn.com/open1701442386-252808396-59e800000199de06e2670aa081c2_800_800.jpg?w=750&amp;h=750&amp;cp=1")</f>
        <v>https://si.geilicdn.com/open1701442386-252808396-59e800000199de06e2670aa081c2_800_800.jpg?w=750&amp;h=750&amp;cp=1</v>
      </c>
      <c r="F268" t="s">
        <v>1842</v>
      </c>
      <c r="G268" t="s">
        <v>2853</v>
      </c>
      <c r="H268" t="s">
        <v>2854</v>
      </c>
      <c r="I268">
        <v>28.26</v>
      </c>
      <c r="J268" t="s">
        <v>2855</v>
      </c>
      <c r="K268" t="s">
        <v>2856</v>
      </c>
      <c r="L268" t="s">
        <v>2857</v>
      </c>
      <c r="M268" t="s">
        <v>2858</v>
      </c>
      <c r="N268" t="s">
        <v>2859</v>
      </c>
      <c r="O268" t="s">
        <v>2860</v>
      </c>
      <c r="P268" t="s">
        <v>2861</v>
      </c>
      <c r="Q268" t="s">
        <v>2862</v>
      </c>
      <c r="R268" t="s">
        <v>2863</v>
      </c>
      <c r="W268" t="s">
        <v>2864</v>
      </c>
      <c r="X268" t="s">
        <v>2865</v>
      </c>
    </row>
    <row r="269" customFormat="1" ht="25.5" customHeight="1" spans="1:24">
      <c r="A269">
        <v>1701442386</v>
      </c>
      <c r="B269">
        <v>7572783902</v>
      </c>
      <c r="C269" s="2" t="str">
        <f>HYPERLINK("https://weidian.com/item.html?itemID=7572783902","https://weidian.com/item.html?itemID=7572783902")</f>
        <v>https://weidian.com/item.html?itemID=7572783902</v>
      </c>
      <c r="E269" s="2" t="str">
        <f>HYPERLINK("https://si.geilicdn.com/open1701442386-252808396-305600000199ddf8e0a80a22d249_800_800.jpg?w=750&amp;h=750&amp;cp=1","https://si.geilicdn.com/open1701442386-252808396-305600000199ddf8e0a80a22d249_800_800.jpg?w=750&amp;h=750&amp;cp=1")</f>
        <v>https://si.geilicdn.com/open1701442386-252808396-305600000199ddf8e0a80a22d249_800_800.jpg?w=750&amp;h=750&amp;cp=1</v>
      </c>
      <c r="F269" t="s">
        <v>1624</v>
      </c>
      <c r="G269" t="s">
        <v>2866</v>
      </c>
      <c r="H269" t="s">
        <v>2867</v>
      </c>
      <c r="I269">
        <v>33.04</v>
      </c>
      <c r="J269" t="s">
        <v>2868</v>
      </c>
      <c r="K269" t="s">
        <v>2869</v>
      </c>
      <c r="L269" t="s">
        <v>2870</v>
      </c>
      <c r="M269" t="s">
        <v>2871</v>
      </c>
      <c r="N269" t="s">
        <v>2872</v>
      </c>
      <c r="O269" t="s">
        <v>2873</v>
      </c>
      <c r="P269" t="s">
        <v>2874</v>
      </c>
      <c r="Q269" t="s">
        <v>2875</v>
      </c>
      <c r="R269" t="s">
        <v>2876</v>
      </c>
      <c r="S269" t="s">
        <v>2877</v>
      </c>
      <c r="W269" t="s">
        <v>2878</v>
      </c>
      <c r="X269" t="s">
        <v>2879</v>
      </c>
    </row>
    <row r="270" customFormat="1" ht="25.5" customHeight="1" spans="1:24">
      <c r="A270">
        <v>1701442386</v>
      </c>
      <c r="B270">
        <v>7579852911</v>
      </c>
      <c r="C270" s="2" t="str">
        <f>HYPERLINK("https://weidian.com/item.html?itemID=7579852911","https://weidian.com/item.html?itemID=7579852911")</f>
        <v>https://weidian.com/item.html?itemID=7579852911</v>
      </c>
      <c r="E270" s="2" t="str">
        <f>HYPERLINK("https://si.geilicdn.com/open1701442386-252808396-64c60000019a0bb25cdc0aa081c2_1200_1200.jpg?w=750&amp;h=750&amp;cp=1","https://si.geilicdn.com/open1701442386-252808396-64c60000019a0bb25cdc0aa081c2_1200_1200.jpg?w=750&amp;h=750&amp;cp=1")</f>
        <v>https://si.geilicdn.com/open1701442386-252808396-64c60000019a0bb25cdc0aa081c2_1200_1200.jpg?w=750&amp;h=750&amp;cp=1</v>
      </c>
      <c r="F270" t="s">
        <v>1624</v>
      </c>
      <c r="G270" t="s">
        <v>2663</v>
      </c>
      <c r="H270" t="s">
        <v>2880</v>
      </c>
      <c r="I270">
        <v>23.33</v>
      </c>
      <c r="J270" t="s">
        <v>2881</v>
      </c>
      <c r="K270" t="s">
        <v>2882</v>
      </c>
      <c r="L270" t="s">
        <v>2883</v>
      </c>
      <c r="M270" t="s">
        <v>2884</v>
      </c>
      <c r="N270" t="s">
        <v>2885</v>
      </c>
      <c r="O270" t="s">
        <v>2886</v>
      </c>
      <c r="P270" t="s">
        <v>2887</v>
      </c>
      <c r="Q270" t="s">
        <v>2888</v>
      </c>
      <c r="R270" t="s">
        <v>2889</v>
      </c>
      <c r="S270" t="s">
        <v>2890</v>
      </c>
      <c r="W270" t="s">
        <v>2891</v>
      </c>
      <c r="X270" t="s">
        <v>2892</v>
      </c>
    </row>
    <row r="271" customFormat="1" ht="25.5" customHeight="1" spans="1:24">
      <c r="A271">
        <v>1701442386</v>
      </c>
      <c r="B271">
        <v>7579898161</v>
      </c>
      <c r="C271" s="2" t="str">
        <f>HYPERLINK("https://weidian.com/item.html?itemID=7579898161","https://weidian.com/item.html?itemID=7579898161")</f>
        <v>https://weidian.com/item.html?itemID=7579898161</v>
      </c>
      <c r="E271" s="2" t="str">
        <f>HYPERLINK("https://si.geilicdn.com/open1701442386-252808396-44be0000019a0b9929a50a23b491_750_750.jpg?w=750&amp;h=750&amp;cp=1","https://si.geilicdn.com/open1701442386-252808396-44be0000019a0b9929a50a23b491_750_750.jpg?w=750&amp;h=750&amp;cp=1")</f>
        <v>https://si.geilicdn.com/open1701442386-252808396-44be0000019a0b9929a50a23b491_750_750.jpg?w=750&amp;h=750&amp;cp=1</v>
      </c>
      <c r="F271" t="s">
        <v>2893</v>
      </c>
      <c r="G271" t="s">
        <v>2677</v>
      </c>
      <c r="H271" t="s">
        <v>2894</v>
      </c>
      <c r="I271">
        <v>28.1159420289855</v>
      </c>
      <c r="J271" t="s">
        <v>2895</v>
      </c>
      <c r="K271" t="s">
        <v>2896</v>
      </c>
      <c r="L271" t="s">
        <v>2897</v>
      </c>
      <c r="M271" t="s">
        <v>2898</v>
      </c>
      <c r="N271" t="s">
        <v>2899</v>
      </c>
      <c r="O271" t="s">
        <v>2900</v>
      </c>
      <c r="P271" t="s">
        <v>2901</v>
      </c>
      <c r="Q271" t="s">
        <v>2902</v>
      </c>
      <c r="R271" t="s">
        <v>2903</v>
      </c>
      <c r="S271" t="s">
        <v>2904</v>
      </c>
      <c r="W271" t="s">
        <v>2905</v>
      </c>
      <c r="X271" t="s">
        <v>2906</v>
      </c>
    </row>
    <row r="272" customFormat="1" ht="25.5" customHeight="1" spans="1:24">
      <c r="A272">
        <v>1701442386</v>
      </c>
      <c r="B272">
        <v>7579732409</v>
      </c>
      <c r="C272" s="2" t="str">
        <f>HYPERLINK("https://weidian.com/item.html?itemID=7579732409","https://weidian.com/item.html?itemID=7579732409")</f>
        <v>https://weidian.com/item.html?itemID=7579732409</v>
      </c>
      <c r="E272" s="2" t="str">
        <f>HYPERLINK("https://si.geilicdn.com/open1701442386-252808396-40000000019a0aa3fcef0a23b491_800_800.jpg?w=750&amp;h=750&amp;cp=1","https://si.geilicdn.com/open1701442386-252808396-40000000019a0aa3fcef0a23b491_800_800.jpg?w=750&amp;h=750&amp;cp=1")</f>
        <v>https://si.geilicdn.com/open1701442386-252808396-40000000019a0aa3fcef0a23b491_800_800.jpg?w=750&amp;h=750&amp;cp=1</v>
      </c>
      <c r="F272" t="s">
        <v>1624</v>
      </c>
      <c r="G272" t="s">
        <v>2825</v>
      </c>
      <c r="H272" t="s">
        <v>2907</v>
      </c>
      <c r="I272">
        <v>47.1</v>
      </c>
      <c r="J272" t="s">
        <v>2908</v>
      </c>
      <c r="K272" t="s">
        <v>2909</v>
      </c>
      <c r="L272" t="s">
        <v>2910</v>
      </c>
      <c r="M272" t="s">
        <v>2911</v>
      </c>
      <c r="N272" t="s">
        <v>2912</v>
      </c>
      <c r="O272" t="s">
        <v>2913</v>
      </c>
      <c r="P272" t="s">
        <v>2914</v>
      </c>
      <c r="Q272" t="s">
        <v>2915</v>
      </c>
      <c r="R272" t="s">
        <v>2916</v>
      </c>
      <c r="S272" t="s">
        <v>2917</v>
      </c>
      <c r="W272" t="s">
        <v>2918</v>
      </c>
      <c r="X272" t="s">
        <v>2919</v>
      </c>
    </row>
    <row r="273" customFormat="1" ht="25.5" customHeight="1" spans="1:24">
      <c r="A273">
        <v>1701442386</v>
      </c>
      <c r="B273">
        <v>7569445467</v>
      </c>
      <c r="C273" s="2" t="str">
        <f>HYPERLINK("https://weidian.com/item.html?itemID=7569445467","https://weidian.com/item.html?itemID=7569445467")</f>
        <v>https://weidian.com/item.html?itemID=7569445467</v>
      </c>
      <c r="E273" s="2" t="str">
        <f>HYPERLINK("https://si.geilicdn.com/open1701442386-252808396-1d8000000199d36136700a23b491_800_800.jpg?w=640&amp;h=640","https://si.geilicdn.com/open1701442386-252808396-1d8000000199d36136700a23b491_800_800.jpg?w=640&amp;h=640")</f>
        <v>https://si.geilicdn.com/open1701442386-252808396-1d8000000199d36136700a23b491_800_800.jpg?w=640&amp;h=640</v>
      </c>
      <c r="F273" t="s">
        <v>1624</v>
      </c>
      <c r="G273" t="s">
        <v>2853</v>
      </c>
      <c r="H273" t="s">
        <v>2920</v>
      </c>
      <c r="I273">
        <v>31.16</v>
      </c>
      <c r="J273" t="s">
        <v>2921</v>
      </c>
      <c r="K273" t="s">
        <v>2922</v>
      </c>
      <c r="L273" t="s">
        <v>2923</v>
      </c>
      <c r="M273" t="s">
        <v>2924</v>
      </c>
      <c r="N273" t="s">
        <v>2925</v>
      </c>
      <c r="O273" t="s">
        <v>2926</v>
      </c>
      <c r="P273" t="s">
        <v>2927</v>
      </c>
      <c r="Q273" t="s">
        <v>2928</v>
      </c>
      <c r="R273" t="s">
        <v>2929</v>
      </c>
      <c r="S273" t="s">
        <v>2930</v>
      </c>
      <c r="W273" t="s">
        <v>2931</v>
      </c>
      <c r="X273" t="s">
        <v>2932</v>
      </c>
    </row>
    <row r="274" customFormat="1" ht="25.5" customHeight="1" spans="1:24">
      <c r="A274">
        <v>1701442386</v>
      </c>
      <c r="B274">
        <v>7570844611</v>
      </c>
      <c r="C274" s="2" t="str">
        <f>HYPERLINK("https://weidian.com/item.html?itemID=7570844611","https://weidian.com/item.html?itemID=7570844611")</f>
        <v>https://weidian.com/item.html?itemID=7570844611</v>
      </c>
      <c r="E274" s="2" t="str">
        <f>HYPERLINK("https://si.geilicdn.com/open1701442386-252808396-396800000199de0b84800a23b491_640_640.jpg?w=750&amp;h=750&amp;cp=1","https://si.geilicdn.com/open1701442386-252808396-396800000199de0b84800a23b491_640_640.jpg?w=750&amp;h=750&amp;cp=1")</f>
        <v>https://si.geilicdn.com/open1701442386-252808396-396800000199de0b84800a23b491_640_640.jpg?w=750&amp;h=750&amp;cp=1</v>
      </c>
      <c r="F274" t="s">
        <v>1624</v>
      </c>
      <c r="G274" t="s">
        <v>2933</v>
      </c>
      <c r="H274" t="s">
        <v>2934</v>
      </c>
      <c r="I274">
        <v>19.5652173913</v>
      </c>
      <c r="J274" t="s">
        <v>2935</v>
      </c>
      <c r="K274" t="s">
        <v>2936</v>
      </c>
      <c r="L274" t="s">
        <v>2937</v>
      </c>
      <c r="M274" t="s">
        <v>2938</v>
      </c>
      <c r="N274" t="s">
        <v>2939</v>
      </c>
      <c r="O274" t="s">
        <v>2940</v>
      </c>
      <c r="P274" t="s">
        <v>2941</v>
      </c>
      <c r="Q274" t="s">
        <v>2942</v>
      </c>
      <c r="R274" t="s">
        <v>2943</v>
      </c>
      <c r="S274" t="s">
        <v>2944</v>
      </c>
      <c r="W274" t="s">
        <v>2945</v>
      </c>
      <c r="X274" t="s">
        <v>2946</v>
      </c>
    </row>
    <row r="275" customFormat="1" ht="25.5" customHeight="1" spans="1:24">
      <c r="A275">
        <v>1701442386</v>
      </c>
      <c r="B275">
        <v>7572805752</v>
      </c>
      <c r="C275" s="2" t="str">
        <f>HYPERLINK("https://weidian.com/item.html?itemID=7572805752","https://weidian.com/item.html?itemID=7572805752")</f>
        <v>https://weidian.com/item.html?itemID=7572805752</v>
      </c>
      <c r="E275" s="2" t="str">
        <f>HYPERLINK("https://si.geilicdn.com/open1701442386-252808396-363c00000199de07e21a0a23b491_800_800.jpg?w=750&amp;h=750&amp;cp=1","https://si.geilicdn.com/open1701442386-252808396-363c00000199de07e21a0a23b491_800_800.jpg?w=750&amp;h=750&amp;cp=1")</f>
        <v>https://si.geilicdn.com/open1701442386-252808396-363c00000199de07e21a0a23b491_800_800.jpg?w=750&amp;h=750&amp;cp=1</v>
      </c>
      <c r="F275" t="s">
        <v>1624</v>
      </c>
      <c r="G275" t="s">
        <v>2866</v>
      </c>
      <c r="H275" t="s">
        <v>2947</v>
      </c>
      <c r="I275">
        <v>15.8</v>
      </c>
      <c r="J275" t="s">
        <v>2948</v>
      </c>
      <c r="K275" t="s">
        <v>2949</v>
      </c>
      <c r="L275" t="s">
        <v>2950</v>
      </c>
      <c r="M275" t="s">
        <v>2951</v>
      </c>
      <c r="N275" t="s">
        <v>2952</v>
      </c>
      <c r="O275" t="s">
        <v>2953</v>
      </c>
      <c r="P275" t="s">
        <v>2954</v>
      </c>
      <c r="Q275" t="s">
        <v>2955</v>
      </c>
      <c r="R275" t="s">
        <v>2956</v>
      </c>
      <c r="S275" t="s">
        <v>2957</v>
      </c>
      <c r="W275" t="s">
        <v>2958</v>
      </c>
      <c r="X275" t="s">
        <v>2959</v>
      </c>
    </row>
    <row r="276" customFormat="1" ht="25.5" customHeight="1" spans="1:24">
      <c r="A276">
        <v>1701442386</v>
      </c>
      <c r="B276">
        <v>7572750344</v>
      </c>
      <c r="C276" s="2" t="str">
        <f>HYPERLINK("https://weidian.com/item.html?itemID=7572750344","https://weidian.com/item.html?itemID=7572750344")</f>
        <v>https://weidian.com/item.html?itemID=7572750344</v>
      </c>
      <c r="E276" s="2" t="str">
        <f>HYPERLINK("https://si.geilicdn.com/open1701442386-252808396-7d9b00000199ddcb3b620a8115c2_1080_1080.jpg?w=750&amp;h=750&amp;cp=1","https://si.geilicdn.com/open1701442386-252808396-7d9b00000199ddcb3b620a8115c2_1080_1080.jpg?w=750&amp;h=750&amp;cp=1")</f>
        <v>https://si.geilicdn.com/open1701442386-252808396-7d9b00000199ddcb3b620a8115c2_1080_1080.jpg?w=750&amp;h=750&amp;cp=1</v>
      </c>
      <c r="F276" t="s">
        <v>2639</v>
      </c>
      <c r="G276" t="s">
        <v>2960</v>
      </c>
      <c r="H276" t="s">
        <v>126</v>
      </c>
      <c r="I276">
        <v>85.51</v>
      </c>
      <c r="J276" t="s">
        <v>2961</v>
      </c>
      <c r="K276" t="s">
        <v>2962</v>
      </c>
      <c r="L276" t="s">
        <v>2963</v>
      </c>
      <c r="M276" t="s">
        <v>2964</v>
      </c>
      <c r="N276" t="s">
        <v>2965</v>
      </c>
      <c r="O276" t="s">
        <v>2966</v>
      </c>
      <c r="P276" t="s">
        <v>2967</v>
      </c>
      <c r="Q276" t="s">
        <v>2968</v>
      </c>
      <c r="R276" t="s">
        <v>2969</v>
      </c>
      <c r="S276" t="s">
        <v>2970</v>
      </c>
      <c r="W276" t="s">
        <v>2971</v>
      </c>
      <c r="X276" t="s">
        <v>2972</v>
      </c>
    </row>
    <row r="277" customFormat="1" ht="25.5" customHeight="1" spans="1:24">
      <c r="A277">
        <v>1701442386</v>
      </c>
      <c r="B277">
        <v>7573157992</v>
      </c>
      <c r="C277" s="2" t="str">
        <f>HYPERLINK("https://weidian.com/item.html?itemID=7573157992","https://weidian.com/item.html?itemID=7573157992")</f>
        <v>https://weidian.com/item.html?itemID=7573157992</v>
      </c>
      <c r="E277" s="2" t="str">
        <f>HYPERLINK("https://si.geilicdn.com/open1701442386-252808396-67c900000199e100c35c0a23b491_1080_1080.jpg?w=750&amp;h=750&amp;cp=1","https://si.geilicdn.com/open1701442386-252808396-67c900000199e100c35c0a23b491_1080_1080.jpg?w=750&amp;h=750&amp;cp=1")</f>
        <v>https://si.geilicdn.com/open1701442386-252808396-67c900000199e100c35c0a23b491_1080_1080.jpg?w=750&amp;h=750&amp;cp=1</v>
      </c>
      <c r="F277" t="s">
        <v>1624</v>
      </c>
      <c r="G277" t="s">
        <v>2729</v>
      </c>
      <c r="H277" t="s">
        <v>2973</v>
      </c>
      <c r="I277">
        <v>28.41</v>
      </c>
      <c r="J277" t="s">
        <v>2974</v>
      </c>
      <c r="K277" t="s">
        <v>2975</v>
      </c>
      <c r="L277" t="s">
        <v>2976</v>
      </c>
      <c r="M277" t="s">
        <v>2977</v>
      </c>
      <c r="N277" t="s">
        <v>2978</v>
      </c>
      <c r="O277" t="s">
        <v>2979</v>
      </c>
      <c r="P277" t="s">
        <v>2980</v>
      </c>
      <c r="Q277" t="s">
        <v>2981</v>
      </c>
      <c r="R277" t="s">
        <v>2982</v>
      </c>
      <c r="S277" t="s">
        <v>2983</v>
      </c>
      <c r="W277" t="s">
        <v>2984</v>
      </c>
      <c r="X277" t="s">
        <v>2985</v>
      </c>
    </row>
    <row r="278" customFormat="1" ht="25.5" customHeight="1" spans="1:24">
      <c r="A278">
        <v>1701442386</v>
      </c>
      <c r="B278">
        <v>7573243785</v>
      </c>
      <c r="C278" s="2" t="str">
        <f>HYPERLINK("https://weidian.com/item.html?itemID=7573243785","https://weidian.com/item.html?itemID=7573243785")</f>
        <v>https://weidian.com/item.html?itemID=7573243785</v>
      </c>
      <c r="E278" s="2" t="str">
        <f>HYPERLINK("https://si.geilicdn.com/open1701442386-252808396-63a900000199ec4e99310a22d249_800_800.jpg?w=750&amp;h=750&amp;cp=1","https://si.geilicdn.com/open1701442386-252808396-63a900000199ec4e99310a22d249_800_800.jpg?w=750&amp;h=750&amp;cp=1")</f>
        <v>https://si.geilicdn.com/open1701442386-252808396-63a900000199ec4e99310a22d249_800_800.jpg?w=750&amp;h=750&amp;cp=1</v>
      </c>
      <c r="F278" t="s">
        <v>1624</v>
      </c>
      <c r="G278" t="s">
        <v>2825</v>
      </c>
      <c r="H278" t="s">
        <v>2986</v>
      </c>
      <c r="I278">
        <v>42.32</v>
      </c>
      <c r="J278" t="s">
        <v>2987</v>
      </c>
      <c r="K278" t="s">
        <v>2988</v>
      </c>
      <c r="L278" t="s">
        <v>2989</v>
      </c>
      <c r="M278" t="s">
        <v>2990</v>
      </c>
      <c r="N278" t="s">
        <v>2991</v>
      </c>
      <c r="O278" t="s">
        <v>2992</v>
      </c>
      <c r="P278" t="s">
        <v>2993</v>
      </c>
      <c r="Q278" t="s">
        <v>2994</v>
      </c>
      <c r="R278" t="s">
        <v>2995</v>
      </c>
      <c r="S278" t="s">
        <v>2996</v>
      </c>
      <c r="W278" t="s">
        <v>2997</v>
      </c>
      <c r="X278" t="s">
        <v>2998</v>
      </c>
    </row>
    <row r="279" customFormat="1" ht="25.5" customHeight="1" spans="1:24">
      <c r="A279">
        <v>1701442386</v>
      </c>
      <c r="B279">
        <v>7581648100</v>
      </c>
      <c r="C279" s="2" t="str">
        <f>HYPERLINK("https://weidian.com/item.html?itemID=7581648100","https://weidian.com/item.html?itemID=7581648100")</f>
        <v>https://weidian.com/item.html?itemID=7581648100</v>
      </c>
      <c r="E279" s="2" t="str">
        <f>HYPERLINK("https://si.geilicdn.com/open1701442386-252808396-44d80000019a0aa0d46f0a22d249_800_800.jpg?w=750&amp;h=750&amp;cp=1","https://si.geilicdn.com/open1701442386-252808396-44d80000019a0aa0d46f0a22d249_800_800.jpg?w=750&amp;h=750&amp;cp=1")</f>
        <v>https://si.geilicdn.com/open1701442386-252808396-44d80000019a0aa0d46f0a22d249_800_800.jpg?w=750&amp;h=750&amp;cp=1</v>
      </c>
      <c r="F279" t="s">
        <v>1624</v>
      </c>
      <c r="G279" t="s">
        <v>2999</v>
      </c>
      <c r="H279" t="s">
        <v>3000</v>
      </c>
      <c r="I279">
        <v>12.9</v>
      </c>
      <c r="J279" t="s">
        <v>3001</v>
      </c>
      <c r="K279" t="s">
        <v>3002</v>
      </c>
      <c r="L279" t="s">
        <v>3003</v>
      </c>
      <c r="M279" t="s">
        <v>3004</v>
      </c>
      <c r="N279" t="s">
        <v>3005</v>
      </c>
      <c r="O279" t="s">
        <v>3006</v>
      </c>
      <c r="P279" t="s">
        <v>3007</v>
      </c>
      <c r="Q279" t="s">
        <v>3008</v>
      </c>
      <c r="R279" t="s">
        <v>3009</v>
      </c>
      <c r="S279" t="s">
        <v>3010</v>
      </c>
      <c r="W279" t="s">
        <v>3011</v>
      </c>
      <c r="X279" t="s">
        <v>3012</v>
      </c>
    </row>
    <row r="280" customFormat="1" ht="25.5" customHeight="1" spans="1:24">
      <c r="A280">
        <v>1701442386</v>
      </c>
      <c r="B280">
        <v>7573341486</v>
      </c>
      <c r="C280" s="2" t="str">
        <f>HYPERLINK("https://weidian.com/item.html?itemID=7573341486","https://weidian.com/item.html?itemID=7573341486")</f>
        <v>https://weidian.com/item.html?itemID=7573341486</v>
      </c>
      <c r="E280" s="2" t="str">
        <f>HYPERLINK("https://si.geilicdn.com/open1701442386-252808396-155d00000199e289406f0a23b4de_800_800.jpg?w=750&amp;h=750&amp;cp=1","https://si.geilicdn.com/open1701442386-252808396-155d00000199e289406f0a23b4de_800_800.jpg?w=750&amp;h=750&amp;cp=1")</f>
        <v>https://si.geilicdn.com/open1701442386-252808396-155d00000199e289406f0a23b4de_800_800.jpg?w=750&amp;h=750&amp;cp=1</v>
      </c>
      <c r="F280" t="s">
        <v>1842</v>
      </c>
      <c r="G280" t="s">
        <v>2853</v>
      </c>
      <c r="H280" t="s">
        <v>3013</v>
      </c>
      <c r="I280">
        <v>19.71</v>
      </c>
      <c r="J280" t="s">
        <v>3014</v>
      </c>
      <c r="K280" t="s">
        <v>3015</v>
      </c>
      <c r="L280" t="s">
        <v>3016</v>
      </c>
      <c r="M280" t="s">
        <v>3017</v>
      </c>
      <c r="N280" t="s">
        <v>3018</v>
      </c>
      <c r="O280" t="s">
        <v>3019</v>
      </c>
      <c r="P280" t="s">
        <v>3020</v>
      </c>
      <c r="Q280" t="s">
        <v>3021</v>
      </c>
      <c r="R280" t="s">
        <v>3022</v>
      </c>
      <c r="S280" t="s">
        <v>3023</v>
      </c>
      <c r="W280" t="s">
        <v>3024</v>
      </c>
      <c r="X280" t="s">
        <v>3025</v>
      </c>
    </row>
    <row r="281" customFormat="1" ht="25.5" customHeight="1" spans="1:24">
      <c r="A281">
        <v>1701442386</v>
      </c>
      <c r="B281">
        <v>7572669456</v>
      </c>
      <c r="C281" s="2" t="str">
        <f>HYPERLINK("https://weidian.com/item.html?itemID=7572669456","https://weidian.com/item.html?itemID=7572669456")</f>
        <v>https://weidian.com/item.html?itemID=7572669456</v>
      </c>
      <c r="E281" s="2" t="str">
        <f>HYPERLINK("https://si.geilicdn.com/open1701442386-252808396-2b0400000199ddfa1e850a23b4de_876_876.jpg?w=750&amp;h=750&amp;cp=1","https://si.geilicdn.com/open1701442386-252808396-2b0400000199ddfa1e850a23b4de_876_876.jpg?w=750&amp;h=750&amp;cp=1")</f>
        <v>https://si.geilicdn.com/open1701442386-252808396-2b0400000199ddfa1e850a23b4de_876_876.jpg?w=750&amp;h=750&amp;cp=1</v>
      </c>
      <c r="F281" t="s">
        <v>1624</v>
      </c>
      <c r="G281" t="s">
        <v>3026</v>
      </c>
      <c r="H281" t="s">
        <v>3027</v>
      </c>
      <c r="I281">
        <v>27.25</v>
      </c>
      <c r="J281" t="s">
        <v>3028</v>
      </c>
      <c r="K281" t="s">
        <v>3029</v>
      </c>
      <c r="L281" t="s">
        <v>3030</v>
      </c>
      <c r="M281" t="s">
        <v>3031</v>
      </c>
      <c r="N281" t="s">
        <v>3032</v>
      </c>
      <c r="O281" t="s">
        <v>3033</v>
      </c>
      <c r="P281" t="s">
        <v>3034</v>
      </c>
      <c r="Q281" t="s">
        <v>3035</v>
      </c>
      <c r="R281" t="s">
        <v>3036</v>
      </c>
      <c r="S281" t="s">
        <v>3037</v>
      </c>
      <c r="W281" t="s">
        <v>3038</v>
      </c>
      <c r="X281" t="s">
        <v>3039</v>
      </c>
    </row>
    <row r="282" customFormat="1" ht="25.5" customHeight="1" spans="1:24">
      <c r="A282">
        <v>1701442386</v>
      </c>
      <c r="B282">
        <v>7569413375</v>
      </c>
      <c r="C282" s="2" t="str">
        <f>HYPERLINK("https://weidian.com/item.html?itemID=7569413375","https://weidian.com/item.html?itemID=7569413375")</f>
        <v>https://weidian.com/item.html?itemID=7569413375</v>
      </c>
      <c r="E282" s="2" t="str">
        <f>HYPERLINK("https://si.geilicdn.com/open1701442386-252808396-707c00000199d2ddfc620a8115c2_800_800.jpg?w=750&amp;h=750&amp;cp=1","https://si.geilicdn.com/open1701442386-252808396-707c00000199d2ddfc620a8115c2_800_800.jpg?w=750&amp;h=750&amp;cp=1")</f>
        <v>https://si.geilicdn.com/open1701442386-252808396-707c00000199d2ddfc620a8115c2_800_800.jpg?w=750&amp;h=750&amp;cp=1</v>
      </c>
      <c r="F282" t="s">
        <v>1624</v>
      </c>
      <c r="G282" t="s">
        <v>2811</v>
      </c>
      <c r="H282" t="s">
        <v>2812</v>
      </c>
      <c r="I282">
        <v>41.74</v>
      </c>
      <c r="J282" t="s">
        <v>3040</v>
      </c>
      <c r="K282" t="s">
        <v>3041</v>
      </c>
      <c r="L282" t="s">
        <v>3042</v>
      </c>
      <c r="M282" t="s">
        <v>3043</v>
      </c>
      <c r="N282" t="s">
        <v>3044</v>
      </c>
      <c r="O282" t="s">
        <v>3045</v>
      </c>
      <c r="P282" t="s">
        <v>2819</v>
      </c>
      <c r="Q282" t="s">
        <v>3046</v>
      </c>
      <c r="R282" t="s">
        <v>3047</v>
      </c>
      <c r="S282" t="s">
        <v>3048</v>
      </c>
      <c r="W282" t="s">
        <v>3049</v>
      </c>
      <c r="X282" t="s">
        <v>3050</v>
      </c>
    </row>
    <row r="283" customFormat="1" ht="25.5" customHeight="1" spans="1:24">
      <c r="A283">
        <v>1701442386</v>
      </c>
      <c r="B283">
        <v>7573340413</v>
      </c>
      <c r="C283" s="2" t="str">
        <f>HYPERLINK("https://weidian.com/item.html?itemID=7573340413","https://weidian.com/item.html?itemID=7573340413")</f>
        <v>https://weidian.com/item.html?itemID=7573340413</v>
      </c>
      <c r="E283" s="2" t="str">
        <f>HYPERLINK("https://si.geilicdn.com/open1701442386-252808396-067800000199ec743df00a231226_1080_1080.jpg?w=750&amp;h=750&amp;cp=1","https://si.geilicdn.com/open1701442386-252808396-067800000199ec743df00a231226_1080_1080.jpg?w=750&amp;h=750&amp;cp=1")</f>
        <v>https://si.geilicdn.com/open1701442386-252808396-067800000199ec743df00a231226_1080_1080.jpg?w=750&amp;h=750&amp;cp=1</v>
      </c>
      <c r="F283" t="s">
        <v>2639</v>
      </c>
      <c r="G283" t="s">
        <v>2640</v>
      </c>
      <c r="H283" t="s">
        <v>3051</v>
      </c>
      <c r="I283">
        <v>79.71</v>
      </c>
      <c r="J283" t="s">
        <v>3052</v>
      </c>
      <c r="K283" t="s">
        <v>3053</v>
      </c>
      <c r="L283" t="s">
        <v>3054</v>
      </c>
      <c r="M283" t="s">
        <v>3055</v>
      </c>
      <c r="N283" t="s">
        <v>3056</v>
      </c>
      <c r="O283" t="s">
        <v>3057</v>
      </c>
      <c r="P283" t="s">
        <v>2647</v>
      </c>
      <c r="Q283" t="s">
        <v>3058</v>
      </c>
      <c r="R283" t="s">
        <v>3059</v>
      </c>
      <c r="S283" t="s">
        <v>3060</v>
      </c>
      <c r="W283" t="s">
        <v>3061</v>
      </c>
      <c r="X283" t="s">
        <v>3062</v>
      </c>
    </row>
    <row r="284" customFormat="1" ht="25.5" customHeight="1" spans="1:24">
      <c r="A284">
        <v>1701442386</v>
      </c>
      <c r="B284">
        <v>7572714750</v>
      </c>
      <c r="C284" s="2" t="str">
        <f>HYPERLINK("https://weidian.com/item.html?itemID=7572714750","https://weidian.com/item.html?itemID=7572714750")</f>
        <v>https://weidian.com/item.html?itemID=7572714750</v>
      </c>
      <c r="E284" s="2" t="str">
        <f>HYPERLINK("https://si.geilicdn.com/open1701442386-252808396-04c400000199ddce542b0a23b4de_1200_1200.jpg?w=750&amp;h=750&amp;cp=1","https://si.geilicdn.com/open1701442386-252808396-04c400000199ddce542b0a23b4de_1200_1200.jpg?w=750&amp;h=750&amp;cp=1")</f>
        <v>https://si.geilicdn.com/open1701442386-252808396-04c400000199ddce542b0a23b4de_1200_1200.jpg?w=750&amp;h=750&amp;cp=1</v>
      </c>
      <c r="F284" t="s">
        <v>1842</v>
      </c>
      <c r="G284" t="s">
        <v>3063</v>
      </c>
      <c r="H284" t="s">
        <v>3064</v>
      </c>
      <c r="I284">
        <v>28.55</v>
      </c>
      <c r="J284" t="s">
        <v>3065</v>
      </c>
      <c r="K284" t="s">
        <v>3066</v>
      </c>
      <c r="L284" t="s">
        <v>3067</v>
      </c>
      <c r="M284" t="s">
        <v>3068</v>
      </c>
      <c r="N284" t="s">
        <v>3069</v>
      </c>
      <c r="O284" t="s">
        <v>3070</v>
      </c>
      <c r="P284" t="s">
        <v>3071</v>
      </c>
      <c r="Q284" t="s">
        <v>3072</v>
      </c>
      <c r="R284" t="s">
        <v>3073</v>
      </c>
      <c r="S284" t="s">
        <v>3074</v>
      </c>
      <c r="W284" t="s">
        <v>3075</v>
      </c>
      <c r="X284" t="s">
        <v>3076</v>
      </c>
    </row>
    <row r="285" customFormat="1" ht="25.5" customHeight="1" spans="1:24">
      <c r="A285">
        <v>1701442386</v>
      </c>
      <c r="B285">
        <v>7571319156</v>
      </c>
      <c r="C285" s="2" t="str">
        <f>HYPERLINK("https://weidian.com/item.html?itemID=7571319156","https://weidian.com/item.html?itemID=7571319156")</f>
        <v>https://weidian.com/item.html?itemID=7571319156</v>
      </c>
      <c r="E285" s="2" t="str">
        <f>HYPERLINK("https://si.geilicdn.com/open1701442386-252808396-73aa00000199d2cdba470a231226_828_1021.jpg?w=640&amp;h=640","https://si.geilicdn.com/open1701442386-252808396-73aa00000199d2cdba470a231226_828_1021.jpg?w=640&amp;h=640")</f>
        <v>https://si.geilicdn.com/open1701442386-252808396-73aa00000199d2cdba470a231226_828_1021.jpg?w=640&amp;h=640</v>
      </c>
      <c r="F285" t="s">
        <v>1842</v>
      </c>
      <c r="G285" t="s">
        <v>2960</v>
      </c>
      <c r="H285" t="s">
        <v>1091</v>
      </c>
      <c r="I285">
        <v>40.58</v>
      </c>
      <c r="J285" t="s">
        <v>3077</v>
      </c>
      <c r="K285" t="s">
        <v>3078</v>
      </c>
      <c r="L285" t="s">
        <v>3079</v>
      </c>
      <c r="M285" t="s">
        <v>3080</v>
      </c>
      <c r="N285" t="s">
        <v>3081</v>
      </c>
      <c r="O285" t="s">
        <v>3082</v>
      </c>
      <c r="P285" t="s">
        <v>3083</v>
      </c>
      <c r="Q285" t="s">
        <v>3084</v>
      </c>
      <c r="R285" t="s">
        <v>3085</v>
      </c>
      <c r="S285" t="s">
        <v>3086</v>
      </c>
      <c r="W285" t="s">
        <v>3087</v>
      </c>
      <c r="X285" t="s">
        <v>3088</v>
      </c>
    </row>
    <row r="286" customFormat="1" ht="25.5" customHeight="1" spans="1:24">
      <c r="A286">
        <v>1701442386</v>
      </c>
      <c r="B286">
        <v>7569496063</v>
      </c>
      <c r="C286" s="2" t="str">
        <f>HYPERLINK("https://weidian.com/item.html?itemID=7569496063","https://weidian.com/item.html?itemID=7569496063")</f>
        <v>https://weidian.com/item.html?itemID=7569496063</v>
      </c>
      <c r="E286" s="2" t="str">
        <f>HYPERLINK("https://si.geilicdn.com/open1701442386-252808396-6e8d00000199d2cf95570a23b491_1920_1920.jpg?w=640&amp;h=640","https://si.geilicdn.com/open1701442386-252808396-6e8d00000199d2cf95570a23b491_1920_1920.jpg?w=640&amp;h=640")</f>
        <v>https://si.geilicdn.com/open1701442386-252808396-6e8d00000199d2cf95570a23b491_1920_1920.jpg?w=640&amp;h=640</v>
      </c>
      <c r="F286" t="s">
        <v>1624</v>
      </c>
      <c r="G286" t="s">
        <v>125</v>
      </c>
      <c r="H286" t="s">
        <v>3089</v>
      </c>
      <c r="I286">
        <v>53.4782608695652</v>
      </c>
      <c r="J286" t="s">
        <v>3090</v>
      </c>
      <c r="K286" t="s">
        <v>3091</v>
      </c>
      <c r="L286" t="s">
        <v>3092</v>
      </c>
      <c r="M286" t="s">
        <v>3093</v>
      </c>
      <c r="N286" t="s">
        <v>3094</v>
      </c>
      <c r="O286" t="s">
        <v>3095</v>
      </c>
      <c r="P286" t="s">
        <v>3096</v>
      </c>
      <c r="Q286" t="s">
        <v>3097</v>
      </c>
      <c r="R286" t="s">
        <v>3098</v>
      </c>
      <c r="S286" t="s">
        <v>3099</v>
      </c>
      <c r="W286" t="s">
        <v>3100</v>
      </c>
      <c r="X286" t="s">
        <v>3101</v>
      </c>
    </row>
    <row r="287" customFormat="1" ht="25.5" customHeight="1" spans="1:24">
      <c r="A287">
        <v>1701442386</v>
      </c>
      <c r="B287">
        <v>7566789837</v>
      </c>
      <c r="C287" s="2" t="str">
        <f>HYPERLINK("https://weidian.com/item.html?itemID=7566789837","https://weidian.com/item.html?itemID=7566789837")</f>
        <v>https://weidian.com/item.html?itemID=7566789837</v>
      </c>
      <c r="E287" s="2" t="str">
        <f>HYPERLINK("https://si.geilicdn.com/open1701442386-252808396-418800000199bdb89a3c0a231226_800_800.jpg?w=750&amp;h=750&amp;cp=1","https://si.geilicdn.com/open1701442386-252808396-418800000199bdb89a3c0a231226_800_800.jpg?w=750&amp;h=750&amp;cp=1")</f>
        <v>https://si.geilicdn.com/open1701442386-252808396-418800000199bdb89a3c0a231226_800_800.jpg?w=750&amp;h=750&amp;cp=1</v>
      </c>
      <c r="F287" t="s">
        <v>1624</v>
      </c>
      <c r="G287" t="s">
        <v>2690</v>
      </c>
      <c r="H287" t="s">
        <v>3102</v>
      </c>
      <c r="I287">
        <v>19.8695652173913</v>
      </c>
      <c r="J287" t="s">
        <v>3103</v>
      </c>
      <c r="K287" t="s">
        <v>3104</v>
      </c>
      <c r="L287" t="s">
        <v>3105</v>
      </c>
      <c r="M287" t="s">
        <v>3106</v>
      </c>
      <c r="N287" t="s">
        <v>3107</v>
      </c>
      <c r="O287" t="s">
        <v>3108</v>
      </c>
      <c r="P287" t="s">
        <v>2698</v>
      </c>
      <c r="Q287" t="s">
        <v>3109</v>
      </c>
      <c r="R287" t="s">
        <v>3110</v>
      </c>
      <c r="S287" t="s">
        <v>3111</v>
      </c>
      <c r="W287" t="s">
        <v>3112</v>
      </c>
      <c r="X287" t="s">
        <v>3113</v>
      </c>
    </row>
    <row r="288" customFormat="1" ht="25.5" customHeight="1" spans="1:24">
      <c r="A288">
        <v>1701442386</v>
      </c>
      <c r="B288">
        <v>7571395690</v>
      </c>
      <c r="C288" s="2" t="str">
        <f>HYPERLINK("https://weidian.com/item.html?itemID=7571395690","https://weidian.com/item.html?itemID=7571395690")</f>
        <v>https://weidian.com/item.html?itemID=7571395690</v>
      </c>
      <c r="E288" s="2" t="str">
        <f>HYPERLINK("https://si.geilicdn.com/open1701442386-252808396-007600000199d29752970a231226_799_799.jpg?w=640&amp;h=640","https://si.geilicdn.com/open1701442386-252808396-007600000199d29752970a231226_799_799.jpg?w=640&amp;h=640")</f>
        <v>https://si.geilicdn.com/open1701442386-252808396-007600000199d29752970a231226_799_799.jpg?w=640&amp;h=640</v>
      </c>
      <c r="F288" t="s">
        <v>1842</v>
      </c>
      <c r="G288" t="s">
        <v>2640</v>
      </c>
      <c r="H288" t="s">
        <v>2652</v>
      </c>
      <c r="I288">
        <v>24.64</v>
      </c>
      <c r="J288" t="s">
        <v>3114</v>
      </c>
      <c r="K288" t="s">
        <v>3115</v>
      </c>
      <c r="L288" t="s">
        <v>3116</v>
      </c>
      <c r="M288" t="s">
        <v>3117</v>
      </c>
      <c r="N288" t="s">
        <v>3118</v>
      </c>
      <c r="O288" t="s">
        <v>3119</v>
      </c>
      <c r="P288" t="s">
        <v>3120</v>
      </c>
      <c r="Q288" t="s">
        <v>3121</v>
      </c>
      <c r="R288" t="s">
        <v>3122</v>
      </c>
      <c r="S288" t="s">
        <v>3123</v>
      </c>
      <c r="W288" t="s">
        <v>3124</v>
      </c>
      <c r="X288" t="s">
        <v>3125</v>
      </c>
    </row>
    <row r="289" customFormat="1" ht="25.5" customHeight="1" spans="1:24">
      <c r="A289">
        <v>1701442386</v>
      </c>
      <c r="B289">
        <v>7571306332</v>
      </c>
      <c r="C289" s="2" t="str">
        <f>HYPERLINK("https://weidian.com/item.html?itemID=7571306332","https://weidian.com/item.html?itemID=7571306332")</f>
        <v>https://weidian.com/item.html?itemID=7571306332</v>
      </c>
      <c r="E289" s="2" t="str">
        <f>HYPERLINK("https://si.geilicdn.com/open1701442386-252808396-587e00000199d269e0580a231226_800_800.jpg?w=750&amp;h=750&amp;cp=1","https://si.geilicdn.com/open1701442386-252808396-587e00000199d269e0580a231226_800_800.jpg?w=750&amp;h=750&amp;cp=1")</f>
        <v>https://si.geilicdn.com/open1701442386-252808396-587e00000199d269e0580a231226_800_800.jpg?w=750&amp;h=750&amp;cp=1</v>
      </c>
      <c r="F289" t="s">
        <v>1624</v>
      </c>
      <c r="G289" t="s">
        <v>3126</v>
      </c>
      <c r="H289" t="s">
        <v>3127</v>
      </c>
      <c r="I289">
        <v>27.68</v>
      </c>
      <c r="J289" t="s">
        <v>3128</v>
      </c>
      <c r="K289" t="s">
        <v>3129</v>
      </c>
      <c r="L289" t="s">
        <v>3130</v>
      </c>
      <c r="M289" t="s">
        <v>3131</v>
      </c>
      <c r="N289" t="s">
        <v>3132</v>
      </c>
      <c r="O289" t="s">
        <v>3133</v>
      </c>
      <c r="P289" t="s">
        <v>3134</v>
      </c>
      <c r="Q289" t="s">
        <v>3135</v>
      </c>
      <c r="R289" t="s">
        <v>3136</v>
      </c>
      <c r="S289" t="s">
        <v>3137</v>
      </c>
      <c r="W289" t="s">
        <v>3138</v>
      </c>
      <c r="X289" t="s">
        <v>3139</v>
      </c>
    </row>
    <row r="290" customFormat="1" ht="25.5" customHeight="1" spans="1:24">
      <c r="A290">
        <v>1701442386</v>
      </c>
      <c r="B290">
        <v>7569485022</v>
      </c>
      <c r="C290" s="2" t="str">
        <f>HYPERLINK("https://weidian.com/item.html?itemID=7569485022","https://weidian.com/item.html?itemID=7569485022")</f>
        <v>https://weidian.com/item.html?itemID=7569485022</v>
      </c>
      <c r="E290" s="2" t="str">
        <f>HYPERLINK("https://si.geilicdn.com/open1701442386-252808396-509d00000199c74e11810aa0229a_800_800.jpg?w=750&amp;h=750&amp;cp=1","https://si.geilicdn.com/open1701442386-252808396-509d00000199c74e11810aa0229a_800_800.jpg?w=750&amp;h=750&amp;cp=1")</f>
        <v>https://si.geilicdn.com/open1701442386-252808396-509d00000199c74e11810aa0229a_800_800.jpg?w=750&amp;h=750&amp;cp=1</v>
      </c>
      <c r="F290" t="s">
        <v>2639</v>
      </c>
      <c r="G290" t="s">
        <v>3140</v>
      </c>
      <c r="H290" t="s">
        <v>2575</v>
      </c>
      <c r="I290">
        <v>63.77</v>
      </c>
      <c r="J290" t="s">
        <v>3141</v>
      </c>
      <c r="K290" t="s">
        <v>3142</v>
      </c>
      <c r="L290" t="s">
        <v>3143</v>
      </c>
      <c r="M290" t="s">
        <v>3144</v>
      </c>
      <c r="N290" t="s">
        <v>3145</v>
      </c>
      <c r="O290" t="s">
        <v>3146</v>
      </c>
      <c r="P290" t="s">
        <v>3147</v>
      </c>
      <c r="Q290" t="s">
        <v>3148</v>
      </c>
      <c r="R290" t="s">
        <v>3149</v>
      </c>
      <c r="S290" t="s">
        <v>3150</v>
      </c>
      <c r="W290" t="s">
        <v>3151</v>
      </c>
      <c r="X290" t="s">
        <v>3152</v>
      </c>
    </row>
    <row r="291" customFormat="1" ht="25.5" customHeight="1" spans="1:24">
      <c r="A291">
        <v>1701442386</v>
      </c>
      <c r="B291">
        <v>7567543277</v>
      </c>
      <c r="C291" s="2" t="str">
        <f>HYPERLINK("https://weidian.com/item.html?itemID=7567543277","https://weidian.com/item.html?itemID=7567543277")</f>
        <v>https://weidian.com/item.html?itemID=7567543277</v>
      </c>
      <c r="E291" s="2" t="str">
        <f>HYPERLINK("https://si.geilicdn.com/open1701442386-252808396-61f700000199c720ffe80a231226_1200_1200.jpg?w=750&amp;h=750&amp;cp=1","https://si.geilicdn.com/open1701442386-252808396-61f700000199c720ffe80a231226_1200_1200.jpg?w=750&amp;h=750&amp;cp=1")</f>
        <v>https://si.geilicdn.com/open1701442386-252808396-61f700000199c720ffe80a231226_1200_1200.jpg?w=750&amp;h=750&amp;cp=1</v>
      </c>
      <c r="F291" t="s">
        <v>2639</v>
      </c>
      <c r="G291" t="s">
        <v>50</v>
      </c>
      <c r="H291" t="s">
        <v>3153</v>
      </c>
      <c r="I291">
        <v>22.32</v>
      </c>
      <c r="J291" t="s">
        <v>3154</v>
      </c>
      <c r="K291" t="s">
        <v>3155</v>
      </c>
      <c r="L291" t="s">
        <v>3156</v>
      </c>
      <c r="M291" t="s">
        <v>3157</v>
      </c>
      <c r="N291" t="s">
        <v>3158</v>
      </c>
      <c r="O291" t="s">
        <v>3159</v>
      </c>
      <c r="P291" t="s">
        <v>3160</v>
      </c>
      <c r="Q291" t="s">
        <v>3161</v>
      </c>
      <c r="R291" t="s">
        <v>3162</v>
      </c>
      <c r="S291" t="s">
        <v>3163</v>
      </c>
      <c r="W291" t="s">
        <v>3164</v>
      </c>
      <c r="X291" t="s">
        <v>3165</v>
      </c>
    </row>
    <row r="292" customFormat="1" ht="25.5" customHeight="1" spans="1:24">
      <c r="A292">
        <v>1701442386</v>
      </c>
      <c r="B292">
        <v>7569404797</v>
      </c>
      <c r="C292" s="2" t="str">
        <f>HYPERLINK("https://weidian.com/item.html?itemID=7569404797","https://weidian.com/item.html?itemID=7569404797")</f>
        <v>https://weidian.com/item.html?itemID=7569404797</v>
      </c>
      <c r="E292" s="2" t="str">
        <f>HYPERLINK("https://si.geilicdn.com/open1701442386-252808396-714800000199d2c68bdb0a231226_800_800.jpg?w=750&amp;h=750&amp;cp=1","https://si.geilicdn.com/open1701442386-252808396-714800000199d2c68bdb0a231226_800_800.jpg?w=750&amp;h=750&amp;cp=1")</f>
        <v>https://si.geilicdn.com/open1701442386-252808396-714800000199d2c68bdb0a231226_800_800.jpg?w=750&amp;h=750&amp;cp=1</v>
      </c>
      <c r="F292" t="s">
        <v>2639</v>
      </c>
      <c r="G292" t="s">
        <v>2960</v>
      </c>
      <c r="H292" t="s">
        <v>3166</v>
      </c>
      <c r="I292">
        <v>69.5797101449275</v>
      </c>
      <c r="J292" t="s">
        <v>3167</v>
      </c>
      <c r="K292" t="s">
        <v>3168</v>
      </c>
      <c r="L292" t="s">
        <v>3169</v>
      </c>
      <c r="M292" t="s">
        <v>3170</v>
      </c>
      <c r="N292" t="s">
        <v>3171</v>
      </c>
      <c r="O292" t="s">
        <v>3172</v>
      </c>
      <c r="P292" t="s">
        <v>2967</v>
      </c>
      <c r="R292" t="s">
        <v>3173</v>
      </c>
      <c r="S292" t="s">
        <v>3174</v>
      </c>
      <c r="W292" t="s">
        <v>3175</v>
      </c>
      <c r="X292" t="s">
        <v>3176</v>
      </c>
    </row>
    <row r="293" customFormat="1" ht="25.5" customHeight="1" spans="1:24">
      <c r="A293">
        <v>1701442386</v>
      </c>
      <c r="B293">
        <v>7567596477</v>
      </c>
      <c r="C293" s="2" t="str">
        <f>HYPERLINK("https://weidian.com/item.html?itemID=7567596477","https://weidian.com/item.html?itemID=7567596477")</f>
        <v>https://weidian.com/item.html?itemID=7567596477</v>
      </c>
      <c r="E293" s="2" t="str">
        <f>HYPERLINK("https://si.geilicdn.com/open1701442386-252808396-586b00000199c71b20990a8133b0_800_800.jpg?w=750&amp;h=750&amp;cp=1","https://si.geilicdn.com/open1701442386-252808396-586b00000199c71b20990a8133b0_800_800.jpg?w=750&amp;h=750&amp;cp=1")</f>
        <v>https://si.geilicdn.com/open1701442386-252808396-586b00000199c71b20990a8133b0_800_800.jpg?w=750&amp;h=750&amp;cp=1</v>
      </c>
      <c r="F293" t="s">
        <v>2639</v>
      </c>
      <c r="G293" t="s">
        <v>338</v>
      </c>
      <c r="H293" t="s">
        <v>3177</v>
      </c>
      <c r="I293">
        <v>48.695652173913</v>
      </c>
      <c r="J293" t="s">
        <v>3178</v>
      </c>
      <c r="K293" t="s">
        <v>3179</v>
      </c>
      <c r="L293" t="s">
        <v>3180</v>
      </c>
      <c r="M293" t="s">
        <v>3181</v>
      </c>
      <c r="N293" t="s">
        <v>3182</v>
      </c>
      <c r="O293" t="s">
        <v>3183</v>
      </c>
      <c r="P293" t="s">
        <v>3184</v>
      </c>
      <c r="Q293" t="s">
        <v>3185</v>
      </c>
      <c r="R293" t="s">
        <v>3186</v>
      </c>
      <c r="S293" t="s">
        <v>3187</v>
      </c>
      <c r="W293" t="s">
        <v>3188</v>
      </c>
      <c r="X293" t="s">
        <v>3189</v>
      </c>
    </row>
    <row r="294" customFormat="1" ht="25.5" customHeight="1" spans="1:24">
      <c r="A294">
        <v>1701442386</v>
      </c>
      <c r="B294">
        <v>7567270429</v>
      </c>
      <c r="C294" s="2" t="str">
        <f>HYPERLINK("https://weidian.com/item.html?itemID=7567270429","https://weidian.com/item.html?itemID=7567270429")</f>
        <v>https://weidian.com/item.html?itemID=7567270429</v>
      </c>
      <c r="E294" s="2" t="str">
        <f>HYPERLINK("https://si.geilicdn.com/open1701442386-252808396-0dd100000199c382b0750a23b4de_800_800.jpg?w=750&amp;h=750&amp;cp=1","https://si.geilicdn.com/open1701442386-252808396-0dd100000199c382b0750a23b4de_800_800.jpg?w=750&amp;h=750&amp;cp=1")</f>
        <v>https://si.geilicdn.com/open1701442386-252808396-0dd100000199c382b0750a23b4de_800_800.jpg?w=750&amp;h=750&amp;cp=1</v>
      </c>
      <c r="F294" t="s">
        <v>2639</v>
      </c>
      <c r="G294" t="s">
        <v>3190</v>
      </c>
      <c r="H294" t="s">
        <v>3191</v>
      </c>
      <c r="I294">
        <v>26.38</v>
      </c>
      <c r="J294" t="s">
        <v>3192</v>
      </c>
      <c r="K294" t="s">
        <v>3193</v>
      </c>
      <c r="L294" t="s">
        <v>3194</v>
      </c>
      <c r="M294" t="s">
        <v>3195</v>
      </c>
      <c r="N294" t="s">
        <v>3196</v>
      </c>
      <c r="O294" t="s">
        <v>3197</v>
      </c>
      <c r="P294" t="s">
        <v>3198</v>
      </c>
      <c r="Q294" t="s">
        <v>3199</v>
      </c>
      <c r="R294" t="s">
        <v>3200</v>
      </c>
      <c r="S294" t="s">
        <v>3201</v>
      </c>
      <c r="W294" t="s">
        <v>3202</v>
      </c>
      <c r="X294" t="s">
        <v>3203</v>
      </c>
    </row>
    <row r="295" customFormat="1" ht="25.5" customHeight="1" spans="1:24">
      <c r="A295">
        <v>1701442386</v>
      </c>
      <c r="B295">
        <v>7571333140</v>
      </c>
      <c r="C295" s="2" t="str">
        <f>HYPERLINK("https://weidian.com/item.html?itemID=7571333140","https://weidian.com/item.html?itemID=7571333140")</f>
        <v>https://weidian.com/item.html?itemID=7571333140</v>
      </c>
      <c r="E295" s="2" t="str">
        <f>HYPERLINK("https://si.geilicdn.com/open1701442386-252808396-320e00000199d2d8e6830aa043f9_750_750.jpg?w=640&amp;h=640","https://si.geilicdn.com/open1701442386-252808396-320e00000199d2d8e6830aa043f9_750_750.jpg?w=640&amp;h=640")</f>
        <v>https://si.geilicdn.com/open1701442386-252808396-320e00000199d2d8e6830aa043f9_750_750.jpg?w=640&amp;h=640</v>
      </c>
      <c r="F295" t="s">
        <v>2639</v>
      </c>
      <c r="G295" t="s">
        <v>3204</v>
      </c>
      <c r="H295" t="s">
        <v>3205</v>
      </c>
      <c r="I295">
        <v>27.97</v>
      </c>
      <c r="J295" t="s">
        <v>3206</v>
      </c>
      <c r="K295" t="s">
        <v>3207</v>
      </c>
      <c r="L295" t="s">
        <v>3208</v>
      </c>
      <c r="M295" t="s">
        <v>3209</v>
      </c>
      <c r="N295" t="s">
        <v>3210</v>
      </c>
      <c r="O295" t="s">
        <v>3211</v>
      </c>
      <c r="P295" t="s">
        <v>3212</v>
      </c>
      <c r="Q295" t="s">
        <v>3213</v>
      </c>
      <c r="R295" t="s">
        <v>3214</v>
      </c>
      <c r="S295" t="s">
        <v>3215</v>
      </c>
      <c r="W295" t="s">
        <v>3216</v>
      </c>
      <c r="X295" t="s">
        <v>3217</v>
      </c>
    </row>
    <row r="296" customFormat="1" ht="25.5" customHeight="1" spans="1:24">
      <c r="A296">
        <v>1701442386</v>
      </c>
      <c r="B296">
        <v>7571284560</v>
      </c>
      <c r="C296" s="2" t="str">
        <f>HYPERLINK("https://weidian.com/item.html?itemID=7571284560","https://weidian.com/item.html?itemID=7571284560")</f>
        <v>https://weidian.com/item.html?itemID=7571284560</v>
      </c>
      <c r="E296" s="2" t="str">
        <f>HYPERLINK("https://si.geilicdn.com/open1701442386-252808396-14c700000199d26b3b530aa043f9_800_800.jpg?w=640&amp;h=640","https://si.geilicdn.com/open1701442386-252808396-14c700000199d26b3b530aa043f9_800_800.jpg?w=640&amp;h=640")</f>
        <v>https://si.geilicdn.com/open1701442386-252808396-14c700000199d26b3b530aa043f9_800_800.jpg?w=640&amp;h=640</v>
      </c>
      <c r="F296" t="s">
        <v>1624</v>
      </c>
      <c r="G296" t="s">
        <v>3218</v>
      </c>
      <c r="H296" t="s">
        <v>3219</v>
      </c>
      <c r="I296">
        <v>21.3043478261</v>
      </c>
      <c r="J296" t="s">
        <v>3220</v>
      </c>
      <c r="K296" t="s">
        <v>3221</v>
      </c>
      <c r="L296" t="s">
        <v>3222</v>
      </c>
      <c r="M296" t="s">
        <v>3223</v>
      </c>
      <c r="N296" t="s">
        <v>3224</v>
      </c>
      <c r="O296" t="s">
        <v>3225</v>
      </c>
      <c r="P296" t="s">
        <v>3226</v>
      </c>
      <c r="Q296" t="s">
        <v>3227</v>
      </c>
      <c r="R296" t="s">
        <v>3228</v>
      </c>
      <c r="S296" t="s">
        <v>3229</v>
      </c>
      <c r="W296" t="s">
        <v>3230</v>
      </c>
      <c r="X296" t="s">
        <v>3231</v>
      </c>
    </row>
    <row r="297" customFormat="1" ht="25.5" customHeight="1" spans="1:24">
      <c r="A297">
        <v>1701442386</v>
      </c>
      <c r="C297" s="2" t="str">
        <f>HYPERLINK("https://weidian.com/item.html?itemID=7569396253","https://weidian.com/item.html?itemID=7569396253")</f>
        <v>https://weidian.com/item.html?itemID=7569396253</v>
      </c>
      <c r="E297" s="2" t="str">
        <f>HYPERLINK("https://si.geilicdn.com/open1701442386-252808396-52c800000199d25d998b0a22d249_1440_1920.jpg?w=640&amp;h=640","https://si.geilicdn.com/open1701442386-252808396-52c800000199d25d998b0a22d249_1440_1920.jpg?w=640&amp;h=640")</f>
        <v>https://si.geilicdn.com/open1701442386-252808396-52c800000199d25d998b0a22d249_1440_1920.jpg?w=640&amp;h=640</v>
      </c>
      <c r="F297" t="s">
        <v>2893</v>
      </c>
      <c r="G297" t="s">
        <v>2640</v>
      </c>
      <c r="H297" t="s">
        <v>3232</v>
      </c>
      <c r="I297">
        <v>15.65</v>
      </c>
      <c r="J297" t="s">
        <v>3233</v>
      </c>
      <c r="K297" t="s">
        <v>3234</v>
      </c>
      <c r="L297" t="s">
        <v>3235</v>
      </c>
      <c r="M297" t="s">
        <v>3236</v>
      </c>
      <c r="N297" t="s">
        <v>3237</v>
      </c>
      <c r="O297" t="s">
        <v>3238</v>
      </c>
      <c r="P297" t="s">
        <v>3239</v>
      </c>
      <c r="Q297" t="s">
        <v>3240</v>
      </c>
      <c r="R297" t="s">
        <v>3241</v>
      </c>
      <c r="S297" t="s">
        <v>3242</v>
      </c>
      <c r="W297" t="s">
        <v>3243</v>
      </c>
      <c r="X297" t="s">
        <v>3244</v>
      </c>
    </row>
    <row r="298" customFormat="1" ht="25.5" customHeight="1" spans="1:24">
      <c r="A298">
        <v>1701442386</v>
      </c>
      <c r="B298">
        <v>7569395543</v>
      </c>
      <c r="C298" s="2" t="str">
        <f>HYPERLINK("https://weidian.com/item.html?itemID=7569395543","https://weidian.com/item.html?itemID=7569395543")</f>
        <v>https://weidian.com/item.html?itemID=7569395543</v>
      </c>
      <c r="E298" s="2" t="str">
        <f>HYPERLINK("https://si.geilicdn.com/open1701442386-252808396-54ed00000199d2c9eabd0aa0229a_1120_1120.jpg?w=750&amp;h=750&amp;cp=1","https://si.geilicdn.com/open1701442386-252808396-54ed00000199d2c9eabd0aa0229a_1120_1120.jpg?w=750&amp;h=750&amp;cp=1")</f>
        <v>https://si.geilicdn.com/open1701442386-252808396-54ed00000199d2c9eabd0aa0229a_1120_1120.jpg?w=750&amp;h=750&amp;cp=1</v>
      </c>
      <c r="F298" t="s">
        <v>2639</v>
      </c>
      <c r="G298" t="s">
        <v>2729</v>
      </c>
      <c r="H298" t="s">
        <v>3245</v>
      </c>
      <c r="I298">
        <v>51.59</v>
      </c>
      <c r="J298" t="s">
        <v>3246</v>
      </c>
      <c r="K298" t="s">
        <v>3247</v>
      </c>
      <c r="L298" t="s">
        <v>3248</v>
      </c>
      <c r="M298" t="s">
        <v>3249</v>
      </c>
      <c r="N298" t="s">
        <v>3250</v>
      </c>
      <c r="O298" t="s">
        <v>3251</v>
      </c>
      <c r="P298" t="s">
        <v>2736</v>
      </c>
      <c r="Q298" t="s">
        <v>3252</v>
      </c>
      <c r="R298" t="s">
        <v>3253</v>
      </c>
      <c r="S298" t="s">
        <v>3254</v>
      </c>
      <c r="W298" t="s">
        <v>3255</v>
      </c>
      <c r="X298" t="s">
        <v>3256</v>
      </c>
    </row>
    <row r="299" customFormat="1" ht="25.5" customHeight="1" spans="1:24">
      <c r="A299">
        <v>1701442386</v>
      </c>
      <c r="B299">
        <v>7571405906</v>
      </c>
      <c r="C299" s="2" t="str">
        <f>HYPERLINK("https://weidian.com/item.html?itemID=7571405906","https://weidian.com/item.html?itemID=7571405906")</f>
        <v>https://weidian.com/item.html?itemID=7571405906</v>
      </c>
      <c r="E299" s="2" t="str">
        <f>HYPERLINK("https://si.geilicdn.com/open1701442386-252808396-2a8c00000199d2c1a1200aa043f9_1200_1200.jpg?w=750&amp;h=750&amp;cp=1","https://si.geilicdn.com/open1701442386-252808396-2a8c00000199d2c1a1200aa043f9_1200_1200.jpg?w=750&amp;h=750&amp;cp=1")</f>
        <v>https://si.geilicdn.com/open1701442386-252808396-2a8c00000199d2c1a1200aa043f9_1200_1200.jpg?w=750&amp;h=750&amp;cp=1</v>
      </c>
      <c r="F299" t="s">
        <v>1624</v>
      </c>
      <c r="G299" t="s">
        <v>125</v>
      </c>
      <c r="H299" t="s">
        <v>3257</v>
      </c>
      <c r="I299">
        <v>72.17</v>
      </c>
      <c r="J299" t="s">
        <v>3258</v>
      </c>
      <c r="K299" t="s">
        <v>3259</v>
      </c>
      <c r="L299" t="s">
        <v>3260</v>
      </c>
      <c r="M299" t="s">
        <v>3261</v>
      </c>
      <c r="N299" t="s">
        <v>3262</v>
      </c>
      <c r="O299" t="s">
        <v>3263</v>
      </c>
      <c r="P299" t="s">
        <v>3096</v>
      </c>
      <c r="Q299" t="s">
        <v>3264</v>
      </c>
      <c r="R299" t="s">
        <v>3265</v>
      </c>
      <c r="S299" t="s">
        <v>3266</v>
      </c>
      <c r="W299" t="s">
        <v>3267</v>
      </c>
      <c r="X299" t="s">
        <v>3268</v>
      </c>
    </row>
    <row r="300" customFormat="1" ht="25.5" customHeight="1" spans="1:24">
      <c r="A300">
        <v>1701442386</v>
      </c>
      <c r="B300">
        <v>7569404771</v>
      </c>
      <c r="C300" s="2" t="str">
        <f>HYPERLINK("https://weidian.com/item.html?itemID=7569404771","https://weidian.com/item.html?itemID=7569404771")</f>
        <v>https://weidian.com/item.html?itemID=7569404771</v>
      </c>
      <c r="E300" s="2" t="str">
        <f>HYPERLINK("https://si.geilicdn.com/open1701442386-252808396-511a00000199d2ba8cf20aa0229a_735_978.jpg?w=640&amp;h=640","https://si.geilicdn.com/open1701442386-252808396-511a00000199d2ba8cf20aa0229a_735_978.jpg?w=640&amp;h=640")</f>
        <v>https://si.geilicdn.com/open1701442386-252808396-511a00000199d2ba8cf20aa0229a_735_978.jpg?w=640&amp;h=640</v>
      </c>
      <c r="F300" t="s">
        <v>2639</v>
      </c>
      <c r="G300" t="s">
        <v>2783</v>
      </c>
      <c r="H300" t="s">
        <v>3269</v>
      </c>
      <c r="I300">
        <v>81.16</v>
      </c>
      <c r="J300" t="s">
        <v>3270</v>
      </c>
      <c r="K300" t="s">
        <v>3271</v>
      </c>
      <c r="L300" t="s">
        <v>3272</v>
      </c>
      <c r="M300" t="s">
        <v>3273</v>
      </c>
      <c r="N300" t="s">
        <v>3274</v>
      </c>
      <c r="O300" t="s">
        <v>3275</v>
      </c>
      <c r="P300" t="s">
        <v>3276</v>
      </c>
      <c r="Q300" t="s">
        <v>3277</v>
      </c>
      <c r="R300" t="s">
        <v>3278</v>
      </c>
      <c r="S300" t="s">
        <v>3279</v>
      </c>
      <c r="W300" t="s">
        <v>3280</v>
      </c>
      <c r="X300" t="s">
        <v>3281</v>
      </c>
    </row>
    <row r="301" customFormat="1" ht="25.5" customHeight="1" spans="1:24">
      <c r="A301">
        <v>1701442386</v>
      </c>
      <c r="B301">
        <v>7566774047</v>
      </c>
      <c r="C301" s="2" t="str">
        <f>HYPERLINK("https://weidian.com/item.html?itemID=7566774047","https://weidian.com/item.html?itemID=7566774047")</f>
        <v>https://weidian.com/item.html?itemID=7566774047</v>
      </c>
      <c r="E301" s="2" t="str">
        <f>HYPERLINK("https://si.geilicdn.com/open1701442386-252808396-126800000199bda3ffc20aa0229a_1066_1066.jpg?w=750&amp;h=750&amp;cp=1","https://si.geilicdn.com/open1701442386-252808396-126800000199bda3ffc20aa0229a_1066_1066.jpg?w=750&amp;h=750&amp;cp=1")</f>
        <v>https://si.geilicdn.com/open1701442386-252808396-126800000199bda3ffc20aa0229a_1066_1066.jpg?w=750&amp;h=750&amp;cp=1</v>
      </c>
      <c r="F301" t="s">
        <v>2639</v>
      </c>
      <c r="G301" t="s">
        <v>2640</v>
      </c>
      <c r="H301" t="s">
        <v>3282</v>
      </c>
      <c r="I301">
        <v>23.04</v>
      </c>
      <c r="J301" t="s">
        <v>3283</v>
      </c>
      <c r="K301" t="s">
        <v>3284</v>
      </c>
      <c r="L301" t="s">
        <v>3285</v>
      </c>
      <c r="M301" t="s">
        <v>3286</v>
      </c>
      <c r="N301" t="s">
        <v>3287</v>
      </c>
      <c r="O301" t="s">
        <v>3288</v>
      </c>
      <c r="P301" t="s">
        <v>2647</v>
      </c>
      <c r="Q301" t="s">
        <v>3289</v>
      </c>
      <c r="R301" t="s">
        <v>3290</v>
      </c>
      <c r="S301" t="s">
        <v>3291</v>
      </c>
      <c r="W301" t="s">
        <v>3292</v>
      </c>
      <c r="X301" t="s">
        <v>3293</v>
      </c>
    </row>
    <row r="302" customFormat="1" ht="25.5" customHeight="1" spans="1:24">
      <c r="A302">
        <v>1701442386</v>
      </c>
      <c r="B302">
        <v>7567608731</v>
      </c>
      <c r="C302" s="2" t="str">
        <f>HYPERLINK("https://weidian.com/item.html?itemID=7567608731","https://weidian.com/item.html?itemID=7567608731")</f>
        <v>https://weidian.com/item.html?itemID=7567608731</v>
      </c>
      <c r="E302" s="2" t="str">
        <f>HYPERLINK("https://si.geilicdn.com/open1701442386-252808396-681900000199c753cb810a8133b0_800_800.jpg?w=750&amp;h=750&amp;cp=1","https://si.geilicdn.com/open1701442386-252808396-681900000199c753cb810a8133b0_800_800.jpg?w=750&amp;h=750&amp;cp=1")</f>
        <v>https://si.geilicdn.com/open1701442386-252808396-681900000199c753cb810a8133b0_800_800.jpg?w=750&amp;h=750&amp;cp=1</v>
      </c>
      <c r="F302" t="s">
        <v>1624</v>
      </c>
      <c r="G302" t="s">
        <v>2690</v>
      </c>
      <c r="H302" t="s">
        <v>3294</v>
      </c>
      <c r="I302">
        <v>13.62</v>
      </c>
      <c r="J302" t="s">
        <v>3295</v>
      </c>
      <c r="K302" t="s">
        <v>3296</v>
      </c>
      <c r="L302" t="s">
        <v>3297</v>
      </c>
      <c r="M302" t="s">
        <v>3298</v>
      </c>
      <c r="N302" t="s">
        <v>3299</v>
      </c>
      <c r="O302" t="s">
        <v>3300</v>
      </c>
      <c r="P302" t="s">
        <v>3301</v>
      </c>
      <c r="Q302" t="s">
        <v>3302</v>
      </c>
      <c r="R302" t="s">
        <v>3303</v>
      </c>
      <c r="S302" t="s">
        <v>3304</v>
      </c>
      <c r="W302" t="s">
        <v>3305</v>
      </c>
      <c r="X302" t="s">
        <v>3306</v>
      </c>
    </row>
    <row r="303" customFormat="1" ht="25.5" customHeight="1" spans="1:24">
      <c r="A303">
        <v>1701442386</v>
      </c>
      <c r="B303">
        <v>7581837682</v>
      </c>
      <c r="C303" s="2" t="str">
        <f>HYPERLINK("https://weidian.com/item.html?itemID=7581837682","https://weidian.com/item.html?itemID=7581837682")</f>
        <v>https://weidian.com/item.html?itemID=7581837682</v>
      </c>
      <c r="E303" s="2" t="str">
        <f>HYPERLINK("https://si.geilicdn.com/open1701442386-252808396-4ad00000019a0ba8b9100a231226_800_800.jpg?w=750&amp;h=750&amp;cp=1","https://si.geilicdn.com/open1701442386-252808396-4ad00000019a0ba8b9100a231226_800_800.jpg?w=750&amp;h=750&amp;cp=1")</f>
        <v>https://si.geilicdn.com/open1701442386-252808396-4ad00000019a0ba8b9100a231226_800_800.jpg?w=750&amp;h=750&amp;cp=1</v>
      </c>
      <c r="F303" t="s">
        <v>2639</v>
      </c>
      <c r="G303" t="s">
        <v>3307</v>
      </c>
      <c r="H303" t="s">
        <v>3308</v>
      </c>
      <c r="I303">
        <v>76.52</v>
      </c>
      <c r="J303" t="s">
        <v>3309</v>
      </c>
      <c r="K303" t="s">
        <v>3310</v>
      </c>
      <c r="L303" t="s">
        <v>3311</v>
      </c>
      <c r="M303" t="s">
        <v>3312</v>
      </c>
      <c r="N303" t="s">
        <v>3313</v>
      </c>
      <c r="O303" t="s">
        <v>3314</v>
      </c>
      <c r="P303" t="s">
        <v>3315</v>
      </c>
      <c r="Q303" t="s">
        <v>3316</v>
      </c>
      <c r="R303" t="s">
        <v>3317</v>
      </c>
      <c r="S303" t="s">
        <v>3318</v>
      </c>
      <c r="W303" t="s">
        <v>3319</v>
      </c>
      <c r="X303" t="s">
        <v>3320</v>
      </c>
    </row>
    <row r="304" customFormat="1" ht="25.5" customHeight="1" spans="1:24">
      <c r="A304">
        <v>1701442386</v>
      </c>
      <c r="B304">
        <v>7572776000</v>
      </c>
      <c r="C304" s="2" t="str">
        <f>HYPERLINK("https://weidian.com/item.html?itemID=7572776000","https://weidian.com/item.html?itemID=7572776000")</f>
        <v>https://weidian.com/item.html?itemID=7572776000</v>
      </c>
      <c r="E304" s="2" t="str">
        <f>HYPERLINK("https://si.geilicdn.com/open1701442386-252808396-391000000199de0320d70a22d249_800_800.jpg?w=750&amp;h=750&amp;cp=1","https://si.geilicdn.com/open1701442386-252808396-391000000199de0320d70a22d249_800_800.jpg?w=750&amp;h=750&amp;cp=1")</f>
        <v>https://si.geilicdn.com/open1701442386-252808396-391000000199de0320d70a22d249_800_800.jpg?w=750&amp;h=750&amp;cp=1</v>
      </c>
      <c r="F304" t="s">
        <v>2676</v>
      </c>
      <c r="G304" t="s">
        <v>2811</v>
      </c>
      <c r="H304" t="s">
        <v>3027</v>
      </c>
      <c r="I304">
        <v>27.25</v>
      </c>
      <c r="J304" t="s">
        <v>3321</v>
      </c>
      <c r="K304" t="s">
        <v>3322</v>
      </c>
      <c r="L304" t="s">
        <v>3323</v>
      </c>
      <c r="M304" t="s">
        <v>3324</v>
      </c>
      <c r="N304" t="s">
        <v>3325</v>
      </c>
      <c r="O304" t="s">
        <v>3326</v>
      </c>
      <c r="P304" t="s">
        <v>3327</v>
      </c>
      <c r="Q304" t="s">
        <v>3328</v>
      </c>
      <c r="R304" t="s">
        <v>3329</v>
      </c>
      <c r="S304" t="s">
        <v>3330</v>
      </c>
      <c r="W304" t="s">
        <v>3331</v>
      </c>
      <c r="X304" t="s">
        <v>3332</v>
      </c>
    </row>
    <row r="305" customFormat="1" ht="25.5" customHeight="1" spans="1:24">
      <c r="A305">
        <v>1701442386</v>
      </c>
      <c r="B305">
        <v>7576605897</v>
      </c>
      <c r="C305" s="2" t="str">
        <f>HYPERLINK("https://weidian.com/item.html?itemID=7576605897","https://weidian.com/item.html?itemID=7576605897")</f>
        <v>https://weidian.com/item.html?itemID=7576605897</v>
      </c>
      <c r="E305" s="2" t="str">
        <f>HYPERLINK("https://si.geilicdn.com/open1701442386-252808396-412f00000199fb7922290aa081c2_1066_1066.jpg?w=750&amp;h=750&amp;cp=1","https://si.geilicdn.com/open1701442386-252808396-412f00000199fb7922290aa081c2_1066_1066.jpg?w=750&amp;h=750&amp;cp=1")</f>
        <v>https://si.geilicdn.com/open1701442386-252808396-412f00000199fb7922290aa081c2_1066_1066.jpg?w=750&amp;h=750&amp;cp=1</v>
      </c>
      <c r="F305" t="s">
        <v>1842</v>
      </c>
      <c r="G305" t="s">
        <v>3333</v>
      </c>
      <c r="H305" t="s">
        <v>3334</v>
      </c>
      <c r="I305">
        <v>13.91</v>
      </c>
      <c r="J305" t="s">
        <v>3335</v>
      </c>
      <c r="K305" t="s">
        <v>3336</v>
      </c>
      <c r="L305" t="s">
        <v>3337</v>
      </c>
      <c r="M305" t="s">
        <v>3338</v>
      </c>
      <c r="N305" t="s">
        <v>3339</v>
      </c>
      <c r="O305" t="s">
        <v>3340</v>
      </c>
      <c r="P305" t="s">
        <v>3341</v>
      </c>
      <c r="Q305" t="s">
        <v>3342</v>
      </c>
      <c r="R305" t="s">
        <v>3343</v>
      </c>
      <c r="S305" t="s">
        <v>3344</v>
      </c>
      <c r="W305" t="s">
        <v>3345</v>
      </c>
      <c r="X305" t="s">
        <v>3346</v>
      </c>
    </row>
    <row r="306" customFormat="1" ht="25.5" customHeight="1" spans="1:24">
      <c r="A306">
        <v>1701442386</v>
      </c>
      <c r="B306">
        <v>7570739741</v>
      </c>
      <c r="C306" s="2" t="str">
        <f>HYPERLINK("https://weidian.com/item.html?itemID=7570739741","https://weidian.com/item.html?itemID=7570739741")</f>
        <v>https://weidian.com/item.html?itemID=7570739741</v>
      </c>
      <c r="E306" s="2" t="str">
        <f>HYPERLINK("https://si.geilicdn.com/pcitem901998089496-18ed00000199dcddba010a210139_1440_1920.jpg?w=640&amp;h=640","https://si.geilicdn.com/pcitem901998089496-18ed00000199dcddba010a210139_1440_1920.jpg?w=640&amp;h=640")</f>
        <v>https://si.geilicdn.com/pcitem901998089496-18ed00000199dcddba010a210139_1440_1920.jpg?w=640&amp;h=640</v>
      </c>
      <c r="F306" t="s">
        <v>2639</v>
      </c>
      <c r="G306" t="s">
        <v>2960</v>
      </c>
      <c r="H306" t="s">
        <v>3347</v>
      </c>
      <c r="I306">
        <v>139.13</v>
      </c>
      <c r="J306" t="s">
        <v>3348</v>
      </c>
      <c r="K306" t="s">
        <v>3349</v>
      </c>
      <c r="L306" t="s">
        <v>3350</v>
      </c>
      <c r="M306" t="s">
        <v>3351</v>
      </c>
      <c r="N306" t="s">
        <v>3352</v>
      </c>
      <c r="O306" t="s">
        <v>3353</v>
      </c>
      <c r="P306" t="s">
        <v>3354</v>
      </c>
      <c r="Q306" t="s">
        <v>3355</v>
      </c>
      <c r="R306" t="s">
        <v>3356</v>
      </c>
      <c r="S306" t="s">
        <v>3357</v>
      </c>
      <c r="W306" t="s">
        <v>3358</v>
      </c>
      <c r="X306" t="s">
        <v>3359</v>
      </c>
    </row>
    <row r="307" customFormat="1" ht="25.5" customHeight="1" spans="1:24">
      <c r="A307">
        <v>1701442386</v>
      </c>
      <c r="B307">
        <v>7573792086</v>
      </c>
      <c r="C307" s="2" t="str">
        <f>HYPERLINK("https://weidian.com/item.html?itemID=7573792086","https://weidian.com/item.html?itemID=7573792086")</f>
        <v>https://weidian.com/item.html?itemID=7573792086</v>
      </c>
      <c r="E307" s="2" t="str">
        <f>HYPERLINK("https://si.geilicdn.com/open1832946205-1234478995-162500000196c91b63b50aa0834c_960_960.jpg?w=750&amp;h=750&amp;cp=1","https://si.geilicdn.com/open1832946205-1234478995-162500000196c91b63b50aa0834c_960_960.jpg?w=750&amp;h=750&amp;cp=1")</f>
        <v>https://si.geilicdn.com/open1832946205-1234478995-162500000196c91b63b50aa0834c_960_960.jpg?w=750&amp;h=750&amp;cp=1</v>
      </c>
      <c r="F307" t="s">
        <v>1842</v>
      </c>
      <c r="G307" t="s">
        <v>2220</v>
      </c>
      <c r="H307" t="s">
        <v>3360</v>
      </c>
      <c r="I307">
        <v>7.1</v>
      </c>
      <c r="J307" t="s">
        <v>3361</v>
      </c>
      <c r="K307" t="s">
        <v>3362</v>
      </c>
      <c r="L307" t="s">
        <v>3363</v>
      </c>
      <c r="M307" t="s">
        <v>3364</v>
      </c>
      <c r="N307" t="s">
        <v>3365</v>
      </c>
      <c r="O307" t="s">
        <v>3366</v>
      </c>
      <c r="P307" t="s">
        <v>3367</v>
      </c>
      <c r="Q307" t="s">
        <v>3368</v>
      </c>
      <c r="R307" t="s">
        <v>3369</v>
      </c>
      <c r="S307" t="s">
        <v>3370</v>
      </c>
      <c r="W307" t="s">
        <v>3371</v>
      </c>
      <c r="X307" t="s">
        <v>3372</v>
      </c>
    </row>
    <row r="308" customFormat="1" ht="25.5" customHeight="1" spans="1:24">
      <c r="A308">
        <v>1701442386</v>
      </c>
      <c r="B308">
        <v>7571032457</v>
      </c>
      <c r="C308" s="2" t="str">
        <f>HYPERLINK("https://weidian.com/item.html?itemID=7571032457","https://weidian.com/item.html?itemID=7571032457")</f>
        <v>https://weidian.com/item.html?itemID=7571032457</v>
      </c>
      <c r="E308" s="2" t="str">
        <f>HYPERLINK("https://si.geilicdn.com/open1701442386-252808396-030a00000199e08635320aa043f9_800_800.jpg?w=750&amp;h=750&amp;cp=1","https://si.geilicdn.com/open1701442386-252808396-030a00000199e08635320aa043f9_800_800.jpg?w=750&amp;h=750&amp;cp=1")</f>
        <v>https://si.geilicdn.com/open1701442386-252808396-030a00000199e08635320aa043f9_800_800.jpg?w=750&amp;h=750&amp;cp=1</v>
      </c>
      <c r="F308" t="s">
        <v>2676</v>
      </c>
      <c r="G308" t="s">
        <v>2640</v>
      </c>
      <c r="H308" t="s">
        <v>3373</v>
      </c>
      <c r="I308">
        <v>14.2</v>
      </c>
      <c r="J308" t="s">
        <v>3374</v>
      </c>
      <c r="K308" t="s">
        <v>3375</v>
      </c>
      <c r="L308" t="s">
        <v>3376</v>
      </c>
      <c r="M308" t="s">
        <v>3377</v>
      </c>
      <c r="N308" t="s">
        <v>3378</v>
      </c>
      <c r="O308" t="s">
        <v>3379</v>
      </c>
      <c r="P308" t="s">
        <v>3380</v>
      </c>
      <c r="Q308" t="s">
        <v>3381</v>
      </c>
      <c r="R308" t="s">
        <v>3382</v>
      </c>
      <c r="S308" t="s">
        <v>3383</v>
      </c>
      <c r="W308" t="s">
        <v>3384</v>
      </c>
      <c r="X308" t="s">
        <v>3385</v>
      </c>
    </row>
    <row r="309" customFormat="1" ht="25.5" customHeight="1" spans="1:24">
      <c r="A309">
        <v>1701442386</v>
      </c>
      <c r="B309">
        <v>7697286988</v>
      </c>
      <c r="C309" s="2" t="str">
        <f>HYPERLINK("https://weidian.com/item.html?itemID=7697286988","https://weidian.com/item.html?itemID=7697286988")</f>
        <v>https://weidian.com/item.html?itemID=7697286988</v>
      </c>
      <c r="E309" s="2" t="str">
        <f>HYPERLINK("https://si.geilicdn.com/open1701442386-252808396-59f30000019c7a59eedb0aa08239_800_800.jpg?w=750&amp;h=750&amp;cp=1","https://si.geilicdn.com/open1701442386-252808396-59f30000019c7a59eedb0aa08239_800_800.jpg?w=750&amp;h=750&amp;cp=1")</f>
        <v>https://si.geilicdn.com/open1701442386-252808396-59f30000019c7a59eedb0aa08239_800_800.jpg?w=750&amp;h=750&amp;cp=1</v>
      </c>
      <c r="F309" t="s">
        <v>3386</v>
      </c>
      <c r="G309" t="s">
        <v>3387</v>
      </c>
      <c r="H309" t="s">
        <v>3388</v>
      </c>
      <c r="I309">
        <v>29.5652173913</v>
      </c>
      <c r="J309" t="s">
        <v>3389</v>
      </c>
      <c r="K309" t="s">
        <v>3390</v>
      </c>
      <c r="L309" t="s">
        <v>3391</v>
      </c>
      <c r="M309" t="s">
        <v>3392</v>
      </c>
      <c r="N309" t="s">
        <v>3393</v>
      </c>
      <c r="O309" t="s">
        <v>3394</v>
      </c>
      <c r="P309" t="s">
        <v>3395</v>
      </c>
      <c r="R309" t="s">
        <v>3396</v>
      </c>
      <c r="S309" t="s">
        <v>3397</v>
      </c>
      <c r="W309" t="s">
        <v>3398</v>
      </c>
      <c r="X309" t="s">
        <v>3399</v>
      </c>
    </row>
    <row r="310" customFormat="1" ht="25.5" customHeight="1" spans="1:24">
      <c r="A310">
        <v>1701442386</v>
      </c>
      <c r="B310">
        <v>7697413644</v>
      </c>
      <c r="C310" s="2" t="str">
        <f>HYPERLINK("https://weidian.com/item.html?itemID=7697413644","https://weidian.com/item.html?itemID=7697413644")</f>
        <v>https://weidian.com/item.html?itemID=7697413644</v>
      </c>
      <c r="E310" s="2" t="str">
        <f>HYPERLINK("https://si.geilicdn.com/open1701442386-252808396-4e6a0000019c7a5bdff70aa08676_800_800.jpg?w=750&amp;h=750&amp;cp=1","https://si.geilicdn.com/open1701442386-252808396-4e6a0000019c7a5bdff70aa08676_800_800.jpg?w=750&amp;h=750&amp;cp=1")</f>
        <v>https://si.geilicdn.com/open1701442386-252808396-4e6a0000019c7a5bdff70aa08676_800_800.jpg?w=750&amp;h=750&amp;cp=1</v>
      </c>
      <c r="F310" t="s">
        <v>3386</v>
      </c>
      <c r="G310" t="s">
        <v>3400</v>
      </c>
      <c r="H310" t="s">
        <v>3401</v>
      </c>
      <c r="I310">
        <v>24.93</v>
      </c>
      <c r="J310" t="s">
        <v>3402</v>
      </c>
      <c r="K310" t="s">
        <v>3403</v>
      </c>
      <c r="L310" t="s">
        <v>3404</v>
      </c>
      <c r="M310" t="s">
        <v>3405</v>
      </c>
      <c r="N310" t="s">
        <v>3406</v>
      </c>
      <c r="O310" t="s">
        <v>3407</v>
      </c>
      <c r="P310" t="s">
        <v>3408</v>
      </c>
      <c r="R310" t="s">
        <v>3409</v>
      </c>
      <c r="S310" t="s">
        <v>3410</v>
      </c>
      <c r="W310" t="s">
        <v>3411</v>
      </c>
      <c r="X310" t="s">
        <v>3412</v>
      </c>
    </row>
    <row r="311" customFormat="1" ht="25.5" customHeight="1" spans="1:24">
      <c r="A311">
        <v>1701442386</v>
      </c>
      <c r="B311">
        <v>7697405728</v>
      </c>
      <c r="C311" s="2" t="str">
        <f>HYPERLINK("https://weidian.com/item.html?itemID=7697405728","https://weidian.com/item.html?itemID=7697405728")</f>
        <v>https://weidian.com/item.html?itemID=7697405728</v>
      </c>
      <c r="E311" s="2" t="str">
        <f>HYPERLINK("https://si.geilicdn.com/open1701442386-252808396-43400000019c7a5c585c0a8115c2_800_800.jpg?w=750&amp;h=750&amp;cp=1","https://si.geilicdn.com/open1701442386-252808396-43400000019c7a5c585c0a8115c2_800_800.jpg?w=750&amp;h=750&amp;cp=1")</f>
        <v>https://si.geilicdn.com/open1701442386-252808396-43400000019c7a5c585c0a8115c2_800_800.jpg?w=750&amp;h=750&amp;cp=1</v>
      </c>
      <c r="F311" t="s">
        <v>3386</v>
      </c>
      <c r="G311" t="s">
        <v>3413</v>
      </c>
      <c r="H311" t="s">
        <v>3401</v>
      </c>
      <c r="I311">
        <v>24.93</v>
      </c>
      <c r="J311" t="s">
        <v>3414</v>
      </c>
      <c r="K311" t="s">
        <v>3415</v>
      </c>
      <c r="L311" t="s">
        <v>3416</v>
      </c>
      <c r="M311" t="s">
        <v>3417</v>
      </c>
      <c r="N311" t="s">
        <v>3418</v>
      </c>
      <c r="O311" t="s">
        <v>3419</v>
      </c>
      <c r="P311" t="s">
        <v>3420</v>
      </c>
      <c r="R311" t="s">
        <v>3421</v>
      </c>
      <c r="S311" t="s">
        <v>3422</v>
      </c>
      <c r="W311" t="s">
        <v>3423</v>
      </c>
      <c r="X311" t="s">
        <v>3424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Go Excelize</Application>
  <HeadingPairs>
    <vt:vector size="2" baseType="variant">
      <vt:variant>
        <vt:lpstr>工作表</vt:lpstr>
      </vt:variant>
      <vt:variant>
        <vt:i4>1</vt:i4>
      </vt:variant>
    </vt:vector>
  </HeadingPairs>
  <TitlesOfParts>
    <vt:vector size="1" baseType="lpstr">
      <vt:lpstr>高奢潮鞋世家商品导入 0417</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cp:lastModifiedBy>Seven</cp:lastModifiedBy>
  <dcterms:created xsi:type="dcterms:W3CDTF">2006-09-16T08:00:00Z</dcterms:created>
  <dcterms:modified xsi:type="dcterms:W3CDTF">2026-04-17T17:29:13Z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9F2BC531A1E7FF112DFDE16904A1B9D9_42</vt:lpwstr>
  </property>
  <property fmtid="{D5CDD505-2E9C-101B-9397-08002B2CF9AE}" pid="3" name="KSOProductBuildVer">
    <vt:lpwstr>2052-12.1.25205.25205</vt:lpwstr>
  </property>
  <property fmtid="{D5CDD505-2E9C-101B-9397-08002B2CF9AE}" pid="4" name="CalculationRule">
    <vt:i4>0</vt:i4>
  </property>
</Properties>
</file>