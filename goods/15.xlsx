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nsbuy克罗心上品 05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1839115443</v>
      </c>
      <c r="B2">
        <v>7768654317</v>
      </c>
      <c r="C2" s="2" t="str">
        <f>=HYPERLINK("https://weidian.com/item.html?itemID=7768654317", "https://weidian.com/item.html?itemID=7768654317")</f>
        <v>https://weidian.com/item.html?itemID=7768654317</v>
      </c>
      <c r="D2"/>
      <c r="E2" s="2" t="str">
        <f>=HYPERLINK("https://si.geilicdn.com/open1839115443-252808396-4da00000019e441e44890aa08239_800_1200.jpg?w=640&amp;h=640", "https://si.geilicdn.com/open1839115443-252808396-4da00000019e441e44890aa08239_800_1200.jpg?w=640&amp;h=640")</f>
        <v>https://si.geilicdn.com/open1839115443-252808396-4da00000019e441e44890aa08239_800_1200.jpg?w=640&amp;h=640</v>
      </c>
      <c r="F2" t="inlineStr">
        <is>
          <t>T-Shirts</t>
        </is>
      </c>
      <c r="G2" t="inlineStr">
        <is>
          <t>Youngla</t>
        </is>
      </c>
      <c r="H2">
        <v>95</v>
      </c>
      <c r="I2">
        <v>13.77</v>
      </c>
      <c r="J2" t="inlineStr">
        <is>
          <t>{"id":"resp_025f7cbf5cdd67a0016a0eeb40f4b48192bac257907aaa3a41","object":"chat.completion","created":1779362629,"model":"gpt-5.5","choices":[{"index":0,"message":{"role":"assistant","content":"YoungLA Gold YLA Navy Vintage Oversized Graphic T-Shirt"},"finish_reason":"stop"}],"usage":{"prompt_tokens":967,"completion_tokens":128,"total_tokens":1095}}</t>
        </is>
      </c>
      <c r="K2" t="inlineStr">
        <is>
          <t>YoungLA Gold YLA Navy Vintage Oversized Graphic T-Shirt</t>
        </is>
      </c>
      <c r="L2" t="inlineStr">
        <is>
          <t>{"id":"resp_0e1091e7ec6dff32016a0ee8454a8881a3a9a25ae38cd149f6","object":"chat.completion","created":1779361864,"model":"gpt-5.5","choices":[{"index":0,"message":{"role":"assistant","content":"YoungLA Gold YLA navy vintage cotton oversized T-shirt, muscle totem graphic, 90s streetwear style, unisex casual loose fit tee."},"finish_reason":"stop"}],"usage":{"prompt_tokens":986,"completion_tokens":73,"total_tokens":1059}}</t>
        </is>
      </c>
      <c r="M2" t="inlineStr">
        <is>
          <t>{"alt-svc":"h3=\":443\"; ma=2592000","connection":"close","content-length":"422","content-type":"application/json; charset=utf-8","date":"Thu, 21 May 2026 11:11:04 GMT","referrer-policy":"strict-origin-when-cross-origin","server":"Caddy","strict-transport-security":"max-age=31536000; includeSubDomains; preload","vary":"Accept-Encoding","x-content-type-options":"nosniff","x-frame-options":"DENY","x-new-api-version":"v1.0.0-rc.2","x-oneapi-request-id":"202605211111007889584448268d9d6xFJBsKn5","x-request-id":"6e2f9023-3038-4206-bee6-a19e386c2bf4"}</t>
        </is>
      </c>
      <c r="N2" t="inlineStr">
        <is>
          <t>YoungLA Gold YLA navy vintage cotton oversized T-shirt, muscle totem graphic, 90s streetwear style, unisex casual loose fit tee.</t>
        </is>
      </c>
      <c r="O2" t="inlineStr">
        <is>
          <t>{"id":"resp_0b49d1567c330d07016a0eee083bf4819ebd15c7609356da4a","object":"chat.completion","created":1779363342,"model":"gpt-5.5","choices":[{"index":0,"message":{"role":"assistant","content":"YoungLA,T-Shirts,kakobuy,kakebuy2026,kekobuysheet,kakobuysheet2026,2026kakobuy,kakobuyspreadsheeet,kakobuylink,kakebuylist,Kakobuy MEGA Spreadsheet,kakobuysheetfind,kakobuysheetfind2026,2026kakobuysheetfind,kakobuysheet2026"},"finish_reason":"stop"}],"usage":{"prompt_tokens":884,"completion_tokens":317,"total_tokens":1201}}</t>
        </is>
      </c>
      <c r="P2" t="inlineStr">
        <is>
          <t>YoungLA,T-Shirts,kakobuy,kakebuy2026,kekobuysheet,kakobuysheet2026,2026kakobuy,kakobuyspreadsheeet,kakobuylink,kakebuylist,Kakobuy MEGA Spreadsheet,kakobuysheetfind,kakobuysheetfind2026,2026kakobuysheetfind,kakobuysheet2026</t>
        </is>
      </c>
      <c r="Q2" t="inlineStr">
        <is>
          <t>Navy, Streetwear, Unisex</t>
        </is>
      </c>
      <c r="R2" t="inlineStr">
        <is>
          <t>recvk9JcCWM9dU</t>
        </is>
      </c>
      <c r="S2" t="inlineStr">
        <is>
          <t>youngla-gold-navy-vintage-graphic-recvk9jccwm9du</t>
        </is>
      </c>
      <c r="T2"/>
      <c r="U2"/>
      <c r="V2"/>
      <c r="W2" t="inlineStr">
        <is>
          <t>{"id":"resp_0aa355487cf2da10016a0ee6e884ec8191be5ffaa4253be2dd","object":"chat.completion","created":1779361519,"model":"gpt-5.5","choices":[{"index":0,"message":{"role":"assistant","content":"YoungLA: GOLD YLA深蓝复古棉质宽松短袖T恤，肌肉图腾印花设计，街头潮流风，男女同款，90年代复古感，休闲百搭。"},"finish_reason":"stop"}],"usage":{"prompt_tokens":1401,"completion_tokens":335,"total_tokens":1736}}</t>
        </is>
      </c>
      <c r="X2" t="inlineStr">
        <is>
          <t>YoungLA: GOLD YLA深蓝复古棉质宽松短袖T恤，肌肉图腾印花设计，街头潮流风，男女同款，90年代复古感，休闲百搭。</t>
        </is>
      </c>
    </row>
    <row r="3" ht="25.5" customHeight="1">
      <c r="A3">
        <v>1839115443</v>
      </c>
      <c r="B3">
        <v>7768391581</v>
      </c>
      <c r="C3" s="2" t="str">
        <f>=HYPERLINK("https://weidian.com/item.html?itemID=7768391581", "https://weidian.com/item.html?itemID=7768391581")</f>
        <v>https://weidian.com/item.html?itemID=7768391581</v>
      </c>
      <c r="D3"/>
      <c r="E3" s="2" t="str">
        <f>=HYPERLINK("https://si.geilicdn.com/open1839115443-252808396-17880000019e440cd0610aa08269_1080_1080.jpg?w=640&amp;h=640", "https://si.geilicdn.com/open1839115443-252808396-17880000019e440cd0610aa08269_1080_1080.jpg?w=640&amp;h=640")</f>
        <v>https://si.geilicdn.com/open1839115443-252808396-17880000019e440cd0610aa08269_1080_1080.jpg?w=640&amp;h=640</v>
      </c>
      <c r="F3" t="inlineStr">
        <is>
          <t>T-Shirts</t>
        </is>
      </c>
      <c r="G3" t="inlineStr">
        <is>
          <t>Chrome Hearts</t>
        </is>
      </c>
      <c r="H3">
        <v>84</v>
      </c>
      <c r="I3">
        <v>12.17</v>
      </c>
      <c r="J3" t="inlineStr">
        <is>
          <t>{"id":"resp_0c4e64b0465c9656016a0eea7f650081a0b4adcde2c6b1176f","object":"chat.completion","created":1779362432,"model":"gpt-5.5","choices":[{"index":0,"message":{"role":"assistant","content":"Chrome Hearts Black Cross Horseshoe Cotton T-Shirt"},"finish_reason":"stop"}],"usage":{"prompt_tokens":721,"completion_tokens":13,"total_tokens":734}}</t>
        </is>
      </c>
      <c r="K3" t="inlineStr">
        <is>
          <t>Chrome Hearts Black Cross Horseshoe Cotton T-Shirt</t>
        </is>
      </c>
      <c r="L3" t="inlineStr">
        <is>
          <t>{"id":"resp_0e1526273cfecd80016a0ee9194ba8819fbd7342202ed52ecb","object":"chat.completion","created":1779362081,"model":"gpt-5.5","choices":[{"index":0,"message":{"role":"assistant","content":"Chrome Hearts Black Cotton Crewneck Short Sleeve T-Shirt, front cross, back horseshoe logo, unisex streetwear, soft casual tee."},"finish_reason":"stop"}],"usage":{"prompt_tokens":768,"completion_tokens":400,"total_tokens":1168}}</t>
        </is>
      </c>
      <c r="M3" t="inlineStr">
        <is>
          <t>{"alt-svc":"h3=\":443\"; ma=2592000","connection":"close","content-length":"422","content-type":"application/json; charset=utf-8","date":"Thu, 21 May 2026 11:14:41 GMT","referrer-policy":"strict-origin-when-cross-origin","server":"nginx/1.24.0 (Ubuntu)","strict-transport-security":"max-age=31536000; includeSubDomains; preload","vary":"Accept-Encoding","via":"1.1 Caddy","x-content-type-options":"nosniff","x-frame-options":"DENY","x-new-api-version":"v1.0.0-rc.2","x-oneapi-request-id":"202605211114287815976518268d9d6opAry5wt","x-request-id":"311c7746-2ffe-400f-9f2f-1892b1e61b84"}</t>
        </is>
      </c>
      <c r="N3" t="inlineStr">
        <is>
          <t>Chrome Hearts Black Cotton Crewneck Short Sleeve T-Shirt, front cross, back horseshoe logo, unisex streetwear, soft casual tee.</t>
        </is>
      </c>
      <c r="O3" t="inlineStr">
        <is>
          <t>{"id":"resp_0b6d735950638b71016a0eede909a081a1bf4b5b605dacf733","object":"chat.completion","created":1779363310,"model":"gpt-5.5","choices":[{"index":0,"message":{"role":"assistant","content":"Chrome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kakobuysheet2026"},"finish_reason":"stop"}],"usage":{"prompt_tokens":644,"completion_tokens":254,"total_tokens":898}}</t>
        </is>
      </c>
      <c r="P3"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3" t="inlineStr">
        <is>
          <t>Unisex, Streetwear, Black</t>
        </is>
      </c>
      <c r="R3" t="inlineStr">
        <is>
          <t>recvk9Jhrptf2Q</t>
        </is>
      </c>
      <c r="S3" t="inlineStr">
        <is>
          <t>chrome-hearts-black-cross-horseshoe-cotton-tshirt-recvk9jhrptf2q</t>
        </is>
      </c>
      <c r="T3"/>
      <c r="U3"/>
      <c r="V3"/>
      <c r="W3" t="inlineStr">
        <is>
          <t>{"id":"resp_0fbc0d1368a687d2016a0ee7c13134819fb02803e104774884","object":"chat.completion","created":1779361738,"model":"gpt-5.5","choices":[{"index":0,"message":{"role":"assistant","content":"黑色Chrome Hearts圆领短袖T恤，甄选柔软纯棉面料，正面点缀小号十字图腾，背面印有经典圆形马蹄Logo，街头潮流风格，简约百搭，男女同款，适合日常休闲穿搭。"},"finish_reason":"stop"}],"usage":{"prompt_tokens":1161,"completion_tokens":479,"total_tokens":1640}}</t>
        </is>
      </c>
      <c r="X3" t="inlineStr">
        <is>
          <t>黑色Chrome Hearts圆领短袖T恤，甄选柔软纯棉面料，正面点缀小号十字图腾，背面印有经典圆形马蹄Logo，街头潮流风格，简约百搭，男女同款，适合日常休闲穿搭。</t>
        </is>
      </c>
    </row>
    <row r="4" ht="25.5" customHeight="1">
      <c r="A4">
        <v>1839115443</v>
      </c>
      <c r="B4">
        <v>7771452432</v>
      </c>
      <c r="C4" s="2" t="str">
        <f>=HYPERLINK("https://weidian.com/item.html?itemID=7771452432", "https://weidian.com/item.html?itemID=7771452432")</f>
        <v>https://weidian.com/item.html?itemID=7771452432</v>
      </c>
      <c r="D4"/>
      <c r="E4" s="2" t="str">
        <f>=HYPERLINK("https://si.geilicdn.com/open1839115443-252808396-7f770000019e342a1ee70a231226_750_750.jpg?w=640&amp;h=640", "https://si.geilicdn.com/open1839115443-252808396-7f770000019e342a1ee70a231226_750_750.jpg?w=640&amp;h=640")</f>
        <v>https://si.geilicdn.com/open1839115443-252808396-7f770000019e342a1ee70a231226_750_750.jpg?w=640&amp;h=640</v>
      </c>
      <c r="F4" t="inlineStr">
        <is>
          <t>Hoodies</t>
        </is>
      </c>
      <c r="G4" t="inlineStr">
        <is>
          <t>Essentials</t>
        </is>
      </c>
      <c r="H4">
        <v>173</v>
      </c>
      <c r="I4">
        <v>25.07</v>
      </c>
      <c r="J4" t="inlineStr">
        <is>
          <t>{"id":"resp_06f9f2ae7e3f8f12016a0eeb0a87ac819daeec04009120ba72","object":"chat.completion","created":1779362571,"model":"gpt-5.5","choices":[{"index":0,"message":{"role":"assistant","content":"Essentials Jerry Lorenzo Off White Oversized Hoodie"},"finish_reason":"stop"}],"usage":{"prompt_tokens":734,"completion_tokens":13,"total_tokens":747}}</t>
        </is>
      </c>
      <c r="K4" t="inlineStr">
        <is>
          <t>Essentials Jerry Lorenzo Off White Oversized Hoodie</t>
        </is>
      </c>
      <c r="L4" t="inlineStr">
        <is>
          <t>{"id":"resp_02dcc49907add300016a0ee8e05658819db9268b333ae05c9c","object":"chat.completion","created":1779362020,"model":"gpt-5.5","choices":[{"index":0,"message":{"role":"assistant","content":"Essentials by Jerry Lorenzo off-white cotton hoodie, subtle chest logo, oversized drop-shoulder fit, drawstring hood, kangaroo pocket, unisex streetwear."},"finish_reason":"stop"}],"usage":{"prompt_tokens":777,"completion_tokens":157,"total_tokens":934}}</t>
        </is>
      </c>
      <c r="M4" t="inlineStr">
        <is>
          <t>{"alt-svc":"h3=\":443\"; ma=2592000","connection":"close","content-length":"447","content-type":"application/json; charset=utf-8","date":"Thu, 21 May 2026 11:13:40 GMT","referrer-policy":"strict-origin-when-cross-origin","server":"nginx/1.24.0 (Ubuntu)","strict-transport-security":"max-age=31536000; includeSubDomains; preload","vary":"Accept-Encoding","via":"1.1 Caddy","x-content-type-options":"nosniff","x-frame-options":"DENY","x-new-api-version":"v1.0.0-rc.2","x-oneapi-request-id":"202605211113318976975108268d9d6YFtvGFcB","x-request-id":"d4066a9b-d43e-4de3-a05a-2f2fa9af2bf6"}</t>
        </is>
      </c>
      <c r="N4" t="inlineStr">
        <is>
          <t>Essentials by Jerry Lorenzo off-white cotton hoodie, subtle chest logo, oversized drop-shoulder fit, drawstring hood, kangaroo pocket, unisex streetwear.</t>
        </is>
      </c>
      <c r="O4" t="inlineStr">
        <is>
          <t>{"id":"resp_02b48ec6d9ed9cff016a0eee06467c81a2af2f2cdd7514fbbd","object":"chat.completion","created":1779363339,"model":"gpt-5.5","choices":[{"index":0,"message":{"role":"assistant","content":"Essentials Hoodies kakobuy, Essentials Hoodies kakebuy2026, Essentials Hoodies kekobuysheet, Essentials Hoodies kakobuysheet2026, Essentials Hoodies 2026kakobuy, Essentials Hoodies kakobuyspreadsheeet, Essentials Hoodies kakobuylink, Essentials Hoodies kakebuylist, Essentials Hoodies Kakobuy MEGA Spreadsheet, Essentials Hoodies kakobuysheetfind, Essentials Hoodies kakobuysheetfind2026, Essentials Hoodies 2026kakobuysheetfind, Essentials Hoodies kakobuysheet2026"},"finish_reason":"stop"}],"usage":{"prompt_tokens":645,"completion_tokens":229,"total_tokens":874}}</t>
        </is>
      </c>
      <c r="P4" t="inlineStr">
        <is>
          <t>Essentials Hoodies kakobuy, Essentials Hoodies kakebuy2026, Essentials Hoodies kekobuysheet, Essentials Hoodies kakobuysheet2026, Essentials Hoodies 2026kakobuy, Essentials Hoodies kakobuyspreadsheeet, Essentials Hoodies kakobuylink, Essentials Hoodies kakebuylist, Essentials Hoodies Kakobuy MEGA Spreadsheet, Essentials Hoodies kakobuysheetfind, Essentials Hoodies kakobuysheetfind2026, Essentials Hoodies 2026kakobuysheetfind, Essentials Hoodies kakobuysheet2026</t>
        </is>
      </c>
      <c r="Q4" t="inlineStr">
        <is>
          <t>Unisex, Streetwear</t>
        </is>
      </c>
      <c r="R4" t="inlineStr">
        <is>
          <t>recvk9JhrpDFge</t>
        </is>
      </c>
      <c r="S4" t="inlineStr">
        <is>
          <t>essentials-jerry-lorenzo-off-white-oversized-hoodie-recvk9jhrpdfge</t>
        </is>
      </c>
      <c r="T4"/>
      <c r="U4"/>
      <c r="V4"/>
      <c r="W4" t="inlineStr">
        <is>
          <t>{"id":"resp_07f2828ea349c9d3016a0ee74296ec8192917a5b4fa3be29c5","object":"chat.completion","created":1779361613,"model":"gpt-5.5","choices":[{"index":0,"message":{"role":"assistant","content":"【Essentials】：米白色ESSENTIALS系列连帽卫衣，甄选柔软棉质面料，胸前低调字标设计，宽松落肩版型，抽绳帽兜与袋鼠口袋兼具实用性，简约街头风，男女同款，Jerry Lorenzo 2020年代潮流单品。"},"finish_reason":"stop"}],"usage":{"prompt_tokens":1162,"completion_tokens":568,"total_tokens":1730}}</t>
        </is>
      </c>
      <c r="X4" t="inlineStr">
        <is>
          <t>【Essentials】：米白色ESSENTIALS系列连帽卫衣，甄选柔软棉质面料，胸前低调字标设计，宽松落肩版型，抽绳帽兜与袋鼠口袋兼具实用性，简约街头风，男女同款，Jerry Lorenzo 2020年代潮流单品。</t>
        </is>
      </c>
    </row>
    <row r="5" ht="25.5" customHeight="1">
      <c r="A5">
        <v>1839115443</v>
      </c>
      <c r="B5">
        <v>7771602896</v>
      </c>
      <c r="C5" s="2" t="str">
        <f>=HYPERLINK("https://weidian.com/item.html?itemID=7771602896", "https://weidian.com/item.html?itemID=7771602896")</f>
        <v>https://weidian.com/item.html?itemID=7771602896</v>
      </c>
      <c r="D5"/>
      <c r="E5" s="2" t="str">
        <f>=HYPERLINK("https://si.geilicdn.com/open1839115443-252808396-40b00000019e441c908f0aa08239_1440_1920.jpg?w=640&amp;h=640", "https://si.geilicdn.com/open1839115443-252808396-40b00000019e441c908f0aa08239_1440_1920.jpg?w=640&amp;h=640")</f>
        <v>https://si.geilicdn.com/open1839115443-252808396-40b00000019e441c908f0aa08239_1440_1920.jpg?w=640&amp;h=640</v>
      </c>
      <c r="F5" t="inlineStr">
        <is>
          <t>T-Shirts</t>
        </is>
      </c>
      <c r="G5" t="inlineStr">
        <is>
          <t>Chrome Hearts</t>
        </is>
      </c>
      <c r="H5">
        <v>95</v>
      </c>
      <c r="I5">
        <v>13.77</v>
      </c>
      <c r="J5" t="inlineStr">
        <is>
          <t>{"id":"resp_0f2b94ec9845a6db016a0ee9f89d4881a0abacc97b3b399446","object":"chat.completion","created":1779362299,"model":"gpt-5.5","choices":[{"index":0,"message":{"role":"assistant","content":"Chrome Hearts Black Cotton Cross Logo Graphic T-Shirt"},"finish_reason":"stop"}],"usage":{"prompt_tokens":891,"completion_tokens":122,"total_tokens":1013}}</t>
        </is>
      </c>
      <c r="K5" t="inlineStr">
        <is>
          <t>Chrome Hearts Black Cotton Cross Logo Graphic T-Shirt</t>
        </is>
      </c>
      <c r="L5" t="inlineStr">
        <is>
          <t>{"id":"resp_0f71334635345823016a0ee8ab310081a0ba17d5d5247d18c9","object":"chat.completion","created":1779361966,"model":"gpt-5.5","choices":[{"index":0,"message":{"role":"assistant","content":"Chrome Hearts Black Cotton T-Shirt, 90s unisex tee with colorful cross logo, CH print and brand graphic, soft breathable streetwear."},"finish_reason":"stop"}],"usage":{"prompt_tokens":944,"completion_tokens":155,"total_tokens":1099}}</t>
        </is>
      </c>
      <c r="M5" t="inlineStr">
        <is>
          <t>{"alt-svc":"h3=\":443\"; ma=2592000","connection":"close","content-length":"427","content-type":"application/json; charset=utf-8","date":"Thu, 21 May 2026 11:12:46 GMT","referrer-policy":"strict-origin-when-cross-origin","server":"Caddy","strict-transport-security":"max-age=31536000; includeSubDomains; preload","vary":"Accept-Encoding","x-content-type-options":"nosniff","x-frame-options":"DENY","x-new-api-version":"v1.0.0-rc.2","x-oneapi-request-id":"202605211112427372616518268d9d6LN0F1vx7","x-request-id":"dd51078e-ebd6-413d-8e46-4a315faf5b8b"}</t>
        </is>
      </c>
      <c r="N5" t="inlineStr">
        <is>
          <t>Chrome Hearts Black Cotton T-Shirt, 90s unisex tee with colorful cross logo, CH print and brand graphic, soft breathable streetwear.</t>
        </is>
      </c>
      <c r="O5" t="inlineStr">
        <is>
          <t>{"id":"resp_08d351db617581b8016a0eed27bd5c819cbfa1bc4258577f38","object":"chat.completion","created":1779363121,"model":"gpt-5.5","choices":[{"index":0,"message":{"role":"assistant","content":"Chrome Hearts,T-Shirts,kakobuy,kakebuy2026,kekobuysheet,kakobuysheet2026,2026kakobuy,kakobuyspreadsheeet,kakobuylink,kakebuylist,Kakobuy MEGA Spreadsheet,kakobuysheetfind,kakobuysheetfind2026,2026kakobuysheetfind,kakobuysheet2026"},"finish_reason":"stop"}],"usage":{"prompt_tokens":812,"completion_tokens":502,"total_tokens":1314}}</t>
        </is>
      </c>
      <c r="P5" t="inlineStr">
        <is>
          <t>Chrome Hearts,T-Shirts,kakobuy,kakebuy2026,kekobuysheet,kakobuysheet2026,2026kakobuy,kakobuyspreadsheeet,kakobuylink,kakebuylist,Kakobuy MEGA Spreadsheet,kakobuysheetfind,kakobuysheetfind2026,2026kakobuysheetfind,kakobuysheet2026</t>
        </is>
      </c>
      <c r="Q5" t="inlineStr">
        <is>
          <t>Streetwear, Unisex, Black</t>
        </is>
      </c>
      <c r="R5" t="inlineStr">
        <is>
          <t>recvk9JhrpAZ0h</t>
        </is>
      </c>
      <c r="S5" t="inlineStr">
        <is>
          <t>chrome-hearts-black-cotton-cross-logo-recvk9jhrpaz0h</t>
        </is>
      </c>
      <c r="T5"/>
      <c r="U5"/>
      <c r="V5"/>
      <c r="W5" t="inlineStr">
        <is>
          <t>{"id":"resp_01f1bd9f4d7d596c016a0ee7d36c58819d9f58da05913bece9","object":"chat.completion","created":1779361758,"model":"gpt-5.5","choices":[{"index":0,"message":{"role":"assistant","content":"Chrome Hearts: 经典Logo系列黑色短袖T恤，甄选纯棉面料，柔软透气舒适。胸前彩色十字架与CH标识点缀，搭配品牌字样图腾，街头感十足。男女通用，90年代风格，Richard Stark设计，日常百搭。"},"finish_reason":"stop"}],"usage":{"prompt_tokens":1333,"completion_tokens":564,"total_tokens":1897}}</t>
        </is>
      </c>
      <c r="X5" t="inlineStr">
        <is>
          <t>Chrome Hearts: 经典Logo系列黑色短袖T恤，甄选纯棉面料，柔软透气舒适。胸前彩色十字架与CH标识点缀，搭配品牌字样图腾，街头感十足。男女通用，90年代风格，Richard Stark设计，日常百搭。</t>
        </is>
      </c>
    </row>
    <row r="6" ht="25.5" customHeight="1">
      <c r="A6">
        <v>1839115443</v>
      </c>
      <c r="B6">
        <v>7771648136</v>
      </c>
      <c r="C6" s="2" t="str">
        <f>=HYPERLINK("https://weidian.com/item.html?itemID=7771648136", "https://weidian.com/item.html?itemID=7771648136")</f>
        <v>https://weidian.com/item.html?itemID=7771648136</v>
      </c>
      <c r="D6"/>
      <c r="E6" s="2" t="str">
        <f>=HYPERLINK("https://si.geilicdn.com/open1839115443-252808396-268e0000019e441cd3be0a8133b0_1066_1066.jpg?w=640&amp;h=640", "https://si.geilicdn.com/open1839115443-252808396-268e0000019e441cd3be0a8133b0_1066_1066.jpg?w=640&amp;h=640")</f>
        <v>https://si.geilicdn.com/open1839115443-252808396-268e0000019e441cd3be0a8133b0_1066_1066.jpg?w=640&amp;h=640</v>
      </c>
      <c r="F6" t="inlineStr">
        <is>
          <t>T-Shirts</t>
        </is>
      </c>
      <c r="G6" t="inlineStr">
        <is>
          <t>Chrome Hearts</t>
        </is>
      </c>
      <c r="H6">
        <v>101</v>
      </c>
      <c r="I6">
        <v>14.64</v>
      </c>
      <c r="J6" t="inlineStr">
        <is>
          <t>{"id":"resp_0293b94bbdf94bbf016a0eeb09ef9c81a2bfcb88548c31d7a8","object":"chat.completion","created":1779362575,"model":"gpt-5.5","choices":[{"index":0,"message":{"role":"assistant","content":"Chrome Hearts Black Cross Cotton Tee Unisex Loose Streetwear"},"finish_reason":"stop"}],"usage":{"prompt_tokens":712,"completion_tokens":270,"total_tokens":982}}</t>
        </is>
      </c>
      <c r="K6" t="inlineStr">
        <is>
          <t>Chrome Hearts Black Cross Cotton Tee Unisex Loose Streetwear</t>
        </is>
      </c>
      <c r="L6" t="inlineStr">
        <is>
          <t>{"id":"resp_0e7f44d23c8b5580016a0ee96c2088819f909a29cdbae265d6","object":"chat.completion","created":1779362161,"model":"gpt-5.5","choices":[{"index":0,"message":{"role":"assistant","content":"Chrome Hearts Black Cross Graphic Cotton T-Shirt, Unisex Crew Neck Loose Fit Streetwear Tee, Summer Casual Fashion Top"},"finish_reason":"stop"}],"usage":{"prompt_tokens":748,"completion_tokens":255,"total_tokens":1003}}</t>
        </is>
      </c>
      <c r="M6" t="inlineStr">
        <is>
          <t>{"alt-svc":"h3=\":443\"; ma=2592000","connection":"close","content-length":"413","content-type":"application/json; charset=utf-8","date":"Thu, 21 May 2026 11:16:01 GMT","referrer-policy":"strict-origin-when-cross-origin","server":"Caddy","strict-transport-security":"max-age=31536000; includeSubDomains; preload","vary":"Accept-Encoding","x-content-type-options":"nosniff","x-frame-options":"DENY","x-new-api-version":"v1.0.0-rc.2","x-oneapi-request-id":"202605211115542306491348268d9d6uy2hh26u","x-request-id":"7f7f9b28-7431-40d8-838b-4e6eadf32b14"}</t>
        </is>
      </c>
      <c r="N6" t="inlineStr">
        <is>
          <t>Chrome Hearts Black Cross Graphic Cotton T-Shirt, Unisex Crew Neck Loose Fit Streetwear Tee, Summer Casual Fashion Top</t>
        </is>
      </c>
      <c r="O6" t="inlineStr">
        <is>
          <t>{"id":"resp_0ec3564bdbabe5a2016a0eeeac88748192b12c406543b4e839","object":"chat.completion","created":1779363505,"model":"gpt-5.5","choices":[{"index":0,"message":{"role":"assistant","content":"Chrome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kakobuysheet2026"},"finish_reason":"stop"}],"usage":{"prompt_tokens":644,"completion_tokens":252,"total_tokens":896}}</t>
        </is>
      </c>
      <c r="P6"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6" t="inlineStr">
        <is>
          <t>Unisex, Streetwear, Summer, Fashion</t>
        </is>
      </c>
      <c r="R6" t="inlineStr">
        <is>
          <t>recvk9JhrpKoMV</t>
        </is>
      </c>
      <c r="S6" t="inlineStr">
        <is>
          <t>chrome-hearts-black-cross-cotton-tee-recvk9jhrpkomv</t>
        </is>
      </c>
      <c r="T6"/>
      <c r="U6"/>
      <c r="V6"/>
      <c r="W6" t="inlineStr">
        <is>
          <t>{"id":"resp_0ac519cca7f983ea016a0ee6694bd081a3a707bd0da4b601cd","object":"chat.completion","created":1779361389,"model":"gpt-5.5","choices":[{"index":0,"message":{"role":"assistant","content":"克罗心 Chrome Hearts 黑色彩色十字图腾短袖T恤，纯棉圆领休闲版型，男女同款街头潮流上衣，夏季百搭潮牌风格。"},"finish_reason":"stop"}],"usage":{"prompt_tokens":1169,"completion_tokens":163,"total_tokens":1332}}</t>
        </is>
      </c>
      <c r="X6" t="inlineStr">
        <is>
          <t>克罗心 Chrome Hearts 黑色彩色十字图腾短袖T恤，纯棉圆领休闲版型，男女同款街头潮流上衣，夏季百搭潮牌风格。</t>
        </is>
      </c>
    </row>
    <row r="7" ht="25.5" customHeight="1">
      <c r="A7">
        <v>1839115443</v>
      </c>
      <c r="B7">
        <v>7768683999</v>
      </c>
      <c r="C7" s="2" t="str">
        <f>=HYPERLINK("https://weidian.com/item.html?itemID=7768683999", "https://weidian.com/item.html?itemID=7768683999")</f>
        <v>https://weidian.com/item.html?itemID=7768683999</v>
      </c>
      <c r="D7"/>
      <c r="E7" s="2" t="str">
        <f>=HYPERLINK("https://si.geilicdn.com/open1839115443-252808396-541c0000019e4420d0760aa08239_1440_1440.jpg?w=750&amp;h=750&amp;cp=1", "https://si.geilicdn.com/open1839115443-252808396-541c0000019e4420d0760aa08239_1440_1440.jpg?w=750&amp;h=750&amp;cp=1")</f>
        <v>https://si.geilicdn.com/open1839115443-252808396-541c0000019e4420d0760aa08239_1440_1440.jpg?w=750&amp;h=750&amp;cp=1</v>
      </c>
      <c r="F7" t="inlineStr">
        <is>
          <t>T-Shirts</t>
        </is>
      </c>
      <c r="G7" t="inlineStr">
        <is>
          <t>Stussy</t>
        </is>
      </c>
      <c r="H7">
        <v>91</v>
      </c>
      <c r="I7">
        <v>13.19</v>
      </c>
      <c r="J7" t="inlineStr">
        <is>
          <t>{"id":"resp_08a5fdd3297f6ba5016a0eeb5162a88191b36876449898542f","object":"chat.completion","created":1779362644,"model":"gpt-5.5","choices":[{"index":0,"message":{"role":"assistant","content":"Stussy Sport Grey Cotton Logo T-Shirt Unisex Streetwear Tee"},"finish_reason":"stop"}],"usage":{"prompt_tokens":928,"completion_tokens":134,"total_tokens":1062}}</t>
        </is>
      </c>
      <c r="K7" t="inlineStr">
        <is>
          <t>Stussy Sport Grey Cotton Logo T-Shirt Unisex Streetwear Tee</t>
        </is>
      </c>
      <c r="L7" t="inlineStr">
        <is>
          <t>{"id":"resp_0438afc13fd156b3016a0ee9095d0881a3a2eb0a8183570f8f","object":"chat.completion","created":1779362059,"model":"gpt-5.5","choices":[{"index":0,"message":{"role":"assistant","content":"Stussy Sport grey cotton T-shirt, breathable unisex short sleeve tee with black red chest logo, vintage streetwear casual top."},"finish_reason":"stop"}],"usage":{"prompt_tokens":954,"completion_tokens":30,"total_tokens":984}}</t>
        </is>
      </c>
      <c r="M7" t="inlineStr">
        <is>
          <t>{"alt-svc":"h3=\":443\"; ma=2592000","connection":"close","content-length":"419","content-type":"application/json; charset=utf-8","date":"Thu, 21 May 2026 11:14:19 GMT","referrer-policy":"strict-origin-when-cross-origin","server":"Caddy","strict-transport-security":"max-age=31536000; includeSubDomains; preload","vary":"Accept-Encoding","x-content-type-options":"nosniff","x-frame-options":"DENY","x-new-api-version":"v1.0.0-rc.2","x-oneapi-request-id":"202605211114143821605398268d9d61iZ4mjQZ","x-request-id":"fcbc61df-d167-4e01-ad4b-591f3ed2753d"}</t>
        </is>
      </c>
      <c r="N7" t="inlineStr">
        <is>
          <t>Stussy Sport grey cotton T-shirt, breathable unisex short sleeve tee with black red chest logo, vintage streetwear casual top.</t>
        </is>
      </c>
      <c r="O7" t="inlineStr">
        <is>
          <t>{"id":"resp_07b9d4070d9c3325016a0eee599560819cafb7ba4db43f3807","object":"chat.completion","created":1779363424,"model":"gpt-5.5","choices":[{"index":0,"message":{"role":"assistant","content":"Stussy T-Shirts kakobuy, Stussy T-Shirts kakebuy2026, Stussy T-Shirts kekobuysheet, Stussy T-Shirts kakobuysheet2026, Stussy T-Shirts 2026kakobuy, Stussy T-Shirts kakobuyspreadsheeet, Stussy T-Shirts kakobuylink, Stussy T-Shirts kakebuylist, Stussy T-Shirts Kakobuy MEGA Spreadsheet, Stussy T-Shirts kakobuysheetfind, Stussy T-Shirts kakobuysheetfind2026, Stussy T-Shirts 2026kakobuysheetfind, Stussy T-Shirts kakobuysheet2026"},"finish_reason":"stop"}],"usage":{"prompt_tokens":855,"completion_tokens":331,"total_tokens":1186}}</t>
        </is>
      </c>
      <c r="P7" t="inlineStr">
        <is>
          <t>Stussy T-Shirts kakobuy, Stussy T-Shirts kakebuy2026, Stussy T-Shirts kekobuysheet, Stussy T-Shirts kakobuysheet2026, Stussy T-Shirts 2026kakobuy, Stussy T-Shirts kakobuyspreadsheeet, Stussy T-Shirts kakobuylink, Stussy T-Shirts kakebuylist, Stussy T-Shirts Kakobuy MEGA Spreadsheet, Stussy T-Shirts kakobuysheetfind, Stussy T-Shirts kakobuysheetfind2026, Stussy T-Shirts 2026kakobuysheetfind, Stussy T-Shirts kakobuysheet2026</t>
        </is>
      </c>
      <c r="Q7" t="inlineStr">
        <is>
          <t>Stussy, Grey, Black Red, Vintage, Streetwear, Unisex</t>
        </is>
      </c>
      <c r="R7" t="inlineStr">
        <is>
          <t>recvk9JhrpMQjG</t>
        </is>
      </c>
      <c r="S7" t="inlineStr">
        <is>
          <t>stussy-sport-grey-cotton-logo-tee-recvk9jhrpmqjg</t>
        </is>
      </c>
      <c r="T7"/>
      <c r="U7"/>
      <c r="V7"/>
      <c r="W7" t="inlineStr">
        <is>
          <t>{"id":"resp_0e4fffdabb4dbbb2016a0ee761896481a0a9892ff93cab49b4","object":"chat.completion","created":1779361637,"model":"gpt-5.5","choices":[{"index":0,"message":{"role":"assistant","content":"灰色Stussy Sport短袖T恤，纯棉舒适透气，胸前黑红Logo印花，男女同款复古街头潮流休闲上衣。"},"finish_reason":"stop"}],"usage":{"prompt_tokens":1384,"completion_tokens":124,"total_tokens":1508}}</t>
        </is>
      </c>
      <c r="X7" t="inlineStr">
        <is>
          <t>灰色Stussy Sport短袖T恤，纯棉舒适透气，胸前黑红Logo印花，男女同款复古街头潮流休闲上衣。</t>
        </is>
      </c>
    </row>
    <row r="8" ht="25.5" customHeight="1">
      <c r="A8">
        <v>1839115443</v>
      </c>
      <c r="B8">
        <v>7771646424</v>
      </c>
      <c r="C8" s="2" t="str">
        <f>=HYPERLINK("https://weidian.com/item.html?itemID=7771646424", "https://weidian.com/item.html?itemID=7771646424")</f>
        <v>https://weidian.com/item.html?itemID=7771646424</v>
      </c>
      <c r="D8"/>
      <c r="E8" s="2" t="str">
        <f>=HYPERLINK("https://si.geilicdn.com/open1839115443-252808396-58d50000019e44214f120a23b4de_1920_1920.jpg?w=640&amp;h=640", "https://si.geilicdn.com/open1839115443-252808396-58d50000019e44214f120a23b4de_1920_1920.jpg?w=640&amp;h=640")</f>
        <v>https://si.geilicdn.com/open1839115443-252808396-58d50000019e44214f120a23b4de_1920_1920.jpg?w=640&amp;h=640</v>
      </c>
      <c r="F8" t="inlineStr">
        <is>
          <t>T-Shirts</t>
        </is>
      </c>
      <c r="G8" t="inlineStr">
        <is>
          <t>Stussy</t>
        </is>
      </c>
      <c r="H8">
        <v>91</v>
      </c>
      <c r="I8">
        <v>13.19</v>
      </c>
      <c r="J8" t="inlineStr">
        <is>
          <t>{"id":"resp_060d1847bd60c3d8016a0eea693ce08191831953e71fd575b2","object":"chat.completion","created":1779362413,"model":"gpt-5.5","choices":[{"index":0,"message":{"role":"assistant","content":"Stussy White Graffiti Back Logo Cotton T-Shirt"},"finish_reason":"stop"}],"usage":{"prompt_tokens":727,"completion_tokens":107,"total_tokens":834}}</t>
        </is>
      </c>
      <c r="K8" t="inlineStr">
        <is>
          <t>Stussy White Graffiti Back Logo Cotton T-Shirt</t>
        </is>
      </c>
      <c r="L8" t="inlineStr">
        <is>
          <t>{"id":"resp_0e453b013113c16a016a0ee92a58c8819dba12c3b1cafbbb9b","object":"chat.completion","created":1779362093,"model":"gpt-5.5","choices":[{"index":0,"message":{"role":"assistant","content":"Stussy white cotton crew neck short sleeve T-shirt with black handwritten graffiti back logo print, unisex 90s vintage streetwear, casual versatile tee."},"finish_reason":"stop"}],"usage":{"prompt_tokens":749,"completion_tokens":108,"total_tokens":857}}</t>
        </is>
      </c>
      <c r="M8" t="inlineStr">
        <is>
          <t>{"alt-svc":"h3=\":443\"; ma=2592000","connection":"close","content-length":"446","content-type":"application/json; charset=utf-8","date":"Thu, 21 May 2026 11:14:53 GMT","referrer-policy":"strict-origin-when-cross-origin","server":"Caddy","strict-transport-security":"max-age=31536000; includeSubDomains; preload","vary":"Accept-Encoding","x-content-type-options":"nosniff","x-frame-options":"DENY","x-new-api-version":"v1.0.0-rc.2","x-oneapi-request-id":"202605211114477361527638268d9d6dwEVd6WQ","x-request-id":"edb92670-d1e3-4113-949f-b81e2b90643a"}</t>
        </is>
      </c>
      <c r="N8" t="inlineStr">
        <is>
          <t>Stussy white cotton crew neck short sleeve T-shirt with black handwritten graffiti back logo print, unisex 90s vintage streetwear, casual versatile tee.</t>
        </is>
      </c>
      <c r="O8" t="inlineStr">
        <is>
          <t>{"id":"resp_0fd28ecb415a4c20016a0eee03104881a1bef341447eb7ae76","object":"chat.completion","created":1779363344,"model":"gpt-5.5","choices":[{"index":0,"message":{"role":"assistant","content":"Stussy T-Shirts kakobuy, Stussy T-Shirts kakebuy2026, Stussy T-Shirts kekobuysheet, Stussy T-Shirts kakobuysheet2026, Stussy T-Shirts 2026kakobuy, Stussy T-Shirts kakobuyspreadsheeet, Stussy T-Shirts kakobuylink, Stussy T-Shirts kakebuylist, Stussy T-Shirts Kakobuy MEGA Spreadsheet, Stussy T-Shirts kakobuysheetfind, Stussy T-Shirts kakobuysheetfind2026, Stussy T-Shirts 2026kakobuysheetfind, Stussy T-Shirts kakobuysheet2026"},"finish_reason":"stop"}],"usage":{"prompt_tokens":644,"completion_tokens":659,"total_tokens":1303}}</t>
        </is>
      </c>
      <c r="P8" t="inlineStr">
        <is>
          <t>Stussy T-Shirts kakobuy, Stussy T-Shirts kakebuy2026, Stussy T-Shirts kekobuysheet, Stussy T-Shirts kakobuysheet2026, Stussy T-Shirts 2026kakobuy, Stussy T-Shirts kakobuyspreadsheeet, Stussy T-Shirts kakobuylink, Stussy T-Shirts kakebuylist, Stussy T-Shirts Kakobuy MEGA Spreadsheet, Stussy T-Shirts kakobuysheetfind, Stussy T-Shirts kakobuysheetfind2026, Stussy T-Shirts 2026kakobuysheetfind, Stussy T-Shirts kakobuysheet2026</t>
        </is>
      </c>
      <c r="Q8" t="inlineStr">
        <is>
          <t>Stussy, White, Vintage, Streetwear, Unisex</t>
        </is>
      </c>
      <c r="R8" t="inlineStr">
        <is>
          <t>recvk9JhrpVbIP</t>
        </is>
      </c>
      <c r="S8" t="inlineStr">
        <is>
          <t>stussy-white-graffiti-back-logo-cotton-t-shirt-recvk9jhrpvbip</t>
        </is>
      </c>
      <c r="T8"/>
      <c r="U8"/>
      <c r="V8"/>
      <c r="W8" t="inlineStr">
        <is>
          <t>{"id":"resp_0b124dea569832f3016a0ee745bc28819fa89de0f375210281","object":"chat.completion","created":1779361612,"model":"gpt-5.5","choices":[{"index":0,"message":{"role":"assistant","content":"Stussy: 白色棉质圆领短袖T恤，背面黑色手写涂鸦Logo印花，街头复古风，男女同款，90年代经典设计，休闲百搭。"},"finish_reason":"stop"}],"usage":{"prompt_tokens":1167,"completion_tokens":339,"total_tokens":1506}}</t>
        </is>
      </c>
      <c r="X8" t="inlineStr">
        <is>
          <t>Stussy: 白色棉质圆领短袖T恤，背面黑色手写涂鸦Logo印花，街头复古风，男女同款，90年代经典设计，休闲百搭。</t>
        </is>
      </c>
    </row>
    <row r="9" ht="25.5" customHeight="1">
      <c r="A9">
        <v>1839115443</v>
      </c>
      <c r="B9">
        <v>7768623667</v>
      </c>
      <c r="C9" s="2" t="str">
        <f>=HYPERLINK("https://weidian.com/item.html?itemID=7768623667", "https://weidian.com/item.html?itemID=7768623667")</f>
        <v>https://weidian.com/item.html?itemID=7768623667</v>
      </c>
      <c r="D9"/>
      <c r="E9" s="2" t="str">
        <f>=HYPERLINK("https://si.geilicdn.com/open1839115443-252808396-201a0000019e441606fd0aa08269_609_609.jpg?w=640&amp;h=640", "https://si.geilicdn.com/open1839115443-252808396-201a0000019e441606fd0aa08269_609_609.jpg?w=640&amp;h=640")</f>
        <v>https://si.geilicdn.com/open1839115443-252808396-201a0000019e441606fd0aa08269_609_609.jpg?w=640&amp;h=640</v>
      </c>
      <c r="F9" t="inlineStr">
        <is>
          <t>T-Shirts</t>
        </is>
      </c>
      <c r="G9" t="inlineStr">
        <is>
          <t>Louis Vuitton</t>
        </is>
      </c>
      <c r="H9">
        <v>94</v>
      </c>
      <c r="I9">
        <v>13.62</v>
      </c>
      <c r="J9" t="inlineStr">
        <is>
          <t>{"id":"resp_01c4e9c698181ba2016a0eead1c56881a29c0de536748b6e6a","object":"chat.completion","created":1779362517,"model":"gpt-5.5","choices":[{"index":0,"message":{"role":"assistant","content":"Louis Vuitton LV Graffiti Logo Black Cotton T-Shirt"},"finish_reason":"stop"}],"usage":{"prompt_tokens":723,"completion_tokens":130,"total_tokens":853}}</t>
        </is>
      </c>
      <c r="K9" t="inlineStr">
        <is>
          <t>Louis Vuitton LV Graffiti Logo Black Cotton T-Shirt</t>
        </is>
      </c>
      <c r="L9" t="inlineStr">
        <is>
          <t>{"id":"resp_014996ca2dcf5b5c016a0ee8b6702881a0ab04639b4d0702f0","object":"chat.completion","created":1779361979,"model":"gpt-5.5","choices":[{"index":0,"message":{"role":"assistant","content":"Louis Vuitton black cotton T-shirt, relaxed unisex fit, large LV back logo with colorful graffiti totem print, streetwear short sleeve top."},"finish_reason":"stop"}],"usage":{"prompt_tokens":743,"completion_tokens":108,"total_tokens":851}}</t>
        </is>
      </c>
      <c r="M9" t="inlineStr">
        <is>
          <t>{"alt-svc":"h3=\":443\"; ma=2592000","connection":"close","content-length":"433","content-type":"application/json; charset=utf-8","date":"Thu, 21 May 2026 11:12:59 GMT","referrer-policy":"strict-origin-when-cross-origin","server":"Caddy","strict-transport-security":"max-age=31536000; includeSubDomains; preload","vary":"Accept-Encoding","x-content-type-options":"nosniff","x-frame-options":"DENY","x-new-api-version":"v1.0.0-rc.2","x-oneapi-request-id":"202605211112539502483108268d9d6xV3Z0Bn7","x-request-id":"78305b55-b891-4707-8887-8ef882d52122"}</t>
        </is>
      </c>
      <c r="N9" t="inlineStr">
        <is>
          <t>Louis Vuitton black cotton T-shirt, relaxed unisex fit, large LV back logo with colorful graffiti totem print, streetwear short sleeve top.</t>
        </is>
      </c>
      <c r="O9" t="inlineStr">
        <is>
          <t>{"id":"resp_00e0636946dca7dc016a0eee98764c819da3e44c298af5adda","object":"chat.completion","created":1779363486,"model":"gpt-5.5","choices":[{"index":0,"message":{"role":"assistant","content":"Louis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kakobuysheet2026"},"finish_reason":"stop"}],"usage":{"prompt_tokens":644,"completion_tokens":272,"total_tokens":916}}</t>
        </is>
      </c>
      <c r="P9"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9" t="inlineStr">
        <is>
          <t>LV, Black, Streetwear, Unisex, Summer</t>
        </is>
      </c>
      <c r="R9" t="inlineStr">
        <is>
          <t>recvk9Jhrp8ybi</t>
        </is>
      </c>
      <c r="S9" t="inlineStr">
        <is>
          <t>louis-vuitton-graffiti-logo-black-cotton-tshirt-recvk9jhrp8ybi</t>
        </is>
      </c>
      <c r="T9"/>
      <c r="U9"/>
      <c r="V9"/>
      <c r="W9" t="inlineStr">
        <is>
          <t>{"id":"resp_07149b9de62681b7016a0ee6c8dfcc81928587912e53c71c9a","object":"chat.completion","created":1779361483,"model":"gpt-5.5","choices":[{"index":0,"message":{"role":"assistant","content":"路易威登黑色短袖T恤，纯棉休闲版型，背面大号LV字母与彩色涂鸦图腾设计，男女同款街头潮流上衣。"},"finish_reason":"stop"}],"usage":{"prompt_tokens":1159,"completion_tokens":112,"total_tokens":1271}}</t>
        </is>
      </c>
      <c r="X9" t="inlineStr">
        <is>
          <t>路易威登黑色短袖T恤，纯棉休闲版型，背面大号LV字母与彩色涂鸦图腾设计，男女同款街头潮流上衣。</t>
        </is>
      </c>
    </row>
    <row r="10" ht="25.5" customHeight="1">
      <c r="A10">
        <v>1839115443</v>
      </c>
      <c r="B10">
        <v>7768389463</v>
      </c>
      <c r="C10" s="2" t="str">
        <f>=HYPERLINK("https://weidian.com/item.html?itemID=7768389463", "https://weidian.com/item.html?itemID=7768389463")</f>
        <v>https://weidian.com/item.html?itemID=7768389463</v>
      </c>
      <c r="D10"/>
      <c r="E10" s="2" t="str">
        <f>=HYPERLINK("https://si.geilicdn.com/open1839115443-252808396-2bd30000019e441657ae0a23b491_621_533.jpg?w=640&amp;h=640", "https://si.geilicdn.com/open1839115443-252808396-2bd30000019e441657ae0a23b491_621_533.jpg?w=640&amp;h=640")</f>
        <v>https://si.geilicdn.com/open1839115443-252808396-2bd30000019e441657ae0a23b491_621_533.jpg?w=640&amp;h=640</v>
      </c>
      <c r="F10" t="inlineStr">
        <is>
          <t>T-Shirts</t>
        </is>
      </c>
      <c r="G10" t="inlineStr">
        <is>
          <t>Chrome Hearts</t>
        </is>
      </c>
      <c r="H10">
        <v>90</v>
      </c>
      <c r="I10">
        <v>13.04</v>
      </c>
      <c r="J10" t="inlineStr">
        <is>
          <t>{"id":"resp_00d8af06fae4299a016a0eea6395b881a1bfb8e7ef4cf71da8","object":"chat.completion","created":1779362406,"model":"gpt-5.5","choices":[{"index":0,"message":{"role":"assistant","content":"Chrome Hearts White Red Cross Horseshoe Graphic T-Shirt"},"finish_reason":"stop"}],"usage":{"prompt_tokens":659,"completion_tokens":128,"total_tokens":787}}</t>
        </is>
      </c>
      <c r="K10" t="inlineStr">
        <is>
          <t>Chrome Hearts White Red Cross Horseshoe Graphic T-Shirt</t>
        </is>
      </c>
      <c r="L10" t="inlineStr">
        <is>
          <t>{"id":"resp_0fd34c0627969b08016a0ee8849994819d9e38505f02e47e64","object":"chat.completion","created":1779361927,"model":"gpt-5.5","choices":[{"index":0,"message":{"role":"assistant","content":"Chrome Hearts white cotton short sleeve T-shirt with red cross front logo, horseshoe back graphic and brand lettering, unisex 2020s streetwear casual top."},"finish_reason":"stop"}],"usage":{"prompt_tokens":693,"completion_tokens":118,"total_tokens":811}}</t>
        </is>
      </c>
      <c r="M10" t="inlineStr">
        <is>
          <t>{"alt-svc":"h3=\":443\"; ma=2592000","connection":"close","content-length":"448","content-type":"application/json; charset=utf-8","date":"Thu, 21 May 2026 11:12:07 GMT","referrer-policy":"strict-origin-when-cross-origin","server":"Caddy","strict-transport-security":"max-age=31536000; includeSubDomains; preload","vary":"Accept-Encoding","x-content-type-options":"nosniff","x-frame-options":"DENY","x-new-api-version":"v1.0.0-rc.2","x-oneapi-request-id":"202605211112036850348738268d9d63720KIJ4","x-request-id":"3ec7027e-75aa-47cf-8743-f35f369e0ca0"}</t>
        </is>
      </c>
      <c r="N10" t="inlineStr">
        <is>
          <t>Chrome Hearts white cotton short sleeve T-shirt with red cross front logo, horseshoe back graphic and brand lettering, unisex 2020s streetwear casual top.</t>
        </is>
      </c>
      <c r="O10" t="inlineStr">
        <is>
          <t>{"id":"resp_051da427af88d326016a0eeead801881928a444897f2dc5fb2","object":"chat.completion","created":1779363507,"model":"gpt-5.5","choices":[{"index":0,"message":{"role":"assistant","content":"Chrome Hearts, T-Shirts, kakobuy, kakebuy2026, kekobuysheet, kakobuysheet2026, 2026kakobuy, kakobuyspreadsheeet, kakobuylink, kakebuylist, Kakobuy MEGA Spreadsheet, kakobuysheetfind, kakobuysheetfind2026, 2026kakobuysheetfind, kakobuysheet2026"},"finish_reason":"stop"}],"usage":{"prompt_tokens":572,"completion_tokens":292,"total_tokens":864}}</t>
        </is>
      </c>
      <c r="P10" t="inlineStr">
        <is>
          <t>Chrome Hearts, T-Shirts, kakobuy, kakebuy2026, kekobuysheet, kakobuysheet2026, 2026kakobuy, kakobuyspreadsheeet, kakobuylink, kakebuylist, Kakobuy MEGA Spreadsheet, kakobuysheetfind, kakobuysheetfind2026, 2026kakobuysheetfind, kakobuysheet2026</t>
        </is>
      </c>
      <c r="Q10" t="inlineStr">
        <is>
          <t>White, Streetwear, Unisex</t>
        </is>
      </c>
      <c r="R10" t="inlineStr">
        <is>
          <t>recvk9Jhrp7VH7</t>
        </is>
      </c>
      <c r="S10" t="inlineStr">
        <is>
          <t>chrome-hearts-white-red-cross-horseshoe-graphic-tshirt-recvk9jhrp7vh7</t>
        </is>
      </c>
      <c r="T10"/>
      <c r="U10"/>
      <c r="V10"/>
      <c r="W10" t="inlineStr">
        <is>
          <t>{"id":"resp_06a0dd6bc38270b2016a0ee7e0d2d4819e9d2ab14f99c16a30","object":"chat.completion","created":1779361772,"model":"gpt-5.5","choices":[{"index":0,"message":{"role":"assistant","content":"白色Chrome Hearts短袖T恤，甄选纯棉面料，前胸点缀红色十字花标识，后背呈现马蹄环形图腾与品牌字样，街头高街风格，男女同款，2020年代设计，休闲百搭。"},"finish_reason":"stop"}],"usage":{"prompt_tokens":1089,"completion_tokens":591,"total_tokens":1680}}</t>
        </is>
      </c>
      <c r="X10" t="inlineStr">
        <is>
          <t>白色Chrome Hearts短袖T恤，甄选纯棉面料，前胸点缀红色十字花标识，后背呈现马蹄环形图腾与品牌字样，街头高街风格，男女同款，2020年代设计，休闲百搭。</t>
        </is>
      </c>
    </row>
    <row r="11" ht="25.5" customHeight="1">
      <c r="A11">
        <v>1839115443</v>
      </c>
      <c r="B11">
        <v>7771644476</v>
      </c>
      <c r="C11" s="2" t="str">
        <f>=HYPERLINK("https://weidian.com/item.html?itemID=7771644476", "https://weidian.com/item.html?itemID=7771644476")</f>
        <v>https://weidian.com/item.html?itemID=7771644476</v>
      </c>
      <c r="D11"/>
      <c r="E11" s="2" t="str">
        <f>=HYPERLINK("https://si.geilicdn.com/open1839115443-252808396-5a990000019e4422973c0a23b4de_1080_1080.jpg?w=640&amp;h=640", "https://si.geilicdn.com/open1839115443-252808396-5a990000019e4422973c0a23b4de_1080_1080.jpg?w=640&amp;h=640")</f>
        <v>https://si.geilicdn.com/open1839115443-252808396-5a990000019e4422973c0a23b4de_1080_1080.jpg?w=640&amp;h=640</v>
      </c>
      <c r="F11" t="inlineStr">
        <is>
          <t>T-Shirts</t>
        </is>
      </c>
      <c r="G11" t="inlineStr">
        <is>
          <t>Chrome Hearts</t>
        </is>
      </c>
      <c r="H11">
        <v>77</v>
      </c>
      <c r="I11">
        <v>11.16</v>
      </c>
      <c r="J11" t="inlineStr">
        <is>
          <t>{"id":"resp_0319e4c815ac82f6016a0eeac6a668819c8940c178cd63ccae","object":"chat.completion","created":1779362512,"model":"gpt-5.5","choices":[{"index":0,"message":{"role":"assistant","content":"Chrome Hearts Black Cotton Vintage USA Flag Graphic T-Shirt"},"finish_reason":"stop"}],"usage":{"prompt_tokens":731,"completion_tokens":532,"total_tokens":1263}}</t>
        </is>
      </c>
      <c r="K11" t="inlineStr">
        <is>
          <t>Chrome Hearts Black Cotton Vintage USA Flag Graphic T-Shirt</t>
        </is>
      </c>
      <c r="L11" t="inlineStr">
        <is>
          <t>{"id":"resp_0de75a05a4a891bc016a0ee9812d30819eb85635bc60485674","object":"chat.completion","created":1779362180,"model":"gpt-5.5","choices":[{"index":0,"message":{"role":"assistant","content":"Chrome Hearts black cotton T-shirt, vintage streetwear, back USA flag and logo totem print, unisex short sleeve, versatile 2020s designer style."},"finish_reason":"stop"}],"usage":{"prompt_tokens":753,"completion_tokens":128,"total_tokens":881}}</t>
        </is>
      </c>
      <c r="M11" t="inlineStr">
        <is>
          <t>{"alt-svc":"h3=\":443\"; ma=2592000","connection":"close","content-length":"438","content-type":"application/json; charset=utf-8","date":"Thu, 21 May 2026 11:16:20 GMT","referrer-policy":"strict-origin-when-cross-origin","server":"nginx/1.24.0 (Ubuntu)","strict-transport-security":"max-age=31536000; includeSubDomains; preload","vary":"Accept-Encoding","via":"1.1 Caddy","x-content-type-options":"nosniff","x-frame-options":"DENY","x-new-api-version":"v1.0.0-rc.2","x-oneapi-request-id":"202605211116167976283138268d9d6xFcpSziY","x-request-id":"c78001cb-1395-423f-9668-a7a94841ff2d"}</t>
        </is>
      </c>
      <c r="N11" t="inlineStr">
        <is>
          <t>Chrome Hearts black cotton T-shirt, vintage streetwear, back USA flag and logo totem print, unisex short sleeve, versatile 2020s designer style.</t>
        </is>
      </c>
      <c r="O11" t="inlineStr">
        <is>
          <t>{"id":"resp_04791b6b2ad8a1e9016a0eed889a8c819f9195285db46d057b","object":"chat.completion","created":1779363239,"model":"gpt-5.5","choices":[{"index":0,"message":{"role":"assistant","content":"Chrome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kakobuysheet2026"},"finish_reason":"stop"}],"usage":{"prompt_tokens":644,"completion_tokens":304,"total_tokens":948}}</t>
        </is>
      </c>
      <c r="P11"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11" t="inlineStr">
        <is>
          <t>Black, Vintage, Streetwear, Unisex, Versatile</t>
        </is>
      </c>
      <c r="R11" t="inlineStr">
        <is>
          <t>recvk9JhrpqWNV</t>
        </is>
      </c>
      <c r="S11" t="inlineStr">
        <is>
          <t>chrome-hearts-black-cotton-vintage-usa-flag-graphic-tshirt-recvk9jhrpqwnv</t>
        </is>
      </c>
      <c r="T11"/>
      <c r="U11"/>
      <c r="V11"/>
      <c r="W11" t="inlineStr">
        <is>
          <t>{"id":"resp_05a0e07d3bd86fbf016a0ee73e98ec819f830944225116d34d","object":"chat.completion","created":1779361608,"model":"gpt-5.5","choices":[{"index":0,"message":{"role":"assistant","content":"黑色Chrome Hearts复古街头短袖T恤，甄选棉质面料，背部美国国旗与品牌标志图腾印花，简约百搭，男女通用，2020年代设计师款。"},"finish_reason":"stop"}],"usage":{"prompt_tokens":1169,"completion_tokens":510,"total_tokens":1679}}</t>
        </is>
      </c>
      <c r="X11" t="inlineStr">
        <is>
          <t>黑色Chrome Hearts复古街头短袖T恤，甄选棉质面料，背部美国国旗与品牌标志图腾印花，简约百搭，男女通用，2020年代设计师款。</t>
        </is>
      </c>
    </row>
    <row r="12" ht="25.5" customHeight="1">
      <c r="A12">
        <v>1839115443</v>
      </c>
      <c r="B12">
        <v>7771493564</v>
      </c>
      <c r="C12" s="2" t="str">
        <f>=HYPERLINK("https://weidian.com/item.html?itemID=7771493564", "https://weidian.com/item.html?itemID=7771493564")</f>
        <v>https://weidian.com/item.html?itemID=7771493564</v>
      </c>
      <c r="D12"/>
      <c r="E12" s="2" t="str">
        <f>=HYPERLINK("https://si.geilicdn.com/open1839115443-252808396-26b50000019e4415b7c70aa08239_800_800.jpg?w=640&amp;h=640", "https://si.geilicdn.com/open1839115443-252808396-26b50000019e4415b7c70aa08239_800_800.jpg?w=640&amp;h=640")</f>
        <v>https://si.geilicdn.com/open1839115443-252808396-26b50000019e4415b7c70aa08239_800_800.jpg?w=640&amp;h=640</v>
      </c>
      <c r="F12" t="inlineStr">
        <is>
          <t>T-Shirts</t>
        </is>
      </c>
      <c r="G12" t="inlineStr">
        <is>
          <t>Stone Island</t>
        </is>
      </c>
      <c r="H12">
        <v>91</v>
      </c>
      <c r="I12">
        <v>13.19</v>
      </c>
      <c r="J12" t="inlineStr">
        <is>
          <t>{"id":"resp_0032bc9954cdced8016a0eeb292a4881a094b99c3750773300","object":"chat.completion","created":1779362604,"model":"gpt-5.5","choices":[{"index":0,"message":{"role":"assistant","content":"Stone Island Black Cotton Compass Logo Graphic T-Shirt"},"finish_reason":"stop"}],"usage":{"prompt_tokens":717,"completion_tokens":125,"total_tokens":842}}</t>
        </is>
      </c>
      <c r="K12" t="inlineStr">
        <is>
          <t>Stone Island Black Cotton Compass Logo Graphic T-Shirt</t>
        </is>
      </c>
      <c r="L12" t="inlineStr">
        <is>
          <t>{"id":"resp_074073b51b7d44bf016a0ee9a24ef481a3915ee742c14659bf","object":"chat.completion","created":1779362215,"model":"gpt-5.5","choices":[{"index":0,"message":{"role":"assistant","content":"Stone Island Black Cotton T-Shirt, Soft Breathable, Round Logo Chest, Compass Print Back, Unisex Streetwear Casual Top."},"finish_reason":"stop"}],"usage":{"prompt_tokens":746,"completion_tokens":207,"total_tokens":953}}</t>
        </is>
      </c>
      <c r="M12" t="inlineStr">
        <is>
          <t>{"alt-svc":"h3=\":443\"; ma=2592000","connection":"close","content-length":"413","content-type":"application/json; charset=utf-8","date":"Thu, 21 May 2026 11:16:55 GMT","referrer-policy":"strict-origin-when-cross-origin","server":"nginx/1.24.0 (Ubuntu)","strict-transport-security":"max-age=31536000; includeSubDomains; preload","vary":"Accept-Encoding","via":"1.1 Caddy","x-content-type-options":"nosniff","x-frame-options":"DENY","x-new-api-version":"v1.0.0-rc.2","x-oneapi-request-id":"202605211116498890227608268d9d6jTEwRb3Q","x-request-id":"14f726ce-6414-452c-892e-97d87d309fd8"}</t>
        </is>
      </c>
      <c r="N12" t="inlineStr">
        <is>
          <t>Stone Island Black Cotton T-Shirt, Soft Breathable, Round Logo Chest, Compass Print Back, Unisex Streetwear Casual Top.</t>
        </is>
      </c>
      <c r="O12" t="inlineStr">
        <is>
          <t>{"id":"resp_0ad6ce272f47f4b6016a0eee16fb188192a5d7f9f08e9bdccf","object":"chat.completion","created":1779363360,"model":"gpt-5.5","choices":[{"index":0,"message":{"role":"assistant","content":"Stone Island,T-Shirts,kakobuy,kakebuy2026,kekobuysheet,kakobuysheet2026,2026kakobuy,kakobuyspreadsheeet,kakobuylink,kakebuylist,Kakobuy MEGA Spreadsheet,kakobuysheetfind,kakobuysheetfind2026,2026kakobuysheetfind,kakobuysheet2026"},"finish_reason":"stop"}],"usage":{"prompt_tokens":644,"completion_tokens":467,"total_tokens":1111}}</t>
        </is>
      </c>
      <c r="P12" t="inlineStr">
        <is>
          <t>Stone Island,T-Shirts,kakobuy,kakebuy2026,kekobuysheet,kakobuysheet2026,2026kakobuy,kakobuyspreadsheeet,kakobuylink,kakebuylist,Kakobuy MEGA Spreadsheet,kakobuysheetfind,kakobuysheetfind2026,2026kakobuysheetfind,kakobuysheet2026</t>
        </is>
      </c>
      <c r="Q12" t="inlineStr">
        <is>
          <t>Black, Breathable, Streetwear, Unisex</t>
        </is>
      </c>
      <c r="R12" t="inlineStr">
        <is>
          <t>recvk9JhrpZZU6</t>
        </is>
      </c>
      <c r="S12" t="inlineStr">
        <is>
          <t>stone-island-black-cotton-compass-logo-graphic-tshirt-recvk9jhrpzzu6</t>
        </is>
      </c>
      <c r="T12"/>
      <c r="U12"/>
      <c r="V12"/>
      <c r="W12" t="inlineStr">
        <is>
          <t>{"id":"resp_0bc84c3a3797d614016a0ee6dc263081a3b6b3d0aa030c6308","object":"chat.completion","created":1779361504,"model":"gpt-5.5","choices":[{"index":0,"message":{"role":"assistant","content":"石岛Stone Island黑色短袖T恤，纯棉舒适透气，胸前圆形徽标，背面罗盘图腾印花，街头机能风男女同款休闲上衣。"},"finish_reason":"stop"}],"usage":{"prompt_tokens":1163,"completion_tokens":199,"total_tokens":1362}}</t>
        </is>
      </c>
      <c r="X12" t="inlineStr">
        <is>
          <t>石岛Stone Island黑色短袖T恤，纯棉舒适透气，胸前圆形徽标，背面罗盘图腾印花，街头机能风男女同款休闲上衣。</t>
        </is>
      </c>
    </row>
    <row r="13" ht="25.5" customHeight="1">
      <c r="A13">
        <v>1839115443</v>
      </c>
      <c r="B13">
        <v>7768622233</v>
      </c>
      <c r="C13" s="2" t="str">
        <f>=HYPERLINK("https://weidian.com/item.html?itemID=7768622233", "https://weidian.com/item.html?itemID=7768622233")</f>
        <v>https://weidian.com/item.html?itemID=7768622233</v>
      </c>
      <c r="D13"/>
      <c r="E13" s="2" t="str">
        <f>=HYPERLINK("https://si.geilicdn.com/open1839115443-252808396-0e4b0000019e4418dd890a8133b0_1200_1800.jpg?w=640&amp;h=640", "https://si.geilicdn.com/open1839115443-252808396-0e4b0000019e4418dd890a8133b0_1200_1800.jpg?w=640&amp;h=640")</f>
        <v>https://si.geilicdn.com/open1839115443-252808396-0e4b0000019e4418dd890a8133b0_1200_1800.jpg?w=640&amp;h=640</v>
      </c>
      <c r="F13" t="inlineStr">
        <is>
          <t>T-Shirts</t>
        </is>
      </c>
      <c r="G13" t="inlineStr">
        <is>
          <t>Youngla</t>
        </is>
      </c>
      <c r="H13">
        <v>95</v>
      </c>
      <c r="I13">
        <v>13.77</v>
      </c>
      <c r="J13" t="inlineStr">
        <is>
          <t>{"id":"resp_0f9343a7d2246fc5016a0eeae3329c81a09fbeb47355dbe182","object":"chat.completion","created":1779362537,"model":"gpt-5.5","choices":[{"index":0,"message":{"role":"assistant","content":"Youngla Cream White Crew Neck Cotton T-Shirt Black Logo"},"finish_reason":"stop"}],"usage":{"prompt_tokens":959,"completion_tokens":276,"total_tokens":1235}}</t>
        </is>
      </c>
      <c r="K13" t="inlineStr">
        <is>
          <t>Youngla Cream White Crew Neck Cotton T-Shirt Black Logo</t>
        </is>
      </c>
      <c r="L13" t="inlineStr">
        <is>
          <t>{"id":"resp_07ec2839609dca07016a0ee8e38e00819d90f9ad88ec25c152","object":"chat.completion","created":1779362020,"model":"gpt-5.5","choices":[{"index":0,"message":{"role":"assistant","content":"Youngla Men's Cream White Crew Neck T-Shirt, soft cotton short sleeve with black collar logo, athletic casual gym and streetwear style."},"finish_reason":"stop"}],"usage":{"prompt_tokens":994,"completion_tokens":31,"total_tokens":1025}}</t>
        </is>
      </c>
      <c r="M13" t="inlineStr">
        <is>
          <t>{"alt-svc":"h3=\":443\"; ma=2592000","connection":"close","content-length":"429","content-type":"application/json; charset=utf-8","date":"Thu, 21 May 2026 11:13:41 GMT","referrer-policy":"strict-origin-when-cross-origin","server":"Caddy","strict-transport-security":"max-age=31536000; includeSubDomains; preload","vary":"Accept-Encoding","x-content-type-options":"nosniff","x-frame-options":"DENY","x-new-api-version":"v1.0.0-rc.2","x-oneapi-request-id":"2026052111133387924968268d9d6uxFlWWKT","x-request-id":"730a2e39-cd20-490a-8873-d774c7c26808"}</t>
        </is>
      </c>
      <c r="N13" t="inlineStr">
        <is>
          <t>Youngla Men's Cream White Crew Neck T-Shirt, soft cotton short sleeve with black collar logo, athletic casual gym and streetwear style.</t>
        </is>
      </c>
      <c r="O13" t="inlineStr">
        <is>
          <t>{"id":"resp_061f8104ee8346e4016a0eee1e0b1c819cb1d4ce45fc6467ba","object":"chat.completion","created":1779363364,"model":"gpt-5.5","choices":[{"index":0,"message":{"role":"assistant","content":"YoungLA,T-Shirts,kakobuy,kakebuy2026,kekobuysheet,kakobuysheet2026,2026kakobuy,kakobuyspreadsheeet,kakobuylink,kakebuylist,Kakobuy MEGA Spreadsheet,kakobuysheetfind,kakobuysheetfind2026,2026kakobuysheetfind,kakobuysheet2026"},"finish_reason":"stop"}],"usage":{"prompt_tokens":884,"completion_tokens":323,"total_tokens":1207}}</t>
        </is>
      </c>
      <c r="P13" t="inlineStr">
        <is>
          <t>YoungLA,T-Shirts,kakobuy,kakebuy2026,kekobuysheet,kakobuysheet2026,2026kakobuy,kakobuyspreadsheeet,kakobuylink,kakebuylist,Kakobuy MEGA Spreadsheet,kakobuysheetfind,kakobuysheetfind2026,2026kakobuysheetfind,kakobuysheet2026</t>
        </is>
      </c>
      <c r="Q13" t="inlineStr">
        <is>
          <t>Cream, White, Athletic, Streetwear, Men</t>
        </is>
      </c>
      <c r="R13" t="inlineStr">
        <is>
          <t>recvk9Jhrpea9z</t>
        </is>
      </c>
      <c r="S13" t="inlineStr">
        <is>
          <t>youngla-cream-white-crew-neck-cotton-t-shirt-black-logo-recvk9jhrpea9z</t>
        </is>
      </c>
      <c r="T13"/>
      <c r="U13"/>
      <c r="V13"/>
      <c r="W13" t="inlineStr">
        <is>
          <t>{"id":"resp_07e2d6130394fae7016a0ee7b4dcf881a38f945d7be63f4c1d","object":"chat.completion","created":1779361720,"model":"gpt-5.5","choices":[{"index":0,"message":{"role":"assistant","content":"奶油白Youngla男士圆领短袖T恤，柔软棉质面料，领口黑色字母Logo点缀，简约运动休闲风，适合健身与日常街头穿搭。"},"finish_reason":"stop"}],"usage":{"prompt_tokens":1411,"completion_tokens":159,"total_tokens":1570}}</t>
        </is>
      </c>
      <c r="X13" t="inlineStr">
        <is>
          <t>奶油白Youngla男士圆领短袖T恤，柔软棉质面料，领口黑色字母Logo点缀，简约运动休闲风，适合健身与日常街头穿搭。</t>
        </is>
      </c>
    </row>
    <row r="14" ht="25.5" customHeight="1">
      <c r="A14">
        <v>1839115443</v>
      </c>
      <c r="B14">
        <v>7771629866</v>
      </c>
      <c r="C14" s="2" t="str">
        <f>=HYPERLINK("https://weidian.com/item.html?itemID=7771629866", "https://weidian.com/item.html?itemID=7771629866")</f>
        <v>https://weidian.com/item.html?itemID=7771629866</v>
      </c>
      <c r="D14"/>
      <c r="E14" s="2" t="str">
        <f>=HYPERLINK("https://si.geilicdn.com/open1839115443-252808396-0e950000019e44192d940a8133b0_1199_1799.jpg?w=640&amp;h=640", "https://si.geilicdn.com/open1839115443-252808396-0e950000019e44192d940a8133b0_1199_1799.jpg?w=640&amp;h=640")</f>
        <v>https://si.geilicdn.com/open1839115443-252808396-0e950000019e44192d940a8133b0_1199_1799.jpg?w=640&amp;h=640</v>
      </c>
      <c r="F14" t="inlineStr">
        <is>
          <t>T-Shirts</t>
        </is>
      </c>
      <c r="G14" t="inlineStr">
        <is>
          <t>Youngla</t>
        </is>
      </c>
      <c r="H14">
        <v>86</v>
      </c>
      <c r="I14">
        <v>12.46</v>
      </c>
      <c r="J14" t="inlineStr">
        <is>
          <t>{"id":"resp_0429127cd0cd4edd016a0eea76aea081a3ab898040357807aa","object":"chat.completion","created":1779362433,"model":"gpt-5.5","choices":[{"index":0,"message":{"role":"assistant","content":"Youngla Men's Black Vintage Skull Palm Oversized Tee"},"finish_reason":"stop"}],"usage":{"prompt_tokens":954,"completion_tokens":532,"total_tokens":1486}}</t>
        </is>
      </c>
      <c r="K14" t="inlineStr">
        <is>
          <t>Youngla Men's Black Vintage Skull Palm Oversized Tee</t>
        </is>
      </c>
      <c r="L14" t="inlineStr">
        <is>
          <t>{"id":"resp_0f33d1c02f2b8953016a0ee89726b4819d88025587895ad14c","object":"chat.completion","created":1779361946,"model":"gpt-5.5","choices":[{"index":0,"message":{"role":"assistant","content":"Youngla Men's Black Oversized Cotton Tee, Breathable Vintage Distressed Skull &amp; Palm Tree Graphic Streetwear Gym T-Shirt"},"finish_reason":"stop"}],"usage":{"prompt_tokens":989,"completion_tokens":134,"total_tokens":1123}}</t>
        </is>
      </c>
      <c r="M14" t="inlineStr">
        <is>
          <t>{"alt-svc":"h3=\":443\"; ma=2592000","connection":"close","content-length":"420","content-type":"application/json; charset=utf-8","date":"Thu, 21 May 2026 11:12:26 GMT","referrer-policy":"strict-origin-when-cross-origin","server":"nginx/1.24.0 (Ubuntu)","strict-transport-security":"max-age=31536000; includeSubDomains; preload","vary":"Accept-Encoding","via":"1.1 Caddy","x-content-type-options":"nosniff","x-frame-options":"DENY","x-new-api-version":"v1.0.0-rc.2","x-oneapi-request-id":"202605211112226941449658268d9d6Z9WiSnII","x-request-id":"48251f08-c584-4359-b874-8d6df8b1e5ee"}</t>
        </is>
      </c>
      <c r="N14" t="inlineStr">
        <is>
          <t>Youngla Men's Black Oversized Cotton Tee, Breathable Vintage Distressed Skull &amp; Palm Tree Graphic Streetwear Gym T-Shirt</t>
        </is>
      </c>
      <c r="O14" t="inlineStr">
        <is>
          <t>{"id":"resp_0b298681f07ff544016a0eedda58b081a0920150fb9b075686","object":"chat.completion","created":1779363299,"model":"gpt-5.5","choices":[{"index":0,"message":{"role":"assistant","content":"YoungLA, T-Shirts, kakobuy, kakebuy2026, kekobuysheet, kakobuysheet2026, 2026kakobuy, kakobuyspreadsheeet, kakobuylink, kakebuylist, Kakobuy MEGA Spreadsheet, kakobuysheetfind, kakobuysheetfind2026, 2026kakobuysheetfind, kakobuysheet2026"},"finish_reason":"stop"}],"usage":{"prompt_tokens":884,"completion_tokens":301,"total_tokens":1185}}</t>
        </is>
      </c>
      <c r="P14" t="inlineStr">
        <is>
          <t>YoungLA, T-Shirts, kakobuy, kakebuy2026, kekobuysheet, kakobuysheet2026, 2026kakobuy, kakobuyspreadsheeet, kakobuylink, kakebuylist, Kakobuy MEGA Spreadsheet, kakobuysheetfind, kakobuysheetfind2026, 2026kakobuysheetfind, kakobuysheet2026</t>
        </is>
      </c>
      <c r="Q14" t="inlineStr">
        <is>
          <t>Black, Vintage, Distressed, Streetwear, Breathable</t>
        </is>
      </c>
      <c r="R14" t="inlineStr">
        <is>
          <t>recvk9JhrpVwXc</t>
        </is>
      </c>
      <c r="S14" t="inlineStr">
        <is>
          <t>youngla-black-vintage-skull-palm-oversized-tee-recvk9jhrpvwxc</t>
        </is>
      </c>
      <c r="T14"/>
      <c r="U14"/>
      <c r="V14"/>
      <c r="W14" t="inlineStr">
        <is>
          <t>{"id":"resp_03967ff7698866eb016a0ee7b4e1e08192bd29395e67630f80","object":"chat.completion","created":1779361720,"model":"gpt-5.5","choices":[{"index":0,"message":{"role":"assistant","content":"美式Youngla黑色宽松短袖T恤，纯棉透气面料，复古做旧骷髅与椰树字母印花，街头健身潮流男款上衣。"},"finish_reason":"stop"}],"usage":{"prompt_tokens":1407,"completion_tokens":141,"total_tokens":1548}}</t>
        </is>
      </c>
      <c r="X14" t="inlineStr">
        <is>
          <t>美式Youngla黑色宽松短袖T恤，纯棉透气面料，复古做旧骷髅与椰树字母印花，街头健身潮流男款上衣。</t>
        </is>
      </c>
    </row>
    <row r="15" ht="25.5" customHeight="1">
      <c r="A15">
        <v>1839115443</v>
      </c>
      <c r="B15">
        <v>7771620606</v>
      </c>
      <c r="C15" s="2" t="str">
        <f>=HYPERLINK("https://weidian.com/item.html?itemID=7771620606", "https://weidian.com/item.html?itemID=7771620606")</f>
        <v>https://weidian.com/item.html?itemID=7771620606</v>
      </c>
      <c r="D15"/>
      <c r="E15" s="2" t="str">
        <f>=HYPERLINK("https://si.geilicdn.com/open1839115443-252808396-3a040000019e441baebf0aa08239_1080_1080.jpg?w=640&amp;h=640", "https://si.geilicdn.com/open1839115443-252808396-3a040000019e441baebf0aa08239_1080_1080.jpg?w=640&amp;h=640")</f>
        <v>https://si.geilicdn.com/open1839115443-252808396-3a040000019e441baebf0aa08239_1080_1080.jpg?w=640&amp;h=640</v>
      </c>
      <c r="F15" t="inlineStr">
        <is>
          <t>Hoodies</t>
        </is>
      </c>
      <c r="G15" t="inlineStr">
        <is>
          <t>Chrome Hearts</t>
        </is>
      </c>
      <c r="H15">
        <v>163</v>
      </c>
      <c r="I15">
        <v>23.62</v>
      </c>
      <c r="J15" t="inlineStr">
        <is>
          <t>{"id":"resp_0397ae1a6f03005c016a0eec60f9f4819e80ea8dbcf68f4c23","object":"chat.completion","created":1779362925,"model":"gpt-5.5","choices":[{"index":0,"message":{"role":"assistant","content":"Chrome Hearts Black Fleece Hoodie Cross Floral Horseshoe"},"finish_reason":"stop"}],"usage":{"prompt_tokens":720,"completion_tokens":530,"total_tokens":1250}}</t>
        </is>
      </c>
      <c r="K15" t="inlineStr">
        <is>
          <t>Chrome Hearts Black Fleece Hoodie Cross Floral Horseshoe</t>
        </is>
      </c>
      <c r="L15" t="inlineStr">
        <is>
          <t>{"id":"resp_07bc815692d93771016a0ee849557881a2a43f9e6f92e5f41c","object":"chat.completion","created":1779361868,"model":"gpt-5.5","choices":[{"index":0,"message":{"role":"assistant","content":"Chrome Hearts black fleece cotton hoodie with white Gothic horseshoe logo on back and cross floral sleeve graphics, unisex streetwear pullover."},"finish_reason":"stop"}],"usage":{"prompt_tokens":750,"completion_tokens":109,"total_tokens":859}}</t>
        </is>
      </c>
      <c r="M15" t="inlineStr">
        <is>
          <t>{"alt-svc":"h3=\":443\"; ma=2592000","connection":"close","content-length":"437","content-type":"application/json; charset=utf-8","date":"Thu, 21 May 2026 11:11:08 GMT","referrer-policy":"strict-origin-when-cross-origin","server":"Caddy","strict-transport-security":"max-age=31536000; includeSubDomains; preload","vary":"Accept-Encoding","x-content-type-options":"nosniff","x-frame-options":"DENY","x-new-api-version":"v1.0.0-rc.2","x-oneapi-request-id":"202605211111043791354918268d9d6xrN5jR6t","x-request-id":"8ccfbd73-6c44-4c6c-a257-8c5f8e95efda"}</t>
        </is>
      </c>
      <c r="N15" t="inlineStr">
        <is>
          <t>Chrome Hearts black fleece cotton hoodie with white Gothic horseshoe logo on back and cross floral sleeve graphics, unisex streetwear pullover.</t>
        </is>
      </c>
      <c r="O15" t="inlineStr">
        <is>
          <t>{"id":"resp_0fa05f11e592ec4d016a0eedb1356881a183a25bea64866462","object":"chat.completion","created":1779363256,"model":"gpt-5.5","choices":[{"index":0,"message":{"role":"assistant","content":"Chrome Hearts Hoodies kakobuy, Chrome Hearts Hoodies kakebuy2026, Chrome Hearts Hoodies kekobuysheet, Chrome Hearts Hoodies kakobuysheet2026, Chrome Hearts Hoodies 2026kakobuy, Chrome Hearts Hoodies kakobuyspreadsheeet, Chrome Hearts Hoodies kakobuylink, Chrome Hearts Hoodies kakebuylist, Chrome Hearts Hoodies Kakobuy MEGA Spreadsheet, Chrome Hearts Hoodies kakobuysheetfind, Chrome Hearts Hoodies kakobuysheetfind2026, Chrome Hearts Hoodies 2026kakobuysheetfind, Chrome Hearts Hoodies kakobuysheet2026"},"finish_reason":"stop"}],"usage":{"prompt_tokens":645,"completion_tokens":384,"total_tokens":1029}}</t>
        </is>
      </c>
      <c r="P15" t="inlineStr">
        <is>
          <t>Chrome Hearts Hoodies kakobuy, Chrome Hearts Hoodies kakebuy2026, Chrome Hearts Hoodies kekobuysheet, Chrome Hearts Hoodies kakobuysheet2026, Chrome Hearts Hoodies 2026kakobuy, Chrome Hearts Hoodies kakobuyspreadsheeet, Chrome Hearts Hoodies kakobuylink, Chrome Hearts Hoodies kakebuylist, Chrome Hearts Hoodies Kakobuy MEGA Spreadsheet, Chrome Hearts Hoodies kakobuysheetfind, Chrome Hearts Hoodies kakobuysheetfind2026, Chrome Hearts Hoodies 2026kakobuysheetfind, Chrome Hearts Hoodies kakobuysheet2026</t>
        </is>
      </c>
      <c r="Q15" t="inlineStr">
        <is>
          <t>Black, Gothic, Streetwear, Unisex, Fleece-Lined</t>
        </is>
      </c>
      <c r="R15" t="inlineStr">
        <is>
          <t>recvk9JhrpKuFH</t>
        </is>
      </c>
      <c r="S15" t="inlineStr">
        <is>
          <t>chrome-hearts-black-fleece-hoodie-cross-floral-horseshoe-recvk9jhrpkufh</t>
        </is>
      </c>
      <c r="T15"/>
      <c r="U15"/>
      <c r="V15"/>
      <c r="W15" t="inlineStr">
        <is>
          <t>{"id":"resp_0b94ef73f221fa4a016a0ee6d76b488192a5600971524e92bf","object":"chat.completion","created":1779361499,"model":"gpt-5.5","choices":[{"index":0,"message":{"role":"assistant","content":"克罗心Chrome Hearts黑色连帽卫衣，棉质抓绒面料，背部白色马蹄哥特Logo与袖部十字花藤图腾，男女同款街头潮流外套。"},"finish_reason":"stop"}],"usage":{"prompt_tokens":1166,"completion_tokens":192,"total_tokens":1358}}</t>
        </is>
      </c>
      <c r="X15" t="inlineStr">
        <is>
          <t>克罗心Chrome Hearts黑色连帽卫衣，棉质抓绒面料，背部白色马蹄哥特Logo与袖部十字花藤图腾，男女同款街头潮流外套。</t>
        </is>
      </c>
    </row>
    <row r="16" ht="25.5" customHeight="1">
      <c r="A16">
        <v>1839115443</v>
      </c>
      <c r="B16">
        <v>7768640049</v>
      </c>
      <c r="C16" s="2" t="str">
        <f>=HYPERLINK("https://weidian.com/item.html?itemID=7768640049", "https://weidian.com/item.html?itemID=7768640049")</f>
        <v>https://weidian.com/item.html?itemID=7768640049</v>
      </c>
      <c r="D16"/>
      <c r="E16" s="2" t="str">
        <f>=HYPERLINK("https://si.geilicdn.com/open1839115443-252808396-119f0000019e441a01fb0a8133b0_1080_1080.jpg?w=640&amp;h=640", "https://si.geilicdn.com/open1839115443-252808396-119f0000019e441a01fb0a8133b0_1080_1080.jpg?w=640&amp;h=640")</f>
        <v>https://si.geilicdn.com/open1839115443-252808396-119f0000019e441a01fb0a8133b0_1080_1080.jpg?w=640&amp;h=640</v>
      </c>
      <c r="F16" t="inlineStr">
        <is>
          <t>T-Shirts</t>
        </is>
      </c>
      <c r="G16" t="inlineStr">
        <is>
          <t>Chrome Hearts</t>
        </is>
      </c>
      <c r="H16">
        <v>85</v>
      </c>
      <c r="I16">
        <v>12.32</v>
      </c>
      <c r="J16" t="inlineStr">
        <is>
          <t>{"id":"resp_052350b01ad7d195016a0eea0355c481a0ac3424f5a209e541","object":"chat.completion","created":1779362313,"model":"gpt-5.5","choices":[{"index":0,"message":{"role":"assistant","content":"Chrome Hearts Black Short Sleeve Cotton Pocket Cross Tee"},"finish_reason":"stop"}],"usage":{"prompt_tokens":721,"completion_tokens":295,"total_tokens":1016}}</t>
        </is>
      </c>
      <c r="K16" t="inlineStr">
        <is>
          <t>Chrome Hearts Black Short Sleeve Cotton Pocket Cross Tee</t>
        </is>
      </c>
      <c r="L16" t="inlineStr">
        <is>
          <t>{"id":"resp_025837e665884aa4016a0ee8bfa9c88191b7bd3bd896338c0f","object":"chat.completion","created":1779361988,"model":"gpt-5.5","choices":[{"index":0,"message":{"role":"assistant","content":"Chrome Hearts black short sleeve T-shirt, pure cotton unisex tee with chest pocket logo and sleeve cross graphic, soft breathable streetwear top."},"finish_reason":"stop"}],"usage":{"prompt_tokens":769,"completion_tokens":103,"total_tokens":872}}</t>
        </is>
      </c>
      <c r="M16" t="inlineStr">
        <is>
          <t>{"alt-svc":"h3=\":443\"; ma=2592000","connection":"close","content-length":"439","content-type":"application/json; charset=utf-8","date":"Thu, 21 May 2026 11:13:08 GMT","referrer-policy":"strict-origin-when-cross-origin","server":"nginx/1.24.0 (Ubuntu)","strict-transport-security":"max-age=31536000; includeSubDomains; preload","vary":"Accept-Encoding","via":"1.1 Caddy","x-content-type-options":"nosniff","x-frame-options":"DENY","x-new-api-version":"v1.0.0-rc.2","x-oneapi-request-id":"20260521111303396555288268d9d6eNOwAwft","x-request-id":"33b92fe9-1f8d-4c49-8951-6656930b6819"}</t>
        </is>
      </c>
      <c r="N16" t="inlineStr">
        <is>
          <t>Chrome Hearts black short sleeve T-shirt, pure cotton unisex tee with chest pocket logo and sleeve cross graphic, soft breathable streetwear top.</t>
        </is>
      </c>
      <c r="O16" t="inlineStr">
        <is>
          <t>{"id":"resp_0dc0aaca2166153c016a0eee0013c481a39215182c6a5bcd8b","object":"chat.completion","created":1779363335,"model":"gpt-5.5","choices":[{"index":0,"message":{"role":"assistant","content":"Chrome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kakobuysheet2026"},"finish_reason":"stop"}],"usage":{"prompt_tokens":644,"completion_tokens":341,"total_tokens":985}}</t>
        </is>
      </c>
      <c r="P16"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16" t="inlineStr">
        <is>
          <t>Black, Breathable, Streetwear, Unisex</t>
        </is>
      </c>
      <c r="R16" t="inlineStr">
        <is>
          <t>recvk9JhrpgPLo</t>
        </is>
      </c>
      <c r="S16" t="inlineStr">
        <is>
          <t>chrome-hearts-black-cross-tee-recvk9jhrpgplo</t>
        </is>
      </c>
      <c r="T16"/>
      <c r="U16"/>
      <c r="V16"/>
      <c r="W16" t="inlineStr">
        <is>
          <t>{"id":"resp_0083bcc9b8ac4497016a0ee7948650819c89ca53b156a8c64d","object":"chat.completion","created":1779361689,"model":"gpt-5.5","choices":[{"index":0,"message":{"role":"assistant","content":"Chrome Hearts：黑色短袖T恤，甄选纯棉面料，柔软透气；胸前口袋点缀品牌字母Logo，袖口饰经典十字图腾，简约街头风设计，男女同款，彰显Chrome Hearts标志性潮流态度。"},"finish_reason":"stop"}],"usage":{"prompt_tokens":1169,"completion_tokens":239,"total_tokens":1408}}</t>
        </is>
      </c>
      <c r="X16" t="inlineStr">
        <is>
          <t>Chrome Hearts：黑色短袖T恤，甄选纯棉面料，柔软透气；胸前口袋点缀品牌字母Logo，袖口饰经典十字图腾，简约街头风设计，男女同款，彰显Chrome Hearts标志性潮流态度。</t>
        </is>
      </c>
    </row>
    <row r="17" ht="25.5" customHeight="1">
      <c r="A17">
        <v>1839115443</v>
      </c>
      <c r="B17">
        <v>7768599289</v>
      </c>
      <c r="C17" s="2" t="str">
        <f>=HYPERLINK("https://weidian.com/item.html?itemID=7768599289", "https://weidian.com/item.html?itemID=7768599289")</f>
        <v>https://weidian.com/item.html?itemID=7768599289</v>
      </c>
      <c r="D17"/>
      <c r="E17" s="2" t="str">
        <f>=HYPERLINK("https://si.geilicdn.com/open1839115443-252808396-57080000019e441f8a040a23b491_1920_1920.jpg?w=640&amp;h=640", "https://si.geilicdn.com/open1839115443-252808396-57080000019e441f8a040a23b491_1920_1920.jpg?w=640&amp;h=640")</f>
        <v>https://si.geilicdn.com/open1839115443-252808396-57080000019e441f8a040a23b491_1920_1920.jpg?w=640&amp;h=640</v>
      </c>
      <c r="F17" t="inlineStr">
        <is>
          <t>T-Shirts</t>
        </is>
      </c>
      <c r="G17" t="inlineStr">
        <is>
          <t>Casablanca</t>
        </is>
      </c>
      <c r="H17">
        <v>91</v>
      </c>
      <c r="I17">
        <v>13.19</v>
      </c>
      <c r="J17" t="inlineStr">
        <is>
          <t>{"id":"resp_020256726e75eeb8016a0eeb16ad7881a3b96c1edcd1765c97","object":"chat.completion","created":1779362586,"model":"gpt-5.5","choices":[{"index":0,"message":{"role":"assistant","content":"Casablanca White Cotton Graphic Crew Neck T-Shirt"},"finish_reason":"stop"}],"usage":{"prompt_tokens":723,"completion_tokens":129,"total_tokens":852}}</t>
        </is>
      </c>
      <c r="K17" t="inlineStr">
        <is>
          <t>Casablanca White Cotton Graphic Crew Neck T-Shirt</t>
        </is>
      </c>
      <c r="L17" t="inlineStr">
        <is>
          <t>{"id":"resp_02463cad2498ac3b016a0ee8a751f0819292a964ff5c5fcd1d","object":"chat.completion","created":1779361963,"model":"gpt-5.5","choices":[{"index":0,"message":{"role":"assistant","content":"Casablanca White Cotton Crew Neck T-Shirt, front logo, back blue-yellow art print, relaxed fit, short sleeve streetwear unisex tee."},"finish_reason":"stop"}],"usage":{"prompt_tokens":761,"completion_tokens":161,"total_tokens":922}}</t>
        </is>
      </c>
      <c r="M17" t="inlineStr">
        <is>
          <t>{"alt-svc":"h3=\":443\"; ma=2592000","connection":"close","content-length":"425","content-type":"application/json; charset=utf-8","date":"Thu, 21 May 2026 11:12:43 GMT","referrer-policy":"strict-origin-when-cross-origin","server":"nginx/1.24.0 (Ubuntu)","strict-transport-security":"max-age=31536000; includeSubDomains; preload","vary":"Accept-Encoding","via":"1.1 Caddy","x-content-type-options":"nosniff","x-frame-options":"DENY","x-new-api-version":"v1.0.0-rc.2","x-oneapi-request-id":"202605211112388216880988268d9d6WCSRsGAL","x-request-id":"dea6439f-8a38-4db6-ac56-8c83ef4d580c"}</t>
        </is>
      </c>
      <c r="N17" t="inlineStr">
        <is>
          <t>Casablanca White Cotton Crew Neck T-Shirt, front logo, back blue-yellow art print, relaxed fit, short sleeve streetwear unisex tee.</t>
        </is>
      </c>
      <c r="O17" t="inlineStr">
        <is>
          <t>{"id":"resp_0f50be92190ec0f0016a0eed257d2881a1951bc0bf489fdb63","object":"chat.completion","created":1779363114,"model":"gpt-5.5","choices":[{"index":0,"message":{"role":"assistant","content":"Casablanca T-Shirts kakobuy, Casablanca T-Shirts kakebuy2026, Casablanca T-Shirts kekobuysheet, Casablanca T-Shirts kakobuysheet2026, Casablanca T-Shirts 2026kakobuy, Casablanca T-Shirts kakobuyspreadsheeet, Casablanca T-Shirts kakobuylink, Casablanca T-Shirts kakebuylist, Casablanca T-Shirts Kakobuy MEGA Spreadsheet, Casablanca T-Shirts kakobuysheetfind, Casablanca T-Shirts kakobuysheetfind2026, Casablanca T-Shirts 2026kakobuysheetfind, Casablanca T-Shirts kakobuysheet2026"},"finish_reason":"stop"}],"usage":{"prompt_tokens":644,"completion_tokens":239,"total_tokens":883}}</t>
        </is>
      </c>
      <c r="P17" t="inlineStr">
        <is>
          <t>Casablanca T-Shirts kakobuy, Casablanca T-Shirts kakebuy2026, Casablanca T-Shirts kekobuysheet, Casablanca T-Shirts kakobuysheet2026, Casablanca T-Shirts 2026kakobuy, Casablanca T-Shirts kakobuyspreadsheeet, Casablanca T-Shirts kakobuylink, Casablanca T-Shirts kakebuylist, Casablanca T-Shirts Kakobuy MEGA Spreadsheet, Casablanca T-Shirts kakobuysheetfind, Casablanca T-Shirts kakobuysheetfind2026, Casablanca T-Shirts 2026kakobuysheetfind, Casablanca T-Shirts kakobuysheet2026</t>
        </is>
      </c>
      <c r="Q17" t="inlineStr">
        <is>
          <t>Streetwear, Unisex, White, Summer</t>
        </is>
      </c>
      <c r="R17" t="inlineStr">
        <is>
          <t>recvk9Jhrpb8kV</t>
        </is>
      </c>
      <c r="S17" t="inlineStr">
        <is>
          <t>casablanca-white-cotton-graphic-crew-neck-tshirt-recvk9jhrpb8kv</t>
        </is>
      </c>
      <c r="T17"/>
      <c r="U17"/>
      <c r="V17"/>
      <c r="W17" t="inlineStr">
        <is>
          <t>{"id":"resp_074e802d5ba1e87e016a0ee6ee4100819e889c90ef76b988cf","object":"chat.completion","created":1779361524,"model":"gpt-5.5","choices":[{"index":0,"message":{"role":"assistant","content":"Casablanca：白色棉质圆领短袖T恤，前胸品牌小标，背部艺术图腾大印花，蓝黄配色清爽醒目，宽松休闲版型，街头潮流风格，男女皆宜，现代时尚款。"},"finish_reason":"stop"}],"usage":{"prompt_tokens":1165,"completion_tokens":297,"total_tokens":1462}}</t>
        </is>
      </c>
      <c r="X17" t="inlineStr">
        <is>
          <t>Casablanca：白色棉质圆领短袖T恤，前胸品牌小标，背部艺术图腾大印花，蓝黄配色清爽醒目，宽松休闲版型，街头潮流风格，男女皆宜，现代时尚款。</t>
        </is>
      </c>
    </row>
    <row r="18" ht="25.5" customHeight="1">
      <c r="A18">
        <v>1839115443</v>
      </c>
      <c r="B18">
        <v>7771668096</v>
      </c>
      <c r="C18" s="2" t="str">
        <f>=HYPERLINK("https://weidian.com/item.html?itemID=7771668096", "https://weidian.com/item.html?itemID=7771668096")</f>
        <v>https://weidian.com/item.html?itemID=7771668096</v>
      </c>
      <c r="D18"/>
      <c r="E18" s="2" t="str">
        <f>=HYPERLINK("https://si.geilicdn.com/open1839115443-252808396-51190000019e441fdeed0a231226_1340_1785.jpg?w=640&amp;h=640", "https://si.geilicdn.com/open1839115443-252808396-51190000019e441fdeed0a231226_1340_1785.jpg?w=640&amp;h=640")</f>
        <v>https://si.geilicdn.com/open1839115443-252808396-51190000019e441fdeed0a231226_1340_1785.jpg?w=640&amp;h=640</v>
      </c>
      <c r="F18" t="inlineStr">
        <is>
          <t>Other</t>
        </is>
      </c>
      <c r="G18" t="inlineStr">
        <is>
          <t>Other</t>
        </is>
      </c>
      <c r="H18">
        <v>55</v>
      </c>
      <c r="I18">
        <v>7.97</v>
      </c>
      <c r="J18" t="inlineStr">
        <is>
          <t>{"id":"resp_07fdd578102efce3016a0eeac31a84819e86f73a8b375c1d22","object":"chat.completion","created":1779362509,"model":"gpt-5.5","choices":[{"index":0,"message":{"role":"assistant","content":"OtherOther White Mesh Techwear Shorts, Rune Smile Print"},"finish_reason":"stop"}],"usage":{"prompt_tokens":896,"completion_tokens":533,"total_tokens":1429}}</t>
        </is>
      </c>
      <c r="K18" t="inlineStr">
        <is>
          <t>OtherOther White Mesh Techwear Shorts, Rune Smile Print</t>
        </is>
      </c>
      <c r="L18" t="inlineStr">
        <is>
          <t>{"id":"resp_00ef3ba65da3b803016a0ee8d27770819daee93f5d8f55856c","object":"chat.completion","created":1779362007,"model":"gpt-5.5","choices":[{"index":0,"message":{"role":"assistant","content":"OtherOther White mesh double-layer athletic shorts, drawstring elastic waist, black lining, rune totem and creepy smile print, unisex streetwear techwear shorts"},"finish_reason":"stop"}],"usage":{"prompt_tokens":917,"completion_tokens":134,"total_tokens":1051}}</t>
        </is>
      </c>
      <c r="M18" t="inlineStr">
        <is>
          <t>{"alt-svc":"h3=\":443\"; ma=2592000","connection":"close","content-length":"455","content-type":"application/json; charset=utf-8","date":"Thu, 21 May 2026 11:13:27 GMT","referrer-policy":"strict-origin-when-cross-origin","server":"nginx/1.24.0 (Ubuntu)","strict-transport-security":"max-age=31536000; includeSubDomains; preload","vary":"Accept-Encoding","via":"1.1 Caddy","x-content-type-options":"nosniff","x-frame-options":"DENY","x-new-api-version":"v1.0.0-rc.2","x-oneapi-request-id":"20260521111322233380468268d9d6dic6eL6z","x-request-id":"82151987-15d3-43d3-996c-393d7c17a802"}</t>
        </is>
      </c>
      <c r="N18" t="inlineStr">
        <is>
          <t>OtherOther White mesh double-layer athletic shorts, drawstring elastic waist, black lining, rune totem and creepy smile print, unisex streetwear techwear shorts</t>
        </is>
      </c>
      <c r="O18" t="inlineStr">
        <is>
          <t>{"id":"resp_093e60b63c02c8d3016a0eee970e9c81a0b7a9e080f5b6da5d","object":"chat.completion","created":1779363491,"model":"gpt-5.5","choices":[{"index":0,"message":{"role":"assistant","content":"unknown brand, mesh shorts, kakobuy, kakebuy2026, kekobuysheet, kakobuysheet2026, 2026kakobuy, kakobuyspreadsheeet, kakobuylink, kakebuylist, Kakobuy MEGA Spreadsheet, kakobuysheetfind, kakobuysheetfind2026, 2026kakobuysheetfind, kakobuysheet2026"},"finish_reason":"stop"}],"usage":{"prompt_tokens":810,"completion_tokens":613,"total_tokens":1423}}</t>
        </is>
      </c>
      <c r="P18" t="inlineStr">
        <is>
          <t>unknown brand, mesh shorts, kakobuy, kakebuy2026, kekobuysheet, kakobuysheet2026, 2026kakobuy, kakobuyspreadsheeet, kakobuylink, kakebuylist, Kakobuy MEGA Spreadsheet, kakobuysheetfind, kakobuysheetfind2026, 2026kakobuysheetfind, kakobuysheet2026</t>
        </is>
      </c>
      <c r="Q18" t="inlineStr">
        <is>
          <t>Streetwear, Unisex, Mesh, Athletic</t>
        </is>
      </c>
      <c r="R18" t="inlineStr">
        <is>
          <t>recvk9JhrpnLBK</t>
        </is>
      </c>
      <c r="S18" t="inlineStr">
        <is>
          <t>otherother-white-mesh-techwear-shorts-rune-smile-print-recvk9jhrpnlbk</t>
        </is>
      </c>
      <c r="T18"/>
      <c r="U18"/>
      <c r="V18"/>
      <c r="W18" t="inlineStr">
        <is>
          <t>{"id":"resp_0a6e32e33fcd5b13016a0ee74c9a38819fa8ac04cba84fb3e8","object":"chat.completion","created":1779361615,"model":"gpt-5.5","choices":[{"index":0,"message":{"role":"assistant","content":"白色网眼透气双层运动短裤，松紧抽绳腰头，黑色内衬拼接，符文图腾与怪诞笑脸印花设计，男女通用街头机能休闲五分裤"},"finish_reason":"stop"}],"usage":{"prompt_tokens":1326,"completion_tokens":115,"total_tokens":1441}}</t>
        </is>
      </c>
      <c r="X18" t="inlineStr">
        <is>
          <t>白色网眼透气双层运动短裤，松紧抽绳腰头，黑色内衬拼接，符文图腾与怪诞笑脸印花设计，男女通用街头机能休闲五分裤</t>
        </is>
      </c>
    </row>
    <row r="19" ht="25.5" customHeight="1">
      <c r="A19">
        <v>1839115443</v>
      </c>
      <c r="B19">
        <v>7768617205</v>
      </c>
      <c r="C19" s="2" t="str">
        <f>=HYPERLINK("https://weidian.com/item.html?itemID=7768617205", "https://weidian.com/item.html?itemID=7768617205")</f>
        <v>https://weidian.com/item.html?itemID=7768617205</v>
      </c>
      <c r="D19"/>
      <c r="E19" s="2" t="str">
        <f>=HYPERLINK("https://si.geilicdn.com/open1839115443-252808396-57250000019e44200daa0a23b4de_556_1200.jpg?w=640&amp;h=640", "https://si.geilicdn.com/open1839115443-252808396-57250000019e44200daa0a23b4de_556_1200.jpg?w=640&amp;h=640")</f>
        <v>https://si.geilicdn.com/open1839115443-252808396-57250000019e44200daa0a23b4de_556_1200.jpg?w=640&amp;h=640</v>
      </c>
      <c r="F19" t="inlineStr">
        <is>
          <t>T-Shirts</t>
        </is>
      </c>
      <c r="G19" t="inlineStr">
        <is>
          <t>AMI Paris</t>
        </is>
      </c>
      <c r="H19">
        <v>81</v>
      </c>
      <c r="I19">
        <v>11.74</v>
      </c>
      <c r="J19" t="inlineStr">
        <is>
          <t>{"id":"resp_0857a387ab2b9297016a0eeaa7dcfc81a386c0f193b00f3740","object":"chat.completion","created":1779362475,"model":"gpt-5.5","choices":[{"index":0,"message":{"role":"assistant","content":"AMI Paris Pink Cotton T-Shirt Red Heart Logo"},"finish_reason":"stop"}],"usage":{"prompt_tokens":1077,"completion_tokens":143,"total_tokens":1220}}</t>
        </is>
      </c>
      <c r="K19" t="inlineStr">
        <is>
          <t>AMI Paris Pink Cotton T-Shirt Red Heart Logo</t>
        </is>
      </c>
      <c r="L19" t="inlineStr">
        <is>
          <t>{"id":"resp_066f7b50a04cd677016a0ee91298948191aedb0b1741f8de94","object":"chat.completion","created":1779362070,"model":"gpt-5.5","choices":[{"index":0,"message":{"role":"assistant","content":"AMI Paris pink cotton short sleeve T-shirt, red Ami de Coeur heart A logo embroidery, crew neck loose fit, unisex French designer summer tee by Alexandre Mattiussi."},"finish_reason":"stop"}],"usage":{"prompt_tokens":1115,"completion_tokens":124,"total_tokens":1239}}</t>
        </is>
      </c>
      <c r="M19" t="inlineStr">
        <is>
          <t>{"alt-svc":"h3=\":443\"; ma=2592000","connection":"close","content-length":"460","content-type":"application/json; charset=utf-8","date":"Thu, 21 May 2026 11:14:30 GMT","referrer-policy":"strict-origin-when-cross-origin","server":"Caddy","strict-transport-security":"max-age=31536000; includeSubDomains; preload","vary":"Accept-Encoding","x-content-type-options":"nosniff","x-frame-options":"DENY","x-new-api-version":"v1.0.0-rc.2","x-oneapi-request-id":"202605211114233705090828268d9d66VZtm4ZZ","x-request-id":"fdc338ae-5d7c-42a1-ba06-23e7476e915c"}</t>
        </is>
      </c>
      <c r="N19" t="inlineStr">
        <is>
          <t>AMI Paris pink cotton short sleeve T-shirt, red Ami de Coeur heart A logo embroidery, crew neck loose fit, unisex French designer summer tee by Alexandre Mattiussi.</t>
        </is>
      </c>
      <c r="O19" t="inlineStr">
        <is>
          <t>{"id":"resp_076d9572e7832ca9016a0eed57879c819f9016fa4296636493","object":"chat.completion","created":1779363164,"model":"gpt-5.5","choices":[{"index":0,"message":{"role":"assistant","content":"AMI Paris, T-Shirts, kakobuy, kakebuy2026, kekobuysheet, kakobuysheet2026, 2026kakobuy, kakobuyspreadsheeet, kakobuylink, kakebuylist, Kakobuy MEGA Spreadsheet, kakobuysheetfind, kakobuysheetfind2026, 2026kakobuysheetfind, kakobuysheet2026"},"finish_reason":"stop"}],"usage":{"prompt_tokens":984,"completion_tokens":198,"total_tokens":1182}}</t>
        </is>
      </c>
      <c r="P19" t="inlineStr">
        <is>
          <t>AMI Paris, T-Shirts, kakobuy, kakebuy2026, kekobuysheet, kakobuysheet2026, 2026kakobuy, kakobuyspreadsheeet, kakobuylink, kakebuylist, Kakobuy MEGA Spreadsheet, kakobuysheetfind, kakobuysheetfind2026, 2026kakobuysheetfind, kakobuysheet2026</t>
        </is>
      </c>
      <c r="Q19" t="inlineStr">
        <is>
          <t>Pink, Summer, Unisex</t>
        </is>
      </c>
      <c r="R19" t="inlineStr">
        <is>
          <t>recvk9JhrpY5No</t>
        </is>
      </c>
      <c r="S19" t="inlineStr">
        <is>
          <t>ami-pink-cotton-tshirt-red-heart-recvk9jhrpy5no</t>
        </is>
      </c>
      <c r="T19"/>
      <c r="U19"/>
      <c r="V19"/>
      <c r="W19" t="inlineStr">
        <is>
          <t>{"id":"resp_0c7fcdfcf767bae7016a0ee7322cb881a1afecb7d9c8aed6e5","object":"chat.completion","created":1779361595,"model":"gpt-5.5","choices":[{"index":0,"message":{"role":"assistant","content":"粉色AMI Paris春夏短袖T恤，甄选柔软棉质面料，胸前点缀经典红色爱心A标刺绣，简约圆领宽松版型，法式休闲潮流风，男女皆宜，出自设计师Alexandre Mattiussi，日常百搭T恤。"},"finish_reason":"stop"}],"usage":{"prompt_tokens":1503,"completion_tokens":461,"total_tokens":1964}}</t>
        </is>
      </c>
      <c r="X19" t="inlineStr">
        <is>
          <t>粉色AMI Paris春夏短袖T恤，甄选柔软棉质面料，胸前点缀经典红色爱心A标刺绣，简约圆领宽松版型，法式休闲潮流风，男女皆宜，出自设计师Alexandre Mattiussi，日常百搭T恤。</t>
        </is>
      </c>
    </row>
    <row r="20" ht="25.5" customHeight="1">
      <c r="A20">
        <v>1839115443</v>
      </c>
      <c r="B20">
        <v>7771448486</v>
      </c>
      <c r="C20" s="2" t="str">
        <f>=HYPERLINK("https://weidian.com/item.html?itemID=7771448486", "https://weidian.com/item.html?itemID=7771448486")</f>
        <v>https://weidian.com/item.html?itemID=7771448486</v>
      </c>
      <c r="D20"/>
      <c r="E20" s="2" t="str">
        <f>=HYPERLINK("https://si.geilicdn.com/open1839115443-252808396-6ab90000019e3429741c0a8115c2_851_851.jpg?w=640&amp;h=640", "https://si.geilicdn.com/open1839115443-252808396-6ab90000019e3429741c0a8115c2_851_851.jpg?w=640&amp;h=640")</f>
        <v>https://si.geilicdn.com/open1839115443-252808396-6ab90000019e3429741c0a8115c2_851_851.jpg?w=640&amp;h=640</v>
      </c>
      <c r="F20" t="inlineStr">
        <is>
          <t>Pants</t>
        </is>
      </c>
      <c r="G20" t="inlineStr">
        <is>
          <t>Essentials</t>
        </is>
      </c>
      <c r="H20">
        <v>173</v>
      </c>
      <c r="I20">
        <v>25.07</v>
      </c>
      <c r="J20" t="inlineStr">
        <is>
          <t>{"id":"resp_08da084a2d68ca9a016a0eeb01ddf8819199e3a03c36b2a87f","object":"chat.completion","created":1779362566,"model":"gpt-5.5","choices":[{"index":0,"message":{"role":"assistant","content":"PantsEssentials Unisex Side Logo Cotton Drawstring Shorts"},"finish_reason":"stop"}],"usage":{"prompt_tokens":727,"completion_tokens":200,"total_tokens":927}}</t>
        </is>
      </c>
      <c r="K20" t="inlineStr">
        <is>
          <t>PantsEssentials Unisex Side Logo Cotton Drawstring Shorts</t>
        </is>
      </c>
      <c r="L20" t="inlineStr">
        <is>
          <t>{"id":"resp_0b6dc787f8587c3f016a0ee93c59d881a08fc9d852b764839e","object":"chat.completion","created":1779362112,"model":"gpt-5.5","choices":[{"index":0,"message":{"role":"assistant","content":"PantsEssentialsEssentials multicolor side-logo drawstring shorts, breathable cotton-blend loose knee-length unisex streetwear for summer sports casual wear."},"finish_reason":"stop"}],"usage":{"prompt_tokens":759,"completion_tokens":108,"total_tokens":867}}</t>
        </is>
      </c>
      <c r="M20" t="inlineStr">
        <is>
          <t>{"alt-svc":"h3=\":443\"; ma=2592000","connection":"close","content-length":"450","content-type":"application/json; charset=utf-8","date":"Thu, 21 May 2026 11:15:12 GMT","referrer-policy":"strict-origin-when-cross-origin","server":"Caddy","strict-transport-security":"max-age=31536000; includeSubDomains; preload","vary":"Accept-Encoding","x-content-type-options":"nosniff","x-frame-options":"DENY","x-new-api-version":"v1.0.0-rc.2","x-oneapi-request-id":"202605211115038088573168268d9d6IAAWc5Bn","x-request-id":"5ca0f662-5718-4e93-b4b0-54e3e19c4d07"}</t>
        </is>
      </c>
      <c r="N20" t="inlineStr">
        <is>
          <t>PantsEssentialsEssentials multicolor side-logo drawstring shorts, breathable cotton-blend loose knee-length unisex streetwear for summer sports casual wear.</t>
        </is>
      </c>
      <c r="O20" t="inlineStr">
        <is>
          <t>{"id":"resp_088203c146943122016a0eeea3ee4c819d91db147a0c6bf8a6","object":"chat.completion","created":1779363499,"model":"gpt-5.5","choices":[{"index":0,"message":{"role":"assistant","content":"Essentials, Shorts, kakobuy, kakebuy2026, kekobuysheet, kakobuysheet2026, 2026kakobuy, kakobuyspreadsheeet, kakobuylink, kakebuylist, Kakobuy MEGA Spreadsheet, kakobuysheetfind, kakobuysheetfind2026, 2026kakobuysheetfind, kakobuysheet2026"},"finish_reason":"stop"}],"usage":{"prompt_tokens":644,"completion_tokens":401,"total_tokens":1045}}</t>
        </is>
      </c>
      <c r="P20" t="inlineStr">
        <is>
          <t>Essentials, Shorts, kakobuy, kakebuy2026, kekobuysheet, kakobuysheet2026, 2026kakobuy, kakobuyspreadsheeet, kakobuylink, kakebuylist, Kakobuy MEGA Spreadsheet, kakobuysheetfind, kakobuysheetfind2026, 2026kakobuysheetfind, kakobuysheet2026</t>
        </is>
      </c>
      <c r="Q20" t="inlineStr">
        <is>
          <t>Unisex, Streetwear, Summer, Breathable</t>
        </is>
      </c>
      <c r="R20" t="inlineStr">
        <is>
          <t>recvk9JhrpfHtw</t>
        </is>
      </c>
      <c r="S20" t="inlineStr">
        <is>
          <t>pantsessentials-unisex-side-logo-cotton-drawstring-shorts-recvk9jhrpfhtw</t>
        </is>
      </c>
      <c r="T20"/>
      <c r="U20"/>
      <c r="V20"/>
      <c r="W20" t="inlineStr">
        <is>
          <t>{"id":"resp_083a10fb0f92e2be016a0ee761171c81919eb66d520a026c00","object":"chat.completion","created":1779361642,"model":"gpt-5.5","choices":[{"index":0,"message":{"role":"assistant","content":"Essentials: 多色侧标抽绳休闲短裤，棉混纺面料轻盈透气，宽松五分设计，极简字母图腾，街头潮流风，男女同款，2020s夏季运动穿搭必备。"},"finish_reason":"stop"}],"usage":{"prompt_tokens":1165,"completion_tokens":467,"total_tokens":1632}}</t>
        </is>
      </c>
      <c r="X20" t="inlineStr">
        <is>
          <t>Essentials: 多色侧标抽绳休闲短裤，棉混纺面料轻盈透气，宽松五分设计，极简字母图腾，街头潮流风，男女同款，2020s夏季运动穿搭必备。</t>
        </is>
      </c>
    </row>
    <row r="21" ht="25.5" customHeight="1">
      <c r="A21">
        <v>1839115443</v>
      </c>
      <c r="B21">
        <v>7768652323</v>
      </c>
      <c r="C21" s="2" t="str">
        <f>=HYPERLINK("https://weidian.com/item.html?itemID=7768652323", "https://weidian.com/item.html?itemID=7768652323")</f>
        <v>https://weidian.com/item.html?itemID=7768652323</v>
      </c>
      <c r="D21"/>
      <c r="E21" s="2" t="str">
        <f>=HYPERLINK("https://si.geilicdn.com/open1839115443-252808396-27080000019e441ce1820a8133b0_1097_1097.jpg?w=640&amp;h=640", "https://si.geilicdn.com/open1839115443-252808396-27080000019e441ce1820a8133b0_1097_1097.jpg?w=640&amp;h=640")</f>
        <v>https://si.geilicdn.com/open1839115443-252808396-27080000019e441ce1820a8133b0_1097_1097.jpg?w=640&amp;h=640</v>
      </c>
      <c r="F21" t="inlineStr">
        <is>
          <t>T-Shirts</t>
        </is>
      </c>
      <c r="G21" t="inlineStr">
        <is>
          <t>A Bathing App</t>
        </is>
      </c>
      <c r="H21">
        <v>103</v>
      </c>
      <c r="I21">
        <v>14.93</v>
      </c>
      <c r="J21" t="inlineStr">
        <is>
          <t>{"id":"resp_0742e8f980184905016a0eec2c15a481a1a19c1394e9155da5","object":"chat.completion","created":1779362863,"model":"gpt-5.5","choices":[{"index":0,"message":{"role":"assistant","content":"BAPE White Camo Ape Head Cotton Unisex T-Shirt"},"finish_reason":"stop"}],"usage":{"prompt_tokens":720,"completion_tokens":138,"total_tokens":858}}</t>
        </is>
      </c>
      <c r="K21" t="inlineStr">
        <is>
          <t>BAPE White Camo Ape Head Cotton Unisex T-Shirt</t>
        </is>
      </c>
      <c r="L21" t="inlineStr">
        <is>
          <t>{"id":"resp_052cd0553cf29a4f016a0ee93cdca0819181085cda51d4682b","object":"chat.completion","created":1779362114,"model":"gpt-5.5","choices":[{"index":0,"message":{"role":"assistant","content":"A Bathing Ape BAPE White Camo Ape Head Print T-Shirt, Soft Cotton Crew Neck Loose Fit Unisex Streetwear Tee"},"finish_reason":"stop"}],"usage":{"prompt_tokens":766,"completion_tokens":255,"total_tokens":1021}}</t>
        </is>
      </c>
      <c r="M21" t="inlineStr">
        <is>
          <t>{"alt-svc":"h3=\":443\"; ma=2592000","connection":"close","content-length":"402","content-type":"application/json; charset=utf-8","date":"Thu, 21 May 2026 11:15:14 GMT","referrer-policy":"strict-origin-when-cross-origin","server":"Caddy","strict-transport-security":"max-age=31536000; includeSubDomains; preload","vary":"Accept-Encoding","x-content-type-options":"nosniff","x-frame-options":"DENY","x-new-api-version":"v1.0.0-rc.2","x-oneapi-request-id":"202605211115042805061028268d9d6Qp0OCXF9","x-request-id":"51b1da06-df4c-4907-b3f4-07d8813e4f38"}</t>
        </is>
      </c>
      <c r="N21" t="inlineStr">
        <is>
          <t>A Bathing Ape BAPE White Camo Ape Head Print T-Shirt, Soft Cotton Crew Neck Loose Fit Unisex Streetwear Tee</t>
        </is>
      </c>
      <c r="O21" t="inlineStr">
        <is>
          <t>{"id":"resp_06ae407ee129abdf016a0eedb8a85881a29dbda309afc71651","object":"chat.completion","created":1779363266,"model":"gpt-5.5","choices":[{"index":0,"message":{"role":"assistant","content":"A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kakobuysheet2026"},"finish_reason":"stop"}],"usage":{"prompt_tokens":646,"completion_tokens":377,"total_tokens":1023}}</t>
        </is>
      </c>
      <c r="P21" t="inlineStr">
        <is>
          <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t>
        </is>
      </c>
      <c r="Q21" t="inlineStr">
        <is>
          <t>BAPE, White, Streetwear, Unisex</t>
        </is>
      </c>
      <c r="R21" t="inlineStr">
        <is>
          <t>recvk9JhrpN1DO</t>
        </is>
      </c>
      <c r="S21" t="inlineStr">
        <is>
          <t>bape-white-camo-ape-head-cotton-unisex-t-shirt-recvk9jhrpn1do</t>
        </is>
      </c>
      <c r="T21"/>
      <c r="U21"/>
      <c r="V21"/>
      <c r="W21" t="inlineStr">
        <is>
          <t>{"id":"resp_08e2ba5ff8817caa016a0ee786210c81a18bf2a10c093202d3","object":"chat.completion","created":1779361676,"model":"gpt-5.5","choices":[{"index":0,"message":{"role":"assistant","content":"A Bathing Ape：经典白色BAPE迷彩猿人头印花短袖T恤，甄选柔软棉质面料，圆领宽松版型，街头潮流风格，男女同款，兼具日常舒适与高辨识度设计。"},"finish_reason":"stop"}],"usage":{"prompt_tokens":1169,"completion_tokens":326,"total_tokens":1495}}</t>
        </is>
      </c>
      <c r="X21" t="inlineStr">
        <is>
          <t>A Bathing Ape：经典白色BAPE迷彩猿人头印花短袖T恤，甄选柔软棉质面料，圆领宽松版型，街头潮流风格，男女同款，兼具日常舒适与高辨识度设计。</t>
        </is>
      </c>
    </row>
    <row r="22" ht="25.5" customHeight="1">
      <c r="A22">
        <v>1839115443</v>
      </c>
      <c r="B22">
        <v>7768680133</v>
      </c>
      <c r="C22" s="2" t="str">
        <f>=HYPERLINK("https://weidian.com/item.html?itemID=7768680133", "https://weidian.com/item.html?itemID=7768680133")</f>
        <v>https://weidian.com/item.html?itemID=7768680133</v>
      </c>
      <c r="D22"/>
      <c r="E22" s="2" t="str">
        <f>=HYPERLINK("https://si.geilicdn.com/open1839115443-252808396-5eb90000019e4420d3e30a22d249_768_768.jpg?w=750&amp;h=750&amp;cp=1", "https://si.geilicdn.com/open1839115443-252808396-5eb90000019e4420d3e30a22d249_768_768.jpg?w=750&amp;h=750&amp;cp=1")</f>
        <v>https://si.geilicdn.com/open1839115443-252808396-5eb90000019e4420d3e30a22d249_768_768.jpg?w=750&amp;h=750&amp;cp=1</v>
      </c>
      <c r="F22" t="inlineStr">
        <is>
          <t>T-Shirts</t>
        </is>
      </c>
      <c r="G22" t="inlineStr">
        <is>
          <t>Essentials</t>
        </is>
      </c>
      <c r="H22">
        <v>105</v>
      </c>
      <c r="I22">
        <v>15.22</v>
      </c>
      <c r="J22" t="inlineStr">
        <is>
          <t>{"id":"resp_06dd2501a1381132016a0eeb6dd5dc81a2a6803551be9374a7","object":"chat.completion","created":1779362701,"model":"gpt-5.5","choices":[{"index":0,"message":{"role":"assistant","content":"ESSENTIALS Fear of God Gray Drop-Shoulder Tee Unisex"},"finish_reason":"stop"}],"usage":{"prompt_tokens":944,"completion_tokens":1742,"total_tokens":2686}}</t>
        </is>
      </c>
      <c r="K22" t="inlineStr">
        <is>
          <t>ESSENTIALS Fear of God Gray Drop-Shoulder Tee Unisex</t>
        </is>
      </c>
      <c r="L22" t="inlineStr">
        <is>
          <t>{"id":"resp_0a70c670fabecc7c016a0ee94ae324819c90e855078b822c90","object":"chat.completion","created":1779362126,"model":"gpt-5.5","choices":[{"index":0,"message":{"role":"assistant","content":"ESSENTIALS Fear of God gray-white cotton short sleeve T-shirt, soft breathable, chest logo print, loose dropped-shoulder fit, unisex streetwear basic."},"finish_reason":"stop"}],"usage":{"prompt_tokens":969,"completion_tokens":112,"total_tokens":1081}}</t>
        </is>
      </c>
      <c r="M22" t="inlineStr">
        <is>
          <t>{"alt-svc":"h3=\":443\"; ma=2592000","connection":"close","content-length":"445","content-type":"application/json; charset=utf-8","date":"Thu, 21 May 2026 11:15:26 GMT","referrer-policy":"strict-origin-when-cross-origin","server":"nginx/1.24.0 (Ubuntu)","strict-transport-security":"max-age=31536000; includeSubDomains; preload","vary":"Accept-Encoding","via":"1.1 Caddy","x-content-type-options":"nosniff","x-frame-options":"DENY","x-new-api-version":"v1.0.0-rc.2","x-oneapi-request-id":"202605211115175124818988268d9d6IIP0saRn","x-request-id":"1d0e9c6d-a81a-49ba-a6d7-0bb25d70ddf1"}</t>
        </is>
      </c>
      <c r="N22" t="inlineStr">
        <is>
          <t>ESSENTIALS Fear of God gray-white cotton short sleeve T-shirt, soft breathable, chest logo print, loose dropped-shoulder fit, unisex streetwear basic.</t>
        </is>
      </c>
      <c r="O22" t="inlineStr">
        <is>
          <t>{"id":"resp_09d8edfa5a3371b3016a0eed617cc081a193e299640f74517a","object":"chat.completion","created":1779363174,"model":"gpt-5.5","choices":[{"index":0,"message":{"role":"assistant","content":"Essentials, T-Shirts, kakobuy, kakebuy2026, kekobuysheet, kakobuysheet2026, 2026kakobuy, kakobuyspreadsheeet, kakobuylink, kakebuylist, Kakobuy MEGA Spreadsheet, kakobuysheetfind, kakobuysheetfind2026, 2026kakobuysheetfind, kakobuysheet2026"},"finish_reason":"stop"}],"usage":{"prompt_tokens":855,"completion_tokens":250,"total_tokens":1105}}</t>
        </is>
      </c>
      <c r="P22" t="inlineStr">
        <is>
          <t>Essentials, T-Shirts, kakobuy, kakebuy2026, kekobuysheet, kakobuysheet2026, 2026kakobuy, kakobuyspreadsheeet, kakobuylink, kakebuylist, Kakobuy MEGA Spreadsheet, kakobuysheetfind, kakobuysheetfind2026, 2026kakobuysheetfind, kakobuysheet2026</t>
        </is>
      </c>
      <c r="Q22" t="inlineStr">
        <is>
          <t>Unisex, Streetwear, Basic Style, Breathable, Gray</t>
        </is>
      </c>
      <c r="R22" t="inlineStr">
        <is>
          <t>recvk9JhrpH5Yj</t>
        </is>
      </c>
      <c r="S22" t="inlineStr">
        <is>
          <t>fear-of-god-gray-drop-shoulder-tee-recvk9jhrph5yj</t>
        </is>
      </c>
      <c r="T22"/>
      <c r="U22"/>
      <c r="V22"/>
      <c r="W22" t="inlineStr">
        <is>
          <t>{"id":"resp_08223ec4bd91e7ad016a0ee6966f3081a294ff451b9968c405","object":"chat.completion","created":1779361439,"model":"gpt-5.5","choices":[{"index":0,"message":{"role":"assistant","content":"ESSENTIALS: 灰白色FEAR OF GOD短袖T恤，棉质柔软透气，胸前简约字母印花，宽松落肩设计，街头休闲风，男女通用，潮流基础款。"},"finish_reason":"stop"}],"usage":{"prompt_tokens":1384,"completion_tokens":447,"total_tokens":1831}}</t>
        </is>
      </c>
      <c r="X22" t="inlineStr">
        <is>
          <t>ESSENTIALS: 灰白色FEAR OF GOD短袖T恤，棉质柔软透气，胸前简约字母印花，宽松落肩设计，街头休闲风，男女通用，潮流基础款。</t>
        </is>
      </c>
    </row>
    <row r="23" ht="25.5" customHeight="1">
      <c r="A23">
        <v>1839115443</v>
      </c>
      <c r="B23">
        <v>7771629012</v>
      </c>
      <c r="C23" s="2" t="str">
        <f>=HYPERLINK("https://weidian.com/item.html?itemID=7771629012", "https://weidian.com/item.html?itemID=7771629012")</f>
        <v>https://weidian.com/item.html?itemID=7771629012</v>
      </c>
      <c r="D23"/>
      <c r="E23" s="2" t="str">
        <f>=HYPERLINK("https://si.geilicdn.com/open1839115443-252808396-54c80000019e44215c520aa08239_1440_1920.jpg?w=640&amp;h=640", "https://si.geilicdn.com/open1839115443-252808396-54c80000019e44215c520aa08239_1440_1920.jpg?w=640&amp;h=640")</f>
        <v>https://si.geilicdn.com/open1839115443-252808396-54c80000019e44215c520aa08239_1440_1920.jpg?w=640&amp;h=640</v>
      </c>
      <c r="F23" t="inlineStr">
        <is>
          <t>T-Shirts</t>
        </is>
      </c>
      <c r="G23" t="inlineStr">
        <is>
          <t>Other</t>
        </is>
      </c>
      <c r="H23">
        <v>91</v>
      </c>
      <c r="I23">
        <v>13.19</v>
      </c>
      <c r="J23" t="inlineStr">
        <is>
          <t>{"id":"resp_049082175b3fccc3016a0eea6524e481929a7cc82ca94f15b7","object":"chat.completion","created":1779362412,"model":"gpt-5.5","choices":[{"index":0,"message":{"role":"assistant","content":"Other White Oversized Have Nice Day Y2K Graphic Tee"},"finish_reason":"stop"}],"usage":{"prompt_tokens":896,"completion_tokens":367,"total_tokens":1263}}</t>
        </is>
      </c>
      <c r="K23" t="inlineStr">
        <is>
          <t>Other White Oversized Have Nice Day Y2K Graphic Tee</t>
        </is>
      </c>
      <c r="L23" t="inlineStr">
        <is>
          <t>{"id":"resp_0c457132bc97face016a0ee8464a2c8191804b3f4c58eb1cf3","object":"chat.completion","created":1779361865,"model":"gpt-5.5","choices":[{"index":0,"message":{"role":"assistant","content":"Other White cotton oversized crew neck T-shirt, letter &amp; swirl graphic, “Have nice day” print, Y2K streetwear unisex summer casual tee."},"finish_reason":"stop"}],"usage":{"prompt_tokens":917,"completion_tokens":155,"total_tokens":1072}}</t>
        </is>
      </c>
      <c r="M23" t="inlineStr">
        <is>
          <t>{"alt-svc":"h3=\":443\"; ma=2592000","connection":"close","content-length":"439","content-type":"application/json; charset=utf-8","date":"Thu, 21 May 2026 11:11:05 GMT","referrer-policy":"strict-origin-when-cross-origin","server":"Caddy","strict-transport-security":"max-age=31536000; includeSubDomains; preload","vary":"Accept-Encoding","x-content-type-options":"nosniff","x-frame-options":"DENY","x-new-api-version":"v1.0.0-rc.2","x-oneapi-request-id":"202605211111014969232838268d9d6oyQgEznO","x-request-id":"38158759-4d39-4bda-98cb-1a38ee1e1517"}</t>
        </is>
      </c>
      <c r="N23" t="inlineStr">
        <is>
          <t>Other White cotton oversized crew neck T-shirt, letter &amp; swirl graphic, “Have nice day” print, Y2K streetwear unisex summer casual tee.</t>
        </is>
      </c>
      <c r="O23" t="inlineStr">
        <is>
          <t>{"id":"resp_08e46e2a47f80c90016a0eee337f9c81a192edd6367aa0451c","object":"chat.completion","created":1779363389,"model":"gpt-5.5","choices":[{"index":0,"message":{"role":"assistant","content":"GANNI,T-Shirts Other,kakobuy,kakebuy2026,kekobuysheet,kakobuysheet2026,2026kakobuy,kakobuyspreadsheeet,kakobuylink,kakebuylist,Kakobuy MEGA Spreadsheet,kakobuysheetfind,kakobuysheetfind2026,2026kakobuysheetfind,kakobuysheet2026"},"finish_reason":"stop"}],"usage":{"prompt_tokens":811,"completion_tokens":534,"total_tokens":1345}}</t>
        </is>
      </c>
      <c r="P23" t="inlineStr">
        <is>
          <t>GANNI,T-Shirts Other,kakobuy,kakebuy2026,kekobuysheet,kakobuysheet2026,2026kakobuy,kakobuyspreadsheeet,kakobuylink,kakebuylist,Kakobuy MEGA Spreadsheet,kakobuysheetfind,kakobuysheetfind2026,2026kakobuysheetfind,kakobuysheet2026</t>
        </is>
      </c>
      <c r="Q23" t="inlineStr">
        <is>
          <t>White, Streetwear, Summer, Unisex</t>
        </is>
      </c>
      <c r="R23" t="inlineStr">
        <is>
          <t>recvk9Jhrp9PaZ</t>
        </is>
      </c>
      <c r="S23" t="inlineStr">
        <is>
          <t>other-white-oversized-nice-day-y2k-graphic-tee-recvk9jhrp9paz</t>
        </is>
      </c>
      <c r="T23"/>
      <c r="U23"/>
      <c r="V23"/>
      <c r="W23" t="inlineStr">
        <is>
          <t>{"id":"resp_02670bb8e02f57da016a0ee74850b081928bf3beae2f2350b4","object":"chat.completion","created":1779361616,"model":"gpt-5.5","choices":[{"index":0,"message":{"role":"assistant","content":"白色纯棉宽松圆领短袖T恤，前幅字母与涡旋印花设计，搭配Have nice day文字，清新街头Y2K风，男女同款夏季休闲上衣。"},"finish_reason":"stop"}],"usage":{"prompt_tokens":1329,"completion_tokens":386,"total_tokens":1715}}</t>
        </is>
      </c>
      <c r="X23" t="inlineStr">
        <is>
          <t>白色纯棉宽松圆领短袖T恤，前幅字母与涡旋印花设计，搭配Have nice day文字，清新街头Y2K风，男女同款夏季休闲上衣。</t>
        </is>
      </c>
    </row>
    <row r="24" ht="25.5" customHeight="1">
      <c r="A24">
        <v>1839115443</v>
      </c>
      <c r="B24">
        <v>7768627071</v>
      </c>
      <c r="C24" s="2" t="str">
        <f>=HYPERLINK("https://weidian.com/item.html?itemID=7768627071", "https://weidian.com/item.html?itemID=7768627071")</f>
        <v>https://weidian.com/item.html?itemID=7768627071</v>
      </c>
      <c r="D24"/>
      <c r="E24" s="2" t="str">
        <f>=HYPERLINK("https://si.geilicdn.com/open1839115443-252808396-59550000019e4421c3680a23b4de_1200_1200.jpg?w=640&amp;h=640", "https://si.geilicdn.com/open1839115443-252808396-59550000019e4421c3680a23b4de_1200_1200.jpg?w=640&amp;h=640")</f>
        <v>https://si.geilicdn.com/open1839115443-252808396-59550000019e4421c3680a23b4de_1200_1200.jpg?w=640&amp;h=640</v>
      </c>
      <c r="F24" t="inlineStr">
        <is>
          <t>T-Shirts</t>
        </is>
      </c>
      <c r="G24" t="inlineStr">
        <is>
          <t>Off White</t>
        </is>
      </c>
      <c r="H24">
        <v>91</v>
      </c>
      <c r="I24">
        <v>13.19</v>
      </c>
      <c r="J24" t="inlineStr">
        <is>
          <t>{"id":"resp_04ae35a9034c997e016a0eebbfa44c819faea51f5b0fe25be8","object":"chat.completion","created":1779362755,"model":"gpt-5.5","choices":[{"index":0,"message":{"role":"assistant","content":"Off-White Pink Moon Graphic Cotton Crewneck T-Shirt"},"finish_reason":"stop"}],"usage":{"prompt_tokens":735,"completion_tokens":152,"total_tokens":887}}</t>
        </is>
      </c>
      <c r="K24" t="inlineStr">
        <is>
          <t>Off-White Pink Moon Graphic Cotton Crewneck T-Shirt</t>
        </is>
      </c>
      <c r="L24" t="inlineStr">
        <is>
          <t>{"id":"resp_0c6e0738cf9c14fb016a0ee972b0d8819f8b9fe171baee7305","object":"chat.completion","created":1779362167,"model":"gpt-5.5","choices":[{"index":0,"message":{"role":"assistant","content":"Off-White pink cotton crewneck T-shirt, moon graphic circle totem and black logo print, unisex short sleeve streetwear tee, Virgil Abloh casual top."},"finish_reason":"stop"}],"usage":{"prompt_tokens":761,"completion_tokens":141,"total_tokens":902}}</t>
        </is>
      </c>
      <c r="M24" t="inlineStr">
        <is>
          <t>{"alt-svc":"h3=\":443\"; ma=2592000","connection":"close","content-length":"442","content-type":"application/json; charset=utf-8","date":"Thu, 21 May 2026 11:16:07 GMT","referrer-policy":"strict-origin-when-cross-origin","server":"Caddy","strict-transport-security":"max-age=31536000; includeSubDomains; preload","vary":"Accept-Encoding","x-content-type-options":"nosniff","x-frame-options":"DENY","x-new-api-version":"v1.0.0-rc.2","x-oneapi-request-id":"202605211116008207110388268d9d6K9GsYcAT","x-request-id":"6de78133-d551-417c-93f8-5a5314b171cb"}</t>
        </is>
      </c>
      <c r="N24" t="inlineStr">
        <is>
          <t>Off-White pink cotton crewneck T-shirt, moon graphic circle totem and black logo print, unisex short sleeve streetwear tee, Virgil Abloh casual top.</t>
        </is>
      </c>
      <c r="O24" t="inlineStr">
        <is>
          <t>{"id":"resp_09da14555c4636e1016a0eed5f4bd8819284e3d32df305d4be","object":"chat.completion","created":1779363179,"model":"gpt-5.5","choices":[{"index":0,"message":{"role":"assistant","content":"Off-White, T-Shirts, kakobuy, kakebuy2026, kekobuysheet, kakobuysheet2026, 2026kakobuy, kakobuyspreadsheeet, kakobuylink, kakebuylist, Kakobuy MEGA Spreadsheet, kakobuysheetfind, kakobuysheetfind2026, 2026kakobuysheetfind, kakobuysheet2026"},"finish_reason":"stop"}],"usage":{"prompt_tokens":644,"completion_tokens":614,"total_tokens":1258}}</t>
        </is>
      </c>
      <c r="P24" t="inlineStr">
        <is>
          <t>Off-White, T-Shirts, kakobuy, kakebuy2026, kekobuysheet, kakobuysheet2026, 2026kakobuy, kakobuyspreadsheeet, kakobuylink, kakebuylist, Kakobuy MEGA Spreadsheet, kakobuysheetfind, kakobuysheetfind2026, 2026kakobuysheetfind, kakobuysheet2026</t>
        </is>
      </c>
      <c r="Q24" t="inlineStr">
        <is>
          <t>Off-White, Pink, Streetwear, Unisex</t>
        </is>
      </c>
      <c r="R24" t="inlineStr">
        <is>
          <t>recvk9JhrpAGsn</t>
        </is>
      </c>
      <c r="S24" t="inlineStr">
        <is>
          <t>off-white-pink-moon-graphic-cotton-crewneck-recvk9jhrpag</t>
        </is>
      </c>
      <c r="T24"/>
      <c r="U24"/>
      <c r="V24"/>
      <c r="W24" t="inlineStr">
        <is>
          <t>{"id":"resp_02228b9625667e7d016a0ee70118a48192a56f05156a89904b","object":"chat.completion","created":1779361548,"model":"gpt-5.5","choices":[{"index":0,"message":{"role":"assistant","content":"欧프화이트：粉色圆领短袖T恤，纯棉面料，月球感圆形图腾与黑色标识印花，街头潮流风设计，男女同款，Virgil Abloh主理，2020年代休闲百搭上衣。"},"finish_reason":"stop"}],"usage":{"prompt_tokens":1167,"completion_tokens":584,"total_tokens":1751}}</t>
        </is>
      </c>
      <c r="X24" t="inlineStr">
        <is>
          <t>欧프화이트：粉色圆领短袖T恤，纯棉面料，月球感圆形图腾与黑色标识印花，街头潮流风设计，男女同款，Virgil Abloh主理，2020年代休闲百搭上衣。</t>
        </is>
      </c>
    </row>
    <row r="25" ht="25.5" customHeight="1">
      <c r="A25">
        <v>1839115443</v>
      </c>
      <c r="B25">
        <v>7768576525</v>
      </c>
      <c r="C25" s="2" t="str">
        <f>=HYPERLINK("https://weidian.com/item.html?itemID=7768576525", "https://weidian.com/item.html?itemID=7768576525")</f>
        <v>https://weidian.com/item.html?itemID=7768576525</v>
      </c>
      <c r="D25"/>
      <c r="E25" s="2" t="str">
        <f>=HYPERLINK("https://si.geilicdn.com/open1839115443-252808396-2b7a0000019e4416708c0a23b4de_800_800.jpg?w=750&amp;h=750&amp;cp=1", "https://si.geilicdn.com/open1839115443-252808396-2b7a0000019e4416708c0a23b4de_800_800.jpg?w=750&amp;h=750&amp;cp=1")</f>
        <v>https://si.geilicdn.com/open1839115443-252808396-2b7a0000019e4416708c0a23b4de_800_800.jpg?w=750&amp;h=750&amp;cp=1</v>
      </c>
      <c r="F25" t="inlineStr">
        <is>
          <t>T-Shirts</t>
        </is>
      </c>
      <c r="G25" t="inlineStr">
        <is>
          <t>Chrome Hearts</t>
        </is>
      </c>
      <c r="H25">
        <v>80</v>
      </c>
      <c r="I25">
        <v>11.59</v>
      </c>
      <c r="J25" t="inlineStr">
        <is>
          <t>{"id":"resp_011550ee909860e7016a0eeb5e38c4819f92290d137b055c75","object":"chat.completion","created":1779362664,"model":"gpt-5.5","choices":[{"index":0,"message":{"role":"assistant","content":"Chrome Hearts White Cotton Cross Floral Print Tee"},"finish_reason":"stop"}],"usage":{"prompt_tokens":921,"completion_tokens":530,"total_tokens":1451}}</t>
        </is>
      </c>
      <c r="K25" t="inlineStr">
        <is>
          <t>Chrome Hearts White Cotton Cross Floral Print Tee</t>
        </is>
      </c>
      <c r="L25" t="inlineStr">
        <is>
          <t>{"id":"resp_0e25ff5e4381e69d016a0ee8abde5881a293bfd671b06356b9","object":"chat.completion","created":1779361971,"model":"gpt-5.5","choices":[{"index":0,"message":{"role":"assistant","content":"Chrome Hearts White Cotton Short Sleeve T-Shirt, Colorful Cross Floral Logo Print, Unisex Streetwear Casual Tee"},"finish_reason":"stop"}],"usage":{"prompt_tokens":956,"completion_tokens":343,"total_tokens":1299}}</t>
        </is>
      </c>
      <c r="M25" t="inlineStr">
        <is>
          <t>{"alt-svc":"h3=\":443\"; ma=2592000","connection":"close","content-length":"406","content-type":"application/json; charset=utf-8","date":"Thu, 21 May 2026 11:12:51 GMT","referrer-policy":"strict-origin-when-cross-origin","server":"Caddy","strict-transport-security":"max-age=31536000; includeSubDomains; preload","vary":"Accept-Encoding","x-content-type-options":"nosniff","x-frame-options":"DENY","x-new-api-version":"v1.0.0-rc.2","x-oneapi-request-id":"202605211112433362519258268d9d6KNNSDeEV","x-request-id":"89cbede2-b718-4830-8b02-a2282a9b00c8"}</t>
        </is>
      </c>
      <c r="N25" t="inlineStr">
        <is>
          <t>Chrome Hearts White Cotton Short Sleeve T-Shirt, Colorful Cross Floral Logo Print, Unisex Streetwear Casual Tee</t>
        </is>
      </c>
      <c r="O25" t="inlineStr">
        <is>
          <t>{"id":"resp_01585c0e44595b9e016a0eed8f48fc81a0bc5280424fae6e78","object":"chat.completion","created":1779363225,"model":"gpt-5.5","choices":[{"index":0,"message":{"role":"assistant","content":"Chrome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kakobuysheet2026"},"finish_reason":"stop"}],"usage":{"prompt_tokens":855,"completion_tokens":535,"total_tokens":1390}}</t>
        </is>
      </c>
      <c r="P25"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25" t="inlineStr">
        <is>
          <t>Unisex, Streetwear, White</t>
        </is>
      </c>
      <c r="R25" t="inlineStr">
        <is>
          <t>recvk9JhrpEJQj</t>
        </is>
      </c>
      <c r="S25" t="inlineStr">
        <is>
          <t>chrome-hearts-white-cotton-cross-floral-print-tee-recvk9jhrpejqj</t>
        </is>
      </c>
      <c r="T25"/>
      <c r="U25"/>
      <c r="V25"/>
      <c r="W25" t="inlineStr">
        <is>
          <t>{"id":"resp_037a9805bdb8897c016a0ee6fc7434819d9809f693d68b8791","object":"chat.completion","created":1779361537,"model":"gpt-5.5","choices":[{"index":0,"message":{"role":"assistant","content":"克罗心 Chrome Hearts 白色纯棉短袖T恤，胸前彩色十字花卉Logo印花，男女同款街头休闲潮牌上衣"},"finish_reason":"stop"}],"usage":{"prompt_tokens":1388,"completion_tokens":214,"total_tokens":1602}}</t>
        </is>
      </c>
      <c r="X25" t="inlineStr">
        <is>
          <t>克罗心 Chrome Hearts 白色纯棉短袖T恤，胸前彩色十字花卉Logo印花，男女同款街头休闲潮牌上衣</t>
        </is>
      </c>
    </row>
    <row r="26" ht="25.5" customHeight="1">
      <c r="A26">
        <v>1839115443</v>
      </c>
      <c r="B26">
        <v>7771625904</v>
      </c>
      <c r="C26" s="2" t="str">
        <f>=HYPERLINK("https://weidian.com/item.html?itemID=7771625904", "https://weidian.com/item.html?itemID=7771625904")</f>
        <v>https://weidian.com/item.html?itemID=7771625904</v>
      </c>
      <c r="D26"/>
      <c r="E26" s="2" t="str">
        <f>=HYPERLINK("https://si.geilicdn.com/open1839115443-252808396-28960000019e44183e230a231226_1920_1920.jpg?w=640&amp;h=640", "https://si.geilicdn.com/open1839115443-252808396-28960000019e44183e230a231226_1920_1920.jpg?w=640&amp;h=640")</f>
        <v>https://si.geilicdn.com/open1839115443-252808396-28960000019e44183e230a231226_1920_1920.jpg?w=640&amp;h=640</v>
      </c>
      <c r="F26" t="inlineStr">
        <is>
          <t>Sweatshirt</t>
        </is>
      </c>
      <c r="G26" t="inlineStr">
        <is>
          <t>Yeezy</t>
        </is>
      </c>
      <c r="H26">
        <v>85</v>
      </c>
      <c r="I26">
        <v>12.32</v>
      </c>
      <c r="J26" t="inlineStr">
        <is>
          <t>{"id":"resp_07a7830f2827061d016a0eeae1f6c881a0a5f7d3d105e6bcc9","object":"chat.completion","created":1779362537,"model":"gpt-5.5","choices":[{"index":0,"message":{"role":"assistant","content":"Yeezy by Kanye West Black Gray Oversized Hoodie"},"finish_reason":"stop"}],"usage":{"prompt_tokens":728,"completion_tokens":340,"total_tokens":1068}}</t>
        </is>
      </c>
      <c r="K26" t="inlineStr">
        <is>
          <t>Yeezy by Kanye West Black Gray Oversized Hoodie</t>
        </is>
      </c>
      <c r="L26" t="inlineStr">
        <is>
          <t>{"id":"resp_05096e870638d5ba016a0ee8cc1d84819281f4f2041563b4a9","object":"chat.completion","created":1779361999,"model":"gpt-5.5","choices":[{"index":0,"message":{"role":"assistant","content":"Yeezy by Kanye West black gray oversized hoodie, soft cotton feel, drop shoulder loose fit, unisex streetwear sweatshirt for fall winter casual outfits"},"finish_reason":"stop"}],"usage":{"prompt_tokens":747,"completion_tokens":167,"total_tokens":914}}</t>
        </is>
      </c>
      <c r="M26" t="inlineStr">
        <is>
          <t>{"alt-svc":"h3=\":443\"; ma=2592000","connection":"close","content-length":"445","content-type":"application/json; charset=utf-8","date":"Thu, 21 May 2026 11:13:19 GMT","referrer-policy":"strict-origin-when-cross-origin","server":"Caddy","strict-transport-security":"max-age=31536000; includeSubDomains; preload","vary":"Accept-Encoding","x-content-type-options":"nosniff","x-frame-options":"DENY","x-new-api-version":"v1.0.0-rc.2","x-oneapi-request-id":"202605211113155793862078268d9d6CiddgyVn","x-request-id":"3bd4604e-25c3-428b-822f-892cefa9b4cf"}</t>
        </is>
      </c>
      <c r="N26" t="inlineStr">
        <is>
          <t>Yeezy by Kanye West black gray oversized hoodie, soft cotton feel, drop shoulder loose fit, unisex streetwear sweatshirt for fall winter casual outfits</t>
        </is>
      </c>
      <c r="O26" t="inlineStr">
        <is>
          <t>{"id":"resp_0a2b6264f08fa3c3016a0eede1fcf881a191b30a3150ce5748","object":"chat.completion","created":1779363303,"model":"gpt-5.5","choices":[{"index":0,"message":{"role":"assistant","content":"Yeezy Sweatshirt kakobuy, Yeezy Sweatshirt kakebuy2026, Yeezy Sweatshirt kekobuysheet, Yeezy Sweatshirt kakobuysheet2026, Yeezy Sweatshirt 2026kakobuy, Yeezy Sweatshirt kakobuyspreadsheeet, Yeezy Sweatshirt kakobuylink, Yeezy Sweatshirt kakebuylist, Yeezy Sweatshirt Kakobuy MEGA Spreadsheet, Yeezy Sweatshirt kakobuysheetfind, Yeezy Sweatshirt kakobuysheetfind2026, Yeezy Sweatshirt 2026kakobuysheetfind, Yeezy Sweatshirt kakobuysheet2026"},"finish_reason":"stop"}],"usage":{"prompt_tokens":646,"completion_tokens":268,"total_tokens":914}}</t>
        </is>
      </c>
      <c r="P26" t="inlineStr">
        <is>
          <t>Yeezy Sweatshirt kakobuy, Yeezy Sweatshirt kakebuy2026, Yeezy Sweatshirt kekobuysheet, Yeezy Sweatshirt kakobuysheet2026, Yeezy Sweatshirt 2026kakobuy, Yeezy Sweatshirt kakobuyspreadsheeet, Yeezy Sweatshirt kakobuylink, Yeezy Sweatshirt kakebuylist, Yeezy Sweatshirt Kakobuy MEGA Spreadsheet, Yeezy Sweatshirt kakobuysheetfind, Yeezy Sweatshirt kakobuysheetfind2026, Yeezy Sweatshirt 2026kakobuysheetfind, Yeezy Sweatshirt kakobuysheet2026</t>
        </is>
      </c>
      <c r="Q26" t="inlineStr">
        <is>
          <t>YEEZY, Black, Grey, Streetwear, Autumn And Winter, Unisex</t>
        </is>
      </c>
      <c r="R26" t="inlineStr">
        <is>
          <t>recvk9Jhrp6KwU</t>
        </is>
      </c>
      <c r="S26" t="inlineStr">
        <is>
          <t>yeezy-black-gray-oversized-hoodie-recvk9jhrp6kwu</t>
        </is>
      </c>
      <c r="T26"/>
      <c r="U26"/>
      <c r="V26"/>
      <c r="W26" t="inlineStr">
        <is>
          <t>{"id":"resp_0cef230557a69fcb016a0ee6fb74a88191a28470f63b80b36e","object":"chat.completion","created":1779361541,"model":"gpt-5.5","choices":[{"index":0,"message":{"role":"assistant","content":"Yeezy: 黑灰色宽松连帽卫衣，柔软棉质感，落肩大版型，简约街头风，男女同款，秋冬休闲百搭，Kanye West设计"},"finish_reason":"stop"}],"usage":{"prompt_tokens":1164,"completion_tokens":516,"total_tokens":1680}}</t>
        </is>
      </c>
      <c r="X26" t="inlineStr">
        <is>
          <t>Yeezy: 黑灰色宽松连帽卫衣，柔软棉质感，落肩大版型，简约街头风，男女同款，秋冬休闲百搭，Kanye West设计</t>
        </is>
      </c>
    </row>
    <row r="27" ht="25.5" customHeight="1">
      <c r="A27">
        <v>1839115443</v>
      </c>
      <c r="B27">
        <v>7768642643</v>
      </c>
      <c r="C27" s="2" t="str">
        <f>=HYPERLINK("https://weidian.com/item.html?itemID=7768642643", "https://weidian.com/item.html?itemID=7768642643")</f>
        <v>https://weidian.com/item.html?itemID=7768642643</v>
      </c>
      <c r="D27"/>
      <c r="E27" s="2" t="str">
        <f>=HYPERLINK("https://si.geilicdn.com/open1839115443-252808396-48770000019e441eee490aa08269_1074_1074.jpg?w=640&amp;h=640", "https://si.geilicdn.com/open1839115443-252808396-48770000019e441eee490aa08269_1074_1074.jpg?w=640&amp;h=640")</f>
        <v>https://si.geilicdn.com/open1839115443-252808396-48770000019e441eee490aa08269_1074_1074.jpg?w=640&amp;h=640</v>
      </c>
      <c r="F27" t="inlineStr">
        <is>
          <t>Sweatshirt</t>
        </is>
      </c>
      <c r="G27" t="inlineStr">
        <is>
          <t>Chrome Hearts</t>
        </is>
      </c>
      <c r="H27">
        <v>175</v>
      </c>
      <c r="I27">
        <v>25.36</v>
      </c>
      <c r="J27" t="inlineStr">
        <is>
          <t>{"id":"resp_0fdaa57e72b5547f016a0eec31015c81a0b5fa695b15cfd74a","object":"chat.completion","created":1779362875,"model":"gpt-5.5","choices":[{"index":0,"message":{"role":"assistant","content":"Chrome Hearts Black Gothic Cross Sleeve Hoodie Unisex"},"finish_reason":"stop"}],"usage":{"prompt_tokens":726,"completion_tokens":531,"total_tokens":1257}}</t>
        </is>
      </c>
      <c r="K27" t="inlineStr">
        <is>
          <t>Chrome Hearts Black Gothic Cross Sleeve Hoodie Unisex</t>
        </is>
      </c>
      <c r="L27" t="inlineStr">
        <is>
          <t>{"id":"resp_0b2748833986490b016a0ee96a391c81a28f893b88daac19e8","object":"chat.completion","created":1779362161,"model":"gpt-5.5","choices":[{"index":0,"message":{"role":"assistant","content":"Chrome Hearts black cotton hoodie with white gothic lettering, cross floral sleeve prints and ring logo, soft breathable unisex streetwear sweatshirt, vintage dark style."},"finish_reason":"stop"}],"usage":{"prompt_tokens":772,"completion_tokens":110,"total_tokens":882}}</t>
        </is>
      </c>
      <c r="M27" t="inlineStr">
        <is>
          <t>{"alt-svc":"h3=\":443\"; ma=2592000","connection":"close","content-length":"464","content-type":"application/json; charset=utf-8","date":"Thu, 21 May 2026 11:16:01 GMT","referrer-policy":"strict-origin-when-cross-origin","server":"nginx/1.24.0 (Ubuntu)","strict-transport-security":"max-age=31536000; includeSubDomains; preload","vary":"Accept-Encoding","via":"1.1 Caddy","x-content-type-options":"nosniff","x-frame-options":"DENY","x-new-api-version":"v1.0.0-rc.2","x-oneapi-request-id":"202605211115493576270408268d9d6PVNpOQHK","x-request-id":"39a061db-08dc-46b3-8366-0dbf7fac5e3c"}</t>
        </is>
      </c>
      <c r="N27" t="inlineStr">
        <is>
          <t>Chrome Hearts black cotton hoodie with white gothic lettering, cross floral sleeve prints and ring logo, soft breathable unisex streetwear sweatshirt, vintage dark style.</t>
        </is>
      </c>
      <c r="O27" t="inlineStr">
        <is>
          <t>{"id":"resp_014a68de3f44cbd4016a0eeda03dfc81a3811e7c016a06d7f7","object":"chat.completion","created":1779363237,"model":"gpt-5.5","choices":[{"index":0,"message":{"role":"assistant","content":"Chrome Hearts Sweatshirt kakobuy, Chrome Hearts Sweatshirt kakebuy2026, Chrome Hearts Sweatshirt kekobuysheet, Chrome Hearts Sweatshirt kakobuysheet2026, Chrome Hearts Sweatshirt 2026kakobuy, Chrome Hearts Sweatshirt kakobuyspreadsheeet, Chrome Hearts Sweatshirt kakobuylink, Chrome Hearts Sweatshirt kakebuylist, Chrome Hearts Sweatshirt Kakobuy MEGA Spreadsheet, Chrome Hearts Sweatshirt kakobuysheetfind, Chrome Hearts Sweatshirt kakobuysheetfind2026, Chrome Hearts Sweatshirt 2026kakobuysheetfind, Chrome Hearts Sweatshirt kakobuysheet2026"},"finish_reason":"stop"}],"usage":{"prompt_tokens":645,"completion_tokens":255,"total_tokens":900}}</t>
        </is>
      </c>
      <c r="P27" t="inlineStr">
        <is>
          <t>Chrome Hearts Sweatshirt kakobuy, Chrome Hearts Sweatshirt kakebuy2026, Chrome Hearts Sweatshirt kekobuysheet, Chrome Hearts Sweatshirt kakobuysheet2026, Chrome Hearts Sweatshirt 2026kakobuy, Chrome Hearts Sweatshirt kakobuyspreadsheeet, Chrome Hearts Sweatshirt kakobuylink, Chrome Hearts Sweatshirt kakebuylist, Chrome Hearts Sweatshirt Kakobuy MEGA Spreadsheet, Chrome Hearts Sweatshirt kakobuysheetfind, Chrome Hearts Sweatshirt kakobuysheetfind2026, Chrome Hearts Sweatshirt 2026kakobuysheetfind, Chrome Hearts Sweatshirt kakobuysheet2026</t>
        </is>
      </c>
      <c r="Q27" t="inlineStr">
        <is>
          <t>Black, Unisex, Streetwear, Vintage</t>
        </is>
      </c>
      <c r="R27" t="inlineStr">
        <is>
          <t>recvk9JhrpfqtE</t>
        </is>
      </c>
      <c r="S27" t="inlineStr">
        <is>
          <t>chrome-hearts-black-gothic-cross-sleeve-hoodie-recvk9jhrpfqte</t>
        </is>
      </c>
      <c r="T27"/>
      <c r="U27"/>
      <c r="V27"/>
      <c r="W27" t="inlineStr">
        <is>
          <t>{"id":"resp_0286e18e15a00090016a0ee76f747c81a2bfc38c06b334521a","object":"chat.completion","created":1779361657,"model":"gpt-5.5","choices":[{"index":0,"message":{"role":"assistant","content":"黑色Chrome Hearts连帽卫衣，甄选棉质面料，柔软舒适透气；正面与袖身点缀白色哥特字母及十字花图腾印花，标志性环形Logo加持，街头暗黑风设计，男女同款，复古潮流感十足。"},"finish_reason":"stop"}],"usage":{"prompt_tokens":1160,"completion_tokens":490,"total_tokens":1650}}</t>
        </is>
      </c>
      <c r="X27" t="inlineStr">
        <is>
          <t>黑色Chrome Hearts连帽卫衣，甄选棉质面料，柔软舒适透气；正面与袖身点缀白色哥特字母及十字花图腾印花，标志性环形Logo加持，街头暗黑风设计，男女同款，复古潮流感十足。</t>
        </is>
      </c>
    </row>
    <row r="28" ht="25.5" customHeight="1">
      <c r="A28">
        <v>1839115443</v>
      </c>
      <c r="B28">
        <v>7768596283</v>
      </c>
      <c r="C28" s="2" t="str">
        <f>=HYPERLINK("https://weidian.com/item.html?itemID=7768596283", "https://weidian.com/item.html?itemID=7768596283")</f>
        <v>https://weidian.com/item.html?itemID=7768596283</v>
      </c>
      <c r="D28"/>
      <c r="E28" s="2" t="str">
        <f>=HYPERLINK("https://si.geilicdn.com/open1839115443-252808396-31700000019e441ebfb20a8133b0_800_800.jpg?w=640&amp;h=640", "https://si.geilicdn.com/open1839115443-252808396-31700000019e441ebfb20a8133b0_800_800.jpg?w=640&amp;h=640")</f>
        <v>https://si.geilicdn.com/open1839115443-252808396-31700000019e441ebfb20a8133b0_800_800.jpg?w=640&amp;h=640</v>
      </c>
      <c r="F28" t="inlineStr">
        <is>
          <t>T-Shirts</t>
        </is>
      </c>
      <c r="G28" t="inlineStr">
        <is>
          <t>Chrome Hearts</t>
        </is>
      </c>
      <c r="H28">
        <v>81</v>
      </c>
      <c r="I28">
        <v>11.74</v>
      </c>
      <c r="J28" t="inlineStr">
        <is>
          <t>{"id":"resp_0e9af2f417bcb699016a0eea677f3081928b6b1050a030adb3","object":"chat.completion","created":1779362410,"model":"gpt-5.5","choices":[{"index":0,"message":{"role":"assistant","content":"Chrome Hearts White California Logo Cotton T-Shirt"},"finish_reason":"stop"}],"usage":{"prompt_tokens":729,"completion_tokens":119,"total_tokens":848}}</t>
        </is>
      </c>
      <c r="K28" t="inlineStr">
        <is>
          <t>Chrome Hearts White California Logo Cotton T-Shirt</t>
        </is>
      </c>
      <c r="L28" t="inlineStr">
        <is>
          <t>{"id":"resp_0fdd73ac8f5a755e016a0ee98f0f0881a38f8e352296dafcd8","object":"chat.completion","created":1779362194,"model":"gpt-5.5","choices":[{"index":0,"message":{"role":"assistant","content":"Chrome Hearts white crew neck T-shirt, soft breathable cotton, California logo chest print, unisex 90s vintage streetwear tee, casual short sleeve top."},"finish_reason":"stop"}],"usage":{"prompt_tokens":751,"completion_tokens":116,"total_tokens":867}}</t>
        </is>
      </c>
      <c r="M28" t="inlineStr">
        <is>
          <t>{"alt-svc":"h3=\":443\"; ma=2592000","connection":"close","content-length":"445","content-type":"application/json; charset=utf-8","date":"Thu, 21 May 2026 11:16:34 GMT","referrer-policy":"strict-origin-when-cross-origin","server":"Caddy","strict-transport-security":"max-age=31536000; includeSubDomains; preload","vary":"Accept-Encoding","x-content-type-options":"nosniff","x-frame-options":"DENY","x-new-api-version":"v1.0.0-rc.2","x-oneapi-request-id":"202605211116297659541708268d9d6RrdBkiOu","x-request-id":"e458eeb0-6f92-41ea-8e0a-1b6683c23f09"}</t>
        </is>
      </c>
      <c r="N28" t="inlineStr">
        <is>
          <t>Chrome Hearts white crew neck T-shirt, soft breathable cotton, California logo chest print, unisex 90s vintage streetwear tee, casual short sleeve top.</t>
        </is>
      </c>
      <c r="O28" t="inlineStr">
        <is>
          <t>{"id":"resp_0b1c20aefda90be5016a0eedb8c178819fb93953f5c298d2d4","object":"chat.completion","created":1779363262,"model":"gpt-5.5","choices":[{"index":0,"message":{"role":"assistant","content":"Chrome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kakobuysheet2026"},"finish_reason":"stop"}],"usage":{"prompt_tokens":644,"completion_tokens":255,"total_tokens":899}}</t>
        </is>
      </c>
      <c r="P28"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28" t="inlineStr">
        <is>
          <t>Unisex, Vintage, Streetwear, White</t>
        </is>
      </c>
      <c r="R28" t="inlineStr">
        <is>
          <t>recvk9JhrpBt0M</t>
        </is>
      </c>
      <c r="S28" t="inlineStr">
        <is>
          <t>chrome-hearts-white-california-logo-cotton-tshirt-recvk9jhrpbt0m</t>
        </is>
      </c>
      <c r="T28"/>
      <c r="U28"/>
      <c r="V28"/>
      <c r="W28" t="inlineStr">
        <is>
          <t>{"id":"resp_03aebbbd19d0e148016a0ee6733bd0819e93608b25e0345ff7","object":"chat.completion","created":1779361405,"model":"gpt-5.5","choices":[{"index":0,"message":{"role":"assistant","content":"Chrome Hearts：白色圆领短袖T恤，棉质亲肤透气，胸前California Logo图腾印花，简约街头复古风，男女同款，90年代潮流设计，百搭休闲上衣。"},"finish_reason":"stop"}],"usage":{"prompt_tokens":1161,"completion_tokens":510,"total_tokens":1671}}</t>
        </is>
      </c>
      <c r="X28" t="inlineStr">
        <is>
          <t>Chrome Hearts：白色圆领短袖T恤，棉质亲肤透气，胸前California Logo图腾印花，简约街头复古风，男女同款，90年代潮流设计，百搭休闲上衣。</t>
        </is>
      </c>
    </row>
    <row r="29" ht="25.5" customHeight="1">
      <c r="A29">
        <v>1839115443</v>
      </c>
      <c r="B29">
        <v>7768693857</v>
      </c>
      <c r="C29" s="2" t="str">
        <f>=HYPERLINK("https://weidian.com/item.html?itemID=7768693857", "https://weidian.com/item.html?itemID=7768693857")</f>
        <v>https://weidian.com/item.html?itemID=7768693857</v>
      </c>
      <c r="D29"/>
      <c r="E29" s="2" t="str">
        <f>=HYPERLINK("https://si.geilicdn.com/open1839115443-252808396-4bcc0000019e441fc2f60aa08269_1000_1000.jpg?w=750&amp;h=750&amp;cp=1", "https://si.geilicdn.com/open1839115443-252808396-4bcc0000019e441fc2f60aa08269_1000_1000.jpg?w=750&amp;h=750&amp;cp=1")</f>
        <v>https://si.geilicdn.com/open1839115443-252808396-4bcc0000019e441fc2f60aa08269_1000_1000.jpg?w=750&amp;h=750&amp;cp=1</v>
      </c>
      <c r="F29" t="inlineStr">
        <is>
          <t>Other</t>
        </is>
      </c>
      <c r="G29" t="inlineStr">
        <is>
          <t>Darc Sport</t>
        </is>
      </c>
      <c r="H29">
        <v>91</v>
      </c>
      <c r="I29">
        <v>13.19</v>
      </c>
      <c r="J29" t="inlineStr">
        <is>
          <t>{"id":"resp_0dfd6a900ef65276016a0eea8c971c8192b9a66e73834e5dd2","object":"chat.completion","created":1779362448,"model":"gpt-5.5","choices":[{"index":0,"message":{"role":"assistant","content":"Darc Sport Batman Red Mask Black Cotton T-Shirt"},"finish_reason":"stop"}],"usage":{"prompt_tokens":929,"completion_tokens":134,"total_tokens":1063}}</t>
        </is>
      </c>
      <c r="K29" t="inlineStr">
        <is>
          <t>Darc Sport Batman Red Mask Black Cotton T-Shirt</t>
        </is>
      </c>
      <c r="L29" t="inlineStr">
        <is>
          <t>{"id":"resp_079e0c157cace91d016a0ee8668ddc819e93210b3cd6e0f350","object":"chat.completion","created":1779361898,"model":"gpt-5.5","choices":[{"index":0,"message":{"role":"assistant","content":"Darc Sport Batman Collab Black Cotton Tee, Red Mask Graphic, Wolves Forever Print, Unisex Streetwear Short Sleeve T-Shirt"},"finish_reason":"stop"}],"usage":{"prompt_tokens":960,"completion_tokens":158,"total_tokens":1118}}</t>
        </is>
      </c>
      <c r="M29" t="inlineStr">
        <is>
          <t>{"alt-svc":"h3=\":443\"; ma=2592000","connection":"close","content-length":"416","content-type":"application/json; charset=utf-8","date":"Thu, 21 May 2026 11:11:38 GMT","referrer-policy":"strict-origin-when-cross-origin","server":"nginx/1.24.0 (Ubuntu)","strict-transport-security":"max-age=31536000; includeSubDomains; preload","vary":"Accept-Encoding","via":"1.1 Caddy","x-content-type-options":"nosniff","x-frame-options":"DENY","x-new-api-version":"v1.0.0-rc.2","x-oneapi-request-id":"20260521111134804605838268d9d6v0qdgyiH","x-request-id":"99d16946-4784-4af5-9e10-70cecfa2f9e9"}</t>
        </is>
      </c>
      <c r="N29" t="inlineStr">
        <is>
          <t>Darc Sport Batman Collab Black Cotton Tee, Red Mask Graphic, Wolves Forever Print, Unisex Streetwear Short Sleeve T-Shirt</t>
        </is>
      </c>
      <c r="O29" t="inlineStr">
        <is>
          <t>{"id":"resp_081ef02599f66a07016a0eeeb8685c819d8a6d07c935027574","object":"chat.completion","created":1779363522,"model":"gpt-5.5","choices":[{"index":0,"message":{"role":"assistant","content":"Darc Sport T Shirt kakobuy, Darc Sport T Shirt kakebuy2026, Darc Sport T Shirt kekobuysheet, Darc Sport T Shirt kakobuysheet2026, Darc Sport T Shirt 2026kakobuy, Darc Sport T Shirt kakobuyspreadsheeet, Darc Sport T Shirt kakobuylink, Darc Sport T Shirt kakebuylist, Darc Sport T Shirt Kakobuy MEGA Spreadsheet, Darc Sport T Shirt kakobuysheetfind, Darc Sport T Shirt kakobuysheetfind2026, Darc Sport T Shirt 2026kakobuysheetfind, Darc Sport T Shirt kakobuysheet2026"},"finish_reason":"stop"}],"usage":{"prompt_tokens":855,"completion_tokens":497,"total_tokens":1352}}</t>
        </is>
      </c>
      <c r="P29" t="inlineStr">
        <is>
          <t>Darc Sport T Shirt kakobuy, Darc Sport T Shirt kakebuy2026, Darc Sport T Shirt kekobuysheet, Darc Sport T Shirt kakobuysheet2026, Darc Sport T Shirt 2026kakobuy, Darc Sport T Shirt kakobuyspreadsheeet, Darc Sport T Shirt kakobuylink, Darc Sport T Shirt kakebuylist, Darc Sport T Shirt Kakobuy MEGA Spreadsheet, Darc Sport T Shirt kakobuysheetfind, Darc Sport T Shirt kakobuysheetfind2026, Darc Sport T Shirt 2026kakobuysheetfind, Darc Sport T Shirt kakobuysheet2026</t>
        </is>
      </c>
      <c r="Q29" t="inlineStr">
        <is>
          <t>Unisex, Streetwear, Black, Red</t>
        </is>
      </c>
      <c r="R29" t="inlineStr">
        <is>
          <t>recvk9JhrpHkoc</t>
        </is>
      </c>
      <c r="S29" t="inlineStr">
        <is>
          <t>darc-sport-batman-red-mask-black-cotton-tshirt-recvk9jhrphkoc</t>
        </is>
      </c>
      <c r="T29"/>
      <c r="U29"/>
      <c r="V29"/>
      <c r="W29" t="inlineStr">
        <is>
          <t>{"id":"resp_00a7308b1aab9d02016a0ee7aece74819cbf2e814766a4150b","object":"chat.completion","created":1779361714,"model":"gpt-5.5","choices":[{"index":0,"message":{"role":"assistant","content":"蝙蝠侠联名黑色短袖T恤，Darc Sport红色面具图腾与Wolves Forever字样，纯棉休闲街头风男女同款潮牌上衣"},"finish_reason":"stop"}],"usage":{"prompt_tokens":1385,"completion_tokens":153,"total_tokens":1538}}</t>
        </is>
      </c>
      <c r="X29" t="inlineStr">
        <is>
          <t>蝙蝠侠联名黑色短袖T恤，Darc Sport红色面具图腾与Wolves Forever字样，纯棉休闲街头风男女同款潮牌上衣</t>
        </is>
      </c>
    </row>
    <row r="30" ht="25.5" customHeight="1">
      <c r="A30">
        <v>1839115443</v>
      </c>
      <c r="B30">
        <v>7768624961</v>
      </c>
      <c r="C30" s="2" t="str">
        <f>=HYPERLINK("https://weidian.com/item.html?itemID=7768624961", "https://weidian.com/item.html?itemID=7768624961")</f>
        <v>https://weidian.com/item.html?itemID=7768624961</v>
      </c>
      <c r="D30"/>
      <c r="E30" s="2" t="str">
        <f>=HYPERLINK("https://si.geilicdn.com/open1839115443-252808396-49c80000019e441f116e0aa08269_800_800.jpg?w=640&amp;h=640", "https://si.geilicdn.com/open1839115443-252808396-49c80000019e441f116e0aa08269_800_800.jpg?w=640&amp;h=640")</f>
        <v>https://si.geilicdn.com/open1839115443-252808396-49c80000019e441f116e0aa08269_800_800.jpg?w=640&amp;h=640</v>
      </c>
      <c r="F30" t="inlineStr">
        <is>
          <t>Sweatshirt</t>
        </is>
      </c>
      <c r="G30" t="inlineStr">
        <is>
          <t>Other</t>
        </is>
      </c>
      <c r="H30">
        <v>163</v>
      </c>
      <c r="I30">
        <v>23.62</v>
      </c>
      <c r="J30" t="inlineStr">
        <is>
          <t>{"id":"resp_08fffd27aa34fbd3016a0eea38c4c4819e94e88d0e9ba60650","object":"chat.completion","created":1779362368,"model":"gpt-5.5","choices":[{"index":0,"message":{"role":"assistant","content":"F426 Black Letter Print Zip Hoodie, Fleece Jacket"},"finish_reason":"stop"}],"usage":{"prompt_tokens":730,"completion_tokens":377,"total_tokens":1107}}</t>
        </is>
      </c>
      <c r="K30" t="inlineStr">
        <is>
          <t>F426 Black Letter Print Zip Hoodie, Fleece Jacket</t>
        </is>
      </c>
      <c r="L30" t="inlineStr">
        <is>
          <t>{"id":"resp_00d25c7c18049319016a0ee8b8dba481a18302c6db0b32080a","object":"chat.completion","created":1779361980,"model":"gpt-5.5","choices":[{"index":0,"message":{"role":"assistant","content":"SweatshirtOther Black F426 letter print zip up hoodie, soft fleece cotton blend, drawstring hood, kangaroo pocket, unisex streetwear casual jacket"},"finish_reason":"stop"}],"usage":{"prompt_tokens":741,"completion_tokens":129,"total_tokens":870}}</t>
        </is>
      </c>
      <c r="M30" t="inlineStr">
        <is>
          <t>{"alt-svc":"h3=\":443\"; ma=2592000","connection":"close","content-length":"440","content-type":"application/json; charset=utf-8","date":"Thu, 21 May 2026 11:13:00 GMT","referrer-policy":"strict-origin-when-cross-origin","server":"nginx/1.24.0 (Ubuntu)","strict-transport-security":"max-age=31536000; includeSubDomains; preload","vary":"Accept-Encoding","via":"1.1 Caddy","x-content-type-options":"nosniff","x-frame-options":"DENY","x-new-api-version":"v1.0.0-rc.2","x-oneapi-request-id":"202605211112564182327498268d9d6rV8ur9qg","x-request-id":"9cc6011d-d9e1-4a6c-8610-4087c226d780"}</t>
        </is>
      </c>
      <c r="N30" t="inlineStr">
        <is>
          <t>SweatshirtOther Black F426 letter print zip up hoodie, soft fleece cotton blend, drawstring hood, kangaroo pocket, unisex streetwear casual jacket</t>
        </is>
      </c>
      <c r="O30" t="inlineStr">
        <is>
          <t>{"id":"resp_028f68e5d469e474016a0eed5f823c81a0a6e50d52f6148037","object":"chat.completion","created":1779363177,"model":"gpt-5.5","choices":[{"index":0,"message":{"role":"assistant","content":"Other Sweatshirt kakobuy, Other Sweatshirt kakebuy2026, Other Sweatshirt kekobuysheet, Other Sweatshirt kakobuysheet2026, Other Sweatshirt 2026kakobuy, Other Sweatshirt kakobuyspreadsheeet, Other Sweatshirt kakobuylink, Other Sweatshirt kakebuylist, Other Sweatshirt Kakobuy MEGA Spreadsheet, Other Sweatshirt kakobuysheetfind, Other Sweatshirt kakobuysheetfind2026, Other Sweatshirt 2026kakobuysheetfind, Other Sweatshirt kakobuysheet2026"},"finish_reason":"stop"}],"usage":{"prompt_tokens":644,"completion_tokens":498,"total_tokens":1142}}</t>
        </is>
      </c>
      <c r="P30" t="inlineStr">
        <is>
          <t>Other Sweatshirt kakobuy, Other Sweatshirt kakebuy2026, Other Sweatshirt kekobuysheet, Other Sweatshirt kakobuysheet2026, Other Sweatshirt 2026kakobuy, Other Sweatshirt kakobuyspreadsheeet, Other Sweatshirt kakobuylink, Other Sweatshirt kakebuylist, Other Sweatshirt Kakobuy MEGA Spreadsheet, Other Sweatshirt kakobuysheetfind, Other Sweatshirt kakobuysheetfind2026, Other Sweatshirt 2026kakobuysheetfind, Other Sweatshirt kakobuysheet2026</t>
        </is>
      </c>
      <c r="Q30" t="inlineStr">
        <is>
          <t>Black, Unisex, Streetwear, Fleece-Lined</t>
        </is>
      </c>
      <c r="R30" t="inlineStr">
        <is>
          <t>recvk9JhrpOPyp</t>
        </is>
      </c>
      <c r="S30" t="inlineStr">
        <is>
          <t>f426-black-letter-print-zip-hoodie-fleece-jacket-recvk9jhrpopyp</t>
        </is>
      </c>
      <c r="T30"/>
      <c r="U30"/>
      <c r="V30"/>
      <c r="W30" t="inlineStr">
        <is>
          <t>{"id":"resp_070bbe0ba7783caf016a0ee6dccc0c81a393ee62fc0094b7d5","object":"chat.completion","created":1779361503,"model":"gpt-5.5","choices":[{"index":0,"message":{"role":"assistant","content":"黑色F426字母印花拉链连帽卫衣，柔软加绒棉混纺，袋鼠兜抽绳设计，街头休闲男女同款外套"},"finish_reason":"stop"}],"usage":{"prompt_tokens":1160,"completion_tokens":114,"total_tokens":1274}}</t>
        </is>
      </c>
      <c r="X30" t="inlineStr">
        <is>
          <t>黑色F426字母印花拉链连帽卫衣，柔软加绒棉混纺，袋鼠兜抽绳设计，街头休闲男女同款外套</t>
        </is>
      </c>
    </row>
    <row r="31" ht="25.5" customHeight="1">
      <c r="A31">
        <v>1839115443</v>
      </c>
      <c r="B31">
        <v>7771622000</v>
      </c>
      <c r="C31" s="2" t="str">
        <f>=HYPERLINK("https://weidian.com/item.html?itemID=7771622000", "https://weidian.com/item.html?itemID=7771622000")</f>
        <v>https://weidian.com/item.html?itemID=7771622000</v>
      </c>
      <c r="D31"/>
      <c r="E31" s="2" t="str">
        <f>=HYPERLINK("https://si.geilicdn.com/open1839115443-252808396-34ac0000019e441823670a22d249_1080_1080.jpg?w=750&amp;h=750&amp;cp=1", "https://si.geilicdn.com/open1839115443-252808396-34ac0000019e441823670a22d249_1080_1080.jpg?w=750&amp;h=750&amp;cp=1")</f>
        <v>https://si.geilicdn.com/open1839115443-252808396-34ac0000019e441823670a22d249_1080_1080.jpg?w=750&amp;h=750&amp;cp=1</v>
      </c>
      <c r="F31" t="inlineStr">
        <is>
          <t>T-Shirts</t>
        </is>
      </c>
      <c r="G31" t="inlineStr">
        <is>
          <t>Acne Studios</t>
        </is>
      </c>
      <c r="H31">
        <v>90</v>
      </c>
      <c r="I31">
        <v>13.04</v>
      </c>
      <c r="J31" t="inlineStr">
        <is>
          <t>{"id":"resp_0cb954ddd637fd5e016a0eebd91538819e8c7c3b30d207e080","object":"chat.completion","created":1779362787,"model":"gpt-5.5","choices":[{"index":0,"message":{"role":"assistant","content":"Acne Studios Black Cotton Crew Neck STOCKHOLM 1996 Tee"},"finish_reason":"stop"}],"usage":{"prompt_tokens":945,"completion_tokens":536,"total_tokens":1481}}</t>
        </is>
      </c>
      <c r="K31" t="inlineStr">
        <is>
          <t>Acne Studios Black Cotton Crew Neck STOCKHOLM 1996 Tee</t>
        </is>
      </c>
      <c r="L31" t="inlineStr">
        <is>
          <t>{"id":"resp_0025dc2defcf73d8016a0ee8c8c83c81a185f859535cd8aed9","object":"chat.completion","created":1779361995,"model":"gpt-5.5","choices":[{"index":0,"message":{"role":"assistant","content":"Acne Studios black crew neck T-shirt, pure cotton short sleeve with STOCKHOLM 1996 print, unisex minimalist Nordic streetwear, casual spring summer tee."},"finish_reason":"stop"}],"usage":{"prompt_tokens":970,"completion_tokens":118,"total_tokens":1088}}</t>
        </is>
      </c>
      <c r="M31" t="inlineStr">
        <is>
          <t>{"alt-svc":"h3=\":443\"; ma=2592000","connection":"close","content-length":"447","content-type":"application/json; charset=utf-8","date":"Thu, 21 May 2026 11:13:15 GMT","referrer-policy":"strict-origin-when-cross-origin","server":"nginx/1.24.0 (Ubuntu)","strict-transport-security":"max-age=31536000; includeSubDomains; preload","vary":"Accept-Encoding","via":"1.1 Caddy","x-content-type-options":"nosniff","x-frame-options":"DENY","x-new-api-version":"v1.0.0-rc.2","x-oneapi-request-id":"202605211113123600477908268d9d6UecGnPxs","x-request-id":"6fe0b0ba-3867-4699-861c-f2e18c920b78"}</t>
        </is>
      </c>
      <c r="N31" t="inlineStr">
        <is>
          <t>Acne Studios black crew neck T-shirt, pure cotton short sleeve with STOCKHOLM 1996 print, unisex minimalist Nordic streetwear, casual spring summer tee.</t>
        </is>
      </c>
      <c r="O31" t="inlineStr">
        <is>
          <t>{"id":"resp_03f63298817e1581016a0eed63d180819c94057974220fb1cf","object":"chat.completion","created":1779363180,"model":"gpt-5.5","choices":[{"index":0,"message":{"role":"assistant","content":"Acne Studios, T-Shirts, kakobuy, Acne Studios, T-Shirts, kakebuy2026, Acne Studios, T-Shirts, kekobuysheet, Acne Studios, T-Shirts, kakobuysheet2026, Acne Studios, T-Shirts, 2026kakobuy, Acne Studios, T-Shirts, kakobuyspreadsheeet, Acne Studios, T-Shirts, kakobuylink, Acne Studios, T-Shirts, kakebuylist, Acne Studios, T-Shirts, Kakobuy MEGA Spreadsheet, Acne Studios, T-Shirts, kakobuysheetfind, Acne Studios, T-Shirts, kakobuysheetfind2026, Acne Studios, T-Shirts, 2026kakobuysheetfind, Acne Studios, T-Shirts, kakobuysheet2026"},"finish_reason":"stop"}],"usage":{"prompt_tokens":856,"completion_tokens":314,"total_tokens":1170}}</t>
        </is>
      </c>
      <c r="P31" t="inlineStr">
        <is>
          <t>Acne Studios, T-Shirts, kakobuy, Acne Studios, T-Shirts, kakebuy2026, Acne Studios, T-Shirts, kekobuysheet, Acne Studios, T-Shirts, kakobuysheet2026, Acne Studios, T-Shirts, 2026kakobuy, Acne Studios, T-Shirts, kakobuyspreadsheeet, Acne Studios, T-Shirts, kakobuylink, Acne Studios, T-Shirts, kakebuylist, Acne Studios, T-Shirts, Kakobuy MEGA Spreadsheet, Acne Studios, T-Shirts, kakobuysheetfind, Acne Studios, T-Shirts, kakobuysheetfind2026, Acne Studios, T-Shirts, 2026kakobuysheetfind, Acne Studios, T-Shirts, kakobuysheet2026</t>
        </is>
      </c>
      <c r="Q31" t="inlineStr">
        <is>
          <t>Black, Minimalist, Streetwear, Spring And Summer, Unisex</t>
        </is>
      </c>
      <c r="R31" t="inlineStr">
        <is>
          <t>recvk9JhrpiXCe</t>
        </is>
      </c>
      <c r="S31" t="inlineStr">
        <is>
          <t>acne-studios-black-cotton-crew-neck-stockholm-1996-tee-recvk9jhrpixce</t>
        </is>
      </c>
      <c r="T31"/>
      <c r="U31"/>
      <c r="V31"/>
      <c r="W31" t="inlineStr">
        <is>
          <t>{"id":"resp_0f3ad49bac0a0ebf016a0ee78fc86c819e8b4b8b506dfa85ed","object":"chat.completion","created":1779361693,"model":"gpt-5.5","choices":[{"index":0,"message":{"role":"assistant","content":"瑞典Acne Studios黑色圆领短袖T恤，纯棉面料，胸前STOCKHOLM 1996字样印花，极简北欧街头风，男女同款，春夏休闲百搭T恤。"},"finish_reason":"stop"}],"usage":{"prompt_tokens":1384,"completion_tokens":579,"total_tokens":1963}}</t>
        </is>
      </c>
      <c r="X31" t="inlineStr">
        <is>
          <t>瑞典Acne Studios黑色圆领短袖T恤，纯棉面料，胸前STOCKHOLM 1996字样印花，极简北欧街头风，男女同款，春夏休闲百搭T恤。</t>
        </is>
      </c>
    </row>
    <row r="32" ht="25.5" customHeight="1">
      <c r="A32">
        <v>1839115443</v>
      </c>
      <c r="B32">
        <v>7771551216</v>
      </c>
      <c r="C32" s="2" t="str">
        <f>=HYPERLINK("https://weidian.com/item.html?itemID=7771551216", "https://weidian.com/item.html?itemID=7771551216")</f>
        <v>https://weidian.com/item.html?itemID=7771551216</v>
      </c>
      <c r="D32"/>
      <c r="E32" s="2" t="str">
        <f>=HYPERLINK("https://si.geilicdn.com/open1839115443-252808396-0dcb0000019e441874530a8133b0_1920_1920.jpg?w=750&amp;h=750&amp;cp=1", "https://si.geilicdn.com/open1839115443-252808396-0dcb0000019e441874530a8133b0_1920_1920.jpg?w=750&amp;h=750&amp;cp=1")</f>
        <v>https://si.geilicdn.com/open1839115443-252808396-0dcb0000019e441874530a8133b0_1920_1920.jpg?w=750&amp;h=750&amp;cp=1</v>
      </c>
      <c r="F32" t="inlineStr">
        <is>
          <t>T-Shirts</t>
        </is>
      </c>
      <c r="G32" t="inlineStr">
        <is>
          <t>Amiri</t>
        </is>
      </c>
      <c r="H32">
        <v>87</v>
      </c>
      <c r="I32">
        <v>12.61</v>
      </c>
      <c r="J32" t="inlineStr">
        <is>
          <t>{"id":"resp_094dbd0a73afbbff016a0eebad5d3c8191a60755695464a311","object":"chat.completion","created":1779362736,"model":"gpt-5.5","choices":[{"index":0,"message":{"role":"assistant","content":"Amiri Black Rainbow Drip Logo Cotton Crew Neck T-Shirt"},"finish_reason":"stop"}],"usage":{"prompt_tokens":923,"completion_tokens":147,"total_tokens":1070}}</t>
        </is>
      </c>
      <c r="K32" t="inlineStr">
        <is>
          <t>Amiri Black Rainbow Drip Logo Cotton Crew Neck T-Shirt</t>
        </is>
      </c>
      <c r="L32" t="inlineStr">
        <is>
          <t>{"id":"resp_0845fbad147b71af016a0ee87244a4819d8e8a8c10d1db874d","object":"chat.completion","created":1779361913,"model":"gpt-5.5","choices":[{"index":0,"message":{"role":"assistant","content":"Amiri Black Rainbow Drip Logo Cotton T-Shirt, Crew Neck, Unisex Streetwear Tee, Casual Short Sleeve"},"finish_reason":"stop"}],"usage":{"prompt_tokens":958,"completion_tokens":361,"total_tokens":1319}}</t>
        </is>
      </c>
      <c r="M32" t="inlineStr">
        <is>
          <t>{"alt-svc":"h3=\":443\"; ma=2592000","connection":"close","content-length":"394","content-type":"application/json; charset=utf-8","date":"Thu, 21 May 2026 11:11:53 GMT","referrer-policy":"strict-origin-when-cross-origin","server":"nginx/1.24.0 (Ubuntu)","strict-transport-security":"max-age=31536000; includeSubDomains; preload","vary":"Accept-Encoding","via":"1.1 Caddy","x-content-type-options":"nosniff","x-frame-options":"DENY","x-new-api-version":"v1.0.0-rc.2","x-oneapi-request-id":"202605211111458404292008268d9d6kNlVLxC1","x-request-id":"112d32fc-9d95-41be-85cf-8740ae1e77f3"}</t>
        </is>
      </c>
      <c r="N32" t="inlineStr">
        <is>
          <t>Amiri Black Rainbow Drip Logo Cotton T-Shirt, Crew Neck, Unisex Streetwear Tee, Casual Short Sleeve</t>
        </is>
      </c>
      <c r="O32" t="inlineStr">
        <is>
          <t>{"id":"resp_059d7df437163ed8016a0eee3270c081a083e7ca21617982e7","object":"chat.completion","created":1779363434,"model":"gpt-5.5","choices":[{"index":0,"message":{"role":"assistant","content":"Amiri T-Shirts kakobuy, Amiri T-Shirts kakebuy2026, Amiri T-Shirts kekobuysheet, Amiri T-Shirts kakobuysheet2026, Amiri T-Shirts 2026kakobuy, Amiri T-Shirts kakobuyspreadsheeet, Amiri T-Shirts kakobuylink, Amiri T-Shirts kakebuylist, Amiri T-Shirts Kakobuy MEGA Spreadsheet, Amiri T-Shirts kakobuysheetfind, Amiri T-Shirts kakobuysheetfind2026, Amiri T-Shirts 2026kakobuysheetfind, Amiri T-Shirts kakobuysheet2026"},"finish_reason":"stop"}],"usage":{"prompt_tokens":855,"completion_tokens":313,"total_tokens":1168}}</t>
        </is>
      </c>
      <c r="P32" t="inlineStr">
        <is>
          <t>Amiri T-Shirts kakobuy, Amiri T-Shirts kakebuy2026, Amiri T-Shirts kekobuysheet, Amiri T-Shirts kakobuysheet2026, Amiri T-Shirts 2026kakobuy, Amiri T-Shirts kakobuyspreadsheeet, Amiri T-Shirts kakobuylink, Amiri T-Shirts kakebuylist, Amiri T-Shirts Kakobuy MEGA Spreadsheet, Amiri T-Shirts kakobuysheetfind, Amiri T-Shirts kakobuysheetfind2026, Amiri T-Shirts 2026kakobuysheetfind, Amiri T-Shirts kakobuysheet2026</t>
        </is>
      </c>
      <c r="Q32" t="inlineStr">
        <is>
          <t>AMIRI, Unisex, Streetwear, Summer</t>
        </is>
      </c>
      <c r="R32" t="inlineStr">
        <is>
          <t>recvk9JhrpNSXV</t>
        </is>
      </c>
      <c r="S32" t="inlineStr">
        <is>
          <t>amiri-black-rainbow-drip-logo-cotton-crew-neck-t-shirt-recvk9jhrpnsxv</t>
        </is>
      </c>
      <c r="T32"/>
      <c r="U32"/>
      <c r="V32"/>
      <c r="W32" t="inlineStr">
        <is>
          <t>{"id":"resp_06fe3844c0deb371016a0ee6690470819c9dd72e77a392a9e7","object":"chat.completion","created":1779361389,"model":"gpt-5.5","choices":[{"index":0,"message":{"role":"assistant","content":"美版 Amiri：黑色彩虹滴墨Logo印花纯棉短袖T恤，圆领休闲街头风，男女同款，Mike Amiri设计潮牌上衣"},"finish_reason":"stop"}],"usage":{"prompt_tokens":1386,"completion_tokens":173,"total_tokens":1559}}</t>
        </is>
      </c>
      <c r="X32" t="inlineStr">
        <is>
          <t>美版 Amiri：黑色彩虹滴墨Logo印花纯棉短袖T恤，圆领休闲街头风，男女同款，Mike Amiri设计潮牌上衣</t>
        </is>
      </c>
    </row>
    <row r="33" ht="25.5" customHeight="1">
      <c r="A33">
        <v>1839115443</v>
      </c>
      <c r="B33">
        <v>7771569110</v>
      </c>
      <c r="C33" s="2" t="str">
        <f>=HYPERLINK("https://weidian.com/item.html?itemID=7771569110", "https://weidian.com/item.html?itemID=7771569110")</f>
        <v>https://weidian.com/item.html?itemID=7771569110</v>
      </c>
      <c r="D33"/>
      <c r="E33" s="2" t="str">
        <f>=HYPERLINK("https://si.geilicdn.com/open1839115443-252808396-30b80000019e44197e100a23b4de_1200_1800.jpg?w=640&amp;h=640", "https://si.geilicdn.com/open1839115443-252808396-30b80000019e44197e100a23b4de_1200_1800.jpg?w=640&amp;h=640")</f>
        <v>https://si.geilicdn.com/open1839115443-252808396-30b80000019e44197e100a23b4de_1200_1800.jpg?w=640&amp;h=640</v>
      </c>
      <c r="F33" t="inlineStr">
        <is>
          <t>T-Shirts</t>
        </is>
      </c>
      <c r="G33" t="inlineStr">
        <is>
          <t>Youngla</t>
        </is>
      </c>
      <c r="H33">
        <v>80</v>
      </c>
      <c r="I33">
        <v>11.59</v>
      </c>
      <c r="J33" t="inlineStr">
        <is>
          <t>{"id":"resp_0369f8e7af2c68ad016a0eeb38fb2c81a19f6ec1e568df98fd","object":"chat.completion","created":1779362620,"model":"gpt-5.5","choices":[{"index":0,"message":{"role":"assistant","content":"YoungLA White Minimalist Logo Cotton Crew Neck T-Shirt"},"finish_reason":"stop"}],"usage":{"prompt_tokens":967,"completion_tokens":122,"total_tokens":1089}}</t>
        </is>
      </c>
      <c r="K33" t="inlineStr">
        <is>
          <t>YoungLA White Minimalist Logo Cotton Crew Neck T-Shirt</t>
        </is>
      </c>
      <c r="L33" t="inlineStr">
        <is>
          <t>{"id":"resp_07e077b0e4f7d11d016a0ee8d915ac81a1a355b7e2e6a0abf9","object":"chat.completion","created":1779362014,"model":"gpt-5.5","choices":[{"index":0,"message":{"role":"assistant","content":"YoungLA White Minimalist Logo Tee, soft cotton crew neck relaxed fit, unisex streetwear short sleeve T-shirt for daily wear, commute &amp; layering."},"finish_reason":"stop"}],"usage":{"prompt_tokens":1011,"completion_tokens":222,"total_tokens":1233}}</t>
        </is>
      </c>
      <c r="M33" t="inlineStr">
        <is>
          <t>{"alt-svc":"h3=\":443\"; ma=2592000","connection":"close","content-length":"445","content-type":"application/json; charset=utf-8","date":"Thu, 21 May 2026 11:13:34 GMT","referrer-policy":"strict-origin-when-cross-origin","server":"nginx/1.24.0 (Ubuntu)","strict-transport-security":"max-age=31536000; includeSubDomains; preload","vary":"Accept-Encoding","via":"1.1 Caddy","x-content-type-options":"nosniff","x-frame-options":"DENY","x-new-api-version":"v1.0.0-rc.2","x-oneapi-request-id":"202605211113285533662628268d9d6ToXL1Nrk","x-request-id":"1f9e583c-6443-4c3d-9027-633b90bc100f"}</t>
        </is>
      </c>
      <c r="N33" t="inlineStr">
        <is>
          <t>YoungLA White Minimalist Logo Tee, soft cotton crew neck relaxed fit, unisex streetwear short sleeve T-shirt for daily wear, commute &amp; layering.</t>
        </is>
      </c>
      <c r="O33" t="inlineStr">
        <is>
          <t>{"id":"resp_0a4af7d0732adeb2016a0eedf0123081a1ba6d295b262e0167","object":"chat.completion","created":1779363319,"model":"gpt-5.5","choices":[{"index":0,"message":{"role":"assistant","content":"Youngla,T-Shirts,kakobuy, Youngla,T-Shirts,kakebuy2026, Youngla,T-Shirts,kekobuysheet, Youngla,T-Shirts,kakobuysheet2026, Youngla,T-Shirts,2026kakobuy, Youngla,T-Shirts,kakobuyspreadsheeet, Youngla,T-Shirts,kakobuylink, Youngla,T-Shirts,kakebuylist, Youngla,T-Shirts,Kakobuy MEGA Spreadsheet, Youngla,T-Shirts,kakobuysheetfind, Youngla,T-Shirts,kakobuysheetfind2026, Youngla,T-Shirts,2026kakobuysheetfind, Youngla,T-Shirts,kakobuysheet2026"},"finish_reason":"stop"}],"usage":{"prompt_tokens":884,"completion_tokens":339,"total_tokens":1223}}</t>
        </is>
      </c>
      <c r="P33" t="inlineStr">
        <is>
          <t>Youngla,T-Shirts,kakobuy, Youngla,T-Shirts,kakebuy2026, Youngla,T-Shirts,kekobuysheet, Youngla,T-Shirts,kakobuysheet2026, Youngla,T-Shirts,2026kakobuy, Youngla,T-Shirts,kakobuyspreadsheeet, Youngla,T-Shirts,kakobuylink, Youngla,T-Shirts,kakebuylist, Youngla,T-Shirts,Kakobuy MEGA Spreadsheet, Youngla,T-Shirts,kakobuysheetfind, Youngla,T-Shirts,kakobuysheetfind2026, Youngla,T-Shirts,2026kakobuysheetfind, Youngla,T-Shirts,kakobuysheet2026</t>
        </is>
      </c>
      <c r="Q33" t="inlineStr">
        <is>
          <t>White, Minimalist, Streetwear, Unisex, Summer</t>
        </is>
      </c>
      <c r="R33" t="inlineStr">
        <is>
          <t>recvk9JhrpneQK</t>
        </is>
      </c>
      <c r="S33" t="inlineStr">
        <is>
          <t>youngla-white-minimalist-logo-cotton-crew-neck-t-shirt-recvk9jhrpneqk</t>
        </is>
      </c>
      <c r="T33"/>
      <c r="U33"/>
      <c r="V33"/>
      <c r="W33" t="inlineStr">
        <is>
          <t>{"id":"resp_0b07d39a1ff858cf016a0ee69fd11081a1a25a62d1b0ce7e41","object":"chat.completion","created":1779361450,"model":"gpt-5.5","choices":[{"index":0,"message":{"role":"assistant","content":"潮流Youngla：白色简约系列短袖T恤，甄选柔软棉质面料，胸前点缀极简Logo字样，圆领宽松版型，清爽百搭，街头休闲风，男女同款，适合日常通勤与运动叠穿。"},"finish_reason":"stop"}],"usage":{"prompt_tokens":1407,"completion_tokens":533,"total_tokens":1940}}</t>
        </is>
      </c>
      <c r="X33" t="inlineStr">
        <is>
          <t>潮流Youngla：白色简约系列短袖T恤，甄选柔软棉质面料，胸前点缀极简Logo字样，圆领宽松版型，清爽百搭，街头休闲风，男女同款，适合日常通勤与运动叠穿。</t>
        </is>
      </c>
    </row>
    <row r="34" ht="25.5" customHeight="1">
      <c r="A34">
        <v>1839115443</v>
      </c>
      <c r="B34">
        <v>7771561564</v>
      </c>
      <c r="C34" s="2" t="str">
        <f>=HYPERLINK("https://weidian.com/item.html?itemID=7771561564", "https://weidian.com/item.html?itemID=7771561564")</f>
        <v>https://weidian.com/item.html?itemID=7771561564</v>
      </c>
      <c r="D34"/>
      <c r="E34" s="2" t="str">
        <f>=HYPERLINK("https://si.geilicdn.com/open1839115443-252808396-3f7e0000019e441bd2fb0a23b491_1066_1066.jpg?w=750&amp;h=750&amp;cp=1", "https://si.geilicdn.com/open1839115443-252808396-3f7e0000019e441bd2fb0a23b491_1066_1066.jpg?w=750&amp;h=750&amp;cp=1")</f>
        <v>https://si.geilicdn.com/open1839115443-252808396-3f7e0000019e441bd2fb0a23b491_1066_1066.jpg?w=750&amp;h=750&amp;cp=1</v>
      </c>
      <c r="F34" t="inlineStr">
        <is>
          <t>T-Shirts</t>
        </is>
      </c>
      <c r="G34" t="inlineStr">
        <is>
          <t>Adidas</t>
        </is>
      </c>
      <c r="H34">
        <v>115</v>
      </c>
      <c r="I34">
        <v>16.67</v>
      </c>
      <c r="J34" t="inlineStr">
        <is>
          <t>{"id":"resp_0a8cadb8184625dd016a0eea39f7b4819dad513489775f563e","object":"chat.completion","created":1779362365,"model":"gpt-5.5","choices":[{"index":0,"message":{"role":"assistant","content":"Adidas Trefoil Navy Blue 3-Stripes Cotton T-Shirt"},"finish_reason":"stop"}],"usage":{"prompt_tokens":939,"completion_tokens":110,"total_tokens":1049}}</t>
        </is>
      </c>
      <c r="K34" t="inlineStr">
        <is>
          <t>Adidas Trefoil Navy Blue 3-Stripes Cotton T-Shirt</t>
        </is>
      </c>
      <c r="L34" t="inlineStr">
        <is>
          <t>{"id":"resp_0998810f9e60d0ca016a0ee994658881a1bf035fe08992f27c","object":"chat.completion","created":1779362204,"model":"gpt-5.5","choices":[{"index":0,"message":{"role":"assistant","content":"Adidas Trefoil Navy Blue Cotton Tee, white 3-Stripes shoulders, logo chest, unisex retro 90s streetwear, breathable casual top"},"finish_reason":"stop"}],"usage":{"prompt_tokens":982,"completion_tokens":397,"total_tokens":1379}}</t>
        </is>
      </c>
      <c r="M34" t="inlineStr">
        <is>
          <t>{"alt-svc":"h3=\":443\"; ma=2592000","connection":"close","content-length":"421","content-type":"application/json; charset=utf-8","date":"Thu, 21 May 2026 11:16:44 GMT","referrer-policy":"strict-origin-when-cross-origin","server":"nginx/1.24.0 (Ubuntu)","strict-transport-security":"max-age=31536000; includeSubDomains; preload","vary":"Accept-Encoding","via":"1.1 Caddy","x-content-type-options":"nosniff","x-frame-options":"DENY","x-new-api-version":"v1.0.0-rc.2","x-oneapi-request-id":"202605211116359583969948268d9d6jIGqohUs","x-request-id":"c1c98099-2cee-408d-8607-3d7dffaad5db"}</t>
        </is>
      </c>
      <c r="N34" t="inlineStr">
        <is>
          <t>Adidas Trefoil Navy Blue Cotton Tee, white 3-Stripes shoulders, logo chest, unisex retro 90s streetwear, breathable casual top</t>
        </is>
      </c>
      <c r="O34" t="inlineStr">
        <is>
          <t>{"id":"resp_071c988b25b08447016a0eee0901cc81a2bdf5a9f586565cdc","object":"chat.completion","created":1779363343,"model":"gpt-5.5","choices":[{"index":0,"message":{"role":"assistant","content":"Adidas, T-Shirts, kakobuy, kakebuy2026, kekobuysheet, kakobuysheet2026, 2026kakobuy, kakobuyspreadsheeet, kakobuylink, kakebuylist, Kakobuy MEGA Spreadsheet, kakobuysheetfind, kakobuysheetfind2026, 2026kakobuysheetfind, kakobuysheet2026"},"finish_reason":"stop"}],"usage":{"prompt_tokens":855,"completion_tokens":253,"total_tokens":1108}}</t>
        </is>
      </c>
      <c r="P34" t="inlineStr">
        <is>
          <t>Adidas, T-Shirts, kakobuy, kakebuy2026, kekobuysheet, kakobuysheet2026, 2026kakobuy, kakobuyspreadsheeet, kakobuylink, kakebuylist, Kakobuy MEGA Spreadsheet, kakobuysheetfind, kakobuysheetfind2026, 2026kakobuysheetfind, kakobuysheet2026</t>
        </is>
      </c>
      <c r="Q34" t="inlineStr">
        <is>
          <t>ADIDAS, Navy, White, Retro, Streetwear, Unisex</t>
        </is>
      </c>
      <c r="R34" t="inlineStr">
        <is>
          <t>recvk9JhrpzUmi</t>
        </is>
      </c>
      <c r="S34" t="inlineStr">
        <is>
          <t>adidas-trefoil-navy-3-stripes-cotton-tshirt-recvk9jhrpzumi</t>
        </is>
      </c>
      <c r="T34"/>
      <c r="U34"/>
      <c r="V34"/>
      <c r="W34" t="inlineStr">
        <is>
          <t>{"id":"resp_09b3705fa5a6958a016a0ee7c9357c819cb120df8b90cefc86","object":"chat.completion","created":1779361742,"model":"gpt-5.5","choices":[{"index":0,"message":{"role":"assistant","content":"Adidas: 三叶草海军蓝短袖T恤，纯棉面料透气舒适，白色肩部三条纹与胸前Logo点缀，简约复古运动风，男女同款休闲百搭上衣，经典90年代街头潮流设计。"},"finish_reason":"stop"}],"usage":{"prompt_tokens":1390,"completion_tokens":241,"total_tokens":1631}}</t>
        </is>
      </c>
      <c r="X34" t="inlineStr">
        <is>
          <t>Adidas: 三叶草海军蓝短袖T恤，纯棉面料透气舒适，白色肩部三条纹与胸前Logo点缀，简约复古运动风，男女同款休闲百搭上衣，经典90年代街头潮流设计。</t>
        </is>
      </c>
    </row>
    <row r="35" ht="25.5" customHeight="1">
      <c r="A35">
        <v>1839115443</v>
      </c>
      <c r="B35">
        <v>7771569484</v>
      </c>
      <c r="C35" s="2" t="str">
        <f>=HYPERLINK("https://weidian.com/item.html?itemID=7771569484", "https://weidian.com/item.html?itemID=7771569484")</f>
        <v>https://weidian.com/item.html?itemID=7771569484</v>
      </c>
      <c r="D35"/>
      <c r="E35" s="2" t="str">
        <f>=HYPERLINK("https://si.geilicdn.com/open1839115443-252808396-3be00000019e441bf7800aa08239_750_1000.jpg?w=640&amp;h=640", "https://si.geilicdn.com/open1839115443-252808396-3be00000019e441bf7800aa08239_750_1000.jpg?w=640&amp;h=640")</f>
        <v>https://si.geilicdn.com/open1839115443-252808396-3be00000019e441bf7800aa08239_750_1000.jpg?w=640&amp;h=640</v>
      </c>
      <c r="F35" t="inlineStr">
        <is>
          <t>T-Shirts</t>
        </is>
      </c>
      <c r="G35" t="inlineStr">
        <is>
          <t>Other</t>
        </is>
      </c>
      <c r="H35">
        <v>77</v>
      </c>
      <c r="I35">
        <v>11.16</v>
      </c>
      <c r="J35" t="inlineStr">
        <is>
          <t>{"id":"resp_050b2dabaa3e12e5016a0eea8f772c819e81a528371976c079","object":"chat.completion","created":1779362457,"model":"gpt-5.5","choices":[{"index":0,"message":{"role":"assistant","content":"Vintage Black Oversized Cassette Print Unisex Tee"},"finish_reason":"stop"}],"usage":{"prompt_tokens":890,"completion_tokens":504,"total_tokens":1394}}</t>
        </is>
      </c>
      <c r="K35" t="inlineStr">
        <is>
          <t>Vintage Black Oversized Cassette Print Unisex Tee</t>
        </is>
      </c>
      <c r="L35" t="inlineStr">
        <is>
          <t>{"id":"resp_026383585809c001016a0ee8634f0c819e82ffdf5657de9d94","object":"chat.completion","created":1779361894,"model":"gpt-5.5","choices":[{"index":0,"message":{"role":"assistant","content":"T-ShirtsOther vintage black cotton T-shirt, soft oversized drop-shoulder fit with stacked cassette tape print, unisex streetwear casual tee."},"finish_reason":"stop"}],"usage":{"prompt_tokens":914,"completion_tokens":126,"total_tokens":1040}}</t>
        </is>
      </c>
      <c r="M35" t="inlineStr">
        <is>
          <t>{"alt-svc":"h3=\":443\"; ma=2592000","connection":"close","content-length":"435","content-type":"application/json; charset=utf-8","date":"Thu, 21 May 2026 11:11:34 GMT","referrer-policy":"strict-origin-when-cross-origin","server":"nginx/1.24.0 (Ubuntu)","strict-transport-security":"max-age=31536000; includeSubDomains; preload","vary":"Accept-Encoding","via":"1.1 Caddy","x-content-type-options":"nosniff","x-frame-options":"DENY","x-new-api-version":"v1.0.0-rc.2","x-oneapi-request-id":"202605211111307739435908268d9d6fK0vTWUe","x-request-id":"9c0beedc-822c-4d83-9754-bc98c8507b4f"}</t>
        </is>
      </c>
      <c r="N35" t="inlineStr">
        <is>
          <t>T-ShirtsOther vintage black cotton T-shirt, soft oversized drop-shoulder fit with stacked cassette tape print, unisex streetwear casual tee.</t>
        </is>
      </c>
      <c r="O35" t="inlineStr">
        <is>
          <t>{"id":"resp_0f216f2209270f9d016a0eed6b826081a0b9d68b4e5ae5c027","object":"chat.completion","created":1779363187,"model":"gpt-5.5","choices":[{"index":0,"message":{"role":"assistant","content":"Other, T-Shirts, kakobuy, kakebuy2026, kekobuysheet, kakobuysheet2026, 2026kakobuy, kakobuyspreadsheeet, kakobuylink, kakebuylist, Kakobuy MEGA Spreadsheet, kakobuysheetfind, kakobuysheetfind2026, 2026kakobuysheetfind"},"finish_reason":"stop"}],"usage":{"prompt_tokens":811,"completion_tokens":344,"total_tokens":1155}}</t>
        </is>
      </c>
      <c r="P35" t="inlineStr">
        <is>
          <t>Other, T-Shirts, kakobuy, kakebuy2026, kekobuysheet, kakobuysheet2026, 2026kakobuy, kakobuyspreadsheeet, kakobuylink, kakebuylist, Kakobuy MEGA Spreadsheet, kakobuysheetfind, kakobuysheetfind2026, 2026kakobuysheetfind</t>
        </is>
      </c>
      <c r="Q35" t="inlineStr">
        <is>
          <t>Black, Streetwear, Unisex, Vintage</t>
        </is>
      </c>
      <c r="R35" t="inlineStr">
        <is>
          <t>recvk9Jhrputf1</t>
        </is>
      </c>
      <c r="S35" t="inlineStr">
        <is>
          <t>vintage-black-oversized-cassette-print-unisex-tee-recvk9jhrputf1</t>
        </is>
      </c>
      <c r="T35"/>
      <c r="U35"/>
      <c r="V35"/>
      <c r="W35" t="inlineStr">
        <is>
          <t>{"id":"resp_06638ec1cc938263016a0ee6844914819faa1c94ade73df57d","object":"chat.completion","created":1779361414,"model":"gpt-5.5","choices":[{"index":0,"message":{"role":"assistant","content":"复古黑色短袖T恤，柔软棉质面料，宽松落肩版型，胸前磁带堆叠印花图案，男女同款街头休闲潮牌风上衣"},"finish_reason":"stop"}],"usage":{"prompt_tokens":1327,"completion_tokens":95,"total_tokens":1422}}</t>
        </is>
      </c>
      <c r="X35" t="inlineStr">
        <is>
          <t>复古黑色短袖T恤，柔软棉质面料，宽松落肩版型，胸前磁带堆叠印花图案，男女同款街头休闲潮牌风上衣</t>
        </is>
      </c>
    </row>
    <row r="36" ht="25.5" customHeight="1">
      <c r="A36">
        <v>1839115443</v>
      </c>
      <c r="B36">
        <v>7771609218</v>
      </c>
      <c r="C36" s="2" t="str">
        <f>=HYPERLINK("https://weidian.com/item.html?itemID=7771609218", "https://weidian.com/item.html?itemID=7771609218")</f>
        <v>https://weidian.com/item.html?itemID=7771609218</v>
      </c>
      <c r="D36"/>
      <c r="E36" s="2" t="str">
        <f>=HYPERLINK("https://si.geilicdn.com/open1839115443-252808396-5af30000019e442315780a23b4de_1440_1440.jpg?w=640&amp;h=640", "https://si.geilicdn.com/open1839115443-252808396-5af30000019e442315780a23b4de_1440_1440.jpg?w=640&amp;h=640")</f>
        <v>https://si.geilicdn.com/open1839115443-252808396-5af30000019e442315780a23b4de_1440_1440.jpg?w=640&amp;h=640</v>
      </c>
      <c r="F36" t="inlineStr">
        <is>
          <t>T-Shirts</t>
        </is>
      </c>
      <c r="G36" t="inlineStr">
        <is>
          <t>Balenciaga</t>
        </is>
      </c>
      <c r="H36">
        <v>95</v>
      </c>
      <c r="I36">
        <v>13.77</v>
      </c>
      <c r="J36" t="inlineStr">
        <is>
          <t>{"id":"resp_0c89559f49666a4d016a0eea132f7c819f91bcb7cf85db04d9","object":"chat.completion","created":1779362326,"model":"gpt-5.5","choices":[{"index":0,"message":{"role":"assistant","content":"Balenciaga Blue Drip Logo White Cotton Oversized Tee"},"finish_reason":"stop"}],"usage":{"prompt_tokens":719,"completion_tokens":163,"total_tokens":882}}</t>
        </is>
      </c>
      <c r="K36" t="inlineStr">
        <is>
          <t>Balenciaga Blue Drip Logo White Cotton Oversized Tee</t>
        </is>
      </c>
      <c r="L36" t="inlineStr">
        <is>
          <t>{"id":"resp_090c34376f55aae0016a0ee939bfac819c9f8ce1228683e27a","object":"chat.completion","created":1779362111,"model":"gpt-5.5","choices":[{"index":0,"message":{"role":"assistant","content":"Balenciaga White Cotton Graphic Tee, Blue Drip Logo Print, Oversized Unisex Streetwear Short Sleeve, Soft Crew Neck"},"finish_reason":"stop"}],"usage":{"prompt_tokens":748,"completion_tokens":286,"total_tokens":1034}}</t>
        </is>
      </c>
      <c r="M36" t="inlineStr">
        <is>
          <t>{"alt-svc":"h3=\":443\"; ma=2592000","connection":"close","content-length":"410","content-type":"application/json; charset=utf-8","date":"Thu, 21 May 2026 11:15:11 GMT","referrer-policy":"strict-origin-when-cross-origin","server":"nginx/1.24.0 (Ubuntu)","strict-transport-security":"max-age=31536000; includeSubDomains; preload","vary":"Accept-Encoding","via":"1.1 Caddy","x-content-type-options":"nosniff","x-frame-options":"DENY","x-new-api-version":"v1.0.0-rc.2","x-oneapi-request-id":"202605211115008979070698268d9d6sqOPrDi9","x-request-id":"123435bc-2417-4a04-b448-87ad4fadbcfc"}</t>
        </is>
      </c>
      <c r="N36" t="inlineStr">
        <is>
          <t>Balenciaga White Cotton Graphic Tee, Blue Drip Logo Print, Oversized Unisex Streetwear Short Sleeve, Soft Crew Neck</t>
        </is>
      </c>
      <c r="O36" t="inlineStr">
        <is>
          <t>{"id":"resp_064b226ed9323e8b016a0eed2dcd2881a0b8221262ffb531e5","object":"chat.completion","created":1779363123,"model":"gpt-5.5","choices":[{"index":0,"message":{"role":"assistant","content":"Balenciaga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kakobuysheet2026"},"finish_reason":"stop"}],"usage":{"prompt_tokens":645,"completion_tokens":247,"total_tokens":892}}</t>
        </is>
      </c>
      <c r="P36"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36" t="inlineStr">
        <is>
          <t>Balenciaga, White, Blue, Streetwear, Unisex, Summer</t>
        </is>
      </c>
      <c r="R36" t="inlineStr">
        <is>
          <t>recvk9Jhrp68Pr</t>
        </is>
      </c>
      <c r="S36" t="inlineStr">
        <is>
          <t>balenciaga-blue-drip-logo-white-cotton-oversized-tee-recvk9jhrp68pr</t>
        </is>
      </c>
      <c r="T36"/>
      <c r="U36"/>
      <c r="V36"/>
      <c r="W36" t="inlineStr">
        <is>
          <t>{"id":"resp_02f54069b3621c6f016a0ee6d6988481918f789c2c228adbac","object":"chat.completion","created":1779361498,"model":"gpt-5.5","choices":[{"index":0,"message":{"role":"assistant","content":"巴黎世家Balenciaga 白色短袖T恤，纯棉舒适面料，胸前蓝色涂鸦滴落Logo印花，宽松街头风男女同款潮流上衣"},"finish_reason":"stop"}],"usage":{"prompt_tokens":1167,"completion_tokens":135,"total_tokens":1302}}</t>
        </is>
      </c>
      <c r="X36" t="inlineStr">
        <is>
          <t>巴黎世家Balenciaga 白色短袖T恤，纯棉舒适面料，胸前蓝色涂鸦滴落Logo印花，宽松街头风男女同款潮流上衣</t>
        </is>
      </c>
    </row>
    <row r="37" ht="25.5" customHeight="1">
      <c r="A37">
        <v>1839115443</v>
      </c>
      <c r="B37">
        <v>7768633119</v>
      </c>
      <c r="C37" s="2" t="str">
        <f>=HYPERLINK("https://weidian.com/item.html?itemID=7768633119", "https://weidian.com/item.html?itemID=7768633119")</f>
        <v>https://weidian.com/item.html?itemID=7768633119</v>
      </c>
      <c r="D37"/>
      <c r="E37" s="2" t="str">
        <f>=HYPERLINK("https://si.geilicdn.com/open1839115443-252808396-4fb60000019e4422dc390aa08269_800_800.jpg?w=640&amp;h=640", "https://si.geilicdn.com/open1839115443-252808396-4fb60000019e4422dc390aa08269_800_800.jpg?w=640&amp;h=640")</f>
        <v>https://si.geilicdn.com/open1839115443-252808396-4fb60000019e4422dc390aa08269_800_800.jpg?w=640&amp;h=640</v>
      </c>
      <c r="F37" t="inlineStr">
        <is>
          <t>T-Shirts</t>
        </is>
      </c>
      <c r="G37" t="inlineStr">
        <is>
          <t>Fear Of God</t>
        </is>
      </c>
      <c r="H37">
        <v>91</v>
      </c>
      <c r="I37">
        <v>13.19</v>
      </c>
      <c r="J37" t="inlineStr">
        <is>
          <t>{"id":"resp_02adccc5b6d9a679016a0eec1f926081a3b7603ea2759f767c","object":"chat.completion","created":1779362857,"model":"gpt-5.5","choices":[{"index":0,"message":{"role":"assistant","content":"Fear Of God STATE Off-White Cotton Front Logo Tee"},"finish_reason":"stop"}],"usage":{"prompt_tokens":722,"completion_tokens":533,"total_tokens":1255}}</t>
        </is>
      </c>
      <c r="K37" t="inlineStr">
        <is>
          <t>Fear Of God STATE Off-White Cotton Front Logo Tee</t>
        </is>
      </c>
      <c r="L37" t="inlineStr">
        <is>
          <t>{"id":"resp_099a02d701a9cf4e016a0ee99aba90819f85cefaea0e9fc192","object":"chat.completion","created":1779362204,"model":"gpt-5.5","choices":[{"index":0,"message":{"role":"assistant","content":"Fear Of God STATE off-white cotton T-shirt with front logo print, soft breathable unisex streetwear tee, Jerry Lorenzo style casual top."},"finish_reason":"stop"}],"usage":{"prompt_tokens":757,"completion_tokens":32,"total_tokens":789}}</t>
        </is>
      </c>
      <c r="M37" t="inlineStr">
        <is>
          <t>{"alt-svc":"h3=\":443\"; ma=2592000","connection":"close","content-length":"429","content-type":"application/json; charset=utf-8","date":"Thu, 21 May 2026 11:16:44 GMT","referrer-policy":"strict-origin-when-cross-origin","server":"Caddy","strict-transport-security":"max-age=31536000; includeSubDomains; preload","vary":"Accept-Encoding","x-content-type-options":"nosniff","x-frame-options":"DENY","x-new-api-version":"v1.0.0-rc.2","x-oneapi-request-id":"202605211116422973816668268d9d60XtnojDN","x-request-id":"6e0317a1-74a5-4f37-824f-9faf5fa0ce1e"}</t>
        </is>
      </c>
      <c r="N37" t="inlineStr">
        <is>
          <t>Fear Of God STATE off-white cotton T-shirt with front logo print, soft breathable unisex streetwear tee, Jerry Lorenzo style casual top.</t>
        </is>
      </c>
      <c r="O37" t="inlineStr">
        <is>
          <t>{"id":"resp_03d3ff67b99e724f016a0eedb15bb88192a01dc68bb9f21e79","object":"chat.completion","created":1779363262,"model":"gpt-5.5","choices":[{"index":0,"message":{"role":"assistant","content":"Fear Of God,T-Shirts,kakobuy,kakebuy2026,kekobuysheet,kakobuysheet2026,2026kakobuy,kakobuyspreadsheeet,kakobuylink,kakebuylist,Kakobuy MEGA Spreadsheet,kakobuysheetfind,kakobuysheetfind2026,2026kakobuysheetfind,kakobuysheet2026"},"finish_reason":"stop"}],"usage":{"prompt_tokens":645,"completion_tokens":519,"total_tokens":1164}}</t>
        </is>
      </c>
      <c r="P37" t="inlineStr">
        <is>
          <t>Fear Of God,T-Shirts,kakobuy,kakebuy2026,kekobuysheet,kakobuysheet2026,2026kakobuy,kakobuyspreadsheeet,kakobuylink,kakebuylist,Kakobuy MEGA Spreadsheet,kakobuysheetfind,kakobuysheetfind2026,2026kakobuysheetfind,kakobuysheet2026</t>
        </is>
      </c>
      <c r="Q37" t="inlineStr">
        <is>
          <t>Breathable, Streetwear, Unisex, White</t>
        </is>
      </c>
      <c r="R37" t="inlineStr">
        <is>
          <t>recvk9JhrpLtjf</t>
        </is>
      </c>
      <c r="S37" t="inlineStr">
        <is>
          <t>fear-of-god-state-off-white-cotton-front-logo-tee-recvk9jhrpltjf</t>
        </is>
      </c>
      <c r="T37"/>
      <c r="U37"/>
      <c r="V37"/>
      <c r="W37" t="inlineStr">
        <is>
          <t>{"id":"resp_0e744c8cfc87efea016a0ee761230081a08abb94380282c36e","object":"chat.completion","created":1779361640,"model":"gpt-5.5","choices":[{"index":0,"message":{"role":"assistant","content":"Fear Of God: FEAR OF GOD STATE 米白色纯棉短袖T恤，正面字母印花设计，简约街头风，柔软透气，男女通用，Jerry Lorenzo 设计师风格，潮流休闲百搭上衣。"},"finish_reason":"stop"}],"usage":{"prompt_tokens":1161,"completion_tokens":367,"total_tokens":1528}}</t>
        </is>
      </c>
      <c r="X37" t="inlineStr">
        <is>
          <t>Fear Of God: FEAR OF GOD STATE 米白色纯棉短袖T恤，正面字母印花设计，简约街头风，柔软透气，男女通用，Jerry Lorenzo 设计师风格，潮流休闲百搭上衣。</t>
        </is>
      </c>
    </row>
    <row r="38" ht="25.5" customHeight="1">
      <c r="A38">
        <v>1839115443</v>
      </c>
      <c r="B38">
        <v>7768648347</v>
      </c>
      <c r="C38" s="2" t="str">
        <f>=HYPERLINK("https://weidian.com/item.html?itemID=7768648347", "https://weidian.com/item.html?itemID=7768648347")</f>
        <v>https://weidian.com/item.html?itemID=7768648347</v>
      </c>
      <c r="D38"/>
      <c r="E38" s="2" t="str">
        <f>=HYPERLINK("https://si.geilicdn.com/open1839115443-252808396-5d960000019e4424f5ac0a23b491_640_738.jpg?w=640&amp;h=640", "https://si.geilicdn.com/open1839115443-252808396-5d960000019e4424f5ac0a23b491_640_738.jpg?w=640&amp;h=640")</f>
        <v>https://si.geilicdn.com/open1839115443-252808396-5d960000019e4424f5ac0a23b491_640_738.jpg?w=640&amp;h=640</v>
      </c>
      <c r="F38" t="inlineStr">
        <is>
          <t>T-Shirts</t>
        </is>
      </c>
      <c r="G38" t="inlineStr">
        <is>
          <t>Stussy</t>
        </is>
      </c>
      <c r="H38">
        <v>91</v>
      </c>
      <c r="I38">
        <v>13.19</v>
      </c>
      <c r="J38" t="inlineStr">
        <is>
          <t>{"id":"resp_0e36785b7ab33e5c016a0eec319d48819f8fd450737ed25e88","object":"chat.completion","created":1779362873,"model":"gpt-5.5","choices":[{"index":0,"message":{"role":"assistant","content":"Stussy White Graffiti Logo Cotton Short Sleeve T-Shirt"},"finish_reason":"stop"}],"usage":{"prompt_tokens":813,"completion_tokens":377,"total_tokens":1190}}</t>
        </is>
      </c>
      <c r="K38" t="inlineStr">
        <is>
          <t>Stussy White Graffiti Logo Cotton Short Sleeve T-Shirt</t>
        </is>
      </c>
      <c r="L38" t="inlineStr">
        <is>
          <t>{"id":"resp_05b6537c194415c5016a0ee8a31b2881a081af8ad8e7983c3d","object":"chat.completion","created":1779361957,"model":"gpt-5.5","choices":[{"index":0,"message":{"role":"assistant","content":"Stussy white cotton short sleeve T-shirt, breathable unisex streetwear tee with small chest logo and large graffiti script back print."},"finish_reason":"stop"}],"usage":{"prompt_tokens":844,"completion_tokens":113,"total_tokens":957}}</t>
        </is>
      </c>
      <c r="M38" t="inlineStr">
        <is>
          <t>{"alt-svc":"h3=\":443\"; ma=2592000","connection":"close","content-length":"428","content-type":"application/json; charset=utf-8","date":"Thu, 21 May 2026 11:12:37 GMT","referrer-policy":"strict-origin-when-cross-origin","server":"Caddy","strict-transport-security":"max-age=31536000; includeSubDomains; preload","vary":"Accept-Encoding","x-content-type-options":"nosniff","x-frame-options":"DENY","x-new-api-version":"v1.0.0-rc.2","x-oneapi-request-id":"202605211112347074253108268d9d6gR6yv7Gh","x-request-id":"85a5c3ec-4991-457f-b818-25a205602f5b"}</t>
        </is>
      </c>
      <c r="N38" t="inlineStr">
        <is>
          <t>Stussy white cotton short sleeve T-shirt, breathable unisex streetwear tee with small chest logo and large graffiti script back print.</t>
        </is>
      </c>
      <c r="O38" t="inlineStr">
        <is>
          <t>{"id":"resp_04b4906b8a371827016a0eede0b8988192bda8a35cabc2fe7a","object":"chat.completion","created":1779363304,"model":"gpt-5.5","choices":[{"index":0,"message":{"role":"assistant","content":"Stussy,T-Shirts,kakobuy,kakebuy2026,kekobuysheet,kakobuysheet2026,2026kakobuy,kakobuyspreadsheeet,kakobuylink,kakebuylist,Kakobuy MEGA Spreadsheet,kakobuysheetfind,kakobuysheetfind2026,2026kakobuysheetfind,kakobuysheet2026"},"finish_reason":"stop"}],"usage":{"prompt_tokens":740,"completion_tokens":362,"total_tokens":1102}}</t>
        </is>
      </c>
      <c r="P38" t="inlineStr">
        <is>
          <t>Stussy,T-Shirts,kakobuy,kakebuy2026,kekobuysheet,kakobuysheet2026,2026kakobuy,kakobuyspreadsheeet,kakobuylink,kakebuylist,Kakobuy MEGA Spreadsheet,kakobuysheetfind,kakobuysheetfind2026,2026kakobuysheetfind,kakobuysheet2026</t>
        </is>
      </c>
      <c r="Q38" t="inlineStr">
        <is>
          <t>Stussy, White, Breathable, Unisex, Streetwear</t>
        </is>
      </c>
      <c r="R38" t="inlineStr">
        <is>
          <t>recvk9Jhrpdhl7</t>
        </is>
      </c>
      <c r="S38" t="inlineStr">
        <is>
          <t>stussy-white-graffiti-logo-cotton-tee-recvk9jhrpdhl7</t>
        </is>
      </c>
      <c r="T38"/>
      <c r="U38"/>
      <c r="V38"/>
      <c r="W38" t="inlineStr">
        <is>
          <t>{"id":"resp_0e9a6cb8bc78d199016a0ee6969614819d925bf918f5d38c72","object":"chat.completion","created":1779361435,"model":"gpt-5.5","choices":[{"index":0,"message":{"role":"assistant","content":"斯图西Stussy 白色短袖T恤，纯棉舒适透气，胸前小Logo、背部手写涂鸦大印花，男女同款街头潮牌休闲上衣。"},"finish_reason":"stop"}],"usage":{"prompt_tokens":1261,"completion_tokens":190,"total_tokens":1451}}</t>
        </is>
      </c>
      <c r="X38" t="inlineStr">
        <is>
          <t>斯图西Stussy 白色短袖T恤，纯棉舒适透气，胸前小Logo、背部手写涂鸦大印花，男女同款街头潮牌休闲上衣。</t>
        </is>
      </c>
    </row>
    <row r="39" ht="25.5" customHeight="1">
      <c r="A39">
        <v>1839115443</v>
      </c>
      <c r="B39">
        <v>7771670222</v>
      </c>
      <c r="C39" s="2" t="str">
        <f>=HYPERLINK("https://weidian.com/item.html?itemID=7771670222", "https://weidian.com/item.html?itemID=7771670222")</f>
        <v>https://weidian.com/item.html?itemID=7771670222</v>
      </c>
      <c r="D39"/>
      <c r="E39" s="2" t="str">
        <f>=HYPERLINK("https://si.geilicdn.com/open1839115443-252808396-625f0000019e44240e970a22d249_1080_1080.jpg?w=750&amp;h=750&amp;cp=1", "https://si.geilicdn.com/open1839115443-252808396-625f0000019e44240e970a22d249_1080_1080.jpg?w=750&amp;h=750&amp;cp=1")</f>
        <v>https://si.geilicdn.com/open1839115443-252808396-625f0000019e44240e970a22d249_1080_1080.jpg?w=750&amp;h=750&amp;cp=1</v>
      </c>
      <c r="F39" t="inlineStr">
        <is>
          <t>T-Shirts</t>
        </is>
      </c>
      <c r="G39" t="inlineStr">
        <is>
          <t>Gan</t>
        </is>
      </c>
      <c r="H39">
        <v>95</v>
      </c>
      <c r="I39">
        <v>13.77</v>
      </c>
      <c r="J39" t="inlineStr">
        <is>
          <t>{"id":"resp_0737885ab3422274016a0eea920420819fa7513ed2b63591f9","object":"chat.completion","created":1779362453,"model":"gpt-5.5","choices":[{"index":0,"message":{"role":"assistant","content":"GANNI Love Club Pink Smiley Cotton Crewneck T-Shirt Unisex"},"finish_reason":"stop"}],"usage":{"prompt_tokens":928,"completion_tokens":170,"total_tokens":1098}}</t>
        </is>
      </c>
      <c r="K39" t="inlineStr">
        <is>
          <t>GANNI Love Club Pink Smiley Cotton Crewneck T-Shirt Unisex</t>
        </is>
      </c>
      <c r="L39" t="inlineStr">
        <is>
          <t>{"id":"resp_0d38397d42f4408a016a0ee86a238881928dc503d27241c546","object":"chat.completion","created":1779361907,"model":"gpt-5.5","choices":[{"index":0,"message":{"role":"assistant","content":"GANNI Love Club Pink Cotton Crewneck T-Shirt, Smiley Graphic &amp; Letter Print, Unisex Casual Streetwear Summer Top"},"finish_reason":"stop"}],"usage":{"prompt_tokens":955,"completion_tokens":454,"total_tokens":1409}}</t>
        </is>
      </c>
      <c r="M39" t="inlineStr">
        <is>
          <t>{"alt-svc":"h3=\":443\"; ma=2592000","connection":"close","content-length":"412","content-type":"application/json; charset=utf-8","date":"Thu, 21 May 2026 11:11:47 GMT","referrer-policy":"strict-origin-when-cross-origin","server":"Caddy","strict-transport-security":"max-age=31536000; includeSubDomains; preload","vary":"Accept-Encoding","x-content-type-options":"nosniff","x-frame-options":"DENY","x-new-api-version":"v1.0.0-rc.2","x-oneapi-request-id":"202605211111377786368518268d9d6Nk7RnMCZ","x-request-id":"da825265-5bb1-4380-8c10-0f75228e4057"}</t>
        </is>
      </c>
      <c r="N39" t="inlineStr">
        <is>
          <t>GANNI Love Club Pink Cotton Crewneck T-Shirt, Smiley Graphic &amp; Letter Print, Unisex Casual Streetwear Summer Top</t>
        </is>
      </c>
      <c r="O39" t="inlineStr">
        <is>
          <t>{"id":"resp_02f2e346d4dd4f61016a0eee41fcb88192982e0bc143e75243","object":"chat.completion","created":1779363401,"model":"gpt-5.5","choices":[{"index":0,"message":{"role":"assistant","content":"GANNI, Graphic T-Shirt, kakobuy, kakebuy2026, kekobuysheet, kakobuysheet2026, 2026kakobuy, kakobuyspreadsheeet, kakobuylink, kakebuylist, Kakobuy MEGA Spreadsheet, kakobuysheetfind, kakobuysheetfind2026, 2026kakobuysheetfind, kakobuysheet2026"},"finish_reason":"stop"}],"usage":{"prompt_tokens":854,"completion_tokens":354,"total_tokens":1208}}</t>
        </is>
      </c>
      <c r="P39" t="inlineStr">
        <is>
          <t>GANNI, Graphic T-Shirt, kakobuy, kakebuy2026, kekobuysheet, kakobuysheet2026, 2026kakobuy, kakobuyspreadsheeet, kakobuylink, kakebuylist, Kakobuy MEGA Spreadsheet, kakobuysheetfind, kakobuysheetfind2026, 2026kakobuysheetfind, kakobuysheet2026</t>
        </is>
      </c>
      <c r="Q39" t="inlineStr">
        <is>
          <t>Pink, Unisex, Streetwear, Summer</t>
        </is>
      </c>
      <c r="R39" t="inlineStr">
        <is>
          <t>recvk9JhrpTtVu</t>
        </is>
      </c>
      <c r="S39" t="inlineStr">
        <is>
          <t>ganni-love-club-pink-smiley-cotton-crewneck-t-shirt-recvk9jhrpttvu</t>
        </is>
      </c>
      <c r="T39"/>
      <c r="U39"/>
      <c r="V39"/>
      <c r="W39" t="inlineStr">
        <is>
          <t>{"id":"resp_0764df6cc38772fa016a0ee6be56d081a297844a0f4de22ec5","object":"chat.completion","created":1779361473,"model":"gpt-5.5","choices":[{"index":0,"message":{"role":"assistant","content":"粉色GANNI Love Club短袖T恤，棉质圆领，笑脸图腾与字母印花设计，休闲街头风男女同款夏季上衣"},"finish_reason":"stop"}],"usage":{"prompt_tokens":1382,"completion_tokens":129,"total_tokens":1511}}</t>
        </is>
      </c>
      <c r="X39" t="inlineStr">
        <is>
          <t>粉色GANNI Love Club短袖T恤，棉质圆领，笑脸图腾与字母印花设计，休闲街头风男女同款夏季上衣</t>
        </is>
      </c>
    </row>
    <row r="40" ht="25.5" customHeight="1">
      <c r="A40">
        <v>1839115443</v>
      </c>
      <c r="B40">
        <v>7771658372</v>
      </c>
      <c r="C40" s="2" t="str">
        <f>=HYPERLINK("https://weidian.com/item.html?itemID=7771658372", "https://weidian.com/item.html?itemID=7771658372")</f>
        <v>https://weidian.com/item.html?itemID=7771658372</v>
      </c>
      <c r="D40"/>
      <c r="E40" s="2" t="str">
        <f>=HYPERLINK("https://si.geilicdn.com/open1839115443-252808396-40610000019e445441630aa08239_640_640.jpg?w=640&amp;h=640", "https://si.geilicdn.com/open1839115443-252808396-40610000019e445441630aa08239_640_640.jpg?w=640&amp;h=640")</f>
        <v>https://si.geilicdn.com/open1839115443-252808396-40610000019e445441630aa08239_640_640.jpg?w=640&amp;h=640</v>
      </c>
      <c r="F40" t="inlineStr">
        <is>
          <t>Pants</t>
        </is>
      </c>
      <c r="G40" t="inlineStr">
        <is>
          <t>Darc Sport</t>
        </is>
      </c>
      <c r="H40">
        <v>91</v>
      </c>
      <c r="I40">
        <v>13.19</v>
      </c>
      <c r="J40" t="inlineStr">
        <is>
          <t>{"id":"resp_0f08fe7f1c660e72016a0eea381a8c819db52dd41027f2a965","object":"chat.completion","created":1779362374,"model":"gpt-5.5","choices":[{"index":0,"message":{"role":"assistant","content":"Darc Sport Black Drawstring Cross Print Quick-Dry Gym Shorts"},"finish_reason":"stop"}],"usage":{"prompt_tokens":730,"completion_tokens":755,"total_tokens":1485}}</t>
        </is>
      </c>
      <c r="K40" t="inlineStr">
        <is>
          <t>Darc Sport Black Drawstring Cross Print Quick-Dry Gym Shorts</t>
        </is>
      </c>
      <c r="L40" t="inlineStr">
        <is>
          <t>{"id":"resp_0f413edcfd3f5c15016a0ee8639164819fb05aeeea61025ba3","object":"chat.completion","created":1779361894,"model":"gpt-5.5","choices":[{"index":0,"message":{"role":"assistant","content":"Darc Sport black drawstring athletic shorts, quick-dry breathable fabric, white cross nail totem print, street gym fitness style unisex casual training shorts."},"finish_reason":"stop"}],"usage":{"prompt_tokens":739,"completion_tokens":129,"total_tokens":868}}</t>
        </is>
      </c>
      <c r="M40" t="inlineStr">
        <is>
          <t>{"alt-svc":"h3=\":443\"; ma=2592000","connection":"close","content-length":"453","content-type":"application/json; charset=utf-8","date":"Thu, 21 May 2026 11:11:34 GMT","referrer-policy":"strict-origin-when-cross-origin","server":"Caddy","strict-transport-security":"max-age=31536000; includeSubDomains; preload","vary":"Accept-Encoding","x-content-type-options":"nosniff","x-frame-options":"DENY","x-new-api-version":"v1.0.0-rc.2","x-oneapi-request-id":"202605211111311366524808268d9d67xvSo0Sp","x-request-id":"00697976-365e-4f5e-8a68-a8553550ff3d"}</t>
        </is>
      </c>
      <c r="N40" t="inlineStr">
        <is>
          <t>Darc Sport black drawstring athletic shorts, quick-dry breathable fabric, white cross nail totem print, street gym fitness style unisex casual training shorts.</t>
        </is>
      </c>
      <c r="O40" t="inlineStr">
        <is>
          <t>{"id":"resp_0b05a2cd443a9d07016a0eede7f45081a18b6191d4bb498c43","object":"chat.completion","created":1779363312,"model":"gpt-5.5","choices":[{"index":0,"message":{"role":"assistant","content":"PantsDarc Sport, sports shorts, kakobuy, kakebuy2026, kekobuysheet, kakobuysheet2026, 2026kakobuy, kakobuyspreadsheeet, kakobuylink, kakebuylist, Kakobuy MEGA Spreadsheet, kakobuysheetfind, kakobuysheetfind2026, 2026kakobuysheetfind, kakobuysheet2026"},"finish_reason":"stop"}],"usage":{"prompt_tokens":645,"completion_tokens":453,"total_tokens":1098}}</t>
        </is>
      </c>
      <c r="P40" t="inlineStr">
        <is>
          <t>PantsDarc Sport, sports shorts, kakobuy, kakebuy2026, kekobuysheet, kakobuysheet2026, 2026kakobuy, kakobuyspreadsheeet, kakobuylink, kakebuylist, Kakobuy MEGA Spreadsheet, kakobuysheetfind, kakobuysheetfind2026, 2026kakobuysheetfind, kakobuysheet2026</t>
        </is>
      </c>
      <c r="Q40" t="inlineStr">
        <is>
          <t>Black, Quick Dry, Breathable, Streetwear, Unisex</t>
        </is>
      </c>
      <c r="R40" t="inlineStr">
        <is>
          <t>recvk9JhrpTLC8</t>
        </is>
      </c>
      <c r="S40" t="inlineStr">
        <is>
          <t>darc-sport-black-drawstring-cross-print-gym-shorts-recvk9jhrptlc8</t>
        </is>
      </c>
      <c r="T40"/>
      <c r="U40"/>
      <c r="V40"/>
      <c r="W40" t="inlineStr">
        <is>
          <t>{"id":"resp_04aa57d8634ccb83016a0ee6a1f09c81a3981e869a5e4c5a49","object":"chat.completion","created":1779361446,"model":"gpt-5.5","choices":[{"index":0,"message":{"role":"assistant","content":"达克运动Darc Sport黑色抽绳运动短裤，速干透气面料，白色十字钉图腾印花，街头健身风男女通用休闲裤。"},"finish_reason":"stop"}],"usage":{"prompt_tokens":1157,"completion_tokens":168,"total_tokens":1325}}</t>
        </is>
      </c>
      <c r="X40" t="inlineStr">
        <is>
          <t>达克运动Darc Sport黑色抽绳运动短裤，速干透气面料，白色十字钉图腾印花，街头健身风男女通用休闲裤。</t>
        </is>
      </c>
    </row>
    <row r="41" ht="25.5" customHeight="1">
      <c r="A41">
        <v>1839115443</v>
      </c>
      <c r="B41">
        <v>7771695886</v>
      </c>
      <c r="C41" s="2" t="str">
        <f>=HYPERLINK("https://weidian.com/item.html?itemID=7771695886", "https://weidian.com/item.html?itemID=7771695886")</f>
        <v>https://weidian.com/item.html?itemID=7771695886</v>
      </c>
      <c r="D41"/>
      <c r="E41" s="2" t="str">
        <f>=HYPERLINK("https://si.geilicdn.com/open1839115443-252808396-6c090000019e442b20ae0a22d249_800_800.jpg?w=750&amp;h=750&amp;cp=1", "https://si.geilicdn.com/open1839115443-252808396-6c090000019e442b20ae0a22d249_800_800.jpg?w=750&amp;h=750&amp;cp=1")</f>
        <v>https://si.geilicdn.com/open1839115443-252808396-6c090000019e442b20ae0a22d249_800_800.jpg?w=750&amp;h=750&amp;cp=1</v>
      </c>
      <c r="F41" t="inlineStr">
        <is>
          <t>T-Shirts</t>
        </is>
      </c>
      <c r="G41" t="inlineStr">
        <is>
          <t>A Bathing App</t>
        </is>
      </c>
      <c r="H41">
        <v>97</v>
      </c>
      <c r="I41">
        <v>14.06</v>
      </c>
      <c r="J41" t="inlineStr">
        <is>
          <t>{"id":"resp_05da3cf34e52cfb1016a0eebd9c49c81a09a9753be71e7dad1","object":"chat.completion","created":1779362784,"model":"gpt-5.5","choices":[{"index":0,"message":{"role":"assistant","content":"BAPE Black Ape Head Gran Turismo Cotton T-Shirt"},"finish_reason":"stop"}],"usage":{"prompt_tokens":939,"completion_tokens":150,"total_tokens":1089}}</t>
        </is>
      </c>
      <c r="K41" t="inlineStr">
        <is>
          <t>BAPE Black Ape Head Gran Turismo Cotton T-Shirt</t>
        </is>
      </c>
      <c r="L41" t="inlineStr">
        <is>
          <t>{"id":"resp_01307bd9cdd06c7d016a0ee86a6058819c99a6f352e41bf873","object":"chat.completion","created":1779361902,"model":"gpt-5.5","choices":[{"index":0,"message":{"role":"assistant","content":"A Bathing Ape BAPE Black Cotton Short Sleeve Tee, Ape Head x Gran Turismo Collab Print, Breathable Unisex Streetwear Casual T-Shirt"},"finish_reason":"stop"}],"usage":{"prompt_tokens":959,"completion_tokens":183,"total_tokens":1142}}</t>
        </is>
      </c>
      <c r="M41" t="inlineStr">
        <is>
          <t>{"alt-svc":"h3=\":443\"; ma=2592000","connection":"close","content-length":"426","content-type":"application/json; charset=utf-8","date":"Thu, 21 May 2026 11:11:42 GMT","referrer-policy":"strict-origin-when-cross-origin","server":"nginx/1.24.0 (Ubuntu)","strict-transport-security":"max-age=31536000; includeSubDomains; preload","vary":"Accept-Encoding","via":"1.1 Caddy","x-content-type-options":"nosniff","x-frame-options":"DENY","x-new-api-version":"v1.0.0-rc.2","x-oneapi-request-id":"202605211111378158287668268d9d6Lhc3ML5c","x-request-id":"8d0490da-d670-4c42-80fa-8219e51069c6"}</t>
        </is>
      </c>
      <c r="N41" t="inlineStr">
        <is>
          <t>A Bathing Ape BAPE Black Cotton Short Sleeve Tee, Ape Head x Gran Turismo Collab Print, Breathable Unisex Streetwear Casual T-Shirt</t>
        </is>
      </c>
      <c r="O41" t="inlineStr">
        <is>
          <t>{"id":"resp_0e7a772d0472c17f016a0eee6e99d081919c50f63454f67d9a","object":"chat.completion","created":1779363448,"model":"gpt-5.5","choices":[{"index":0,"message":{"role":"assistant","content":"A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kakobuysheet2026"},"finish_reason":"stop"}],"usage":{"prompt_tokens":857,"completion_tokens":445,"total_tokens":1302}}</t>
        </is>
      </c>
      <c r="P41" t="inlineStr">
        <is>
          <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t>
        </is>
      </c>
      <c r="Q41" t="inlineStr">
        <is>
          <t>BAPE, Black, Breathable, Unisex, Streetwear</t>
        </is>
      </c>
      <c r="R41" t="inlineStr">
        <is>
          <t>recvk9JhrpDOoY</t>
        </is>
      </c>
      <c r="S41" t="inlineStr">
        <is>
          <t>bape-black-ape-head-gran-turismo-cotton-tshirt-recvk9jhrpdooy</t>
        </is>
      </c>
      <c r="T41"/>
      <c r="U41"/>
      <c r="V41"/>
      <c r="W41" t="inlineStr">
        <is>
          <t>{"id":"resp_00655b8727d7939c016a0ee6c0088081a1b994da2036c8d3e4","object":"chat.completion","created":1779361476,"model":"gpt-5.5","choices":[{"index":0,"message":{"role":"assistant","content":"潮牌A Bathing Ape黑色短袖T恤，纯棉舒适透气，猿人头像与Gran Turismo赛车联名印花，男女同款街头休闲上衣。"},"finish_reason":"stop"}],"usage":{"prompt_tokens":1386,"completion_tokens":183,"total_tokens":1569}}</t>
        </is>
      </c>
      <c r="X41" t="inlineStr">
        <is>
          <t>潮牌A Bathing Ape黑色短袖T恤，纯棉舒适透气，猿人头像与Gran Turismo赛车联名印花，男女同款街头休闲上衣。</t>
        </is>
      </c>
    </row>
    <row r="42" ht="25.5" customHeight="1">
      <c r="A42">
        <v>1839115443</v>
      </c>
      <c r="B42">
        <v>7771605358</v>
      </c>
      <c r="C42" s="2" t="str">
        <f>=HYPERLINK("https://weidian.com/item.html?itemID=7771605358", "https://weidian.com/item.html?itemID=7771605358")</f>
        <v>https://weidian.com/item.html?itemID=7771605358</v>
      </c>
      <c r="D42"/>
      <c r="E42" s="2" t="str">
        <f>=HYPERLINK("https://si.geilicdn.com/open1839115443-252808396-62480000019e442ba9080aa08239_1440_1440.jpg?w=640&amp;h=640", "https://si.geilicdn.com/open1839115443-252808396-62480000019e442ba9080aa08239_1440_1440.jpg?w=640&amp;h=640")</f>
        <v>https://si.geilicdn.com/open1839115443-252808396-62480000019e442ba9080aa08239_1440_1440.jpg?w=640&amp;h=640</v>
      </c>
      <c r="F42" t="inlineStr">
        <is>
          <t>T-Shirts</t>
        </is>
      </c>
      <c r="G42" t="inlineStr">
        <is>
          <t>Balenciaga</t>
        </is>
      </c>
      <c r="H42">
        <v>83</v>
      </c>
      <c r="I42">
        <v>12.03</v>
      </c>
      <c r="J42" t="inlineStr">
        <is>
          <t>{"id":"resp_0a2ada02467b040b016a0eea077fd8819cbdae3a1ff025ccaa","object":"chat.completion","created":1779362321,"model":"gpt-5.5","choices":[{"index":0,"message":{"role":"assistant","content":"Balenciaga Pink Black Bow Graphic Oversized Cotton Tee"},"finish_reason":"stop"}],"usage":{"prompt_tokens":723,"completion_tokens":498,"total_tokens":1221}}</t>
        </is>
      </c>
      <c r="K42" t="inlineStr">
        <is>
          <t>Balenciaga Pink Black Bow Graphic Oversized Cotton Tee</t>
        </is>
      </c>
      <c r="L42" t="inlineStr">
        <is>
          <t>{"id":"resp_0e366610902958a9016a0ee8d70d00819ea2ff963b50542f2f","object":"chat.completion","created":1779362008,"model":"gpt-5.5","choices":[{"index":0,"message":{"role":"assistant","content":"Balenciaga pink black cotton crew neck T-shirt with bow graphic, oversized unisex streetwear tee, casual 2020s designer top"},"finish_reason":"stop"}],"usage":{"prompt_tokens":749,"completion_tokens":32,"total_tokens":781}}</t>
        </is>
      </c>
      <c r="M42" t="inlineStr">
        <is>
          <t>{"alt-svc":"h3=\":443\"; ma=2592000","connection":"close","content-length":"416","content-type":"application/json; charset=utf-8","date":"Thu, 21 May 2026 11:13:28 GMT","referrer-policy":"strict-origin-when-cross-origin","server":"nginx/1.24.0 (Ubuntu)","strict-transport-security":"max-age=31536000; includeSubDomains; preload","vary":"Accept-Encoding","via":"1.1 Caddy","x-content-type-options":"nosniff","x-frame-options":"DENY","x-new-api-version":"v1.0.0-rc.2","x-oneapi-request-id":"202605211113266456830348268d9d6Q5u8zr8z","x-request-id":"873961fa-d39f-411b-ad6e-cab487f2e44b"}</t>
        </is>
      </c>
      <c r="N42" t="inlineStr">
        <is>
          <t>Balenciaga pink black cotton crew neck T-shirt with bow graphic, oversized unisex streetwear tee, casual 2020s designer top</t>
        </is>
      </c>
      <c r="O42" t="inlineStr">
        <is>
          <t>{"id":"resp_0df33037c4fc5cd2016a0eee8630ec81a0a7f14110876d5bee","object":"chat.completion","created":1779363468,"model":"gpt-5.5","choices":[{"index":0,"message":{"role":"assistant","content":"Balenciaga, T-Shirts, kakobuy, kakebuy2026, kekobuysheet, kakobuysheet2026, 2026kakobuy, kakobuyspreadsheeet, kakobuylink, kakebuylist, Kakobuy MEGA Spreadsheet, kakobuysheetfind, kakobuysheetfind2026, 2026kakobuysheetfind, kakobuysheet2026"},"finish_reason":"stop"}],"usage":{"prompt_tokens":645,"completion_tokens":306,"total_tokens":951}}</t>
        </is>
      </c>
      <c r="P42" t="inlineStr">
        <is>
          <t>Balenciaga, T-Shirts, kakobuy, kakebuy2026, kekobuysheet, kakobuysheet2026, 2026kakobuy, kakobuyspreadsheeet, kakobuylink, kakebuylist, Kakobuy MEGA Spreadsheet, kakobuysheetfind, kakobuysheetfind2026, 2026kakobuysheetfind, kakobuysheet2026</t>
        </is>
      </c>
      <c r="Q42" t="inlineStr">
        <is>
          <t>Balenciaga, Pink, Black, Unisex, Streetwear</t>
        </is>
      </c>
      <c r="R42" t="inlineStr">
        <is>
          <t>recvk9JhrpRrab</t>
        </is>
      </c>
      <c r="S42" t="inlineStr">
        <is>
          <t>balenciaga-pink-black-bow-graphic-oversized-cotton-tee-recvk9jhrprrab</t>
        </is>
      </c>
      <c r="T42"/>
      <c r="U42"/>
      <c r="V42"/>
      <c r="W42" t="inlineStr">
        <is>
          <t>{"id":"resp_080fca75e67529f7016a0ee66fa0cc819d8fcdb7ea4ddcc8a1","object":"chat.completion","created":1779361402,"model":"gpt-5.5","choices":[{"index":0,"message":{"role":"assistant","content":"Balenciaga: 粉黑撞色蝴蝶结图案纯棉圆领短袖T恤，宽松休闲版型，街头潮流风格，男女通用，2020s设计感上衣。"},"finish_reason":"stop"}],"usage":{"prompt_tokens":1163,"completion_tokens":526,"total_tokens":1689}}</t>
        </is>
      </c>
      <c r="X42" t="inlineStr">
        <is>
          <t>Balenciaga: 粉黑撞色蝴蝶结图案纯棉圆领短袖T恤，宽松休闲版型，街头潮流风格，男女通用，2020s设计感上衣。</t>
        </is>
      </c>
    </row>
    <row r="43" ht="25.5" customHeight="1">
      <c r="A43">
        <v>1839115443</v>
      </c>
      <c r="B43">
        <v>7768489503</v>
      </c>
      <c r="C43" s="2" t="str">
        <f>=HYPERLINK("https://weidian.com/item.html?itemID=7768489503", "https://weidian.com/item.html?itemID=7768489503")</f>
        <v>https://weidian.com/item.html?itemID=7768489503</v>
      </c>
      <c r="D43"/>
      <c r="E43" s="2" t="str">
        <f>=HYPERLINK("https://si.geilicdn.com/open1839115443-252808396-5fa10000019e442b0a020a231226_800_800.jpg?w=640&amp;h=640", "https://si.geilicdn.com/open1839115443-252808396-5fa10000019e442b0a020a231226_800_800.jpg?w=640&amp;h=640")</f>
        <v>https://si.geilicdn.com/open1839115443-252808396-5fa10000019e442b0a020a231226_800_800.jpg?w=640&amp;h=640</v>
      </c>
      <c r="F43" t="inlineStr">
        <is>
          <t>Hoodies</t>
        </is>
      </c>
      <c r="G43" t="inlineStr">
        <is>
          <t>Stussy</t>
        </is>
      </c>
      <c r="H43">
        <v>163</v>
      </c>
      <c r="I43">
        <v>23.62</v>
      </c>
      <c r="J43" t="inlineStr">
        <is>
          <t>{"id":"resp_0a7953e4f859aa43016a0eebad23b481928868b5254f80b95f","object":"chat.completion","created":1779362752,"model":"gpt-5.5","choices":[{"index":0,"message":{"role":"assistant","content":"Stussy White 8 Ball Cotton Hoodie, Unisex Streetwear"},"finish_reason":"stop"}],"usage":{"prompt_tokens":732,"completion_tokens":890,"total_tokens":1622}}</t>
        </is>
      </c>
      <c r="K43" t="inlineStr">
        <is>
          <t>Stussy White 8 Ball Cotton Hoodie, Unisex Streetwear</t>
        </is>
      </c>
      <c r="L43" t="inlineStr">
        <is>
          <t>{"id":"resp_038165e84c235788016a0ee98b2cd481a197a53e9aedc81d9f","object":"chat.completion","created":1779362190,"model":"gpt-5.5","choices":[{"index":0,"message":{"role":"assistant","content":"Stussy white 8 Ball hoodie, cotton pullover with chest logo and bold back graphic, relaxed unisex streetwear sweatshirt by Shawn Stussy, casual fit."},"finish_reason":"stop"}],"usage":{"prompt_tokens":764,"completion_tokens":124,"total_tokens":888}}</t>
        </is>
      </c>
      <c r="M43" t="inlineStr">
        <is>
          <t>{"alt-svc":"h3=\":443\"; ma=2592000","connection":"close","content-length":"442","content-type":"application/json; charset=utf-8","date":"Thu, 21 May 2026 11:16:30 GMT","referrer-policy":"strict-origin-when-cross-origin","server":"Caddy","strict-transport-security":"max-age=31536000; includeSubDomains; preload","vary":"Accept-Encoding","x-content-type-options":"nosniff","x-frame-options":"DENY","x-new-api-version":"v1.0.0-rc.2","x-oneapi-request-id":"202605211116261047259678268d9d6Yudcf3EX","x-request-id":"bc98bab6-1b6e-4f30-a6ec-d883635d9233"}</t>
        </is>
      </c>
      <c r="N43" t="inlineStr">
        <is>
          <t>Stussy white 8 Ball hoodie, cotton pullover with chest logo and bold back graphic, relaxed unisex streetwear sweatshirt by Shawn Stussy, casual fit.</t>
        </is>
      </c>
      <c r="O43" t="inlineStr">
        <is>
          <t>{"id":"resp_04fd71395bf83343016a0eedf6cb1881a3898abb5d05dbcb32","object":"chat.completion","created":1779363325,"model":"gpt-5.5","choices":[{"index":0,"message":{"role":"assistant","content":"Stussy Hoodies kakobuy, Stussy Hoodies kakebuy2026, Stussy Hoodies kekobuysheet, Stussy Hoodies kakobuysheet2026, Stussy Hoodies 2026kakobuy, Stussy Hoodies kakobuyspreadsheeet, Stussy Hoodies kakobuylink, Stussy Hoodies kakebuylist, Stussy Hoodies Kakobuy MEGA Spreadsheet, Stussy Hoodies kakobuysheetfind, Stussy Hoodies kakobuysheetfind2026, Stussy Hoodies 2026kakobuysheetfind, Stussy Hoodies kakobuysheet2026"},"finish_reason":"stop"}],"usage":{"prompt_tokens":645,"completion_tokens":231,"total_tokens":876}}</t>
        </is>
      </c>
      <c r="P43" t="inlineStr">
        <is>
          <t>Stussy Hoodies kakobuy, Stussy Hoodies kakebuy2026, Stussy Hoodies kekobuysheet, Stussy Hoodies kakobuysheet2026, Stussy Hoodies 2026kakobuy, Stussy Hoodies kakobuyspreadsheeet, Stussy Hoodies kakobuylink, Stussy Hoodies kakebuylist, Stussy Hoodies Kakobuy MEGA Spreadsheet, Stussy Hoodies kakobuysheetfind, Stussy Hoodies kakobuysheetfind2026, Stussy Hoodies 2026kakobuysheetfind, Stussy Hoodies kakobuysheet2026</t>
        </is>
      </c>
      <c r="Q43" t="inlineStr">
        <is>
          <t>Stussy, White, Streetwear, Unisex</t>
        </is>
      </c>
      <c r="R43" t="inlineStr">
        <is>
          <t>recvk9JhrpJPFI</t>
        </is>
      </c>
      <c r="S43" t="inlineStr">
        <is>
          <t>stussy-white-8-ball-cotton-hoodie-recvk9jhrpjpfi</t>
        </is>
      </c>
      <c r="T43"/>
      <c r="U43"/>
      <c r="V43"/>
      <c r="W43" t="inlineStr">
        <is>
          <t>{"id":"resp_0b76baad9e0f8c74016a0ee72f61c8819db1989aeb5d7e19ca","object":"chat.completion","created":1779361592,"model":"gpt-5.5","choices":[{"index":0,"message":{"role":"assistant","content":"Stussy: 白色8球图腾连帽卫衣，纯棉面料，前胸经典字母小标，背面醒目8号球印花，宽松套头设计，街头潮流风格，男女同款，Shawn Stussy主理，休闲百搭。"},"finish_reason":"stop"}],"usage":{"prompt_tokens":1162,"completion_tokens":398,"total_tokens":1560}}</t>
        </is>
      </c>
      <c r="X43" t="inlineStr">
        <is>
          <t>Stussy: 白色8球图腾连帽卫衣，纯棉面料，前胸经典字母小标，背面醒目8号球印花，宽松套头设计，街头潮流风格，男女同款，Shawn Stussy主理，休闲百搭。</t>
        </is>
      </c>
    </row>
    <row r="44" ht="25.5" customHeight="1">
      <c r="A44">
        <v>1839115443</v>
      </c>
      <c r="B44">
        <v>7771680218</v>
      </c>
      <c r="C44" s="2" t="str">
        <f>=HYPERLINK("https://weidian.com/item.html?itemID=7771680218", "https://weidian.com/item.html?itemID=7771680218")</f>
        <v>https://weidian.com/item.html?itemID=7771680218</v>
      </c>
      <c r="D44"/>
      <c r="E44" s="2" t="str">
        <f>=HYPERLINK("https://si.geilicdn.com/open1839115443-252808396-78770000019e443395eb0a22d249_640_739.jpg?w=640&amp;h=640", "https://si.geilicdn.com/open1839115443-252808396-78770000019e443395eb0a22d249_640_739.jpg?w=640&amp;h=640")</f>
        <v>https://si.geilicdn.com/open1839115443-252808396-78770000019e443395eb0a22d249_640_739.jpg?w=640&amp;h=640</v>
      </c>
      <c r="F44" t="inlineStr">
        <is>
          <t>T-Shirts</t>
        </is>
      </c>
      <c r="G44" t="inlineStr">
        <is>
          <t>Stussy</t>
        </is>
      </c>
      <c r="H44">
        <v>91</v>
      </c>
      <c r="I44">
        <v>13.19</v>
      </c>
      <c r="J44" t="inlineStr">
        <is>
          <t>{"id":"resp_065dbed90164c306016a0eea3c5bf8819cae645f20c0e038e3","object":"chat.completion","created":1779362375,"model":"gpt-5.5","choices":[{"index":0,"message":{"role":"assistant","content":"Stussy White Logo Dice Graffiti Crew Neck Tee"},"finish_reason":"stop"}],"usage":{"prompt_tokens":822,"completion_tokens":532,"total_tokens":1354}}</t>
        </is>
      </c>
      <c r="K44" t="inlineStr">
        <is>
          <t>Stussy White Logo Dice Graffiti Crew Neck Tee</t>
        </is>
      </c>
      <c r="L44" t="inlineStr">
        <is>
          <t>{"id":"resp_0206d4bbe089ee01016a0ee8a84498819f8b2214882d1b7695","object":"chat.completion","created":1779361969,"model":"gpt-5.5","choices":[{"index":0,"message":{"role":"assistant","content":"Stussy White Cotton Crew Neck Tee, Loose Fit, Front Logo Embroidery, Back Dice Graffiti Print, Unisex Streetwear Vintage Casual T-Shirt"},"finish_reason":"stop"}],"usage":{"prompt_tokens":852,"completion_tokens":408,"total_tokens":1260}}</t>
        </is>
      </c>
      <c r="M44" t="inlineStr">
        <is>
          <t>{"alt-svc":"h3=\":443\"; ma=2592000","connection":"close","content-length":"430","content-type":"application/json; charset=utf-8","date":"Thu, 21 May 2026 11:12:49 GMT","referrer-policy":"strict-origin-when-cross-origin","server":"Caddy","strict-transport-security":"max-age=31536000; includeSubDomains; preload","vary":"Accept-Encoding","x-content-type-options":"nosniff","x-frame-options":"DENY","x-new-api-version":"v1.0.0-rc.2","x-oneapi-request-id":"202605211112395502866618268d9d6hribkHY2","x-request-id":"aa655a46-f692-4547-a7bf-c94504210493"}</t>
        </is>
      </c>
      <c r="N44" t="inlineStr">
        <is>
          <t>Stussy White Cotton Crew Neck Tee, Loose Fit, Front Logo Embroidery, Back Dice Graffiti Print, Unisex Streetwear Vintage Casual T-Shirt</t>
        </is>
      </c>
      <c r="O44" t="inlineStr">
        <is>
          <t>{"id":"resp_05fe55f4164c4999016a0eeddcc274819c91db3abe41c7a703","object":"chat.completion","created":1779363298,"model":"gpt-5.5","choices":[{"index":0,"message":{"role":"assistant","content":"Stussy,T-Shirts,kakobuy,kakebuy2026,kekobuysheet,kakobuysheet2026,2026kakobuy,kakobuyspreadsheeet,kakobuylink,kakebuylist,Kakobuy MEGA Spreadsheet,kakobuysheetfind,kakobuysheetfind2026,2026kakobuysheetfind,kakobuysheet2026"},"finish_reason":"stop"}],"usage":{"prompt_tokens":740,"completion_tokens":224,"total_tokens":964}}</t>
        </is>
      </c>
      <c r="P44" t="inlineStr">
        <is>
          <t>Stussy,T-Shirts,kakobuy,kakebuy2026,kekobuysheet,kakobuysheet2026,2026kakobuy,kakobuyspreadsheeet,kakobuylink,kakebuylist,Kakobuy MEGA Spreadsheet,kakobuysheetfind,kakobuysheetfind2026,2026kakobuysheetfind,kakobuysheet2026</t>
        </is>
      </c>
      <c r="Q44" t="inlineStr">
        <is>
          <t>Stussy, White, Streetwear, Vintage, Unisex</t>
        </is>
      </c>
      <c r="R44" t="inlineStr">
        <is>
          <t>recvk9JhrpbOG7</t>
        </is>
      </c>
      <c r="S44" t="inlineStr">
        <is>
          <t>stussy-white-logo-dice-graffiti-crew-neck-tee-recvk9jhrpbog7</t>
        </is>
      </c>
      <c r="T44"/>
      <c r="U44"/>
      <c r="V44"/>
      <c r="W44" t="inlineStr">
        <is>
          <t>{"id":"resp_096d02a208d6e116016a0ee791850c819d83190b2270579ecb","object":"chat.completion","created":1779361688,"model":"gpt-5.5","choices":[{"index":0,"message":{"role":"assistant","content":"Stussy: 白色纯棉短袖T恤，经典圆领宽松版型，正面简约Logo刺绣，背面骰子涂鸦印花，街头潮流美式复古风，男女通用，休闲百搭。"},"finish_reason":"stop"}],"usage":{"prompt_tokens":1255,"completion_tokens":345,"total_tokens":1600}}</t>
        </is>
      </c>
      <c r="X44" t="inlineStr">
        <is>
          <t>Stussy: 白色纯棉短袖T恤，经典圆领宽松版型，正面简约Logo刺绣，背面骰子涂鸦印花，街头潮流美式复古风，男女通用，休闲百搭。</t>
        </is>
      </c>
    </row>
    <row r="45" ht="25.5" customHeight="1">
      <c r="A45">
        <v>1839115443</v>
      </c>
      <c r="B45">
        <v>7771611330</v>
      </c>
      <c r="C45" s="2" t="str">
        <f>=HYPERLINK("https://weidian.com/item.html?itemID=7771611330", "https://weidian.com/item.html?itemID=7771611330")</f>
        <v>https://weidian.com/item.html?itemID=7771611330</v>
      </c>
      <c r="D45"/>
      <c r="E45" s="2" t="str">
        <f>=HYPERLINK("https://si.geilicdn.com/open1839115443-252808396-6bf30000019e44337c170a231226_800_800.jpg?w=640&amp;h=640", "https://si.geilicdn.com/open1839115443-252808396-6bf30000019e44337c170a231226_800_800.jpg?w=640&amp;h=640")</f>
        <v>https://si.geilicdn.com/open1839115443-252808396-6bf30000019e44337c170a231226_800_800.jpg?w=640&amp;h=640</v>
      </c>
      <c r="F45" t="inlineStr">
        <is>
          <t>T-Shirts</t>
        </is>
      </c>
      <c r="G45" t="inlineStr">
        <is>
          <t>A Bathing App</t>
        </is>
      </c>
      <c r="H45">
        <v>91</v>
      </c>
      <c r="I45">
        <v>13.19</v>
      </c>
      <c r="J45" t="inlineStr">
        <is>
          <t>{"id":"resp_0938ecff3be71af2016a0eea883764819d866935b1ea8c64a9","object":"chat.completion","created":1779362443,"model":"gpt-5.5","choices":[{"index":0,"message":{"role":"assistant","content":"A Bathing Ape Black Cotton Loose Fit Logo T-Shirt"},"finish_reason":"stop"}],"usage":{"prompt_tokens":726,"completion_tokens":125,"total_tokens":851}}</t>
        </is>
      </c>
      <c r="K45" t="inlineStr">
        <is>
          <t>A Bathing Ape Black Cotton Loose Fit Logo T-Shirt</t>
        </is>
      </c>
      <c r="L45" t="inlineStr">
        <is>
          <t>{"id":"resp_0a035dcbf43b2738016a0ee88028a881a293e4066cd88b83f4","object":"chat.completion","created":1779361924,"model":"gpt-5.5","choices":[{"index":0,"message":{"role":"assistant","content":"A Bathing Ape Black Cotton Tee, Breathable Loose Fit Crew Neck, Retro Streetwear Unisex Short Sleeve T-Shirt, Ape Logo Casual Top"},"finish_reason":"stop"}],"usage":{"prompt_tokens":744,"completion_tokens":181,"total_tokens":925}}</t>
        </is>
      </c>
      <c r="M45" t="inlineStr">
        <is>
          <t>{"alt-svc":"h3=\":443\"; ma=2592000","connection":"close","content-length":"423","content-type":"application/json; charset=utf-8","date":"Thu, 21 May 2026 11:12:04 GMT","referrer-policy":"strict-origin-when-cross-origin","server":"nginx/1.24.0 (Ubuntu)","strict-transport-security":"max-age=31536000; includeSubDomains; preload","vary":"Accept-Encoding","via":"1.1 Caddy","x-content-type-options":"nosniff","x-frame-options":"DENY","x-new-api-version":"v1.0.0-rc.2","x-oneapi-request-id":"202605211111596577827438268d9d6ZmGHAU95","x-request-id":"8dd4e7c3-c21c-4e1d-ab98-7bbeb41977fd"}</t>
        </is>
      </c>
      <c r="N45" t="inlineStr">
        <is>
          <t>A Bathing Ape Black Cotton Tee, Breathable Loose Fit Crew Neck, Retro Streetwear Unisex Short Sleeve T-Shirt, Ape Logo Casual Top</t>
        </is>
      </c>
      <c r="O45" t="inlineStr">
        <is>
          <t>{"id":"resp_03c6e7ebdc422cdb016a0eedb8df5c81a28bae3e90b9469e46","object":"chat.completion","created":1779363262,"model":"gpt-5.5","choices":[{"index":0,"message":{"role":"assistant","content":"A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kakobuysheet2026"},"finish_reason":"stop"}],"usage":{"prompt_tokens":646,"completion_tokens":258,"total_tokens":904}}</t>
        </is>
      </c>
      <c r="P45" t="inlineStr">
        <is>
          <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t>
        </is>
      </c>
      <c r="Q45" t="inlineStr">
        <is>
          <t>BAPE, Breathable, Retro, Streetwear, Unisex</t>
        </is>
      </c>
      <c r="R45" t="inlineStr">
        <is>
          <t>recvk9Jhrpe5wN</t>
        </is>
      </c>
      <c r="S45" t="inlineStr">
        <is>
          <t>bathing-ape-black-cotton-loose-logo-tshirt-recvk9jhrpe5wn</t>
        </is>
      </c>
      <c r="T45"/>
      <c r="U45"/>
      <c r="V45"/>
      <c r="W45" t="inlineStr">
        <is>
          <t>{"id":"resp_0a4b3b05083007a3016a0ee71cfe3881a0a976a014bed10b51","object":"chat.completion","created":1779361568,"model":"gpt-5.5","choices":[{"index":0,"message":{"role":"assistant","content":"黑色A Bathing Ape猿人Logo短袖T恤，纯棉透气面料，宽松圆领设计，复古街头潮流风格，男女同款休闲上衣"},"finish_reason":"stop"}],"usage":{"prompt_tokens":1163,"completion_tokens":118,"total_tokens":1281}}</t>
        </is>
      </c>
      <c r="X45" t="inlineStr">
        <is>
          <t>黑色A Bathing Ape猿人Logo短袖T恤，纯棉透气面料，宽松圆领设计，复古街头潮流风格，男女同款休闲上衣</t>
        </is>
      </c>
    </row>
    <row r="46" ht="25.5" customHeight="1">
      <c r="A46">
        <v>1839115443</v>
      </c>
      <c r="B46">
        <v>7771601478</v>
      </c>
      <c r="C46" s="2" t="str">
        <f>=HYPERLINK("https://weidian.com/item.html?itemID=7771601478", "https://weidian.com/item.html?itemID=7771601478")</f>
        <v>https://weidian.com/item.html?itemID=7771601478</v>
      </c>
      <c r="D46"/>
      <c r="E46" s="2" t="str">
        <f>=HYPERLINK("https://si.geilicdn.com/open1839115443-252808396-6bf90000019e44337e9c0a231226_1440_1440.jpg?w=640&amp;h=640", "https://si.geilicdn.com/open1839115443-252808396-6bf90000019e44337e9c0a231226_1440_1440.jpg?w=640&amp;h=640")</f>
        <v>https://si.geilicdn.com/open1839115443-252808396-6bf90000019e44337e9c0a231226_1440_1440.jpg?w=640&amp;h=640</v>
      </c>
      <c r="F46" t="inlineStr">
        <is>
          <t>T-Shirts</t>
        </is>
      </c>
      <c r="G46" t="inlineStr">
        <is>
          <t>Balenciaga</t>
        </is>
      </c>
      <c r="H46">
        <v>103</v>
      </c>
      <c r="I46">
        <v>14.93</v>
      </c>
      <c r="J46" t="inlineStr">
        <is>
          <t>{"id":"resp_0a4b460c06d10c6e016a0eea611b98819c949486cb31e854bb","object":"chat.completion","created":1779362405,"model":"gpt-5.5","choices":[{"index":0,"message":{"role":"assistant","content":"Balenciaga Fall 2026 Black Portrait Logo Oversized T-Shirt"},"finish_reason":"stop"}],"usage":{"prompt_tokens":727,"completion_tokens":163,"total_tokens":890}}</t>
        </is>
      </c>
      <c r="K46" t="inlineStr">
        <is>
          <t>Balenciaga Fall 2026 Black Portrait Logo Oversized T-Shirt</t>
        </is>
      </c>
      <c r="L46" t="inlineStr">
        <is>
          <t>{"id":"resp_0681b8b10e0f4a00016a0ee9a0327881a1917e288de5370e78","object":"chat.completion","created":1779362211,"model":"gpt-5.5","choices":[{"index":0,"message":{"role":"assistant","content":"Balenciaga Fall 2026 black cotton short sleeve T-shirt with portrait totem logo print, oversized streetwear unisex tee for men and women"},"finish_reason":"stop"}],"usage":{"prompt_tokens":742,"completion_tokens":118,"total_tokens":860}}</t>
        </is>
      </c>
      <c r="M46" t="inlineStr">
        <is>
          <t>{"alt-svc":"h3=\":443\"; ma=2592000","connection":"close","content-length":"430","content-type":"application/json; charset=utf-8","date":"Thu, 21 May 2026 11:16:51 GMT","referrer-policy":"strict-origin-when-cross-origin","server":"Caddy","strict-transport-security":"max-age=31536000; includeSubDomains; preload","vary":"Accept-Encoding","x-content-type-options":"nosniff","x-frame-options":"DENY","x-new-api-version":"v1.0.0-rc.2","x-oneapi-request-id":"202605211116476943108608268d9d6olo0g9KW","x-request-id":"abdf5a3b-e959-49e1-8108-6969c96a3a78"}</t>
        </is>
      </c>
      <c r="N46" t="inlineStr">
        <is>
          <t>Balenciaga Fall 2026 black cotton short sleeve T-shirt with portrait totem logo print, oversized streetwear unisex tee for men and women</t>
        </is>
      </c>
      <c r="O46" t="inlineStr">
        <is>
          <t>{"id":"resp_0c392d63171121a3016a0eee2af3948192965904e119f85e57","object":"chat.completion","created":1779363377,"model":"gpt-5.5","choices":[{"index":0,"message":{"role":"assistant","content":"Balenciaga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kakobuysheet2026"},"finish_reason":"stop"}],"usage":{"prompt_tokens":645,"completion_tokens":313,"total_tokens":958}}</t>
        </is>
      </c>
      <c r="P46"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46" t="inlineStr">
        <is>
          <t>Balenciaga, Black, Streetwear, Unisex</t>
        </is>
      </c>
      <c r="R46" t="inlineStr">
        <is>
          <t>recvk9Jhrp7Bei</t>
        </is>
      </c>
      <c r="S46" t="inlineStr">
        <is>
          <t>balenciaga-fall-2026-portrait-logo-oversized-tshirt-recvk9jhrp7bei</t>
        </is>
      </c>
      <c r="T46"/>
      <c r="U46"/>
      <c r="V46"/>
      <c r="W46" t="inlineStr">
        <is>
          <t>{"id":"resp_03d5e7e887ab2117016a0ee70d03dc819f95e65b5bdebb4ca0","object":"chat.completion","created":1779361552,"model":"gpt-5.5","choices":[{"index":0,"message":{"role":"assistant","content":"巴黎世家（Balenciaga）Fall 2026黑色棉质短袖T恤，人像图腾Logo印花，宽松街头潮流男女同款上衣"},"finish_reason":"stop"}],"usage":{"prompt_tokens":1169,"completion_tokens":152,"total_tokens":1321}}</t>
        </is>
      </c>
      <c r="X46" t="inlineStr">
        <is>
          <t>巴黎世家（Balenciaga）Fall 2026黑色棉质短袖T恤，人像图腾Logo印花，宽松街头潮流男女同款上衣</t>
        </is>
      </c>
    </row>
    <row r="47" ht="25.5" customHeight="1">
      <c r="A47">
        <v>1839115443</v>
      </c>
      <c r="B47">
        <v>7768721759</v>
      </c>
      <c r="C47" s="2" t="str">
        <f>=HYPERLINK("https://weidian.com/item.html?itemID=7768721759", "https://weidian.com/item.html?itemID=7768721759")</f>
        <v>https://weidian.com/item.html?itemID=7768721759</v>
      </c>
      <c r="D47"/>
      <c r="E47" s="2" t="str">
        <f>=HYPERLINK("https://si.geilicdn.com/open1839115443-252808396-7d4c0000019e443ad97f0aa08269_800_800.jpg?w=750&amp;h=750&amp;cp=1", "https://si.geilicdn.com/open1839115443-252808396-7d4c0000019e443ad97f0aa08269_800_800.jpg?w=750&amp;h=750&amp;cp=1")</f>
        <v>https://si.geilicdn.com/open1839115443-252808396-7d4c0000019e443ad97f0aa08269_800_800.jpg?w=750&amp;h=750&amp;cp=1</v>
      </c>
      <c r="F47" t="inlineStr">
        <is>
          <t>Hoodies</t>
        </is>
      </c>
      <c r="G47" t="inlineStr">
        <is>
          <t>A Bathing App</t>
        </is>
      </c>
      <c r="H47">
        <v>183</v>
      </c>
      <c r="I47">
        <v>26.52</v>
      </c>
      <c r="J47" t="inlineStr">
        <is>
          <t>{"id":"resp_0e1119f1f0cd8dbc016a0eeac7c4c88192b949252179b68920","object":"chat.completion","created":1779362507,"model":"gpt-5.5","choices":[{"index":0,"message":{"role":"assistant","content":"A Bathing Ape BAPE White Camo Ape Head Hoodie"},"finish_reason":"stop"}],"usage":{"prompt_tokens":936,"completion_tokens":166,"total_tokens":1102}}</t>
        </is>
      </c>
      <c r="K47" t="inlineStr">
        <is>
          <t>A Bathing Ape BAPE White Camo Ape Head Hoodie</t>
        </is>
      </c>
      <c r="L47" t="inlineStr">
        <is>
          <t>{"id":"resp_0eaa89708b976b0c016a0ee92196dc81a29c0851faeab55981","object":"chat.completion","created":1779362087,"model":"gpt-5.5","choices":[{"index":0,"message":{"role":"assistant","content":"A Bathing Ape BAPE White Camo Ape Head Cotton Hoodie, Drawstring Hood, Kangaroo Pocket, Unisex Streetwear Pullover"},"finish_reason":"stop"}],"usage":{"prompt_tokens":990,"completion_tokens":279,"total_tokens":1269}}</t>
        </is>
      </c>
      <c r="M47" t="inlineStr">
        <is>
          <t>{"alt-svc":"h3=\":443\"; ma=2592000","connection":"close","content-length":"409","content-type":"application/json; charset=utf-8","date":"Thu, 21 May 2026 11:14:47 GMT","referrer-policy":"strict-origin-when-cross-origin","server":"Caddy","strict-transport-security":"max-age=31536000; includeSubDomains; preload","vary":"Accept-Encoding","x-content-type-options":"nosniff","x-frame-options":"DENY","x-new-api-version":"v1.0.0-rc.2","x-oneapi-request-id":"20260521111440756497158268d9d6yxgxSMK8","x-request-id":"4e11c67c-acb2-4991-82f4-3121e54be943"}</t>
        </is>
      </c>
      <c r="N47" t="inlineStr">
        <is>
          <t>A Bathing Ape BAPE White Camo Ape Head Cotton Hoodie, Drawstring Hood, Kangaroo Pocket, Unisex Streetwear Pullover</t>
        </is>
      </c>
      <c r="O47" t="inlineStr">
        <is>
          <t>{"id":"resp_032c7ed48effd722016a0eedbd1308819c8f5afb30aa57165a","object":"chat.completion","created":1779363269,"model":"gpt-5.5","choices":[{"index":0,"message":{"role":"assistant","content":"A Bathing Ape,Hoodies,kakobuy,kakebuy2026,kekobuysheet,kakobuysheet2026,2026kakobuy,kakobuyspreadsheeet,kakobuylink,kakebuylist,Kakobuy MEGA Spreadsheet,kakobuysheetfind,kakobuysheetfind2026,2026kakobuysheetfind,kakobuysheet2026"},"finish_reason":"stop"}],"usage":{"prompt_tokens":858,"completion_tokens":435,"total_tokens":1293}}</t>
        </is>
      </c>
      <c r="P47" t="inlineStr">
        <is>
          <t>A Bathing Ape,Hoodies,kakobuy,kakebuy2026,kekobuysheet,kakobuysheet2026,2026kakobuy,kakobuyspreadsheeet,kakobuylink,kakebuylist,Kakobuy MEGA Spreadsheet,kakobuysheetfind,kakobuysheetfind2026,2026kakobuysheetfind,kakobuysheet2026</t>
        </is>
      </c>
      <c r="Q47" t="inlineStr">
        <is>
          <t>BAPE, White, Streetwear, Unisex</t>
        </is>
      </c>
      <c r="R47" t="inlineStr">
        <is>
          <t>recvk9JhrpUyNG</t>
        </is>
      </c>
      <c r="S47" t="inlineStr">
        <is>
          <t>bape-white-camo-ape-head-hoodie-recvk9jhrpuyng</t>
        </is>
      </c>
      <c r="T47"/>
      <c r="U47"/>
      <c r="V47"/>
      <c r="W47" t="inlineStr">
        <is>
          <t>{"id":"resp_0a01f8cfefb50de9016a0ee6cefd2081a3badbd7c8c44fa50e","object":"chat.completion","created":1779361497,"model":"gpt-5.5","choices":[{"index":0,"message":{"role":"assistant","content":"A Bathing Ape：白色BAPE迷彩图腾连帽卫衣，棉质面料，前幅猿人头印花设计，抽绳帽衫与袋鼠口袋实用百搭，街头潮流风格，男女同款，2000年代NIGO设计，休闲套头上衣"},"finish_reason":"stop"}],"usage":{"prompt_tokens":1389,"completion_tokens":536,"total_tokens":1925}}</t>
        </is>
      </c>
      <c r="X47" t="inlineStr">
        <is>
          <t>A Bathing Ape：白色BAPE迷彩图腾连帽卫衣，棉质面料，前幅猿人头印花设计，抽绳帽衫与袋鼠口袋实用百搭，街头潮流风格，男女同款，2000年代NIGO设计，休闲套头上衣</t>
        </is>
      </c>
    </row>
    <row r="48" ht="25.5" customHeight="1">
      <c r="A48">
        <v>1839115443</v>
      </c>
      <c r="B48">
        <v>7768635107</v>
      </c>
      <c r="C48" s="2" t="str">
        <f>=HYPERLINK("https://weidian.com/item.html?itemID=7768635107", "https://weidian.com/item.html?itemID=7768635107")</f>
        <v>https://weidian.com/item.html?itemID=7768635107</v>
      </c>
      <c r="D48"/>
      <c r="E48" s="2" t="str">
        <f>=HYPERLINK("https://si.geilicdn.com/open1839115443-252808396-5c5e0000019e44242ac50a23b491_800_800.jpg?w=640&amp;h=640", "https://si.geilicdn.com/open1839115443-252808396-5c5e0000019e44242ac50a23b491_800_800.jpg?w=640&amp;h=640")</f>
        <v>https://si.geilicdn.com/open1839115443-252808396-5c5e0000019e44242ac50a23b491_800_800.jpg?w=640&amp;h=640</v>
      </c>
      <c r="F48" t="inlineStr">
        <is>
          <t>T-Shirts</t>
        </is>
      </c>
      <c r="G48" t="inlineStr">
        <is>
          <t>Gallery Dept.</t>
        </is>
      </c>
      <c r="H48">
        <v>91</v>
      </c>
      <c r="I48">
        <v>13.19</v>
      </c>
      <c r="J48" t="inlineStr">
        <is>
          <t>{"id":"resp_09b8e833c37e9185016a0eea6bcc08819fb7f48642cf00a254","object":"chat.completion","created":1779362414,"model":"gpt-5.5","choices":[{"index":0,"message":{"role":"assistant","content":"Gallery Dept Yellow Hollywood Graphic Cotton T-Shirt"},"finish_reason":"stop"}],"usage":{"prompt_tokens":721,"completion_tokens":108,"total_tokens":829}}</t>
        </is>
      </c>
      <c r="K48" t="inlineStr">
        <is>
          <t>Gallery Dept Yellow Hollywood Graphic Cotton T-Shirt</t>
        </is>
      </c>
      <c r="L48" t="inlineStr">
        <is>
          <t>{"id":"resp_0349a428681bc5cf016a0ee8471ae4819daf40998025165864","object":"chat.completion","created":1779361866,"model":"gpt-5.5","choices":[{"index":0,"message":{"role":"assistant","content":"Gallery Dept. yellow Hollywood slogan T-shirt, cotton crew neck loose fit, vintage streetwear graphic print, unisex casual short sleeve top"},"finish_reason":"stop"}],"usage":{"prompt_tokens":739,"completion_tokens":121,"total_tokens":860}}</t>
        </is>
      </c>
      <c r="M48" t="inlineStr">
        <is>
          <t>{"alt-svc":"h3=\":443\"; ma=2592000","connection":"close","content-length":"433","content-type":"application/json; charset=utf-8","date":"Thu, 21 May 2026 11:11:06 GMT","referrer-policy":"strict-origin-when-cross-origin","server":"Caddy","strict-transport-security":"max-age=31536000; includeSubDomains; preload","vary":"Accept-Encoding","x-content-type-options":"nosniff","x-frame-options":"DENY","x-new-api-version":"v1.0.0-rc.2","x-oneapi-request-id":"202605211111017308913578268d9d6GEQP9EJP","x-request-id":"fcebb3ba-a4d1-40d1-bd82-504d15b03c9f"}</t>
        </is>
      </c>
      <c r="N48" t="inlineStr">
        <is>
          <t>Gallery Dept. yellow Hollywood slogan T-shirt, cotton crew neck loose fit, vintage streetwear graphic print, unisex casual short sleeve top</t>
        </is>
      </c>
      <c r="O48" t="inlineStr">
        <is>
          <t>{"id":"resp_08e3d85d0b5a8247016a0eeec102a4819189941eb4ccac5120","object":"chat.completion","created":1779363529,"model":"gpt-5.5","choices":[{"index":0,"message":{"role":"assistant","content":"Gallery Dept T-Shirts kakobuy, Gallery Dept T-Shirts kakebuy2026, Gallery Dept T-Shirts kekobuysheet, Gallery Dept T-Shirts kakobuysheet2026, Gallery Dept T-Shirts 2026kakobuy, Gallery Dept T-Shirts kakobuyspreadsheeet, Gallery Dept T-Shirts kakobuylink, Gallery Dept T-Shirts kakebuylist, Gallery Dept T-Shirts Kakobuy MEGA Spreadsheet, Gallery Dept T-Shirts kakobuysheetfind, Gallery Dept T-Shirts kakobuysheetfind2026, Gallery Dept T-Shirts 2026kakobuysheetfind, Gallery Dept T-Shirts kakobuysheet2026"},"finish_reason":"stop"}],"usage":{"prompt_tokens":644,"completion_tokens":381,"total_tokens":1025}}</t>
        </is>
      </c>
      <c r="P48" t="inlineStr">
        <is>
          <t>Gallery Dept T-Shirts kakobuy, Gallery Dept T-Shirts kakebuy2026, Gallery Dept T-Shirts kekobuysheet, Gallery Dept T-Shirts kakobuysheet2026, Gallery Dept T-Shirts 2026kakobuy, Gallery Dept T-Shirts kakobuyspreadsheeet, Gallery Dept T-Shirts kakobuylink, Gallery Dept T-Shirts kakebuylist, Gallery Dept T-Shirts Kakobuy MEGA Spreadsheet, Gallery Dept T-Shirts kakobuysheetfind, Gallery Dept T-Shirts kakobuysheetfind2026, Gallery Dept T-Shirts 2026kakobuysheetfind, Gallery Dept T-Shirts kakobuysheet2026</t>
        </is>
      </c>
      <c r="Q48" t="inlineStr">
        <is>
          <t>Yellow, Vintage, Streetwear, Unisex</t>
        </is>
      </c>
      <c r="R48" t="inlineStr">
        <is>
          <t>recvk9Jhrpl8Bp</t>
        </is>
      </c>
      <c r="S48" t="inlineStr">
        <is>
          <t>gallery-dept-yellow-hollywood-graphic-recvk9jhrpl8bp</t>
        </is>
      </c>
      <c r="T48"/>
      <c r="U48"/>
      <c r="V48"/>
      <c r="W48" t="inlineStr">
        <is>
          <t>{"id":"resp_0f8df13f8ae274b4016a0ee685b18881a1b0d1cc4a129476bd","object":"chat.completion","created":1779361417,"model":"gpt-5.5","choices":[{"index":0,"message":{"role":"assistant","content":"黄色Gallery Dept. Hollywood标语短袖T恤，棉质圆领宽松版型，复古街头潮流印花，男女同款休闲上衣"},"finish_reason":"stop"}],"usage":{"prompt_tokens":1167,"completion_tokens":138,"total_tokens":1305}}</t>
        </is>
      </c>
      <c r="X48" t="inlineStr">
        <is>
          <t>黄色Gallery Dept. Hollywood标语短袖T恤，棉质圆领宽松版型，复古街头潮流印花，男女同款休闲上衣</t>
        </is>
      </c>
    </row>
    <row r="49" ht="25.5" customHeight="1">
      <c r="A49">
        <v>1839115443</v>
      </c>
      <c r="B49">
        <v>7768654483</v>
      </c>
      <c r="C49" s="2" t="str">
        <f>=HYPERLINK("https://weidian.com/item.html?itemID=7768654483", "https://weidian.com/item.html?itemID=7768654483")</f>
        <v>https://weidian.com/item.html?itemID=7768654483</v>
      </c>
      <c r="D49"/>
      <c r="E49" s="2" t="str">
        <f>=HYPERLINK("https://si.geilicdn.com/open1839115443-252808396-55820000019e44223a210aa08239_1440_1920.jpg?w=640&amp;h=640", "https://si.geilicdn.com/open1839115443-252808396-55820000019e44223a210aa08239_1440_1920.jpg?w=640&amp;h=640")</f>
        <v>https://si.geilicdn.com/open1839115443-252808396-55820000019e44223a210aa08239_1440_1920.jpg?w=640&amp;h=640</v>
      </c>
      <c r="F49" t="inlineStr">
        <is>
          <t>T-Shirts</t>
        </is>
      </c>
      <c r="G49" t="inlineStr">
        <is>
          <t>A Bathing App</t>
        </is>
      </c>
      <c r="H49">
        <v>83</v>
      </c>
      <c r="I49">
        <v>12.03</v>
      </c>
      <c r="J49" t="inlineStr">
        <is>
          <t>{"id":"resp_067a3cfd99136312016a0eec4a7e8c819fac7a8bd6fc964706","object":"chat.completion","created":1779362894,"model":"gpt-5.5","choices":[{"index":0,"message":{"role":"assistant","content":"A Bathing Ape Black Ape Head Logo Cotton T-Shirt"},"finish_reason":"stop"}],"usage":{"prompt_tokens":878,"completion_tokens":169,"total_tokens":1047}}</t>
        </is>
      </c>
      <c r="K49" t="inlineStr">
        <is>
          <t>A Bathing Ape Black Ape Head Logo Cotton T-Shirt</t>
        </is>
      </c>
      <c r="L49" t="inlineStr">
        <is>
          <t>{"id":"resp_01aa44c2020c929b016a0ee98fd1e0819e852b0827a6b89b22","object":"chat.completion","created":1779362200,"model":"gpt-5.5","choices":[{"index":0,"message":{"role":"assistant","content":"A Bathing Ape Black Cotton T-Shirt, Classic Ape Head Logo, Unisex Streetwear Retro Casual Top"},"finish_reason":"stop"}],"usage":{"prompt_tokens":904,"completion_tokens":441,"total_tokens":1345}}</t>
        </is>
      </c>
      <c r="M49" t="inlineStr">
        <is>
          <t>{"alt-svc":"h3=\":443\"; ma=2592000","connection":"close","content-length":"388","content-type":"application/json; charset=utf-8","date":"Thu, 21 May 2026 11:16:40 GMT","referrer-policy":"strict-origin-when-cross-origin","server":"Caddy","strict-transport-security":"max-age=31536000; includeSubDomains; preload","vary":"Accept-Encoding","x-content-type-options":"nosniff","x-frame-options":"DENY","x-new-api-version":"v1.0.0-rc.2","x-oneapi-request-id":"20260521111631646772618268d9d6twheqoyq","x-request-id":"373cd549-12a5-4025-8605-efa401902a1a"}</t>
        </is>
      </c>
      <c r="N49" t="inlineStr">
        <is>
          <t>A Bathing Ape Black Cotton T-Shirt, Classic Ape Head Logo, Unisex Streetwear Retro Casual Top</t>
        </is>
      </c>
      <c r="O49" t="inlineStr">
        <is>
          <t>{"id":"resp_01f0c6853ce2a946016a0eee97ab2081a1aaecab682a7ea700","object":"chat.completion","created":1779363486,"model":"gpt-5.5","choices":[{"index":0,"message":{"role":"assistant","content":"A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kakobuysheet2026"},"finish_reason":"stop"}],"usage":{"prompt_tokens":814,"completion_tokens":292,"total_tokens":1106}}</t>
        </is>
      </c>
      <c r="P49" t="inlineStr">
        <is>
          <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t>
        </is>
      </c>
      <c r="Q49" t="inlineStr">
        <is>
          <t>BAPE, Black, Unisex, Streetwear, Retro Casual</t>
        </is>
      </c>
      <c r="R49" t="inlineStr">
        <is>
          <t>recvk9JhrpxrJ8</t>
        </is>
      </c>
      <c r="S49" t="inlineStr">
        <is>
          <t>bathing-ape-black-ape-head-logo-cotton-tshirt-recvk9jhrpxrj8</t>
        </is>
      </c>
      <c r="T49"/>
      <c r="U49"/>
      <c r="V49"/>
      <c r="W49" t="inlineStr">
        <is>
          <t>{"id":"resp_0925f22e876003fa016a0ee7153aa0819d85a3af924d3c35a0","object":"chat.completion","created":1779361561,"model":"gpt-5.5","choices":[{"index":0,"message":{"role":"assistant","content":"日潮 A Bathing Ape 黑色纯棉短袖T恤，经典猿人头Logo印花，男女同款街头复古休闲上衣"},"finish_reason":"stop"}],"usage":{"prompt_tokens":1333,"completion_tokens":150,"total_tokens":1483}}</t>
        </is>
      </c>
      <c r="X49" t="inlineStr">
        <is>
          <t>日潮 A Bathing Ape 黑色纯棉短袖T恤，经典猿人头Logo印花，男女同款街头复古休闲上衣</t>
        </is>
      </c>
    </row>
    <row r="50" ht="25.5" customHeight="1">
      <c r="A50">
        <v>1839115443</v>
      </c>
      <c r="B50">
        <v>7768652787</v>
      </c>
      <c r="C50" s="2" t="str">
        <f>=HYPERLINK("https://weidian.com/item.html?itemID=7768652787", "https://weidian.com/item.html?itemID=7768652787")</f>
        <v>https://weidian.com/item.html?itemID=7768652787</v>
      </c>
      <c r="D50"/>
      <c r="E50" s="2" t="str">
        <f>=HYPERLINK("https://si.geilicdn.com/open1839115443-252808396-63100000019e442c1ee20aa08239_800_800.jpg?w=640&amp;h=640", "https://si.geilicdn.com/open1839115443-252808396-63100000019e442c1ee20aa08239_800_800.jpg?w=640&amp;h=640")</f>
        <v>https://si.geilicdn.com/open1839115443-252808396-63100000019e442c1ee20aa08239_800_800.jpg?w=640&amp;h=640</v>
      </c>
      <c r="F50" t="inlineStr">
        <is>
          <t>T-Shirts</t>
        </is>
      </c>
      <c r="G50" t="inlineStr">
        <is>
          <t>A Bathing App</t>
        </is>
      </c>
      <c r="H50">
        <v>95</v>
      </c>
      <c r="I50">
        <v>13.77</v>
      </c>
      <c r="J50" t="inlineStr">
        <is>
          <t>{"id":"resp_0a5d4715314e6543016a0eea40d4c8819d99d819f82cf29ee4","object":"chat.completion","created":1779362372,"model":"gpt-5.5","choices":[{"index":0,"message":{"role":"assistant","content":"BAPE White Ape Fish Graphic Unisex Cotton T-Shirt"},"finish_reason":"stop"}],"usage":{"prompt_tokens":735,"completion_tokens":142,"total_tokens":877}}</t>
        </is>
      </c>
      <c r="K50" t="inlineStr">
        <is>
          <t>BAPE White Ape Fish Graphic Unisex Cotton T-Shirt</t>
        </is>
      </c>
      <c r="L50" t="inlineStr">
        <is>
          <t>{"id":"resp_033baf0e116e8837016a0ee88b11c88191a86280810f940466","object":"chat.completion","created":1779361933,"model":"gpt-5.5","choices":[{"index":0,"message":{"role":"assistant","content":"A Bathing Ape BAPE white cotton T-shirt with classic ape logo and bold blue fish graphic, unisex streetwear tee, soft, casual, versatile designer style."},"finish_reason":"stop"}],"usage":{"prompt_tokens":765,"completion_tokens":102,"total_tokens":867}}</t>
        </is>
      </c>
      <c r="M50" t="inlineStr">
        <is>
          <t>{"alt-svc":"h3=\":443\"; ma=2592000","connection":"close","content-length":"446","content-type":"application/json; charset=utf-8","date":"Thu, 21 May 2026 11:12:13 GMT","referrer-policy":"strict-origin-when-cross-origin","server":"Caddy","strict-transport-security":"max-age=31536000; includeSubDomains; preload","vary":"Accept-Encoding","x-content-type-options":"nosniff","x-frame-options":"DENY","x-new-api-version":"v1.0.0-rc.2","x-oneapi-request-id":"202605211112107218509558268d9d6XO9d1n6r","x-request-id":"ef7ff976-5bff-44d5-8077-d0d1b91af22f"}</t>
        </is>
      </c>
      <c r="N50" t="inlineStr">
        <is>
          <t>A Bathing Ape BAPE white cotton T-shirt with classic ape logo and bold blue fish graphic, unisex streetwear tee, soft, casual, versatile designer style.</t>
        </is>
      </c>
      <c r="O50" t="inlineStr">
        <is>
          <t>{"id":"resp_0b2236bbca78076a016a0eed60712881a0ad0a5564021796dd","object":"chat.completion","created":1779363179,"model":"gpt-5.5","choices":[{"index":0,"message":{"role":"assistant","content":"A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kakobuysheet2026"},"finish_reason":"stop"}],"usage":{"prompt_tokens":646,"completion_tokens":497,"total_tokens":1143}}</t>
        </is>
      </c>
      <c r="P50" t="inlineStr">
        <is>
          <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t>
        </is>
      </c>
      <c r="Q50" t="inlineStr">
        <is>
          <t>BAPE, Unisex</t>
        </is>
      </c>
      <c r="R50" t="inlineStr">
        <is>
          <t>recvk9Jhrp6XQm</t>
        </is>
      </c>
      <c r="S50" t="inlineStr">
        <is>
          <t>bape-white-ape-fish-graphic-cotton-tshirt-recvk9jhrp6xqm</t>
        </is>
      </c>
      <c r="T50"/>
      <c r="U50"/>
      <c r="V50"/>
      <c r="W50" t="inlineStr">
        <is>
          <t>{"id":"resp_02f618a12a68d40f016a0ee79e9df08191a64e074483f70520","object":"chat.completion","created":1779361705,"model":"gpt-5.5","choices":[{"index":0,"message":{"role":"assistant","content":"白色A Bathing Ape经典猿人图腾短袖T恤，柔软棉质面料，正面蓝色鱼形印花吸睛醒目，街头潮流风格，男女同款，休闲百搭设计，BAPE标志性设计师款T恤。"},"finish_reason":"stop"}],"usage":{"prompt_tokens":1163,"completion_tokens":537,"total_tokens":1700}}</t>
        </is>
      </c>
      <c r="X50" t="inlineStr">
        <is>
          <t>白色A Bathing Ape经典猿人图腾短袖T恤，柔软棉质面料，正面蓝色鱼形印花吸睛醒目，街头潮流风格，男女同款，休闲百搭设计，BAPE标志性设计师款T恤。</t>
        </is>
      </c>
    </row>
    <row r="51" ht="25.5" customHeight="1">
      <c r="A51">
        <v>1839115443</v>
      </c>
      <c r="B51">
        <v>7768519353</v>
      </c>
      <c r="C51" s="2" t="str">
        <f>=HYPERLINK("https://weidian.com/item.html?itemID=7768519353", "https://weidian.com/item.html?itemID=7768519353")</f>
        <v>https://weidian.com/item.html?itemID=7768519353</v>
      </c>
      <c r="D51"/>
      <c r="E51" s="2" t="str">
        <f>=HYPERLINK("https://si.geilicdn.com/open1839115443-252808396-4e3f0000019e442d214b0a8115c2_1080_1080.jpg?w=640&amp;h=640", "https://si.geilicdn.com/open1839115443-252808396-4e3f0000019e442d214b0a8115c2_1080_1080.jpg?w=640&amp;h=640")</f>
        <v>https://si.geilicdn.com/open1839115443-252808396-4e3f0000019e442d214b0a8115c2_1080_1080.jpg?w=640&amp;h=640</v>
      </c>
      <c r="F51" t="inlineStr">
        <is>
          <t>T-Shirts</t>
        </is>
      </c>
      <c r="G51" t="inlineStr">
        <is>
          <t>Chrome Hearts</t>
        </is>
      </c>
      <c r="H51">
        <v>83</v>
      </c>
      <c r="I51">
        <v>12.03</v>
      </c>
      <c r="J51" t="inlineStr">
        <is>
          <t>{"id":"resp_099bd00f102af53e016a0eeb8e4d8481a0a099f3d2b8c18151","object":"chat.completion","created":1779362711,"model":"gpt-5.5","choices":[{"index":0,"message":{"role":"assistant","content":"Chrome Hearts White Cotton Cross Badge Breathable Unisex Tee"},"finish_reason":"stop"}],"usage":{"prompt_tokens":715,"completion_tokens":304,"total_tokens":1019}}</t>
        </is>
      </c>
      <c r="K51" t="inlineStr">
        <is>
          <t>Chrome Hearts White Cotton Cross Badge Breathable Unisex Tee</t>
        </is>
      </c>
      <c r="L51" t="inlineStr">
        <is>
          <t>{"id":"resp_0e61ac0701e78460016a0ee8440df0819cacb1e14610767871","object":"chat.completion","created":1779361862,"model":"gpt-5.5","choices":[{"index":0,"message":{"role":"assistant","content":"Chrome Hearts white cotton short sleeve T-shirt, breathable unisex tee with colorful cross badge print, vintage streetwear casual top."},"finish_reason":"stop"}],"usage":{"prompt_tokens":743,"completion_tokens":96,"total_tokens":839}}</t>
        </is>
      </c>
      <c r="M51" t="inlineStr">
        <is>
          <t>{"alt-svc":"h3=\":443\"; ma=2592000","connection":"close","content-length":"427","content-type":"application/json; charset=utf-8","date":"Thu, 21 May 2026 11:11:02 GMT","referrer-policy":"strict-origin-when-cross-origin","server":"Caddy","strict-transport-security":"max-age=31536000; includeSubDomains; preload","vary":"Accept-Encoding","x-content-type-options":"nosniff","x-frame-options":"DENY","x-new-api-version":"v1.0.0-rc.2","x-oneapi-request-id":"202605211110596163296478268d9d6QDawfiIP","x-request-id":"5ae1a7a3-4605-46b7-bbc9-fee8d5c0d191"}</t>
        </is>
      </c>
      <c r="N51" t="inlineStr">
        <is>
          <t>Chrome Hearts white cotton short sleeve T-shirt, breathable unisex tee with colorful cross badge print, vintage streetwear casual top.</t>
        </is>
      </c>
      <c r="O51" t="inlineStr">
        <is>
          <t>{"id":"resp_07b3b8210a1a2f51016a0eee5a1f30819c8d37b17e08e05e5a","object":"chat.completion","created":1779363426,"model":"gpt-5.5","choices":[{"index":0,"message":{"role":"assistant","content":"Chrome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kakobuysheet2026"},"finish_reason":"stop"}],"usage":{"prompt_tokens":644,"completion_tokens":259,"total_tokens":903}}</t>
        </is>
      </c>
      <c r="P51"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51" t="inlineStr">
        <is>
          <t>White, Breathable, Unisex, Vintage, Streetwear</t>
        </is>
      </c>
      <c r="R51" t="inlineStr">
        <is>
          <t>recvk9Jhrpg27b</t>
        </is>
      </c>
      <c r="S51" t="inlineStr">
        <is>
          <t>chrome-hearts-white-cotton-cross-badge-tee-recvk9jhrpg27b</t>
        </is>
      </c>
      <c r="T51"/>
      <c r="U51"/>
      <c r="V51"/>
      <c r="W51" t="inlineStr">
        <is>
          <t>{"id":"resp_056a94078de8b123016a0ee684cf6c819ea685289ded0d393b","object":"chat.completion","created":1779361415,"model":"gpt-5.5","choices":[{"index":0,"message":{"role":"assistant","content":"白色Chrome Hearts短袖T恤，纯棉舒适透气，胸前彩色十字徽章印花，男女同款复古街头休闲上衣"},"finish_reason":"stop"}],"usage":{"prompt_tokens":1173,"completion_tokens":122,"total_tokens":1295}}</t>
        </is>
      </c>
      <c r="X51" t="inlineStr">
        <is>
          <t>白色Chrome Hearts短袖T恤，纯棉舒适透气，胸前彩色十字徽章印花，男女同款复古街头休闲上衣</t>
        </is>
      </c>
    </row>
    <row r="52" ht="25.5" customHeight="1">
      <c r="A52">
        <v>1839115443</v>
      </c>
      <c r="B52">
        <v>7768611463</v>
      </c>
      <c r="C52" s="2" t="str">
        <f>=HYPERLINK("https://weidian.com/item.html?itemID=7768611463", "https://weidian.com/item.html?itemID=7768611463")</f>
        <v>https://weidian.com/item.html?itemID=7768611463</v>
      </c>
      <c r="D52"/>
      <c r="E52" s="2" t="str">
        <f>=HYPERLINK("https://si.geilicdn.com/open1839115443-252808396-56af0000019e4432f66c0a8115c2_800_533.jpg?w=640&amp;h=640", "https://si.geilicdn.com/open1839115443-252808396-56af0000019e4432f66c0a8115c2_800_533.jpg?w=640&amp;h=640")</f>
        <v>https://si.geilicdn.com/open1839115443-252808396-56af0000019e4432f66c0a8115c2_800_533.jpg?w=640&amp;h=640</v>
      </c>
      <c r="F52" t="inlineStr">
        <is>
          <t>T-Shirts</t>
        </is>
      </c>
      <c r="G52" t="inlineStr">
        <is>
          <t>A Bathing App</t>
        </is>
      </c>
      <c r="H52">
        <v>91</v>
      </c>
      <c r="I52">
        <v>13.19</v>
      </c>
      <c r="J52" t="inlineStr">
        <is>
          <t>{"id":"resp_0e0bd82eb383874d016a0ee9fb8b10819daeaca3a5c0c1d8a0","object":"chat.completion","created":1779362302,"model":"gpt-5.5","choices":[{"index":0,"message":{"role":"assistant","content":"A Bathing Ape Black Camo Ape Head Cotton T-Shirt"},"finish_reason":"stop"}],"usage":{"prompt_tokens":564,"completion_tokens":139,"total_tokens":703}}</t>
        </is>
      </c>
      <c r="K52" t="inlineStr">
        <is>
          <t>A Bathing Ape Black Camo Ape Head Cotton T-Shirt</t>
        </is>
      </c>
      <c r="L52" t="inlineStr">
        <is>
          <t>{"id":"resp_05378cd90fb08417016a0ee8c65ccc81a3ad9c6cc14e2d35f5","object":"chat.completion","created":1779361997,"model":"gpt-5.5","choices":[{"index":0,"message":{"role":"assistant","content":"A Bathing Ape Black Cotton T-Shirt, Camo Ape Head Logo, Streetwear Unisex Casual"},"finish_reason":"stop"}],"usage":{"prompt_tokens":602,"completion_tokens":345,"total_tokens":947}}</t>
        </is>
      </c>
      <c r="M52" t="inlineStr">
        <is>
          <t>{"alt-svc":"h3=\":443\"; ma=2592000","connection":"close","content-length":"374","content-type":"application/json; charset=utf-8","date":"Thu, 21 May 2026 11:13:17 GMT","referrer-policy":"strict-origin-when-cross-origin","server":"nginx/1.24.0 (Ubuntu)","strict-transport-security":"max-age=31536000; includeSubDomains; preload","vary":"Accept-Encoding","via":"1.1 Caddy","x-content-type-options":"nosniff","x-frame-options":"DENY","x-new-api-version":"v1.0.0-rc.2","x-oneapi-request-id":"202605211113099606903388268d9d6qKENpI8K","x-request-id":"85a95aa3-b144-43a5-af4f-9b834e7e095f"}</t>
        </is>
      </c>
      <c r="N52" t="inlineStr">
        <is>
          <t>A Bathing Ape Black Cotton T-Shirt, Camo Ape Head Logo, Streetwear Unisex Casual</t>
        </is>
      </c>
      <c r="O52" t="inlineStr">
        <is>
          <t>{"id":"resp_0b49b5b65fb31946016a0eee18b19881a2a64b79d065b2afd9","object":"chat.completion","created":1779363359,"model":"gpt-5.5","choices":[{"index":0,"message":{"role":"assistant","content":"A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kakobuysheet2026"},"finish_reason":"stop"}],"usage":{"prompt_tokens":502,"completion_tokens":326,"total_tokens":828}}</t>
        </is>
      </c>
      <c r="P52" t="inlineStr">
        <is>
          <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t>
        </is>
      </c>
      <c r="Q52" t="inlineStr">
        <is>
          <t>BAPE, Black, Streetwear, Unisex</t>
        </is>
      </c>
      <c r="R52" t="inlineStr">
        <is>
          <t>recvk9Jhrp207Y</t>
        </is>
      </c>
      <c r="S52" t="inlineStr">
        <is>
          <t>bathing-ape-black-camo-ape-head-cotton-tshirt-recvk9jhrp207y</t>
        </is>
      </c>
      <c r="T52"/>
      <c r="U52"/>
      <c r="V52"/>
      <c r="W52" t="inlineStr">
        <is>
          <t>{"id":"resp_030921fe6ad32f6f016a0ee78265bc81a1bb4f579219f8ad25","object":"chat.completion","created":1779361675,"model":"gpt-5.5","choices":[{"index":0,"message":{"role":"assistant","content":"A Bathing Ape: 黑色纯棉短袖T恤，正面迷彩猿人头Logo印花，街头潮流设计，男女同款，经典日常休闲款。"},"finish_reason":"stop"}],"usage":{"prompt_tokens":1027,"completion_tokens":438,"total_tokens":1465}}</t>
        </is>
      </c>
      <c r="X52" t="inlineStr">
        <is>
          <t>A Bathing Ape: 黑色纯棉短袖T恤，正面迷彩猿人头Logo印花，街头潮流设计，男女同款，经典日常休闲款。</t>
        </is>
      </c>
    </row>
    <row r="53" ht="25.5" customHeight="1">
      <c r="A53">
        <v>1839115443</v>
      </c>
      <c r="B53">
        <v>7768715849</v>
      </c>
      <c r="C53" s="2" t="str">
        <f>=HYPERLINK("https://weidian.com/item.html?itemID=7768715849", "https://weidian.com/item.html?itemID=7768715849")</f>
        <v>https://weidian.com/item.html?itemID=7768715849</v>
      </c>
      <c r="D53"/>
      <c r="E53" s="2" t="str">
        <f>=HYPERLINK("https://si.geilicdn.com/open1839115443-252808396-6d2a0000019e443328f10aa08239_1024_1024.jpg?w=640&amp;h=640", "https://si.geilicdn.com/open1839115443-252808396-6d2a0000019e443328f10aa08239_1024_1024.jpg?w=640&amp;h=640")</f>
        <v>https://si.geilicdn.com/open1839115443-252808396-6d2a0000019e443328f10aa08239_1024_1024.jpg?w=640&amp;h=640</v>
      </c>
      <c r="F53" t="inlineStr">
        <is>
          <t>Other</t>
        </is>
      </c>
      <c r="G53" t="inlineStr">
        <is>
          <t>Comme Des Garcons</t>
        </is>
      </c>
      <c r="H53">
        <v>131</v>
      </c>
      <c r="I53">
        <v>18.99</v>
      </c>
      <c r="J53" t="inlineStr">
        <is>
          <t>{"id":"resp_04645af6fedc8d98016a0eea35df488192944992fc76a58c12","object":"chat.completion","created":1779362362,"model":"gpt-5.5","choices":[{"index":0,"message":{"role":"assistant","content":"Comme Des Garcons Black Red Heart Hoodie Jogger Set"},"finish_reason":"stop"}],"usage":{"prompt_tokens":727,"completion_tokens":184,"total_tokens":911}}</t>
        </is>
      </c>
      <c r="K53" t="inlineStr">
        <is>
          <t>Comme Des Garcons Black Red Heart Hoodie Jogger Set</t>
        </is>
      </c>
      <c r="L53" t="inlineStr">
        <is>
          <t>{"id":"resp_00c90ff6752c85f1016a0ee8539d8881a38df70a0ebfe5ef40","object":"chat.completion","created":1779361885,"model":"gpt-5.5","choices":[{"index":0,"message":{"role":"assistant","content":"Comme Des Garcons Black Red Heart Embroidered Hoodie &amp; Jogger Set, Cotton Streetwear Unisex, Kangaroo Pocket, Tapered Pants"},"finish_reason":"stop"}],"usage":{"prompt_tokens":741,"completion_tokens":388,"total_tokens":1129}}</t>
        </is>
      </c>
      <c r="M53" t="inlineStr">
        <is>
          <t>{"alt-svc":"h3=\":443\"; ma=2592000","connection":"close","content-length":"423","content-type":"application/json; charset=utf-8","date":"Thu, 21 May 2026 11:11:25 GMT","referrer-policy":"strict-origin-when-cross-origin","server":"nginx/1.24.0 (Ubuntu)","strict-transport-security":"max-age=31536000; includeSubDomains; preload","vary":"Accept-Encoding","via":"1.1 Caddy","x-content-type-options":"nosniff","x-frame-options":"DENY","x-new-api-version":"v1.0.0-rc.2","x-oneapi-request-id":"202605211111141432424358268d9d6v1y4fuC8","x-request-id":"81ffd5c3-3f3d-40b6-a419-2b191b49ddc5"}</t>
        </is>
      </c>
      <c r="N53" t="inlineStr">
        <is>
          <t>Comme Des Garcons Black Red Heart Embroidered Hoodie &amp; Jogger Set, Cotton Streetwear Unisex, Kangaroo Pocket, Tapered Pants</t>
        </is>
      </c>
      <c r="O53" t="inlineStr">
        <is>
          <t>{"id":"resp_0a58c486262c528c016a0eed90d29081a1be1ef70ede693f37","object":"chat.completion","created":1779363227,"model":"gpt-5.5","choices":[{"index":0,"message":{"role":"assistant","content":"Comme Des Garcons, tracksuit, kakobuy, kakebuy2026, kekobuysheet, kakobuysheet2026, 2026kakobuy, kakobuyspreadsheeet, kakobuylink, kakebuylist, Kakobuy MEGA Spreadsheet, kakobuysheetfind, kakobuysheetfind2026, 2026kakobuysheetfind, kakobuysheet2026"},"finish_reason":"stop"}],"usage":{"prompt_tokens":645,"completion_tokens":551,"total_tokens":1196}}</t>
        </is>
      </c>
      <c r="P53" t="inlineStr">
        <is>
          <t>Comme Des Garcons, tracksuit, kakobuy, kakebuy2026, kekobuysheet, kakobuysheet2026, 2026kakobuy, kakobuyspreadsheeet, kakobuylink, kakebuylist, Kakobuy MEGA Spreadsheet, kakobuysheetfind, kakobuysheetfind2026, 2026kakobuysheetfind, kakobuysheet2026</t>
        </is>
      </c>
      <c r="Q53" t="inlineStr">
        <is>
          <t>Black Red, Streetwear, Unisex, Joggers</t>
        </is>
      </c>
      <c r="R53" t="inlineStr">
        <is>
          <t>recvk9JhrpfEgI</t>
        </is>
      </c>
      <c r="S53" t="inlineStr">
        <is>
          <t>comme-des-garcons-black-red-heart-hoodie-jogger-set-recvk9jhrpfegi</t>
        </is>
      </c>
      <c r="T53"/>
      <c r="U53"/>
      <c r="V53"/>
      <c r="W53" t="inlineStr">
        <is>
          <t>{"id":"resp_0c9ebaab6c5fd619016a0ee723d5c0819fb469b34979a469c5","object":"chat.completion","created":1779361573,"model":"gpt-5.5","choices":[{"index":0,"message":{"role":"assistant","content":"黑色红心刺绣连帽卫衣运动套装，棉质休闲街头风，袋鼠兜束脚长裤，男女通用潮流品类"},"finish_reason":"stop"}],"usage":{"prompt_tokens":1170,"completion_tokens":44,"total_tokens":1214}}</t>
        </is>
      </c>
      <c r="X53" t="inlineStr">
        <is>
          <t>黑色红心刺绣连帽卫衣运动套装，棉质休闲街头风，袋鼠兜束脚长裤，男女通用潮流品类</t>
        </is>
      </c>
    </row>
    <row r="54" ht="25.5" customHeight="1">
      <c r="A54">
        <v>1839115443</v>
      </c>
      <c r="B54">
        <v>7768658687</v>
      </c>
      <c r="C54" s="2" t="str">
        <f>=HYPERLINK("https://weidian.com/item.html?itemID=7768658687", "https://weidian.com/item.html?itemID=7768658687")</f>
        <v>https://weidian.com/item.html?itemID=7768658687</v>
      </c>
      <c r="D54"/>
      <c r="E54" s="2" t="str">
        <f>=HYPERLINK("https://si.geilicdn.com/open1839115443-252808396-76530000019e4432d0320a22d249_1440_1440.jpg?w=640&amp;h=640", "https://si.geilicdn.com/open1839115443-252808396-76530000019e4432d0320a22d249_1440_1440.jpg?w=640&amp;h=640")</f>
        <v>https://si.geilicdn.com/open1839115443-252808396-76530000019e4432d0320a22d249_1440_1440.jpg?w=640&amp;h=640</v>
      </c>
      <c r="F54" t="inlineStr">
        <is>
          <t>T-Shirts</t>
        </is>
      </c>
      <c r="G54" t="inlineStr">
        <is>
          <t>Balenciaga</t>
        </is>
      </c>
      <c r="H54">
        <v>91</v>
      </c>
      <c r="I54">
        <v>13.19</v>
      </c>
      <c r="J54" t="inlineStr">
        <is>
          <t>{"id":"resp_0919a37b97358b2d016a0eea33ca1c819c841958b84d229646","object":"chat.completion","created":1779362366,"model":"gpt-5.5","choices":[{"index":0,"message":{"role":"assistant","content":"Balenciaga White Blue Gothic Logo Oversized Cotton T-Shirt"},"finish_reason":"stop"}],"usage":{"prompt_tokens":734,"completion_tokens":534,"total_tokens":1268}}</t>
        </is>
      </c>
      <c r="K54" t="inlineStr">
        <is>
          <t>Balenciaga White Blue Gothic Logo Oversized Cotton T-Shirt</t>
        </is>
      </c>
      <c r="L54" t="inlineStr">
        <is>
          <t>{"id":"resp_09348af12298694c016a0ee8d0925c819ebc3e474f98905004","object":"chat.completion","created":1779362004,"model":"gpt-5.5","choices":[{"index":0,"message":{"role":"assistant","content":"Balenciaga White Blue Gothic Logo Print Cotton T-Shirt, Oversized Relaxed Fit, Soft Breathable Short Sleeve Tee, Unisex Streetwear, Spring Summer Essential."},"finish_reason":"stop"}],"usage":{"prompt_tokens":755,"completion_tokens":169,"total_tokens":924}}</t>
        </is>
      </c>
      <c r="M54" t="inlineStr">
        <is>
          <t>{"alt-svc":"h3=\":443\"; ma=2592000","connection":"close","content-length":"450","content-type":"application/json; charset=utf-8","date":"Thu, 21 May 2026 11:13:24 GMT","referrer-policy":"strict-origin-when-cross-origin","server":"nginx/1.24.0 (Ubuntu)","strict-transport-security":"max-age=31536000; includeSubDomains; preload","vary":"Accept-Encoding","via":"1.1 Caddy","x-content-type-options":"nosniff","x-frame-options":"DENY","x-new-api-version":"v1.0.0-rc.2","x-oneapi-request-id":"20260521111320915582238268d9d6sAJ1O1Er","x-request-id":"a3d447fd-166b-4352-9ec2-01c2a584fc4f"}</t>
        </is>
      </c>
      <c r="N54" t="inlineStr">
        <is>
          <t>Balenciaga White Blue Gothic Logo Print Cotton T-Shirt, Oversized Relaxed Fit, Soft Breathable Short Sleeve Tee, Unisex Streetwear, Spring Summer Essential.</t>
        </is>
      </c>
      <c r="O54" t="inlineStr">
        <is>
          <t>{"id":"resp_079ecd0d708e5f4f016a0eedf5b604819ebd2e97ca2d7455a2","object":"chat.completion","created":1779363324,"model":"gpt-5.5","choices":[{"index":0,"message":{"role":"assistant","content":"Balenciaga,T-Shirts,kakobuy,kakebuy2026,kekobuysheet,kakobuysheet2026,2026kakobuy,kakobuyspreadsheeet,kakobuylink,kakebuylist,Kakobuy MEGA Spreadsheet,kakobuysheetfind,kakobuysheetfind2026,2026kakobuysheetfind,kakobuysheet2026"},"finish_reason":"stop"}],"usage":{"prompt_tokens":645,"completion_tokens":303,"total_tokens":948}}</t>
        </is>
      </c>
      <c r="P54" t="inlineStr">
        <is>
          <t>Balenciaga,T-Shirts,kakobuy,kakebuy2026,kekobuysheet,kakobuysheet2026,2026kakobuy,kakobuyspreadsheeet,kakobuylink,kakebuylist,Kakobuy MEGA Spreadsheet,kakobuysheetfind,kakobuysheetfind2026,2026kakobuysheetfind,kakobuysheet2026</t>
        </is>
      </c>
      <c r="Q54" t="inlineStr">
        <is>
          <t>Balenciaga, Gothic, Streetwear, Spring And Summer, Unisex</t>
        </is>
      </c>
      <c r="R54" t="inlineStr">
        <is>
          <t>recvk9JhrpRy0u</t>
        </is>
      </c>
      <c r="S54" t="inlineStr">
        <is>
          <t>balenciaga-white-blue-gothic-logo-oversized-cotton-t-shirt-recvk9jhrpry0u</t>
        </is>
      </c>
      <c r="T54"/>
      <c r="U54"/>
      <c r="V54"/>
      <c r="W54" t="inlineStr">
        <is>
          <t>{"id":"resp_0b1bb9996bc04d94016a0ee69e0f20819eb663320986d219a4","object":"chat.completion","created":1779361446,"model":"gpt-5.5","choices":[{"index":0,"message":{"role":"assistant","content":"Balenciaga: 经典Logo系列白色蓝色哥特字母印花短袖T恤，纯棉面料柔软透气，宽松落肩设计，街头潮流风格，男女同款，春夏百搭。"},"finish_reason":"stop"}],"usage":{"prompt_tokens":1167,"completion_tokens":405,"total_tokens":1572}}</t>
        </is>
      </c>
      <c r="X54" t="inlineStr">
        <is>
          <t>Balenciaga: 经典Logo系列白色蓝色哥特字母印花短袖T恤，纯棉面料柔软透气，宽松落肩设计，街头潮流风格，男女同款，春夏百搭。</t>
        </is>
      </c>
    </row>
    <row r="55" ht="25.5" customHeight="1">
      <c r="A55">
        <v>1839115443</v>
      </c>
      <c r="B55">
        <v>7768619517</v>
      </c>
      <c r="C55" s="2" t="str">
        <f>=HYPERLINK("https://weidian.com/item.html?itemID=7768619517", "https://weidian.com/item.html?itemID=7768619517")</f>
        <v>https://weidian.com/item.html?itemID=7768619517</v>
      </c>
      <c r="D55"/>
      <c r="E55" s="2" t="str">
        <f>=HYPERLINK("https://si.geilicdn.com/open1839115443-252808396-7d3b0000019e44374c660a23b4de_1920_1920.jpg?w=640&amp;h=640", "https://si.geilicdn.com/open1839115443-252808396-7d3b0000019e44374c660a23b4de_1920_1920.jpg?w=640&amp;h=640")</f>
        <v>https://si.geilicdn.com/open1839115443-252808396-7d3b0000019e44374c660a23b4de_1920_1920.jpg?w=640&amp;h=640</v>
      </c>
      <c r="F55" t="inlineStr">
        <is>
          <t>T-Shirts</t>
        </is>
      </c>
      <c r="G55" t="inlineStr">
        <is>
          <t>MLB</t>
        </is>
      </c>
      <c r="H55">
        <v>81</v>
      </c>
      <c r="I55">
        <v>11.74</v>
      </c>
      <c r="J55" t="inlineStr">
        <is>
          <t>data: {"id":"","object":"chat.completion.chunk","created":0,"model":"gpt-5.5","system_fingerprint":"","choices":[],"usage":{"prompt_tokens":494,"completion_tokens":0,"total_tokens":494,"prompt_tokens_details":{"cached_tokens":0,"text_tokens":0,"audio_tokens":0,"image_tokens":0},"completion_tokens_details":{"text_tokens":0,"audio_tokens":0,"reasoning_tokens":0},"input_tokens":0,"output_tokens":0,"input_tokens_details":null,"output_tokens_details":null,"claude_cache_creation_5_m_tokens":0,"claude_cache_creation_1_h_tokens":0}}
data: [DONE]
data: {"id":"","object":"chat.completion.chunk","created":0,"model":"gpt-5.5","system_fingerprint":"","choices":[{"delta":{"content":""},"logprobs":null,"finish_reason":null,"index":0}],"usage":{"prompt_tokens":494,"completion_tokens":0,"total_tokens":494,"prompt_tokens_details":{"cached_tokens":0,"text_tokens":0,"audio_tokens":0,"image_tokens":0},"completion_tokens_details":{"text_tokens":0,"audio_tokens":0,"reasoning_tokens":0},"input_tokens":0,"output_tokens":0,"input_tokens_details":null,"output_tokens_details":null,"claude_cache_creation_5_m_tokens":0,"claude_cache_creation_1_h_tokens":0}}
data: [DONE]
data: {"id":"","object":"chat.completion.chunk","created":0,"model":"gpt-5.5","system_fingerprint":"","choices":[{"delta":{"content":""},"logprobs":null,"finish_reason":null,"index":0}],"usage":{"prompt_tokens":494,"completion_tokens":0,"total_tokens":494,"prompt_tokens_details":{"cached_tokens":0,"text_tokens":0,"audio_tokens":0,"image_tokens":0},"completion_tokens_details":{"text_tokens":0,"audio_tokens":0,"reasoning_tokens":0},"input_tokens":0,"output_tokens":0,"input_tokens_details":null,"output_tokens_details":null,"claude_cache_creation_5_m_tokens":0,"claude_cache_creation_1_h_tokens":0}}
data: [DONE]
data: {"id":"","object":"chat.completion.chunk","created":0,"model":"gpt-5.5","system_fingerprint":"","choices":[{"delta":{"content":""},"logprobs":null,"finish_reason":null,"index":0}],"usage":{"prompt_tokens":494,"completion_tokens":0,"total_tokens":494,"prompt_tokens_details":{"cached_tokens":0,"text_tokens":0,"audio_tokens":0,"image_tokens":0},"completion_tokens_details":{"text_tokens":0,"audio_tokens":0,"reasoning_tokens":0},"input_tokens":0,"output_tokens":0,"input_tokens_details":null,"output_tokens_details":null,"claude_cache_creation_5_m_tokens":0,"claude_cache_creation_1_h_tokens":0}}
data: [DONE]
{"error":{"message":"no completion tokens generated","type":"zero_completion_tokens","param":"","code":"zero_completion_tokens"}}</t>
        </is>
      </c>
      <c r="K55"/>
      <c r="L55" t="inlineStr">
        <is>
          <t>{"id":"resp_0b75161664c9f45a016a0ee84ffeec81918766c7999e471236","object":"chat.completion","created":1779361882,"model":"gpt-5.5","choices":[{"index":0,"message":{"role":"assistant","content":"MLB New York Yankees NY Letter Print White Cotton T-Shirt, Classic Logo Design, Unisex Streetwear Short Sleeve Tee"},"finish_reason":"stop"}],"usage":{"prompt_tokens":744,"completion_tokens":529,"total_tokens":1273}}</t>
        </is>
      </c>
      <c r="M55" t="inlineStr">
        <is>
          <t>{"alt-svc":"h3=\":443\"; ma=2592000","connection":"close","content-length":"409","content-type":"application/json; charset=utf-8","date":"Thu, 21 May 2026 11:11:22 GMT","referrer-policy":"strict-origin-when-cross-origin","server":"Caddy","strict-transport-security":"max-age=31536000; includeSubDomains; preload","vary":"Accept-Encoding","x-content-type-options":"nosniff","x-frame-options":"DENY","x-new-api-version":"v1.0.0-rc.2","x-oneapi-request-id":"202605211111115857731648268d9d6au6oNyRK","x-request-id":"3d2ef8ba-09bc-49c6-8122-de21a6a5ca7a"}</t>
        </is>
      </c>
      <c r="N55" t="inlineStr">
        <is>
          <t>MLB New York Yankees NY Letter Print White Cotton T-Shirt, Classic Logo Design, Unisex Streetwear Short Sleeve Tee</t>
        </is>
      </c>
      <c r="O55" t="inlineStr">
        <is>
          <t>{"id":"resp_03c4d4d652bb480a016a0eee6ab39c819eb27310cfd83e167a","object":"chat.completion","created":1779363450,"model":"gpt-5.5","choices":[{"index":0,"message":{"role":"assistant","content":"MLB, T-Shirts, kakobuy, kakebuy2026, kekobuysheet, kakobuysheet2026, 2026kakobuy, kakobuyspreadsheeet, kakobuylink, kakebuylist, Kakobuy MEGA Spreadsheet, kakobuysheetfind, kakobuysheetfind2026, 2026kakobuysheetfind, kakobuysheet2026"},"finish_reason":"stop"}],"usage":{"prompt_tokens":644,"completion_tokens":613,"total_tokens":1257}}</t>
        </is>
      </c>
      <c r="P55" t="inlineStr">
        <is>
          <t>MLB, T-Shirts, kakobuy, kakebuy2026, kekobuysheet, kakobuysheet2026, 2026kakobuy, kakobuyspreadsheeet, kakobuylink, kakebuylist, Kakobuy MEGA Spreadsheet, kakobuysheetfind, kakobuysheetfind2026, 2026kakobuysheetfind, kakobuysheet2026</t>
        </is>
      </c>
      <c r="Q55" t="inlineStr">
        <is>
          <t>White, Classic, Streetwear, Unisex, Summer</t>
        </is>
      </c>
      <c r="R55" t="inlineStr">
        <is>
          <t>recvk9JhrpsWQZ</t>
        </is>
      </c>
      <c r="S55" t="inlineStr">
        <is>
          <t>recvk9jhrpswqz</t>
        </is>
      </c>
      <c r="T55"/>
      <c r="U55"/>
      <c r="V55"/>
      <c r="W55" t="inlineStr">
        <is>
          <t>{"id":"resp_01f510bc9dbe0d86016a0ee69e15b481a1806cfc027e37507b","object":"chat.completion","created":1779361446,"model":"gpt-5.5","choices":[{"index":0,"message":{"role":"assistant","content":"MLB: NY字母印花白色棉质T恤，经典纽约洋基Logo设计，潮流街头风，男女同款，休闲百搭短袖上衣。"},"finish_reason":"stop"}],"usage":{"prompt_tokens":1171,"completion_tokens":414,"total_tokens":1585}}</t>
        </is>
      </c>
      <c r="X55" t="inlineStr">
        <is>
          <t>MLB: NY字母印花白色棉质T恤，经典纽约洋基Logo设计，潮流街头风，男女同款，休闲百搭短袖上衣。</t>
        </is>
      </c>
    </row>
    <row r="56" ht="25.5" customHeight="1">
      <c r="A56">
        <v>1839115443</v>
      </c>
      <c r="B56">
        <v>7771719648</v>
      </c>
      <c r="C56" s="2" t="str">
        <f>=HYPERLINK("https://weidian.com/item.html?itemID=7771719648", "https://weidian.com/item.html?itemID=7771719648")</f>
        <v>https://weidian.com/item.html?itemID=7771719648</v>
      </c>
      <c r="D56"/>
      <c r="E56" s="2" t="str">
        <f>=HYPERLINK("https://si.geilicdn.com/open1839115443-252808396-06680000019e44385bbe0a22d249_800_800.jpg?w=640&amp;h=640", "https://si.geilicdn.com/open1839115443-252808396-06680000019e44385bbe0a22d249_800_800.jpg?w=640&amp;h=640")</f>
        <v>https://si.geilicdn.com/open1839115443-252808396-06680000019e44385bbe0a22d249_800_800.jpg?w=640&amp;h=640</v>
      </c>
      <c r="F56" t="inlineStr">
        <is>
          <t>T-Shirts</t>
        </is>
      </c>
      <c r="G56" t="inlineStr">
        <is>
          <t>A Bathing App</t>
        </is>
      </c>
      <c r="H56">
        <v>95</v>
      </c>
      <c r="I56">
        <v>13.77</v>
      </c>
      <c r="J56" t="inlineStr">
        <is>
          <t>{"id":"resp_02922857d941972f016a0eeba81820819dab132455ff0216df","object":"chat.completion","created":1779362738,"model":"gpt-5.5","choices":[{"index":0,"message":{"role":"assistant","content":"A Bathing Ape Black Ape Head Logo Crewneck Sweatshirt Unisex"},"finish_reason":"stop"}],"usage":{"prompt_tokens":718,"completion_tokens":536,"total_tokens":1254}}</t>
        </is>
      </c>
      <c r="K56" t="inlineStr">
        <is>
          <t>A Bathing Ape Black Ape Head Logo Crewneck Sweatshirt Unisex</t>
        </is>
      </c>
      <c r="L56" t="inlineStr">
        <is>
          <t>{"id":"resp_08089f2716d00a6c016a0ee88a49fc819f81eb8449ef3ea7b2","object":"chat.completion","created":1779361950,"model":"gpt-5.5","choices":[{"index":0,"message":{"role":"assistant","content":"A Bathing Ape Black Cotton Crew Neck Sweatshirt, Ape Head Logo Embroidery, Retro Streetwear Unisex Long Sleeve Top"},"finish_reason":"stop"}],"usage":{"prompt_tokens":742,"completion_tokens":171,"total_tokens":913}}</t>
        </is>
      </c>
      <c r="M56" t="inlineStr">
        <is>
          <t>{"alt-svc":"h3=\":443\"; ma=2592000","connection":"close","content-length":"408","content-type":"application/json; charset=utf-8","date":"Thu, 21 May 2026 11:12:30 GMT","referrer-policy":"strict-origin-when-cross-origin","server":"nginx/1.24.0 (Ubuntu)","strict-transport-security":"max-age=31536000; includeSubDomains; preload","vary":"Accept-Encoding","via":"1.1 Caddy","x-content-type-options":"nosniff","x-frame-options":"DENY","x-new-api-version":"v1.0.0-rc.2","x-oneapi-request-id":"202605211112057001747848268d9d6MDj9oXcW","x-request-id":"b35e016f-bc00-4a0e-b3d1-98e50574734f"}</t>
        </is>
      </c>
      <c r="N56" t="inlineStr">
        <is>
          <t>A Bathing Ape Black Cotton Crew Neck Sweatshirt, Ape Head Logo Embroidery, Retro Streetwear Unisex Long Sleeve Top</t>
        </is>
      </c>
      <c r="O56" t="inlineStr">
        <is>
          <t>{"id":"resp_0665c89554c80538016a0eed7a3564819d855af5599959db6c","object":"chat.completion","created":1779363204,"model":"gpt-5.5","choices":[{"index":0,"message":{"role":"assistant","content":"A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kakobuysheet2026"},"finish_reason":"stop"}],"usage":{"prompt_tokens":646,"completion_tokens":502,"total_tokens":1148}}</t>
        </is>
      </c>
      <c r="P56" t="inlineStr">
        <is>
          <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t>
        </is>
      </c>
      <c r="Q56" t="inlineStr">
        <is>
          <t>BAPE, Retro, Streetwear, Unisex, Black</t>
        </is>
      </c>
      <c r="R56" t="inlineStr">
        <is>
          <t>recvk9JhrpyTVF</t>
        </is>
      </c>
      <c r="S56" t="inlineStr">
        <is>
          <t>bathing-ape-black-ape-head-logo-crewneck-sweatshirt-recvk9jhrpytvf</t>
        </is>
      </c>
      <c r="T56"/>
      <c r="U56"/>
      <c r="V56"/>
      <c r="W56" t="inlineStr">
        <is>
          <t>{"id":"resp_06d6b2e8392ae466016a0ee6ba2944819c8a11f0dc06b08433","object":"chat.completion","created":1779361470,"model":"gpt-5.5","choices":[{"index":0,"message":{"role":"assistant","content":"黑色A Bathing Ape圆领卫衣，纯棉舒适面料，胸前猿人头像与字母刺绣，复古街头风男女同款长袖上衣"},"finish_reason":"stop"}],"usage":{"prompt_tokens":1163,"completion_tokens":143,"total_tokens":1306}}</t>
        </is>
      </c>
      <c r="X56" t="inlineStr">
        <is>
          <t>黑色A Bathing Ape圆领卫衣，纯棉舒适面料，胸前猿人头像与字母刺绣，复古街头风男女同款长袖上衣</t>
        </is>
      </c>
    </row>
    <row r="57" ht="25.5" customHeight="1">
      <c r="A57">
        <v>1839115443</v>
      </c>
      <c r="B57">
        <v>7768749901</v>
      </c>
      <c r="C57" s="2" t="str">
        <f>=HYPERLINK("https://weidian.com/item.html?itemID=7768749901", "https://weidian.com/item.html?itemID=7768749901")</f>
        <v>https://weidian.com/item.html?itemID=7768749901</v>
      </c>
      <c r="D57"/>
      <c r="E57" s="2" t="str">
        <f>=HYPERLINK("https://si.geilicdn.com/open1839115443-252808396-42c00000019e4453947a0a23b491_1000_1000.jpg?w=750&amp;h=750&amp;cp=1", "https://si.geilicdn.com/open1839115443-252808396-42c00000019e4453947a0a23b491_1000_1000.jpg?w=750&amp;h=750&amp;cp=1")</f>
        <v>https://si.geilicdn.com/open1839115443-252808396-42c00000019e4453947a0a23b491_1000_1000.jpg?w=750&amp;h=750&amp;cp=1</v>
      </c>
      <c r="F57" t="inlineStr">
        <is>
          <t>T-Shirts</t>
        </is>
      </c>
      <c r="G57" t="inlineStr">
        <is>
          <t>A Bathing Ape</t>
        </is>
      </c>
      <c r="H57">
        <v>86</v>
      </c>
      <c r="I57">
        <v>12.46</v>
      </c>
      <c r="J57" t="inlineStr">
        <is>
          <t>{"id":"resp_052a13f6498341ad016a0eea6f9fb481a3bc85cad5fdfb37c2","object":"chat.completion","created":1779362423,"model":"gpt-5.5","choices":[{"index":0,"message":{"role":"assistant","content":"A Bathing Ape White Cotton Graphic Tee"},"finish_reason":"stop"}],"usage":{"prompt_tokens":942,"completion_tokens":382,"total_tokens":1324}}</t>
        </is>
      </c>
      <c r="K57" t="inlineStr">
        <is>
          <t>A Bathing Ape White Cotton Graphic Tee</t>
        </is>
      </c>
      <c r="L57" t="inlineStr">
        <is>
          <t>{"id":"resp_057bfc6b9cabb1ae016a0ee978dfc081919f6e1928469631bc","object":"chat.completion","created":1779362171,"model":"gpt-5.5","choices":[{"index":0,"message":{"role":"assistant","content":"A Bathing Ape white cotton crew neck T-shirt, soft breathable short sleeve tee with front/back letter graphic prints, unisex streetwear, casual summer top."},"finish_reason":"stop"}],"usage":{"prompt_tokens":974,"completion_tokens":92,"total_tokens":1066}}</t>
        </is>
      </c>
      <c r="M57" t="inlineStr">
        <is>
          <t>{"alt-svc":"h3=\":443\"; ma=2592000","connection":"close","content-length":"449","content-type":"application/json; charset=utf-8","date":"Thu, 21 May 2026 11:16:11 GMT","referrer-policy":"strict-origin-when-cross-origin","server":"Caddy","strict-transport-security":"max-age=31536000; includeSubDomains; preload","vary":"Accept-Encoding","x-content-type-options":"nosniff","x-frame-options":"DENY","x-new-api-version":"v1.0.0-rc.2","x-oneapi-request-id":"202605211116083282960948268d9d6ZRraHaYl","x-request-id":"4557227b-a351-4a0e-a2ea-dd26890a88c0"}</t>
        </is>
      </c>
      <c r="N57" t="inlineStr">
        <is>
          <t>A Bathing Ape white cotton crew neck T-shirt, soft breathable short sleeve tee with front/back letter graphic prints, unisex streetwear, casual summer top.</t>
        </is>
      </c>
      <c r="O57" t="inlineStr">
        <is>
          <t>{"id":"resp_026c3a5b0c7104a6016a0eee770e28819e972480f515f87421","object":"chat.completion","created":1779363452,"model":"gpt-5.5","choices":[{"index":0,"message":{"role":"assistant","content":"A Bathing Ape, T-Shirts, kakobuy, kakebuy2026, kekobuysheet, kakobuysheet2026, 2026kakobuy, kakobuyspreadsheeet, kakobuylink, kakebuylist, Kakobuy MEGA Spreadsheet, kakobuysheetfind, kakobuysheetfind2026, 2026kakobuysheetfind, kakobuysheet2026"},"finish_reason":"stop"}],"usage":{"prompt_tokens":857,"completion_tokens":228,"total_tokens":1085}}</t>
        </is>
      </c>
      <c r="P57" t="inlineStr">
        <is>
          <t>A Bathing Ape, T-Shirts, kakobuy, kakebuy2026, kekobuysheet, kakobuysheet2026, 2026kakobuy, kakobuyspreadsheeet, kakobuylink, kakebuylist, Kakobuy MEGA Spreadsheet, kakobuysheetfind, kakobuysheetfind2026, 2026kakobuysheetfind, kakobuysheet2026</t>
        </is>
      </c>
      <c r="Q57" t="inlineStr">
        <is>
          <t>BAPE, White, Streetwear, Summer</t>
        </is>
      </c>
      <c r="R57" t="inlineStr">
        <is>
          <t>recvk9JhrpDwaQ</t>
        </is>
      </c>
      <c r="S57" t="inlineStr">
        <is>
          <t>bathing-ape-white-cotton-graphic-tee-recvk9jhrpdwaq</t>
        </is>
      </c>
      <c r="T57"/>
      <c r="U57"/>
      <c r="V57"/>
      <c r="W57" t="inlineStr">
        <is>
          <t>{"id":"resp_092b9591a02c3bc3016a0ee6affa7881a0a3c345f1a18a13aa","object":"chat.completion","created":1779361471,"model":"gpt-5.5","choices":[{"index":0,"message":{"role":"assistant","content":"潮流A Bathing Ape白色圆领短袖T恤，纯棉面料柔软透气，正背面字母图案印花设计，街头休闲风，男女皆宜，经典百搭的夏季潮牌上衣。"},"finish_reason":"stop"}],"usage":{"prompt_tokens":1390,"completion_tokens":816,"total_tokens":2206}}</t>
        </is>
      </c>
      <c r="X57" t="inlineStr">
        <is>
          <t>潮流A Bathing Ape白色圆领短袖T恤，纯棉面料柔软透气，正背面字母图案印花设计，街头休闲风，男女皆宜，经典百搭的夏季潮牌上衣。</t>
        </is>
      </c>
    </row>
    <row r="58" ht="25.5" customHeight="1">
      <c r="A58">
        <v>1839115443</v>
      </c>
      <c r="B58">
        <v>7771658346</v>
      </c>
      <c r="C58" s="2" t="str">
        <f>=HYPERLINK("https://weidian.com/item.html?itemID=7771658346", "https://weidian.com/item.html?itemID=7771658346")</f>
        <v>https://weidian.com/item.html?itemID=7771658346</v>
      </c>
      <c r="D58"/>
      <c r="E58" s="2" t="str">
        <f>=HYPERLINK("https://si.geilicdn.com/open1839115443-252808396-5b430000019e442392ab0a23b4de_720_720.jpg?w=640&amp;h=640", "https://si.geilicdn.com/open1839115443-252808396-5b430000019e442392ab0a23b4de_720_720.jpg?w=640&amp;h=640")</f>
        <v>https://si.geilicdn.com/open1839115443-252808396-5b430000019e442392ab0a23b4de_720_720.jpg?w=640&amp;h=640</v>
      </c>
      <c r="F58" t="inlineStr">
        <is>
          <t>T-Shirts</t>
        </is>
      </c>
      <c r="G58" t="inlineStr">
        <is>
          <t>Stussy</t>
        </is>
      </c>
      <c r="H58">
        <v>91</v>
      </c>
      <c r="I58">
        <v>13.19</v>
      </c>
      <c r="J58" t="inlineStr">
        <is>
          <t>{"id":"resp_0e4031a9128b14fe016a0eeb7eba60819dabca2a3a5e7518c8","object":"chat.completion","created":1779362689,"model":"gpt-5.5","choices":[{"index":0,"message":{"role":"assistant","content":"Stussy Navy Dice Logo Cotton Streetwear T-Shirt"},"finish_reason":"stop"}],"usage":{"prompt_tokens":722,"completion_tokens":119,"total_tokens":841}}</t>
        </is>
      </c>
      <c r="K58" t="inlineStr">
        <is>
          <t>Stussy Navy Dice Logo Cotton Streetwear T-Shirt</t>
        </is>
      </c>
      <c r="L58" t="inlineStr">
        <is>
          <t>{"id":"resp_0b4f28ccd2e960fe016a0ee8ee21b081a197373f26a0320b31","object":"chat.completion","created":1779362032,"model":"gpt-5.5","choices":[{"index":0,"message":{"role":"assistant","content":"Stussy navy cotton T-shirt, unisex short sleeve streetwear tee with white handwritten logo and yellow dice graphic on back, vintage casual top"},"finish_reason":"stop"}],"usage":{"prompt_tokens":745,"completion_tokens":68,"total_tokens":813}}</t>
        </is>
      </c>
      <c r="M58" t="inlineStr">
        <is>
          <t>{"alt-svc":"h3=\":443\"; ma=2592000","connection":"close","content-length":"435","content-type":"application/json; charset=utf-8","date":"Thu, 21 May 2026 11:13:56 GMT","referrer-policy":"strict-origin-when-cross-origin","server":"Caddy","strict-transport-security":"max-age=31536000; includeSubDomains; preload","vary":"Accept-Encoding","x-content-type-options":"nosniff","x-frame-options":"DENY","x-new-api-version":"v1.0.0-rc.2","x-oneapi-request-id":"202605211113375177080298268d9d6Uxp24e9U","x-request-id":"53b5cd89-23e2-4965-a43e-5fa152595246"}</t>
        </is>
      </c>
      <c r="N58" t="inlineStr">
        <is>
          <t>Stussy navy cotton T-shirt, unisex short sleeve streetwear tee with white handwritten logo and yellow dice graphic on back, vintage casual top</t>
        </is>
      </c>
      <c r="O58" t="inlineStr">
        <is>
          <t>{"id":"resp_0ee493337cb35603016a0eeeaf48f8819c8c2087876ffef621","object":"chat.completion","created":1779363510,"model":"gpt-5.5","choices":[{"index":0,"message":{"role":"assistant","content":"Stussy T-Shirts kakobuy, Stussy T-Shirts kakebuy2026, Stussy T-Shirts kekobuysheet, Stussy T-Shirts kakobuysheet2026, Stussy T-Shirts 2026kakobuy, Stussy T-Shirts kakobuyspreadsheeet, Stussy T-Shirts kakobuylink, Stussy T-Shirts kakebuylist, Stussy T-Shirts Kakobuy MEGA Spreadsheet, Stussy T-Shirts kakobuysheetfind, Stussy T-Shirts kakobuysheetfind2026, Stussy T-Shirts 2026kakobuysheetfind, Stussy T-Shirts kakobuysheet2026"},"finish_reason":"stop"}],"usage":{"prompt_tokens":644,"completion_tokens":376,"total_tokens":1020}}</t>
        </is>
      </c>
      <c r="P58" t="inlineStr">
        <is>
          <t>Stussy T-Shirts kakobuy, Stussy T-Shirts kakebuy2026, Stussy T-Shirts kekobuysheet, Stussy T-Shirts kakobuysheet2026, Stussy T-Shirts 2026kakobuy, Stussy T-Shirts kakobuyspreadsheeet, Stussy T-Shirts kakobuylink, Stussy T-Shirts kakebuylist, Stussy T-Shirts Kakobuy MEGA Spreadsheet, Stussy T-Shirts kakobuysheetfind, Stussy T-Shirts kakobuysheetfind2026, Stussy T-Shirts 2026kakobuysheetfind, Stussy T-Shirts kakobuysheet2026</t>
        </is>
      </c>
      <c r="Q58" t="inlineStr">
        <is>
          <t>Stussy, Navy, Streetwear, Vintage, Unisex</t>
        </is>
      </c>
      <c r="R58" t="inlineStr">
        <is>
          <t>recvk9Jhrp4hwB</t>
        </is>
      </c>
      <c r="S58" t="inlineStr">
        <is>
          <t>stussy-navy-dice-logo-cotton-streetwear-tshirt-recvk9jhrp4hwb</t>
        </is>
      </c>
      <c r="T58"/>
      <c r="U58"/>
      <c r="V58"/>
      <c r="W58" t="inlineStr">
        <is>
          <t>{"id":"resp_058b7bb0dffe4c94016a0ee7b473f8819d89cadf3e107bb9e0","object":"chat.completion","created":1779361719,"model":"gpt-5.5","choices":[{"index":0,"message":{"role":"assistant","content":"斯图西Stussy 深蓝色短袖T恤，纯棉休闲面料，背面白色手写Logo与黄色骰子图腾，街头复古潮流男女同款上衣"},"finish_reason":"stop"}],"usage":{"prompt_tokens":1163,"completion_tokens":136,"total_tokens":1299}}</t>
        </is>
      </c>
      <c r="X58" t="inlineStr">
        <is>
          <t>斯图西Stussy 深蓝色短袖T恤，纯棉休闲面料，背面白色手写Logo与黄色骰子图腾，街头复古潮流男女同款上衣</t>
        </is>
      </c>
    </row>
    <row r="59" ht="25.5" customHeight="1">
      <c r="A59">
        <v>1839115443</v>
      </c>
      <c r="B59">
        <v>7768662187</v>
      </c>
      <c r="C59" s="2" t="str">
        <f>=HYPERLINK("https://weidian.com/item.html?itemID=7768662187", "https://weidian.com/item.html?itemID=7768662187")</f>
        <v>https://weidian.com/item.html?itemID=7768662187</v>
      </c>
      <c r="D59"/>
      <c r="E59" s="2" t="str">
        <f>=HYPERLINK("https://si.geilicdn.com/open1839115443-252808396-5ece0000019e442616010a23b491_1200_1200.jpg?w=640&amp;h=640", "https://si.geilicdn.com/open1839115443-252808396-5ece0000019e442616010a23b491_1200_1200.jpg?w=640&amp;h=640")</f>
        <v>https://si.geilicdn.com/open1839115443-252808396-5ece0000019e442616010a23b491_1200_1200.jpg?w=640&amp;h=640</v>
      </c>
      <c r="F59" t="inlineStr">
        <is>
          <t>T-Shirts</t>
        </is>
      </c>
      <c r="G59" t="inlineStr">
        <is>
          <t>Eric Emanuel</t>
        </is>
      </c>
      <c r="H59">
        <v>135</v>
      </c>
      <c r="I59">
        <v>19.57</v>
      </c>
      <c r="J59" t="inlineStr">
        <is>
          <t>{"id":"resp_05921882bc978cbf016a0eebd24be88192bca305297b4bab42","object":"chat.completion","created":1779362775,"model":"gpt-5.5","choices":[{"index":0,"message":{"role":"assistant","content":"Eric Emanuel Black Vintage Gothic Angel Graphic Tee"},"finish_reason":"stop"}],"usage":{"prompt_tokens":728,"completion_tokens":252,"total_tokens":980}}</t>
        </is>
      </c>
      <c r="K59" t="inlineStr">
        <is>
          <t>Eric Emanuel Black Vintage Gothic Angel Graphic Tee</t>
        </is>
      </c>
      <c r="L59" t="inlineStr">
        <is>
          <t>{"id":"resp_06312df38d93e859016a0ee9a34610819eaee4ce41b744d391","object":"chat.completion","created":1779362218,"model":"gpt-5.5","choices":[{"index":0,"message":{"role":"assistant","content":"Eric Emanuel Black Vintage Streetwear Cotton Graphic T-Shirt, Loose Crew Neck Short Sleeve, Angel &amp; Gothic Letter Print, Unisex 90s Retro Casual Top"},"finish_reason":"stop"}],"usage":{"prompt_tokens":757,"completion_tokens":342,"total_tokens":1099}}</t>
        </is>
      </c>
      <c r="M59" t="inlineStr">
        <is>
          <t>{"alt-svc":"h3=\":443\"; ma=2592000","connection":"close","content-length":"448","content-type":"application/json; charset=utf-8","date":"Thu, 21 May 2026 11:16:58 GMT","referrer-policy":"strict-origin-when-cross-origin","server":"nginx/1.24.0 (Ubuntu)","strict-transport-security":"max-age=31536000; includeSubDomains; preload","vary":"Accept-Encoding","via":"1.1 Caddy","x-content-type-options":"nosniff","x-frame-options":"DENY","x-new-api-version":"v1.0.0-rc.2","x-oneapi-request-id":"202605211116508166762808268d9d6k4RUZpyo","x-request-id":"ee5c92e1-420c-48c9-8146-ab212474a56b"}</t>
        </is>
      </c>
      <c r="N59" t="inlineStr">
        <is>
          <t>Eric Emanuel Black Vintage Streetwear Cotton Graphic T-Shirt, Loose Crew Neck Short Sleeve, Angel &amp; Gothic Letter Print, Unisex 90s Retro Casual Top</t>
        </is>
      </c>
      <c r="O59" t="inlineStr">
        <is>
          <t>{"id":"resp_011ff36a7dff19d9016a0eee55255081a1a750a4318bcaa7fa","object":"chat.completion","created":1779363420,"model":"gpt-5.5","choices":[{"index":0,"message":{"role":"assistant","content":"Eric Emanuel T-Shirts kakobuy, Eric Emanuel T-Shirts kakebuy2026, Eric Emanuel T-Shirts kekobuysheet, Eric Emanuel T-Shirts kakobuysheet2026, Eric Emanuel T-Shirts 2026kakobuy, Eric Emanuel T-Shirts kakobuyspreadsheeet, Eric Emanuel T-Shirts kakobuylink, Eric Emanuel T-Shirts kakebuylist, Eric Emanuel T-Shirts Kakobuy MEGA Spreadsheet, Eric Emanuel T-Shirts kakobuysheetfind, Eric Emanuel T-Shirts kakobuysheetfind2026, Eric Emanuel T-Shirts 2026kakobuysheetfind, Eric Emanuel T-Shirts kakobuysheet2026"},"finish_reason":"stop"}],"usage":{"prompt_tokens":644,"completion_tokens":311,"total_tokens":955}}</t>
        </is>
      </c>
      <c r="P59" t="inlineStr">
        <is>
          <t>Eric Emanuel T-Shirts kakobuy, Eric Emanuel T-Shirts kakebuy2026, Eric Emanuel T-Shirts kekobuysheet, Eric Emanuel T-Shirts kakobuysheet2026, Eric Emanuel T-Shirts 2026kakobuy, Eric Emanuel T-Shirts kakobuyspreadsheeet, Eric Emanuel T-Shirts kakobuylink, Eric Emanuel T-Shirts kakebuylist, Eric Emanuel T-Shirts Kakobuy MEGA Spreadsheet, Eric Emanuel T-Shirts kakobuysheetfind, Eric Emanuel T-Shirts kakobuysheetfind2026, Eric Emanuel T-Shirts 2026kakobuysheetfind, Eric Emanuel T-Shirts kakobuysheet2026</t>
        </is>
      </c>
      <c r="Q59" t="inlineStr">
        <is>
          <t>Retro, Unisex, Streetwear</t>
        </is>
      </c>
      <c r="R59" t="inlineStr">
        <is>
          <t>recvk9JhrpSN3x</t>
        </is>
      </c>
      <c r="S59" t="inlineStr">
        <is>
          <t>eric-emanuel-black-vintage-gothic-angel-graphic-tee-recvk9jhrpsn3x</t>
        </is>
      </c>
      <c r="T59"/>
      <c r="U59"/>
      <c r="V59"/>
      <c r="W59" t="inlineStr">
        <is>
          <t>{"id":"resp_068fdaba51c56fae016a0ee70503288191ac1cf1b2731a25fa","object":"chat.completion","created":1779361553,"model":"gpt-5.5","choices":[{"index":0,"message":{"role":"assistant","content":"【Eric Emanuel】黑色复古街头棉质印花T恤，宽松圆领短袖设计，天使图腾与哥特字母融合，个性潮流感十足，男女同款，90年代复古风休闲上衣"},"finish_reason":"stop"}],"usage":{"prompt_tokens":1163,"completion_tokens":581,"total_tokens":1744}}</t>
        </is>
      </c>
      <c r="X59" t="inlineStr">
        <is>
          <t>【Eric Emanuel】黑色复古街头棉质印花T恤，宽松圆领短袖设计，天使图腾与哥特字母融合，个性潮流感十足，男女同款，90年代复古风休闲上衣</t>
        </is>
      </c>
    </row>
    <row r="60" ht="25.5" customHeight="1">
      <c r="A60">
        <v>1839115443</v>
      </c>
      <c r="B60">
        <v>7768640767</v>
      </c>
      <c r="C60" s="2" t="str">
        <f>=HYPERLINK("https://weidian.com/item.html?itemID=7768640767", "https://weidian.com/item.html?itemID=7768640767")</f>
        <v>https://weidian.com/item.html?itemID=7768640767</v>
      </c>
      <c r="D60"/>
      <c r="E60" s="2" t="str">
        <f>=HYPERLINK("https://si.geilicdn.com/open1839115443-252808396-3c8e0000019e4425602c0a8133b0_800_800.jpg?w=640&amp;h=640", "https://si.geilicdn.com/open1839115443-252808396-3c8e0000019e4425602c0a8133b0_800_800.jpg?w=640&amp;h=640")</f>
        <v>https://si.geilicdn.com/open1839115443-252808396-3c8e0000019e4425602c0a8133b0_800_800.jpg?w=640&amp;h=640</v>
      </c>
      <c r="F60" t="inlineStr">
        <is>
          <t>T-Shirts</t>
        </is>
      </c>
      <c r="G60" t="inlineStr">
        <is>
          <t>A Bathing App</t>
        </is>
      </c>
      <c r="H60">
        <v>95</v>
      </c>
      <c r="I60">
        <v>13.77</v>
      </c>
      <c r="J60" t="inlineStr">
        <is>
          <t>{"id":"resp_0023a909b1513803016a0eec3560d881a3a0361a86e81c2011","object":"chat.completion","created":1779362872,"model":"gpt-5.5","choices":[{"index":0,"message":{"role":"assistant","content":"A Bathing Ape Pink Cotton Logo T-Shirt Unisex Streetwear"},"finish_reason":"stop"}],"usage":{"prompt_tokens":728,"completion_tokens":115,"total_tokens":843}}</t>
        </is>
      </c>
      <c r="K60" t="inlineStr">
        <is>
          <t>A Bathing Ape Pink Cotton Logo T-Shirt Unisex Streetwear</t>
        </is>
      </c>
      <c r="L60" t="inlineStr">
        <is>
          <t>{"id":"resp_0c50fe809ddf569d016a0ee95439d881a18dca0fea41f00c14","object":"chat.completion","created":1779362135,"model":"gpt-5.5","choices":[{"index":0,"message":{"role":"assistant","content":"A Bathing Ape pink cotton T-shirt, unisex streetwear tee with black ape head logo and letter print, soft breathable retro casual short sleeve top"},"finish_reason":"stop"}],"usage":{"prompt_tokens":751,"completion_tokens":125,"total_tokens":876}}</t>
        </is>
      </c>
      <c r="M60" t="inlineStr">
        <is>
          <t>{"alt-svc":"h3=\":443\"; ma=2592000","connection":"close","content-length":"439","content-type":"application/json; charset=utf-8","date":"Thu, 21 May 2026 11:15:35 GMT","referrer-policy":"strict-origin-when-cross-origin","server":"nginx/1.24.0 (Ubuntu)","strict-transport-security":"max-age=31536000; includeSubDomains; preload","vary":"Accept-Encoding","via":"1.1 Caddy","x-content-type-options":"nosniff","x-frame-options":"DENY","x-new-api-version":"v1.0.0-rc.2","x-oneapi-request-id":"202605211115283465290558268d9d6OvIfUW15","x-request-id":"30a3c013-e6ec-4af7-a31a-c5e62591b925"}</t>
        </is>
      </c>
      <c r="N60" t="inlineStr">
        <is>
          <t>A Bathing Ape pink cotton T-shirt, unisex streetwear tee with black ape head logo and letter print, soft breathable retro casual short sleeve top</t>
        </is>
      </c>
      <c r="O60" t="inlineStr">
        <is>
          <t>{"id":"resp_0aa8fe331f29c186016a0eed1f38e881a1a198072fb5e9d1da","object":"chat.completion","created":1779363114,"model":"gpt-5.5","choices":[{"index":0,"message":{"role":"assistant","content":"A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kakobuysheet2026"},"finish_reason":"stop"}],"usage":{"prompt_tokens":646,"completion_tokens":564,"total_tokens":1210}}</t>
        </is>
      </c>
      <c r="P60" t="inlineStr">
        <is>
          <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t>
        </is>
      </c>
      <c r="Q60" t="inlineStr">
        <is>
          <t>BAPE, Pink, Streetwear, Retro, Unisex</t>
        </is>
      </c>
      <c r="R60" t="inlineStr">
        <is>
          <t>recvk9Jhrp0zLP</t>
        </is>
      </c>
      <c r="S60" t="inlineStr">
        <is>
          <t>bathing-ape-pink-cotton-logo-tshirt-recvk9jhrp0zlp</t>
        </is>
      </c>
      <c r="T60"/>
      <c r="U60"/>
      <c r="V60"/>
      <c r="W60" t="inlineStr">
        <is>
          <t>{"id":"resp_09190a6f8e8f2f10016a0ee7165a2081a3af41a7a079f455c3","object":"chat.completion","created":1779361562,"model":"gpt-5.5","choices":[{"index":0,"message":{"role":"assistant","content":"潮牌A Bathing Ape粉色短袖T恤，纯棉舒适面料，正面黑色猿人头Logo与字母印花，男女同款复古街头休闲上衣"},"finish_reason":"stop"}],"usage":{"prompt_tokens":1173,"completion_tokens":164,"total_tokens":1337}}</t>
        </is>
      </c>
      <c r="X60" t="inlineStr">
        <is>
          <t>潮牌A Bathing Ape粉色短袖T恤，纯棉舒适面料，正面黑色猿人头Logo与字母印花，男女同款复古街头休闲上衣</t>
        </is>
      </c>
    </row>
    <row r="61" ht="25.5" customHeight="1">
      <c r="A61">
        <v>1839115443</v>
      </c>
      <c r="B61">
        <v>7771642874</v>
      </c>
      <c r="C61" s="2" t="str">
        <f>=HYPERLINK("https://weidian.com/item.html?itemID=7771642874", "https://weidian.com/item.html?itemID=7771642874")</f>
        <v>https://weidian.com/item.html?itemID=7771642874</v>
      </c>
      <c r="D61"/>
      <c r="E61" s="2" t="str">
        <f>=HYPERLINK("https://si.geilicdn.com/open1839115443-252808396-6fad0000019e4432be460a23b4de_886_883.jpg?w=750&amp;h=750&amp;cp=1", "https://si.geilicdn.com/open1839115443-252808396-6fad0000019e4432be460a23b4de_886_883.jpg?w=750&amp;h=750&amp;cp=1")</f>
        <v>https://si.geilicdn.com/open1839115443-252808396-6fad0000019e4432be460a23b4de_886_883.jpg?w=750&amp;h=750&amp;cp=1</v>
      </c>
      <c r="F61" t="inlineStr">
        <is>
          <t>T-Shirts</t>
        </is>
      </c>
      <c r="G61" t="inlineStr">
        <is>
          <t>Stussy</t>
        </is>
      </c>
      <c r="H61">
        <v>91</v>
      </c>
      <c r="I61">
        <v>13.19</v>
      </c>
      <c r="J61" t="inlineStr">
        <is>
          <t>{"id":"resp_07635c4d5ed3f933016a0eebd4474c81a084bc353d0907182f","object":"chat.completion","created":1779362783,"model":"gpt-5.5","choices":[{"index":0,"message":{"role":"assistant","content":"Stussy Black Dice Graphic Soft Cotton Vintage Streetwear Tee"},"finish_reason":"stop"}],"usage":{"prompt_tokens":938,"completion_tokens":465,"total_tokens":1403}}</t>
        </is>
      </c>
      <c r="K61" t="inlineStr">
        <is>
          <t>Stussy Black Dice Graphic Soft Cotton Vintage Streetwear Tee</t>
        </is>
      </c>
      <c r="L61" t="inlineStr">
        <is>
          <t>{"id":"resp_0f59d90a7d615967016a0ee89fc960819ea390b1e95e704716","object":"chat.completion","created":1779361955,"model":"gpt-5.5","choices":[{"index":0,"message":{"role":"assistant","content":"Stussy black crew neck T-shirt, soft breathable cotton, white handwritten logo with hanging dice back graphic, vintage streetwear tee, unisex casual fit."},"finish_reason":"stop"}],"usage":{"prompt_tokens":966,"completion_tokens":143,"total_tokens":1109}}</t>
        </is>
      </c>
      <c r="M61" t="inlineStr">
        <is>
          <t>{"alt-svc":"h3=\":443\"; ma=2592000","connection":"close","content-length":"448","content-type":"application/json; charset=utf-8","date":"Thu, 21 May 2026 11:12:35 GMT","referrer-policy":"strict-origin-when-cross-origin","server":"Caddy","strict-transport-security":"max-age=31536000; includeSubDomains; preload","vary":"Accept-Encoding","x-content-type-options":"nosniff","x-frame-options":"DENY","x-new-api-version":"v1.0.0-rc.2","x-oneapi-request-id":"202605211112313254892388268d9d6GSlN7UU2","x-request-id":"6f5329aa-a1cd-4024-8062-70e724384d15"}</t>
        </is>
      </c>
      <c r="N61" t="inlineStr">
        <is>
          <t>Stussy black crew neck T-shirt, soft breathable cotton, white handwritten logo with hanging dice back graphic, vintage streetwear tee, unisex casual fit.</t>
        </is>
      </c>
      <c r="O61" t="inlineStr">
        <is>
          <t>{"id":"resp_04731611f70cfddf016a0eeda93c00819c85358794ec08ed9f","object":"chat.completion","created":1779363288,"model":"gpt-5.5","choices":[{"index":0,"message":{"role":"assistant","content":"Stussy T-Shirts kakobuy, Stussy T-Shirts kakebuy2026, Stussy T-Shirts kekobuysheet, Stussy T-Shirts kakobuysheet2026, Stussy T-Shirts 2026kakobuy, Stussy T-Shirts kakobuyspreadsheeet, Stussy T-Shirts kakobuylink, Stussy T-Shirts kakebuylist, Stussy T-Shirts Kakobuy MEGA Spreadsheet, Stussy T-Shirts kakobuysheetfind, Stussy T-Shirts kakobuysheetfind2026, Stussy T-Shirts 2026kakobuysheetfind, Stussy T-Shirts kakobuysheet2026"},"finish_reason":"stop"}],"usage":{"prompt_tokens":855,"completion_tokens":273,"total_tokens":1128}}</t>
        </is>
      </c>
      <c r="P61" t="inlineStr">
        <is>
          <t>Stussy T-Shirts kakobuy, Stussy T-Shirts kakebuy2026, Stussy T-Shirts kekobuysheet, Stussy T-Shirts kakobuysheet2026, Stussy T-Shirts 2026kakobuy, Stussy T-Shirts kakobuyspreadsheeet, Stussy T-Shirts kakobuylink, Stussy T-Shirts kakebuylist, Stussy T-Shirts Kakobuy MEGA Spreadsheet, Stussy T-Shirts kakobuysheetfind, Stussy T-Shirts kakobuysheetfind2026, Stussy T-Shirts 2026kakobuysheetfind, Stussy T-Shirts kakobuysheet2026</t>
        </is>
      </c>
      <c r="Q61" t="inlineStr">
        <is>
          <t>Stussy, Black, Vintage, Streetwear, Unisex</t>
        </is>
      </c>
      <c r="R61" t="inlineStr">
        <is>
          <t>recvk9JhrphpqS</t>
        </is>
      </c>
      <c r="S61" t="inlineStr">
        <is>
          <t>stussy-black-dice-graphic-tee-recvk9jhrphpqs</t>
        </is>
      </c>
      <c r="T61"/>
      <c r="U61"/>
      <c r="V61"/>
      <c r="W61" t="inlineStr">
        <is>
          <t>{"id":"resp_03d26120af9a91fb016a0ee6fd794481a28430635ef70541ea","object":"chat.completion","created":1779361548,"model":"gpt-5.5","choices":[{"index":0,"message":{"role":"assistant","content":"潮流Stussy黑色圆领短袖T恤，棉质舒适透气，背部白色手写Logo搭配悬挂骰子图腾，复古街头风，男女同款，日常百搭。"},"finish_reason":"stop"}],"usage":{"prompt_tokens":1382,"completion_tokens":802,"total_tokens":2184}}</t>
        </is>
      </c>
      <c r="X61" t="inlineStr">
        <is>
          <t>潮流Stussy黑色圆领短袖T恤，棉质舒适透气，背部白色手写Logo搭配悬挂骰子图腾，复古街头风，男女同款，日常百搭。</t>
        </is>
      </c>
    </row>
    <row r="62" ht="25.5" customHeight="1">
      <c r="A62">
        <v>1839115443</v>
      </c>
      <c r="B62">
        <v>7771595566</v>
      </c>
      <c r="C62" s="2" t="str">
        <f>=HYPERLINK("https://weidian.com/item.html?itemID=7771595566", "https://weidian.com/item.html?itemID=7771595566")</f>
        <v>https://weidian.com/item.html?itemID=7771595566</v>
      </c>
      <c r="D62"/>
      <c r="E62" s="2" t="str">
        <f>=HYPERLINK("https://si.geilicdn.com/open1839115443-252808396-6b660000019e4432ae370aa08239_790_1053.jpg?w=640&amp;h=640", "https://si.geilicdn.com/open1839115443-252808396-6b660000019e4432ae370aa08239_790_1053.jpg?w=640&amp;h=640")</f>
        <v>https://si.geilicdn.com/open1839115443-252808396-6b660000019e4432ae370aa08239_790_1053.jpg?w=640&amp;h=640</v>
      </c>
      <c r="F62" t="inlineStr">
        <is>
          <t>T-Shirts</t>
        </is>
      </c>
      <c r="G62" t="inlineStr">
        <is>
          <t>Other</t>
        </is>
      </c>
      <c r="H62">
        <v>87</v>
      </c>
      <c r="I62">
        <v>12.61</v>
      </c>
      <c r="J62" t="inlineStr">
        <is>
          <t>{"id":"resp_06a70a49e70e8002016a0eeb2bef1c819ca9eaca5990141d19","object":"chat.completion","created":1779362606,"model":"gpt-5.5","choices":[{"index":0,"message":{"role":"assistant","content":"BLACKWHITE Go Speed Checkered Flag Black Cotton T-Shirt"},"finish_reason":"stop"}],"usage":{"prompt_tokens":893,"completion_tokens":108,"total_tokens":1001}}</t>
        </is>
      </c>
      <c r="K62" t="inlineStr">
        <is>
          <t>BLACKWHITE Go Speed Checkered Flag Black Cotton T-Shirt</t>
        </is>
      </c>
      <c r="L62" t="inlineStr">
        <is>
          <t>{"id":"resp_0bc974027fbb7ac9016a0ee861d2cc819d86d9c01baa744d4c","object":"chat.completion","created":1779361891,"model":"gpt-5.5","choices":[{"index":0,"message":{"role":"assistant","content":"BLACKWHITE black cotton T-shirt, GO SPEED checkered flag racing graphic, comfortable unisex short sleeve tee, casual streetwear top for men and women"},"finish_reason":"stop"}],"usage":{"prompt_tokens":902,"completion_tokens":34,"total_tokens":936}}</t>
        </is>
      </c>
      <c r="M62" t="inlineStr">
        <is>
          <t>{"alt-svc":"h3=\":443\"; ma=2592000","connection":"close","content-length":"442","content-type":"application/json; charset=utf-8","date":"Thu, 21 May 2026 11:11:31 GMT","referrer-policy":"strict-origin-when-cross-origin","server":"Caddy","strict-transport-security":"max-age=31536000; includeSubDomains; preload","vary":"Accept-Encoding","x-content-type-options":"nosniff","x-frame-options":"DENY","x-new-api-version":"v1.0.0-rc.2","x-oneapi-request-id":"202605211111294087215828268d9d6MOmbxo3g","x-request-id":"148e81d4-0d7c-4058-bb63-966169d7ec0e"}</t>
        </is>
      </c>
      <c r="N62" t="inlineStr">
        <is>
          <t>BLACKWHITE black cotton T-shirt, GO SPEED checkered flag racing graphic, comfortable unisex short sleeve tee, casual streetwear top for men and women</t>
        </is>
      </c>
      <c r="O62" t="inlineStr">
        <is>
          <t>{"id":"resp_003d15aa2ae1b8cd016a0eed8ebc34819280cd724d940604d5","object":"chat.completion","created":1779363226,"model":"gpt-5.5","choices":[{"index":0,"message":{"role":"assistant","content":"BLACKWHITE, T-Shirts, kakobuy, kakebuy2026, kekobuysheet, kakobuysheet2026, 2026kakobuy, kakobuyspreadsheeet, kakobuylink, kakebuylist, Kakobuy MEGA Spreadsheet, kakobuysheetfind, kakobuysheetfind2026, 2026kakobuysheetfind"},"finish_reason":"stop"}],"usage":{"prompt_tokens":811,"completion_tokens":586,"total_tokens":1397}}</t>
        </is>
      </c>
      <c r="P62" t="inlineStr">
        <is>
          <t>BLACKWHITE, T-Shirts, kakobuy, kakebuy2026, kekobuysheet, kakobuysheet2026, 2026kakobuy, kakobuyspreadsheeet, kakobuylink, kakebuylist, Kakobuy MEGA Spreadsheet, kakobuysheetfind, kakobuysheetfind2026, 2026kakobuysheetfind</t>
        </is>
      </c>
      <c r="Q62" t="inlineStr">
        <is>
          <t>Black, White, Streetwear, Unisex</t>
        </is>
      </c>
      <c r="R62" t="inlineStr">
        <is>
          <t>recvk9Jhrp6gjf</t>
        </is>
      </c>
      <c r="S62" t="inlineStr">
        <is>
          <t>blackwhite-go-speed-checkered-flag-recvk9jhrp6gjf</t>
        </is>
      </c>
      <c r="T62"/>
      <c r="U62"/>
      <c r="V62"/>
      <c r="W62" t="inlineStr">
        <is>
          <t>{"id":"resp_0e9cbb46a6c70af8016a0ee66721a081a19723f7a195bf9d01","object":"chat.completion","created":1779361386,"model":"gpt-5.5","choices":[{"index":0,"message":{"role":"assistant","content":"黑白赛车系列黑色短袖T恤，纯棉舒适面料，GO SPEED方格旗印花，休闲街头风男女同款上衣"},"finish_reason":"stop"}],"usage":{"prompt_tokens":1327,"completion_tokens":115,"total_tokens":1442}}</t>
        </is>
      </c>
      <c r="X62" t="inlineStr">
        <is>
          <t>黑白赛车系列黑色短袖T恤，纯棉舒适面料，GO SPEED方格旗印花，休闲街头风男女同款上衣</t>
        </is>
      </c>
    </row>
    <row r="63" ht="25.5" customHeight="1">
      <c r="A63">
        <v>1839115443</v>
      </c>
      <c r="B63">
        <v>7768696197</v>
      </c>
      <c r="C63" s="2" t="str">
        <f>=HYPERLINK("https://weidian.com/item.html?itemID=7768696197", "https://weidian.com/item.html?itemID=7768696197")</f>
        <v>https://weidian.com/item.html?itemID=7768696197</v>
      </c>
      <c r="D63"/>
      <c r="E63" s="2" t="str">
        <f>=HYPERLINK("https://si.geilicdn.com/open1839115443-252808396-5d9f0000019e443543cf0a8115c2_800_870.jpg?w=640&amp;h=640", "https://si.geilicdn.com/open1839115443-252808396-5d9f0000019e443543cf0a8115c2_800_870.jpg?w=640&amp;h=640")</f>
        <v>https://si.geilicdn.com/open1839115443-252808396-5d9f0000019e443543cf0a8115c2_800_870.jpg?w=640&amp;h=640</v>
      </c>
      <c r="F63" t="inlineStr">
        <is>
          <t>T-Shirts</t>
        </is>
      </c>
      <c r="G63" t="inlineStr">
        <is>
          <t>Eric Emanuel</t>
        </is>
      </c>
      <c r="H63">
        <v>85</v>
      </c>
      <c r="I63">
        <v>12.32</v>
      </c>
      <c r="J63" t="inlineStr">
        <is>
          <t>{"id":"resp_0062f8939fc2c57b016a0eebf4209881a0a838386341543181","object":"chat.completion","created":1779362807,"model":"gpt-5.5","choices":[{"index":0,"message":{"role":"assistant","content":"Eric Emanuel White Long Sleeve EE Logo T-Shirt"},"finish_reason":"stop"}],"usage":{"prompt_tokens":773,"completion_tokens":132,"total_tokens":905}}</t>
        </is>
      </c>
      <c r="K63" t="inlineStr">
        <is>
          <t>Eric Emanuel White Long Sleeve EE Logo T-Shirt</t>
        </is>
      </c>
      <c r="L63" t="inlineStr">
        <is>
          <t>{"id":"resp_09b8af060abb3c6c016a0ee8fc70cc8191a10d6773f9605f38","object":"chat.completion","created":1779362047,"model":"gpt-5.5","choices":[{"index":0,"message":{"role":"assistant","content":"Eric Emanuel white long sleeve T-shirt, soft cotton, black EE chest logo, relaxed unisex fit, minimalist American streetwear for casual daily outfits."},"finish_reason":"stop"}],"usage":{"prompt_tokens":819,"completion_tokens":99,"total_tokens":918}}</t>
        </is>
      </c>
      <c r="M63" t="inlineStr">
        <is>
          <t>{"alt-svc":"h3=\":443\"; ma=2592000","connection":"close","content-length":"443","content-type":"application/json; charset=utf-8","date":"Thu, 21 May 2026 11:14:07 GMT","referrer-policy":"strict-origin-when-cross-origin","server":"nginx/1.24.0 (Ubuntu)","strict-transport-security":"max-age=31536000; includeSubDomains; preload","vary":"Accept-Encoding","via":"1.1 Caddy","x-content-type-options":"nosniff","x-frame-options":"DENY","x-new-api-version":"v1.0.0-rc.2","x-oneapi-request-id":"202605211113569375775308268d9d6qa7Zhx3b","x-request-id":"6292ea39-ad6d-450a-baf7-0a3dd02ccf27"}</t>
        </is>
      </c>
      <c r="N63" t="inlineStr">
        <is>
          <t>Eric Emanuel white long sleeve T-shirt, soft cotton, black EE chest logo, relaxed unisex fit, minimalist American streetwear for casual daily outfits.</t>
        </is>
      </c>
      <c r="O63" t="inlineStr">
        <is>
          <t>{"id":"resp_05a0430a479565fb016a0eed20a34081929b009eb4d4e4a61e","object":"chat.completion","created":1779363112,"model":"gpt-5.5","choices":[{"index":0,"message":{"role":"assistant","content":"Eric Emanuel, T-Shirts, kakobuy, kakebuy2026, kekobuysheet, kakobuysheet2026, 2026kakobuy, kakobuyspreadsheeet, kakobuylink, kakebuylist, Kakobuy MEGA Spreadsheet, kakobuysheetfind, kakobuysheetfind2026, 2026kakobuysheetfind, kakobuysheet2026"},"finish_reason":"stop"}],"usage":{"prompt_tokens":692,"completion_tokens":401,"total_tokens":1093}}</t>
        </is>
      </c>
      <c r="P63" t="inlineStr">
        <is>
          <t>Eric Emanuel, T-Shirts, kakobuy, kakebuy2026, kekobuysheet, kakobuysheet2026, 2026kakobuy, kakobuyspreadsheeet, kakobuylink, kakebuylist, Kakobuy MEGA Spreadsheet, kakobuysheetfind, kakobuysheetfind2026, 2026kakobuysheetfind, kakobuysheet2026</t>
        </is>
      </c>
      <c r="Q63" t="inlineStr">
        <is>
          <t>White, Minimalist, Streetwear, Unisex</t>
        </is>
      </c>
      <c r="R63" t="inlineStr">
        <is>
          <t>recvk9JhrpCE0b</t>
        </is>
      </c>
      <c r="S63" t="inlineStr">
        <is>
          <t>eric-emanuel-white-long-sleeve-ee-logo-t-shirt-recvk9jhrpce0b</t>
        </is>
      </c>
      <c r="T63"/>
      <c r="U63"/>
      <c r="V63"/>
      <c r="W63" t="inlineStr">
        <is>
          <t>{"id":"resp_0e2ce8267b87f273016a0ee674673881a1992122098035bbed","object":"chat.completion","created":1779361409,"model":"gpt-5.5","choices":[{"index":0,"message":{"role":"assistant","content":"Eric Emanuel: 白色长袖T恤，甄选柔软棉质面料，胸前黑色EE标志点缀，极简美式街头设计，宽松舒适版型，男女通用，Eric Emanuel设计师同名系列，日常休闲与潮流穿搭皆宜。"},"finish_reason":"stop"}],"usage":{"prompt_tokens":1215,"completion_tokens":412,"total_tokens":1627}}</t>
        </is>
      </c>
      <c r="X63" t="inlineStr">
        <is>
          <t>Eric Emanuel: 白色长袖T恤，甄选柔软棉质面料，胸前黑色EE标志点缀，极简美式街头设计，宽松舒适版型，男女通用，Eric Emanuel设计师同名系列，日常休闲与潮流穿搭皆宜。</t>
        </is>
      </c>
    </row>
    <row r="64" ht="25.5" customHeight="1">
      <c r="A64">
        <v>1839115443</v>
      </c>
      <c r="B64">
        <v>7771609490</v>
      </c>
      <c r="C64" s="2" t="str">
        <f>=HYPERLINK("https://weidian.com/item.html?itemID=7771609490", "https://weidian.com/item.html?itemID=7771609490")</f>
        <v>https://weidian.com/item.html?itemID=7771609490</v>
      </c>
      <c r="D64"/>
      <c r="E64" s="2" t="str">
        <f>=HYPERLINK("https://si.geilicdn.com/open1839115443-252808396-5d0f0000019e443513120a8115c2_1770_1920.jpg?w=640&amp;h=640", "https://si.geilicdn.com/open1839115443-252808396-5d0f0000019e443513120a8115c2_1770_1920.jpg?w=640&amp;h=640")</f>
        <v>https://si.geilicdn.com/open1839115443-252808396-5d0f0000019e443513120a8115c2_1770_1920.jpg?w=640&amp;h=640</v>
      </c>
      <c r="F64" t="inlineStr">
        <is>
          <t>Pants</t>
        </is>
      </c>
      <c r="G64" t="inlineStr">
        <is>
          <t>Chrome Hearts</t>
        </is>
      </c>
      <c r="H64">
        <v>91</v>
      </c>
      <c r="I64">
        <v>13.19</v>
      </c>
      <c r="J64" t="inlineStr">
        <is>
          <t>{"id":"resp_058ffd6128e1abb2016a0eeb2f9f0c81a386a95e55d3e576a2","object":"chat.completion","created":1779362628,"model":"gpt-5.5","choices":[{"index":0,"message":{"role":"assistant","content":"Chrome Hearts Black Cotton Drawstring Pink Cross Sweatpants"},"finish_reason":"stop"}],"usage":{"prompt_tokens":774,"completion_tokens":1102,"total_tokens":1876}}</t>
        </is>
      </c>
      <c r="K64" t="inlineStr">
        <is>
          <t>Chrome Hearts Black Cotton Drawstring Pink Cross Sweatpants</t>
        </is>
      </c>
      <c r="L64" t="inlineStr">
        <is>
          <t>{"id":"resp_005fcc09cd66b953016a0ee8880c6481a0b001fe5533da5ff6","object":"chat.completion","created":1779361932,"model":"gpt-5.5","choices":[{"index":0,"message":{"role":"assistant","content":"Chrome Hearts Black Loose Drawstring Sweatpants, Pink Cross Motif, Cotton Streetwear, Unisex 90s American Style, Casual Versatile Pants"},"finish_reason":"stop"}],"usage":{"prompt_tokens":801,"completion_tokens":197,"total_tokens":998}}</t>
        </is>
      </c>
      <c r="M64" t="inlineStr">
        <is>
          <t>{"alt-svc":"h3=\":443\"; ma=2592000","connection":"close","content-length":"429","content-type":"application/json; charset=utf-8","date":"Thu, 21 May 2026 11:12:12 GMT","referrer-policy":"strict-origin-when-cross-origin","server":"Caddy","strict-transport-security":"max-age=31536000; includeSubDomains; preload","vary":"Accept-Encoding","x-content-type-options":"nosniff","x-frame-options":"DENY","x-new-api-version":"v1.0.0-rc.2","x-oneapi-request-id":"202605211112072515624268268d9d6vCsqKq6e","x-request-id":"32f7d55d-0784-4719-8929-95355def1b32"}</t>
        </is>
      </c>
      <c r="N64" t="inlineStr">
        <is>
          <t>Chrome Hearts Black Loose Drawstring Sweatpants, Pink Cross Motif, Cotton Streetwear, Unisex 90s American Style, Casual Versatile Pants</t>
        </is>
      </c>
      <c r="O64" t="inlineStr">
        <is>
          <t>{"id":"resp_04a6fcbbbab2ba6c016a0eee95ce1c81a0966aa8832faf55d3","object":"chat.completion","created":1779363482,"model":"gpt-5.5","choices":[{"index":0,"message":{"role":"assistant","content":"Chrome Hearts, Pants, kakobuy, kakebuy2026, kekobuysheet, kakobuysheet2026, 2026kakobuy, kakobuyspreadsheeet, kakobuylink, kakebuylist, Kakobuy MEGA Spreadsheet, kakobuysheetfind, kakobuysheetfind2026, 2026kakobuysheetfind, kakobuysheet2026"},"finish_reason":"stop"}],"usage":{"prompt_tokens":692,"completion_tokens":196,"total_tokens":888}}</t>
        </is>
      </c>
      <c r="P64" t="inlineStr">
        <is>
          <t>Chrome Hearts, Pants, kakobuy, kakebuy2026, kekobuysheet, kakobuysheet2026, 2026kakobuy, kakobuyspreadsheeet, kakobuylink, kakebuylist, Kakobuy MEGA Spreadsheet, kakobuysheetfind, kakobuysheetfind2026, 2026kakobuysheetfind, kakobuysheet2026</t>
        </is>
      </c>
      <c r="Q64" t="inlineStr">
        <is>
          <t>Black, Pink, Streetwear, Unisex</t>
        </is>
      </c>
      <c r="R64" t="inlineStr">
        <is>
          <t>recvk9JhrpsKQn</t>
        </is>
      </c>
      <c r="S64" t="inlineStr">
        <is>
          <t>chrome-hearts-black-pink-cross-sweatpants-recvk9jhrpskqn</t>
        </is>
      </c>
      <c r="T64"/>
      <c r="U64"/>
      <c r="V64"/>
      <c r="W64" t="inlineStr">
        <is>
          <t>{"id":"resp_0f19d5445603d676016a0ee7d53f7c8191a29fef06dca8e65d","object":"chat.completion","created":1779361766,"model":"gpt-5.5","choices":[{"index":0,"message":{"role":"assistant","content":"Chrome Hearts: 黑色宽松抽绳卫裤，粉色十字图腾装饰，街头潮流风格，舒适棉质感，男女通用，90年代美式设计，休闲百搭长裤。"},"finish_reason":"stop"}],"usage":{"prompt_tokens":1217,"completion_tokens":366,"total_tokens":1583}}</t>
        </is>
      </c>
      <c r="X64" t="inlineStr">
        <is>
          <t>Chrome Hearts: 黑色宽松抽绳卫裤，粉色十字图腾装饰，街头潮流风格，舒适棉质感，男女通用，90年代美式设计，休闲百搭长裤。</t>
        </is>
      </c>
    </row>
    <row r="65" ht="25.5" customHeight="1">
      <c r="A65">
        <v>1839115443</v>
      </c>
      <c r="B65">
        <v>7771623480</v>
      </c>
      <c r="C65" s="2" t="str">
        <f>=HYPERLINK("https://weidian.com/item.html?itemID=7771623480", "https://weidian.com/item.html?itemID=7771623480")</f>
        <v>https://weidian.com/item.html?itemID=7771623480</v>
      </c>
      <c r="D65"/>
      <c r="E65" s="2" t="str">
        <f>=HYPERLINK("https://si.geilicdn.com/open1839115443-252808396-0a840000019e4439afcf0a22d249_1097_1097.jpg?w=640&amp;h=640", "https://si.geilicdn.com/open1839115443-252808396-0a840000019e4439afcf0a22d249_1097_1097.jpg?w=640&amp;h=640")</f>
        <v>https://si.geilicdn.com/open1839115443-252808396-0a840000019e4439afcf0a22d249_1097_1097.jpg?w=640&amp;h=640</v>
      </c>
      <c r="F65" t="inlineStr">
        <is>
          <t>T-Shirts</t>
        </is>
      </c>
      <c r="G65" t="inlineStr">
        <is>
          <t>A Bathing App</t>
        </is>
      </c>
      <c r="H65">
        <v>101</v>
      </c>
      <c r="I65">
        <v>14.64</v>
      </c>
      <c r="J65" t="inlineStr">
        <is>
          <t>{"id":"resp_02ee26558a393fbc016a0eea08022081a09fa9a7a384564188","object":"chat.completion","created":1779362320,"model":"gpt-5.5","choices":[{"index":0,"message":{"role":"assistant","content":"A Bathing Ape Black Pink Camo Ape Head Cotton Tee"},"finish_reason":"stop"}],"usage":{"prompt_tokens":722,"completion_tokens":406,"total_tokens":1128}}</t>
        </is>
      </c>
      <c r="K65" t="inlineStr">
        <is>
          <t>A Bathing Ape Black Pink Camo Ape Head Cotton Tee</t>
        </is>
      </c>
      <c r="L65" t="inlineStr">
        <is>
          <t>{"id":"resp_07a47dd599de04ec016a0ee862ab3081a298ca04dbb13d1a25","object":"chat.completion","created":1779361893,"model":"gpt-5.5","choices":[{"index":0,"message":{"role":"assistant","content":"A Bathing Ape black short sleeve T-shirt, soft breathable cotton, pink camo ape head graphic, loose unisex streetwear top"},"finish_reason":"stop"}],"usage":{"prompt_tokens":752,"completion_tokens":112,"total_tokens":864}}</t>
        </is>
      </c>
      <c r="M65" t="inlineStr">
        <is>
          <t>{"alt-svc":"h3=\":443\"; ma=2592000","connection":"close","content-length":"415","content-type":"application/json; charset=utf-8","date":"Thu, 21 May 2026 11:11:33 GMT","referrer-policy":"strict-origin-when-cross-origin","server":"nginx/1.24.0 (Ubuntu)","strict-transport-security":"max-age=31536000; includeSubDomains; preload","vary":"Accept-Encoding","via":"1.1 Caddy","x-content-type-options":"nosniff","x-frame-options":"DENY","x-new-api-version":"v1.0.0-rc.2","x-oneapi-request-id":"202605211111301420591998268d9d6pMJaWg1p","x-request-id":"d88c0f37-4233-41d5-a549-f85447903ae9"}</t>
        </is>
      </c>
      <c r="N65" t="inlineStr">
        <is>
          <t>A Bathing Ape black short sleeve T-shirt, soft breathable cotton, pink camo ape head graphic, loose unisex streetwear top</t>
        </is>
      </c>
      <c r="O65" t="inlineStr">
        <is>
          <t>{"id":"resp_01baaccc9fc6d49d016a0eee3577d8819f91a4c95c9b2ce7e1","object":"chat.completion","created":1779363387,"model":"gpt-5.5","choices":[{"index":0,"message":{"role":"assistant","content":"A Bathing Ape, T-Shirts, kakobuy, kakebuy2026, kekobuysheet, kakobuysheet2026, 2026kakobuy, kakobuyspreadsheeet, kakobuylink, kakebuylist, Kakobuy MEGA Spreadsheet, kakobuysheetfind, kakobuysheetfind2026, 2026kakobuysheetfind, kakobuysheet2026"},"finish_reason":"stop"}],"usage":{"prompt_tokens":646,"completion_tokens":287,"total_tokens":933}}</t>
        </is>
      </c>
      <c r="P65" t="inlineStr">
        <is>
          <t>A Bathing Ape, T-Shirts, kakobuy, kakebuy2026, kekobuysheet, kakobuysheet2026, 2026kakobuy, kakobuyspreadsheeet, kakobuylink, kakebuylist, Kakobuy MEGA Spreadsheet, kakobuysheetfind, kakobuysheetfind2026, 2026kakobuysheetfind, kakobuysheet2026</t>
        </is>
      </c>
      <c r="Q65" t="inlineStr">
        <is>
          <t>BAPE, Black, Unisex, Streetwear, Breathable</t>
        </is>
      </c>
      <c r="R65" t="inlineStr">
        <is>
          <t>recvk9JhrpZ3X1</t>
        </is>
      </c>
      <c r="S65" t="inlineStr">
        <is>
          <t>bathing-ape-black-pink-camo-ape-head-cotton-tee-recvk9jhrpz3x1</t>
        </is>
      </c>
      <c r="T65"/>
      <c r="U65"/>
      <c r="V65"/>
      <c r="W65" t="inlineStr">
        <is>
          <t>{"id":"resp_04e189c20595d4c2016a0ee79322c481a08ca72dbe1415e7f0","object":"chat.completion","created":1779361687,"model":"gpt-5.5","choices":[{"index":0,"message":{"role":"assistant","content":"日潮A Bathing Ape黑色短袖T恤，纯棉舒适透气，粉色迷彩猿人头图腾印花，宽松街头休闲风，男女同款潮牌上衣"},"finish_reason":"stop"}],"usage":{"prompt_tokens":1171,"completion_tokens":175,"total_tokens":1346}}</t>
        </is>
      </c>
      <c r="X65" t="inlineStr">
        <is>
          <t>日潮A Bathing Ape黑色短袖T恤，纯棉舒适透气，粉色迷彩猿人头图腾印花，宽松街头休闲风，男女同款潮牌上衣</t>
        </is>
      </c>
    </row>
    <row r="66" ht="25.5" customHeight="1">
      <c r="A66">
        <v>1839115443</v>
      </c>
      <c r="B66">
        <v>7771674350</v>
      </c>
      <c r="C66" s="2" t="str">
        <f>=HYPERLINK("https://weidian.com/item.html?itemID=7771674350", "https://weidian.com/item.html?itemID=7771674350")</f>
        <v>https://weidian.com/item.html?itemID=7771674350</v>
      </c>
      <c r="D66"/>
      <c r="E66" s="2" t="str">
        <f>=HYPERLINK("https://si.geilicdn.com/open1839115443-252808396-786a0000019e4439812d0aa08269_1917_1919.jpg?w=640&amp;h=640", "https://si.geilicdn.com/open1839115443-252808396-786a0000019e4439812d0aa08269_1917_1919.jpg?w=640&amp;h=640")</f>
        <v>https://si.geilicdn.com/open1839115443-252808396-786a0000019e4439812d0aa08269_1917_1919.jpg?w=640&amp;h=640</v>
      </c>
      <c r="F66" t="inlineStr">
        <is>
          <t>T-Shirts</t>
        </is>
      </c>
      <c r="G66" t="inlineStr">
        <is>
          <t xml:space="preserve"> Paul &amp; Shark</t>
        </is>
      </c>
      <c r="H66">
        <v>81</v>
      </c>
      <c r="I66">
        <v>11.74</v>
      </c>
      <c r="J66" t="inlineStr">
        <is>
          <t>{"id":"chatcmpl-dd19e0ed-57ba-4179-8675-ea60a9c5fbad","object":"chat.completion","created":1779362554,"model":"gpt-5.5","choices":[{"index":0,"message":{"role":"assistant","content":"&lt;think&gt;**Counting characters for title creation**\n\nI need to create a title that’s 60 characters or fewer, ideally around 10 words. The brand name is already provided, so I won't mention counterfeit items. I’m analyzing the components of the title “Paul &amp; Shark Navy Yachting Shark Logo Cotton T-Shirt.” I counted the characters and spaces for each part, and it looks like I've got 52 characters total, which is good. Plus, it's 9 words, just as it should be!&lt;/think&gt;\n\nPaul &amp; Shark Navy Yachting Shark Logo Cotton T-Shirt"},"finish_reason":"stop"}],"usage":{"prompt_tokens":730,"completion_tokens":149,"total_tokens":879,"completion_tokens_details":{"reasoning_tokens":131}}}</t>
        </is>
      </c>
      <c r="K66" t="inlineStr">
        <is>
          <t>&lt;think&gt;**Counting characters for title creation**
I need to create a title that’s 60 characters or fewer, ideally around 10 words. The brand name is already provided, so I won't mention counterfeit items. I’m analyzing the components of the title “Paul &amp; Shark Navy Yachting Shark Logo Cotton T-Shirt.” I counted the characters and spaces for each part, and it looks like I've got 52 characters total, which is good. Plus, it's 9 words, just as it should be!&lt;/think&gt;
Paul &amp; Shark Navy Yachting Shark Logo Cotton T-Shirt</t>
        </is>
      </c>
      <c r="L66" t="inlineStr">
        <is>
          <t>{"id":"resp_0ab882db9423ad15016a0ee91e7d2881a38d3bfc5c3cbdc080","object":"chat.completion","created":1779362080,"model":"gpt-5.5","choices":[{"index":0,"message":{"role":"assistant","content":"Paul &amp; Shark deep navy Yachting cotton short sleeve T-shirt, shark logo letter print, casual nautical unisex tee top"},"finish_reason":"stop"}],"usage":{"prompt_tokens":767,"completion_tokens":92,"total_tokens":859}}</t>
        </is>
      </c>
      <c r="M66" t="inlineStr">
        <is>
          <t>{"alt-svc":"h3=\":443\"; ma=2592000","connection":"close","content-length":"414","content-type":"application/json; charset=utf-8","date":"Thu, 21 May 2026 11:14:40 GMT","referrer-policy":"strict-origin-when-cross-origin","server":"Caddy","strict-transport-security":"max-age=31536000; includeSubDomains; preload","vary":"Accept-Encoding","x-content-type-options":"nosniff","x-frame-options":"DENY","x-new-api-version":"v1.0.0-rc.2","x-oneapi-request-id":"202605211114359852184748268d9d6yLcwvcaR","x-request-id":"c51041e3-dd5e-45ae-b01f-be96eecf925b"}</t>
        </is>
      </c>
      <c r="N66" t="inlineStr">
        <is>
          <t>Paul &amp; Shark deep navy Yachting cotton short sleeve T-shirt, shark logo letter print, casual nautical unisex tee top</t>
        </is>
      </c>
      <c r="O66" t="inlineStr">
        <is>
          <t>{"id":"resp_0f8cf1cce9d4399d016a0eed648ea8819cb63d85c5eb655a40","object":"chat.completion","created":1779363179,"model":"gpt-5.5","choices":[{"index":0,"message":{"role":"assistant","content":"Paul &amp; Shark,T-Shirts,kakobuy,kakebuy2026,kekobuysheet,kakobuysheet2026,2026kakobuy,kakobuyspreadsheeet,kakobuylink,kakebuylist,Kakobuy MEGA Spreadsheet,kakobuysheetfind,kakobuysheetfind2026,2026kakobuysheetfind,kakobuysheet2026"},"finish_reason":"stop"}],"usage":{"prompt_tokens":669,"completion_tokens":320,"total_tokens":989}}</t>
        </is>
      </c>
      <c r="P66" t="inlineStr">
        <is>
          <t>Paul &amp; Shark,T-Shirts,kakobuy,kakebuy2026,kekobuysheet,kakobuysheet2026,2026kakobuy,kakobuyspreadsheeet,kakobuylink,kakebuylist,Kakobuy MEGA Spreadsheet,kakobuysheetfind,kakobuysheetfind2026,2026kakobuysheetfind,kakobuysheet2026</t>
        </is>
      </c>
      <c r="Q66" t="inlineStr">
        <is>
          <t>Navy, Nautical, Unisex, Summer</t>
        </is>
      </c>
      <c r="R66" t="inlineStr">
        <is>
          <t>recvk9Jhrp7CZy</t>
        </is>
      </c>
      <c r="S66" t="inlineStr">
        <is>
          <t>paul-shark-navy-yachting-shark-logo-cotton-t-shirt-recvk9jhrp7czy</t>
        </is>
      </c>
      <c r="T66"/>
      <c r="U66"/>
      <c r="V66"/>
      <c r="W66" t="inlineStr">
        <is>
          <t>{"id":"resp_04c5af2f05032bc5016a0ee7372cdc81a2a105954ccd57dbfb","object":"chat.completion","created":1779361595,"model":"gpt-5.5","choices":[{"index":0,"message":{"role":"assistant","content":"保罗鲨Paul &amp; Shark深海蓝Yachting系列纯棉短袖T恤，鲨鱼图腾字母印花，休闲航海风男女同款上衣"},"finish_reason":"stop"}],"usage":{"prompt_tokens":1191,"completion_tokens":183,"total_tokens":1374}}</t>
        </is>
      </c>
      <c r="X66" t="inlineStr">
        <is>
          <t>保罗鲨Paul &amp; Shark深海蓝Yachting系列纯棉短袖T恤，鲨鱼图腾字母印花，休闲航海风男女同款上衣</t>
        </is>
      </c>
    </row>
    <row r="67" ht="25.5" customHeight="1">
      <c r="A67">
        <v>1839115443</v>
      </c>
      <c r="B67">
        <v>7771664608</v>
      </c>
      <c r="C67" s="2" t="str">
        <f>=HYPERLINK("https://weidian.com/item.html?itemID=7771664608", "https://weidian.com/item.html?itemID=7771664608")</f>
        <v>https://weidian.com/item.html?itemID=7771664608</v>
      </c>
      <c r="D67"/>
      <c r="E67" s="2" t="str">
        <f>=HYPERLINK("https://si.geilicdn.com/open1839115443-252808396-6d870000019e443a81dd0a8115c2_800_800.jpg?w=750&amp;h=750&amp;cp=1", "https://si.geilicdn.com/open1839115443-252808396-6d870000019e443a81dd0a8115c2_800_800.jpg?w=750&amp;h=750&amp;cp=1")</f>
        <v>https://si.geilicdn.com/open1839115443-252808396-6d870000019e443a81dd0a8115c2_800_800.jpg?w=750&amp;h=750&amp;cp=1</v>
      </c>
      <c r="F67" t="inlineStr">
        <is>
          <t>Pants</t>
        </is>
      </c>
      <c r="G67" t="inlineStr">
        <is>
          <t>Casablanca</t>
        </is>
      </c>
      <c r="H67">
        <v>99</v>
      </c>
      <c r="I67">
        <v>14.35</v>
      </c>
      <c r="J67" t="inlineStr">
        <is>
          <t>{"id":"resp_0b916884a9c7ac39016a0eeb02a5d081919ff42b1b340e9f5d","object":"chat.completion","created":1779362577,"model":"gpt-5.5","choices":[{"index":0,"message":{"role":"assistant","content":"Casablanca Black White Embroidered Cotton Drawstring Shorts"},"finish_reason":"stop"}],"usage":{"prompt_tokens":925,"completion_tokens":776,"total_tokens":1701}}</t>
        </is>
      </c>
      <c r="K67" t="inlineStr">
        <is>
          <t>Casablanca Black White Embroidered Cotton Drawstring Shorts</t>
        </is>
      </c>
      <c r="L67" t="inlineStr">
        <is>
          <t>{"id":"resp_0443c9c352d0e004016a0ee84a5ec4819fbeb6cb6327a5f85d","object":"chat.completion","created":1779361869,"model":"gpt-5.5","choices":[{"index":0,"message":{"role":"assistant","content":"Casablanca black and white drawstring cotton shorts with colorful embroidered totem graphics, unisex casual retro vacation streetwear pants"},"finish_reason":"stop"}],"usage":{"prompt_tokens":960,"completion_tokens":108,"total_tokens":1068}}</t>
        </is>
      </c>
      <c r="M67" t="inlineStr">
        <is>
          <t>{"alt-svc":"h3=\":443\"; ma=2592000","connection":"close","content-length":"434","content-type":"application/json; charset=utf-8","date":"Thu, 21 May 2026 11:11:09 GMT","referrer-policy":"strict-origin-when-cross-origin","server":"Caddy","strict-transport-security":"max-age=31536000; includeSubDomains; preload","vary":"Accept-Encoding","x-content-type-options":"nosniff","x-frame-options":"DENY","x-new-api-version":"v1.0.0-rc.2","x-oneapi-request-id":"202605211111059541062178268d9d6tjaiwk0v","x-request-id":"6cd9c1ce-408c-4d35-8e41-d91c8046835b"}</t>
        </is>
      </c>
      <c r="N67" t="inlineStr">
        <is>
          <t>Casablanca black and white drawstring cotton shorts with colorful embroidered totem graphics, unisex casual retro vacation streetwear pants</t>
        </is>
      </c>
      <c r="O67" t="inlineStr">
        <is>
          <t>{"id":"resp_067204251d36423b016a0eed8bb14c81a195819135f4cab717","object":"chat.completion","created":1779363220,"model":"gpt-5.5","choices":[{"index":0,"message":{"role":"assistant","content":"Casablanca shorts, kakobuy, kakebuy2026, kekobuysheet, kakobuysheet2026, 2026kakobuy, kakobuyspreadsheeet, kakobuylink, kakebuylist, Kakobuy MEGA Spreadsheet, kakobuysheetfind, kakobuysheetfind2026, 2026kakobuysheetfind, kakobuysheet2026"},"finish_reason":"stop"}],"usage":{"prompt_tokens":855,"completion_tokens":444,"total_tokens":1299}}</t>
        </is>
      </c>
      <c r="P67" t="inlineStr">
        <is>
          <t>Casablanca shorts, kakobuy, kakebuy2026, kekobuysheet, kakobuysheet2026, 2026kakobuy, kakobuyspreadsheeet, kakobuylink, kakebuylist, Kakobuy MEGA Spreadsheet, kakobuysheetfind, kakobuysheetfind2026, 2026kakobuysheetfind, kakobuysheet2026</t>
        </is>
      </c>
      <c r="Q67" t="inlineStr">
        <is>
          <t>Black, White, Retro, Unisex</t>
        </is>
      </c>
      <c r="R67" t="inlineStr">
        <is>
          <t>recvk9JhrpltHS</t>
        </is>
      </c>
      <c r="S67" t="inlineStr">
        <is>
          <t>casablanca-black-white-embroidered-cotton-drawstring-shorts-recvk9jhrplths</t>
        </is>
      </c>
      <c r="T67"/>
      <c r="U67"/>
      <c r="V67"/>
      <c r="W67" t="inlineStr">
        <is>
          <t>{"id":"resp_0b5de59332a0bd3b016a0ee681f94481a1b95f42ecb5b7f8f9","object":"chat.completion","created":1779361415,"model":"gpt-5.5","choices":[{"index":0,"message":{"role":"assistant","content":"卡萨布兰卡Casablanca 黑白抽绳休闲短裤，棉质舒适面料，彩色刺绣图腾设计，复古度假街头风男女同款Pants"},"finish_reason":"stop"}],"usage":{"prompt_tokens":1384,"completion_tokens":156,"total_tokens":1540}}</t>
        </is>
      </c>
      <c r="X67" t="inlineStr">
        <is>
          <t>卡萨布兰卡Casablanca 黑白抽绳休闲短裤，棉质舒适面料，彩色刺绣图腾设计，复古度假街头风男女同款Pants</t>
        </is>
      </c>
    </row>
    <row r="68" ht="25.5" customHeight="1">
      <c r="A68">
        <v>1839115443</v>
      </c>
      <c r="B68">
        <v>7768603547</v>
      </c>
      <c r="C68" s="2" t="str">
        <f>=HYPERLINK("https://weidian.com/item.html?itemID=7768603547", "https://weidian.com/item.html?itemID=7768603547")</f>
        <v>https://weidian.com/item.html?itemID=7768603547</v>
      </c>
      <c r="D68"/>
      <c r="E68" s="2" t="str">
        <f>=HYPERLINK("https://si.geilicdn.com/open1839115443-252808396-610d0000019e442bd7120a231226_1920_1920.jpg?w=640&amp;h=640", "https://si.geilicdn.com/open1839115443-252808396-610d0000019e442bd7120a231226_1920_1920.jpg?w=640&amp;h=640")</f>
        <v>https://si.geilicdn.com/open1839115443-252808396-610d0000019e442bd7120a231226_1920_1920.jpg?w=640&amp;h=640</v>
      </c>
      <c r="F68" t="inlineStr">
        <is>
          <t>T-Shirts</t>
        </is>
      </c>
      <c r="G68" t="inlineStr">
        <is>
          <t>Stussy</t>
        </is>
      </c>
      <c r="H68">
        <v>91</v>
      </c>
      <c r="I68">
        <v>13.19</v>
      </c>
      <c r="J68" t="inlineStr">
        <is>
          <t>{"id":"resp_009cf427c11b6a8f016a0eeb892cc8819dbb6a7936f7f3df97","object":"chat.completion","created":1779362700,"model":"gpt-5.5","choices":[{"index":0,"message":{"role":"assistant","content":"Stussy Black Psychedelic Floral Record Back Print Tee"},"finish_reason":"stop"}],"usage":{"prompt_tokens":714,"completion_tokens":129,"total_tokens":843}}</t>
        </is>
      </c>
      <c r="K68" t="inlineStr">
        <is>
          <t>Stussy Black Psychedelic Floral Record Back Print Tee</t>
        </is>
      </c>
      <c r="L68" t="inlineStr">
        <is>
          <t>{"id":"resp_09e17fdf03bae4dc016a0ee8f6ca5081a281a71b402ad4ba52","object":"chat.completion","created":1779362046,"model":"gpt-5.5","choices":[{"index":0,"message":{"role":"assistant","content":"Stussy Black Cotton Short Sleeve Tee, Psychedelic Floral Swirl Record Back Print, Street Retro Unisex Casual Top"},"finish_reason":"stop"}],"usage":{"prompt_tokens":745,"completion_tokens":383,"total_tokens":1128}}</t>
        </is>
      </c>
      <c r="M68" t="inlineStr">
        <is>
          <t>{"alt-svc":"h3=\":443\"; ma=2592000","connection":"close","content-length":"407","content-type":"application/json; charset=utf-8","date":"Thu, 21 May 2026 11:14:06 GMT","referrer-policy":"strict-origin-when-cross-origin","server":"nginx/1.24.0 (Ubuntu)","strict-transport-security":"max-age=31536000; includeSubDomains; preload","vary":"Accept-Encoding","via":"1.1 Caddy","x-content-type-options":"nosniff","x-frame-options":"DENY","x-new-api-version":"v1.0.0-rc.2","x-oneapi-request-id":"20260521111341186259958268d9d6RhOUEFrz","x-request-id":"995505bb-5561-48bb-be8e-7b0ca1450b54"}</t>
        </is>
      </c>
      <c r="N68" t="inlineStr">
        <is>
          <t>Stussy Black Cotton Short Sleeve Tee, Psychedelic Floral Swirl Record Back Print, Street Retro Unisex Casual Top</t>
        </is>
      </c>
      <c r="O68" t="inlineStr">
        <is>
          <t>{"id":"resp_0bc3e9d50e751fc8016a0eed2cbfc4819291e355d4903b05ef","object":"chat.completion","created":1779363125,"model":"gpt-5.5","choices":[{"index":0,"message":{"role":"assistant","content":"Stussy,T-Shirts,kakobuy,kakebuy2026,kekobuysheet,kakobuysheet2026,2026kakobuy,kakobuyspreadsheeet,kakobuylink,kakebuylist,Kakobuy MEGA Spreadsheet,kakobuysheetfind,kakobuysheetfind2026,2026kakobuysheetfind,kakobuysheet2026"},"finish_reason":"stop"}],"usage":{"prompt_tokens":644,"completion_tokens":415,"total_tokens":1059}}</t>
        </is>
      </c>
      <c r="P68" t="inlineStr">
        <is>
          <t>Stussy,T-Shirts,kakobuy,kakebuy2026,kekobuysheet,kakobuysheet2026,2026kakobuy,kakobuyspreadsheeet,kakobuylink,kakebuylist,Kakobuy MEGA Spreadsheet,kakobuysheetfind,kakobuysheetfind2026,2026kakobuysheetfind,kakobuysheet2026</t>
        </is>
      </c>
      <c r="Q68" t="inlineStr">
        <is>
          <t>Stussy, Black, Street, Retro, Unisex</t>
        </is>
      </c>
      <c r="R68" t="inlineStr">
        <is>
          <t>recvk9JhrpATsf</t>
        </is>
      </c>
      <c r="S68" t="inlineStr">
        <is>
          <t>stussy-black-psychedelic-floral-record-back-print-tee-recvk9jhrpat</t>
        </is>
      </c>
      <c r="T68"/>
      <c r="U68"/>
      <c r="V68"/>
      <c r="W68" t="inlineStr">
        <is>
          <t>{"id":"resp_08e53e276977a2ff016a0ee7bdcc7c819cafaf88b7af26c283","object":"chat.completion","created":1779361731,"model":"gpt-5.5","choices":[{"index":0,"message":{"role":"assistant","content":"斯图西（Stussy）黑色纯棉短袖T恤，背部迷幻花卉漩涡唱片图腾印花，街头复古男女同款休闲上衣"},"finish_reason":"stop"}],"usage":{"prompt_tokens":1163,"completion_tokens":161,"total_tokens":1324}}</t>
        </is>
      </c>
      <c r="X68" t="inlineStr">
        <is>
          <t>斯图西（Stussy）黑色纯棉短袖T恤，背部迷幻花卉漩涡唱片图腾印花，街头复古男女同款休闲上衣</t>
        </is>
      </c>
    </row>
    <row r="69" ht="25.5" customHeight="1">
      <c r="A69">
        <v>1839115443</v>
      </c>
      <c r="B69">
        <v>7771611218</v>
      </c>
      <c r="C69" s="2" t="str">
        <f>=HYPERLINK("https://weidian.com/item.html?itemID=7771611218", "https://weidian.com/item.html?itemID=7771611218")</f>
        <v>https://weidian.com/item.html?itemID=7771611218</v>
      </c>
      <c r="D69"/>
      <c r="E69" s="2" t="str">
        <f>=HYPERLINK("https://si.geilicdn.com/open1839115443-252808396-60130000019e442b88550a231226_1920_1440.jpg?w=640&amp;h=640", "https://si.geilicdn.com/open1839115443-252808396-60130000019e442b88550a231226_1920_1440.jpg?w=640&amp;h=640")</f>
        <v>https://si.geilicdn.com/open1839115443-252808396-60130000019e442b88550a231226_1920_1440.jpg?w=640&amp;h=640</v>
      </c>
      <c r="F69" t="inlineStr">
        <is>
          <t>T-Shirts</t>
        </is>
      </c>
      <c r="G69" t="inlineStr">
        <is>
          <t>Stussy</t>
        </is>
      </c>
      <c r="H69">
        <v>91</v>
      </c>
      <c r="I69">
        <v>13.19</v>
      </c>
      <c r="J69" t="inlineStr">
        <is>
          <t>{"id":"resp_0766d9c68dd641cf016a0eeadc9128819fbdd073381f8c18c9","object":"chat.completion","created":1779362533,"model":"gpt-5.5","choices":[{"index":0,"message":{"role":"assistant","content":"Stussy White Cotton Tee Red Crown Graffiti Logo Retro Unisex"},"finish_reason":"stop"}],"usage":{"prompt_tokens":603,"completion_tokens":460,"total_tokens":1063}}</t>
        </is>
      </c>
      <c r="K69" t="inlineStr">
        <is>
          <t>Stussy White Cotton Tee Red Crown Graffiti Logo Retro Unisex</t>
        </is>
      </c>
      <c r="L69" t="inlineStr">
        <is>
          <t>{"id":"resp_01e969ceb92d3b4d016a0ee988dff081a186fa7f4ba8856d19","object":"chat.completion","created":1779362187,"model":"gpt-5.5","choices":[{"index":0,"message":{"role":"assistant","content":"Stussy white cotton T-shirt, red crown black graffiti logo print, soft breathable unisex streetwear tee, retro 90s casual style."},"finish_reason":"stop"}],"usage":{"prompt_tokens":635,"completion_tokens":73,"total_tokens":708}}</t>
        </is>
      </c>
      <c r="M69" t="inlineStr">
        <is>
          <t>{"alt-svc":"h3=\":443\"; ma=2592000","connection":"close","content-length":"421","content-type":"application/json; charset=utf-8","date":"Thu, 21 May 2026 11:16:27 GMT","referrer-policy":"strict-origin-when-cross-origin","server":"Caddy","strict-transport-security":"max-age=31536000; includeSubDomains; preload","vary":"Accept-Encoding","x-content-type-options":"nosniff","x-frame-options":"DENY","x-new-api-version":"v1.0.0-rc.2","x-oneapi-request-id":"202605211116244961081468268d9d6R1uaiMqN","x-request-id":"0019a74a-713b-4ec9-a8bd-6c91eedcf444"}</t>
        </is>
      </c>
      <c r="N69" t="inlineStr">
        <is>
          <t>Stussy white cotton T-shirt, red crown black graffiti logo print, soft breathable unisex streetwear tee, retro 90s casual style.</t>
        </is>
      </c>
      <c r="O69" t="inlineStr">
        <is>
          <t>{"id":"resp_0aa59794ec152494016a0eed805a208191a362daad0eb54b66","object":"chat.completion","created":1779363207,"model":"gpt-5.5","choices":[{"index":0,"message":{"role":"assistant","content":"Stussy T-Shirts kakobuy, Stussy T-Shirts kakebuy2026, Stussy T-Shirts kekobuysheet, Stussy T-Shirts kakobuysheet2026, Stussy T-Shirts 2026kakobuy, Stussy T-Shirts kakobuyspreadsheeet, Stussy T-Shirts kakobuylink, Stussy T-Shirts kakebuylist, Stussy T-Shirts Kakobuy MEGA Spreadsheet, Stussy T-Shirts kakobuysheetfind, Stussy T-Shirts kakobuysheetfind2026, Stussy T-Shirts 2026kakobuysheetfind, Stussy T-Shirts kakobuysheet2026"},"finish_reason":"stop"}],"usage":{"prompt_tokens":524,"completion_tokens":355,"total_tokens":879}}</t>
        </is>
      </c>
      <c r="P69" t="inlineStr">
        <is>
          <t>Stussy T-Shirts kakobuy, Stussy T-Shirts kakebuy2026, Stussy T-Shirts kekobuysheet, Stussy T-Shirts kakobuysheet2026, Stussy T-Shirts 2026kakobuy, Stussy T-Shirts kakobuyspreadsheeet, Stussy T-Shirts kakobuylink, Stussy T-Shirts kakebuylist, Stussy T-Shirts Kakobuy MEGA Spreadsheet, Stussy T-Shirts kakobuysheetfind, Stussy T-Shirts kakobuysheetfind2026, Stussy T-Shirts 2026kakobuysheetfind, Stussy T-Shirts kakobuysheet2026</t>
        </is>
      </c>
      <c r="Q69" t="inlineStr">
        <is>
          <t>Stussy, White, Unisex, Streetwear, Retro</t>
        </is>
      </c>
      <c r="R69" t="inlineStr">
        <is>
          <t>recvk9JhrpYu60</t>
        </is>
      </c>
      <c r="S69" t="inlineStr">
        <is>
          <t>stussy-white-cotton-tee-red-crown-graffiti-logo-retro-recvk9jhrpyu60</t>
        </is>
      </c>
      <c r="T69"/>
      <c r="U69"/>
      <c r="V69"/>
      <c r="W69" t="inlineStr">
        <is>
          <t>{"id":"resp_04c048d0e84d299d016a0ee6bd118c819ca36351f4d00c44c5","object":"chat.completion","created":1779361479,"model":"gpt-5.5","choices":[{"index":0,"message":{"role":"assistant","content":"白色Stussy短袖T恤，棉质面料柔软透气，胸前红色皇冠搭配黑色涂鸦Logo印花，街头潮流风格，男女通用，复古90年代设计，休闲百搭。"},"finish_reason":"stop"}],"usage":{"prompt_tokens":1041,"completion_tokens":534,"total_tokens":1575}}</t>
        </is>
      </c>
      <c r="X69" t="inlineStr">
        <is>
          <t>白色Stussy短袖T恤，棉质面料柔软透气，胸前红色皇冠搭配黑色涂鸦Logo印花，街头潮流风格，男女通用，复古90年代设计，休闲百搭。</t>
        </is>
      </c>
    </row>
    <row r="70" ht="25.5" customHeight="1">
      <c r="A70">
        <v>1839115443</v>
      </c>
      <c r="B70">
        <v>7768511393</v>
      </c>
      <c r="C70" s="2" t="str">
        <f>=HYPERLINK("https://weidian.com/item.html?itemID=7768511393", "https://weidian.com/item.html?itemID=7768511393")</f>
        <v>https://weidian.com/item.html?itemID=7768511393</v>
      </c>
      <c r="D70"/>
      <c r="E70" s="2" t="str">
        <f>=HYPERLINK("https://si.geilicdn.com/open1839115443-252808396-65bf0000019e442b53330a23b4de_800_800.jpg?w=640&amp;h=640", "https://si.geilicdn.com/open1839115443-252808396-65bf0000019e442b53330a23b4de_800_800.jpg?w=640&amp;h=640")</f>
        <v>https://si.geilicdn.com/open1839115443-252808396-65bf0000019e442b53330a23b4de_800_800.jpg?w=640&amp;h=640</v>
      </c>
      <c r="F70" t="inlineStr">
        <is>
          <t>T-Shirts</t>
        </is>
      </c>
      <c r="G70" t="inlineStr">
        <is>
          <t>Stussy</t>
        </is>
      </c>
      <c r="H70">
        <v>91</v>
      </c>
      <c r="I70">
        <v>13.19</v>
      </c>
      <c r="J70" t="inlineStr">
        <is>
          <t>{"id":"resp_06bdebd57a846194016a0eea4eabf481a1944c1ae57bacf22f","object":"chat.completion","created":1779362385,"model":"gpt-5.5","choices":[{"index":0,"message":{"role":"assistant","content":"Stussy White Dice Graphic T-Shirt Vintage Streetwear Tee"},"finish_reason":"stop"}],"usage":{"prompt_tokens":720,"completion_tokens":124,"total_tokens":844}}</t>
        </is>
      </c>
      <c r="K70" t="inlineStr">
        <is>
          <t>Stussy White Dice Graphic T-Shirt Vintage Streetwear Tee</t>
        </is>
      </c>
      <c r="L70" t="inlineStr">
        <is>
          <t>{"id":"resp_0341772fe07bbd30016a0ee9b422648192a3fccd4dc1e24699","object":"chat.completion","created":1779362234,"model":"gpt-5.5","choices":[{"index":0,"message":{"role":"assistant","content":"Stussy White Cotton Dice Graphic T-Shirt, 90s Vintage Streetwear, Unisex Crew Neck Short Sleeve Tee, Classic Casual Top"},"finish_reason":"stop"}],"usage":{"prompt_tokens":757,"completion_tokens":298,"total_tokens":1055}}</t>
        </is>
      </c>
      <c r="M70" t="inlineStr">
        <is>
          <t>{"alt-svc":"h3=\":443\"; ma=2592000","connection":"close","content-length":"414","content-type":"application/json; charset=utf-8","date":"Thu, 21 May 2026 11:17:14 GMT","referrer-policy":"strict-origin-when-cross-origin","server":"nginx/1.24.0 (Ubuntu)","strict-transport-security":"max-age=31536000; includeSubDomains; preload","vary":"Accept-Encoding","via":"1.1 Caddy","x-content-type-options":"nosniff","x-frame-options":"DENY","x-new-api-version":"v1.0.0-rc.2","x-oneapi-request-id":"202605211117041138407668268d9d6eNeZtvPm","x-request-id":"792d2972-0e2b-451f-8a38-a73e237a7501"}</t>
        </is>
      </c>
      <c r="N70" t="inlineStr">
        <is>
          <t>Stussy White Cotton Dice Graphic T-Shirt, 90s Vintage Streetwear, Unisex Crew Neck Short Sleeve Tee, Classic Casual Top</t>
        </is>
      </c>
      <c r="O70" t="inlineStr">
        <is>
          <t>{"id":"resp_0407e6c267bf0915016a0eee7f446481a0a8369b097cca7f10","object":"chat.completion","created":1779363460,"model":"gpt-5.5","choices":[{"index":0,"message":{"role":"assistant","content":"Stussy, T-Shirts, kakobuy, kakebuy2026, kekobuysheet, kakobuysheet2026, 2026kakobuy, kakobuyspreadsheeet, kakobuylink, kakebuylist, Kakobuy MEGA Spreadsheet, kakobuysheetfind, kakobuysheetfind2026, 2026kakobuysheetfind, kakobuysheet2026"},"finish_reason":"stop"}],"usage":{"prompt_tokens":644,"completion_tokens":216,"total_tokens":860}}</t>
        </is>
      </c>
      <c r="P70" t="inlineStr">
        <is>
          <t>Stussy, T-Shirts, kakobuy, kakebuy2026, kekobuysheet, kakobuysheet2026, 2026kakobuy, kakobuyspreadsheeet, kakobuylink, kakebuylist, Kakobuy MEGA Spreadsheet, kakobuysheetfind, kakobuysheetfind2026, 2026kakobuysheetfind, kakobuysheet2026</t>
        </is>
      </c>
      <c r="Q70" t="inlineStr">
        <is>
          <t>Stussy, White, Vintage, Streetwear, Unisex</t>
        </is>
      </c>
      <c r="R70" t="inlineStr">
        <is>
          <t>recvk9JhrpL6b0</t>
        </is>
      </c>
      <c r="S70" t="inlineStr">
        <is>
          <t>stussy-white-dice-graphic-tee-recvk9jhrpl6b0</t>
        </is>
      </c>
      <c r="T70"/>
      <c r="U70"/>
      <c r="V70"/>
      <c r="W70" t="inlineStr">
        <is>
          <t>{"id":"resp_0465e83b6a1cd033016a0ee772b83481a386b2a377bc22695f","object":"chat.completion","created":1779361657,"model":"gpt-5.5","choices":[{"index":0,"message":{"role":"assistant","content":"Stussy：白色经典短袖T恤，甄选纯棉材质，黑色骰子图腾印花醒目吸睛，街头潮流风格，男女同款，90年代复古设计，休闲百搭圆领上衣。"},"finish_reason":"stop"}],"usage":{"prompt_tokens":1163,"completion_tokens":330,"total_tokens":1493}}</t>
        </is>
      </c>
      <c r="X70" t="inlineStr">
        <is>
          <t>Stussy：白色经典短袖T恤，甄选纯棉材质，黑色骰子图腾印花醒目吸睛，街头潮流风格，男女同款，90年代复古设计，休闲百搭圆领上衣。</t>
        </is>
      </c>
    </row>
    <row r="71" ht="25.5" customHeight="1">
      <c r="A71">
        <v>1839115443</v>
      </c>
      <c r="B71">
        <v>7768631227</v>
      </c>
      <c r="C71" s="2" t="str">
        <f>=HYPERLINK("https://weidian.com/item.html?itemID=7768631227", "https://weidian.com/item.html?itemID=7768631227")</f>
        <v>https://weidian.com/item.html?itemID=7768631227</v>
      </c>
      <c r="D71"/>
      <c r="E71" s="2" t="str">
        <f>=HYPERLINK("https://si.geilicdn.com/open1839115443-252808396-667a0000019e442edff30aa08239_800_800.jpg?w=640&amp;h=640", "https://si.geilicdn.com/open1839115443-252808396-667a0000019e442edff30aa08239_800_800.jpg?w=640&amp;h=640")</f>
        <v>https://si.geilicdn.com/open1839115443-252808396-667a0000019e442edff30aa08239_800_800.jpg?w=640&amp;h=640</v>
      </c>
      <c r="F71" t="inlineStr">
        <is>
          <t>T-Shirts</t>
        </is>
      </c>
      <c r="G71" t="inlineStr">
        <is>
          <t>Essentials</t>
        </is>
      </c>
      <c r="H71">
        <v>95</v>
      </c>
      <c r="I71">
        <v>13.77</v>
      </c>
      <c r="J71" t="inlineStr">
        <is>
          <t>{"id":"resp_0090606341e81074016a0eea33bd38819d9196ffb8c27d1e6c","object":"chat.completion","created":1779362366,"model":"gpt-5.5","choices":[{"index":0,"message":{"role":"assistant","content":"Fear of God ESSENTIALS Gray Logo Oversized Tee"},"finish_reason":"stop"}],"usage":{"prompt_tokens":727,"completion_tokens":533,"total_tokens":1260}}</t>
        </is>
      </c>
      <c r="K71" t="inlineStr">
        <is>
          <t>Fear of God ESSENTIALS Gray Logo Oversized Tee</t>
        </is>
      </c>
      <c r="L71" t="inlineStr">
        <is>
          <t>{"id":"resp_01f21a1cf1307c01016a0ee94158e881a28bdbdb56b36db8e6","object":"chat.completion","created":1779362117,"model":"gpt-5.5","choices":[{"index":0,"message":{"role":"assistant","content":"Fear of God ESSENTIALS by Jerry Lorenzo gray cotton short sleeve T-shirt, black chest logo, oversized unisex streetwear tee, soft casual top."},"finish_reason":"stop"}],"usage":{"prompt_tokens":756,"completion_tokens":159,"total_tokens":915}}</t>
        </is>
      </c>
      <c r="M71" t="inlineStr">
        <is>
          <t>{"alt-svc":"h3=\":443\"; ma=2592000","connection":"close","content-length":"435","content-type":"application/json; charset=utf-8","date":"Thu, 21 May 2026 11:15:17 GMT","referrer-policy":"strict-origin-when-cross-origin","server":"Caddy","strict-transport-security":"max-age=31536000; includeSubDomains; preload","vary":"Accept-Encoding","x-content-type-options":"nosniff","x-frame-options":"DENY","x-new-api-version":"v1.0.0-rc.2","x-oneapi-request-id":"202605211115088367537538268d9d6ZHZbG0Nx","x-request-id":"5b277489-3e41-4de9-86e7-5e5e85a5efeb"}</t>
        </is>
      </c>
      <c r="N71" t="inlineStr">
        <is>
          <t>Fear of God ESSENTIALS by Jerry Lorenzo gray cotton short sleeve T-shirt, black chest logo, oversized unisex streetwear tee, soft casual top.</t>
        </is>
      </c>
      <c r="O71" t="inlineStr">
        <is>
          <t>{"id":"resp_07a0de9d1d0848bc016a0eeebd869881a38b041d68b9103999","object":"chat.completion","created":1779363525,"model":"gpt-5.5","choices":[{"index":0,"message":{"role":"assistant","content":"Essentials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kakobuysheet2026"},"finish_reason":"stop"}],"usage":{"prompt_tokens":644,"completion_tokens":379,"total_tokens":1023}}</t>
        </is>
      </c>
      <c r="P71" t="inlineStr">
        <is>
          <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t>
        </is>
      </c>
      <c r="Q71" t="inlineStr">
        <is>
          <t>Gray, Unisex, Streetwear</t>
        </is>
      </c>
      <c r="R71" t="inlineStr">
        <is>
          <t>recvk9JhrpTxNp</t>
        </is>
      </c>
      <c r="S71" t="inlineStr">
        <is>
          <t>fear-of-god-essentials-gray-logo-oversized-tee-recvk9jhrptxn</t>
        </is>
      </c>
      <c r="T71"/>
      <c r="U71"/>
      <c r="V71"/>
      <c r="W71" t="inlineStr">
        <is>
          <t>{"id":"resp_0dd09f189b5d9f20016a0ee6a8bfac81919d501097e329e58b","object":"chat.completion","created":1779361456,"model":"gpt-5.5","choices":[{"index":0,"message":{"role":"assistant","content":"灰色ESSENTIALS短袖T恤，甄选柔软棉质面料，胸前黑色字母Logo点缀，极简街头风设计，宽松版型，男女同款，Jerry Lorenzo主理，休闲百搭上衣。"},"finish_reason":"stop"}],"usage":{"prompt_tokens":1159,"completion_tokens":395,"total_tokens":1554}}</t>
        </is>
      </c>
      <c r="X71" t="inlineStr">
        <is>
          <t>灰色ESSENTIALS短袖T恤，甄选柔软棉质面料，胸前黑色字母Logo点缀，极简街头风设计，宽松版型，男女同款，Jerry Lorenzo主理，休闲百搭上衣。</t>
        </is>
      </c>
    </row>
    <row r="72" ht="25.5" customHeight="1">
      <c r="A72">
        <v>1839115443</v>
      </c>
      <c r="B72">
        <v>7768637229</v>
      </c>
      <c r="C72" s="2" t="str">
        <f>=HYPERLINK("https://weidian.com/item.html?itemID=7768637229", "https://weidian.com/item.html?itemID=7768637229")</f>
        <v>https://weidian.com/item.html?itemID=7768637229</v>
      </c>
      <c r="D72"/>
      <c r="E72" s="2" t="str">
        <f>=HYPERLINK("https://si.geilicdn.com/open1839115443-252808396-528f0000019e443043a40a8115c2_800_800.jpg?w=640&amp;h=640", "https://si.geilicdn.com/open1839115443-252808396-528f0000019e443043a40a8115c2_800_800.jpg?w=640&amp;h=640")</f>
        <v>https://si.geilicdn.com/open1839115443-252808396-528f0000019e443043a40a8115c2_800_800.jpg?w=640&amp;h=640</v>
      </c>
      <c r="F72" t="inlineStr">
        <is>
          <t>T-Shirts</t>
        </is>
      </c>
      <c r="G72" t="inlineStr">
        <is>
          <t>A Bathing App</t>
        </is>
      </c>
      <c r="H72">
        <v>91</v>
      </c>
      <c r="I72">
        <v>13.19</v>
      </c>
      <c r="J72" t="inlineStr">
        <is>
          <t>{"id":"resp_0933c69e23bc43dd016a0eeb8d3ac881a3ba116d86def27b36","object":"chat.completion","created":1779362704,"model":"gpt-5.5","choices":[{"index":0,"message":{"role":"assistant","content":"BAPE A Bathing Ape Busy Works Logo Cotton Tee"},"finish_reason":"stop"}],"usage":{"prompt_tokens":749,"completion_tokens":130,"total_tokens":879}}</t>
        </is>
      </c>
      <c r="K72" t="inlineStr">
        <is>
          <t>BAPE A Bathing Ape Busy Works Logo Cotton Tee</t>
        </is>
      </c>
      <c r="L72" t="inlineStr">
        <is>
          <t>{"id":"resp_0685d11462ef5c62016a0ee8b1a2ac81a09f2ce3a884c00058","object":"chat.completion","created":1779361977,"model":"gpt-5.5","choices":[{"index":0,"message":{"role":"assistant","content":"BAPE A Bathing Ape Unisex Cotton Tee, White/Black Double-Sided, Busy Works Ape Front, Bape Logo Back, Loose 90s Streetwear, Soft Breathable Casual Top."},"finish_reason":"stop"}],"usage":{"prompt_tokens":773,"completion_tokens":361,"total_tokens":1134}}</t>
        </is>
      </c>
      <c r="M72" t="inlineStr">
        <is>
          <t>{"alt-svc":"h3=\":443\"; ma=2592000","connection":"close","content-length":"446","content-type":"application/json; charset=utf-8","date":"Thu, 21 May 2026 11:12:57 GMT","referrer-policy":"strict-origin-when-cross-origin","server":"nginx/1.24.0 (Ubuntu)","strict-transport-security":"max-age=31536000; includeSubDomains; preload","vary":"Accept-Encoding","via":"1.1 Caddy","x-content-type-options":"nosniff","x-frame-options":"DENY","x-new-api-version":"v1.0.0-rc.2","x-oneapi-request-id":"202605211112492121464438268d9d6FmjVSCbP","x-request-id":"9947d195-d9eb-4b46-8e00-1cbcdb922bfa"}</t>
        </is>
      </c>
      <c r="N72" t="inlineStr">
        <is>
          <t>BAPE A Bathing Ape Unisex Cotton Tee, White/Black Double-Sided, Busy Works Ape Front, Bape Logo Back, Loose 90s Streetwear, Soft Breathable Casual Top.</t>
        </is>
      </c>
      <c r="O72" t="inlineStr">
        <is>
          <t>{"id":"resp_00f78e1fbe700558016a0eee23744081a3963b087a5cf977de","object":"chat.completion","created":1779363369,"model":"gpt-5.5","choices":[{"index":0,"message":{"role":"assistant","content":"A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kakobuysheet2026"},"finish_reason":"stop"}],"usage":{"prompt_tokens":646,"completion_tokens":298,"total_tokens":944}}</t>
        </is>
      </c>
      <c r="P72" t="inlineStr">
        <is>
          <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t>
        </is>
      </c>
      <c r="Q72" t="inlineStr">
        <is>
          <t>BAPE, White, Black, Streetwear, Unisex</t>
        </is>
      </c>
      <c r="R72" t="inlineStr">
        <is>
          <t>recvk9JhrpTAYW</t>
        </is>
      </c>
      <c r="S72" t="inlineStr">
        <is>
          <t>bape-busy-works-logo-tee-recvk9jhrptayw</t>
        </is>
      </c>
      <c r="T72"/>
      <c r="U72"/>
      <c r="V72"/>
      <c r="W72" t="inlineStr">
        <is>
          <t>{"id":"resp_03093cd888fd67b1016a0ee6cd5d08819198a70df5152bcc0b","object":"chat.completion","created":1779361496,"model":"gpt-5.5","choices":[{"index":0,"message":{"role":"assistant","content":"经典BAPE A Bathing Ape白黑双面短袖T恤，纯棉面料柔软透气，正面圆形BUSY WORKS猿人图腾，背面Bape字母标识，宽松街头版型，男女同款，90年代潮流风，日常休闲百搭。"},"finish_reason":"stop"}],"usage":{"prompt_tokens":1167,"completion_tokens":596,"total_tokens":1763}}</t>
        </is>
      </c>
      <c r="X72" t="inlineStr">
        <is>
          <t>经典BAPE A Bathing Ape白黑双面短袖T恤，纯棉面料柔软透气，正面圆形BUSY WORKS猿人图腾，背面Bape字母标识，宽松街头版型，男女同款，90年代潮流风，日常休闲百搭。</t>
        </is>
      </c>
    </row>
    <row r="73" ht="25.5" customHeight="1">
      <c r="A73">
        <v>1839115443</v>
      </c>
      <c r="B73">
        <v>7771684048</v>
      </c>
      <c r="C73" s="2" t="str">
        <f>=HYPERLINK("https://weidian.com/item.html?itemID=7771684048", "https://weidian.com/item.html?itemID=7771684048")</f>
        <v>https://weidian.com/item.html?itemID=7771684048</v>
      </c>
      <c r="D73"/>
      <c r="E73" s="2" t="str">
        <f>=HYPERLINK("https://si.geilicdn.com/open1839115443-252808396-6c6f0000019e443092850a23b4de_1080_1080.jpg?w=640&amp;h=640", "https://si.geilicdn.com/open1839115443-252808396-6c6f0000019e443092850a23b4de_1080_1080.jpg?w=640&amp;h=640")</f>
        <v>https://si.geilicdn.com/open1839115443-252808396-6c6f0000019e443092850a23b4de_1080_1080.jpg?w=640&amp;h=640</v>
      </c>
      <c r="F73" t="inlineStr">
        <is>
          <t>T-Shirts</t>
        </is>
      </c>
      <c r="G73" t="inlineStr">
        <is>
          <t>Balenciaga</t>
        </is>
      </c>
      <c r="H73">
        <v>83</v>
      </c>
      <c r="I73">
        <v>12.03</v>
      </c>
      <c r="J73" t="inlineStr">
        <is>
          <t>{"id":"resp_093873298ad79dc8016a0eeaee45bc81a0843324bc2050c3f0","object":"chat.completion","created":1779362546,"model":"gpt-5.5","choices":[{"index":0,"message":{"role":"assistant","content":"Balenciaga Black Cotton T-Shirt Logo Prohibition Unisex"},"finish_reason":"stop"}],"usage":{"prompt_tokens":716,"completion_tokens":159,"total_tokens":875}}</t>
        </is>
      </c>
      <c r="K73" t="inlineStr">
        <is>
          <t>Balenciaga Black Cotton T-Shirt Logo Prohibition Unisex</t>
        </is>
      </c>
      <c r="L73" t="inlineStr">
        <is>
          <t>{"id":"resp_0fcdf47a46818604016a0ee969b0d8819fbbd2d5489ca87e98","object":"chat.completion","created":1779362156,"model":"gpt-5.5","choices":[{"index":0,"message":{"role":"assistant","content":"Balenciaga black cotton short sleeve T-shirt with white logo and red prohibition sign print, unisex streetwear casual top."},"finish_reason":"stop"}],"usage":{"prompt_tokens":744,"completion_tokens":98,"total_tokens":842}}</t>
        </is>
      </c>
      <c r="M73" t="inlineStr">
        <is>
          <t>{"alt-svc":"h3=\":443\"; ma=2592000","connection":"close","content-length":"415","content-type":"application/json; charset=utf-8","date":"Thu, 21 May 2026 11:15:56 GMT","referrer-policy":"strict-origin-when-cross-origin","server":"Caddy","strict-transport-security":"max-age=31536000; includeSubDomains; preload","vary":"Accept-Encoding","x-content-type-options":"nosniff","x-frame-options":"DENY","x-new-api-version":"v1.0.0-rc.2","x-oneapi-request-id":"202605211115492550700618268d9d6dtchpjaY","x-request-id":"b58a352e-68a0-4bd9-813a-a1fcefdc5553"}</t>
        </is>
      </c>
      <c r="N73" t="inlineStr">
        <is>
          <t>Balenciaga black cotton short sleeve T-shirt with white logo and red prohibition sign print, unisex streetwear casual top.</t>
        </is>
      </c>
      <c r="O73" t="inlineStr">
        <is>
          <t>{"id":"resp_0e8ac4ad6f3e1791016a0eedc75adc8191add0b15aacf4b9df","object":"chat.completion","created":1779363283,"model":"gpt-5.5","choices":[{"index":0,"message":{"role":"assistant","content":"Balenciaga, T-Shirts, kakobuy, kakebuy2026, kekobuysheet, kakobuysheet2026, 2026kakobuy, kakobuyspreadsheeet, kakobuylink, kakebuylist, Kakobuy MEGA Spreadsheet, kakobuysheetfind, kakobuysheetfind2026, 2026kakobuysheetfind, kakobuysheet2026"},"finish_reason":"stop"}],"usage":{"prompt_tokens":645,"completion_tokens":614,"total_tokens":1259}}</t>
        </is>
      </c>
      <c r="P73" t="inlineStr">
        <is>
          <t>Balenciaga, T-Shirts, kakobuy, kakebuy2026, kekobuysheet, kakobuysheet2026, 2026kakobuy, kakobuyspreadsheeet, kakobuylink, kakebuylist, Kakobuy MEGA Spreadsheet, kakobuysheetfind, kakobuysheetfind2026, 2026kakobuysheetfind, kakobuysheet2026</t>
        </is>
      </c>
      <c r="Q73" t="inlineStr">
        <is>
          <t>Balenciaga, Black, Streetwear, Unisex, Summer</t>
        </is>
      </c>
      <c r="R73" t="inlineStr">
        <is>
          <t>recvk9JhrpN2aT</t>
        </is>
      </c>
      <c r="S73" t="inlineStr">
        <is>
          <t>balenciaga-black-cotton-tshirt-logo-prohibition-recvk9jhrpn2at</t>
        </is>
      </c>
      <c r="T73"/>
      <c r="U73"/>
      <c r="V73"/>
      <c r="W73" t="inlineStr">
        <is>
          <t>{"id":"resp_055459866b7bb543016a0ee6676ddc819eb5e1da1d073880f7","object":"chat.completion","created":1779361386,"model":"gpt-5.5","choices":[{"index":0,"message":{"role":"assistant","content":"巴黎世家Balenciaga黑色纯棉短袖T恤，红色禁止符号叠加白色Logo印花，男女同款街头休闲潮流上衣"},"finish_reason":"stop"}],"usage":{"prompt_tokens":1171,"completion_tokens":121,"total_tokens":1292}}</t>
        </is>
      </c>
      <c r="X73" t="inlineStr">
        <is>
          <t>巴黎世家Balenciaga黑色纯棉短袖T恤，红色禁止符号叠加白色Logo印花，男女同款街头休闲潮流上衣</t>
        </is>
      </c>
    </row>
    <row r="74" ht="25.5" customHeight="1">
      <c r="A74">
        <v>1839115443</v>
      </c>
      <c r="B74">
        <v>7771656582</v>
      </c>
      <c r="C74" s="2" t="str">
        <f>=HYPERLINK("https://weidian.com/item.html?itemID=7771656582", "https://weidian.com/item.html?itemID=7771656582")</f>
        <v>https://weidian.com/item.html?itemID=7771656582</v>
      </c>
      <c r="D74"/>
      <c r="E74" s="2" t="str">
        <f>=HYPERLINK("https://si.geilicdn.com/open1839115443-252808396-4d580000019e4431d8ae0a8133b0_1080_1080.jpg?w=640&amp;h=640", "https://si.geilicdn.com/open1839115443-252808396-4d580000019e4431d8ae0a8133b0_1080_1080.jpg?w=640&amp;h=640")</f>
        <v>https://si.geilicdn.com/open1839115443-252808396-4d580000019e4431d8ae0a8133b0_1080_1080.jpg?w=640&amp;h=640</v>
      </c>
      <c r="F74" t="inlineStr">
        <is>
          <t>T-Shirts</t>
        </is>
      </c>
      <c r="G74" t="inlineStr">
        <is>
          <t>Balenciaga</t>
        </is>
      </c>
      <c r="H74">
        <v>91</v>
      </c>
      <c r="I74">
        <v>13.19</v>
      </c>
      <c r="J74" t="inlineStr">
        <is>
          <t>{"id":"resp_029611d8d76ced0f016a0eeb7d6e7881a288c125efcbb28778","object":"chat.completion","created":1779362691,"model":"gpt-5.5","choices":[{"index":0,"message":{"role":"assistant","content":"Balenciaga Black Cotton Graffiti Eye Logo Unisex T-Shirt"},"finish_reason":"stop"}],"usage":{"prompt_tokens":713,"completion_tokens":251,"total_tokens":964}}</t>
        </is>
      </c>
      <c r="K74" t="inlineStr">
        <is>
          <t>Balenciaga Black Cotton Graffiti Eye Logo Unisex T-Shirt</t>
        </is>
      </c>
      <c r="L74" t="inlineStr">
        <is>
          <t>{"id":"resp_0567d98469286a07016a0ee947fdb081a38af601d8ca8102ca","object":"chat.completion","created":1779362128,"model":"gpt-5.5","choices":[{"index":0,"message":{"role":"assistant","content":"Balenciaga Black Cotton T-Shirt, White Eye Graffiti Logo, Demna Streetwear Unisex Short Sleeve Tee"},"finish_reason":"stop"}],"usage":{"prompt_tokens":747,"completion_tokens":404,"total_tokens":1151}}</t>
        </is>
      </c>
      <c r="M74" t="inlineStr">
        <is>
          <t>{"alt-svc":"h3=\":443\"; ma=2592000","connection":"close","content-length":"393","content-type":"application/json; charset=utf-8","date":"Thu, 21 May 2026 11:15:28 GMT","referrer-policy":"strict-origin-when-cross-origin","server":"Caddy","strict-transport-security":"max-age=31536000; includeSubDomains; preload","vary":"Accept-Encoding","x-content-type-options":"nosniff","x-frame-options":"DENY","x-new-api-version":"v1.0.0-rc.2","x-oneapi-request-id":"202605211115147082277748268d9d6OTpOmvqd","x-request-id":"9a13e639-5ad6-4a57-b80d-68a007fa9ebc"}</t>
        </is>
      </c>
      <c r="N74" t="inlineStr">
        <is>
          <t>Balenciaga Black Cotton T-Shirt, White Eye Graffiti Logo, Demna Streetwear Unisex Short Sleeve Tee</t>
        </is>
      </c>
      <c r="O74" t="inlineStr">
        <is>
          <t>{"id":"resp_0c65dfa6942ea8b7016a0eed909cec819c9a5c088c743ec54e","object":"chat.completion","created":1779363225,"model":"gpt-5.5","choices":[{"index":0,"message":{"role":"assistant","content":"Balenciaga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kakobuysheet2026"},"finish_reason":"stop"}],"usage":{"prompt_tokens":645,"completion_tokens":444,"total_tokens":1089}}</t>
        </is>
      </c>
      <c r="P74"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74" t="inlineStr">
        <is>
          <t>Balenciaga, Black, White, Streetwear, Unisex, Summer</t>
        </is>
      </c>
      <c r="R74" t="inlineStr">
        <is>
          <t>recvk9JhrpN37T</t>
        </is>
      </c>
      <c r="S74" t="inlineStr">
        <is>
          <t>balenciaga-black-cotton-graffiti-eye-logo-unisex-t-shirt-recvk9jhrpn37t</t>
        </is>
      </c>
      <c r="T74"/>
      <c r="U74"/>
      <c r="V74"/>
      <c r="W74" t="inlineStr">
        <is>
          <t>{"id":"resp_0f73ef1388a31a28016a0ee6db8654819cb826eca51b09b521","object":"chat.completion","created":1779361503,"model":"gpt-5.5","choices":[{"index":0,"message":{"role":"assistant","content":"巴黎世家Balenciaga黑色棉质短袖T恤，白色眼睛涂鸦Logo印花，Demna街头潮流设计，男女同款休闲上衣"},"finish_reason":"stop"}],"usage":{"prompt_tokens":1173,"completion_tokens":166,"total_tokens":1339}}</t>
        </is>
      </c>
      <c r="X74" t="inlineStr">
        <is>
          <t>巴黎世家Balenciaga黑色棉质短袖T恤，白色眼睛涂鸦Logo印花，Demna街头潮流设计，男女同款休闲上衣</t>
        </is>
      </c>
    </row>
    <row r="75" ht="25.5" customHeight="1">
      <c r="A75">
        <v>1839115443</v>
      </c>
      <c r="B75">
        <v>7768617505</v>
      </c>
      <c r="C75" s="2" t="str">
        <f>=HYPERLINK("https://weidian.com/item.html?itemID=7768617505", "https://weidian.com/item.html?itemID=7768617505")</f>
        <v>https://weidian.com/item.html?itemID=7768617505</v>
      </c>
      <c r="D75"/>
      <c r="E75" s="2" t="str">
        <f>=HYPERLINK("https://si.geilicdn.com/open1839115443-252808396-72470000019e443002320a22d249_1440_1440.jpg?w=640&amp;h=640", "https://si.geilicdn.com/open1839115443-252808396-72470000019e443002320a22d249_1440_1440.jpg?w=640&amp;h=640")</f>
        <v>https://si.geilicdn.com/open1839115443-252808396-72470000019e443002320a22d249_1440_1440.jpg?w=640&amp;h=640</v>
      </c>
      <c r="F75" t="inlineStr">
        <is>
          <t>T-Shirts</t>
        </is>
      </c>
      <c r="G75" t="inlineStr">
        <is>
          <t>Balenciaga</t>
        </is>
      </c>
      <c r="H75">
        <v>87</v>
      </c>
      <c r="I75">
        <v>12.61</v>
      </c>
      <c r="J75" t="inlineStr">
        <is>
          <t>{"id":"resp_02d69bd5491a234d016a0eeb795af48191ba4a8944080caa08","object":"chat.completion","created":1779362684,"model":"gpt-5.5","choices":[{"index":0,"message":{"role":"assistant","content":"Balenciaga Couture Gothic Curtain Print Cotton T-Shirt"},"finish_reason":"stop"}],"usage":{"prompt_tokens":703,"completion_tokens":132,"total_tokens":835}}</t>
        </is>
      </c>
      <c r="K75" t="inlineStr">
        <is>
          <t>Balenciaga Couture Gothic Curtain Print Cotton T-Shirt</t>
        </is>
      </c>
      <c r="L75" t="inlineStr">
        <is>
          <t>{"id":"resp_07501eb9b438bb5c016a0ee8bf1344819eb2b44c07b7622a26","object":"chat.completion","created":1779361987,"model":"gpt-5.5","choices":[{"index":0,"message":{"role":"assistant","content":"Balenciaga Couture White Cotton Crew Neck Gothic Letter Curtain Print Unisex Streetwear T-Shirt"},"finish_reason":"stop"}],"usage":{"prompt_tokens":739,"completion_tokens":185,"total_tokens":924}}</t>
        </is>
      </c>
      <c r="M75" t="inlineStr">
        <is>
          <t>{"alt-svc":"h3=\":443\"; ma=2592000","connection":"close","content-length":"389","content-type":"application/json; charset=utf-8","date":"Thu, 21 May 2026 11:13:07 GMT","referrer-policy":"strict-origin-when-cross-origin","server":"nginx/1.24.0 (Ubuntu)","strict-transport-security":"max-age=31536000; includeSubDomains; preload","vary":"Accept-Encoding","via":"1.1 Caddy","x-content-type-options":"nosniff","x-frame-options":"DENY","x-new-api-version":"v1.0.0-rc.2","x-oneapi-request-id":"202605211113022645060598268d9d6TRNsNxfH","x-request-id":"95280520-6e80-4843-9484-75b53350c203"}</t>
        </is>
      </c>
      <c r="N75" t="inlineStr">
        <is>
          <t>Balenciaga Couture White Cotton Crew Neck Gothic Letter Curtain Print Unisex Streetwear T-Shirt</t>
        </is>
      </c>
      <c r="O75" t="inlineStr">
        <is>
          <t>{"id":"resp_0cb7decb6af48b28016a0eee10d578819d955b23633409a695","object":"chat.completion","created":1779363352,"model":"gpt-5.5","choices":[{"index":0,"message":{"role":"assistant","content":"Balenciaga,T-Shirts,kakobuy,kakebuy2026,kekobuysheet,kakobuysheet2026,2026kakobuy,kakobuyspreadsheeet,kakobuylink,kakebuylist,Kakobuy MEGA Spreadsheet,kakobuysheetfind,kakobuysheetfind2026,2026kakobuysheetfind,kakobuysheet2026"},"finish_reason":"stop"}],"usage":{"prompt_tokens":645,"completion_tokens":372,"total_tokens":1017}}</t>
        </is>
      </c>
      <c r="P75" t="inlineStr">
        <is>
          <t>Balenciaga,T-Shirts,kakobuy,kakebuy2026,kekobuysheet,kakobuysheet2026,2026kakobuy,kakobuyspreadsheeet,kakobuylink,kakebuylist,Kakobuy MEGA Spreadsheet,kakobuysheetfind,kakobuysheetfind2026,2026kakobuysheetfind,kakobuysheet2026</t>
        </is>
      </c>
      <c r="Q75" t="inlineStr">
        <is>
          <t>Balenciaga, White, Gothic, Streetwear, Unisex</t>
        </is>
      </c>
      <c r="R75" t="inlineStr">
        <is>
          <t>recvk9JhrpbmCX</t>
        </is>
      </c>
      <c r="S75" t="inlineStr">
        <is>
          <t>balenciaga-gothic-curtain-print-cotton-tshirt-recvk9jhrpbmcx</t>
        </is>
      </c>
      <c r="T75"/>
      <c r="U75"/>
      <c r="V75"/>
      <c r="W75" t="inlineStr">
        <is>
          <t>{"id":"resp_0bad53845320a0c7016a0ee71ab91c819dbd18bfc1069ad654","object":"chat.completion","created":1779361566,"model":"gpt-5.5","choices":[{"index":0,"message":{"role":"assistant","content":"白色Balenciaga Couture短袖T恤，棉质圆领，哥特字母与帘幕图腾印花，复古街头风男女同款上衣"},"finish_reason":"stop"}],"usage":{"prompt_tokens":1163,"completion_tokens":163,"total_tokens":1326}}</t>
        </is>
      </c>
      <c r="X75" t="inlineStr">
        <is>
          <t>白色Balenciaga Couture短袖T恤，棉质圆领，哥特字母与帘幕图腾印花，复古街头风男女同款上衣</t>
        </is>
      </c>
    </row>
    <row r="76" ht="25.5" customHeight="1">
      <c r="A76">
        <v>1839115443</v>
      </c>
      <c r="B76">
        <v>7771670192</v>
      </c>
      <c r="C76" s="2" t="str">
        <f>=HYPERLINK("https://weidian.com/item.html?itemID=7771670192", "https://weidian.com/item.html?itemID=7771670192")</f>
        <v>https://weidian.com/item.html?itemID=7771670192</v>
      </c>
      <c r="D76"/>
      <c r="E76" s="2" t="str">
        <f>=HYPERLINK("https://si.geilicdn.com/open1839115443-252808396-5b980000019e442388300a23b491_1080_1080.jpg?w=640&amp;h=640", "https://si.geilicdn.com/open1839115443-252808396-5b980000019e442388300a23b491_1080_1080.jpg?w=640&amp;h=640")</f>
        <v>https://si.geilicdn.com/open1839115443-252808396-5b980000019e442388300a23b491_1080_1080.jpg?w=640&amp;h=640</v>
      </c>
      <c r="F76" t="inlineStr">
        <is>
          <t>T-Shirts</t>
        </is>
      </c>
      <c r="G76" t="inlineStr">
        <is>
          <t>Chrome Hearts</t>
        </is>
      </c>
      <c r="H76">
        <v>91</v>
      </c>
      <c r="I76">
        <v>13.19</v>
      </c>
      <c r="J76" t="inlineStr">
        <is>
          <t>{"id":"resp_0231a4cc540e295f016a0eebc3e250819cab0a35bcf41e6381","object":"chat.completion","created":1779362764,"model":"gpt-5.5","choices":[{"index":0,"message":{"role":"assistant","content":"Chrome Hearts White Oversized Cross Graffiti Logo Tee"},"finish_reason":"stop"}],"usage":{"prompt_tokens":727,"completion_tokens":427,"total_tokens":1154}}</t>
        </is>
      </c>
      <c r="K76" t="inlineStr">
        <is>
          <t>Chrome Hearts White Oversized Cross Graffiti Logo Tee</t>
        </is>
      </c>
      <c r="L76" t="inlineStr">
        <is>
          <t>{"id":"resp_04dc86963f88bef3016a0ee8fcde788192b10dc1a01a4e413b","object":"chat.completion","created":1779362048,"model":"gpt-5.5","choices":[{"index":0,"message":{"role":"assistant","content":"Chrome Hearts white cotton T-shirt, oversized unisex crew neck, bold back cross ring logo graffiti print, streetwear high street 2024 casual tee."},"finish_reason":"stop"}],"usage":{"prompt_tokens":761,"completion_tokens":121,"total_tokens":882}}</t>
        </is>
      </c>
      <c r="M76" t="inlineStr">
        <is>
          <t>{"alt-svc":"h3=\":443\"; ma=2592000","connection":"close","content-length":"439","content-type":"application/json; charset=utf-8","date":"Thu, 21 May 2026 11:14:08 GMT","referrer-policy":"strict-origin-when-cross-origin","server":"Caddy","strict-transport-security":"max-age=31536000; includeSubDomains; preload","vary":"Accept-Encoding","x-content-type-options":"nosniff","x-frame-options":"DENY","x-new-api-version":"v1.0.0-rc.2","x-oneapi-request-id":"202605211113461643513728268d9d6YKd7tmJz","x-request-id":"acf234e3-e085-4aaa-920c-1951eee9672c"}</t>
        </is>
      </c>
      <c r="N76" t="inlineStr">
        <is>
          <t>Chrome Hearts white cotton T-shirt, oversized unisex crew neck, bold back cross ring logo graffiti print, streetwear high street 2024 casual tee.</t>
        </is>
      </c>
      <c r="O76" t="inlineStr">
        <is>
          <t>{"id":"resp_0dca0738d069e560016a0eee6cd9dc819c947ea68786fe5fd7","object":"chat.completion","created":1779363444,"model":"gpt-5.5","choices":[{"index":0,"message":{"role":"assistant","content":"Chrome Hearts, T-Shirts, kakobuy, kakebuy2026, kekobuysheet, kakobuysheet2026, 2026kakobuy, kakobuyspreadsheeet, kakobuylink, kakebuylist, Kakobuy MEGA Spreadsheet, kakobuysheetfind, kakobuysheetfind2026, 2026kakobuysheetfind, kakobuysheet2026"},"finish_reason":"stop"}],"usage":{"prompt_tokens":644,"completion_tokens":370,"total_tokens":1014}}</t>
        </is>
      </c>
      <c r="P76" t="inlineStr">
        <is>
          <t>Chrome Hearts, T-Shirts, kakobuy, kakebuy2026, kekobuysheet, kakobuysheet2026, 2026kakobuy, kakobuyspreadsheeet, kakobuylink, kakebuylist, Kakobuy MEGA Spreadsheet, kakobuysheetfind, kakobuysheetfind2026, 2026kakobuysheetfind, kakobuysheet2026</t>
        </is>
      </c>
      <c r="Q76" t="inlineStr">
        <is>
          <t>White, Streetwear, High Street, Unisex</t>
        </is>
      </c>
      <c r="R76" t="inlineStr">
        <is>
          <t>recvk9Jhrpg0Kf</t>
        </is>
      </c>
      <c r="S76" t="inlineStr">
        <is>
          <t>chrome-hearts-white-oversized-cross-graffiti-logo-tee-recvk9jhrpg0kf</t>
        </is>
      </c>
      <c r="T76"/>
      <c r="U76"/>
      <c r="V76"/>
      <c r="W76" t="inlineStr">
        <is>
          <t>{"id":"resp_0e395848f4ea2d9a016a0ee67188e881a0886c3891c5d16b00","object":"chat.completion","created":1779361405,"model":"gpt-5.5","choices":[{"index":0,"message":{"role":"assistant","content":"Chrome Hearts：经典白色纯棉短袖T恤，背面巨幅十字架环形Logo彩墨涂鸦印花，街头高街风，宽松圆领设计，男女同款，2024潮流新作，休闲百搭上衣。"},"finish_reason":"stop"}],"usage":{"prompt_tokens":1163,"completion_tokens":586,"total_tokens":1749}}</t>
        </is>
      </c>
      <c r="X76" t="inlineStr">
        <is>
          <t>Chrome Hearts：经典白色纯棉短袖T恤，背面巨幅十字架环形Logo彩墨涂鸦印花，街头高街风，宽松圆领设计，男女同款，2024潮流新作，休闲百搭上衣。</t>
        </is>
      </c>
    </row>
    <row r="77" ht="25.5" customHeight="1">
      <c r="A77">
        <v>1839115443</v>
      </c>
      <c r="B77">
        <v>7771678054</v>
      </c>
      <c r="C77" s="2" t="str">
        <f>=HYPERLINK("https://weidian.com/item.html?itemID=7771678054", "https://weidian.com/item.html?itemID=7771678054")</f>
        <v>https://weidian.com/item.html?itemID=7771678054</v>
      </c>
      <c r="D77"/>
      <c r="E77" s="2" t="str">
        <f>=HYPERLINK("https://si.geilicdn.com/open1839115443-252808396-548a0000019e4426a3500aa08269_1080_1080.jpg?w=640&amp;h=640", "https://si.geilicdn.com/open1839115443-252808396-548a0000019e4426a3500aa08269_1080_1080.jpg?w=640&amp;h=640")</f>
        <v>https://si.geilicdn.com/open1839115443-252808396-548a0000019e4426a3500aa08269_1080_1080.jpg?w=640&amp;h=640</v>
      </c>
      <c r="F77" t="inlineStr">
        <is>
          <t>T-Shirts</t>
        </is>
      </c>
      <c r="G77" t="inlineStr">
        <is>
          <t>Chrome Hearts</t>
        </is>
      </c>
      <c r="H77">
        <v>87</v>
      </c>
      <c r="I77">
        <v>12.61</v>
      </c>
      <c r="J77" t="inlineStr">
        <is>
          <t>{"id":"resp_04c73f5cc8b65641016a0eec1cb6088192afd55d888f633ab5","object":"chat.completion","created":1779362847,"model":"gpt-5.5","choices":[{"index":0,"message":{"role":"assistant","content":"Chrome Hearts White Gothic Cross Logo Cotton T-Shirt"},"finish_reason":"stop"}],"usage":{"prompt_tokens":723,"completion_tokens":128,"total_tokens":851}}</t>
        </is>
      </c>
      <c r="K77" t="inlineStr">
        <is>
          <t>Chrome Hearts White Gothic Cross Logo Cotton T-Shirt</t>
        </is>
      </c>
      <c r="L77" t="inlineStr">
        <is>
          <t>{"id":"resp_0baa056dfb550115016a0ee862ebdc81a2af80631263edbec7","object":"chat.completion","created":1779361893,"model":"gpt-5.5","choices":[{"index":0,"message":{"role":"assistant","content":"Chrome Hearts white cotton T-shirt with black gothic cross logo print, relaxed crew neck unisex tee, streetwear rock style, casual everyday top."},"finish_reason":"stop"}],"usage":{"prompt_tokens":777,"completion_tokens":117,"total_tokens":894}}</t>
        </is>
      </c>
      <c r="M77" t="inlineStr">
        <is>
          <t>{"alt-svc":"h3=\":443\"; ma=2592000","connection":"close","content-length":"438","content-type":"application/json; charset=utf-8","date":"Thu, 21 May 2026 11:11:33 GMT","referrer-policy":"strict-origin-when-cross-origin","server":"Caddy","strict-transport-security":"max-age=31536000; includeSubDomains; preload","vary":"Accept-Encoding","x-content-type-options":"nosniff","x-frame-options":"DENY","x-new-api-version":"v1.0.0-rc.2","x-oneapi-request-id":"202605211111304714364408268d9d6tZUR4wHU","x-request-id":"b21b802f-0413-4acc-aef7-81a052ba3ea3"}</t>
        </is>
      </c>
      <c r="N77" t="inlineStr">
        <is>
          <t>Chrome Hearts white cotton T-shirt with black gothic cross logo print, relaxed crew neck unisex tee, streetwear rock style, casual everyday top.</t>
        </is>
      </c>
      <c r="O77" t="inlineStr">
        <is>
          <t>{"id":"resp_0614031536a0f5c4016a0eee8930fc81928a3579f465ab6769","object":"chat.completion","created":1779363470,"model":"gpt-5.5","choices":[{"index":0,"message":{"role":"assistant","content":"Chrome Hearts,T-Shirts,kakobuy,kakebuy2026,kekobuysheet,kakobuysheet2026,2026kakobuy,kakobuyspreadsheeet,kakobuylink,kakebuylist,Kakobuy MEGA Spreadsheet,kakobuysheetfind,kakobuysheetfind2026,2026kakobuysheetfind,kakobuysheet2026"},"finish_reason":"stop"}],"usage":{"prompt_tokens":644,"completion_tokens":279,"total_tokens":923}}</t>
        </is>
      </c>
      <c r="P77" t="inlineStr">
        <is>
          <t>Chrome Hearts,T-Shirts,kakobuy,kakebuy2026,kekobuysheet,kakobuysheet2026,2026kakobuy,kakobuyspreadsheeet,kakobuylink,kakebuylist,Kakobuy MEGA Spreadsheet,kakobuysheetfind,kakobuysheetfind2026,2026kakobuysheetfind,kakobuysheet2026</t>
        </is>
      </c>
      <c r="Q77" t="inlineStr">
        <is>
          <t>White, Unisex, Streetwear</t>
        </is>
      </c>
      <c r="R77" t="inlineStr">
        <is>
          <t>recvk9JhrpTTYU</t>
        </is>
      </c>
      <c r="S77" t="inlineStr">
        <is>
          <t>chrome-hearts-white-gothic-cross-logo-tshirt-recvk9jhrpttyu</t>
        </is>
      </c>
      <c r="T77"/>
      <c r="U77"/>
      <c r="V77"/>
      <c r="W77" t="inlineStr">
        <is>
          <t>{"id":"resp_010319594ff6d4f1016a0ee798907481a29f512d07e66384c7","object":"chat.completion","created":1779361698,"model":"gpt-5.5","choices":[{"index":0,"message":{"role":"assistant","content":"Chrome Hearts: 白色经典Logo印花短袖T恤，甄选纯棉面料，胸前黑色十字花体字Logo点缀，简约高街风设计，圆领宽松版型，男女同款，日常休闲百搭，尽显Chrome Hearts标志性美式摇滚潮流气质。"},"finish_reason":"stop"}],"usage":{"prompt_tokens":1165,"completion_tokens":452,"total_tokens":1617}}</t>
        </is>
      </c>
      <c r="X77" t="inlineStr">
        <is>
          <t>Chrome Hearts: 白色经典Logo印花短袖T恤，甄选纯棉面料，胸前黑色十字花体字Logo点缀，简约高街风设计，圆领宽松版型，男女同款，日常休闲百搭，尽显Chrome Hearts标志性美式摇滚潮流气质。</t>
        </is>
      </c>
    </row>
    <row r="78" ht="25.5" customHeight="1">
      <c r="A78">
        <v>1839115443</v>
      </c>
      <c r="B78">
        <v>7768609383</v>
      </c>
      <c r="C78" s="2" t="str">
        <f>=HYPERLINK("https://weidian.com/item.html?itemID=7768609383", "https://weidian.com/item.html?itemID=7768609383")</f>
        <v>https://weidian.com/item.html?itemID=7768609383</v>
      </c>
      <c r="D78"/>
      <c r="E78" s="2" t="str">
        <f>=HYPERLINK("https://si.geilicdn.com/open1839115443-252808396-5f3b0000019e442673bd0a23b4de_1200_1200.jpg?w=750&amp;h=750&amp;cp=1", "https://si.geilicdn.com/open1839115443-252808396-5f3b0000019e442673bd0a23b4de_1200_1200.jpg?w=750&amp;h=750&amp;cp=1")</f>
        <v>https://si.geilicdn.com/open1839115443-252808396-5f3b0000019e442673bd0a23b4de_1200_1200.jpg?w=750&amp;h=750&amp;cp=1</v>
      </c>
      <c r="F78" t="inlineStr">
        <is>
          <t>T-Shirts</t>
        </is>
      </c>
      <c r="G78" t="inlineStr">
        <is>
          <t>Stussy</t>
        </is>
      </c>
      <c r="H78">
        <v>95</v>
      </c>
      <c r="I78">
        <v>13.77</v>
      </c>
      <c r="J78" t="inlineStr">
        <is>
          <t>{"id":"resp_0a7721e8221c6998016a0eeaa7b8ec819c8a1708c2b48bc1d3","object":"chat.completion","created":1779362474,"model":"gpt-5.5","choices":[{"index":0,"message":{"role":"assistant","content":"Stussy 8 Ball White Graphic Short Sleeve T-Shirt"},"finish_reason":"stop"}],"usage":{"prompt_tokens":877,"completion_tokens":120,"total_tokens":997}}</t>
        </is>
      </c>
      <c r="K78" t="inlineStr">
        <is>
          <t>Stussy 8 Ball White Graphic Short Sleeve T-Shirt</t>
        </is>
      </c>
      <c r="L78" t="inlineStr">
        <is>
          <t>data: {"id":"","object":"chat.completion.chunk","created":0,"model":"gpt-5.5","system_fingerprint":"","choices":[],"usage":{"prompt_tokens":548,"completion_tokens":0,"total_tokens":548,"prompt_tokens_details":{"cached_tokens":0,"text_tokens":0,"audio_tokens":0,"image_tokens":0},"completion_tokens_details":{"text_tokens":0,"audio_tokens":0,"reasoning_tokens":0},"input_tokens":0,"output_tokens":0,"input_tokens_details":null,"output_tokens_details":null,"claude_cache_creation_5_m_tokens":0,"claude_cache_creation_1_h_tokens":0}}
data: [DONE]
data: {"id":"","object":"chat.completion.chunk","created":0,"model":"gpt-5.5","system_fingerprint":"","choices":[{"delta":{"content":""},"logprobs":null,"finish_reason":null,"index":0}],"usage":{"prompt_tokens":548,"completion_tokens":0,"total_tokens":548,"prompt_tokens_details":{"cached_tokens":0,"text_tokens":0,"audio_tokens":0,"image_tokens":0},"completion_tokens_details":{"text_tokens":0,"audio_tokens":0,"reasoning_tokens":0},"input_tokens":0,"output_tokens":0,"input_tokens_details":null,"output_tokens_details":null,"claude_cache_creation_5_m_tokens":0,"claude_cache_creation_1_h_tokens":0}}
data: [DONE]
data: {"id":"","object":"chat.completion.chunk","created":0,"model":"gpt-5.5","system_fingerprint":"","choices":[{"delta":{"content":""},"logprobs":null,"finish_reason":null,"index":0}],"usage":{"prompt_tokens":548,"completion_tokens":0,"total_tokens":548,"prompt_tokens_details":{"cached_tokens":0,"text_tokens":0,"audio_tokens":0,"image_tokens":0},"completion_tokens_details":{"text_tokens":0,"audio_tokens":0,"reasoning_tokens":0},"input_tokens":0,"output_tokens":0,"input_tokens_details":null,"output_tokens_details":null,"claude_cache_creation_5_m_tokens":0,"claude_cache_creation_1_h_tokens":0}}
data: [DONE]
data: {"id":"","object":"chat.completion.chunk","created":0,"model":"gpt-5.5","system_fingerprint":"","choices":[{"delta":{"content":""},"logprobs":null,"finish_reason":null,"index":0}],"usage":{"prompt_tokens":548,"completion_tokens":0,"total_tokens":548,"prompt_tokens_details":{"cached_tokens":0,"text_tokens":0,"audio_tokens":0,"image_tokens":0},"completion_tokens_details":{"text_tokens":0,"audio_tokens":0,"reasoning_tokens":0},"input_tokens":0,"output_tokens":0,"input_tokens_details":null,"output_tokens_details":null,"claude_cache_creation_5_m_tokens":0,"claude_cache_creation_1_h_tokens":0}}
data: [DONE]
{"error":{"message":"no completion tokens generated","type":"zero_completion_tokens","param":"","code":"zero_completion_tokens"}}</t>
        </is>
      </c>
      <c r="M78" t="inlineStr">
        <is>
          <t>{"alt-svc":"h3=\":443\"; ma=2592000","cache-control":"no-cache","connection":"close","content-type":"text/event-stream","date":"Thu, 21 May 2026 11:14:14 GMT","server":"Caddy","transfer-encoding":"chunked","x-accel-buffering":"no","x-new-api-version":"v0.0.0","x-oneapi-request-id":"B202605211113581105562808268d9d6tqqoQNLcSlave1"}</t>
        </is>
      </c>
      <c r="N78"/>
      <c r="O78" t="inlineStr">
        <is>
          <t>{"id":"resp_018c25119f4d13d0016a0eee4422f0819d9a3b337903bcb30e","object":"chat.completion","created":1779363401,"model":"gpt-5.5","choices":[{"index":0,"message":{"role":"assistant","content":"Stussy,T-Shirts,kakobuy,Stussy,T-Shirts,kakebuy2026,Stussy,T-Shirts,kekobuysheet,Stussy,T-Shirts,kakobuysheet2026,Stussy,T-Shirts,2026kakobuy,Stussy,T-Shirts,kakobuyspreadsheeet,Stussy,T-Shirts,kakobuylink,Stussy,T-Shirts,kakebuylist,Stussy,T-Shirts,Kakobuy MEGA Spreadsheet,Stussy,T-Shirts,kakobuysheetfind,Stussy,T-Shirts,kakobuysheetfind2026,Stussy,T-Shirts,2026kakobuysheetfind,Stussy,T-Shirts,kakobuysheet2026"},"finish_reason":"stop"}],"usage":{"prompt_tokens":855,"completion_tokens":263,"total_tokens":1118}}</t>
        </is>
      </c>
      <c r="P78" t="inlineStr">
        <is>
          <t>Stussy,T-Shirts,kakobuy,Stussy,T-Shirts,kakebuy2026,Stussy,T-Shirts,kekobuysheet,Stussy,T-Shirts,kakobuysheet2026,Stussy,T-Shirts,2026kakobuy,Stussy,T-Shirts,kakobuyspreadsheeet,Stussy,T-Shirts,kakobuylink,Stussy,T-Shirts,kakebuylist,Stussy,T-Shirts,Kakobuy MEGA Spreadsheet,Stussy,T-Shirts,kakobuysheetfind,Stussy,T-Shirts,kakobuysheetfind2026,Stussy,T-Shirts,2026kakobuysheetfind,Stussy,T-Shirts,kakobuysheet2026</t>
        </is>
      </c>
      <c r="Q78"/>
      <c r="R78" t="inlineStr">
        <is>
          <t>recvk9JhrpCkUE</t>
        </is>
      </c>
      <c r="S78" t="inlineStr">
        <is>
          <t>stussy-8-ball-white-graphic-tee-recvk9jhrpckue</t>
        </is>
      </c>
      <c r="T78"/>
      <c r="U78"/>
      <c r="V78"/>
      <c r="W78" t="inlineStr">
        <is>
          <t>{"id":"resp_0fc8228df3e46565016a0ee73398988191ae3090f63e3a7492","object":"chat.completion","created":1779361591,"model":"gpt-5.5","choices":[{"index":0,"message":{"role":"assistant","content":"经典Stussy白色8 Ball印花短袖T恤，纯棉舒适透气，前胸小标背面大Logo设计，男女同款复古街头潮流上衣"},"finish_reason":"stop"}],"usage":{"prompt_tokens":1390,"completion_tokens":141,"total_tokens":1531}}</t>
        </is>
      </c>
      <c r="X78" t="inlineStr">
        <is>
          <t>经典Stussy白色8 Ball印花短袖T恤，纯棉舒适透气，前胸小标背面大Logo设计，男女同款复古街头潮流上衣</t>
        </is>
      </c>
    </row>
    <row r="79" ht="25.5" customHeight="1">
      <c r="A79">
        <v>1839115443</v>
      </c>
      <c r="B79">
        <v>7768635133</v>
      </c>
      <c r="C79" s="2" t="str">
        <f>=HYPERLINK("https://weidian.com/item.html?itemID=7768635133", "https://weidian.com/item.html?itemID=7768635133")</f>
        <v>https://weidian.com/item.html?itemID=7768635133</v>
      </c>
      <c r="D79"/>
      <c r="E79" s="2" t="str">
        <f>=HYPERLINK("https://si.geilicdn.com/open1839115443-252808396-5ef80000019e4426289f0a23b491_800_800.jpg?w=640&amp;h=640", "https://si.geilicdn.com/open1839115443-252808396-5ef80000019e4426289f0a23b491_800_800.jpg?w=640&amp;h=640")</f>
        <v>https://si.geilicdn.com/open1839115443-252808396-5ef80000019e4426289f0a23b491_800_800.jpg?w=640&amp;h=640</v>
      </c>
      <c r="F79" t="inlineStr">
        <is>
          <t>T-Shirts</t>
        </is>
      </c>
      <c r="G79" t="inlineStr">
        <is>
          <t>Hellstar</t>
        </is>
      </c>
      <c r="H79">
        <v>91</v>
      </c>
      <c r="I79">
        <v>13.19</v>
      </c>
      <c r="J79" t="inlineStr">
        <is>
          <t>{"id":"resp_07072928b5950462016a0eea743c8081a0bb08c5df78eebc27","object":"chat.completion","created":1779362423,"model":"gpt-5.5","choices":[{"index":0,"message":{"role":"assistant","content":"Hellstar Black Cotton T-Shirt Unisex Flame Moon Tee"},"finish_reason":"stop"}],"usage":{"prompt_tokens":720,"completion_tokens":129,"total_tokens":849}}</t>
        </is>
      </c>
      <c r="K79" t="inlineStr">
        <is>
          <t>Hellstar Black Cotton T-Shirt Unisex Flame Moon Tee</t>
        </is>
      </c>
      <c r="L79" t="inlineStr">
        <is>
          <t>{"id":"resp_0560c2bf1ada04e1016a0ee92b63e4819281e0a4480c828bcb","object":"chat.completion","created":1779362097,"model":"gpt-5.5","choices":[{"index":0,"message":{"role":"assistant","content":"Hellstar Black Cotton T-Shirt, Unisex Streetwear Tee, Front Star Logo, Back Flame Moon Graphic, Soft Breathable Casual Top"},"finish_reason":"stop"}],"usage":{"prompt_tokens":744,"completion_tokens":273,"total_tokens":1017}}</t>
        </is>
      </c>
      <c r="M79" t="inlineStr">
        <is>
          <t>{"alt-svc":"h3=\":443\"; ma=2592000","connection":"close","content-length":"417","content-type":"application/json; charset=utf-8","date":"Thu, 21 May 2026 11:14:57 GMT","referrer-policy":"strict-origin-when-cross-origin","server":"nginx/1.24.0 (Ubuntu)","strict-transport-security":"max-age=31536000; includeSubDomains; preload","vary":"Accept-Encoding","via":"1.1 Caddy","x-content-type-options":"nosniff","x-frame-options":"DENY","x-new-api-version":"v1.0.0-rc.2","x-oneapi-request-id":"202605211114485023781768268d9d6FD4ZfLSW","x-request-id":"caf931fe-e0b5-44f6-9a90-04f0585576ca"}</t>
        </is>
      </c>
      <c r="N79" t="inlineStr">
        <is>
          <t>Hellstar Black Cotton T-Shirt, Unisex Streetwear Tee, Front Star Logo, Back Flame Moon Graphic, Soft Breathable Casual Top</t>
        </is>
      </c>
      <c r="O79" t="inlineStr">
        <is>
          <t>{"id":"resp_04b31c79d34f7f02016a0eedc34dc8819db425439025e7663c","object":"chat.completion","created":1779363277,"model":"gpt-5.5","choices":[{"index":0,"message":{"role":"assistant","content":"Hellstar,T-Shirts,kakobuy,kakebuy2026,kekobuysheet,kakobuysheet2026,2026kakobuy,kakobuyspreadsheeet,kakobuylink,kakebuylist,Kakobuy MEGA Spreadsheet,kakobuysheetfind,kakobuysheetfind2026,2026kakobuysheetfind,kakobuysheet2026"},"finish_reason":"stop"}],"usage":{"prompt_tokens":644,"completion_tokens":516,"total_tokens":1160}}</t>
        </is>
      </c>
      <c r="P79" t="inlineStr">
        <is>
          <t>Hellstar,T-Shirts,kakobuy,kakebuy2026,kekobuysheet,kakobuysheet2026,2026kakobuy,kakobuyspreadsheeet,kakobuylink,kakebuylist,Kakobuy MEGA Spreadsheet,kakobuysheetfind,kakobuysheetfind2026,2026kakobuysheetfind,kakobuysheet2026</t>
        </is>
      </c>
      <c r="Q79" t="inlineStr">
        <is>
          <t>Black, Streetwear, Unisex, Breathable</t>
        </is>
      </c>
      <c r="R79" t="inlineStr">
        <is>
          <t>recvk9Jhrp8H3U</t>
        </is>
      </c>
      <c r="S79" t="inlineStr">
        <is>
          <t>hellstar-black-cotton-flame-moon-tee-recvk9jhrp8h3u</t>
        </is>
      </c>
      <c r="T79"/>
      <c r="U79"/>
      <c r="V79"/>
      <c r="W79" t="inlineStr">
        <is>
          <t>{"id":"resp_01b6ee4dcaa99676016a0ee76ef32c8192b1eb7f58b70698c7","object":"chat.completion","created":1779361652,"model":"gpt-5.5","choices":[{"index":0,"message":{"role":"assistant","content":"黑色Hellstar短袖T恤，棉质舒适透气，正面星标字母Logo，背面火焰月弧图腾，男女同款街头潮流上衣"},"finish_reason":"stop"}],"usage":{"prompt_tokens":1163,"completion_tokens":136,"total_tokens":1299}}</t>
        </is>
      </c>
      <c r="X79" t="inlineStr">
        <is>
          <t>黑色Hellstar短袖T恤，棉质舒适透气，正面星标字母Logo，背面火焰月弧图腾，男女同款街头潮流上衣</t>
        </is>
      </c>
    </row>
    <row r="80" ht="25.5" customHeight="1">
      <c r="A80">
        <v>1839115443</v>
      </c>
      <c r="B80">
        <v>7768654695</v>
      </c>
      <c r="C80" s="2" t="str">
        <f>=HYPERLINK("https://weidian.com/item.html?itemID=7768654695", "https://weidian.com/item.html?itemID=7768654695")</f>
        <v>https://weidian.com/item.html?itemID=7768654695</v>
      </c>
      <c r="D80"/>
      <c r="E80" s="2" t="str">
        <f>=HYPERLINK("https://si.geilicdn.com/open1839115443-252808396-5fb00000019e442f060d0aa08269_800_800.jpg?w=640&amp;h=640", "https://si.geilicdn.com/open1839115443-252808396-5fb00000019e442f060d0aa08269_800_800.jpg?w=640&amp;h=640")</f>
        <v>https://si.geilicdn.com/open1839115443-252808396-5fb00000019e442f060d0aa08269_800_800.jpg?w=640&amp;h=640</v>
      </c>
      <c r="F80" t="inlineStr">
        <is>
          <t>T-Shirts</t>
        </is>
      </c>
      <c r="G80" t="inlineStr">
        <is>
          <t>Essentials</t>
        </is>
      </c>
      <c r="H80">
        <v>85</v>
      </c>
      <c r="I80">
        <v>12.32</v>
      </c>
      <c r="J80" t="inlineStr">
        <is>
          <t>{"id":"resp_0f884a10fe71ef13016a0eea40e5c881a19372438eb9bd1705","object":"chat.completion","created":1779362392,"model":"gpt-5.5","choices":[{"index":0,"message":{"role":"assistant","content":"Essentials Fear of God Grey Crew Neck Logo T-Shirt"},"finish_reason":"stop"}],"usage":{"prompt_tokens":727,"completion_tokens":899,"total_tokens":1626}}</t>
        </is>
      </c>
      <c r="K80" t="inlineStr">
        <is>
          <t>Essentials Fear of God Grey Crew Neck Logo T-Shirt</t>
        </is>
      </c>
      <c r="L80" t="inlineStr">
        <is>
          <t>{"id":"resp_0df9b6c8d29bafe5016a0ee9111434819c80210dd91d70fb8a","object":"chat.completion","created":1779362067,"model":"gpt-5.5","choices":[{"index":0,"message":{"role":"assistant","content":"Essentials Fear of God grey cotton knit T-shirt, small chest logo print, crew neck, loose fit, unisex streetwear casual short sleeve top."},"finish_reason":"stop"}],"usage":{"prompt_tokens":741,"completion_tokens":103,"total_tokens":844}}</t>
        </is>
      </c>
      <c r="M80" t="inlineStr">
        <is>
          <t>{"alt-svc":"h3=\":443\"; ma=2592000","connection":"close","content-length":"431","content-type":"application/json; charset=utf-8","date":"Thu, 21 May 2026 11:14:27 GMT","referrer-policy":"strict-origin-when-cross-origin","server":"nginx/1.24.0 (Ubuntu)","strict-transport-security":"max-age=31536000; includeSubDomains; preload","vary":"Accept-Encoding","via":"1.1 Caddy","x-content-type-options":"nosniff","x-frame-options":"DENY","x-new-api-version":"v1.0.0-rc.2","x-oneapi-request-id":"20260521111422427198398268d9d60g5vnuEo","x-request-id":"33e807f3-59c0-473a-b67e-03ad7bab4ee8"}</t>
        </is>
      </c>
      <c r="N80" t="inlineStr">
        <is>
          <t>Essentials Fear of God grey cotton knit T-shirt, small chest logo print, crew neck, loose fit, unisex streetwear casual short sleeve top.</t>
        </is>
      </c>
      <c r="O80" t="inlineStr">
        <is>
          <t>{"id":"resp_08891e3025a08217016a0eeda22054819c915352ff0dc1dd8f","object":"chat.completion","created":1779363239,"model":"gpt-5.5","choices":[{"index":0,"message":{"role":"assistant","content":"Essentials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kakobuysheet2026"},"finish_reason":"stop"}],"usage":{"prompt_tokens":644,"completion_tokens":241,"total_tokens":885}}</t>
        </is>
      </c>
      <c r="P80" t="inlineStr">
        <is>
          <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t>
        </is>
      </c>
      <c r="Q80" t="inlineStr">
        <is>
          <t>Streetwear, Grey, Knit, Unisex</t>
        </is>
      </c>
      <c r="R80" t="inlineStr">
        <is>
          <t>recvk9Jhrpjh34</t>
        </is>
      </c>
      <c r="S80" t="inlineStr">
        <is>
          <t>fear-of-god-grey-crew-neck-logo-tshirt-recvk9jhrpjh34</t>
        </is>
      </c>
      <c r="T80"/>
      <c r="U80"/>
      <c r="V80"/>
      <c r="W80" t="inlineStr">
        <is>
          <t>{"id":"resp_0cd7b25af2ce892d016a0ee6f6606481a19aa1defada28fd6f","object":"chat.completion","created":1779361530,"model":"gpt-5.5","choices":[{"index":0,"message":{"role":"assistant","content":"灰色Essentials Fear of God短袖T恤，棉质针织面料，胸前小Logo印花，圆领宽松版型，男女同款街头休闲上衣。"},"finish_reason":"stop"}],"usage":{"prompt_tokens":1161,"completion_tokens":161,"total_tokens":1322}}</t>
        </is>
      </c>
      <c r="X80" t="inlineStr">
        <is>
          <t>灰色Essentials Fear of God短袖T恤，棉质针织面料，胸前小Logo印花，圆领宽松版型，男女同款街头休闲上衣。</t>
        </is>
      </c>
    </row>
    <row r="81" ht="25.5" customHeight="1">
      <c r="A81">
        <v>1839115443</v>
      </c>
      <c r="B81">
        <v>7771627216</v>
      </c>
      <c r="C81" s="2" t="str">
        <f>=HYPERLINK("https://weidian.com/item.html?itemID=7771627216", "https://weidian.com/item.html?itemID=7771627216")</f>
        <v>https://weidian.com/item.html?itemID=7771627216</v>
      </c>
      <c r="D81"/>
      <c r="E81" s="2" t="str">
        <f>=HYPERLINK("https://si.geilicdn.com/open1839115443-252808396-49420000019e442e47b90a8133b0_800_800.jpg?w=640&amp;h=640", "https://si.geilicdn.com/open1839115443-252808396-49420000019e442e47b90a8133b0_800_800.jpg?w=640&amp;h=640")</f>
        <v>https://si.geilicdn.com/open1839115443-252808396-49420000019e442e47b90a8133b0_800_800.jpg?w=640&amp;h=640</v>
      </c>
      <c r="F81" t="inlineStr">
        <is>
          <t>Polo</t>
        </is>
      </c>
      <c r="G81" t="inlineStr">
        <is>
          <t>Stussy</t>
        </is>
      </c>
      <c r="H81">
        <v>91</v>
      </c>
      <c r="I81">
        <v>13.19</v>
      </c>
      <c r="J81" t="inlineStr">
        <is>
          <t>{"id":"resp_099e1415f9a9e61f016a0eea680f34819e8c63218bdad92154","object":"chat.completion","created":1779362412,"model":"gpt-5.5","choices":[{"index":0,"message":{"role":"assistant","content":"Stussy Black White 8-Ball Graphic Cotton Polo Shirt"},"finish_reason":"stop"}],"usage":{"prompt_tokens":736,"completion_tokens":199,"total_tokens":935}}</t>
        </is>
      </c>
      <c r="K81" t="inlineStr">
        <is>
          <t>Stussy Black White 8-Ball Graphic Cotton Polo Shirt</t>
        </is>
      </c>
      <c r="L81" t="inlineStr">
        <is>
          <t>{"id":"resp_0135a433ba3223b4016a0ee9782fcc819d938ae5568781ef64","object":"chat.completion","created":1779362176,"model":"gpt-5.5","choices":[{"index":0,"message":{"role":"assistant","content":"Stussy Black/White Contrast Cotton Polo Shirt, Breathable Short Sleeve Unisex Top, Large Logo, Lion &amp; 8-Ball, Star Sleeve Print, Retro Streetwear"},"finish_reason":"stop"}],"usage":{"prompt_tokens":756,"completion_tokens":422,"total_tokens":1178}}</t>
        </is>
      </c>
      <c r="M81" t="inlineStr">
        <is>
          <t>{"alt-svc":"h3=\":443\"; ma=2592000","connection":"close","content-length":"445","content-type":"application/json; charset=utf-8","date":"Thu, 21 May 2026 11:16:16 GMT","referrer-policy":"strict-origin-when-cross-origin","server":"nginx/1.24.0 (Ubuntu)","strict-transport-security":"max-age=31536000; includeSubDomains; preload","vary":"Accept-Encoding","via":"1.1 Caddy","x-content-type-options":"nosniff","x-frame-options":"DENY","x-new-api-version":"v1.0.0-rc.2","x-oneapi-request-id":"202605211116076315020508268d9d6Y6LRUmhH","x-request-id":"fb8f7eca-fa7c-4aaa-8d59-915b1b0a1af4"}</t>
        </is>
      </c>
      <c r="N81" t="inlineStr">
        <is>
          <t>Stussy Black/White Contrast Cotton Polo Shirt, Breathable Short Sleeve Unisex Top, Large Logo, Lion &amp; 8-Ball, Star Sleeve Print, Retro Streetwear</t>
        </is>
      </c>
      <c r="O81" t="inlineStr">
        <is>
          <t>{"id":"resp_0882414310f4406c016a0eee9e1958819c9f4edb1a0a09444d","object":"chat.completion","created":1779363498,"model":"gpt-5.5","choices":[{"index":0,"message":{"role":"assistant","content":"Stussy, Polo Shirt, kakobuy, kakebuy2026, kekobuysheet, kakobuysheet2026, 2026kakobuy, kakobuyspreadsheeet, kakobuylink, kakebuylist, Kakobuy MEGA Spreadsheet, kakobuysheetfind, kakobuysheetfind2026, 2026kakobuysheetfind"},"finish_reason":"stop"}],"usage":{"prompt_tokens":644,"completion_tokens":606,"total_tokens":1250}}</t>
        </is>
      </c>
      <c r="P81" t="inlineStr">
        <is>
          <t>Stussy, Polo Shirt, kakobuy, kakebuy2026, kekobuysheet, kakobuysheet2026, 2026kakobuy, kakobuyspreadsheeet, kakobuylink, kakebuylist, Kakobuy MEGA Spreadsheet, kakobuysheetfind, kakobuysheetfind2026, 2026kakobuysheetfind</t>
        </is>
      </c>
      <c r="Q81" t="inlineStr">
        <is>
          <t>Stussy, Black, White, Retro, Streetwear</t>
        </is>
      </c>
      <c r="R81" t="inlineStr">
        <is>
          <t>recvk9Jhrpx9WM</t>
        </is>
      </c>
      <c r="S81" t="inlineStr">
        <is>
          <t>stussy-black-white-8-ball-cotton-polo-recvk9jhrpx9wm</t>
        </is>
      </c>
      <c r="T81"/>
      <c r="U81"/>
      <c r="V81"/>
      <c r="W81" t="inlineStr">
        <is>
          <t>{"id":"resp_0ca18deafe1f1425016a0ee768d2bc81a3acea20fa146edc08","object":"chat.completion","created":1779361644,"model":"gpt-5.5","choices":[{"index":0,"message":{"role":"assistant","content":"斯图西 Stussy 黑白撞色短袖Polo衫，棉质翻领透气休闲，胸前大Logo、狮子与8球图腾，袖口星星印花，男女同款复古街头潮牌上衣。"},"finish_reason":"stop"}],"usage":{"prompt_tokens":1163,"completion_tokens":164,"total_tokens":1327}}</t>
        </is>
      </c>
      <c r="X81" t="inlineStr">
        <is>
          <t>斯图西 Stussy 黑白撞色短袖Polo衫，棉质翻领透气休闲，胸前大Logo、狮子与8球图腾，袖口星星印花，男女同款复古街头潮牌上衣。</t>
        </is>
      </c>
    </row>
    <row r="82" ht="25.5" customHeight="1">
      <c r="A82">
        <v>1839115443</v>
      </c>
      <c r="B82">
        <v>7768613449</v>
      </c>
      <c r="C82" s="2" t="str">
        <f>=HYPERLINK("https://weidian.com/item.html?itemID=7768613449", "https://weidian.com/item.html?itemID=7768613449")</f>
        <v>https://weidian.com/item.html?itemID=7768613449</v>
      </c>
      <c r="D82"/>
      <c r="E82" s="2" t="str">
        <f>=HYPERLINK("https://si.geilicdn.com/open1839115443-252808396-6f320000019e443438a40aa08239_1080_1080.jpg?w=640&amp;h=640", "https://si.geilicdn.com/open1839115443-252808396-6f320000019e443438a40aa08239_1080_1080.jpg?w=640&amp;h=640")</f>
        <v>https://si.geilicdn.com/open1839115443-252808396-6f320000019e443438a40aa08239_1080_1080.jpg?w=640&amp;h=640</v>
      </c>
      <c r="F82" t="inlineStr">
        <is>
          <t>T-Shirts</t>
        </is>
      </c>
      <c r="G82" t="inlineStr">
        <is>
          <t>Chrome Hearts</t>
        </is>
      </c>
      <c r="H82">
        <v>83</v>
      </c>
      <c r="I82">
        <v>12.03</v>
      </c>
      <c r="J82" t="inlineStr">
        <is>
          <t>{"id":"resp_00810b83cdd07e8b016a0eebd5e16881a3a27787d872ede21f","object":"chat.completion","created":1779362776,"model":"gpt-5.5","choices":[{"index":0,"message":{"role":"assistant","content":"Chrome Hearts White Cotton Tee Green Logo Embroidered"},"finish_reason":"stop"}],"usage":{"prompt_tokens":723,"completion_tokens":113,"total_tokens":836}}</t>
        </is>
      </c>
      <c r="K82" t="inlineStr">
        <is>
          <t>Chrome Hearts White Cotton Tee Green Logo Embroidered</t>
        </is>
      </c>
      <c r="L82" t="inlineStr">
        <is>
          <t>{"id":"resp_03d4724615be2fd5016a0ee8be2b7481a39eb2b392035d704d","object":"chat.completion","created":1779361984,"model":"gpt-5.5","choices":[{"index":0,"message":{"role":"assistant","content":"Chrome Hearts white crew neck short sleeve T-shirt, pure cotton, green left chest logo embroidery, unisex streetwear tee for casual daily wear."},"finish_reason":"stop"}],"usage":{"prompt_tokens":757,"completion_tokens":104,"total_tokens":861}}</t>
        </is>
      </c>
      <c r="M82" t="inlineStr">
        <is>
          <t>{"alt-svc":"h3=\":443\"; ma=2592000","connection":"close","content-length":"437","content-type":"application/json; charset=utf-8","date":"Thu, 21 May 2026 11:13:04 GMT","referrer-policy":"strict-origin-when-cross-origin","server":"Caddy","strict-transport-security":"max-age=31536000; includeSubDomains; preload","vary":"Accept-Encoding","x-content-type-options":"nosniff","x-frame-options":"DENY","x-new-api-version":"v1.0.0-rc.2","x-oneapi-request-id":"202605211113017150418718268d9d6TT3jjb6C","x-request-id":"8f56f038-b5ed-4568-bac6-a84288e0c79d"}</t>
        </is>
      </c>
      <c r="N82" t="inlineStr">
        <is>
          <t>Chrome Hearts white crew neck short sleeve T-shirt, pure cotton, green left chest logo embroidery, unisex streetwear tee for casual daily wear.</t>
        </is>
      </c>
      <c r="O82" t="inlineStr">
        <is>
          <t>{"id":"resp_001208123345f157016a0eee757d1881a38d357ce534a3e8ed","object":"chat.completion","created":1779363452,"model":"gpt-5.5","choices":[{"index":0,"message":{"role":"assistant","content":"Chrome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kakobuysheet2026"},"finish_reason":"stop"}],"usage":{"prompt_tokens":644,"completion_tokens":330,"total_tokens":974}}</t>
        </is>
      </c>
      <c r="P82"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82" t="inlineStr">
        <is>
          <t>White, Unisex, Streetwear</t>
        </is>
      </c>
      <c r="R82" t="inlineStr">
        <is>
          <t>recvk9JhrppaEN</t>
        </is>
      </c>
      <c r="S82" t="inlineStr">
        <is>
          <t>chrome-hearts-white-cotton-tee-green-logo-recvk9jhrppaen</t>
        </is>
      </c>
      <c r="T82"/>
      <c r="U82"/>
      <c r="V82"/>
      <c r="W82" t="inlineStr">
        <is>
          <t>{"id":"resp_07534fab35ba5e2e016a0ee732377081a2bedf79a03ba63ec4","object":"chat.completion","created":1779361592,"model":"gpt-5.5","choices":[{"index":0,"message":{"role":"assistant","content":"Chrome Hearts: 白色圆领短袖T恤，甄选纯棉面料，左胸绿色品牌图腾Logo点缀，简约刺绣设计，街头潮流风格，男女同款，适合日常休闲穿搭。"},"finish_reason":"stop"}],"usage":{"prompt_tokens":1163,"completion_tokens":331,"total_tokens":1494}}</t>
        </is>
      </c>
      <c r="X82" t="inlineStr">
        <is>
          <t>Chrome Hearts: 白色圆领短袖T恤，甄选纯棉面料，左胸绿色品牌图腾Logo点缀，简约刺绣设计，街头潮流风格，男女同款，适合日常休闲穿搭。</t>
        </is>
      </c>
    </row>
    <row r="83" ht="25.5" customHeight="1">
      <c r="A83">
        <v>1839115443</v>
      </c>
      <c r="B83">
        <v>7771692028</v>
      </c>
      <c r="C83" s="2" t="str">
        <f>=HYPERLINK("https://weidian.com/item.html?itemID=7771692028", "https://weidian.com/item.html?itemID=7771692028")</f>
        <v>https://weidian.com/item.html?itemID=7771692028</v>
      </c>
      <c r="D83"/>
      <c r="E83" s="2" t="str">
        <f>=HYPERLINK("https://si.geilicdn.com/open1839115443-252808396-73b00000019e443434580a23b491_1440_1440.jpg?w=640&amp;h=640", "https://si.geilicdn.com/open1839115443-252808396-73b00000019e443434580a23b491_1440_1440.jpg?w=640&amp;h=640")</f>
        <v>https://si.geilicdn.com/open1839115443-252808396-73b00000019e443434580a23b491_1440_1440.jpg?w=640&amp;h=640</v>
      </c>
      <c r="F83" t="inlineStr">
        <is>
          <t>T-Shirts</t>
        </is>
      </c>
      <c r="G83" t="inlineStr">
        <is>
          <t>Balenciaga</t>
        </is>
      </c>
      <c r="H83">
        <v>87</v>
      </c>
      <c r="I83">
        <v>12.61</v>
      </c>
      <c r="J83" t="inlineStr">
        <is>
          <t>{"id":"resp_016440145fbf7868016a0eec0dd95c819e8cac3fb8db8f7b25","object":"chat.completion","created":1779362833,"model":"gpt-5.5","choices":[{"index":0,"message":{"role":"assistant","content":"Balenciaga Black Palm Beach Graffiti Logo Cotton T-Shirt"},"finish_reason":"stop"}],"usage":{"prompt_tokens":726,"completion_tokens":131,"total_tokens":857}}</t>
        </is>
      </c>
      <c r="K83" t="inlineStr">
        <is>
          <t>Balenciaga Black Palm Beach Graffiti Logo Cotton T-Shirt</t>
        </is>
      </c>
      <c r="L83" t="inlineStr">
        <is>
          <t>{"id":"resp_0b60435b17f689ad016a0ee8a646308192a961bd1faab9eeb0","object":"chat.completion","created":1779361961,"model":"gpt-5.5","choices":[{"index":0,"message":{"role":"assistant","content":"Balenciaga black cotton T-shirt, relaxed crew neck, palm beach graffiti and reversed logo print, breathable unisex Demna-era streetwear top."},"finish_reason":"stop"}],"usage":{"prompt_tokens":765,"completion_tokens":112,"total_tokens":877}}</t>
        </is>
      </c>
      <c r="M83" t="inlineStr">
        <is>
          <t>{"alt-svc":"h3=\":443\"; ma=2592000","connection":"close","content-length":"434","content-type":"application/json; charset=utf-8","date":"Thu, 21 May 2026 11:12:41 GMT","referrer-policy":"strict-origin-when-cross-origin","server":"Caddy","strict-transport-security":"max-age=31536000; includeSubDomains; preload","vary":"Accept-Encoding","x-content-type-options":"nosniff","x-frame-options":"DENY","x-new-api-version":"v1.0.0-rc.2","x-oneapi-request-id":"202605211112378214878028268d9d6YQqFtx7z","x-request-id":"c4d71534-602f-4d72-b3c9-c8c268938c0d"}</t>
        </is>
      </c>
      <c r="N83" t="inlineStr">
        <is>
          <t>Balenciaga black cotton T-shirt, relaxed crew neck, palm beach graffiti and reversed logo print, breathable unisex Demna-era streetwear top.</t>
        </is>
      </c>
      <c r="O83" t="inlineStr">
        <is>
          <t>{"id":"resp_0c8b3aa5e3e6231a016a0eedc4f2ac819d88b1554affbee902","object":"chat.completion","created":1779363280,"model":"gpt-5.5","choices":[{"index":0,"message":{"role":"assistant","content":"Balenciaga,T-Shirts,kakobuy\nBalenciaga,T-Shirts,kakebuy2026\nBalenciaga,T-Shirts,kekobuysheet\nBalenciaga,T-Shirts,kakobuysheet2026\nBalenciaga,T-Shirts,2026kakobuy\nBalenciaga,T-Shirts,kakobuyspreadsheeet\nBalenciaga,T-Shirts,kakobuylink\nBalenciaga,T-Shirts,kakebuylist\nBalenciaga,T-Shirts,Kakobuy MEGA Spreadsheet\nBalenciaga,T-Shirts,kakobuysheetfind\nBalenciaga,T-Shirts,kakobuysheetfind2026\nBalenciaga,T-Shirts,2026kakobuysheetfind\nBalenciaga,T-Shirts,kakobuysheet2026"},"finish_reason":"stop"}],"usage":{"prompt_tokens":645,"completion_tokens":596,"total_tokens":1241}}</t>
        </is>
      </c>
      <c r="P83" t="inlineStr">
        <is>
          <t>Balenciaga,T-Shirts,kakobuy
Balenciaga,T-Shirts,kakebuy2026
Balenciaga,T-Shirts,kekobuysheet
Balenciaga,T-Shirts,kakobuysheet2026
Balenciaga,T-Shirts,2026kakobuy
Balenciaga,T-Shirts,kakobuyspreadsheeet
Balenciaga,T-Shirts,kakobuylink
Balenciaga,T-Shirts,kakebuylist
Balenciaga,T-Shirts,Kakobuy MEGA Spreadsheet
Balenciaga,T-Shirts,kakobuysheetfind
Balenciaga,T-Shirts,kakobuysheetfind2026
Balenciaga,T-Shirts,2026kakobuysheetfind
Balenciaga,T-Shirts,kakobuysheet2026</t>
        </is>
      </c>
      <c r="Q83" t="inlineStr">
        <is>
          <t>Balenciaga, Black, Unisex, Streetwear, Breathable</t>
        </is>
      </c>
      <c r="R83" t="inlineStr">
        <is>
          <t>recvk9Jhrpo4As</t>
        </is>
      </c>
      <c r="S83" t="inlineStr">
        <is>
          <t>balenciaga-black-palm-beach-graffiti-logo-cotton-t-shirt-recvk9jhrpo4as</t>
        </is>
      </c>
      <c r="T83"/>
      <c r="U83"/>
      <c r="V83"/>
      <c r="W83" t="inlineStr">
        <is>
          <t>{"id":"resp_04c10ddf78fb9bd3016a0ee771ae6081a18a81345699309ef5","object":"chat.completion","created":1779361659,"model":"gpt-5.5","choices":[{"index":0,"message":{"role":"assistant","content":"巴黎世家 Balenciaga 黑色纯棉短袖T恤，圆领宽松版型，棕榈树海滩涂鸦与反向Logo印花设计，极简街头风，透气舒适，男女同款，Demna时代潮流上衣。"},"finish_reason":"stop"}],"usage":{"prompt_tokens":1165,"completion_tokens":504,"total_tokens":1669}}</t>
        </is>
      </c>
      <c r="X83" t="inlineStr">
        <is>
          <t>巴黎世家 Balenciaga 黑色纯棉短袖T恤，圆领宽松版型，棕榈树海滩涂鸦与反向Logo印花设计，极简街头风，透气舒适，男女同款，Demna时代潮流上衣。</t>
        </is>
      </c>
    </row>
    <row r="84" ht="25.5" customHeight="1">
      <c r="A84">
        <v>1839115443</v>
      </c>
      <c r="B84">
        <v>7768696191</v>
      </c>
      <c r="C84" s="2" t="str">
        <f>=HYPERLINK("https://weidian.com/item.html?itemID=7768696191", "https://weidian.com/item.html?itemID=7768696191")</f>
        <v>https://weidian.com/item.html?itemID=7768696191</v>
      </c>
      <c r="D84"/>
      <c r="E84" s="2" t="str">
        <f>=HYPERLINK("https://si.geilicdn.com/open1839115443-252808396-53b60000019e4434ab310a8133b0_1080_1080.jpg?w=640&amp;h=640", "https://si.geilicdn.com/open1839115443-252808396-53b60000019e4434ab310a8133b0_1080_1080.jpg?w=640&amp;h=640")</f>
        <v>https://si.geilicdn.com/open1839115443-252808396-53b60000019e4434ab310a8133b0_1080_1080.jpg?w=640&amp;h=640</v>
      </c>
      <c r="F84" t="inlineStr">
        <is>
          <t>T-Shirts</t>
        </is>
      </c>
      <c r="G84" t="inlineStr">
        <is>
          <t>Balenciaga</t>
        </is>
      </c>
      <c r="H84">
        <v>83</v>
      </c>
      <c r="I84">
        <v>12.03</v>
      </c>
      <c r="J84" t="inlineStr">
        <is>
          <t>{"id":"resp_04ae517e58bc7f19016a0eea265bd4819f842b1f304381551a","object":"chat.completion","created":1779362346,"model":"gpt-5.5","choices":[{"index":0,"message":{"role":"assistant","content":"Balenciaga Black Cotton Cartoon Duo Logo Crew Neck T-Shirt"},"finish_reason":"stop"}],"usage":{"prompt_tokens":723,"completion_tokens":176,"total_tokens":899}}</t>
        </is>
      </c>
      <c r="K84" t="inlineStr">
        <is>
          <t>Balenciaga Black Cotton Cartoon Duo Logo Crew Neck T-Shirt</t>
        </is>
      </c>
      <c r="L84" t="inlineStr">
        <is>
          <t>{"id":"resp_08f9b8024388320a016a0ee9177e5c819fa0e6d158dd952c8b","object":"chat.completion","created":1779362077,"model":"gpt-5.5","choices":[{"index":0,"message":{"role":"assistant","content":"Balenciaga Black Cotton Crew Neck T-Shirt, Cartoon Duo Graphic with BALENCIAGA Logo, Unisex Streetwear, Casual Everyday Tee"},"finish_reason":"stop"}],"usage":{"prompt_tokens":776,"completion_tokens":263,"total_tokens":1039}}</t>
        </is>
      </c>
      <c r="M84" t="inlineStr">
        <is>
          <t>{"alt-svc":"h3=\":443\"; ma=2592000","connection":"close","content-length":"418","content-type":"application/json; charset=utf-8","date":"Thu, 21 May 2026 11:14:37 GMT","referrer-policy":"strict-origin-when-cross-origin","server":"nginx/1.24.0 (Ubuntu)","strict-transport-security":"max-age=31536000; includeSubDomains; preload","vary":"Accept-Encoding","via":"1.1 Caddy","x-content-type-options":"nosniff","x-frame-options":"DENY","x-new-api-version":"v1.0.0-rc.2","x-oneapi-request-id":"20260521111427931886488268d9d6OPHV0yw0","x-request-id":"6efc67bf-aefa-416a-a7af-f02e2de91dcf"}</t>
        </is>
      </c>
      <c r="N84" t="inlineStr">
        <is>
          <t>Balenciaga Black Cotton Crew Neck T-Shirt, Cartoon Duo Graphic with BALENCIAGA Logo, Unisex Streetwear, Casual Everyday Tee</t>
        </is>
      </c>
      <c r="O84" t="inlineStr">
        <is>
          <t>{"id":"resp_06c0dbd8aaf8e788016a0eed2814b4819dbb1b56db56c7be4c","object":"chat.completion","created":1779363119,"model":"gpt-5.5","choices":[{"index":0,"message":{"role":"assistant","content":"Balenciaga, T-Shirts, kakobuy, kakebuy2026, kekobuysheet, kakobuysheet2026, 2026kakobuy, kakobuyspreadsheeet, kakobuylink, kakebuylist, Kakobuy MEGA Spreadsheet, kakobuysheetfind, kakobuysheetfind2026, 2026kakobuysheetfind, kakobuysheet2026"},"finish_reason":"stop"}],"usage":{"prompt_tokens":645,"completion_tokens":350,"total_tokens":995}}</t>
        </is>
      </c>
      <c r="P84" t="inlineStr">
        <is>
          <t>Balenciaga, T-Shirts, kakobuy, kakebuy2026, kekobuysheet, kakobuysheet2026, 2026kakobuy, kakobuyspreadsheeet, kakobuylink, kakebuylist, Kakobuy MEGA Spreadsheet, kakobuysheetfind, kakobuysheetfind2026, 2026kakobuysheetfind, kakobuysheet2026</t>
        </is>
      </c>
      <c r="Q84" t="inlineStr">
        <is>
          <t>Balenciaga, Black, Streetwear, Unisex</t>
        </is>
      </c>
      <c r="R84" t="inlineStr">
        <is>
          <t>recvk9JhrpXmIe</t>
        </is>
      </c>
      <c r="S84" t="inlineStr">
        <is>
          <t>balenciaga-black-cotton-cartoon-duo-logo-crew-neck-t-shirt-recvk9jhrpxmie</t>
        </is>
      </c>
      <c r="T84"/>
      <c r="U84"/>
      <c r="V84"/>
      <c r="W84" t="inlineStr">
        <is>
          <t>{"id":"resp_0f320babed9e24a8016a0ee7880e0881a2aa2bb6c0ca21203a","object":"chat.completion","created":1779361680,"model":"gpt-5.5","choices":[{"index":0,"message":{"role":"assistant","content":"巴黎世家 Balenciaga：黑色圆领短袖T恤，优选棉质面料，正面卡通双人图腾搭配BALENCIAGA字母Logo，街头潮流风格，简约百搭，男女通用，2020年代设计感上身，休闲日常穿搭利器。"},"finish_reason":"stop"}],"usage":{"prompt_tokens":1169,"completion_tokens":422,"total_tokens":1591}}</t>
        </is>
      </c>
      <c r="X84" t="inlineStr">
        <is>
          <t>巴黎世家 Balenciaga：黑色圆领短袖T恤，优选棉质面料，正面卡通双人图腾搭配BALENCIAGA字母Logo，街头潮流风格，简约百搭，男女通用，2020年代设计感上身，休闲日常穿搭利器。</t>
        </is>
      </c>
    </row>
    <row r="85" ht="25.5" customHeight="1">
      <c r="A85">
        <v>1839115443</v>
      </c>
      <c r="B85">
        <v>7768686273</v>
      </c>
      <c r="C85" s="2" t="str">
        <f>=HYPERLINK("https://weidian.com/item.html?itemID=7768686273", "https://weidian.com/item.html?itemID=7768686273")</f>
        <v>https://weidian.com/item.html?itemID=7768686273</v>
      </c>
      <c r="D85"/>
      <c r="E85" s="2" t="str">
        <f>=HYPERLINK("https://si.geilicdn.com/open1839115443-252808396-6a180000019e4434cbbf0aa08269_1920_1920.jpg?w=640&amp;h=640", "https://si.geilicdn.com/open1839115443-252808396-6a180000019e4434cbbf0aa08269_1920_1920.jpg?w=640&amp;h=640")</f>
        <v>https://si.geilicdn.com/open1839115443-252808396-6a180000019e4434cbbf0aa08269_1920_1920.jpg?w=640&amp;h=640</v>
      </c>
      <c r="F85" t="inlineStr">
        <is>
          <t>Hoodies</t>
        </is>
      </c>
      <c r="G85" t="inlineStr">
        <is>
          <t>Chrome Hearts</t>
        </is>
      </c>
      <c r="H85">
        <v>175</v>
      </c>
      <c r="I85">
        <v>25.36</v>
      </c>
      <c r="J85" t="inlineStr">
        <is>
          <t>{"id":"resp_04475b6110c1f3d0016a0eec027c20819fab84cb37a258f0e4","object":"chat.completion","created":1779362822,"model":"gpt-5.5","choices":[{"index":0,"message":{"role":"assistant","content":"Chrome Hearts Black Pink Gothic Floral Hoodie"},"finish_reason":"stop"}],"usage":{"prompt_tokens":731,"completion_tokens":170,"total_tokens":901}}</t>
        </is>
      </c>
      <c r="K85" t="inlineStr">
        <is>
          <t>Chrome Hearts Black Pink Gothic Floral Hoodie</t>
        </is>
      </c>
      <c r="L85" t="inlineStr">
        <is>
          <t>{"id":"resp_08b60ac9e3fc4fb3016a0ee84a3e7881a397b7efa5763395b6","object":"chat.completion","created":1779361869,"model":"gpt-5.5","choices":[{"index":0,"message":{"role":"assistant","content":"Chrome Hearts black cotton hoodie, soft warm pullover with pink gothic floral sleeve graphics and chest logo, unisex streetwear designer casual sweatshirt, 2020s"},"finish_reason":"stop"}],"usage":{"prompt_tokens":756,"completion_tokens":124,"total_tokens":880}}</t>
        </is>
      </c>
      <c r="M85" t="inlineStr">
        <is>
          <t>{"alt-svc":"h3=\":443\"; ma=2592000","connection":"close","content-length":"455","content-type":"application/json; charset=utf-8","date":"Thu, 21 May 2026 11:11:09 GMT","referrer-policy":"strict-origin-when-cross-origin","server":"Caddy","strict-transport-security":"max-age=31536000; includeSubDomains; preload","vary":"Accept-Encoding","x-content-type-options":"nosniff","x-frame-options":"DENY","x-new-api-version":"v1.0.0-rc.2","x-oneapi-request-id":"202605211111057068586208268d9d6E6bMjRYD","x-request-id":"d22d9096-8919-43fb-a530-1e2eb5d4ac6a"}</t>
        </is>
      </c>
      <c r="N85" t="inlineStr">
        <is>
          <t>Chrome Hearts black cotton hoodie, soft warm pullover with pink gothic floral sleeve graphics and chest logo, unisex streetwear designer casual sweatshirt, 2020s</t>
        </is>
      </c>
      <c r="O85" t="inlineStr">
        <is>
          <t>{"id":"resp_09219b6a88661f19016a0eee339f80819285581f0f1e56c9f4","object":"chat.completion","created":1779363389,"model":"gpt-5.5","choices":[{"index":0,"message":{"role":"assistant","content":"Chrome Hearts, Hoodies, kakobuy, kakebuy2026, kekobuysheet, kakobuysheet2026, 2026kakobuy, kakobuyspreadsheeet, kakobuylink, kakebuylist, Kakobuy MEGA Spreadsheet, kakobuysheetfind, kakobuysheetfind2026, 2026kakobuysheetfind, kakobuysheet2026"},"finish_reason":"stop"}],"usage":{"prompt_tokens":645,"completion_tokens":452,"total_tokens":1097}}</t>
        </is>
      </c>
      <c r="P85" t="inlineStr">
        <is>
          <t>Chrome Hearts, Hoodies, kakobuy, kakebuy2026, kekobuysheet, kakobuysheet2026, 2026kakobuy, kakobuyspreadsheeet, kakobuylink, kakebuylist, Kakobuy MEGA Spreadsheet, kakobuysheetfind, kakobuysheetfind2026, 2026kakobuysheetfind, kakobuysheet2026</t>
        </is>
      </c>
      <c r="Q85" t="inlineStr">
        <is>
          <t>Black, Gothic, Floral, Streetwear, Unisex</t>
        </is>
      </c>
      <c r="R85" t="inlineStr">
        <is>
          <t>recvk9JhrpUlKP</t>
        </is>
      </c>
      <c r="S85" t="inlineStr">
        <is>
          <t>chrome-hearts-black-pink-gothic-floral-hoodie-recvk9jhrpulkp</t>
        </is>
      </c>
      <c r="T85"/>
      <c r="U85"/>
      <c r="V85"/>
      <c r="W85" t="inlineStr">
        <is>
          <t>{"id":"resp_01f291475999d8f0016a0ee759a50881a0b2b66edf921d606f","object":"chat.completion","created":1779361632,"model":"gpt-5.5","choices":[{"index":0,"message":{"role":"assistant","content":"Chrome Hearts: 黑色连帽卫衣，棉质柔软保暖，粉色哥特花卉图腾与胸前Logo点缀，街头潮流风，男女同款，2020年代设计师休闲套头款"},"finish_reason":"stop"}],"usage":{"prompt_tokens":1168,"completion_tokens":305,"total_tokens":1473}}</t>
        </is>
      </c>
      <c r="X85" t="inlineStr">
        <is>
          <t>Chrome Hearts: 黑色连帽卫衣，棉质柔软保暖，粉色哥特花卉图腾与胸前Logo点缀，街头潮流风，男女同款，2020年代设计师休闲套头款</t>
        </is>
      </c>
    </row>
    <row r="86" ht="25.5" customHeight="1">
      <c r="A86">
        <v>1839115443</v>
      </c>
      <c r="B86">
        <v>7771638748</v>
      </c>
      <c r="C86" s="2" t="str">
        <f>=HYPERLINK("https://weidian.com/item.html?itemID=7771638748", "https://weidian.com/item.html?itemID=7771638748")</f>
        <v>https://weidian.com/item.html?itemID=7771638748</v>
      </c>
      <c r="D86"/>
      <c r="E86" s="2" t="str">
        <f>=HYPERLINK("https://si.geilicdn.com/open1839115443-252808396-448c0000019e445446ae0a23b4de_640_640.jpg?w=640&amp;h=640", "https://si.geilicdn.com/open1839115443-252808396-448c0000019e445446ae0a23b4de_640_640.jpg?w=640&amp;h=640")</f>
        <v>https://si.geilicdn.com/open1839115443-252808396-448c0000019e445446ae0a23b4de_640_640.jpg?w=640&amp;h=640</v>
      </c>
      <c r="F86" t="inlineStr">
        <is>
          <t>Pants</t>
        </is>
      </c>
      <c r="G86" t="inlineStr">
        <is>
          <t>Other</t>
        </is>
      </c>
      <c r="H86">
        <v>63</v>
      </c>
      <c r="I86">
        <v>9.13</v>
      </c>
      <c r="J86" t="inlineStr">
        <is>
          <t>{"id":"resp_0cc5b4ffd899c8c2016a0eebbb498c819e82d7689c7062c2e9","object":"chat.completion","created":1779362758,"model":"gpt-5.5","choices":[{"index":0,"message":{"role":"assistant","content":"PantsOther Men's Olive 2-in-1 Gothic Cross Sport Shorts"},"finish_reason":"stop"}],"usage":{"prompt_tokens":731,"completion_tokens":503,"total_tokens":1234}}</t>
        </is>
      </c>
      <c r="K86" t="inlineStr">
        <is>
          <t>PantsOther Men's Olive 2-in-1 Gothic Cross Sport Shorts</t>
        </is>
      </c>
      <c r="L86" t="inlineStr">
        <is>
          <t>{"id":"resp_015199f738d4f299016a0ee881daf0819fb9265ccdecbb15a6","object":"chat.completion","created":1779361935,"model":"gpt-5.5","choices":[{"index":0,"message":{"role":"assistant","content":"PantsOther Men's Olive Green Dual-Layer Quick-Dry Street Shorts, Elastic Drawstring Waist, Gothic Cross Print, Lightweight Loose Fit, Unisex Casual Sport Shorts"},"finish_reason":"stop"}],"usage":{"prompt_tokens":749,"completion_tokens":729,"total_tokens":1478}}</t>
        </is>
      </c>
      <c r="M86" t="inlineStr">
        <is>
          <t>{"alt-svc":"h3=\":443\"; ma=2592000","connection":"close","content-length":"455","content-type":"application/json; charset=utf-8","date":"Thu, 21 May 2026 11:12:15 GMT","referrer-policy":"strict-origin-when-cross-origin","server":"nginx/1.24.0 (Ubuntu)","strict-transport-security":"max-age=31536000; includeSubDomains; preload","vary":"Accept-Encoding","via":"1.1 Caddy","x-content-type-options":"nosniff","x-frame-options":"DENY","x-new-api-version":"v1.0.0-rc.2","x-oneapi-request-id":"202605211112013922955538268d9d6LV9blXCM","x-request-id":"bbbc5090-02d1-448f-bf5b-0ff0ec3b6113"}</t>
        </is>
      </c>
      <c r="N86" t="inlineStr">
        <is>
          <t>PantsOther Men's Olive Green Dual-Layer Quick-Dry Street Shorts, Elastic Drawstring Waist, Gothic Cross Print, Lightweight Loose Fit, Unisex Casual Sport Shorts</t>
        </is>
      </c>
      <c r="O86" t="inlineStr">
        <is>
          <t>{"id":"resp_0c817472720869a9016a0eede3da4c81a1943672a1d3cc34c0","object":"chat.completion","created":1779363312,"model":"gpt-5.5","choices":[{"index":0,"message":{"role":"assistant","content":"PantsOther, shorts, green shorts, graphic shorts, kakobuy, kakebuy2026, kekobuysheet, kakobuysheet2026, 2026kakobuy, kakobuyspreadsheeet, kakobuylink, kakebuylist, Kakobuy MEGA Spreadsheet, kakobuysheetfind, kakobuysheetfind2026, 2026kakobuysheetfind, kakobuysheet2026"},"finish_reason":"stop"}],"usage":{"prompt_tokens":643,"completion_tokens":619,"total_tokens":1262}}</t>
        </is>
      </c>
      <c r="P86" t="inlineStr">
        <is>
          <t>PantsOther, shorts, green shorts, graphic shorts, kakobuy, kakebuy2026, kekobuysheet, kakobuysheet2026, 2026kakobuy, kakobuyspreadsheeet, kakobuylink, kakebuylist, Kakobuy MEGA Spreadsheet, kakobuysheetfind, kakobuysheetfind2026, 2026kakobuysheetfind, kakobuysheet2026</t>
        </is>
      </c>
      <c r="Q86" t="inlineStr">
        <is>
          <t>Olive Green, Quick Dry, Lightweight, Street, Unisex</t>
        </is>
      </c>
      <c r="R86" t="inlineStr">
        <is>
          <t>recvk9JhrpM34u</t>
        </is>
      </c>
      <c r="S86" t="inlineStr">
        <is>
          <t>men-olive-2in1-gothic-cross-sport-shorts-recvk9jhrpm34u</t>
        </is>
      </c>
      <c r="T86"/>
      <c r="U86"/>
      <c r="V86"/>
      <c r="W86" t="inlineStr">
        <is>
          <t>{"id":"resp_00d7be444b5ab487016a0ee7aebc9881a08ed022318d737727","object":"chat.completion","created":1779361716,"model":"gpt-5.5","choices":[{"index":0,"message":{"role":"assistant","content":"军绿色宽松双层运动短裤，轻薄速干面料，弹力抽绳腰头，黑白十字图腾点缀，街头暗黑风设计，男女通穿，休闲潮流短裤"},"finish_reason":"stop"}],"usage":{"prompt_tokens":1161,"completion_tokens":228,"total_tokens":1389}}</t>
        </is>
      </c>
      <c r="X86" t="inlineStr">
        <is>
          <t>军绿色宽松双层运动短裤，轻薄速干面料，弹力抽绳腰头，黑白十字图腾点缀，街头暗黑风设计，男女通穿，休闲潮流短裤</t>
        </is>
      </c>
    </row>
    <row r="87" ht="25.5" customHeight="1">
      <c r="A87">
        <v>1839115443</v>
      </c>
      <c r="B87">
        <v>7771625142</v>
      </c>
      <c r="C87" s="2" t="str">
        <f>=HYPERLINK("https://weidian.com/item.html?itemID=7771625142", "https://weidian.com/item.html?itemID=7771625142")</f>
        <v>https://weidian.com/item.html?itemID=7771625142</v>
      </c>
      <c r="D87"/>
      <c r="E87" s="2" t="str">
        <f>=HYPERLINK("https://si.geilicdn.com/open1839115443-252808396-5bd40000019e4426c96c0aa08239_1889_1889.jpg?w=640&amp;h=640", "https://si.geilicdn.com/open1839115443-252808396-5bd40000019e4426c96c0aa08239_1889_1889.jpg?w=640&amp;h=640")</f>
        <v>https://si.geilicdn.com/open1839115443-252808396-5bd40000019e4426c96c0aa08239_1889_1889.jpg?w=640&amp;h=640</v>
      </c>
      <c r="F87" t="inlineStr">
        <is>
          <t>T-Shirts</t>
        </is>
      </c>
      <c r="G87" t="inlineStr">
        <is>
          <t>Essentials</t>
        </is>
      </c>
      <c r="H87">
        <v>121</v>
      </c>
      <c r="I87">
        <v>17.54</v>
      </c>
      <c r="J87" t="inlineStr">
        <is>
          <t>{"id":"resp_00753284a24c8b2b016a0eeb5755a8819ebc7eb458563c2c14","object":"chat.completion","created":1779362656,"model":"gpt-5.5","choices":[{"index":0,"message":{"role":"assistant","content":"Essentials 1977 Black Oversized Cotton Streetwear T-Shirt"},"finish_reason":"stop"}],"usage":{"prompt_tokens":723,"completion_tokens":487,"total_tokens":1210}}</t>
        </is>
      </c>
      <c r="K87" t="inlineStr">
        <is>
          <t>Essentials 1977 Black Oversized Cotton Streetwear T-Shirt</t>
        </is>
      </c>
      <c r="L87" t="inlineStr">
        <is>
          <t>{"id":"resp_011fc4a7ad400f15016a0ee88b67c08191b823bc3a1331a17c","object":"chat.completion","created":1779361933,"model":"gpt-5.5","choices":[{"index":0,"message":{"role":"assistant","content":"Essentials 1977 black oversized cotton T-shirt, soft unisex streetwear tee with minimalist number print, casual American style for daily wear."},"finish_reason":"stop"}],"usage":{"prompt_tokens":760,"completion_tokens":91,"total_tokens":851}}</t>
        </is>
      </c>
      <c r="M87" t="inlineStr">
        <is>
          <t>{"alt-svc":"h3=\":443\"; ma=2592000","connection":"close","content-length":"435","content-type":"application/json; charset=utf-8","date":"Thu, 21 May 2026 11:12:13 GMT","referrer-policy":"strict-origin-when-cross-origin","server":"Caddy","strict-transport-security":"max-age=31536000; includeSubDomains; preload","vary":"Accept-Encoding","x-content-type-options":"nosniff","x-frame-options":"DENY","x-new-api-version":"v1.0.0-rc.2","x-oneapi-request-id":"20260521111211234103818268d9d6btiI8s5w","x-request-id":"3c01b260-8d49-4b97-86a0-7a7e8f9545da"}</t>
        </is>
      </c>
      <c r="N87" t="inlineStr">
        <is>
          <t>Essentials 1977 black oversized cotton T-shirt, soft unisex streetwear tee with minimalist number print, casual American style for daily wear.</t>
        </is>
      </c>
      <c r="O87" t="inlineStr">
        <is>
          <t>{"id":"resp_07d543b5b46b4173016a0eee4c35ec81a19906e991921c6999","object":"chat.completion","created":1779363414,"model":"gpt-5.5","choices":[{"index":0,"message":{"role":"assistant","content":"Essentials,T-Shirts,1977,kakobuy,kakebuy2026,kekobuysheet,kakobuysheet2026,2026kakobuy,kakobuyspreadsheeet,kakobuylink,kakebuylist,Kakobuy MEGA Spreadsheet,kakobuysheetfind,kakobuysheetfind2026,2026kakobuysheetfind,kakobuysheet2026"},"finish_reason":"stop"}],"usage":{"prompt_tokens":644,"completion_tokens":544,"total_tokens":1188}}</t>
        </is>
      </c>
      <c r="P87" t="inlineStr">
        <is>
          <t>Essentials,T-Shirts,1977,kakobuy,kakebuy2026,kekobuysheet,kakobuysheet2026,2026kakobuy,kakobuyspreadsheeet,kakobuylink,kakebuylist,Kakobuy MEGA Spreadsheet,kakobuysheetfind,kakobuysheetfind2026,2026kakobuysheetfind,kakobuysheet2026</t>
        </is>
      </c>
      <c r="Q87" t="inlineStr">
        <is>
          <t>Black, Minimalist, Streetwear, Unisex</t>
        </is>
      </c>
      <c r="R87" t="inlineStr">
        <is>
          <t>recvk9JhrpZAkV</t>
        </is>
      </c>
      <c r="S87" t="inlineStr">
        <is>
          <t>essentials-1977-black-oversized-cotton-streetwear-t-shirt-recvk9jhrpzakv</t>
        </is>
      </c>
      <c r="T87"/>
      <c r="U87"/>
      <c r="V87"/>
      <c r="W87" t="inlineStr">
        <is>
          <t>{"id":"resp_045c40789abc224a016a0ee71233ac81a2a76966eeb993b970","object":"chat.completion","created":1779361568,"model":"gpt-5.5","choices":[{"index":0,"message":{"role":"assistant","content":"黑色Essentials 1977宽松T恤，甄选柔软棉质面料，正面简约数字印花，极简街头风设计，男女同款，适合日常休闲穿搭，彰显经典美式潮流感。"},"finish_reason":"stop"}],"usage":{"prompt_tokens":1167,"completion_tokens":542,"total_tokens":1709}}</t>
        </is>
      </c>
      <c r="X87" t="inlineStr">
        <is>
          <t>黑色Essentials 1977宽松T恤，甄选柔软棉质面料，正面简约数字印花，极简街头风设计，男女同款，适合日常休闲穿搭，彰显经典美式潮流感。</t>
        </is>
      </c>
    </row>
    <row r="88" ht="25.5" customHeight="1">
      <c r="A88">
        <v>1839115443</v>
      </c>
      <c r="B88">
        <v>7771469548</v>
      </c>
      <c r="C88" s="2" t="str">
        <f>=HYPERLINK("https://weidian.com/item.html?itemID=7771469548", "https://weidian.com/item.html?itemID=7771469548")</f>
        <v>https://weidian.com/item.html?itemID=7771469548</v>
      </c>
      <c r="D88"/>
      <c r="E88" s="2" t="str">
        <f>=HYPERLINK("https://si.geilicdn.com/open1839115443-252808396-610f0000019e442797690a23b4de_1080_1080.jpg?w=640&amp;h=640", "https://si.geilicdn.com/open1839115443-252808396-610f0000019e442797690a23b4de_1080_1080.jpg?w=640&amp;h=640")</f>
        <v>https://si.geilicdn.com/open1839115443-252808396-610f0000019e442797690a23b4de_1080_1080.jpg?w=640&amp;h=640</v>
      </c>
      <c r="F88" t="inlineStr">
        <is>
          <t>T-Shirts</t>
        </is>
      </c>
      <c r="G88" t="inlineStr">
        <is>
          <t>Chrome Hearts</t>
        </is>
      </c>
      <c r="H88">
        <v>91</v>
      </c>
      <c r="I88">
        <v>13.19</v>
      </c>
      <c r="J88" t="inlineStr">
        <is>
          <t>{"id":"resp_0204b1b529d561ad016a0ee9fbc04481a3a2549a30b5f0e600","object":"chat.completion","created":1779362306,"model":"gpt-5.5","choices":[{"index":0,"message":{"role":"assistant","content":"Chrome Hearts White Cross T-Shirt Unisex Streetwear Tee"},"finish_reason":"stop"}],"usage":{"prompt_tokens":713,"completion_tokens":221,"total_tokens":934}}</t>
        </is>
      </c>
      <c r="K88" t="inlineStr">
        <is>
          <t>Chrome Hearts White Cross T-Shirt Unisex Streetwear Tee</t>
        </is>
      </c>
      <c r="L88" t="inlineStr">
        <is>
          <t>{"id":"resp_0b03ae027e1516a8016a0ee8430134819d924b621085b6acfc","object":"chat.completion","created":1779361861,"model":"gpt-5.5","choices":[{"index":0,"message":{"role":"assistant","content":"Chrome Hearts white cotton T-shirt with black cross motif, unisex short sleeve streetwear tee, classic casual summer top."},"finish_reason":"stop"}],"usage":{"prompt_tokens":754,"completion_tokens":95,"total_tokens":849}}</t>
        </is>
      </c>
      <c r="M88" t="inlineStr">
        <is>
          <t>{"alt-svc":"h3=\":443\"; ma=2592000","connection":"close","content-length":"414","content-type":"application/json; charset=utf-8","date":"Thu, 21 May 2026 11:11:01 GMT","referrer-policy":"strict-origin-when-cross-origin","server":"Caddy","strict-transport-security":"max-age=31536000; includeSubDomains; preload","vary":"Accept-Encoding","x-content-type-options":"nosniff","x-frame-options":"DENY","x-new-api-version":"v1.0.0-rc.2","x-oneapi-request-id":"202605211110585826658618268d9d6AezASpXK","x-request-id":"43c95770-a561-44e4-86f8-bf16b56ee268"}</t>
        </is>
      </c>
      <c r="N88" t="inlineStr">
        <is>
          <t>Chrome Hearts white cotton T-shirt with black cross motif, unisex short sleeve streetwear tee, classic casual summer top.</t>
        </is>
      </c>
      <c r="O88" t="inlineStr">
        <is>
          <t>{"id":"resp_0cda92919b69e37b016a0eed20f72c819faa02c189dc170c60","object":"chat.completion","created":1779363110,"model":"gpt-5.5","choices":[{"index":0,"message":{"role":"assistant","content":"Chrome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kakobuysheet2026"},"finish_reason":"stop"}],"usage":{"prompt_tokens":644,"completion_tokens":212,"total_tokens":856}}</t>
        </is>
      </c>
      <c r="P88"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88" t="inlineStr">
        <is>
          <t>White, Summer, Unisex, Streetwear</t>
        </is>
      </c>
      <c r="R88" t="inlineStr">
        <is>
          <t>recvk9JhrpPuwi</t>
        </is>
      </c>
      <c r="S88" t="inlineStr">
        <is>
          <t>chrome-hearts-white-cross-tshirt-recvk9jhrppuwi</t>
        </is>
      </c>
      <c r="T88"/>
      <c r="U88"/>
      <c r="V88"/>
      <c r="W88" t="inlineStr">
        <is>
          <t>{"id":"resp_00a9d6c44686d0a0016a0ee671e5d08192a6a6c0f751de2ca3","object":"chat.completion","created":1779361404,"model":"gpt-5.5","choices":[{"index":0,"message":{"role":"assistant","content":"克罗心Chrome Hearts白色短袖T恤，纯棉面料，胸前黑色十字花图腾点缀，简约街头风，男女同款，经典百搭休闲设计，夏季潮流上身。"},"finish_reason":"stop"}],"usage":{"prompt_tokens":1165,"completion_tokens":376,"total_tokens":1541}}</t>
        </is>
      </c>
      <c r="X88" t="inlineStr">
        <is>
          <t>克罗心Chrome Hearts白色短袖T恤，纯棉面料，胸前黑色十字花图腾点缀，简约街头风，男女同款，经典百搭休闲设计，夏季潮流上身。</t>
        </is>
      </c>
    </row>
    <row r="89" ht="25.5" customHeight="1">
      <c r="A89">
        <v>1839115443</v>
      </c>
      <c r="B89">
        <v>7768547175</v>
      </c>
      <c r="C89" s="2" t="str">
        <f>=HYPERLINK("https://weidian.com/item.html?itemID=7768547175", "https://weidian.com/item.html?itemID=7768547175")</f>
        <v>https://weidian.com/item.html?itemID=7768547175</v>
      </c>
      <c r="D89"/>
      <c r="E89" s="2" t="str">
        <f>=HYPERLINK("https://si.geilicdn.com/open1839115443-252808396-48600000019e442d8f8d0a8133b0_800_800.jpg?w=640&amp;h=640", "https://si.geilicdn.com/open1839115443-252808396-48600000019e442d8f8d0a8133b0_800_800.jpg?w=640&amp;h=640")</f>
        <v>https://si.geilicdn.com/open1839115443-252808396-48600000019e442d8f8d0a8133b0_800_800.jpg?w=640&amp;h=640</v>
      </c>
      <c r="F89" t="inlineStr">
        <is>
          <t>T-Shirts</t>
        </is>
      </c>
      <c r="G89" t="inlineStr">
        <is>
          <t>Stussy</t>
        </is>
      </c>
      <c r="H89">
        <v>83</v>
      </c>
      <c r="I89">
        <v>12.03</v>
      </c>
      <c r="J89" t="inlineStr">
        <is>
          <t>{"id":"resp_0173c2ba24ba67de016a0eea0ef234819f941a072a307bbd2f","object":"chat.completion","created":1779362322,"model":"gpt-5.5","choices":[{"index":0,"message":{"role":"assistant","content":"Stussy White Cotton Crew Neck Logo T-Shirt Unisex Streetwear"},"finish_reason":"stop"}],"usage":{"prompt_tokens":726,"completion_tokens":144,"total_tokens":870}}</t>
        </is>
      </c>
      <c r="K89" t="inlineStr">
        <is>
          <t>Stussy White Cotton Crew Neck Logo T-Shirt Unisex Streetwear</t>
        </is>
      </c>
      <c r="L89" t="inlineStr">
        <is>
          <t>{"id":"resp_01c4d2f0d95d9cce016a0ee96a318c81a08530ef0e0b144f5c","object":"chat.completion","created":1779362160,"model":"gpt-5.5","choices":[{"index":0,"message":{"role":"assistant","content":"Stussy White Cotton Crew Neck T-Shirt, Black Logo Graphic, Unisex 90s Retro Streetwear, Soft, Comfortable, Versatile Casual Tee"},"finish_reason":"stop"}],"usage":{"prompt_tokens":760,"completion_tokens":301,"total_tokens":1061}}</t>
        </is>
      </c>
      <c r="M89" t="inlineStr">
        <is>
          <t>{"alt-svc":"h3=\":443\"; ma=2592000","connection":"close","content-length":"422","content-type":"application/json; charset=utf-8","date":"Thu, 21 May 2026 11:16:00 GMT","referrer-policy":"strict-origin-when-cross-origin","server":"Caddy","strict-transport-security":"max-age=31536000; includeSubDomains; preload","vary":"Accept-Encoding","x-content-type-options":"nosniff","x-frame-options":"DENY","x-new-api-version":"v1.0.0-rc.2","x-oneapi-request-id":"202605211115502264413868268d9d6qhfnpJFt","x-request-id":"84ab14f9-2252-4ea6-bbe0-142a5e9b17d3"}</t>
        </is>
      </c>
      <c r="N89" t="inlineStr">
        <is>
          <t>Stussy White Cotton Crew Neck T-Shirt, Black Logo Graphic, Unisex 90s Retro Streetwear, Soft, Comfortable, Versatile Casual Tee</t>
        </is>
      </c>
      <c r="O89" t="inlineStr">
        <is>
          <t>{"id":"resp_031509cfa3a91cc1016a0eee5d7c58819fa9d6a9529549742c","object":"chat.completion","created":1779363425,"model":"gpt-5.5","choices":[{"index":0,"message":{"role":"assistant","content":"Stussy, T-Shirts, kakobuy, kakebuy2026, kekobuysheet, kakobuysheet2026, 2026kakobuy, kakobuyspreadsheeet, kakobuylink, kakebuylist, Kakobuy MEGA Spreadsheet, kakobuysheetfind, kakobuysheetfind2026, 2026kakobuysheetfind, kakobuysheet2026"},"finish_reason":"stop"}],"usage":{"prompt_tokens":644,"completion_tokens":194,"total_tokens":838}}</t>
        </is>
      </c>
      <c r="P89" t="inlineStr">
        <is>
          <t>Stussy, T-Shirts, kakobuy, kakebuy2026, kekobuysheet, kakobuysheet2026, 2026kakobuy, kakobuyspreadsheeet, kakobuylink, kakebuylist, Kakobuy MEGA Spreadsheet, kakobuysheetfind, kakobuysheetfind2026, 2026kakobuysheetfind, kakobuysheet2026</t>
        </is>
      </c>
      <c r="Q89" t="inlineStr">
        <is>
          <t>Stussy, White, Black, Retro, Streetwear, Unisex</t>
        </is>
      </c>
      <c r="R89" t="inlineStr">
        <is>
          <t>recvk9Jhrpj2yI</t>
        </is>
      </c>
      <c r="S89" t="inlineStr">
        <is>
          <t>stussy-white-cotton-crew-neck-logo-tshirt-recvk9jhrpj2yi</t>
        </is>
      </c>
      <c r="T89"/>
      <c r="U89"/>
      <c r="V89"/>
      <c r="W89" t="inlineStr">
        <is>
          <t>{"id":"resp_0a4fecfddbdb8643016a0ee66eeb4c81a0a1e07bf00831e59b","object":"chat.completion","created":1779361396,"model":"gpt-5.5","choices":[{"index":0,"message":{"role":"assistant","content":"Stussy: 经典白色圆领短袖T恤，甄选棉质面料，胸前黑色品牌图腾印花，简约街头风设计，男女同款，90年代复古潮流，休闲百搭上身舒适。"},"finish_reason":"stop"}],"usage":{"prompt_tokens":1167,"completion_tokens":276,"total_tokens":1443}}</t>
        </is>
      </c>
      <c r="X89" t="inlineStr">
        <is>
          <t>Stussy: 经典白色圆领短袖T恤，甄选棉质面料，胸前黑色品牌图腾印花，简约街头风设计，男女同款，90年代复古潮流，休闲百搭上身舒适。</t>
        </is>
      </c>
    </row>
    <row r="90" ht="25.5" customHeight="1">
      <c r="A90">
        <v>1839115443</v>
      </c>
      <c r="B90">
        <v>7768619369</v>
      </c>
      <c r="C90" s="2" t="str">
        <f>=HYPERLINK("https://weidian.com/item.html?itemID=7768619369", "https://weidian.com/item.html?itemID=7768619369")</f>
        <v>https://weidian.com/item.html?itemID=7768619369</v>
      </c>
      <c r="D90"/>
      <c r="E90" s="2" t="str">
        <f>=HYPERLINK("https://si.geilicdn.com/open1839115443-252808396-4fdd0000019e442d9f1d0a8115c2_1500_1500.jpg?w=640&amp;h=640", "https://si.geilicdn.com/open1839115443-252808396-4fdd0000019e442d9f1d0a8115c2_1500_1500.jpg?w=640&amp;h=640")</f>
        <v>https://si.geilicdn.com/open1839115443-252808396-4fdd0000019e442d9f1d0a8115c2_1500_1500.jpg?w=640&amp;h=640</v>
      </c>
      <c r="F90" t="inlineStr">
        <is>
          <t>T-Shirts</t>
        </is>
      </c>
      <c r="G90" t="inlineStr">
        <is>
          <t>Ralph Lauren</t>
        </is>
      </c>
      <c r="H90">
        <v>95</v>
      </c>
      <c r="I90">
        <v>13.77</v>
      </c>
      <c r="J90" t="inlineStr">
        <is>
          <t>{"id":"resp_066b18df7fbfb8f5016a0eeb3f72148192b9c084992132b29b","object":"chat.completion","created":1779362633,"model":"gpt-5.5","choices":[{"index":0,"message":{"role":"assistant","content":"Ralph Lauren Cream Cotton Crew Neck Pony Logo T-Shirt"},"finish_reason":"stop"}],"usage":{"prompt_tokens":728,"completion_tokens":533,"total_tokens":1261}}</t>
        </is>
      </c>
      <c r="K90" t="inlineStr">
        <is>
          <t>Ralph Lauren Cream Cotton Crew Neck Pony Logo T-Shirt</t>
        </is>
      </c>
      <c r="L90" t="inlineStr">
        <is>
          <t>{"id":"resp_0c97669ce220ccf1016a0ee96bc388819cac73736659523bd2","object":"chat.completion","created":1779362158,"model":"gpt-5.5","choices":[{"index":0,"message":{"role":"assistant","content":"Ralph Lauren classic cream cotton short sleeve T-shirt, soft breathable unisex crew neck with embroidered pony logo, 90s vintage American casual basic top."},"finish_reason":"stop"}],"usage":{"prompt_tokens":767,"completion_tokens":116,"total_tokens":883}}</t>
        </is>
      </c>
      <c r="M90" t="inlineStr">
        <is>
          <t>{"alt-svc":"h3=\":443\"; ma=2592000","connection":"close","content-length":"449","content-type":"application/json; charset=utf-8","date":"Thu, 21 May 2026 11:15:58 GMT","referrer-policy":"strict-origin-when-cross-origin","server":"Caddy","strict-transport-security":"max-age=31536000; includeSubDomains; preload","vary":"Accept-Encoding","x-content-type-options":"nosniff","x-frame-options":"DENY","x-new-api-version":"v1.0.0-rc.2","x-oneapi-request-id":"202605211115534275692618268d9d6bNLZaCxR","x-request-id":"8e6d178c-17d1-439d-99b3-be990adf3dee"}</t>
        </is>
      </c>
      <c r="N90" t="inlineStr">
        <is>
          <t>Ralph Lauren classic cream cotton short sleeve T-shirt, soft breathable unisex crew neck with embroidered pony logo, 90s vintage American casual basic top.</t>
        </is>
      </c>
      <c r="O90" t="inlineStr">
        <is>
          <t>{"id":"resp_07d432d8afc90c0c016a0eed2800848191bcb408043a06e2d4","object":"chat.completion","created":1779363122,"model":"gpt-5.5","choices":[{"index":0,"message":{"role":"assistant","content":"Ralph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kakobuysheet2026"},"finish_reason":"stop"}],"usage":{"prompt_tokens":645,"completion_tokens":389,"total_tokens":1034}}</t>
        </is>
      </c>
      <c r="P90"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90" t="inlineStr">
        <is>
          <t>Cream, Vintage, Unisex, Breathable</t>
        </is>
      </c>
      <c r="R90" t="inlineStr">
        <is>
          <t>recvk9JhrpKYi9</t>
        </is>
      </c>
      <c r="S90" t="inlineStr">
        <is>
          <t>ralph-lauren-cream-cotton-pony-t-shirt-recvk9jhrpkyi9</t>
        </is>
      </c>
      <c r="T90"/>
      <c r="U90"/>
      <c r="V90"/>
      <c r="W90" t="inlineStr">
        <is>
          <t>{"id":"resp_03ec6921d00e6612016a0ee6ca8738819ebcf3d88fc8f8ed95","object":"chat.completion","created":1779361489,"model":"gpt-5.5","choices":[{"index":0,"message":{"role":"assistant","content":"Ralph Lauren: 经典米白短袖T恤，棉质面料柔软透气，胸前小马标刺绣点缀，圆领简约设计，美式休闲风，男女通用，90年代复古感，经典百搭上衣。"},"finish_reason":"stop"}],"usage":{"prompt_tokens":1177,"completion_tokens":317,"total_tokens":1494}}</t>
        </is>
      </c>
      <c r="X90" t="inlineStr">
        <is>
          <t>Ralph Lauren: 经典米白短袖T恤，棉质面料柔软透气，胸前小马标刺绣点缀，圆领简约设计，美式休闲风，男女通用，90年代复古感，经典百搭上衣。</t>
        </is>
      </c>
    </row>
    <row r="91" ht="25.5" customHeight="1">
      <c r="A91">
        <v>1839115443</v>
      </c>
      <c r="B91">
        <v>7771662678</v>
      </c>
      <c r="C91" s="2" t="str">
        <f>=HYPERLINK("https://weidian.com/item.html?itemID=7771662678", "https://weidian.com/item.html?itemID=7771662678")</f>
        <v>https://weidian.com/item.html?itemID=7771662678</v>
      </c>
      <c r="D91"/>
      <c r="E91" s="2" t="str">
        <f>=HYPERLINK("https://si.geilicdn.com/open1839115443-252808396-0db90000019e443c70190a23b491_1097_1097.jpg?w=640&amp;h=640", "https://si.geilicdn.com/open1839115443-252808396-0db90000019e443c70190a23b491_1097_1097.jpg?w=640&amp;h=640")</f>
        <v>https://si.geilicdn.com/open1839115443-252808396-0db90000019e443c70190a23b491_1097_1097.jpg?w=640&amp;h=640</v>
      </c>
      <c r="F91" t="inlineStr">
        <is>
          <t>T-Shirts</t>
        </is>
      </c>
      <c r="G91" t="inlineStr">
        <is>
          <t>A Bathing App</t>
        </is>
      </c>
      <c r="H91">
        <v>87</v>
      </c>
      <c r="I91">
        <v>12.61</v>
      </c>
      <c r="J91" t="inlineStr">
        <is>
          <t>{"id":"resp_0b3bf33eeb198da3016a0eead0a42081a3ae36d16912724573","object":"chat.completion","created":1779362518,"model":"gpt-5.5","choices":[{"index":0,"message":{"role":"assistant","content":"A Bathing Ape BAPE Black Blue Camo Ape Head T-Shirt"},"finish_reason":"stop"}],"usage":{"prompt_tokens":746,"completion_tokens":281,"total_tokens":1027}}</t>
        </is>
      </c>
      <c r="K91" t="inlineStr">
        <is>
          <t>A Bathing Ape BAPE Black Blue Camo Ape Head T-Shirt</t>
        </is>
      </c>
      <c r="L91" t="inlineStr">
        <is>
          <t>{"id":"resp_060d2cbbf072224d016a0ee9a4b2ec81a1b6620c9e0ec32d8d","object":"chat.completion","created":1779362218,"model":"gpt-5.5","choices":[{"index":0,"message":{"role":"assistant","content":"A Bathing Ape BAPE Black Blue Camo Ape Head Print T-Shirt, 100% Cotton, Crew Neck, Loose Fit, Unisex Streetwear, 90s Hip Hop Casual Tee"},"finish_reason":"stop"}],"usage":{"prompt_tokens":770,"completion_tokens":260,"total_tokens":1030}}</t>
        </is>
      </c>
      <c r="M91" t="inlineStr">
        <is>
          <t>{"alt-svc":"h3=\":443\"; ma=2592000","connection":"close","content-length":"430","content-type":"application/json; charset=utf-8","date":"Thu, 21 May 2026 11:16:58 GMT","referrer-policy":"strict-origin-when-cross-origin","server":"Caddy","strict-transport-security":"max-age=31536000; includeSubDomains; preload","vary":"Accept-Encoding","x-content-type-options":"nosniff","x-frame-options":"DENY","x-new-api-version":"v1.0.0-rc.2","x-oneapi-request-id":"202605211116522363055858268d9d6fqtBq6X6","x-request-id":"8897628c-a3f2-4c81-837a-eea3494e98fe"}</t>
        </is>
      </c>
      <c r="N91" t="inlineStr">
        <is>
          <t>A Bathing Ape BAPE Black Blue Camo Ape Head Print T-Shirt, 100% Cotton, Crew Neck, Loose Fit, Unisex Streetwear, 90s Hip Hop Casual Tee</t>
        </is>
      </c>
      <c r="O91" t="inlineStr">
        <is>
          <t>{"id":"resp_04104e1fcd5ac20c016a0eed8c27ec819d8b81772ea48fe071","object":"chat.completion","created":1779363218,"model":"gpt-5.5","choices":[{"index":0,"message":{"role":"assistant","content":"A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kakobuysheet2026"},"finish_reason":"stop"}],"usage":{"prompt_tokens":646,"completion_tokens":290,"total_tokens":936}}</t>
        </is>
      </c>
      <c r="P91" t="inlineStr">
        <is>
          <t>A Bathing Ape T-Shirts kakobuy, A Bathing Ape T-Shirts kakebuy2026, A Bathing Ape T-Shirts kekobuysheet, A Bathing Ape T-Shirts kakobuysheet2026, A Bathing Ape T-Shirts 2026kakobuy, A Bathing Ape T-Shirts kakobuyspreadsheeet, A Bathing Ape T-Shirts kakobuylink, A Bathing Ape T-Shirts kakebuylist, A Bathing Ape T-Shirts Kakobuy MEGA Spreadsheet, A Bathing Ape T-Shirts kakobuysheetfind, A Bathing Ape T-Shirts kakobuysheetfind2026, A Bathing Ape T-Shirts 2026kakobuysheetfind, A Bathing Ape T-Shirts kakobuysheet2026</t>
        </is>
      </c>
      <c r="Q91" t="inlineStr">
        <is>
          <t>BAPE, Black Blue, Camouflage, Hip Hop, Unisex, Streetwear</t>
        </is>
      </c>
      <c r="R91" t="inlineStr">
        <is>
          <t>recvk9JhrpY6Bo</t>
        </is>
      </c>
      <c r="S91" t="inlineStr">
        <is>
          <t>bape-black-blue-camo-ape-head-recvk9jhrpy6bo</t>
        </is>
      </c>
      <c r="T91"/>
      <c r="U91"/>
      <c r="V91"/>
      <c r="W91" t="inlineStr">
        <is>
          <t>{"id":"resp_039724d688665b35016a0ee7404634819c8c0323789ed267d0","object":"chat.completion","created":1779361608,"model":"gpt-5.5","choices":[{"index":0,"message":{"role":"assistant","content":"A Bathing Ape：黑色蓝迷彩猿头印花短袖T恤，纯棉面料舒适透气，经典圆领宽松版型，街头潮流风格，男女通用，90年代BAPE猿人图腾设计，日常休闲穿搭必备。"},"finish_reason":"stop"}],"usage":{"prompt_tokens":1169,"completion_tokens":367,"total_tokens":1536}}</t>
        </is>
      </c>
      <c r="X91" t="inlineStr">
        <is>
          <t>A Bathing Ape：黑色蓝迷彩猿头印花短袖T恤，纯棉面料舒适透气，经典圆领宽松版型，街头潮流风格，男女通用，90年代BAPE猿人图腾设计，日常休闲穿搭必备。</t>
        </is>
      </c>
    </row>
    <row r="92" ht="25.5" customHeight="1">
      <c r="A92">
        <v>1839115443</v>
      </c>
      <c r="B92">
        <v>7771631194</v>
      </c>
      <c r="C92" s="2" t="str">
        <f>=HYPERLINK("https://weidian.com/item.html?itemID=7771631194", "https://weidian.com/item.html?itemID=7771631194")</f>
        <v>https://weidian.com/item.html?itemID=7771631194</v>
      </c>
      <c r="D92"/>
      <c r="E92" s="2" t="str">
        <f>=HYPERLINK("https://si.geilicdn.com/open1839115443-252808396-1b300000019e44451d1c0a231226_800_1067.jpg?w=640&amp;h=640", "https://si.geilicdn.com/open1839115443-252808396-1b300000019e44451d1c0a231226_800_1067.jpg?w=640&amp;h=640")</f>
        <v>https://si.geilicdn.com/open1839115443-252808396-1b300000019e44451d1c0a231226_800_1067.jpg?w=640&amp;h=640</v>
      </c>
      <c r="F92" t="inlineStr">
        <is>
          <t>Pants</t>
        </is>
      </c>
      <c r="G92" t="inlineStr">
        <is>
          <t>Other</t>
        </is>
      </c>
      <c r="H92">
        <v>75</v>
      </c>
      <c r="I92">
        <v>10.87</v>
      </c>
      <c r="J92" t="inlineStr">
        <is>
          <t>{"id":"resp_0f6b39e4d56deb71016a0eebef37e481a1a8d7b4184d712fe2","object":"chat.completion","created":1779362806,"model":"gpt-5.5","choices":[{"index":0,"message":{"role":"assistant","content":"PantsOther Men's Gray Black 2-in-1 Quick-Dry Running Pants"},"finish_reason":"stop"}],"usage":{"prompt_tokens":913,"completion_tokens":317,"total_tokens":1230}}</t>
        </is>
      </c>
      <c r="K92" t="inlineStr">
        <is>
          <t>PantsOther Men's Gray Black 2-in-1 Quick-Dry Running Pants</t>
        </is>
      </c>
      <c r="L92" t="inlineStr">
        <is>
          <t>{"id":"resp_048379b50e34669f016a0ee93d77fc819e80bad0ac1b31153c","object":"chat.completion","created":1779362116,"model":"gpt-5.5","choices":[{"index":0,"message":{"role":"assistant","content":"PantsOther Men's Gray/Black 2-in-1 Quick-Dry Stretch Running Pants, Faux Two-Piece Shorts-Leggings, Drawstring Waist, Towel Loop, Phone Pocket, Workout"},"finish_reason":"stop"}],"usage":{"prompt_tokens":917,"completion_tokens":343,"total_tokens":1260}}</t>
        </is>
      </c>
      <c r="M92" t="inlineStr">
        <is>
          <t>{"alt-svc":"h3=\":443\"; ma=2592000","connection":"close","content-length":"446","content-type":"application/json; charset=utf-8","date":"Thu, 21 May 2026 11:15:16 GMT","referrer-policy":"strict-origin-when-cross-origin","server":"Caddy","strict-transport-security":"max-age=31536000; includeSubDomains; preload","vary":"Accept-Encoding","x-content-type-options":"nosniff","x-frame-options":"DENY","x-new-api-version":"v1.0.0-rc.2","x-oneapi-request-id":"202605211115048845796858268d9d6m4ZHu2iV","x-request-id":"d59a110a-f6dc-4381-82ec-c505a558198b"}</t>
        </is>
      </c>
      <c r="N92" t="inlineStr">
        <is>
          <t>PantsOther Men's Gray/Black 2-in-1 Quick-Dry Stretch Running Pants, Faux Two-Piece Shorts-Leggings, Drawstring Waist, Towel Loop, Phone Pocket, Workout</t>
        </is>
      </c>
      <c r="O92" t="inlineStr">
        <is>
          <t>{"id":"resp_068c079f0036a8a2016a0eed2a14d481928cbfc00a7f7bd89f","object":"chat.completion","created":1779363122,"model":"gpt-5.5","choices":[{"index":0,"message":{"role":"assistant","content":"Pants Other kakobuy, Pants Other kakebuy2026, Pants Other kekobuysheet, Pants Other kakobuysheet2026, Pants Other 2026kakobuy, Pants Other kakobuyspreadsheeet, Pants Other kakobuylink, Pants Other kakebuylist, Pants Other Kakobuy MEGA Spreadsheet, Pants Other kakobuysheetfind, Pants Other kakobuysheetfind2026, Pants Other 2026kakobuysheetfind, Pants Other kakobuysheet2026"},"finish_reason":"stop"}],"usage":{"prompt_tokens":811,"completion_tokens":434,"total_tokens":1245}}</t>
        </is>
      </c>
      <c r="P92" t="inlineStr">
        <is>
          <t>Pants Other kakobuy, Pants Other kakebuy2026, Pants Other kekobuysheet, Pants Other kakobuysheet2026, Pants Other 2026kakobuy, Pants Other kakobuyspreadsheeet, Pants Other kakobuylink, Pants Other kakebuylist, Pants Other Kakobuy MEGA Spreadsheet, Pants Other kakobuysheetfind, Pants Other kakobuysheetfind2026, Pants Other 2026kakobuysheetfind, Pants Other kakobuysheet2026</t>
        </is>
      </c>
      <c r="Q92" t="inlineStr">
        <is>
          <t>Men, Gray, Black, Quick Dry, Stretch</t>
        </is>
      </c>
      <c r="R92" t="inlineStr">
        <is>
          <t>recvk9JhrpsKpH</t>
        </is>
      </c>
      <c r="S92" t="inlineStr">
        <is>
          <t>men-gray-black-2in1-quick-dry-running-pants-recvk9JhrpsKpH</t>
        </is>
      </c>
      <c r="T92"/>
      <c r="U92"/>
      <c r="V92"/>
      <c r="W92" t="inlineStr">
        <is>
          <t>{"id":"resp_0fc3187aadc1fe91016a0ee79125e0819d9fd6442b078ad6a5","object":"chat.completion","created":1779361684,"model":"gpt-5.5","choices":[{"index":0,"message":{"role":"assistant","content":"灰黑拼色假两件运动裤，速干弹力面料，抽绳松紧腰，内搭紧身长裤，带毛巾挂袢与手机袋，男士跑步健身训练长裤"},"finish_reason":"stop"}],"usage":{"prompt_tokens":1331,"completion_tokens":117,"total_tokens":1448}}</t>
        </is>
      </c>
      <c r="X92" t="inlineStr">
        <is>
          <t>灰黑拼色假两件运动裤，速干弹力面料，抽绳松紧腰，内搭紧身长裤，带毛巾挂袢与手机袋，男士跑步健身训练长裤</t>
        </is>
      </c>
    </row>
    <row r="93" ht="25.5" customHeight="1">
      <c r="A93">
        <v>1839115443</v>
      </c>
      <c r="B93">
        <v>7768716285</v>
      </c>
      <c r="C93" s="2" t="str">
        <f>=HYPERLINK("https://weidian.com/item.html?itemID=7768716285", "https://weidian.com/item.html?itemID=7768716285")</f>
        <v>https://weidian.com/item.html?itemID=7768716285</v>
      </c>
      <c r="D93"/>
      <c r="E93" s="2" t="str">
        <f>=HYPERLINK("https://si.geilicdn.com/open1839115443-252808396-3a950000019e4451b59c0a23b491_800_800.jpg?w=640&amp;h=640", "https://si.geilicdn.com/open1839115443-252808396-3a950000019e4451b59c0a23b491_800_800.jpg?w=640&amp;h=640")</f>
        <v>https://si.geilicdn.com/open1839115443-252808396-3a950000019e4451b59c0a23b491_800_800.jpg?w=640&amp;h=640</v>
      </c>
      <c r="F93" t="inlineStr">
        <is>
          <t>Pants</t>
        </is>
      </c>
      <c r="G93" t="inlineStr">
        <is>
          <t>Essentials</t>
        </is>
      </c>
      <c r="H93">
        <v>83</v>
      </c>
      <c r="I93">
        <v>12.03</v>
      </c>
      <c r="J93" t="inlineStr">
        <is>
          <t>{"id":"resp_0e9ff7ef48fbd913016a0ee9fe6aa8819d9bfd80773217fcf3","object":"chat.completion","created":1779362310,"model":"gpt-5.5","choices":[{"index":0,"message":{"role":"assistant","content":"PantsEssentials Black Cotton-Blend Drawstring Shorts Unisex"},"finish_reason":"stop"}],"usage":{"prompt_tokens":725,"completion_tokens":413,"total_tokens":1138}}</t>
        </is>
      </c>
      <c r="K93" t="inlineStr">
        <is>
          <t>PantsEssentials Black Cotton-Blend Drawstring Shorts Unisex</t>
        </is>
      </c>
      <c r="L93" t="inlineStr">
        <is>
          <t>{"id":"resp_00783d06a15adb70016a0ee87e7be881a29492c0e42bcd941c","object":"chat.completion","created":1779361921,"model":"gpt-5.5","choices":[{"index":0,"message":{"role":"assistant","content":"PantsEssentials Essentials black cotton-blend shorts, breathable unisex summer streetwear with drawstring elastic waist, pockets, relaxed knee-length fit."},"finish_reason":"stop"}],"usage":{"prompt_tokens":743,"completion_tokens":143,"total_tokens":886}}</t>
        </is>
      </c>
      <c r="M93" t="inlineStr">
        <is>
          <t>{"alt-svc":"h3=\":443\"; ma=2592000","connection":"close","content-length":"448","content-type":"application/json; charset=utf-8","date":"Thu, 21 May 2026 11:12:01 GMT","referrer-policy":"strict-origin-when-cross-origin","server":"nginx/1.24.0 (Ubuntu)","strict-transport-security":"max-age=31536000; includeSubDomains; preload","vary":"Accept-Encoding","via":"1.1 Caddy","x-content-type-options":"nosniff","x-frame-options":"DENY","x-new-api-version":"v1.0.0-rc.2","x-oneapi-request-id":"202605211111578053172998268d9d6iPfxJMY5","x-request-id":"9d401837-2742-46a1-9424-6946592ad070"}</t>
        </is>
      </c>
      <c r="N93" t="inlineStr">
        <is>
          <t>PantsEssentials Essentials black cotton-blend shorts, breathable unisex summer streetwear with drawstring elastic waist, pockets, relaxed knee-length fit.</t>
        </is>
      </c>
      <c r="O93" t="inlineStr">
        <is>
          <t>{"id":"resp_03fe0158cbb398b8016a0eee490ce481a1b361f24b3d8d011a","object":"chat.completion","created":1779363408,"model":"gpt-5.5","choices":[{"index":0,"message":{"role":"assistant","content":"Essentials, Shorts, kakobuy, kakebuy2026, kekobuysheet, kakobuysheet2026, 2026kakobuy, kakobuyspreadsheeet, kakobuylink, kakebuylist, Kakobuy MEGA Spreadsheet, kakobuysheetfind, kakobuysheetfind2026, 2026kakobuysheetfind, kakobuysheet2026"},"finish_reason":"stop"}],"usage":{"prompt_tokens":644,"completion_tokens":383,"total_tokens":1027}}</t>
        </is>
      </c>
      <c r="P93" t="inlineStr">
        <is>
          <t>Essentials, Shorts, kakobuy, kakebuy2026, kekobuysheet, kakobuysheet2026, 2026kakobuy, kakobuyspreadsheeet, kakobuylink, kakebuylist, Kakobuy MEGA Spreadsheet, kakobuysheetfind, kakobuysheetfind2026, 2026kakobuysheetfind, kakobuysheet2026</t>
        </is>
      </c>
      <c r="Q93" t="inlineStr">
        <is>
          <t>Black, Breathable, Summer, Streetwear, Unisex</t>
        </is>
      </c>
      <c r="R93" t="inlineStr">
        <is>
          <t>recvk9Jhrpe5ja</t>
        </is>
      </c>
      <c r="S93" t="inlineStr">
        <is>
          <t>pants-essentials-black-cotton-blend-drawstring-shorts-Unisex-recvk9Jhrpe5ja</t>
        </is>
      </c>
      <c r="T93"/>
      <c r="U93"/>
      <c r="V93"/>
      <c r="W93" t="inlineStr">
        <is>
          <t>{"id":"resp_081bd531389500a3016a0ee6a4e84c81a3b28e00a71b6e5dfb","object":"chat.completion","created":1779361449,"model":"gpt-5.5","choices":[{"index":0,"message":{"role":"assistant","content":"黑色Essentials休闲短裤，棉质混纺舒适透气，抽绳松紧腰与口袋设计，简约街头风男女同款夏季五分裤"},"finish_reason":"stop"}],"usage":{"prompt_tokens":1165,"completion_tokens":188,"total_tokens":1353}}</t>
        </is>
      </c>
      <c r="X93" t="inlineStr">
        <is>
          <t>黑色Essentials休闲短裤，棉质混纺舒适透气，抽绳松紧腰与口袋设计，简约街头风男女同款夏季五分裤</t>
        </is>
      </c>
    </row>
    <row r="94" ht="25.5" customHeight="1">
      <c r="A94">
        <v>1839115443</v>
      </c>
      <c r="B94">
        <v>7771633482</v>
      </c>
      <c r="C94" s="2" t="str">
        <f>=HYPERLINK("https://weidian.com/item.html?itemID=7771633482", "https://weidian.com/item.html?itemID=7771633482")</f>
        <v>https://weidian.com/item.html?itemID=7771633482</v>
      </c>
      <c r="D94"/>
      <c r="E94" s="2" t="str">
        <f>=HYPERLINK("https://si.geilicdn.com/open1839115443-252808396-3d5d0000019e445337510aa08239_1920_1920.jpg?w=750&amp;h=750&amp;cp=1", "https://si.geilicdn.com/open1839115443-252808396-3d5d0000019e445337510aa08239_1920_1920.jpg?w=750&amp;h=750&amp;cp=1")</f>
        <v>https://si.geilicdn.com/open1839115443-252808396-3d5d0000019e445337510aa08239_1920_1920.jpg?w=750&amp;h=750&amp;cp=1</v>
      </c>
      <c r="F94" t="inlineStr">
        <is>
          <t>T-Shirts</t>
        </is>
      </c>
      <c r="G94" t="inlineStr">
        <is>
          <t>Other</t>
        </is>
      </c>
      <c r="H94">
        <v>91</v>
      </c>
      <c r="I94">
        <v>13.1884057971014</v>
      </c>
      <c r="J94" t="inlineStr">
        <is>
          <t>{"id":"resp_0034cbdbc1d4d437016a0eeb258dbc819e895a4d2a23513898","object":"chat.completion","created":1779362605,"model":"gpt-5.5","choices":[{"index":0,"message":{"role":"assistant","content":"Unisex Black Washed Anime Back Print Oversized Y2K Tee"},"finish_reason":"stop"}],"usage":{"prompt_tokens":945,"completion_tokens":388,"total_tokens":1333}}</t>
        </is>
      </c>
      <c r="K94" t="inlineStr">
        <is>
          <t>Unisex Black Washed Anime Back Print Oversized Y2K Tee</t>
        </is>
      </c>
      <c r="L94" t="inlineStr">
        <is>
          <t>{"id":"resp_087bd487a1701599016a0ee981ba108191bb422485749d9f69","object":"chat.completion","created":1779362182,"model":"gpt-5.5","choices":[{"index":0,"message":{"role":"assistant","content":"T-ShirtsOther black vintage washed anime graphic T-shirt, cotton oversized drop-shoulder tee with chest logo, bold back character print, unisex Y2K streetwear."},"finish_reason":"stop"}],"usage":{"prompt_tokens":973,"completion_tokens":134,"total_tokens":1107}}</t>
        </is>
      </c>
      <c r="M94" t="inlineStr">
        <is>
          <t>{"alt-svc":"h3=\":443\"; ma=2592000","connection":"close","content-length":"454","content-type":"application/json; charset=utf-8","date":"Thu, 21 May 2026 11:16:22 GMT","referrer-policy":"strict-origin-when-cross-origin","server":"nginx/1.24.0 (Ubuntu)","strict-transport-security":"max-age=31536000; includeSubDomains; preload","vary":"Accept-Encoding","via":"1.1 Caddy","x-content-type-options":"nosniff","x-frame-options":"DENY","x-new-api-version":"v1.0.0-rc.2","x-oneapi-request-id":"202605211116173289002358268d9d6YPPhCIdU","x-request-id":"770da0cb-b3b5-4395-849e-76e8be18bc05"}</t>
        </is>
      </c>
      <c r="N94" t="inlineStr">
        <is>
          <t>T-ShirtsOther black vintage washed anime graphic T-shirt, cotton oversized drop-shoulder tee with chest logo, bold back character print, unisex Y2K streetwear.</t>
        </is>
      </c>
      <c r="O94" t="inlineStr">
        <is>
          <t>{"id":"resp_027d79a2ae20fbd8016a0eee103cec819dbf482e686c675556","object":"chat.completion","created":1779363350,"model":"gpt-5.5","choices":[{"index":0,"message":{"role":"assistant","content":"Other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kakobuysheet2026"},"finish_reason":"stop"}],"usage":{"prompt_tokens":854,"completion_tokens":285,"total_tokens":1139}}</t>
        </is>
      </c>
      <c r="P94" t="inlineStr">
        <is>
          <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t>
        </is>
      </c>
      <c r="Q94" t="inlineStr">
        <is>
          <t>Black, Vintage, Anime Style, Streetwear, Unisex</t>
        </is>
      </c>
      <c r="R94" t="inlineStr">
        <is>
          <t>recvk9JhrpRpbc</t>
        </is>
      </c>
      <c r="S94" t="inlineStr">
        <is>
          <t>black-washed-anime-back-print-oversized-y2k-tee-recvk9jhrprpbc</t>
        </is>
      </c>
      <c r="T94"/>
      <c r="U94"/>
      <c r="V94"/>
      <c r="W94" t="inlineStr">
        <is>
          <t>{"id":"resp_0c23c9c2af45b21b016a0ee6ba8d94819fb5509247b9ccb71d","object":"chat.completion","created":1779361474,"model":"gpt-5.5","choices":[{"index":0,"message":{"role":"assistant","content":"黑色复古水洗动漫印花短袖T恤，棉质宽松落肩设计，前胸简约Logo、背面大幅热血角色图腾，街头潮流风，男女同款，00年代千禧风格休闲上衣。"},"finish_reason":"stop"}],"usage":{"prompt_tokens":1382,"completion_tokens":395,"total_tokens":1777}}</t>
        </is>
      </c>
      <c r="X94" t="inlineStr">
        <is>
          <t>黑色复古水洗动漫印花短袖T恤，棉质宽松落肩设计，前胸简约Logo、背面大幅热血角色图腾，街头潮流风，男女同款，00年代千禧风格休闲上衣。</t>
        </is>
      </c>
    </row>
    <row r="95" ht="25.5" customHeight="1">
      <c r="A95">
        <v>1839115443</v>
      </c>
      <c r="B95">
        <v>7771642728</v>
      </c>
      <c r="C95" s="2" t="str">
        <f>=HYPERLINK("https://weidian.com/item.html?itemID=7771642728", "https://weidian.com/item.html?itemID=7771642728")</f>
        <v>https://weidian.com/item.html?itemID=7771642728</v>
      </c>
      <c r="D95"/>
      <c r="E95" s="2" t="str">
        <f>=HYPERLINK("https://si.geilicdn.com/open1839115443-252808396-63c10000019e4429af050a23b4de_1920_1920.jpg?w=640&amp;h=640", "https://si.geilicdn.com/open1839115443-252808396-63c10000019e4429af050a23b4de_1920_1920.jpg?w=640&amp;h=640")</f>
        <v>https://si.geilicdn.com/open1839115443-252808396-63c10000019e4429af050a23b4de_1920_1920.jpg?w=640&amp;h=640</v>
      </c>
      <c r="F95" t="inlineStr">
        <is>
          <t>T-Shirts</t>
        </is>
      </c>
      <c r="G95" t="inlineStr">
        <is>
          <t>Gallery Dept.</t>
        </is>
      </c>
      <c r="H95">
        <v>85</v>
      </c>
      <c r="I95">
        <v>12.32</v>
      </c>
      <c r="J95" t="inlineStr">
        <is>
          <t>{"id":"resp_0e6b104b3fe7b876016a0eea9f89cc819caaa9ea6740ff7acd","object":"chat.completion","created":1779362466,"model":"gpt-5.5","choices":[{"index":0,"message":{"role":"assistant","content":"Gallery Dept DEPT de la GALERIE Cotton Logo T-Shirt"},"finish_reason":"stop"}],"usage":{"prompt_tokens":733,"completion_tokens":133,"total_tokens":866}}</t>
        </is>
      </c>
      <c r="K95" t="inlineStr">
        <is>
          <t>Gallery Dept DEPT de la GALERIE Cotton Logo T-Shirt</t>
        </is>
      </c>
      <c r="L95" t="inlineStr">
        <is>
          <t>{"id":"resp_03f833bd2255c798016a0ee93e9dd8819fbe5dd709c8199834","object":"chat.completion","created":1779362116,"model":"gpt-5.5","choices":[{"index":0,"message":{"role":"assistant","content":"Gallery Dept. DÉPT. de la GALERIE Cream Cotton Short Sleeve Tee, Unisex Retro Streetwear, Logo Letter Print, Casual Josué Thomas Design"},"finish_reason":"stop"}],"usage":{"prompt_tokens":764,"completion_tokens":290,"total_tokens":1054}}</t>
        </is>
      </c>
      <c r="M95" t="inlineStr">
        <is>
          <t>{"alt-svc":"h3=\":443\"; ma=2592000","connection":"close","content-length":"432","content-type":"application/json; charset=utf-8","date":"Thu, 21 May 2026 11:15:16 GMT","referrer-policy":"strict-origin-when-cross-origin","server":"Caddy","strict-transport-security":"max-age=31536000; includeSubDomains; preload","vary":"Accept-Encoding","x-content-type-options":"nosniff","x-frame-options":"DENY","x-new-api-version":"v1.0.0-rc.2","x-oneapi-request-id":"202605211115063056156058268d9d6k25QBjmb","x-request-id":"c756db11-54c8-4539-8253-a3cb7cad77c3"}</t>
        </is>
      </c>
      <c r="N95" t="inlineStr">
        <is>
          <t>Gallery Dept. DÉPT. de la GALERIE Cream Cotton Short Sleeve Tee, Unisex Retro Streetwear, Logo Letter Print, Casual Josué Thomas Design</t>
        </is>
      </c>
      <c r="O95" t="inlineStr">
        <is>
          <t>{"id":"resp_0d303092b3e60184016a0eed852b24819c9386a7907cd2edd5","object":"chat.completion","created":1779363209,"model":"gpt-5.5","choices":[{"index":0,"message":{"role":"assistant","content":"Gallery Dept., T-Shirts, kakobuy, kakebuy2026, kekobuysheet, kakobuysheet2026, 2026kakobuy, kakobuyspreadsheeet, kakobuylink, kakebuylist, Kakobuy MEGA Spreadsheet, kakobuysheetfind, kakobuysheetfind2026, 2026kakobuysheetfind, kakobuysheet2026"},"finish_reason":"stop"}],"usage":{"prompt_tokens":644,"completion_tokens":206,"total_tokens":850}}</t>
        </is>
      </c>
      <c r="P95" t="inlineStr">
        <is>
          <t>Gallery Dept., T-Shirts, kakobuy, kakebuy2026, kekobuysheet, kakobuysheet2026, 2026kakobuy, kakobuyspreadsheeet, kakobuylink, kakebuylist, Kakobuy MEGA Spreadsheet, kakobuysheetfind, kakobuysheetfind2026, 2026kakobuysheetfind, kakobuysheet2026</t>
        </is>
      </c>
      <c r="Q95" t="inlineStr">
        <is>
          <t>Unisex, Retro, Streetwear, Cream</t>
        </is>
      </c>
      <c r="R95" t="inlineStr">
        <is>
          <t>recvk9Jhrpbk7X</t>
        </is>
      </c>
      <c r="S95" t="inlineStr">
        <is>
          <t>gallery-dept-cotton-logo-tshirt-recvk9jhrpbk7x</t>
        </is>
      </c>
      <c r="T95"/>
      <c r="U95"/>
      <c r="V95"/>
      <c r="W95" t="inlineStr">
        <is>
          <t>{"id":"resp_0e871359551217b7016a0ee7b66f94819dabe0b835ca52f8fa","object":"chat.completion","created":1779361729,"model":"gpt-5.5","choices":[{"index":0,"message":{"role":"assistant","content":"【Gallery Dept.】：DÉPT. de la GALERIE奶油米白短袖T恤，纯棉面料，正面字母标语印花设计，复古街头风，男女同款，2020年代Josué Thomas设计，休闲潮流上衣。"},"finish_reason":"stop"}],"usage":{"prompt_tokens":1169,"completion_tokens":587,"total_tokens":1756}}</t>
        </is>
      </c>
      <c r="X95" t="inlineStr">
        <is>
          <t>【Gallery Dept.】：DÉPT. de la GALERIE奶油米白短袖T恤，纯棉面料，正面字母标语印花设计，复古街头风，男女同款，2020年代Josué Thomas设计，休闲潮流上衣。</t>
        </is>
      </c>
    </row>
    <row r="96" ht="25.5" customHeight="1">
      <c r="A96">
        <v>1839115443</v>
      </c>
      <c r="B96">
        <v>7771638362</v>
      </c>
      <c r="C96" s="2" t="str">
        <f>=HYPERLINK("https://weidian.com/item.html?itemID=7771638362", "https://weidian.com/item.html?itemID=7771638362")</f>
        <v>https://weidian.com/item.html?itemID=7771638362</v>
      </c>
      <c r="D96"/>
      <c r="E96" s="2" t="str">
        <f>=HYPERLINK("https://si.geilicdn.com/open1839115443-252808396-624d0000019e442816f90a23b4de_800_800.jpg?w=640&amp;h=640", "https://si.geilicdn.com/open1839115443-252808396-624d0000019e442816f90a23b4de_800_800.jpg?w=640&amp;h=640")</f>
        <v>https://si.geilicdn.com/open1839115443-252808396-624d0000019e442816f90a23b4de_800_800.jpg?w=640&amp;h=640</v>
      </c>
      <c r="F96" t="inlineStr">
        <is>
          <t>T-Shirts</t>
        </is>
      </c>
      <c r="G96" t="inlineStr">
        <is>
          <t>A Bathing App</t>
        </is>
      </c>
      <c r="H96">
        <v>95</v>
      </c>
      <c r="I96">
        <v>13.77</v>
      </c>
      <c r="J96" t="inlineStr">
        <is>
          <t>{"id":"resp_0403e35d0febbf47016a0eec1a475881a1b5045fdb05470dfb","object":"chat.completion","created":1779362848,"model":"gpt-5.5","choices":[{"index":0,"message":{"role":"assistant","content":"A Bathing Ape BAPE Baby Milo White Graphic T-Shirt"},"finish_reason":"stop"}],"usage":{"prompt_tokens":724,"completion_tokens":228,"total_tokens":952}}</t>
        </is>
      </c>
      <c r="K96" t="inlineStr">
        <is>
          <t>A Bathing Ape BAPE Baby Milo White Graphic T-Shirt</t>
        </is>
      </c>
      <c r="L96" t="inlineStr">
        <is>
          <t>{"id":"resp_0741ec0c0dce2b44016a0ee97cbb9481a2ba32fcd7e33e198d","object":"chat.completion","created":1779362177,"model":"gpt-5.5","choices":[{"index":0,"message":{"role":"assistant","content":"A Bathing Ape BAPE White Cotton Short Sleeve T-Shirt, Colorful Letters &amp; Baby Milo Ape Graphic, Unisex Casual Streetwear Top"},"finish_reason":"stop"}],"usage":{"prompt_tokens":742,"completion_tokens":220,"total_tokens":962}}</t>
        </is>
      </c>
      <c r="M96" t="inlineStr">
        <is>
          <t>{"alt-svc":"h3=\":443\"; ma=2592000","connection":"close","content-length":"423","content-type":"application/json; charset=utf-8","date":"Thu, 21 May 2026 11:16:17 GMT","referrer-policy":"strict-origin-when-cross-origin","server":"Caddy","strict-transport-security":"max-age=31536000; includeSubDomains; preload","vary":"Accept-Encoding","x-content-type-options":"nosniff","x-frame-options":"DENY","x-new-api-version":"v1.0.0-rc.2","x-oneapi-request-id":"202605211116123291224188268d9d6XALqncPh","x-request-id":"5b06798e-632a-446a-b576-33b68388a1e3"}</t>
        </is>
      </c>
      <c r="N96" t="inlineStr">
        <is>
          <t>A Bathing Ape BAPE White Cotton Short Sleeve T-Shirt, Colorful Letters &amp; Baby Milo Ape Graphic, Unisex Casual Streetwear Top</t>
        </is>
      </c>
      <c r="O96" t="inlineStr">
        <is>
          <t>{"id":"resp_02ccba064852263d016a0eed6422fc819e8b813e7828d60407","object":"chat.completion","created":1779363180,"model":"gpt-5.5","choices":[{"index":0,"message":{"role":"assistant","content":"BAPE, T-Shirts, kakobuy, kakebuy2026, kekobuysheet, kakobuysheet2026, 2026kakobuy, kakobuyspreadsheeet, kakobuylink, kakebuylist, Kakobuy MEGA Spreadsheet, kakobuysheetfind, kakobuysheetfind2026, 2026kakobuysheetfind, kakobuysheet2026"},"finish_reason":"stop"}],"usage":{"prompt_tokens":646,"completion_tokens":443,"total_tokens":1089}}</t>
        </is>
      </c>
      <c r="P96" t="inlineStr">
        <is>
          <t>BAPE, T-Shirts, kakobuy, kakebuy2026, kekobuysheet, kakobuysheet2026, 2026kakobuy, kakobuyspreadsheeet, kakobuylink, kakebuylist, Kakobuy MEGA Spreadsheet, kakobuysheetfind, kakobuysheetfind2026, 2026kakobuysheetfind, kakobuysheet2026</t>
        </is>
      </c>
      <c r="Q96" t="inlineStr">
        <is>
          <t>BAPE, White, Streetwear, Unisex</t>
        </is>
      </c>
      <c r="R96" t="inlineStr">
        <is>
          <t>recvk9JhrpMXhk</t>
        </is>
      </c>
      <c r="S96" t="inlineStr">
        <is>
          <t>bape-baby-milo-white-graphic-tshirt-recvk9jhrpmxhk</t>
        </is>
      </c>
      <c r="T96"/>
      <c r="U96"/>
      <c r="V96"/>
      <c r="W96" t="inlineStr">
        <is>
          <t>{"id":"resp_00b4d693993168c2016a0ee722669c819c952fe993d014182c","object":"chat.completion","created":1779361573,"model":"gpt-5.5","choices":[{"index":0,"message":{"role":"assistant","content":"日系潮牌 A Bathing Ape 白色纯棉短袖T恤，彩色字母与Baby Milo猿人图案，休闲街头风男女同款上衣"},"finish_reason":"stop"}],"usage":{"prompt_tokens":1167,"completion_tokens":128,"total_tokens":1295}}</t>
        </is>
      </c>
      <c r="X96" t="inlineStr">
        <is>
          <t>日系潮牌 A Bathing Ape 白色纯棉短袖T恤，彩色字母与Baby Milo猿人图案，休闲街头风男女同款上衣</t>
        </is>
      </c>
    </row>
    <row r="97" ht="25.5" customHeight="1">
      <c r="A97">
        <v>1839115443</v>
      </c>
      <c r="B97">
        <v>7771672340</v>
      </c>
      <c r="C97" s="2" t="str">
        <f>=HYPERLINK("https://weidian.com/item.html?itemID=7771672340", "https://weidian.com/item.html?itemID=7771672340")</f>
        <v>https://weidian.com/item.html?itemID=7771672340</v>
      </c>
      <c r="D97"/>
      <c r="E97" s="2" t="str">
        <f>=HYPERLINK("https://si.geilicdn.com/open1839115443-252808396-6bcd0000019e4433677c0a231226_720_720.jpg?w=640&amp;h=640", "https://si.geilicdn.com/open1839115443-252808396-6bcd0000019e4433677c0a231226_720_720.jpg?w=640&amp;h=640")</f>
        <v>https://si.geilicdn.com/open1839115443-252808396-6bcd0000019e4433677c0a231226_720_720.jpg?w=640&amp;h=640</v>
      </c>
      <c r="F97" t="inlineStr">
        <is>
          <t>T-Shirts</t>
        </is>
      </c>
      <c r="G97" t="inlineStr">
        <is>
          <t>Stussy</t>
        </is>
      </c>
      <c r="H97">
        <v>91</v>
      </c>
      <c r="I97">
        <v>13.19</v>
      </c>
      <c r="J97" t="inlineStr">
        <is>
          <t>{"id":"resp_0351380660515470016a0eec3adea081a199b06cc0f82c36f4","object":"chat.completion","created":1779362880,"model":"gpt-5.5","choices":[{"index":0,"message":{"role":"assistant","content":"Stussy Black Cotton Oversized Tee Pink Crystal Logo"},"finish_reason":"stop"}],"usage":{"prompt_tokens":724,"completion_tokens":266,"total_tokens":990}}</t>
        </is>
      </c>
      <c r="K97" t="inlineStr">
        <is>
          <t>Stussy Black Cotton Oversized Tee Pink Crystal Logo</t>
        </is>
      </c>
      <c r="L97" t="inlineStr">
        <is>
          <t>{"id":"resp_0a5f836902830c1a016a0ee8d2b5a081a389e39f78df9dfb86","object":"chat.completion","created":1779362005,"model":"gpt-5.5","choices":[{"index":0,"message":{"role":"assistant","content":"Stussy black short sleeve T-shirt, cotton oversized streetwear fit, back white logo and pink crystal graphic, unisex 2021 fashion tee"},"finish_reason":"stop"}],"usage":{"prompt_tokens":742,"completion_tokens":86,"total_tokens":828}}</t>
        </is>
      </c>
      <c r="M97" t="inlineStr">
        <is>
          <t>{"alt-svc":"h3=\":443\"; ma=2592000","connection":"close","content-length":"426","content-type":"application/json; charset=utf-8","date":"Thu, 21 May 2026 11:13:25 GMT","referrer-policy":"strict-origin-when-cross-origin","server":"nginx/1.24.0 (Ubuntu)","strict-transport-security":"max-age=31536000; includeSubDomains; preload","vary":"Accept-Encoding","via":"1.1 Caddy","x-content-type-options":"nosniff","x-frame-options":"DENY","x-new-api-version":"v1.0.0-rc.2","x-oneapi-request-id":"20260521111322927451158268d9d6xE8y9ykN","x-request-id":"2747fcdb-7096-45be-a1df-bb45ec1950b1"}</t>
        </is>
      </c>
      <c r="N97" t="inlineStr">
        <is>
          <t>Stussy black short sleeve T-shirt, cotton oversized streetwear fit, back white logo and pink crystal graphic, unisex 2021 fashion tee</t>
        </is>
      </c>
      <c r="O97" t="inlineStr">
        <is>
          <t>{"id":"resp_0dc381098a85bbee016a0eed5719d481a0931be0075b016e51","object":"chat.completion","created":1779363164,"model":"gpt-5.5","choices":[{"index":0,"message":{"role":"assistant","content":"Stussy, T-Shirts, kakobuy, kakebuy2026, kekobuysheet, kakobuysheet2026, 2026kakobuy, kakobuyspreadsheeet, kakobuylink, kakebuylist, Kakobuy MEGA Spreadsheet, kakobuysheetfind, kakobuysheetfind2026, 2026kakobuysheetfind, kakobuysheet2026"},"finish_reason":"stop"}],"usage":{"prompt_tokens":644,"completion_tokens":210,"total_tokens":854}}</t>
        </is>
      </c>
      <c r="P97" t="inlineStr">
        <is>
          <t>Stussy, T-Shirts, kakobuy, kakebuy2026, kekobuysheet, kakobuysheet2026, 2026kakobuy, kakobuyspreadsheeet, kakobuylink, kakebuylist, Kakobuy MEGA Spreadsheet, kakobuysheetfind, kakobuysheetfind2026, 2026kakobuysheetfind, kakobuysheet2026</t>
        </is>
      </c>
      <c r="Q97" t="inlineStr">
        <is>
          <t>Stussy, Black, Streetwear, Unisex, Fashion</t>
        </is>
      </c>
      <c r="R97" t="inlineStr">
        <is>
          <t>recvk9JhrpMzJm</t>
        </is>
      </c>
      <c r="S97" t="inlineStr">
        <is>
          <t>stussy-black-cotton-oversized-tee-pink-crystal-logo-recvk9jhrpmzjjm</t>
        </is>
      </c>
      <c r="T97"/>
      <c r="U97"/>
      <c r="V97"/>
      <c r="W97" t="inlineStr">
        <is>
          <t>{"id":"resp_0f4bf12dce5e7cd3016a0ee7094f2081a28ec952027ab311eb","object":"chat.completion","created":1779361548,"model":"gpt-5.5","choices":[{"index":0,"message":{"role":"assistant","content":"斯图西Stussy黑色短袖T恤，棉质街头宽松版，背面白色Logo与粉色水晶图腾，男女同款2021潮牌上衣"},"finish_reason":"stop"}],"usage":{"prompt_tokens":1163,"completion_tokens":135,"total_tokens":1298}}</t>
        </is>
      </c>
      <c r="X97" t="inlineStr">
        <is>
          <t>斯图西Stussy黑色短袖T恤，棉质街头宽松版，背面白色Logo与粉色水晶图腾，男女同款2021潮牌上衣</t>
        </is>
      </c>
    </row>
    <row r="98" ht="25.5" customHeight="1">
      <c r="A98">
        <v>1839115443</v>
      </c>
      <c r="B98">
        <v>7771670450</v>
      </c>
      <c r="C98" s="2" t="str">
        <f>=HYPERLINK("https://weidian.com/item.html?itemID=7771670450", "https://weidian.com/item.html?itemID=7771670450")</f>
        <v>https://weidian.com/item.html?itemID=7771670450</v>
      </c>
      <c r="D98"/>
      <c r="E98" s="2" t="str">
        <f>=HYPERLINK("https://si.geilicdn.com/open1839115443-252808396-726b0000019e4433e7380a23b4de_1080_1080.jpg?w=640&amp;h=640", "https://si.geilicdn.com/open1839115443-252808396-726b0000019e4433e7380a23b4de_1080_1080.jpg?w=640&amp;h=640")</f>
        <v>https://si.geilicdn.com/open1839115443-252808396-726b0000019e4433e7380a23b4de_1080_1080.jpg?w=640&amp;h=640</v>
      </c>
      <c r="F98" t="inlineStr">
        <is>
          <t>T-Shirts</t>
        </is>
      </c>
      <c r="G98" t="inlineStr">
        <is>
          <t>Balenciaga</t>
        </is>
      </c>
      <c r="H98">
        <v>91</v>
      </c>
      <c r="I98">
        <v>13.19</v>
      </c>
      <c r="J98" t="inlineStr">
        <is>
          <t>{"id":"resp_0d2854a90b681a1c016a0eeaa1332c819fa27e81f695acb2a2","object":"chat.completion","created":1779362493,"model":"gpt-5.5","choices":[{"index":0,"message":{"role":"assistant","content":"Balenciaga Black Cotton Varsity 01 G Logo T-Shirt"},"finish_reason":"stop"}],"usage":{"prompt_tokens":740,"completion_tokens":1549,"total_tokens":2289}}</t>
        </is>
      </c>
      <c r="K98" t="inlineStr">
        <is>
          <t>Balenciaga Black Cotton Varsity 01 G Logo T-Shirt</t>
        </is>
      </c>
      <c r="L98" t="inlineStr">
        <is>
          <t>{"id":"resp_0cee419076885144016a0ee967663c8191b9414159a5296d89","object":"chat.completion","created":1779362154,"model":"gpt-5.5","choices":[{"index":0,"message":{"role":"assistant","content":"Balenciaga black cotton crew neck T-shirt with varsity BALENCIAGA 01 and G logo print, Demna 2020s unisex streetwear short sleeve casual top."},"finish_reason":"stop"}],"usage":{"prompt_tokens":761,"completion_tokens":114,"total_tokens":875}}</t>
        </is>
      </c>
      <c r="M98" t="inlineStr">
        <is>
          <t>{"alt-svc":"h3=\":443\"; ma=2592000","connection":"close","content-length":"435","content-type":"application/json; charset=utf-8","date":"Thu, 21 May 2026 11:15:54 GMT","referrer-policy":"strict-origin-when-cross-origin","server":"nginx/1.24.0 (Ubuntu)","strict-transport-security":"max-age=31536000; includeSubDomains; preload","vary":"Accept-Encoding","via":"1.1 Caddy","x-content-type-options":"nosniff","x-frame-options":"DENY","x-new-api-version":"v1.0.0-rc.2","x-oneapi-request-id":"202605211115456661278328268d9d63hpmnt9K","x-request-id":"7c766d9e-2b6f-4655-833a-41a2159f9499"}</t>
        </is>
      </c>
      <c r="N98" t="inlineStr">
        <is>
          <t>Balenciaga black cotton crew neck T-shirt with varsity BALENCIAGA 01 and G logo print, Demna 2020s unisex streetwear short sleeve casual top.</t>
        </is>
      </c>
      <c r="O98" t="inlineStr">
        <is>
          <t>{"id":"resp_02968d527088bf87016a0eee9c7e04819f814580fa7269e4f8","object":"chat.completion","created":1779363492,"model":"gpt-5.5","choices":[{"index":0,"message":{"role":"assistant","content":"Balenciaga,T-Shirts,kakobuy,kakebuy2026,kekobuysheet,kakobuysheet2026,2026kakobuy,kakobuyspreadsheeet,kakobuylink,kakebuylist,Kakobuy MEGA Spreadsheet,kakobuysheetfind,kakobuysheetfind2026,2026kakobuysheetfind,kakobuysheet2026"},"finish_reason":"stop"}],"usage":{"prompt_tokens":645,"completion_tokens":387,"total_tokens":1032}}</t>
        </is>
      </c>
      <c r="P98" t="inlineStr">
        <is>
          <t>Balenciaga,T-Shirts,kakobuy,kakebuy2026,kekobuysheet,kakobuysheet2026,2026kakobuy,kakobuyspreadsheeet,kakobuylink,kakebuylist,Kakobuy MEGA Spreadsheet,kakobuysheetfind,kakobuysheetfind2026,2026kakobuysheetfind,kakobuysheet2026</t>
        </is>
      </c>
      <c r="Q98" t="inlineStr">
        <is>
          <t>Balenciaga, Black, Streetwear, Unisex</t>
        </is>
      </c>
      <c r="R98" t="inlineStr">
        <is>
          <t>recvk9Jhrp9qNs</t>
        </is>
      </c>
      <c r="S98" t="inlineStr">
        <is>
          <t>balenciaga-black-cotton-varsity-01-g-logo-t-shirt-recvk9jhrp9qns</t>
        </is>
      </c>
      <c r="T98"/>
      <c r="U98"/>
      <c r="V98"/>
      <c r="W98" t="inlineStr">
        <is>
          <t>{"id":"resp_051170aaa2dd7fba016a0ee7a6c6dc8191859c7616370dea2a","object":"chat.completion","created":1779361710,"model":"gpt-5.5","choices":[{"index":0,"message":{"role":"assistant","content":"Balenciaga：黑色纯棉圆领T恤，胸前学院风BALENCIAGA 01字样与G图腾印花，简约街头风，男女通用，2020年代Demna设计，休闲百搭短袖上衣。"},"finish_reason":"stop"}],"usage":{"prompt_tokens":1171,"completion_tokens":315,"total_tokens":1486}}</t>
        </is>
      </c>
      <c r="X98" t="inlineStr">
        <is>
          <t>Balenciaga：黑色纯棉圆领T恤，胸前学院风BALENCIAGA 01字样与G图腾印花，简约街头风，男女通用，2020年代Demna设计，休闲百搭短袖上衣。</t>
        </is>
      </c>
    </row>
    <row r="99" ht="25.5" customHeight="1">
      <c r="A99">
        <v>1839115443</v>
      </c>
      <c r="B99">
        <v>7771701730</v>
      </c>
      <c r="C99" s="2" t="str">
        <f>=HYPERLINK("https://weidian.com/item.html?itemID=7771701730", "https://weidian.com/item.html?itemID=7771701730")</f>
        <v>https://weidian.com/item.html?itemID=7771701730</v>
      </c>
      <c r="D99"/>
      <c r="E99" s="2" t="str">
        <f>=HYPERLINK("https://si.geilicdn.com/open1839115443-252808396-6c430000019e4433aeb90a231226_1440_1440.jpg?w=640&amp;h=640", "https://si.geilicdn.com/open1839115443-252808396-6c430000019e4433aeb90a231226_1440_1440.jpg?w=640&amp;h=640")</f>
        <v>https://si.geilicdn.com/open1839115443-252808396-6c430000019e4433aeb90a231226_1440_1440.jpg?w=640&amp;h=640</v>
      </c>
      <c r="F99" t="inlineStr">
        <is>
          <t>T-Shirts</t>
        </is>
      </c>
      <c r="G99" t="inlineStr">
        <is>
          <t>Balenciaga</t>
        </is>
      </c>
      <c r="H99">
        <v>91</v>
      </c>
      <c r="I99">
        <v>13.19</v>
      </c>
      <c r="J99" t="inlineStr">
        <is>
          <t>{"id":"resp_0c92662d77cb6150016a0ee9fdbaa881918dae4aced2b0b622","object":"chat.completion","created":1779362304,"model":"gpt-5.5","choices":[{"index":0,"message":{"role":"assistant","content":"Balenciaga Pink Oversized Gothic Cathedral T-Shirt"},"finish_reason":"stop"}],"usage":{"prompt_tokens":713,"completion_tokens":124,"total_tokens":837}}</t>
        </is>
      </c>
      <c r="K99" t="inlineStr">
        <is>
          <t>Balenciaga Pink Oversized Gothic Cathedral T-Shirt</t>
        </is>
      </c>
      <c r="L99" t="inlineStr">
        <is>
          <t>{"id":"resp_07fb4bb1eadabf1d016a0ee9526534819cabdb3e8662f03b96","object":"chat.completion","created":1779362133,"model":"gpt-5.5","choices":[{"index":0,"message":{"role":"assistant","content":"Balenciaga pink oversized cotton T-shirt with gothic logo and cathedral graphic, unisex streetwear rock short sleeve top"},"finish_reason":"stop"}],"usage":{"prompt_tokens":747,"completion_tokens":145,"total_tokens":892}}</t>
        </is>
      </c>
      <c r="M99" t="inlineStr">
        <is>
          <t>{"alt-svc":"h3=\":443\"; ma=2592000","connection":"close","content-length":"414","content-type":"application/json; charset=utf-8","date":"Thu, 21 May 2026 11:15:33 GMT","referrer-policy":"strict-origin-when-cross-origin","server":"Caddy","strict-transport-security":"max-age=31536000; includeSubDomains; preload","vary":"Accept-Encoding","x-content-type-options":"nosniff","x-frame-options":"DENY","x-new-api-version":"v1.0.0-rc.2","x-oneapi-request-id":"202605211115262822943258268d9d6MVMLwLQs","x-request-id":"ce5c5639-9b94-4811-a585-75912e4061ab"}</t>
        </is>
      </c>
      <c r="N99" t="inlineStr">
        <is>
          <t>Balenciaga pink oversized cotton T-shirt with gothic logo and cathedral graphic, unisex streetwear rock short sleeve top</t>
        </is>
      </c>
      <c r="O99" t="inlineStr">
        <is>
          <t>{"id":"resp_0be4344764a7561e016a0eee5e6de481a0923832fa09f590bb","object":"chat.completion","created":1779363429,"model":"gpt-5.5","choices":[{"index":0,"message":{"role":"assistant","content":"Balenciaga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kakobuysheet2026"},"finish_reason":"stop"}],"usage":{"prompt_tokens":645,"completion_tokens":309,"total_tokens":954}}</t>
        </is>
      </c>
      <c r="P99"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99" t="inlineStr">
        <is>
          <t>Balenciaga, Pink, Unisex, Streetwear, Gothic, Summer</t>
        </is>
      </c>
      <c r="R99" t="inlineStr">
        <is>
          <t>recvk9JhrpLROq</t>
        </is>
      </c>
      <c r="S99" t="inlineStr">
        <is>
          <t>balenciaga-pink-oversized-gothic-cathedral-t-shirt-recvk9jhrplroq</t>
        </is>
      </c>
      <c r="T99"/>
      <c r="U99"/>
      <c r="V99"/>
      <c r="W99" t="inlineStr">
        <is>
          <t>{"id":"resp_0d2eb8231d4db58c016a0ee76f2f9481a19564bf1b72811f78","object":"chat.completion","created":1779361650,"model":"gpt-5.5","choices":[{"index":0,"message":{"role":"assistant","content":"巴黎世家 Balenciaga 粉色廓形短袖T恤，棉质面料，哥特字母与教堂图腾印花，中性街头摇滚风男女同款上衣"},"finish_reason":"stop"}],"usage":{"prompt_tokens":1167,"completion_tokens":140,"total_tokens":1307}}</t>
        </is>
      </c>
      <c r="X99" t="inlineStr">
        <is>
          <t>巴黎世家 Balenciaga 粉色廓形短袖T恤，棉质面料，哥特字母与教堂图腾印花，中性街头摇滚风男女同款上衣</t>
        </is>
      </c>
    </row>
    <row r="100" ht="25.5" customHeight="1">
      <c r="A100">
        <v>1839115443</v>
      </c>
      <c r="B100">
        <v>7771615430</v>
      </c>
      <c r="C100" s="2" t="str">
        <f>=HYPERLINK("https://weidian.com/item.html?itemID=7771615430", "https://weidian.com/item.html?itemID=7771615430")</f>
        <v>https://weidian.com/item.html?itemID=7771615430</v>
      </c>
      <c r="D100"/>
      <c r="E100" s="2" t="str">
        <f>=HYPERLINK("https://si.geilicdn.com/open1839115443-252808396-03660000019e443b27dd0a231226_800_800.jpg?w=640&amp;h=640", "https://si.geilicdn.com/open1839115443-252808396-03660000019e443b27dd0a231226_800_800.jpg?w=640&amp;h=640")</f>
        <v>https://si.geilicdn.com/open1839115443-252808396-03660000019e443b27dd0a231226_800_800.jpg?w=640&amp;h=640</v>
      </c>
      <c r="F100" t="inlineStr">
        <is>
          <t>T-Shirts</t>
        </is>
      </c>
      <c r="G100" t="inlineStr">
        <is>
          <t>Off White</t>
        </is>
      </c>
      <c r="H100">
        <v>103</v>
      </c>
      <c r="I100">
        <v>14.93</v>
      </c>
      <c r="J100" t="inlineStr">
        <is>
          <t>{"id":"resp_053e0c3f1b43b25b016a0eebe807c881a0a83a91a728223881","object":"chat.completion","created":1779362814,"model":"gpt-5.5","choices":[{"index":0,"message":{"role":"assistant","content":"Off-White Black Cotton Blue-White Back Print Oversized Tee"},"finish_reason":"stop"}],"usage":{"prompt_tokens":727,"completion_tokens":1222,"total_tokens":1949}}</t>
        </is>
      </c>
      <c r="K100" t="inlineStr">
        <is>
          <t>Off-White Black Cotton Blue-White Back Print Oversized Tee</t>
        </is>
      </c>
      <c r="L100" t="inlineStr">
        <is>
          <t>{"id":"resp_0beb25179f273c49016a0ee9906e8881a287616b8b87a708cd","object":"chat.completion","created":1779362195,"model":"gpt-5.5","choices":[{"index":0,"message":{"role":"assistant","content":"Off White black cotton T-shirt, Virgil Abloh style, blue white gradient arrow back print, oversized unisex streetwear tee, casual loose fit."},"finish_reason":"stop"}],"usage":{"prompt_tokens":753,"completion_tokens":94,"total_tokens":847}}</t>
        </is>
      </c>
      <c r="M100" t="inlineStr">
        <is>
          <t>{"alt-svc":"h3=\":443\"; ma=2592000","connection":"close","content-length":"433","content-type":"application/json; charset=utf-8","date":"Thu, 21 May 2026 11:16:35 GMT","referrer-policy":"strict-origin-when-cross-origin","server":"Caddy","strict-transport-security":"max-age=31536000; includeSubDomains; preload","vary":"Accept-Encoding","x-content-type-options":"nosniff","x-frame-options":"DENY","x-new-api-version":"v1.0.0-rc.2","x-oneapi-request-id":"202605211116319921635338268d9d68uVdLezI","x-request-id":"150a8358-fd92-459b-b2d9-a17bd04989a2"}</t>
        </is>
      </c>
      <c r="N100" t="inlineStr">
        <is>
          <t>Off White black cotton T-shirt, Virgil Abloh style, blue white gradient arrow back print, oversized unisex streetwear tee, casual loose fit.</t>
        </is>
      </c>
      <c r="O100" t="inlineStr">
        <is>
          <t>{"id":"resp_0f3863cb750554f6016a0eee862e28819d835e66c6d8fbc7f1","object":"chat.completion","created":1779363468,"model":"gpt-5.5","choices":[{"index":0,"message":{"role":"assistant","content":"Off White,T-Shirts,kakobuy,Off White,T-Shirts,kakebuy2026,Off White,T-Shirts,kekobuysheet,Off White,T-Shirts,kakobuysheet2026,Off White,T-Shirts,2026kakobuy,Off White,T-Shirts,kakobuyspreadsheeet,Off White,T-Shirts,kakobuylink,Off White,T-Shirts,kakebuylist,Off White,T-Shirts,Kakobuy MEGA Spreadsheet,Off White,T-Shirts,kakobuysheetfind,Off White,T-Shirts,kakobuysheetfind2026,Off White,T-Shirts,2026kakobuysheetfind,Off White,T-Shirts,kakobuysheet2026"},"finish_reason":"stop"}],"usage":{"prompt_tokens":644,"completion_tokens":320,"total_tokens":964}}</t>
        </is>
      </c>
      <c r="P100" t="inlineStr">
        <is>
          <t>Off White,T-Shirts,kakobuy,Off White,T-Shirts,kakebuy2026,Off White,T-Shirts,kekobuysheet,Off White,T-Shirts,kakobuysheet2026,Off White,T-Shirts,2026kakobuy,Off White,T-Shirts,kakobuyspreadsheeet,Off White,T-Shirts,kakobuylink,Off White,T-Shirts,kakebuylist,Off White,T-Shirts,Kakobuy MEGA Spreadsheet,Off White,T-Shirts,kakobuysheetfind,Off White,T-Shirts,kakobuysheetfind2026,Off White,T-Shirts,2026kakobuysheetfind,Off White,T-Shirts,kakobuysheet2026</t>
        </is>
      </c>
      <c r="Q100" t="inlineStr">
        <is>
          <t>Off-White, Black, Streetwear, Unisex</t>
        </is>
      </c>
      <c r="R100" t="inlineStr">
        <is>
          <t>recvk9JhrpVbg9</t>
        </is>
      </c>
      <c r="S100" t="inlineStr">
        <is>
          <t>off-white-black-cotton-blue-white-print-tee-recvk9jhrpvbg9</t>
        </is>
      </c>
      <c r="T100"/>
      <c r="U100"/>
      <c r="V100"/>
      <c r="W100" t="inlineStr">
        <is>
          <t>{"id":"resp_08e05a7aabc44caf016a0ee6f6efe481a29537b7185076bf03","object":"chat.completion","created":1779361536,"model":"gpt-5.5","choices":[{"index":0,"message":{"role":"assistant","content":"黑色Off White印花短袖T恤，棉质面料，背面蓝白渐变箭头图腾，大廓形宽松设计，街头潮流风格，男女同款，Virgil Abloh设计，休闲百搭。"},"finish_reason":"stop"}],"usage":{"prompt_tokens":1159,"completion_tokens":346,"total_tokens":1505}}</t>
        </is>
      </c>
      <c r="X100" t="inlineStr">
        <is>
          <t>黑色Off White印花短袖T恤，棉质面料，背面蓝白渐变箭头图腾，大廓形宽松设计，街头潮流风格，男女同款，Virgil Abloh设计，休闲百搭。</t>
        </is>
      </c>
    </row>
    <row r="101" ht="25.5" customHeight="1">
      <c r="A101">
        <v>1839115443</v>
      </c>
      <c r="B101">
        <v>7771501496</v>
      </c>
      <c r="C101" s="2" t="str">
        <f>=HYPERLINK("https://weidian.com/item.html?itemID=7771501496", "https://weidian.com/item.html?itemID=7771501496")</f>
        <v>https://weidian.com/item.html?itemID=7771501496</v>
      </c>
      <c r="D101"/>
      <c r="E101" s="2" t="str">
        <f>=HYPERLINK("https://si.geilicdn.com/open1839115443-252808396-08150000019e443c28450aa08239_1920_1920.jpg?w=640&amp;h=640", "https://si.geilicdn.com/open1839115443-252808396-08150000019e443c28450aa08239_1920_1920.jpg?w=640&amp;h=640")</f>
        <v>https://si.geilicdn.com/open1839115443-252808396-08150000019e443c28450aa08239_1920_1920.jpg?w=640&amp;h=640</v>
      </c>
      <c r="F101" t="inlineStr">
        <is>
          <t>T-Shirts</t>
        </is>
      </c>
      <c r="G101" t="inlineStr">
        <is>
          <t>Casablanca</t>
        </is>
      </c>
      <c r="H101">
        <v>103</v>
      </c>
      <c r="I101">
        <v>14.93</v>
      </c>
      <c r="J101" t="inlineStr">
        <is>
          <t>{"id":"resp_0313c8dcb5f020de016a0eebf981b481a2a7d091f4b1dcc949","object":"chat.completion","created":1779362812,"model":"gpt-5.5","choices":[{"index":0,"message":{"role":"assistant","content":"Casablanca Black Cotton Arch Graphic T-Shirt Unisex Tee"},"finish_reason":"stop"}],"usage":{"prompt_tokens":722,"completion_tokens":142,"total_tokens":864}}</t>
        </is>
      </c>
      <c r="K101" t="inlineStr">
        <is>
          <t>Casablanca Black Cotton Arch Graphic T-Shirt Unisex Tee</t>
        </is>
      </c>
      <c r="L101" t="inlineStr">
        <is>
          <t>{"id":"resp_0c68115b27bdb816016a0ee885f58c819e8faafcaa4886c12f","object":"chat.completion","created":1779361932,"model":"gpt-5.5","choices":[{"index":0,"message":{"role":"assistant","content":"Casablanca Black Cotton T-Shirt, Colorful Arch Graphic Tee, Retro Streetwear Unisex Crew Neck Short Sleeve Top, Breathable Designer Style"},"finish_reason":"stop"}],"usage":{"prompt_tokens":755,"completion_tokens":191,"total_tokens":946}}</t>
        </is>
      </c>
      <c r="M101" t="inlineStr">
        <is>
          <t>{"alt-svc":"h3=\":443\"; ma=2592000","connection":"close","content-length":"431","content-type":"application/json; charset=utf-8","date":"Thu, 21 May 2026 11:12:12 GMT","referrer-policy":"strict-origin-when-cross-origin","server":"Caddy","strict-transport-security":"max-age=31536000; includeSubDomains; preload","vary":"Accept-Encoding","x-content-type-options":"nosniff","x-frame-options":"DENY","x-new-api-version":"v1.0.0-rc.2","x-oneapi-request-id":"202605211112052894967108268d9d6aNMhaRic","x-request-id":"e74bab76-7a65-44dd-8aa7-1ed81b5d062f"}</t>
        </is>
      </c>
      <c r="N101" t="inlineStr">
        <is>
          <t>Casablanca Black Cotton T-Shirt, Colorful Arch Graphic Tee, Retro Streetwear Unisex Crew Neck Short Sleeve Top, Breathable Designer Style</t>
        </is>
      </c>
      <c r="O101" t="inlineStr">
        <is>
          <t>{"id":"resp_0d4ec48146c332f5016a0eee2e3f0881a1adeeb0d74be925dd","object":"chat.completion","created":1779363379,"model":"gpt-5.5","choices":[{"index":0,"message":{"role":"assistant","content":"Casablanca T-Shirts kakobuy, Casablanca T-Shirts kakebuy2026, Casablanca T-Shirts kekobuysheet, Casablanca T-Shirts kakobuysheet2026, Casablanca T-Shirts 2026kakobuy, Casablanca T-Shirts kakobuyspreadsheeet, Casablanca T-Shirts kakobuylink, Casablanca T-Shirts kakebuylist, Casablanca T-Shirts Kakobuy MEGA Spreadsheet, Casablanca T-Shirts kakobuysheetfind, Casablanca T-Shirts kakobuysheetfind2026, Casablanca T-Shirts 2026kakobuysheetfind, Casablanca T-Shirts kakobuysheet2026"},"finish_reason":"stop"}],"usage":{"prompt_tokens":644,"completion_tokens":239,"total_tokens":883}}</t>
        </is>
      </c>
      <c r="P101" t="inlineStr">
        <is>
          <t>Casablanca T-Shirts kakobuy, Casablanca T-Shirts kakebuy2026, Casablanca T-Shirts kekobuysheet, Casablanca T-Shirts kakobuysheet2026, Casablanca T-Shirts 2026kakobuy, Casablanca T-Shirts kakobuyspreadsheeet, Casablanca T-Shirts kakobuylink, Casablanca T-Shirts kakebuylist, Casablanca T-Shirts Kakobuy MEGA Spreadsheet, Casablanca T-Shirts kakobuysheetfind, Casablanca T-Shirts kakobuysheetfind2026, Casablanca T-Shirts 2026kakobuysheetfind, Casablanca T-Shirts kakobuysheet2026</t>
        </is>
      </c>
      <c r="Q101" t="inlineStr">
        <is>
          <t>Colorful, Retro, Streetwear, Unisex, Breathable, Summer</t>
        </is>
      </c>
      <c r="R101" t="inlineStr">
        <is>
          <t>recvk9JhrpA6ys</t>
        </is>
      </c>
      <c r="S101" t="inlineStr">
        <is>
          <t>casablanca-black-cotton-arch-graphic-tee-recvk9jhrpa6ys</t>
        </is>
      </c>
      <c r="T101"/>
      <c r="U101"/>
      <c r="V101"/>
      <c r="W101" t="inlineStr">
        <is>
          <t>{"id":"resp_058f8751b6172391016a0ee7d5d54481a1a5ce5062803c46c1","object":"chat.completion","created":1779361759,"model":"gpt-5.5","choices":[{"index":0,"message":{"role":"assistant","content":"Casablanca: 黑色短袖T恤，棉质面料舒适透气，正面CASA BLANCA彩色拱门图腾印花，复古街头风，男女通穿，2020年代设计师款圆领上衣。"},"finish_reason":"stop"}],"usage":{"prompt_tokens":1161,"completion_tokens":412,"total_tokens":1573}}</t>
        </is>
      </c>
      <c r="X101" t="inlineStr">
        <is>
          <t>Casablanca: 黑色短袖T恤，棉质面料舒适透气，正面CASA BLANCA彩色拱门图腾印花，复古街头风，男女通穿，2020年代设计师款圆领上衣。</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