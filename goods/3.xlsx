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fansbuy 商品导入 04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DengXian"/>
      <family val="2"/>
    </font>
    <font>
      <sz val="10"/>
      <color/>
      <name val="Calibri"/>
      <family val="2"/>
    </font>
    <font>
      <u val="single"/>
      <sz val="11"/>
      <color rgb="FF0000FF"/>
      <name val="DengXian"/>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0" fontId="2"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s>
  <sheetData>
    <row r="1" ht="13" customHeight="1">
      <c r="A1" s="1" t="inlineStr">
        <is>
          <t>微店 ID</t>
        </is>
      </c>
      <c r="B1" s="1" t="inlineStr">
        <is>
          <t>微店商品 ID</t>
        </is>
      </c>
      <c r="C1" s="1" t="inlineStr">
        <is>
          <t>微店商品链接</t>
        </is>
      </c>
      <c r="D1" s="1" t="inlineStr">
        <is>
          <t>共享货源URL</t>
        </is>
      </c>
      <c r="E1" s="1" t="inlineStr">
        <is>
          <t>SKU图片地址</t>
        </is>
      </c>
      <c r="F1" s="1" t="inlineStr">
        <is>
          <t>品类</t>
        </is>
      </c>
      <c r="G1" s="1" t="inlineStr">
        <is>
          <t>品牌</t>
        </is>
      </c>
      <c r="H1" s="1" t="inlineStr">
        <is>
          <t>人民币</t>
        </is>
      </c>
      <c r="I1" s="1" t="inlineStr">
        <is>
          <t>美元</t>
        </is>
      </c>
      <c r="J1" s="1" t="inlineStr">
        <is>
          <t>跑Tittle 的 ai</t>
        </is>
      </c>
      <c r="K1" s="1" t="inlineStr">
        <is>
          <t>Tittle</t>
        </is>
      </c>
      <c r="L1" s="1" t="inlineStr">
        <is>
          <t>跑Description 的 ai</t>
        </is>
      </c>
      <c r="M1" s="1" t="inlineStr">
        <is>
          <t>Description.响应头</t>
        </is>
      </c>
      <c r="N1" s="1" t="inlineStr">
        <is>
          <t>Description</t>
        </is>
      </c>
      <c r="O1" s="1" t="inlineStr">
        <is>
          <t>Keyword 跑 ai</t>
        </is>
      </c>
      <c r="P1" s="1" t="inlineStr">
        <is>
          <t>Keyword</t>
        </is>
      </c>
      <c r="Q1" s="1" t="inlineStr">
        <is>
          <t>TAG</t>
        </is>
      </c>
      <c r="R1" s="1" t="inlineStr">
        <is>
          <t>文本</t>
        </is>
      </c>
      <c r="S1" s="1" t="inlineStr">
        <is>
          <t>SLUG</t>
        </is>
      </c>
      <c r="T1" s="1" t="inlineStr">
        <is>
          <t>共享货源微信</t>
        </is>
      </c>
      <c r="U1" s="1" t="inlineStr">
        <is>
          <t>1688商品编码</t>
        </is>
      </c>
      <c r="V1" s="1" t="inlineStr">
        <is>
          <t>1688型号编码</t>
        </is>
      </c>
      <c r="W1" s="1" t="inlineStr">
        <is>
          <t>中文描述</t>
        </is>
      </c>
      <c r="X1" s="1" t="inlineStr">
        <is>
          <t>中文描述.提取值1</t>
        </is>
      </c>
    </row>
    <row r="2" ht="25.5" customHeight="1">
      <c r="A2">
        <v>1839115443</v>
      </c>
      <c r="B2">
        <v>7601056018</v>
      </c>
      <c r="C2" t="inlineStr">
        <is>
          <t>https://weidian.com/item.html?itemID=7601056018</t>
        </is>
      </c>
      <c r="D2"/>
      <c r="E2" s="2" t="str">
        <f>=HYPERLINK("https://si.geilicdn.com/open1832946205-252808396-6e8200000196d3542c9e0a8133b0_800_800.jpg?w=750&amp;h=750&amp;cp=1", "https://si.geilicdn.com/open1832946205-252808396-6e8200000196d3542c9e0a8133b0_800_800.jpg?w=750&amp;h=750&amp;cp=1")</f>
        <v>https://si.geilicdn.com/open1832946205-252808396-6e8200000196d3542c9e0a8133b0_800_800.jpg?w=750&amp;h=750&amp;cp=1</v>
      </c>
      <c r="F2" t="inlineStr">
        <is>
          <t>Hoodies</t>
        </is>
      </c>
      <c r="G2" t="inlineStr">
        <is>
          <t>Sp5der</t>
        </is>
      </c>
      <c r="H2" t="inlineStr">
        <is>
          <t>200</t>
        </is>
      </c>
      <c r="I2">
        <v>28.99</v>
      </c>
      <c r="J2" t="inlineStr">
        <is>
          <t>{"choices":[{"finish_reason":"stop","index":0,"logprobs":null,"message":{"annotations":[],"content":"Sp5der Pink Web Graphic Hoodie Unisex Streetwear","refusal":null,"role":"assistant"}}],"created":1776666796,"id":"chatcmpl-DWcU0Qobr3b1qhv8STTz4ul8OlGhb","model":"gpt-5-chat-latest","object":"chat.completion","service_tier":"default","system_fingerprint":"fp_ad66631dec","usage":{"completion_tokens":12,"completion_tokens_details":{"accepted_prediction_tokens":0,"audio_tokens":0,"reasoning_tokens":0,"rejected_prediction_tokens":0},"prompt_tokens":896,"prompt_tokens_details":{"audio_tokens":0,"cached_tokens":0},"total_tokens":908}}</t>
        </is>
      </c>
      <c r="K2" t="inlineStr">
        <is>
          <t>Sp5der Pink Web Graphic Hoodie Unisex Streetwear</t>
        </is>
      </c>
      <c r="L2" t="inlineStr">
        <is>
          <t>{"choices":[{"finish_reason":"stop","index":0,"logprobs":null,"message":{"annotations":[],"content":"Sp5der Pink Web Print Hoodie: Soft cotton with 3D graffiti logo and spiderweb design. Loose fit, drawstring hood, kangaroo pocket. Unisex Y2K streetwear blending retro and futuristic vibes.","refusal":null,"role":"assistant"}}],"created":1776659398,"id":"chatcmpl-DWaYg0yhqGF7xsGNivPRIriAAT9rd","model":"gpt-5-chat-latest","object":"chat.completion","service_tier":"default","system_fingerprint":"fp_ad66631dec","usage":{"completion_tokens":46,"completion_tokens_details":{"accepted_prediction_tokens":0,"audio_tokens":0,"reasoning_tokens":0,"rejected_prediction_tokens":0},"prompt_tokens":951,"prompt_tokens_details":{"audio_tokens":0,"cached_tokens":0},"total_tokens":997}}</t>
        </is>
      </c>
      <c r="M2" t="inlineStr">
        <is>
          <t>{"alt-svc":"h3=\":443\"; ma=2592000","apim-request-id":"42622090-6a18-492e-ba87-187d9befe3ed","azureml-model-session":"d20260402083108-57a85543","cache-control":"no-cache","connection":"close","content-length":"777","content-security-policy":"frame-ancestors 'self'","content-type":"application/json","date":"Mon, 20 Apr 2026 04:29:59 GMT","server":"nginx","skip-error-remapping":"true","strict-transport-security":"max-age=31536000; includeSubDomains; preload","via":"1.1 Caddy, 1.1 Caddy","x-api-request-id":"202604201229568632512267dMcGwVJ","x-content-type-options":"nosniff","x-frame-options":"SAMEORIGIN","x-ms-client-request-id":"Not-Set","x-ms-is-spilled-over":"false","x-ms-rai-invoked":"true","x-ms-region":"East US 2","x-new-api-version":"0.4.39","x-oneapi-request-id":"202604200429567800400778268d9d6kyShwHDZ","x-ratelimit-abusepenalty-active":"False","x-ratelimit-limit-requests":"3850","x-ratelimit-limit-tokens":"3850000","x-ratelimit-remaining-requests":"3849","x-ratelimit-remaining-tokens":"3848287","x-ratelimit-renewalperiod-requests":"60","x-ratelimit-renewalperiod-tokens":"60","x-ratelimit-reset-requests":"15","x-ratelimit-reset-tokens":"26","x-request-id":"a30e5790-5473-4e90-85ad-63559ba377b3"}</t>
        </is>
      </c>
      <c r="N2" t="inlineStr">
        <is>
          <t>Sp5der Pink Web Print Hoodie: Soft cotton with 3D graffiti logo and spiderweb design. Loose fit, drawstring hood, kangaroo pocket. Unisex Y2K streetwear blending retro and futuristic vibes.</t>
        </is>
      </c>
      <c r="O2" t="inlineStr">
        <is>
          <t>{"choices":[{"finish_reason":"stop","index":0,"logprobs":null,"message":{"annotations":[],"content":"Sp5der,Hoodies,kakobuy,kakebuy2026,kekobuysheet,kakobuysheet2026,2026kakobuy,kakobuyspreadsheeet,kakobuylink,kakebuylist,Kakobuy MEGA Spreadsheet,kakobuysheetfind,kakobuysheetfind2026,2026kakobuysheetfind,kakobuysheet2026","refusal":null,"role":"assistant"}}],"created":1776667463,"id":"chatcmpl-DWceletiRBo9y6DnlHOFsd9yqwsxv","model":"gpt-5-chat-latest","object":"chat.completion","service_tier":"default","system_fingerprint":"fp_ad66631dec","usage":{"completion_tokens":89,"completion_tokens_details":{"accepted_prediction_tokens":0,"audio_tokens":0,"reasoning_tokens":0,"rejected_prediction_tokens":0},"prompt_tokens":785,"prompt_tokens_details":{"audio_tokens":0,"cached_tokens":0},"total_tokens":874}}</t>
        </is>
      </c>
      <c r="P2" t="inlineStr">
        <is>
          <t>Sp5der,Hoodies,kakobuy,kakebuy2026,kekobuysheet,kakobuysheet2026,2026kakobuy,kakobuyspreadsheeet,kakobuylink,kakebuylist,Kakobuy MEGA Spreadsheet,kakobuysheetfind,kakobuysheetfind2026,2026kakobuysheetfind,kakobuysheet2026</t>
        </is>
      </c>
      <c r="Q2" t="inlineStr">
        <is>
          <t>Unisex, Streetwear, Retro, Pink</t>
        </is>
      </c>
      <c r="R2" t="inlineStr">
        <is>
          <t>recvh6xFVj4mUr</t>
        </is>
      </c>
      <c r="S2" t="inlineStr">
        <is>
          <t>sp5der-pink-web-graphic-hoodie-recvh6xFVj4mUr</t>
        </is>
      </c>
      <c r="T2"/>
      <c r="U2"/>
      <c r="V2"/>
      <c r="W2" t="inlineStr">
        <is>
          <t>{"choices":[{"finish_reason":"stop","index":0,"logprobs":null,"message":{"annotations":[],"content":"Sp5der：粉色街头蜘蛛网印花连帽卫衣，采用柔软纯棉面料，前胸立体涂鸦字母与网状图腾设计，潮流感十足。宽松剪裁搭配抽绳帽兜与袋鼠口袋，兼具舒适与实穿性，男女皆可轻松驾驭。融合Y2K复古与未来街头风格，凸显个性与态度。","refusal":null,"role":"assistant"}}],"created":1776655937,"id":"chatcmpl-DWZer7qSPFVIg8mcMesCeEU4WHVo6","model":"gpt-5-chat-latest","object":"chat.completion","service_tier":"default","system_fingerprint":"fp_ad66631dec","usage":{"completion_tokens":107,"completion_tokens_details":{"accepted_prediction_tokens":0,"audio_tokens":0,"reasoning_tokens":0,"rejected_prediction_tokens":0},"prompt_tokens":1332,"prompt_tokens_details":{"audio_tokens":0,"cached_tokens":0},"total_tokens":1439}}</t>
        </is>
      </c>
      <c r="X2" t="inlineStr">
        <is>
          <t>Sp5der：粉色街头蜘蛛网印花连帽卫衣，采用柔软纯棉面料，前胸立体涂鸦字母与网状图腾设计，潮流感十足。宽松剪裁搭配抽绳帽兜与袋鼠口袋，兼具舒适与实穿性，男女皆可轻松驾驭。融合Y2K复古与未来街头风格，凸显个性与态度。</t>
        </is>
      </c>
    </row>
    <row r="3" ht="25.5" customHeight="1">
      <c r="A3">
        <v>1839115443</v>
      </c>
      <c r="B3">
        <v>7601022502</v>
      </c>
      <c r="C3" t="inlineStr">
        <is>
          <t>https://weidian.com/item.html?itemID=7601022502</t>
        </is>
      </c>
      <c r="D3"/>
      <c r="E3" s="2" t="str">
        <f>=HYPERLINK("https://si.geilicdn.com/open1832946205-252808396-564900000197e952e7af0a8133b0_1920_1920.jpg?w=640&amp;h=640", "https://si.geilicdn.com/open1832946205-252808396-564900000197e952e7af0a8133b0_1920_1920.jpg?w=640&amp;h=640")</f>
        <v>https://si.geilicdn.com/open1832946205-252808396-564900000197e952e7af0a8133b0_1920_1920.jpg?w=640&amp;h=640</v>
      </c>
      <c r="F3" t="inlineStr">
        <is>
          <t>Sweaters</t>
        </is>
      </c>
      <c r="G3" t="inlineStr">
        <is>
          <t>Ralph Lauren</t>
        </is>
      </c>
      <c r="H3" t="inlineStr">
        <is>
          <t>242</t>
        </is>
      </c>
      <c r="I3">
        <v>35.07</v>
      </c>
      <c r="J3" t="inlineStr">
        <is>
          <t>{"choices":[{"finish_reason":"stop","index":0,"logprobs":null,"message":{"annotations":[],"content":"Ralph Lauren Navy Wool Mock Neck Sweater","refusal":null,"role":"assistant"}}],"created":1776666479,"id":"chatcmpl-DWcOtMlaJjEhGrlcL0xlvfmqqHbcc","model":"gpt-5-chat-latest","object":"chat.completion","service_tier":"default","system_fingerprint":"fp_ad66631dec","usage":{"completion_tokens":10,"completion_tokens_details":{"accepted_prediction_tokens":0,"audio_tokens":0,"reasoning_tokens":0,"rejected_prediction_tokens":0},"prompt_tokens":883,"prompt_tokens_details":{"audio_tokens":0,"cached_tokens":0},"total_tokens":893}}</t>
        </is>
      </c>
      <c r="K3" t="inlineStr">
        <is>
          <t>Ralph Lauren Navy Wool Mock Neck Sweater</t>
        </is>
      </c>
      <c r="L3" t="inlineStr">
        <is>
          <t>{"choices":[{"finish_reason":"stop","index":0,"logprobs":null,"message":{"annotations":[],"content":"Ralph Lauren classic navy mock-neck sweater, crafted from soft wool blend, features cable-knit texture and red polo logo. Warm, breathable, stylish for men and women’s casual or business wear.","refusal":null,"role":"assistant"}}],"created":1776658857,"id":"chatcmpl-DWaPxLT8Dxet0ESAw5ykAEB4EsMG7","model":"gpt-5-chat-latest","object":"chat.completion","service_tier":"default","system_fingerprint":"fp_ad66631dec","usage":{"completion_tokens":40,"completion_tokens_details":{"accepted_prediction_tokens":0,"audio_tokens":0,"reasoning_tokens":0,"rejected_prediction_tokens":0},"prompt_tokens":916,"prompt_tokens_details":{"audio_tokens":0,"cached_tokens":0},"total_tokens":956}}</t>
        </is>
      </c>
      <c r="M3" t="inlineStr">
        <is>
          <t>{"alt-svc":"h3=\":443\"; ma=2592000","apim-request-id":"067cb2f6-e014-4aa2-92d0-c63c73d7742e","azureml-model-session":"d20260405234249-f9874baf","cache-control":"no-cache","connection":"close","content-length":"782","content-security-policy":"frame-ancestors 'self'","content-type":"application/json","date":"Mon, 20 Apr 2026 04:20:58 GMT","server":"nginx","skip-error-remapping":"true","strict-transport-security":"max-age=31536000; includeSubDomains; preload","via":"1.1 Caddy, 1.1 Caddy","x-api-request-id":"20260420122056436571524uQ6ofrSO","x-content-type-options":"nosniff","x-frame-options":"SAMEORIGIN","x-ms-client-request-id":"Not-Set","x-ms-is-spilled-over":"false","x-ms-rai-invoked":"true","x-ms-region":"East US 2","x-new-api-version":"0.4.39","x-oneapi-request-id":"202604200420563702665468268d9d6qhjW54UB","x-ratelimit-abusepenalty-active":"False","x-ratelimit-limit-requests":"3850","x-ratelimit-limit-tokens":"3850000","x-ratelimit-remaining-requests":"3849","x-ratelimit-remaining-tokens":"3848322","x-ratelimit-renewalperiod-requests":"60","x-ratelimit-renewalperiod-tokens":"60","x-ratelimit-reset-requests":"15","x-ratelimit-reset-tokens":"26","x-request-id":"6a232a03-434d-414b-a642-57cf23f90704"}</t>
        </is>
      </c>
      <c r="N3" t="inlineStr">
        <is>
          <t>Ralph Lauren classic navy mock-neck sweater, crafted from soft wool blend, features cable-knit texture and red polo logo. Warm, breathable, stylish for men and women’s casual or business wear.</t>
        </is>
      </c>
      <c r="O3" t="inlineStr">
        <is>
          <t>{"choices":[{"finish_reason":"stop","index":0,"logprobs":null,"message":{"annotations":[],"content":"Ralph Lauren, Sweaters, kakobuy, kakebuy2026, kekobuysheet, kakobuysheet2026, 2026kakobuy, kakobuyspreadsheeet, kakobuylink, kakebuylist, Kakobuy MEGA Spreadsheet, kakobuysheetfind, kakobuysheetfind2026, 2026kakobuysheetfind, kakobuysheet2026","refusal":null,"role":"assistant"}}],"created":1776668242,"id":"chatcmpl-DWcrKu1WOUPthIk4x7zn2AIUpGcKt","model":"gpt-5-chat-latest","object":"chat.completion","service_tier":"default","system_fingerprint":"fp_ad66631dec","usage":{"completion_tokens":93,"completion_tokens_details":{"accepted_prediction_tokens":0,"audio_tokens":0,"reasoning_tokens":0,"rejected_prediction_tokens":0},"prompt_tokens":784,"prompt_tokens_details":{"audio_tokens":0,"cached_tokens":0},"total_tokens":877}}</t>
        </is>
      </c>
      <c r="P3" t="inlineStr">
        <is>
          <t>Ralph Lauren, Sweaters, kakobuy, kakebuy2026, kekobuysheet, kakobuysheet2026, 2026kakobuy, kakobuyspreadsheeet, kakobuylink, kakebuylist, Kakobuy MEGA Spreadsheet, kakobuysheetfind, kakobuysheetfind2026, 2026kakobuysheetfind, kakobuysheet2026</t>
        </is>
      </c>
      <c r="Q3" t="inlineStr">
        <is>
          <t>Wool, Navy, Classic, Unisex, Breathable</t>
        </is>
      </c>
      <c r="R3" t="inlineStr">
        <is>
          <t>recvh6xFVjhiDx</t>
        </is>
      </c>
      <c r="S3" t="inlineStr">
        <is>
          <t>ralph-lauren-navy-wool-mock-neck-sweater-recvh6xFVjhiDx</t>
        </is>
      </c>
      <c r="T3"/>
      <c r="U3"/>
      <c r="V3"/>
      <c r="W3" t="inlineStr">
        <is>
          <t>{"id":"chatcmpl-DWZRlUrjb8Bd7npXatXmGW64G4SNA","object":"chat.completion","created":1776655125,"model":"gpt-5-chat-latest","choices":[{"index":0,"message":{"role":"assistant","content":"Ralph Lauren：经典海军蓝半高领针织衫，优选柔软羊毛混纺材质，立体扭纹编织设计搭配胸前红色马球标志，彰显美式学院风格。版型利落，保暖透气，适合男女日常休闲与商务穿搭。","refusal":null,"annotations":[]},"logprobs":null,"finish_reason":"stop"}],"usage":{"prompt_tokens":1321,"completion_tokens":78,"total_tokens":1399,"prompt_tokens_details":{"cached_tokens":0,"audio_tokens":0},"completion_tokens_details":{"reasoning_tokens":0,"audio_tokens":0,"accepted_prediction_tokens":0,"rejected_prediction_tokens":0}},"service_tier":"default","system_fingerprint":"fp_ad66631dec"}</t>
        </is>
      </c>
      <c r="X3" t="inlineStr">
        <is>
          <t>Ralph Lauren：经典海军蓝半高领针织衫，优选柔软羊毛混纺材质，立体扭纹编织设计搭配胸前红色马球标志，彰显美式学院风格。版型利落，保暖透气，适合男女日常休闲与商务穿搭。</t>
        </is>
      </c>
    </row>
    <row r="4" ht="25.5" customHeight="1">
      <c r="A4">
        <v>1839115443</v>
      </c>
      <c r="B4">
        <v>7599119287</v>
      </c>
      <c r="C4" t="inlineStr">
        <is>
          <t>https://weidian.com/item.html?itemID=7599119287</t>
        </is>
      </c>
      <c r="D4"/>
      <c r="E4" s="2" t="str">
        <f>=HYPERLINK("https://si.geilicdn.com/open1832946205-252808396-6c7c00000197f37130930a231226_800_800.jpg?w=640&amp;h=640", "https://si.geilicdn.com/open1832946205-252808396-6c7c00000197f37130930a231226_800_800.jpg?w=640&amp;h=640")</f>
        <v>https://si.geilicdn.com/open1832946205-252808396-6c7c00000197f37130930a231226_800_800.jpg?w=640&amp;h=640</v>
      </c>
      <c r="F4" t="inlineStr">
        <is>
          <t>Jackets</t>
        </is>
      </c>
      <c r="G4" t="inlineStr">
        <is>
          <t>The North Face</t>
        </is>
      </c>
      <c r="H4" t="inlineStr">
        <is>
          <t>510</t>
        </is>
      </c>
      <c r="I4">
        <v>73.91</v>
      </c>
      <c r="J4" t="inlineStr">
        <is>
          <t>{"choices":[{"finish_reason":"stop","index":0,"logprobs":null,"message":{"annotations":[],"content":"The North Face Gray Black Down Jacket Winter Warm","refusal":null,"role":"assistant"}}],"created":1776666637,"id":"chatcmpl-DWcRRNW5O8MMh9ccBqHuFVuk9S4ki","model":"gpt-5-chat-latest","object":"chat.completion","service_tier":"default","system_fingerprint":"fp_ad66631dec","usage":{"completion_tokens":10,"completion_tokens_details":{"accepted_prediction_tokens":0,"audio_tokens":0,"reasoning_tokens":0,"rejected_prediction_tokens":0},"prompt_tokens":867,"prompt_tokens_details":{"audio_tokens":0,"cached_tokens":0},"total_tokens":877}}</t>
        </is>
      </c>
      <c r="K4" t="inlineStr">
        <is>
          <t>The North Face Gray Black Down Jacket Winter Warm</t>
        </is>
      </c>
      <c r="L4" t="inlineStr">
        <is>
          <t>{"choices":[{"finish_reason":"stop","index":0,"logprobs":null,"message":{"annotations":[],"content":"The North Face gray-black down jacket with windproof fabric and warm filling, stand collar and zipper design, unisex outdoor style, essential for winter travel.","refusal":null,"role":"assistant"}}],"created":1776658618,"id":"chatcmpl-DWaM6ghI4KUSPXs3i9SBLjpkMgk2y","model":"gpt-5-chat-latest","object":"chat.completion","service_tier":"default","system_fingerprint":"fp_ad66631dec","usage":{"completion_tokens":32,"completion_tokens_details":{"accepted_prediction_tokens":0,"audio_tokens":0,"reasoning_tokens":0,"rejected_prediction_tokens":0},"prompt_tokens":896,"prompt_tokens_details":{"audio_tokens":0,"cached_tokens":0},"total_tokens":928}}</t>
        </is>
      </c>
      <c r="M4" t="inlineStr">
        <is>
          <t>{"alt-svc":"h3=\":443\"; ma=2592000","apim-request-id":"affad6b8-2e6a-4715-b504-9c6a70a9dfe2","azureml-model-session":"d20260405234249-f9874baf","cache-control":"no-cache","connection":"close","content-length":"748","content-security-policy":"frame-ancestors 'self'","content-type":"application/json","date":"Mon, 20 Apr 2026 04:17:00 GMT","server":"nginx","skip-error-remapping":"true","strict-transport-security":"max-age=31536000; includeSubDomains; preload","via":"1.1 Caddy, 1.1 Caddy","x-api-request-id":"20260420121657531469779f4gWnBIS","x-content-type-options":"nosniff","x-frame-options":"SAMEORIGIN","x-ms-client-request-id":"Not-Set","x-ms-is-spilled-over":"false","x-ms-rai-invoked":"true","x-ms-region":"East US 2","x-new-api-version":"0.4.39","x-oneapi-request-id":"202604200416574586411738268d9d658Zjph9q","x-ratelimit-abusepenalty-active":"False","x-ratelimit-limit-requests":"3850","x-ratelimit-limit-tokens":"3850000","x-ratelimit-remaining-requests":"3849","x-ratelimit-remaining-tokens":"3848342","x-ratelimit-renewalperiod-requests":"60","x-ratelimit-renewalperiod-tokens":"60","x-ratelimit-reset-requests":"15","x-ratelimit-reset-tokens":"25","x-request-id":"272338a0-5b2c-4b2c-92af-15112ae2f9f6"}</t>
        </is>
      </c>
      <c r="N4" t="inlineStr">
        <is>
          <t>The North Face gray-black down jacket with windproof fabric and warm filling, stand collar and zipper design, unisex outdoor style, essential for winter travel.</t>
        </is>
      </c>
      <c r="O4" t="inlineStr">
        <is>
          <t>{"choices":[{"finish_reason":"stop","index":0,"logprobs":null,"message":{"annotations":[],"content":"The North Face, Jackets, kakobuy, kakebuy2026, kekobuysheet, kakobuysheet2026, 2026kakobuy, kakobuyspreadsheeet, kakobuylink, kakebuylist, Kakobuy MEGA Spreadsheet, kakobuysheetfind, kakobuysheetfind2026, 2026kakobuysheetfind, kakobuysheet2026","refusal":null,"role":"assistant"}}],"created":1776667075,"id":"chatcmpl-DWcYV6hXpVuNtHi2bW8U6A289IpUi","model":"gpt-5-chat-latest","object":"chat.completion","service_tier":"default","system_fingerprint":"fp_ad66631dec","usage":{"completion_tokens":92,"completion_tokens_details":{"accepted_prediction_tokens":0,"audio_tokens":0,"reasoning_tokens":0,"rejected_prediction_tokens":0},"prompt_tokens":784,"prompt_tokens_details":{"audio_tokens":0,"cached_tokens":0},"total_tokens":876}}</t>
        </is>
      </c>
      <c r="P4" t="inlineStr">
        <is>
          <t>The North Face, Jackets, kakobuy, kakebuy2026, kekobuysheet, kakobuysheet2026, 2026kakobuy, kakobuyspreadsheeet, kakobuylink, kakebuylist, Kakobuy MEGA Spreadsheet, kakobuysheetfind, kakobuysheetfind2026, 2026kakobuysheetfind, kakobuysheet2026</t>
        </is>
      </c>
      <c r="Q4" t="inlineStr">
        <is>
          <t>Windproof, Winter, Outdoor, Unisex, Black, Gray</t>
        </is>
      </c>
      <c r="R4" t="inlineStr">
        <is>
          <t>recvh6xFVjLSRj</t>
        </is>
      </c>
      <c r="S4" t="inlineStr">
        <is>
          <t>the-north-face-gray-black-down-jacket-winter-recvh6xFVjLSRj</t>
        </is>
      </c>
      <c r="T4"/>
      <c r="U4"/>
      <c r="V4"/>
      <c r="W4" t="inlineStr">
        <is>
          <t>{"choices":[{"finish_reason":"stop","index":0,"logprobs":null,"message":{"annotations":[],"content":"The North Face 灰黑配色羽绒夹克，高密防风面料与蓬松保暖填充结合，立领拉链设计凸显户外功能美学，简约现代风格，男女通用款，冬季出行必备。","refusal":null,"role":"assistant"}}],"created":1776656048,"id":"chatcmpl-DWZgem8yvlGtv5gXK8G9z7yzCQEO3","model":"gpt-5-chat-latest","object":"chat.completion","service_tier":"default","system_fingerprint":"fp_ad66631dec","usage":{"completion_tokens":62,"completion_tokens_details":{"accepted_prediction_tokens":0,"audio_tokens":0,"reasoning_tokens":0,"rejected_prediction_tokens":0},"prompt_tokens":1315,"prompt_tokens_details":{"audio_tokens":0,"cached_tokens":1280},"total_tokens":1377}}</t>
        </is>
      </c>
      <c r="X4" t="inlineStr">
        <is>
          <t>The North Face 灰黑配色羽绒夹克，高密防风面料与蓬松保暖填充结合，立领拉链设计凸显户外功能美学，简约现代风格，男女通用款，冬季出行必备。</t>
        </is>
      </c>
    </row>
    <row r="5" ht="25.5" customHeight="1">
      <c r="A5">
        <v>1839115443</v>
      </c>
      <c r="B5">
        <v>7600931522</v>
      </c>
      <c r="C5" t="inlineStr">
        <is>
          <t>https://weidian.com/item.html?itemID=7600931522</t>
        </is>
      </c>
      <c r="D5"/>
      <c r="E5" s="2" t="str">
        <f>=HYPERLINK("https://si.geilicdn.com/open1832946205-252808396-0b1300000197e97e40ac0a8115c2_1284_1284.jpg?w=640&amp;h=640", "https://si.geilicdn.com/open1832946205-252808396-0b1300000197e97e40ac0a8115c2_1284_1284.jpg?w=640&amp;h=640")</f>
        <v>https://si.geilicdn.com/open1832946205-252808396-0b1300000197e97e40ac0a8115c2_1284_1284.jpg?w=640&amp;h=640</v>
      </c>
      <c r="F5" t="inlineStr">
        <is>
          <t>Hoodies</t>
        </is>
      </c>
      <c r="G5" t="inlineStr">
        <is>
          <t>Stussy</t>
        </is>
      </c>
      <c r="H5" t="inlineStr">
        <is>
          <t>163.00</t>
        </is>
      </c>
      <c r="I5">
        <v>23.62</v>
      </c>
      <c r="J5" t="inlineStr">
        <is>
          <t>{"id":"chatcmpl-DWcF7JcFE8USPxZH9bgHmB1Mlg9Xy","object":"chat.completion","created":1776665873,"model":"gpt-5-chat-latest","choices":[{"index":0,"message":{"role":"assistant","content":"Stussy Grey Hoodie Unisex Cotton Pullover Streetwear","refusal":null,"annotations":[]},"logprobs":null,"finish_reason":"stop"}],"usage":{"prompt_tokens":875,"completion_tokens":12,"total_tokens":887,"prompt_tokens_details":{"cached_tokens":0,"audio_tokens":0},"completion_tokens_details":{"reasoning_tokens":0,"audio_tokens":0,"accepted_prediction_tokens":0,"rejected_prediction_tokens":0}},"service_tier":"default","system_fingerprint":"fp_ad66631dec"}</t>
        </is>
      </c>
      <c r="K5" t="inlineStr">
        <is>
          <t>Stussy Grey Hoodie Unisex Cotton Pullover Streetwear</t>
        </is>
      </c>
      <c r="L5" t="inlineStr">
        <is>
          <t>{"choices":[{"finish_reason":"stop","index":0,"logprobs":null,"message":{"annotations":[],"content":"Stussy Grey Hoodie – made from soft cotton for ultimate comfort, features iconic handwritten logo print on the back, relaxed unisex fit blending retro skate vibes with modern minimalist style.","refusal":null,"role":"assistant"}}],"created":1776658327,"id":"chatcmpl-DWaHPCOkyuqsC8Ci6PfMG90p3tSWH","model":"gpt-5-chat-latest","object":"chat.completion","service_tier":"default","system_fingerprint":"fp_ad66631dec","usage":{"completion_tokens":36,"completion_tokens_details":{"accepted_prediction_tokens":0,"audio_tokens":0,"reasoning_tokens":0,"rejected_prediction_tokens":0},"prompt_tokens":917,"prompt_tokens_details":{"audio_tokens":0,"cached_tokens":0},"total_tokens":953}}</t>
        </is>
      </c>
      <c r="M5" t="inlineStr">
        <is>
          <t>{"alt-svc":"h3=\":443\"; ma=2592000","apim-request-id":"c99124f4-3029-4052-a2e7-5636693ec0f8","azureml-model-session":"d20260405234249-f9874baf","cache-control":"no-cache","connection":"close","content-length":"782","content-security-policy":"frame-ancestors 'self'","content-type":"application/json","date":"Mon, 20 Apr 2026 04:12:08 GMT","server":"nginx","skip-error-remapping":"true","strict-transport-security":"max-age=31536000; includeSubDomains; preload","via":"1.1 Caddy, 1.1 Caddy","x-api-request-id":"20260420121206580414924Q6DHO94N","x-content-type-options":"nosniff","x-frame-options":"SAMEORIGIN","x-ms-client-request-id":"Not-Set","x-ms-is-spilled-over":"false","x-ms-rai-invoked":"true","x-ms-region":"East US 2","x-new-api-version":"0.4.39","x-oneapi-request-id":"202604200412065159008738268d9d6C60Zq5wT","x-ratelimit-abusepenalty-active":"False","x-ratelimit-limit-requests":"3850","x-ratelimit-limit-tokens":"3850000","x-ratelimit-remaining-requests":"3849","x-ratelimit-remaining-tokens":"3848321","x-ratelimit-renewalperiod-requests":"60","x-ratelimit-renewalperiod-tokens":"60","x-ratelimit-reset-requests":"15","x-ratelimit-reset-tokens":"26","x-request-id":"4815df72-d216-4de4-af25-fb0646a2f921"}</t>
        </is>
      </c>
      <c r="N5" t="inlineStr">
        <is>
          <t>Stussy Grey Hoodie – made from soft cotton for ultimate comfort, features iconic handwritten logo print on the back, relaxed unisex fit blending retro skate vibes with modern minimalist style.</t>
        </is>
      </c>
      <c r="O5" t="inlineStr">
        <is>
          <t>{"choices":[{"finish_reason":"stop","index":0,"logprobs":null,"message":{"annotations":[],"content":"Stussy,Hoodies,kakobuy,kakebuy2026,kekobuysheet,kakobuysheet2026,2026kakobuy,kakobuyspreadsheeet,kakobuylink,kakebuylist,Kakobuy MEGA Spreadsheet,kakobuysheetfind,kakobuysheetfind2026,2026kakobuysheetfind,kakobuysheet2026","refusal":null,"role":"assistant"}}],"created":1776668250,"id":"chatcmpl-DWcrSL94hCjHLvnJ7HEfIfVxkMbEY","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is>
      </c>
      <c r="P5" t="inlineStr">
        <is>
          <t>Stussy,Hoodies,kakobuy,kakebuy2026,kekobuysheet,kakobuysheet2026,2026kakobuy,kakobuyspreadsheeet,kakobuylink,kakebuylist,Kakobuy MEGA Spreadsheet,kakobuysheetfind,kakobuysheetfind2026,2026kakobuysheetfind,kakobuysheet2026</t>
        </is>
      </c>
      <c r="Q5" t="inlineStr">
        <is>
          <t>Stussy, Grey, Retro, Minimalist, Unisex</t>
        </is>
      </c>
      <c r="R5" t="inlineStr">
        <is>
          <t>recvh6xFVja2ZI</t>
        </is>
      </c>
      <c r="S5" t="inlineStr">
        <is>
          <t>stussy-grey-hoodie-recvh6xfvja2zi</t>
        </is>
      </c>
      <c r="T5"/>
      <c r="U5"/>
      <c r="V5"/>
      <c r="W5" t="inlineStr">
        <is>
          <t>{"id":"chatcmpl-DWZMUYq3wnalYMWD2wufdRJsFoMdd","object":"chat.completion","created":1776654798,"model":"gpt-5-chat-latest","choices":[{"index":0,"message":{"role":"assistant","content":"Stussy：灰色连帽卫衣，柔软纯棉面料打造舒适触感，背部标志性手写Logo印花彰显品牌街头基因，宽松休闲版型适合男女穿搭，融合复古滑板文化与现代简约设计，日常出街尽显潮流格调。","refusal":null,"annotations":[]},"logprobs":null,"finish_reason":"stop"}],"usage":{"prompt_tokens":1323,"completion_tokens":77,"total_tokens":1400,"prompt_tokens_details":{"cached_tokens":0,"audio_tokens":0},"completion_tokens_details":{"reasoning_tokens":0,"audio_tokens":0,"accepted_prediction_tokens":0,"rejected_prediction_tokens":0}},"service_tier":"default","system_fingerprint":"fp_ad66631dec"}</t>
        </is>
      </c>
      <c r="X5" t="inlineStr">
        <is>
          <t>Stussy：灰色连帽卫衣，柔软纯棉面料打造舒适触感，背部标志性手写Logo印花彰显品牌街头基因，宽松休闲版型适合男女穿搭，融合复古滑板文化与现代简约设计，日常出街尽显潮流格调。</t>
        </is>
      </c>
    </row>
    <row r="6" ht="25.5" customHeight="1">
      <c r="A6">
        <v>1839115443</v>
      </c>
      <c r="B6">
        <v>7599213599</v>
      </c>
      <c r="C6" t="inlineStr">
        <is>
          <t>https://weidian.com/item.html?itemID=7599213599</t>
        </is>
      </c>
      <c r="D6"/>
      <c r="E6" s="2" t="str">
        <f>=HYPERLINK("https://si.geilicdn.com/open1832946205-252808396-07f900000197f35b562b0aa0c791_480_493.jpg?w=640&amp;h=640", "https://si.geilicdn.com/open1832946205-252808396-07f900000197f35b562b0aa0c791_480_493.jpg?w=640&amp;h=640")</f>
        <v>https://si.geilicdn.com/open1832946205-252808396-07f900000197f35b562b0aa0c791_480_493.jpg?w=640&amp;h=640</v>
      </c>
      <c r="F6" t="inlineStr">
        <is>
          <t>Jackets</t>
        </is>
      </c>
      <c r="G6" t="inlineStr">
        <is>
          <t>Canada Goose</t>
        </is>
      </c>
      <c r="H6" t="inlineStr">
        <is>
          <t>528.00</t>
        </is>
      </c>
      <c r="I6">
        <v>76.52</v>
      </c>
      <c r="J6" t="inlineStr">
        <is>
          <t>{"choices":[{"finish_reason":"stop","index":0,"logprobs":null,"message":{"annotations":[],"content":"Canada Goose Black Waterproof Down Jacket Fur Hood","refusal":null,"role":"assistant"}}],"created":1776666200,"id":"chatcmpl-DWcKOLJiFfZqvI2OypfkdOGgFv1l9","model":"gpt-5-chat-latest","object":"chat.completion","service_tier":"default","system_fingerprint":"fp_ad66631dec","usage":{"completion_tokens":9,"completion_tokens_details":{"accepted_prediction_tokens":0,"audio_tokens":0,"reasoning_tokens":0,"rejected_prediction_tokens":0},"prompt_tokens":458,"prompt_tokens_details":{"audio_tokens":0,"cached_tokens":0},"total_tokens":467}}</t>
        </is>
      </c>
      <c r="K6" t="inlineStr">
        <is>
          <t>Canada Goose Black Waterproof Down Jacket Fur Hood</t>
        </is>
      </c>
      <c r="L6" t="inlineStr">
        <is>
          <t>{"choices":[{"finish_reason":"stop","index":0,"logprobs":null,"message":{"annotations":[],"content":"Canada Goose Black Down Jacket – Waterproof fabric, premium goose down, detachable natural fur hood, slim fit, logo detail, superior warmth for winter commute &amp; outdoor wear with stylish urban design.","refusal":null,"role":"assistant"}}],"created":1776658567,"id":"chatcmpl-DWaLHCLnpjS6RyrBBqdabGIzhhhzd","model":"gpt-5-chat-latest","object":"chat.completion","service_tier":"default","system_fingerprint":"fp_ad66631dec","usage":{"completion_tokens":38,"completion_tokens_details":{"accepted_prediction_tokens":0,"audio_tokens":0,"reasoning_tokens":0,"rejected_prediction_tokens":0},"prompt_tokens":505,"prompt_tokens_details":{"audio_tokens":0,"cached_tokens":0},"total_tokens":543}}</t>
        </is>
      </c>
      <c r="M6" t="inlineStr">
        <is>
          <t>{"alt-svc":"h3=\":443\"; ma=2592000","apim-request-id":"ea23359f-d7a2-439e-9ecf-1db31b079701","azureml-model-session":"d20260405225800-40f19e54","cache-control":"no-cache","connection":"close","content-length":"795","content-security-policy":"frame-ancestors 'self'","content-type":"application/json","date":"Mon, 20 Apr 2026 04:16:08 GMT","server":"nginx","skip-error-remapping":"true","strict-transport-security":"max-age=31536000; includeSubDomains; preload","via":"1.1 Caddy, 1.1 Caddy","x-api-request-id":"20260420121606635604795MW6A4lKJ","x-content-type-options":"nosniff","x-frame-options":"SAMEORIGIN","x-ms-client-request-id":"Not-Set","x-ms-is-spilled-over":"false","x-ms-rai-invoked":"true","x-ms-region":"East US 2","x-new-api-version":"0.4.39","x-oneapi-request-id":"202604200416065715160408268d9d69lskBSOA","x-ratelimit-abusepenalty-active":"False","x-ratelimit-limit-requests":"3850","x-ratelimit-limit-tokens":"3850000","x-ratelimit-remaining-requests":"3849","x-ratelimit-remaining-tokens":"3848730","x-ratelimit-renewalperiod-requests":"60","x-ratelimit-renewalperiod-tokens":"60","x-ratelimit-reset-requests":"15","x-ratelimit-reset-tokens":"19","x-request-id":"62a337f9-56e1-4a40-a04a-dbc297bcf454"}</t>
        </is>
      </c>
      <c r="N6" t="inlineStr">
        <is>
          <t>Canada Goose Black Down Jacket – Waterproof fabric, premium goose down, detachable natural fur hood, slim fit, logo detail, superior warmth for winter commute &amp; outdoor wear with stylish urban design.</t>
        </is>
      </c>
      <c r="O6" t="inlineStr">
        <is>
          <t>{"choices":[{"finish_reason":"stop","index":0,"logprobs":null,"message":{"annotations":[],"content":"Canada Goose, Jackets, kakobuy, kakebuy2026, kekobuysheet, kakobuysheet2026, 2026kakobuy, kakobuyspreadsheeet, kakobuylink, kakebuylist, Kakobuy MEGA Spreadsheet, kakobuysheetfind, kakobuysheetfind2026, 2026kakobuysheetfind, kakobuysheet2026","refusal":null,"role":"assistant"}}],"created":1776667872,"id":"chatcmpl-DWclMuanObrPNJ0cwSlkHAir7OTZY","model":"gpt-5-chat-latest","object":"chat.completion","service_tier":"default","system_fingerprint":"fp_ad66631dec","usage":{"completion_tokens":91,"completion_tokens_details":{"accepted_prediction_tokens":0,"audio_tokens":0,"reasoning_tokens":0,"rejected_prediction_tokens":0},"prompt_tokens":363,"prompt_tokens_details":{"audio_tokens":0,"cached_tokens":0},"total_tokens":454}}</t>
        </is>
      </c>
      <c r="P6" t="inlineStr">
        <is>
          <t>Canada Goose, Jackets, kakobuy, kakebuy2026, kekobuysheet, kakobuysheet2026, 2026kakobuy, kakobuyspreadsheeet, kakobuylink, kakebuylist, Kakobuy MEGA Spreadsheet, kakobuysheetfind, kakobuysheetfind2026, 2026kakobuysheetfind, kakobuysheet2026</t>
        </is>
      </c>
      <c r="Q6" t="inlineStr">
        <is>
          <t>Waterproof, Fur, Winter, Black, Outdoor</t>
        </is>
      </c>
      <c r="R6" t="inlineStr">
        <is>
          <t>recvh6xFVjxDOQ</t>
        </is>
      </c>
      <c r="S6" t="inlineStr">
        <is>
          <t>canada-goose-black-waterproof-down-jacket-fur-hood-recvh6xFVjxDOQ</t>
        </is>
      </c>
      <c r="T6"/>
      <c r="U6"/>
      <c r="V6"/>
      <c r="W6" t="inlineStr">
        <is>
          <t>{"choices":[{"finish_reason":"stop","index":0,"logprobs":null,"message":{"annotations":[],"content":"Canada Goose：黑色羽绒外套，甄选防水面料与优质鹅绒填充，保暖抗寒性能卓越。搭配可拆卸天然毛领连帽设计，修身剪裁展现都市简约风格，胸侧徽标彰显品牌质感，适合男女户外及冬季通勤穿着，兼具功能与时尚。","refusal":null,"role":"assistant"}}],"created":1776655658,"id":"chatcmpl-DWZaMNwBG2Gbi5pdokUUObBtijFCl","model":"gpt-5-chat-latest","object":"chat.completion","service_tier":"default","system_fingerprint":"fp_ad66631dec","usage":{"completion_tokens":90,"completion_tokens_details":{"accepted_prediction_tokens":0,"audio_tokens":0,"reasoning_tokens":0,"rejected_prediction_tokens":0},"prompt_tokens":894,"prompt_tokens_details":{"audio_tokens":0,"cached_tokens":0},"total_tokens":984}}</t>
        </is>
      </c>
      <c r="X6" t="inlineStr">
        <is>
          <t>Canada Goose：黑色羽绒外套，甄选防水面料与优质鹅绒填充，保暖抗寒性能卓越。搭配可拆卸天然毛领连帽设计，修身剪裁展现都市简约风格，胸侧徽标彰显品牌质感，适合男女户外及冬季通勤穿着，兼具功能与时尚。</t>
        </is>
      </c>
    </row>
    <row r="7" ht="25.5" customHeight="1">
      <c r="A7">
        <v>1839115443</v>
      </c>
      <c r="B7">
        <v>7601023334</v>
      </c>
      <c r="C7" t="inlineStr">
        <is>
          <t>https://weidian.com/item.html?itemID=7601023334</t>
        </is>
      </c>
      <c r="D7"/>
      <c r="E7" s="2" t="str">
        <f>=HYPERLINK("https://si.geilicdn.com/open1832946205-252808396-308e00000197ea6802760a23b4de_1920_1920.jpg?w=640&amp;h=640", "https://si.geilicdn.com/open1832946205-252808396-308e00000197ea6802760a23b4de_1920_1920.jpg?w=640&amp;h=640")</f>
        <v>https://si.geilicdn.com/open1832946205-252808396-308e00000197ea6802760a23b4de_1920_1920.jpg?w=640&amp;h=640</v>
      </c>
      <c r="F7" t="inlineStr">
        <is>
          <t>T-Shirts</t>
        </is>
      </c>
      <c r="G7" t="inlineStr">
        <is>
          <t>Chrome Hearts</t>
        </is>
      </c>
      <c r="H7" t="inlineStr">
        <is>
          <t>217.00</t>
        </is>
      </c>
      <c r="I7">
        <v>31.45</v>
      </c>
      <c r="J7" t="inlineStr">
        <is>
          <t>{"choices":[{"finish_reason":"stop","index":0,"logprobs":null,"message":{"annotations":[],"content":"Chrome Hearts Red Gothic Long Sleeve Cotton T-Shirt","refusal":null,"role":"assistant"}}],"created":1776666041,"id":"chatcmpl-DWcHpWrErseHdjfJyhXdDa1jLDOS6","model":"gpt-5-chat-latest","object":"chat.completion","service_tier":"default","system_fingerprint":"fp_ad66631dec","usage":{"completion_tokens":10,"completion_tokens_details":{"accepted_prediction_tokens":0,"audio_tokens":0,"reasoning_tokens":0,"rejected_prediction_tokens":0},"prompt_tokens":876,"prompt_tokens_details":{"audio_tokens":0,"cached_tokens":0},"total_tokens":886}}</t>
        </is>
      </c>
      <c r="K7" t="inlineStr">
        <is>
          <t>Chrome Hearts Red Gothic Long Sleeve Cotton T-Shirt</t>
        </is>
      </c>
      <c r="L7" t="inlineStr">
        <is>
          <t>{"choices":[{"finish_reason":"stop","index":0,"logprobs":null,"message":{"annotations":[],"content":"Chrome Hearts Red Long Sleeve T-Shirt, soft cotton fabric, Gothic logo on sleeves, cross emblem embroidery on chest, unisex loose fit, street style luxury for bold modern looks.","refusal":null,"role":"assistant"}}],"created":1776658414,"id":"chatcmpl-DWaIomPHOKBG1OJ5knNIGXNcaptBz","model":"gpt-5-chat-latest","object":"chat.completion","service_tier":"default","system_fingerprint":"fp_ad66631dec","usage":{"completion_tokens":37,"completion_tokens_details":{"accepted_prediction_tokens":0,"audio_tokens":0,"reasoning_tokens":0,"rejected_prediction_tokens":0},"prompt_tokens":920,"prompt_tokens_details":{"audio_tokens":0,"cached_tokens":0},"total_tokens":957}}</t>
        </is>
      </c>
      <c r="M7" t="inlineStr">
        <is>
          <t>{"alt-svc":"h3=\":443\"; ma=2592000","apim-request-id":"7c425807-d429-4eaf-9903-273394bf3d7b","azureml-model-session":"d20260402083108-57a85543","cache-control":"no-cache","connection":"close","content-length":"765","content-security-policy":"frame-ancestors 'self'","content-type":"application/json","date":"Mon, 20 Apr 2026 04:13:35 GMT","server":"Caddy","skip-error-remapping":"true","strict-transport-security":"max-age=31536000; includeSubDomains; preload","via":"1.1 Caddy","x-api-request-id":"20260420121333473881887Kn4UsYC5","x-content-type-options":"nosniff","x-frame-options":"SAMEORIGIN","x-ms-client-request-id":"Not-Set","x-ms-is-spilled-over":"false","x-ms-rai-invoked":"true","x-ms-region":"East US 2","x-new-api-version":"0.4.39","x-oneapi-request-id":"202604200413333584378858268d9d6IE2c1mV1","x-ratelimit-abusepenalty-active":"False","x-ratelimit-limit-requests":"3850","x-ratelimit-limit-tokens":"3850000","x-ratelimit-remaining-requests":"3849","x-ratelimit-remaining-tokens":"3848318","x-ratelimit-renewalperiod-requests":"60","x-ratelimit-renewalperiod-tokens":"60","x-ratelimit-reset-requests":"15","x-ratelimit-reset-tokens":"26","x-request-id":"6bea7e74-9d4c-4c30-bbb5-fca47a9df41a"}</t>
        </is>
      </c>
      <c r="N7" t="inlineStr">
        <is>
          <t>Chrome Hearts Red Long Sleeve T-Shirt, soft cotton fabric, Gothic logo on sleeves, cross emblem embroidery on chest, unisex loose fit, street style luxury for bold modern looks.</t>
        </is>
      </c>
      <c r="O7" t="inlineStr">
        <is>
          <t>{"choices":[{"finish_reason":"stop","index":0,"logprobs":null,"message":{"annotations":[],"content":"Chrome Hearts, T-Shirts, kakobuy, kakebuy2026, kekobuysheet, kakobuysheet2026, 2026kakobuy, kakobuyspreadsheeet, kakobuylink, kakebuylist, Kakobuy MEGA Spreadsheet, kakobuysheetfind, kakobuysheetfind2026, 2026kakobuysheetfind, kakobuysheet2026","refusal":null,"role":"assistant"}}],"created":1776668274,"id":"chatcmpl-DWcrqFk6DyUA2FlCegV2LHk0mKJrT","model":"gpt-5-chat-latest","object":"chat.completion","service_tier":"default","system_fingerprint":"fp_ad66631dec","usage":{"completion_tokens":92,"completion_tokens_details":{"accepted_prediction_tokens":0,"audio_tokens":0,"reasoning_tokens":0,"rejected_prediction_tokens":0},"prompt_tokens":783,"prompt_tokens_details":{"audio_tokens":0,"cached_tokens":0},"total_tokens":875}}</t>
        </is>
      </c>
      <c r="P7" t="inlineStr">
        <is>
          <t>Chrome Hearts, T-Shirts, kakobuy, kakebuy2026, kekobuysheet, kakobuysheet2026, 2026kakobuy, kakobuyspreadsheeet, kakobuylink, kakebuylist, Kakobuy MEGA Spreadsheet, kakobuysheetfind, kakobuysheetfind2026, 2026kakobuysheetfind, kakobuysheet2026</t>
        </is>
      </c>
      <c r="Q7" t="inlineStr">
        <is>
          <t>Gothic, Streetwear, Unisex, Red</t>
        </is>
      </c>
      <c r="R7" t="inlineStr">
        <is>
          <t>recvh6xFVjyueT</t>
        </is>
      </c>
      <c r="S7" t="inlineStr">
        <is>
          <t>chrome-hearts-red-gothic-long-sleeve-cotton-t-shirt-recvh6xFVjyueT</t>
        </is>
      </c>
      <c r="T7"/>
      <c r="U7"/>
      <c r="V7"/>
      <c r="W7" t="inlineStr">
        <is>
          <t>{"id":"chatcmpl-DWZarPgmpMOIANXECwu2YCJbvviOW","object":"chat.completion","created":1776655689,"model":"gpt-5-chat-latest","choices":[{"index":0,"message":{"role":"assistant","content":"Chrome Hearts 红色长袖T恤，选用柔软纯棉面料，袖侧印白色复古哥特字体Logo，胸前十字徽章刺绣彰显品牌标志性图腾，宽松街头版型，中性设计适合男女，美式高级潮流风，演绎不羁态度与摩登格调。","refusal":null,"annotations":[]},"logprobs":null,"finish_reason":"stop"}],"usage":{"prompt_tokens":1316,"completion_tokens":86,"total_tokens":1402,"prompt_tokens_details":{"cached_tokens":0,"audio_tokens":0},"completion_tokens_details":{"reasoning_tokens":0,"audio_tokens":0,"accepted_prediction_tokens":0,"rejected_prediction_tokens":0}},"service_tier":"default","system_fingerprint":"fp_ad66631dec"}</t>
        </is>
      </c>
      <c r="X7" t="inlineStr">
        <is>
          <t>Chrome Hearts 红色长袖T恤，选用柔软纯棉面料，袖侧印白色复古哥特字体Logo，胸前十字徽章刺绣彰显品牌标志性图腾，宽松街头版型，中性设计适合男女，美式高级潮流风，演绎不羁态度与摩登格调。</t>
        </is>
      </c>
    </row>
    <row r="8" ht="25.5" customHeight="1">
      <c r="A8">
        <v>1839115443</v>
      </c>
      <c r="B8">
        <v>7599102913</v>
      </c>
      <c r="C8" t="inlineStr">
        <is>
          <t>https://weidian.com/item.html?itemID=7599102913</t>
        </is>
      </c>
      <c r="D8"/>
      <c r="E8" s="2" t="str">
        <f>=HYPERLINK("https://si.geilicdn.com/open1832946205-252808396-234100000197e9f5a4ea0a23b491_1000_1000.jpg?w=640&amp;h=640", "https://si.geilicdn.com/open1832946205-252808396-234100000197e9f5a4ea0a23b491_1000_1000.jpg?w=640&amp;h=640")</f>
        <v>https://si.geilicdn.com/open1832946205-252808396-234100000197e9f5a4ea0a23b491_1000_1000.jpg?w=640&amp;h=640</v>
      </c>
      <c r="F8" t="inlineStr">
        <is>
          <t>Hoodies</t>
        </is>
      </c>
      <c r="G8" t="inlineStr">
        <is>
          <t>Playboi Carti</t>
        </is>
      </c>
      <c r="H8" t="inlineStr">
        <is>
          <t>108.00</t>
        </is>
      </c>
      <c r="I8">
        <v>15.65</v>
      </c>
      <c r="J8" t="inlineStr">
        <is>
          <t>{"id":"chatcmpl-DWcC1PSMtWJ1pSdPBFdgxuCmvnIMz","object":"chat.completion","created":1776665681,"model":"gpt-5-chat-latest","choices":[{"index":0,"message":{"role":"assistant","content":"Playboi Carti Grey Cat Oversized Hoodie Unisex Pullover","refusal":null,"annotations":[]},"logprobs":null,"finish_reason":"stop"}],"usage":{"prompt_tokens":878,"completion_tokens":15,"total_tokens":893,"prompt_tokens_details":{"cached_tokens":0,"audio_tokens":0},"completion_tokens_details":{"reasoning_tokens":0,"audio_tokens":0,"accepted_prediction_tokens":0,"rejected_prediction_tokens":0}},"service_tier":"default","system_fingerprint":"fp_ad66631dec"}</t>
        </is>
      </c>
      <c r="K8" t="inlineStr">
        <is>
          <t>Playboi Carti Grey Cat Oversized Hoodie Unisex Pullover</t>
        </is>
      </c>
      <c r="L8" t="inlineStr">
        <is>
          <t>{"choices":[{"finish_reason":"stop","index":0,"logprobs":null,"message":{"annotations":[],"content":"Playboi Carti Grey Cat Print Hoodie, soft cotton fabric, oversized streetwear design, unisex pullover for trendy casual style, essential fashion for hip hop lovers.","refusal":null,"role":"assistant"}}],"created":1776658593,"id":"chatcmpl-DWaLh0ay5LxXGGRqrQENCiBvQJMT3","model":"gpt-5-chat-latest","object":"chat.completion","service_tier":"default","system_fingerprint":"fp_ad66631dec","usage":{"completion_tokens":36,"completion_tokens_details":{"accepted_prediction_tokens":0,"audio_tokens":0,"reasoning_tokens":0,"rejected_prediction_tokens":0},"prompt_tokens":887,"prompt_tokens_details":{"audio_tokens":0,"cached_tokens":0},"total_tokens":923}}</t>
        </is>
      </c>
      <c r="M8" t="inlineStr">
        <is>
          <t>{"alt-svc":"h3=\":443\"; ma=2592000","apim-request-id":"70a305b6-f537-4d21-a570-8fae92333e60","azureml-model-session":"d20260405234249-f9874baf","cache-control":"no-cache","connection":"close","content-length":"752","content-security-policy":"frame-ancestors 'self'","content-type":"application/json","date":"Mon, 20 Apr 2026 04:16:34 GMT","server":"Caddy","skip-error-remapping":"true","strict-transport-security":"max-age=31536000; includeSubDomains; preload","via":"1.1 Caddy","x-api-request-id":"20260420121632378729491MjRJYiS8","x-content-type-options":"nosniff","x-frame-options":"SAMEORIGIN","x-ms-client-request-id":"Not-Set","x-ms-is-spilled-over":"false","x-ms-rai-invoked":"true","x-ms-region":"East US 2","x-new-api-version":"0.4.39","x-oneapi-request-id":"202604200416323128817848268d9d6fs5uZvj8","x-ratelimit-abusepenalty-active":"False","x-ratelimit-limit-requests":"3850","x-ratelimit-limit-tokens":"3850000","x-ratelimit-remaining-requests":"3849","x-ratelimit-remaining-tokens":"3848351","x-ratelimit-renewalperiod-requests":"60","x-ratelimit-renewalperiod-tokens":"60","x-ratelimit-reset-requests":"15","x-ratelimit-reset-tokens":"25","x-request-id":"a354e8f6-402a-43e9-ac8d-f9bacfec2ec9"}</t>
        </is>
      </c>
      <c r="N8" t="inlineStr">
        <is>
          <t>Playboi Carti Grey Cat Print Hoodie, soft cotton fabric, oversized streetwear design, unisex pullover for trendy casual style, essential fashion for hip hop lovers.</t>
        </is>
      </c>
      <c r="O8" t="inlineStr">
        <is>
          <t>{"choices":[{"finish_reason":"stop","index":0,"logprobs":null,"message":{"annotations":[],"content":"Playboi Carti,Hoodies,kakobuy,kakebuy2026,kekobuysheet,kakobuysheet2026,2026kakobuy,kakobuyspreadsheeet,kakobuylink,kakebuylist,Kakobuy MEGA Spreadsheet,kakobuysheetfind,kakobuysheetfind2026,2026kakobuysheetfind,kakobuysheet2026","refusal":null,"role":"assistant"}}],"created":1776667894,"id":"chatcmpl-DWcliIdE610cAccIUAKqq8v6Wxlfa","model":"gpt-5-chat-latest","object":"chat.completion","service_tier":"default","system_fingerprint":"fp_ad66631dec","usage":{"completion_tokens":91,"completion_tokens_details":{"accepted_prediction_tokens":0,"audio_tokens":0,"reasoning_tokens":0,"rejected_prediction_tokens":0},"prompt_tokens":787,"prompt_tokens_details":{"audio_tokens":0,"cached_tokens":0},"total_tokens":878}}</t>
        </is>
      </c>
      <c r="P8" t="inlineStr">
        <is>
          <t>Playboi Carti,Hoodies,kakobuy,kakebuy2026,kekobuysheet,kakobuysheet2026,2026kakobuy,kakobuyspreadsheeet,kakobuylink,kakebuylist,Kakobuy MEGA Spreadsheet,kakobuysheetfind,kakobuysheetfind2026,2026kakobuysheetfind,kakobuysheet2026</t>
        </is>
      </c>
      <c r="Q8" t="inlineStr">
        <is>
          <t>Grey, Streetwear, Hip Hop, Unisex</t>
        </is>
      </c>
      <c r="R8" t="inlineStr">
        <is>
          <t>recvh6xFVjTehj</t>
        </is>
      </c>
      <c r="S8" t="inlineStr">
        <is>
          <t>playboi-carti-grey-cat-hoodie-recvh6xfvjtehj</t>
        </is>
      </c>
      <c r="T8"/>
      <c r="U8"/>
      <c r="V8"/>
      <c r="W8" t="inlineStr">
        <is>
          <t>{"choices":[{"finish_reason":"stop","index":0,"logprobs":null,"message":{"annotations":[],"content":"Playboi Carti：灰色猫咪印花连帽卫衣，柔软棉质材质，宽松街头设计，男女同款，潮流休闲穿搭必备。","refusal":null,"role":"assistant"}}],"created":1776656166,"id":"chatcmpl-DWZiYeZbAYIFo2DqGHkVvpnyYwLcx","model":"gpt-5-chat-latest","object":"chat.completion","service_tier":"default","system_fingerprint":"fp_ad66631dec","usage":{"completion_tokens":45,"completion_tokens_details":{"accepted_prediction_tokens":0,"audio_tokens":0,"reasoning_tokens":0,"rejected_prediction_tokens":0},"prompt_tokens":1330,"prompt_tokens_details":{"audio_tokens":0,"cached_tokens":1280},"total_tokens":1375}}</t>
        </is>
      </c>
      <c r="X8" t="inlineStr">
        <is>
          <t>Playboi Carti：灰色猫咪印花连帽卫衣，柔软棉质材质，宽松街头设计，男女同款，潮流休闲穿搭必备。</t>
        </is>
      </c>
    </row>
    <row r="9" ht="25.5" customHeight="1">
      <c r="A9">
        <v>1839115443</v>
      </c>
      <c r="B9">
        <v>7600931460</v>
      </c>
      <c r="C9" t="inlineStr">
        <is>
          <t>https://weidian.com/item.html?itemID=7600931460</t>
        </is>
      </c>
      <c r="D9"/>
      <c r="E9" s="2" t="str">
        <f>=HYPERLINK("https://si.geilicdn.com/open1832946205-252808396-328100000197e96c5fe80aa0c791_800_800.jpg?w=750&amp;h=750&amp;cp=1", "https://si.geilicdn.com/open1832946205-252808396-328100000197e96c5fe80aa0c791_800_800.jpg?w=750&amp;h=750&amp;cp=1")</f>
        <v>https://si.geilicdn.com/open1832946205-252808396-328100000197e96c5fe80aa0c791_800_800.jpg?w=750&amp;h=750&amp;cp=1</v>
      </c>
      <c r="F9" t="inlineStr">
        <is>
          <t>Hoodies</t>
        </is>
      </c>
      <c r="G9" t="inlineStr">
        <is>
          <t>Broken Planet</t>
        </is>
      </c>
      <c r="H9" t="inlineStr">
        <is>
          <t>210.00</t>
        </is>
      </c>
      <c r="I9">
        <v>30.43</v>
      </c>
      <c r="J9" t="inlineStr">
        <is>
          <t>{"id":"chatcmpl-DWcVvLd80OD73ezUfaBMUdQJL7SMm","object":"chat.completion","created":1776666915,"model":"gpt-5-chat-latest","choices":[{"index":0,"message":{"role":"assistant","content":"Broken Planet Universe Dark Gray Cotton Streetwear Hoodie","refusal":null,"annotations":[]},"logprobs":null,"finish_reason":"stop"}],"usage":{"prompt_tokens":881,"completion_tokens":10,"total_tokens":891,"prompt_tokens_details":{"cached_tokens":0,"audio_tokens":0},"completion_tokens_details":{"reasoning_tokens":0,"audio_tokens":0,"accepted_prediction_tokens":0,"rejected_prediction_tokens":0}},"service_tier":"default","system_fingerprint":"fp_ad66631dec"}</t>
        </is>
      </c>
      <c r="K9" t="inlineStr">
        <is>
          <t>Broken Planet Universe Dark Gray Cotton Streetwear Hoodie</t>
        </is>
      </c>
      <c r="L9" t="inlineStr">
        <is>
          <t>{"choices":[{"finish_reason":"stop","index":0,"logprobs":null,"message":{"annotations":[],"content":"Broken Planet Universe Series Dark Gray Hoodie, made from soft cotton with “trust your universe” and star graphics, features a loose unisex fit and drawstring hood for trendy streetwear style.","refusal":null,"role":"assistant"}}],"created":1776658631,"id":"chatcmpl-DWaMJMiVhYPkQmxJmXVtm2fRVFUt2","model":"gpt-5-chat-latest","object":"chat.completion","service_tier":"default","system_fingerprint":"fp_ad66631dec","usage":{"completion_tokens":39,"completion_tokens_details":{"accepted_prediction_tokens":0,"audio_tokens":0,"reasoning_tokens":0,"rejected_prediction_tokens":0},"prompt_tokens":933,"prompt_tokens_details":{"audio_tokens":0,"cached_tokens":0},"total_tokens":972}}</t>
        </is>
      </c>
      <c r="M9" t="inlineStr">
        <is>
          <t>{"alt-svc":"h3=\":443\"; ma=2592000","apim-request-id":"522275e2-c11a-40eb-a150-e778ac43073f","azureml-model-session":"d20260405234249-f9874baf","cache-control":"no-cache","connection":"close","content-length":"784","content-security-policy":"frame-ancestors 'self'","content-type":"application/json","date":"Mon, 20 Apr 2026 04:17:12 GMT","server":"Caddy","skip-error-remapping":"true","strict-transport-security":"max-age=31536000; includeSubDomains; preload","via":"1.1 Caddy","x-api-request-id":"20260420121710185502333icnzCjH1","x-content-type-options":"nosniff","x-frame-options":"SAMEORIGIN","x-ms-client-request-id":"Not-Set","x-ms-is-spilled-over":"false","x-ms-rai-invoked":"true","x-ms-region":"East US 2","x-new-api-version":"0.4.39","x-oneapi-request-id":"202604200417101180098758268d9d6pfcUomXG","x-ratelimit-abusepenalty-active":"False","x-ratelimit-limit-requests":"3850","x-ratelimit-limit-tokens":"3850000","x-ratelimit-remaining-requests":"3849","x-ratelimit-remaining-tokens":"3848305","x-ratelimit-renewalperiod-requests":"60","x-ratelimit-renewalperiod-tokens":"60","x-ratelimit-reset-requests":"15","x-ratelimit-reset-tokens":"26","x-request-id":"b5e021d5-f200-4ef2-a119-988b980915ec"}</t>
        </is>
      </c>
      <c r="N9" t="inlineStr">
        <is>
          <t>Broken Planet Universe Series Dark Gray Hoodie, made from soft cotton with “trust your universe” and star graphics, features a loose unisex fit and drawstring hood for trendy streetwear style.</t>
        </is>
      </c>
      <c r="O9" t="inlineStr">
        <is>
          <t>{"choices":[{"finish_reason":"stop","index":0,"logprobs":null,"message":{"annotations":[],"content":"Broken Planet, Hoodies, kakobuy, kakebuy2026, kekobuysheet, kakobuysheet2026, 2026kakobuy, kakobuyspreadsheeet, kakobuylink, kakebuylist, Kakobuy MEGA Spreadsheet, kakobuysheetfind, kakobuysheetfind2026, 2026kakobuysheetfind, kakobuysheet2026","refusal":null,"role":"assistant"}}],"created":1776668563,"id":"chatcmpl-DWcwVrggKPJpkuhXXZvl29B5weB8g","model":"gpt-5-chat-latest","object":"chat.completion","service_tier":"default","system_fingerprint":"fp_ad66631dec","usage":{"completion_tokens":92,"completion_tokens_details":{"accepted_prediction_tokens":0,"audio_tokens":0,"reasoning_tokens":0,"rejected_prediction_tokens":0},"prompt_tokens":784,"prompt_tokens_details":{"audio_tokens":0,"cached_tokens":0},"total_tokens":876}}</t>
        </is>
      </c>
      <c r="P9" t="inlineStr">
        <is>
          <t>Broken Planet, Hoodies, kakobuy, kakebuy2026, kekobuysheet, kakobuysheet2026, 2026kakobuy, kakobuyspreadsheeet, kakobuylink, kakebuylist, Kakobuy MEGA Spreadsheet, kakobuysheetfind, kakobuysheetfind2026, 2026kakobuysheetfind, kakobuysheet2026</t>
        </is>
      </c>
      <c r="Q9" t="inlineStr">
        <is>
          <t>Streetwear, Unisex, Dark Grey</t>
        </is>
      </c>
      <c r="R9" t="inlineStr">
        <is>
          <t>recvh6xFVjvE6i</t>
        </is>
      </c>
      <c r="S9" t="inlineStr">
        <is>
          <t>broken-planet-dark-gray-hoodie-recvh6xfvje6i</t>
        </is>
      </c>
      <c r="T9"/>
      <c r="U9"/>
      <c r="V9"/>
      <c r="W9" t="inlineStr">
        <is>
          <t>{"choices":[{"finish_reason":"stop","index":0,"logprobs":null,"message":{"annotations":[],"content":"Broken Planet：宇宙系列深灰色连帽卫衣，柔软棉质材质打造，正面印有“trust your universe”个性字样与星辰图案，呈现未来感与街头潮流融合风格。宽松版型搭配抽绳帽设计，男女皆宜，彰显无性别时尚态度，适合都市休闲与街头穿搭。","refusal":null,"role":"assistant"}}],"created":1776655935,"id":"chatcmpl-DWZeplBZWaI7ZE0o2egazqzrMSMvU","model":"gpt-5-chat-latest","object":"chat.completion","service_tier":"default","system_fingerprint":"fp_ad66631dec","usage":{"completion_tokens":94,"completion_tokens_details":{"accepted_prediction_tokens":0,"audio_tokens":0,"reasoning_tokens":0,"rejected_prediction_tokens":0},"prompt_tokens":1321,"prompt_tokens_details":{"audio_tokens":0,"cached_tokens":0},"total_tokens":1415}}</t>
        </is>
      </c>
      <c r="X9" t="inlineStr">
        <is>
          <t>Broken Planet：宇宙系列深灰色连帽卫衣，柔软棉质材质打造，正面印有“trust your universe”个性字样与星辰图案，呈现未来感与街头潮流融合风格。宽松版型搭配抽绳帽设计，男女皆宜，彰显无性别时尚态度，适合都市休闲与街头穿搭。</t>
        </is>
      </c>
    </row>
    <row r="10" ht="25.5" customHeight="1">
      <c r="A10">
        <v>1839115443</v>
      </c>
      <c r="B10">
        <v>7600953558</v>
      </c>
      <c r="C10" t="inlineStr">
        <is>
          <t>https://weidian.com/item.html?itemID=7600953558</t>
        </is>
      </c>
      <c r="D10"/>
      <c r="E10" s="2" t="str">
        <f>=HYPERLINK("https://si.geilicdn.com/open1832946205-252808396-009f00000196ccf2760b0a8115c2_750_750.jpg?w=640&amp;h=640", "https://si.geilicdn.com/open1832946205-252808396-009f00000196ccf2760b0a8115c2_750_750.jpg?w=640&amp;h=640")</f>
        <v>https://si.geilicdn.com/open1832946205-252808396-009f00000196ccf2760b0a8115c2_750_750.jpg?w=640&amp;h=640</v>
      </c>
      <c r="F10" t="inlineStr">
        <is>
          <t>Hoodies</t>
        </is>
      </c>
      <c r="G10" t="inlineStr">
        <is>
          <t>Play</t>
        </is>
      </c>
      <c r="H10" t="inlineStr">
        <is>
          <t>95.00</t>
        </is>
      </c>
      <c r="I10">
        <v>13.77</v>
      </c>
      <c r="J10" t="inlineStr">
        <is>
          <t>{"choices":[{"finish_reason":"stop","index":0,"logprobs":null,"message":{"annotations":[],"content":"HoodiesPlay Black Heart Eyes Unisex Cotton Hoodie","refusal":null,"role":"assistant"}}],"created":1776666571,"id":"chatcmpl-DWcQN9XkJU4qxThqYCY1ejn9YzZ1n","model":"gpt-5-chat-latest","object":"chat.completion","service_tier":"default","system_fingerprint":"fp_ad66631dec","usage":{"completion_tokens":12,"completion_tokens_details":{"accepted_prediction_tokens":0,"audio_tokens":0,"reasoning_tokens":0,"rejected_prediction_tokens":0},"prompt_tokens":872,"prompt_tokens_details":{"audio_tokens":0,"cached_tokens":0},"total_tokens":884}}</t>
        </is>
      </c>
      <c r="K10" t="inlineStr">
        <is>
          <t>HoodiesPlay Black Heart Eyes Unisex Cotton Hoodie</t>
        </is>
      </c>
      <c r="L10" t="inlineStr">
        <is>
          <t>{"id":"chatcmpl-DWaakILey1pdgUSRe25zbpMgiAi9K","object":"chat.completion","created":1776659526,"model":"gpt-5-chat-latest","choices":[{"index":0,"message":{"role":"assistant","content":"HoodiesPlayPlay Black Heart Eyes Hoodie – made of soft premium cotton, featuring a relaxed unisex fit and minimalist street style for a cool, playful fashion statement.","refusal":null,"annotations":[]},"logprobs":null,"finish_reason":"stop"}],"usage":{"prompt_tokens":887,"completion_tokens":35,"total_tokens":922,"prompt_tokens_details":{"cached_tokens":0,"audio_tokens":0},"completion_tokens_details":{"reasoning_tokens":0,"audio_tokens":0,"accepted_prediction_tokens":0,"rejected_prediction_tokens":0}},"service_tier":"default","system_fingerprint":"fp_ad66631dec"}</t>
        </is>
      </c>
      <c r="M10"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ma=2592000","apim-request-id":"2f30356f-d849-4912-a90d-9b9c30dc3609","azureml-model-session":"d20260405234249-f9874baf","cache-control":"no-cache, no-store, must-revalidate","connection":"close","content-length":"974","content-security-policy":"frame-ancestors 'self'","content-type":"application/json","date":"Mon, 20 Apr 2026 04:32:08 GMT","server":"Caddy","skip-error-remapping":"true","strict-transport-security":"max-age=31536000; includeSubDomains; preload","via":"1.1 Caddy","x-api-request-id":"2026042012320569542740DgZHgpU7","x-content-type-options":"nosniff","x-frame-options":"SAMEORIGIN","x-ms-is-spilled-over":"false","x-ms-rai-invoked":"false","x-ms-region":"Sweden Central","x-new-api-version":"0.4.39","x-oneapi-request-id":"2026042004320522062168268d9d6OkFxaMEo","x-ratelimit-abusepenalty-active":"False","x-ratelimit-limit-requests":"4993","x-ratelimit-limit-tokens":"4993000","x-ratelimit-remaining-requests":"4992","x-ratelimit-remaining-tokens":"4991351","x-ratelimit-renewalperiod-requests":"60","x-ratelimit-renewalperiod-tokens":"60","x-ratelimit-reset-requests":"12","x-ratelimit-reset-tokens":"19","x-request-id":"52b86161-405c-44e1-be9f-3966b49b143c"}</t>
        </is>
      </c>
      <c r="N10" t="inlineStr">
        <is>
          <t>HoodiesPlayPlay Black Heart Eyes Hoodie – made of soft premium cotton, featuring a relaxed unisex fit and minimalist street style for a cool, playful fashion statement.</t>
        </is>
      </c>
      <c r="O10" t="inlineStr">
        <is>
          <t>{"choices":[{"finish_reason":"stop","index":0,"logprobs":null,"message":{"annotations":[],"content":"HoodiesPlay,Hoodie,kakobuy,kakebuy2026,kekobuysheet,kakobuysheet2026,2026kakobuy,kakobuyspreadsheeet,kakobuylink,kakebuylist,Kakobuy MEGA Spreadsheet,kakobuysheetfind,kakobuysheetfind2026,2026kakobuysheetfind,kakobuysheet2026","refusal":null,"role":"assistant"}}],"created":1776668911,"id":"chatcmpl-DWd275hHQ41Yc9cNbiqu0sp9GBQUV","model":"gpt-5-chat-latest","object":"chat.completion","service_tier":"default","system_fingerprint":"fp_ad66631dec","usage":{"completion_tokens":90,"completion_tokens_details":{"accepted_prediction_tokens":0,"audio_tokens":0,"reasoning_tokens":0,"rejected_prediction_tokens":0},"prompt_tokens":783,"prompt_tokens_details":{"audio_tokens":0,"cached_tokens":0},"total_tokens":873}}</t>
        </is>
      </c>
      <c r="P10" t="inlineStr">
        <is>
          <t>HoodiesPlay,Hoodie,kakobuy,kakebuy2026,kekobuysheet,kakobuysheet2026,2026kakobuy,kakobuyspreadsheeet,kakobuylink,kakebuylist,Kakobuy MEGA Spreadsheet,kakobuysheetfind,kakobuysheetfind2026,2026kakobuysheetfind,kakobuysheet2026</t>
        </is>
      </c>
      <c r="Q10" t="inlineStr">
        <is>
          <t>Unisex, Street, Minimalist, Fashion</t>
        </is>
      </c>
      <c r="R10" t="inlineStr">
        <is>
          <t>recvh6xFVjBMxx</t>
        </is>
      </c>
      <c r="S10" t="inlineStr">
        <is>
          <t>hoodiesplay-black-heart-eyes-hoodie-recvh6xFVjBMxx</t>
        </is>
      </c>
      <c r="T10"/>
      <c r="U10"/>
      <c r="V10"/>
      <c r="W10" t="inlineStr">
        <is>
          <t>{"id":"chatcmpl-DWZQdxtUM8WZ0dPYMQQYUMSZGqnjv","object":"chat.completion","created":1776655055,"model":"gpt-5-chat-latest","choices":[{"index":0,"message":{"role":"assistant","content":"Play：黑色心形眼睛图腾连帽卫衣，精选柔软纯棉面料，宽松剪裁展现简约街头风格，男女皆宜，彰显潮酷玩味个性。","refusal":null,"annotations":[]},"logprobs":null,"finish_reason":"stop"}],"usage":{"prompt_tokens":1314,"completion_tokens":51,"total_tokens":1365,"prompt_tokens_details":{"cached_tokens":0,"audio_tokens":0},"completion_tokens_details":{"reasoning_tokens":0,"audio_tokens":0,"accepted_prediction_tokens":0,"rejected_prediction_tokens":0}},"service_tier":"default","system_fingerprint":"fp_ad66631dec"}</t>
        </is>
      </c>
      <c r="X10" t="inlineStr">
        <is>
          <t>Play：黑色心形眼睛图腾连帽卫衣，精选柔软纯棉面料，宽松剪裁展现简约街头风格，男女皆宜，彰显潮酷玩味个性。</t>
        </is>
      </c>
    </row>
    <row r="11" ht="25.5" customHeight="1">
      <c r="A11">
        <v>1839115443</v>
      </c>
      <c r="B11">
        <v>7599151811</v>
      </c>
      <c r="C11" t="inlineStr">
        <is>
          <t>https://weidian.com/item.html?itemID=7599151811</t>
        </is>
      </c>
      <c r="D11"/>
      <c r="E11" s="2" t="str">
        <f>=HYPERLINK("https://si.geilicdn.com/open1832946205-252808396-498600000197e9b36aba0a8133b0_800_800.jpg?w=640&amp;h=640", "https://si.geilicdn.com/open1832946205-252808396-498600000197e9b36aba0a8133b0_800_800.jpg?w=640&amp;h=640")</f>
        <v>https://si.geilicdn.com/open1832946205-252808396-498600000197e9b36aba0a8133b0_800_800.jpg?w=640&amp;h=640</v>
      </c>
      <c r="F11" t="inlineStr">
        <is>
          <t>Hoodies</t>
        </is>
      </c>
      <c r="G11" t="inlineStr">
        <is>
          <t>Stone Island</t>
        </is>
      </c>
      <c r="H11" t="inlineStr">
        <is>
          <t>196.00</t>
        </is>
      </c>
      <c r="I11">
        <v>28.41</v>
      </c>
      <c r="J11" t="inlineStr">
        <is>
          <t>{"id":"chatcmpl-DWcDJfEJpyFRLIDuFnLz7CQSuTqIJ","object":"chat.completion","created":1776665761,"model":"gpt-5-chat-latest","choices":[{"index":0,"message":{"role":"assistant","content":"Stone Island Black Cotton Zip Hoodie Unisex Casual","refusal":null,"annotations":[]},"logprobs":null,"finish_reason":"stop"}],"usage":{"prompt_tokens":875,"completion_tokens":10,"total_tokens":885,"prompt_tokens_details":{"cached_tokens":0,"audio_tokens":0},"completion_tokens_details":{"reasoning_tokens":0,"audio_tokens":0,"accepted_prediction_tokens":0,"rejected_prediction_tokens":0}},"service_tier":"default","system_fingerprint":"fp_ad66631dec"}</t>
        </is>
      </c>
      <c r="K11" t="inlineStr">
        <is>
          <t>Stone Island Black Cotton Zip Hoodie Unisex Casual</t>
        </is>
      </c>
      <c r="L11" t="inlineStr">
        <is>
          <t>{"choices":[{"finish_reason":"stop","index":0,"logprobs":null,"message":{"annotations":[],"content":"Stone Island black cotton zip hoodie, soft and elastic with the iconic compass logo on the sleeve. Minimalist design blends streetwear and military style for versatile unisex casual wear.","refusal":null,"role":"assistant"}}],"created":1776659574,"id":"chatcmpl-DWabWFA6Nr4hTNWhoWZ1DUxyxMpOU","model":"gpt-5-chat-latest","object":"chat.completion","service_tier":"default","system_fingerprint":"fp_ad66631dec","usage":{"completion_tokens":36,"completion_tokens_details":{"accepted_prediction_tokens":0,"audio_tokens":0,"reasoning_tokens":0,"rejected_prediction_tokens":0},"prompt_tokens":906,"prompt_tokens_details":{"audio_tokens":0,"cached_tokens":0},"total_tokens":942}}</t>
        </is>
      </c>
      <c r="M11" t="inlineStr">
        <is>
          <t>{"alt-svc":"h3=\":443\"; ma=2592000","apim-request-id":"87b52663-a252-4602-9be7-a9770c89339b","azureml-model-session":"d20260402083108-57a85543","cache-control":"no-cache","connection":"close","content-length":"775","content-security-policy":"frame-ancestors 'self'","content-type":"application/json","date":"Mon, 20 Apr 2026 04:32:56 GMT","server":"Caddy","skip-error-remapping":"true","strict-transport-security":"max-age=31536000; includeSubDomains; preload","via":"1.1 Caddy","x-api-request-id":"2026042012325448690103bGkTQ1hM","x-content-type-options":"nosniff","x-frame-options":"SAMEORIGIN","x-ms-client-request-id":"Not-Set","x-ms-is-spilled-over":"false","x-ms-rai-invoked":"true","x-ms-region":"East US 2","x-new-api-version":"0.4.39","x-oneapi-request-id":"202604200432539810974828268d9d6ru4D9t1M","x-ratelimit-abusepenalty-active":"False","x-ratelimit-limit-requests":"3850","x-ratelimit-limit-tokens":"3850000","x-ratelimit-remaining-requests":"3849","x-ratelimit-remaining-tokens":"3848332","x-ratelimit-renewalperiod-requests":"60","x-ratelimit-renewalperiod-tokens":"60","x-ratelimit-reset-requests":"15","x-ratelimit-reset-tokens":"25","x-request-id":"36853601-b77f-4348-8e2c-16cfaf8a5715"}</t>
        </is>
      </c>
      <c r="N11" t="inlineStr">
        <is>
          <t>Stone Island black cotton zip hoodie, soft and elastic with the iconic compass logo on the sleeve. Minimalist design blends streetwear and military style for versatile unisex casual wear.</t>
        </is>
      </c>
      <c r="O11" t="inlineStr">
        <is>
          <t>{"choices":[{"finish_reason":"stop","index":0,"logprobs":null,"message":{"annotations":[],"content":"Stone Island, Hoodies, kakobuy, kakebuy2026, kekobuysheet, kakobuysheet2026, 2026kakobuy, kakobuyspreadsheeet, kakobuylink, kakebuylist, Kakobuy MEGA Spreadsheet, kakobuysheetfind, kakobuysheetfind2026, 2026kakobuysheetfind, kakobuysheet2026","refusal":null,"role":"assistant"}}],"created":1776668426,"id":"chatcmpl-DWcuI5b9xlxaz032htt9vilx9P67G","model":"gpt-5-chat-latest","object":"chat.completion","service_tier":"default","system_fingerprint":"fp_ad66631dec","usage":{"completion_tokens":92,"completion_tokens_details":{"accepted_prediction_tokens":0,"audio_tokens":0,"reasoning_tokens":0,"rejected_prediction_tokens":0},"prompt_tokens":784,"prompt_tokens_details":{"audio_tokens":0,"cached_tokens":0},"total_tokens":876}}</t>
        </is>
      </c>
      <c r="P11" t="inlineStr">
        <is>
          <t>Stone Island, Hoodies, kakobuy, kakebuy2026, kekobuysheet, kakobuysheet2026, 2026kakobuy, kakobuyspreadsheeet, kakobuylink, kakebuylist, Kakobuy MEGA Spreadsheet, kakobuysheetfind, kakobuysheetfind2026, 2026kakobuysheetfind, kakobuysheet2026</t>
        </is>
      </c>
      <c r="Q11" t="inlineStr">
        <is>
          <t>Black, Minimalist, Streetwear, Unisex</t>
        </is>
      </c>
      <c r="R11" t="inlineStr">
        <is>
          <t>recvh6xFVjkMD9</t>
        </is>
      </c>
      <c r="S11" t="inlineStr">
        <is>
          <t>stone-island-black-cotton-zip-hoodie-recvh6xFVjkMD9</t>
        </is>
      </c>
      <c r="T11"/>
      <c r="U11"/>
      <c r="V11"/>
      <c r="W11" t="inlineStr">
        <is>
          <t>{"id":"chatcmpl-DWZUf2zwxRSuICngvPX6fMcExyVeH","object":"chat.completion","created":1776655305,"model":"gpt-5-chat-latest","choices":[{"index":0,"message":{"role":"assistant","content":"Stone Island：黑色连帽拉链卫衣，以优质纯棉面料打造，柔软舒适兼具弹性。左臂标志性罗盘徽标彰显品牌识别，简约线条设计融合街头军装风格，适合男女日常休闲穿搭。","refusal":null,"annotations":[]},"logprobs":null,"finish_reason":"stop"}],"usage":{"prompt_tokens":1315,"completion_tokens":70,"total_tokens":1385,"prompt_tokens_details":{"cached_tokens":0,"audio_tokens":0},"completion_tokens_details":{"reasoning_tokens":0,"audio_tokens":0,"accepted_prediction_tokens":0,"rejected_prediction_tokens":0}},"service_tier":"default","system_fingerprint":"fp_ad66631dec"}</t>
        </is>
      </c>
      <c r="X11" t="inlineStr">
        <is>
          <t>Stone Island：黑色连帽拉链卫衣，以优质纯棉面料打造，柔软舒适兼具弹性。左臂标志性罗盘徽标彰显品牌识别，简约线条设计融合街头军装风格，适合男女日常休闲穿搭。</t>
        </is>
      </c>
    </row>
    <row r="12" ht="25.5" customHeight="1">
      <c r="A12">
        <v>1839115443</v>
      </c>
      <c r="B12">
        <v>7601059676</v>
      </c>
      <c r="C12" t="inlineStr">
        <is>
          <t>https://weidian.com/item.html?itemID=7601059676</t>
        </is>
      </c>
      <c r="D12"/>
      <c r="E12" s="2" t="str">
        <f>=HYPERLINK("https://si.geilicdn.com/open1832946205-252808396-5c3e00000197e95a03de0a23b491_900_900.jpg?w=750&amp;h=750&amp;cp=1", "https://si.geilicdn.com/open1832946205-252808396-5c3e00000197e95a03de0a23b491_900_900.jpg?w=750&amp;h=750&amp;cp=1")</f>
        <v>https://si.geilicdn.com/open1832946205-252808396-5c3e00000197e95a03de0a23b491_900_900.jpg?w=750&amp;h=750&amp;cp=1</v>
      </c>
      <c r="F12" t="inlineStr">
        <is>
          <t>Hoodies</t>
        </is>
      </c>
      <c r="G12" t="inlineStr">
        <is>
          <t>Travis Scott</t>
        </is>
      </c>
      <c r="H12" t="inlineStr">
        <is>
          <t>207.00</t>
        </is>
      </c>
      <c r="I12">
        <v>30</v>
      </c>
      <c r="J12" t="inlineStr">
        <is>
          <t>{"id":"chatcmpl-DWcNhBf4X8UNVFGZLuhE3crmcHAJ7","object":"chat.completion","created":1776666405,"model":"gpt-5-chat-latest","choices":[{"index":0,"message":{"role":"assistant","content":"Travis Scott Astroworld Tour Black Hoodie Unisex","refusal":null,"annotations":[]},"logprobs":null,"finish_reason":"stop"}],"usage":{"prompt_tokens":896,"completion_tokens":12,"total_tokens":908,"prompt_tokens_details":{"cached_tokens":0,"audio_tokens":0},"completion_tokens_details":{"reasoning_tokens":0,"audio_tokens":0,"accepted_prediction_tokens":0,"rejected_prediction_tokens":0}},"service_tier":"default","system_fingerprint":"fp_ad66631dec"}</t>
        </is>
      </c>
      <c r="K12" t="inlineStr">
        <is>
          <t>Travis Scott Astroworld Tour Black Hoodie Unisex</t>
        </is>
      </c>
      <c r="L12" t="inlineStr">
        <is>
          <t>{"id":"chatcmpl-DWaKqzELbhPPSfIgIr2ntt5wBxz79","object":"chat.completion","created":1776658540,"model":"gpt-5-chat-latest","choices":[{"index":0,"message":{"role":"assistant","content":"Travis Scott Astroworld Tour Hoodie, black cotton, electric blue front text, red “Wish You Were Here” back print with tour dates, street art design, unisex fit, warm and stylish hip-hop vibe.","refusal":null,"annotations":[]},"logprobs":null,"finish_reason":"stop"}],"usage":{"prompt_tokens":940,"completion_tokens":46,"total_tokens":986,"prompt_tokens_details":{"cached_tokens":0,"audio_tokens":0},"completion_tokens_details":{"reasoning_tokens":0,"audio_tokens":0,"accepted_prediction_tokens":0,"rejected_prediction_tokens":0}},"service_tier":"default","system_fingerprint":"fp_ad66631dec"}</t>
        </is>
      </c>
      <c r="M12"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ma=2592000","apim-request-id":"9a7731cf-6691-47e7-bb2d-fd0233b70e61","azureml-model-session":"d20260405234249-f9874baf","cache-control":"no-cache, no-store, must-revalidate","connection":"close","content-length":"999","content-security-policy":"frame-ancestors 'self'","content-type":"application/json","date":"Mon, 20 Apr 2026 04:15:41 GMT","server":"nginx","skip-error-remapping":"true","strict-transport-security":"max-age=31536000; includeSubDomains; preload","via":"1.1 Caddy, 1.1 Caddy","x-api-request-id":"20260420121539694735603JmxnbIBf","x-content-type-options":"nosniff","x-frame-options":"SAMEORIGIN","x-ms-is-spilled-over":"false","x-ms-rai-invoked":"false","x-ms-region":"East US 2","x-new-api-version":"0.4.39","x-oneapi-request-id":"202604200415396271927788268d9d6CM6O9zLU","x-ratelimit-abusepenalty-active":"False","x-ratelimit-limit-requests":"4994","x-ratelimit-limit-tokens":"4994000","x-ratelimit-remaining-requests":"4993","x-ratelimit-remaining-tokens":"4992298","x-ratelimit-renewalperiod-requests":"60","x-ratelimit-renewalperiod-tokens":"60","x-ratelimit-reset-requests":"12","x-ratelimit-reset-tokens":"20","x-request-id":"5f32f5b5-8c76-4527-8d69-a337856d3a83"}</t>
        </is>
      </c>
      <c r="N12" t="inlineStr">
        <is>
          <t>Travis Scott Astroworld Tour Hoodie, black cotton, electric blue front text, red “Wish You Were Here” back print with tour dates, street art design, unisex fit, warm and stylish hip-hop vibe.</t>
        </is>
      </c>
      <c r="O12" t="inlineStr">
        <is>
          <t>{"choices":[{"finish_reason":"stop","index":0,"logprobs":null,"message":{"annotations":[],"content":"Travis Scott, Hoodies, kakobuy, kakebuy2026, kekobuysheet, kakobuysheet2026, 2026kakobuy, kakobuyspreadsheeet, kakobuylink, kakebuylist, Kakobuy MEGA Spreadsheet, kakobuysheetfind, kakobuysheetfind2026, 2026kakobuysheetfind, kakobuysheet2026","refusal":null,"role":"assistant"}}],"created":1776668052,"id":"chatcmpl-DWcoG9s8bB7qFI1RlqVt0LMlskqRc","model":"gpt-5-chat-latest","object":"chat.completion","service_tier":"default","system_fingerprint":"fp_ad66631dec","usage":{"completion_tokens":93,"completion_tokens_details":{"accepted_prediction_tokens":0,"audio_tokens":0,"reasoning_tokens":0,"rejected_prediction_tokens":0},"prompt_tokens":785,"prompt_tokens_details":{"audio_tokens":0,"cached_tokens":0},"total_tokens":878}}</t>
        </is>
      </c>
      <c r="P12" t="inlineStr">
        <is>
          <t>Travis Scott, Hoodies, kakobuy, kakebuy2026, kekobuysheet, kakobuysheet2026, 2026kakobuy, kakobuyspreadsheeet, kakobuylink, kakebuylist, Kakobuy MEGA Spreadsheet, kakobuysheetfind, kakobuysheetfind2026, 2026kakobuysheetfind, kakobuysheet2026</t>
        </is>
      </c>
      <c r="Q12" t="inlineStr">
        <is>
          <t>Black, Street, Hip Hop, Unisex, Autumn And Winter</t>
        </is>
      </c>
      <c r="R12" t="inlineStr">
        <is>
          <t>recvh6xFVj8awm</t>
        </is>
      </c>
      <c r="S12" t="inlineStr">
        <is>
          <t>travis-scott-astroworld-hoodie-recvh6xFVj8awm</t>
        </is>
      </c>
      <c r="T12"/>
      <c r="U12"/>
      <c r="V12"/>
      <c r="W12" t="inlineStr">
        <is>
          <t>{"id":"chatcmpl-DWZUQVepp2o3rS7p6LjhrLHaY6Tst","object":"chat.completion","created":1776655290,"model":"gpt-5-chat-latest","choices":[{"index":0,"message":{"role":"assistant","content":"Travis Scott黑色ASTROWORLD巡演连帽卫衣，以优质棉质面料打造，前胸电光蓝字体设计，背面印有巡演日期与红色“Wish You Were Here”图腾，展现街头艺术气息与潮流能量。男女通用款，宽松版型，舒适保暖，彰显当代嘻哈与复古美学的完美融合。","refusal":null,"annotations":[]},"logprobs":null,"finish_reason":"stop"}],"usage":{"prompt_tokens":1331,"completion_tokens":97,"total_tokens":1428,"prompt_tokens_details":{"cached_tokens":0,"audio_tokens":0},"completion_tokens_details":{"reasoning_tokens":0,"audio_tokens":0,"accepted_prediction_tokens":0,"rejected_prediction_tokens":0}},"service_tier":"default","system_fingerprint":"fp_ad66631dec"}</t>
        </is>
      </c>
      <c r="X12" t="inlineStr">
        <is>
          <t>Travis Scott黑色ASTROWORLD巡演连帽卫衣，以优质棉质面料打造，前胸电光蓝字体设计，背面印有巡演日期与红色“Wish You Were Here”图腾，展现街头艺术气息与潮流能量。男女通用款，宽松版型，舒适保暖，彰显当代嘻哈与复古美学的完美融合。</t>
        </is>
      </c>
    </row>
    <row r="13" ht="25.5" customHeight="1">
      <c r="A13">
        <v>1839115443</v>
      </c>
      <c r="B13">
        <v>7599086427</v>
      </c>
      <c r="C13" t="inlineStr">
        <is>
          <t>https://weidian.com/item.html?itemID=7599086427</t>
        </is>
      </c>
      <c r="D13"/>
      <c r="E13" s="2" t="str">
        <f>=HYPERLINK("https://si.geilicdn.com/open1832946205-252808396-67c000000197e9c80a380a8115c2_800_800.jpg?w=640&amp;h=640", "https://si.geilicdn.com/open1832946205-252808396-67c000000197e9c80a380a8115c2_800_800.jpg?w=640&amp;h=640")</f>
        <v>https://si.geilicdn.com/open1832946205-252808396-67c000000197e9c80a380a8115c2_800_800.jpg?w=640&amp;h=640</v>
      </c>
      <c r="F13" t="inlineStr">
        <is>
          <t>Hoodies</t>
        </is>
      </c>
      <c r="G13" t="inlineStr">
        <is>
          <t>CP Company</t>
        </is>
      </c>
      <c r="H13" t="inlineStr">
        <is>
          <t>152.00</t>
        </is>
      </c>
      <c r="I13">
        <v>22.03</v>
      </c>
      <c r="J13" t="inlineStr">
        <is>
          <t>{"id":"chatcmpl-DWcSj5spYRykEGRqxBEQbVu2IE41K","object":"chat.completion","created":1776666717,"model":"gpt-5-chat-latest","choices":[{"index":0,"message":{"role":"assistant","content":"CP Company Blue Goggle Hoodie Unisex Cotton Streetwear","refusal":null,"annotations":[]},"logprobs":null,"finish_reason":"stop"}],"usage":{"prompt_tokens":873,"completion_tokens":12,"total_tokens":885,"prompt_tokens_details":{"cached_tokens":0,"audio_tokens":0},"completion_tokens_details":{"reasoning_tokens":0,"audio_tokens":0,"accepted_prediction_tokens":0,"rejected_prediction_tokens":0}},"service_tier":"default","system_fingerprint":"fp_ad66631dec"}</t>
        </is>
      </c>
      <c r="K13" t="inlineStr">
        <is>
          <t>CP Company Blue Goggle Hoodie Unisex Cotton Streetwear</t>
        </is>
      </c>
      <c r="L13" t="inlineStr">
        <is>
          <t>{"choices":[{"finish_reason":"stop","index":0,"logprobs":null,"message":{"annotations":[],"content":"CP Company blue cotton hoodie with soft fabric, minimalist embroidered logo, iconic goggle hood design, unisex streetwear style for casual everyday looks and modern British fashion vibes.","refusal":null,"role":"assistant"}}],"created":1776659312,"id":"chatcmpl-DWaXIhoiSqhjwRUgpaGNxlixDwPC6","model":"gpt-5-chat-latest","object":"chat.completion","service_tier":"default","system_fingerprint":"fp_ad66631dec","usage":{"completion_tokens":35,"completion_tokens_details":{"accepted_prediction_tokens":0,"audio_tokens":0,"reasoning_tokens":0,"rejected_prediction_tokens":0},"prompt_tokens":899,"prompt_tokens_details":{"audio_tokens":0,"cached_tokens":0},"total_tokens":934}}</t>
        </is>
      </c>
      <c r="M13" t="inlineStr">
        <is>
          <t>{"alt-svc":"h3=\":443\"; ma=2592000","apim-request-id":"0c9ab604-8f6d-46f2-bb8e-2cf78c28747e","azureml-model-session":"d20260402083108-57a85543","cache-control":"no-cache","connection":"close","content-length":"775","content-security-policy":"frame-ancestors 'self'","content-type":"application/json","date":"Mon, 20 Apr 2026 04:28:33 GMT","server":"Caddy","skip-error-remapping":"true","strict-transport-security":"max-age=31536000; includeSubDomains; preload","via":"1.1 Caddy","x-api-request-id":"20260420122831955701520ABJg2iAV","x-content-type-options":"nosniff","x-frame-options":"SAMEORIGIN","x-ms-client-request-id":"Not-Set","x-ms-is-spilled-over":"false","x-ms-rai-invoked":"true","x-ms-region":"East US 2","x-new-api-version":"0.4.39","x-oneapi-request-id":"202604200428316808305078268d9d6AcWke6mx","x-ratelimit-abusepenalty-active":"False","x-ratelimit-limit-requests":"3850","x-ratelimit-limit-tokens":"3850000","x-ratelimit-remaining-requests":"3849","x-ratelimit-remaining-tokens":"3848339","x-ratelimit-renewalperiod-requests":"60","x-ratelimit-renewalperiod-tokens":"60","x-ratelimit-reset-requests":"15","x-ratelimit-reset-tokens":"25","x-request-id":"04ebb881-afa1-4d25-9401-4f173ea3665e"}</t>
        </is>
      </c>
      <c r="N13" t="inlineStr">
        <is>
          <t>CP Company blue cotton hoodie with soft fabric, minimalist embroidered logo, iconic goggle hood design, unisex streetwear style for casual everyday looks and modern British fashion vibes.</t>
        </is>
      </c>
      <c r="O13" t="inlineStr">
        <is>
          <t>{"choices":[{"finish_reason":"stop","index":0,"logprobs":null,"message":{"annotations":[],"content":"CP Company,Hoodies,kakobuy,kakebuy2026,kekobuysheet,kakobuysheet2026,2026kakobuy,kakobuyspreadsheeet,kakobuylink,kakebuylist,Kakobuy MEGA Spreadsheet,kakobuysheetfind,kakobuysheetfind2026,2026kakobuysheetfind,kakobuysheet2026","refusal":null,"role":"assistant"}}],"created":1776668611,"id":"chatcmpl-DWcxH5Lzxefx9Vu7EiGx3Y4llxs75","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is>
      </c>
      <c r="P13" t="inlineStr">
        <is>
          <t>CP Company,Hoodies,kakobuy,kakebuy2026,kekobuysheet,kakobuysheet2026,2026kakobuy,kakobuyspreadsheeet,kakobuylink,kakebuylist,Kakobuy MEGA Spreadsheet,kakobuysheetfind,kakobuysheetfind2026,2026kakobuysheetfind,kakobuysheet2026</t>
        </is>
      </c>
      <c r="Q13" t="inlineStr">
        <is>
          <t>Blue, Streetwear, Minimalist, Unisex</t>
        </is>
      </c>
      <c r="R13" t="inlineStr">
        <is>
          <t>recvh6xFVj8JBb</t>
        </is>
      </c>
      <c r="S13" t="inlineStr">
        <is>
          <t>cp-company-blue-goggle-hoodie-recvh6xfvj8jbb</t>
        </is>
      </c>
      <c r="T13"/>
      <c r="U13"/>
      <c r="V13"/>
      <c r="W13" t="inlineStr">
        <is>
          <t>{"choices":[{"finish_reason":"stop","index":0,"logprobs":null,"message":{"annotations":[],"content":"CP Company蓝色连帽卫衣，采用柔软棉质面料，正面简约刺绣logo，标志性护目镜设计，街头机能风格，男女皆宜，休闲百搭，展现现代英伦潮流态度。","refusal":null,"role":"assistant"}}],"created":1776656246,"id":"chatcmpl-DWZjqqWIAQdnontIONWoH9yGcUqYx","model":"gpt-5-chat-latest","object":"chat.completion","service_tier":"default","system_fingerprint":"fp_ad66631dec","usage":{"completion_tokens":62,"completion_tokens_details":{"accepted_prediction_tokens":0,"audio_tokens":0,"reasoning_tokens":0,"rejected_prediction_tokens":0},"prompt_tokens":1317,"prompt_tokens_details":{"audio_tokens":0,"cached_tokens":0},"total_tokens":1379}}</t>
        </is>
      </c>
      <c r="X13" t="inlineStr">
        <is>
          <t>CP Company蓝色连帽卫衣，采用柔软棉质面料，正面简约刺绣logo，标志性护目镜设计，街头机能风格，男女皆宜，休闲百搭，展现现代英伦潮流态度。</t>
        </is>
      </c>
    </row>
    <row r="14" ht="25.5" customHeight="1">
      <c r="A14">
        <v>1839115443</v>
      </c>
      <c r="B14">
        <v>7601006874</v>
      </c>
      <c r="C14" t="inlineStr">
        <is>
          <t>https://weidian.com/item.html?itemID=7601006874</t>
        </is>
      </c>
      <c r="D14"/>
      <c r="E14" s="2" t="str">
        <f>=HYPERLINK("https://si.geilicdn.com/open1832946205-252808396-3b32000001963d47e6350aa08290_800_800.jpg?w=640&amp;h=640", "https://si.geilicdn.com/open1832946205-252808396-3b32000001963d47e6350aa08290_800_800.jpg?w=640&amp;h=640")</f>
        <v>https://si.geilicdn.com/open1832946205-252808396-3b32000001963d47e6350aa08290_800_800.jpg?w=640&amp;h=640</v>
      </c>
      <c r="F14" t="inlineStr">
        <is>
          <t>Hoodies</t>
        </is>
      </c>
      <c r="G14" t="inlineStr">
        <is>
          <t>Acne Studios</t>
        </is>
      </c>
      <c r="H14" t="inlineStr">
        <is>
          <t>370.00</t>
        </is>
      </c>
      <c r="I14">
        <v>53.62</v>
      </c>
      <c r="J14" t="inlineStr">
        <is>
          <t>{"choices":[{"finish_reason":"stop","index":0,"logprobs":null,"message":{"annotations":[],"content":"Acne Studios Black Vintage Stockholm 1996 Unisex Hoodie","refusal":null,"role":"assistant"}}],"created":1776665798,"id":"chatcmpl-DWcDu8uKLqG7EdCdxn4d6iHd3ZjNu","model":"gpt-5-chat-latest","object":"chat.completion","service_tier":"default","system_fingerprint":"fp_ad66631dec","usage":{"completion_tokens":13,"completion_tokens_details":{"accepted_prediction_tokens":0,"audio_tokens":0,"reasoning_tokens":0,"rejected_prediction_tokens":0},"prompt_tokens":886,"prompt_tokens_details":{"audio_tokens":0,"cached_tokens":0},"total_tokens":899}}</t>
        </is>
      </c>
      <c r="K14" t="inlineStr">
        <is>
          <t>Acne Studios Black Vintage Stockholm 1996 Unisex Hoodie</t>
        </is>
      </c>
      <c r="L14" t="inlineStr">
        <is>
          <t>{"id":"chatcmpl-DWaTTjR665FVRg4vMG9z2DkhhX5kC","object":"chat.completion","created":1776659075,"model":"gpt-5-chat-latest","choices":[{"index":0,"message":{"role":"assistant","content":"Acne Studios Black Vintage Hoodie crafted from soft dense cotton, featuring metallic “STOCKHOLM 1996” embroidery. Unisex loose fit, blending Nordic minimalism with modern street style comfort.","refusal":null,"annotations":[]},"logprobs":null,"finish_reason":"stop"}],"usage":{"prompt_tokens":918,"completion_tokens":41,"total_tokens":959,"prompt_tokens_details":{"cached_tokens":0,"audio_tokens":0},"completion_tokens_details":{"reasoning_tokens":0,"audio_tokens":0,"accepted_prediction_tokens":0,"rejected_prediction_tokens":0}},"service_tier":"default","system_fingerprint":"fp_ad66631dec"}</t>
        </is>
      </c>
      <c r="M14"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ma=2592000","apim-request-id":"4d4e23db-f9fb-4152-8d98-d61915784c4b","azureml-model-session":"d20260402083108-57a85543","cache-control":"no-cache, no-store, must-revalidate","connection":"close","content-length":"1000","content-security-policy":"frame-ancestors 'self'","content-type":"application/json","date":"Mon, 20 Apr 2026 04:24:36 GMT","server":"Caddy","skip-error-remapping":"true","strict-transport-security":"max-age=31536000; includeSubDomains; preload","via":"1.1 Caddy","x-api-request-id":"20260420122434148339196u5IXX2Sx","x-content-type-options":"nosniff","x-frame-options":"SAMEORIGIN","x-ms-is-spilled-over":"false","x-ms-rai-invoked":"false","x-ms-region":"East US 2","x-new-api-version":"0.4.39","x-oneapi-request-id":"20260420042434827534788268d9d6Nagh8RJb","x-ratelimit-abusepenalty-active":"False","x-ratelimit-limit-requests":"4994","x-ratelimit-limit-tokens":"4994000","x-ratelimit-remaining-requests":"4993","x-ratelimit-remaining-tokens":"4992320","x-ratelimit-renewalperiod-requests":"60","x-ratelimit-renewalperiod-tokens":"60","x-ratelimit-reset-requests":"12","x-ratelimit-reset-tokens":"20","x-request-id":"b9167a01-51c1-40f0-b402-42a6d9194723"}</t>
        </is>
      </c>
      <c r="N14" t="inlineStr">
        <is>
          <t>Acne Studios Black Vintage Hoodie crafted from soft dense cotton, featuring metallic “STOCKHOLM 1996” embroidery. Unisex loose fit, blending Nordic minimalism with modern street style comfort.</t>
        </is>
      </c>
      <c r="O14" t="inlineStr">
        <is>
          <t>{"choices":[{"finish_reason":"stop","index":0,"logprobs":null,"message":{"annotations":[],"content":"Acne Studios,Hoodies,kakobuy,kakebuy2026,kekobuysheet,kakobuysheet2026,2026kakobuy,kakobuyspreadsheeet,kakobuylink,kakebuylist,Kakobuy MEGA Spreadsheet,kakobuysheetfind,kakobuysheetfind2026,2026kakobuysheetfind,kakobuysheet2026","refusal":null,"role":"assistant"}}],"created":1776667719,"id":"chatcmpl-DWcits14M3cVwlZLMzccbS1HUWLyJ","model":"gpt-5-chat-latest","object":"chat.completion","service_tier":"default","system_fingerprint":"fp_ad66631dec","usage":{"completion_tokens":89,"completion_tokens_details":{"accepted_prediction_tokens":0,"audio_tokens":0,"reasoning_tokens":0,"rejected_prediction_tokens":0},"prompt_tokens":785,"prompt_tokens_details":{"audio_tokens":0,"cached_tokens":0},"total_tokens":874}}</t>
        </is>
      </c>
      <c r="P14" t="inlineStr">
        <is>
          <t>Acne Studios,Hoodies,kakobuy,kakebuy2026,kekobuysheet,kakobuysheet2026,2026kakobuy,kakobuyspreadsheeet,kakobuylink,kakebuylist,Kakobuy MEGA Spreadsheet,kakobuysheetfind,kakobuysheetfind2026,2026kakobuysheetfind,kakobuysheet2026</t>
        </is>
      </c>
      <c r="Q14" t="inlineStr">
        <is>
          <t>Unisex, Minimalist, Streetwear, Black, Vintage</t>
        </is>
      </c>
      <c r="R14" t="inlineStr">
        <is>
          <t>recvh6xFVjyGsD</t>
        </is>
      </c>
      <c r="S14" t="inlineStr">
        <is>
          <t>acne-stockholm-1996-hoodie-recvh6xFVjyGsD</t>
        </is>
      </c>
      <c r="T14"/>
      <c r="U14"/>
      <c r="V14"/>
      <c r="W14" t="inlineStr">
        <is>
          <t>{"choices":[{"finish_reason":"stop","index":0,"logprobs":null,"message":{"annotations":[],"content":"Acne Studios：黑色复古连帽卫衣，柔软高密棉质面料打造，背部金属质感刺绣“STOCKHOLM 1996”标识，彰显北欧极简设计美学。宽松版型提升街头休闲风格，适合男女通用，舒适与时尚并存。","refusal":null,"role":"assistant"}}],"created":1776655828,"id":"chatcmpl-DWZd6B4oe7cMHXkWTqnMf9aSt0YF9","model":"gpt-5-chat-latest","object":"chat.completion","service_tier":"default","system_fingerprint":"fp_ad66631dec","usage":{"completion_tokens":82,"completion_tokens_details":{"accepted_prediction_tokens":0,"audio_tokens":0,"reasoning_tokens":0,"rejected_prediction_tokens":0},"prompt_tokens":1316,"prompt_tokens_details":{"audio_tokens":0,"cached_tokens":0},"total_tokens":1398}}</t>
        </is>
      </c>
      <c r="X14" t="inlineStr">
        <is>
          <t>Acne Studios：黑色复古连帽卫衣，柔软高密棉质面料打造，背部金属质感刺绣“STOCKHOLM 1996”标识，彰显北欧极简设计美学。宽松版型提升街头休闲风格，适合男女通用，舒适与时尚并存。</t>
        </is>
      </c>
    </row>
    <row r="15" ht="25.5" customHeight="1">
      <c r="A15">
        <v>1839115443</v>
      </c>
      <c r="B15">
        <v>7599068803</v>
      </c>
      <c r="C15" t="inlineStr">
        <is>
          <t>https://weidian.com/item.html?itemID=7599068803</t>
        </is>
      </c>
      <c r="D15"/>
      <c r="E15" s="2" t="str">
        <f>=HYPERLINK("https://si.geilicdn.com/open1832946205-252808396-086d00000196d6ce241b0a8133b0_876_876.jpg?w=640&amp;h=640", "https://si.geilicdn.com/open1832946205-252808396-086d00000196d6ce241b0a8133b0_876_876.jpg?w=640&amp;h=640")</f>
        <v>https://si.geilicdn.com/open1832946205-252808396-086d00000196d6ce241b0a8133b0_876_876.jpg?w=640&amp;h=640</v>
      </c>
      <c r="F15" t="inlineStr">
        <is>
          <t>Hoodies</t>
        </is>
      </c>
      <c r="G15" t="inlineStr">
        <is>
          <t>Celine</t>
        </is>
      </c>
      <c r="H15" t="inlineStr">
        <is>
          <t>174.00</t>
        </is>
      </c>
      <c r="I15">
        <v>25.2173913043478</v>
      </c>
      <c r="J15" t="inlineStr">
        <is>
          <t>{"id":"chatcmpl-DWcPvJAxX2ZC9MpcuBGtC87GLKJOH","object":"chat.completion","created":1776666543,"model":"gpt-5-chat-latest","choices":[{"index":0,"message":{"role":"assistant","content":"Celine Black Hoodie Unisex Streetwear Pullover","refusal":null,"annotations":[]},"logprobs":null,"finish_reason":"stop"}],"usage":{"prompt_tokens":871,"completion_tokens":11,"total_tokens":882,"prompt_tokens_details":{"cached_tokens":0,"audio_tokens":0},"completion_tokens_details":{"reasoning_tokens":0,"audio_tokens":0,"accepted_prediction_tokens":0,"rejected_prediction_tokens":0}},"service_tier":"default","system_fingerprint":"fp_ad66631dec"}</t>
        </is>
      </c>
      <c r="K15" t="inlineStr">
        <is>
          <t>Celine Black Hoodie Unisex Streetwear Pullover</t>
        </is>
      </c>
      <c r="L15" t="inlineStr">
        <is>
          <t>{"id":"chatcmpl-DWaGIZKs6GZhAu4R3PBoNb2Y4yUK6","object":"chat.completion","created":1776658258,"model":"gpt-5-chat-latest","choices":[{"index":0,"message":{"role":"assistant","content":"Celine Black Hoodie: Minimalist large logo design in soft thick cotton fabric. Unisex loose fit showcases French sleek style, cozy yet fashionable for everyday streetwear.","refusal":null,"annotations":[]},"logprobs":null,"finish_reason":"stop"}],"usage":{"prompt_tokens":904,"completion_tokens":34,"total_tokens":938,"prompt_tokens_details":{"cached_tokens":0,"audio_tokens":0},"completion_tokens_details":{"reasoning_tokens":0,"audio_tokens":0,"accepted_prediction_tokens":0,"rejected_prediction_tokens":0}},"service_tier":"default","system_fingerprint":"fp_ad66631dec"}</t>
        </is>
      </c>
      <c r="M15"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ma=2592000","apim-request-id":"0a99529e-fa69-405d-b12f-8641b76fc0f4","azureml-model-session":"d20260405234249-f9874baf","cache-control":"no-cache, no-store, must-revalidate","connection":"close","content-length":"975","content-security-policy":"frame-ancestors 'self'","content-type":"application/json","date":"Mon, 20 Apr 2026 04:10:59 GMT","server":"Caddy","skip-error-remapping":"true","strict-transport-security":"max-age=31536000; includeSubDomains; preload","via":"1.1 Caddy","x-api-request-id":"20260420121056637947570AvJ6RP42","x-content-type-options":"nosniff","x-frame-options":"SAMEORIGIN","x-ms-is-spilled-over":"false","x-ms-rai-invoked":"false","x-ms-region":"East US 2","x-new-api-version":"0.4.39","x-oneapi-request-id":"202604200410563769486428268d9d6CO6IeDvW","x-ratelimit-abusepenalty-active":"False","x-ratelimit-limit-requests":"4994","x-ratelimit-limit-tokens":"4994000","x-ratelimit-remaining-requests":"4993","x-ratelimit-remaining-tokens":"4992334","x-ratelimit-renewalperiod-requests":"60","x-ratelimit-renewalperiod-tokens":"60","x-ratelimit-reset-requests":"12","x-ratelimit-reset-tokens":"20","x-request-id":"ff20250f-c31f-42e1-b3a1-a1a296307a82"}</t>
        </is>
      </c>
      <c r="N15" t="inlineStr">
        <is>
          <t>Celine Black Hoodie: Minimalist large logo design in soft thick cotton fabric. Unisex loose fit showcases French sleek style, cozy yet fashionable for everyday streetwear.</t>
        </is>
      </c>
      <c r="O15" t="inlineStr">
        <is>
          <t>{"choices":[{"finish_reason":"stop","index":0,"logprobs":null,"message":{"annotations":[],"content":"Celine,Hoodies,kakobuy,kakebuy2026,kekobuysheet,kakobuysheet2026,2026kakobuy,kakobuyspreadsheeet,kakobuylink,kakebuylist,Kakobuy MEGA Spreadsheet,kakobuysheetfind,kakobuysheetfind2026,2026kakobuysheetfind,kakobuysheet2026","refusal":null,"role":"assistant"}}],"created":1776667174,"id":"chatcmpl-DWca6zJpHHoOtEV3CZiQkDDiPwHAx","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is>
      </c>
      <c r="P15" t="inlineStr">
        <is>
          <t>Celine,Hoodies,kakobuy,kakebuy2026,kekobuysheet,kakobuysheet2026,2026kakobuy,kakobuyspreadsheeet,kakobuylink,kakebuylist,Kakobuy MEGA Spreadsheet,kakobuysheetfind,kakobuysheetfind2026,2026kakobuysheetfind,kakobuysheet2026</t>
        </is>
      </c>
      <c r="Q15" t="inlineStr">
        <is>
          <t>Celine, Black, Minimalist, Unisex, Streetwear</t>
        </is>
      </c>
      <c r="R15" t="inlineStr">
        <is>
          <t>recvh6xFVjKGYQ</t>
        </is>
      </c>
      <c r="S15" t="inlineStr">
        <is>
          <t>celine-black-hoodie-recvh6xFVjKGYQ</t>
        </is>
      </c>
      <c r="T15"/>
      <c r="U15"/>
      <c r="V15"/>
      <c r="W15" t="inlineStr">
        <is>
          <t>{"choices":[{"finish_reason":"stop","index":0,"logprobs":null,"message":{"annotations":[],"content":"Celine：黑色连帽卫衣，简约大Logo设计，柔软纯棉面料，质感厚实保暖。宽松中性版型，展现法式极简美学，舒适休闲兼具时尚感，适合日常街头穿搭。","refusal":null,"role":"assistant"}}],"created":1776656102,"id":"chatcmpl-DWZhWN0NnH7hXkkJDrNd6pPf5QGhq","model":"gpt-5-chat-latest","object":"chat.completion","service_tier":"default","system_fingerprint":"fp_ad66631dec","usage":{"completion_tokens":67,"completion_tokens_details":{"accepted_prediction_tokens":0,"audio_tokens":0,"reasoning_tokens":0,"rejected_prediction_tokens":0},"prompt_tokens":1317,"prompt_tokens_details":{"audio_tokens":0,"cached_tokens":0},"total_tokens":1384}}</t>
        </is>
      </c>
      <c r="X15" t="inlineStr">
        <is>
          <t>Celine：黑色连帽卫衣，简约大Logo设计，柔软纯棉面料，质感厚实保暖。宽松中性版型，展现法式极简美学，舒适休闲兼具时尚感，适合日常街头穿搭。</t>
        </is>
      </c>
    </row>
    <row r="16" ht="25.5" customHeight="1">
      <c r="A16">
        <v>1839115443</v>
      </c>
      <c r="B16">
        <v>7599130905</v>
      </c>
      <c r="C16" t="inlineStr">
        <is>
          <t>https://weidian.com/item.html?itemID=7599130905</t>
        </is>
      </c>
      <c r="D16"/>
      <c r="E16" s="2" t="str">
        <f>=HYPERLINK("https://si.geilicdn.com/open1832946205-252808396-0e9400000197eec952530aa043f9_800_800.jpg?w=750&amp;h=750&amp;cp=1", "https://si.geilicdn.com/open1832946205-252808396-0e9400000197eec952530aa043f9_800_800.jpg?w=750&amp;h=750&amp;cp=1")</f>
        <v>https://si.geilicdn.com/open1832946205-252808396-0e9400000197eec952530aa043f9_800_800.jpg?w=750&amp;h=750&amp;cp=1</v>
      </c>
      <c r="F16" t="inlineStr">
        <is>
          <t>T-Shirts</t>
        </is>
      </c>
      <c r="G16" t="inlineStr">
        <is>
          <t>Supreme</t>
        </is>
      </c>
      <c r="H16" t="inlineStr">
        <is>
          <t>180.00</t>
        </is>
      </c>
      <c r="I16">
        <v>26.09</v>
      </c>
      <c r="J16" t="inlineStr">
        <is>
          <t>{"choices":[{"finish_reason":"stop","index":0,"logprobs":null,"message":{"annotations":[],"content":"Supreme Grey 3D Embroidered Cotton Crewneck Sweatshirt","refusal":null,"role":"assistant"}}],"created":1776666748,"id":"chatcmpl-DWcTE40u9D6h4KGIp08FGcUfFUedf","model":"gpt-5-chat-latest","object":"chat.completion","service_tier":"default","system_fingerprint":"fp_ad66631dec","usage":{"completion_tokens":15,"completion_tokens_details":{"accepted_prediction_tokens":0,"audio_tokens":0,"reasoning_tokens":0,"rejected_prediction_tokens":0},"prompt_tokens":878,"prompt_tokens_details":{"audio_tokens":0,"cached_tokens":0},"total_tokens":893}}</t>
        </is>
      </c>
      <c r="K16" t="inlineStr">
        <is>
          <t>Supreme Grey 3D Embroidered Cotton Crewneck Sweatshirt</t>
        </is>
      </c>
      <c r="L16" t="inlineStr">
        <is>
          <t>{"id":"chatcmpl-DWaTqMseqqVVWESp7EO5eiowLM1ic","object":"chat.completion","created":1776659098,"model":"gpt-5-chat-latest","choices":[{"index":0,"message":{"role":"assistant","content":"Supreme Grey Crewneck Sweatshirt, premium cotton for soft comfort, 3D embroidered English and Chinese fusion design, streetwear style for men and women, showcasing bold urban personality.","refusal":null,"annotations":[]},"logprobs":null,"finish_reason":"stop"}],"usage":{"prompt_tokens":903,"completion_tokens":38,"total_tokens":941,"prompt_tokens_details":{"cached_tokens":0,"audio_tokens":0},"completion_tokens_details":{"reasoning_tokens":0,"audio_tokens":0,"accepted_prediction_tokens":0,"rejected_prediction_tokens":0}},"service_tier":"default","system_fingerprint":"fp_ad66631dec"}</t>
        </is>
      </c>
      <c r="M16"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ma=2592000","apim-request-id":"e42117d8-382d-4498-b9d2-49047d4a8e00","azureml-model-session":"d20260405234249-f9874baf","cache-control":"no-cache, no-store, must-revalidate","connection":"close","content-length":"991","content-security-policy":"frame-ancestors 'self'","content-type":"application/json","date":"Mon, 20 Apr 2026 04:24:59 GMT","server":"Caddy","skip-error-remapping":"true","strict-transport-security":"max-age=31536000; includeSubDomains; preload","via":"1.1 Caddy","x-api-request-id":"202604201224568789961648M5drGKy","x-content-type-options":"nosniff","x-frame-options":"SAMEORIGIN","x-ms-is-spilled-over":"false","x-ms-rai-invoked":"false","x-ms-region":"East US 2","x-new-api-version":"0.4.39","x-oneapi-request-id":"202604200424568138454788268d9d6XG8kxrrb","x-ratelimit-abusepenalty-active":"False","x-ratelimit-limit-requests":"4994","x-ratelimit-limit-tokens":"4994000","x-ratelimit-remaining-requests":"4993","x-ratelimit-remaining-tokens":"4992335","x-ratelimit-renewalperiod-requests":"60","x-ratelimit-renewalperiod-tokens":"60","x-ratelimit-reset-requests":"12","x-ratelimit-reset-tokens":"20","x-request-id":"8beebad8-6f8d-4c03-805f-760cfa4c2b68"}</t>
        </is>
      </c>
      <c r="N16" t="inlineStr">
        <is>
          <t>Supreme Grey Crewneck Sweatshirt, premium cotton for soft comfort, 3D embroidered English and Chinese fusion design, streetwear style for men and women, showcasing bold urban personality.</t>
        </is>
      </c>
      <c r="O16" t="inlineStr">
        <is>
          <t>{"choices":[{"finish_reason":"stop","index":0,"logprobs":null,"message":{"annotations":[],"content":"Supreme,T-Shirts,kakobuy,kakebuy2026,kekobuysheet,kakobuysheet2026,2026kakobuy,kakobuyspreadsheeet,kakobuylink,kakebuylist,Kakobuy MEGA Spreadsheet,kakobuysheetfind,kakobuysheetfind2026,2026kakobuysheetfind,kakobuysheet2026","refusal":null,"role":"assistant"}}],"created":1776668880,"id":"chatcmpl-DWd1cQdV8QoPan2a38VAAL1xOZsZv","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P16" t="inlineStr">
        <is>
          <t>Supreme,T-Shirts,kakobuy,kakebuy2026,kekobuysheet,kakobuysheet2026,2026kakobuy,kakobuyspreadsheeet,kakobuylink,kakebuylist,Kakobuy MEGA Spreadsheet,kakobuysheetfind,kakobuysheetfind2026,2026kakobuysheetfind,kakobuysheet2026</t>
        </is>
      </c>
      <c r="Q16" t="inlineStr">
        <is>
          <t>Supreme, Streetwear, Unisex, Grey</t>
        </is>
      </c>
      <c r="R16" t="inlineStr">
        <is>
          <t>recvh6xFVjBfyx</t>
        </is>
      </c>
      <c r="S16" t="inlineStr">
        <is>
          <t>supreme-grey-3d-embroidered-cotton-crewneck-recvh6xfvjbfyx</t>
        </is>
      </c>
      <c r="T16"/>
      <c r="U16"/>
      <c r="V16"/>
      <c r="W16" t="inlineStr">
        <is>
          <t>{"choices":[{"finish_reason":"stop","index":0,"logprobs":null,"message":{"annotations":[],"content":"Supreme：灰色圆领卫衣，优质纯棉面料柔软舒适，胸前立体刺绣英文字与汉字图腾融合设计，街头潮流风格，男女皆宜，展现品牌独特个性与都市街头气质。","refusal":null,"role":"assistant"}}],"created":1776656053,"id":"chatcmpl-DWZgjpJzakib1DQM0c3DmIHUhdQLs","model":"gpt-5-chat-latest","object":"chat.completion","service_tier":"default","system_fingerprint":"fp_ad66631dec","usage":{"completion_tokens":65,"completion_tokens_details":{"accepted_prediction_tokens":0,"audio_tokens":0,"reasoning_tokens":0,"rejected_prediction_tokens":0},"prompt_tokens":1320,"prompt_tokens_details":{"audio_tokens":0,"cached_tokens":1280},"total_tokens":1385}}</t>
        </is>
      </c>
      <c r="X16" t="inlineStr">
        <is>
          <t>Supreme：灰色圆领卫衣，优质纯棉面料柔软舒适，胸前立体刺绣英文字与汉字图腾融合设计，街头潮流风格，男女皆宜，展现品牌独特个性与都市街头气质。</t>
        </is>
      </c>
    </row>
    <row r="17" ht="25.5" customHeight="1">
      <c r="A17">
        <v>1839115443</v>
      </c>
      <c r="B17">
        <v>7600988538</v>
      </c>
      <c r="C17" t="inlineStr">
        <is>
          <t>https://weidian.com/item.html?itemID=7600988538</t>
        </is>
      </c>
      <c r="D17"/>
      <c r="E17" s="2" t="str">
        <f>=HYPERLINK("https://si.geilicdn.com/open1832946205-252808396-561600000197ea7380120a8133b0_1920_1280.jpg?w=640&amp;h=640", "https://si.geilicdn.com/open1832946205-252808396-561600000197ea7380120a8133b0_1920_1280.jpg?w=640&amp;h=640")</f>
        <v>https://si.geilicdn.com/open1832946205-252808396-561600000197ea7380120a8133b0_1920_1280.jpg?w=640&amp;h=640</v>
      </c>
      <c r="F17" t="inlineStr">
        <is>
          <t>Hoodies</t>
        </is>
      </c>
      <c r="G17" t="inlineStr">
        <is>
          <t>Chrome Hearts</t>
        </is>
      </c>
      <c r="H17" t="inlineStr">
        <is>
          <t>217.00</t>
        </is>
      </c>
      <c r="I17">
        <v>31.45</v>
      </c>
      <c r="J17" t="inlineStr">
        <is>
          <t>{"choices":[{"finish_reason":"stop","index":0,"logprobs":null,"message":{"annotations":[],"content":"Chrome Hearts Blue Unisex Oversized Gothic Hoodie","refusal":null,"role":"assistant"}}],"created":1776666293,"id":"chatcmpl-DWcLt0YiCPw2SzVQU2LpbviII2FTL","model":"gpt-5-chat-latest","object":"chat.completion","service_tier":"default","system_fingerprint":"fp_ad66631dec","usage":{"completion_tokens":10,"completion_tokens_details":{"accepted_prediction_tokens":0,"audio_tokens":0,"reasoning_tokens":0,"rejected_prediction_tokens":0},"prompt_tokens":595,"prompt_tokens_details":{"audio_tokens":0,"cached_tokens":0},"total_tokens":605}}</t>
        </is>
      </c>
      <c r="K17" t="inlineStr">
        <is>
          <t>Chrome Hearts Blue Unisex Oversized Gothic Hoodie</t>
        </is>
      </c>
      <c r="L17" t="inlineStr">
        <is>
          <t>{"choices":[{"finish_reason":"stop","index":0,"logprobs":null,"message":{"annotations":[],"content":"Chrome Hearts Blue Hoodie – crafted from premium cotton, features gold Gothic lettering and signature cross motifs. Oversized fit for unisex street style, blending comfort with bold modern fashion.","refusal":null,"role":"assistant"}}],"created":1776659278,"id":"chatcmpl-DWaWkGUd8m39YaXuYbVrgr9uAqaTD","model":"gpt-5-chat-latest","object":"chat.completion","service_tier":"default","system_fingerprint":"fp_ad66631dec","usage":{"completion_tokens":36,"completion_tokens_details":{"accepted_prediction_tokens":0,"audio_tokens":0,"reasoning_tokens":0,"rejected_prediction_tokens":0},"prompt_tokens":638,"prompt_tokens_details":{"audio_tokens":0,"cached_tokens":0},"total_tokens":674}}</t>
        </is>
      </c>
      <c r="M17" t="inlineStr">
        <is>
          <t>{"alt-svc":"h3=\":443\"; ma=2592000","apim-request-id":"58bf32bd-58ad-4269-a32c-59854819e114","azureml-model-session":"d20260405234249-f9874baf","cache-control":"no-cache","connection":"close","content-length":"787","content-security-policy":"frame-ancestors 'self'","content-type":"application/json","date":"Mon, 20 Apr 2026 04:27:59 GMT","server":"Caddy","skip-error-remapping":"true","strict-transport-security":"max-age=31536000; includeSubDomains; preload","via":"1.1 Caddy","x-api-request-id":"20260420122757886593103fMq5ThWs","x-content-type-options":"nosniff","x-frame-options":"SAMEORIGIN","x-ms-client-request-id":"Not-Set","x-ms-is-spilled-over":"false","x-ms-rai-invoked":"true","x-ms-region":"East US 2","x-new-api-version":"0.4.39","x-oneapi-request-id":"202604200427578197826418268d9d66z9u0l2y","x-ratelimit-abusepenalty-active":"False","x-ratelimit-limit-requests":"3850","x-ratelimit-limit-tokens":"3850000","x-ratelimit-remaining-requests":"3849","x-ratelimit-remaining-tokens":"3848598","x-ratelimit-renewalperiod-requests":"60","x-ratelimit-renewalperiod-tokens":"60","x-ratelimit-reset-requests":"15","x-ratelimit-reset-tokens":"21","x-request-id":"48a08bb6-77f6-446e-ba95-0b92e778f485"}</t>
        </is>
      </c>
      <c r="N17" t="inlineStr">
        <is>
          <t>Chrome Hearts Blue Hoodie – crafted from premium cotton, features gold Gothic lettering and signature cross motifs. Oversized fit for unisex street style, blending comfort with bold modern fashion.</t>
        </is>
      </c>
      <c r="O17" t="inlineStr">
        <is>
          <t>{"choices":[{"finish_reason":"stop","index":0,"logprobs":null,"message":{"annotations":[],"content":"Chrome Hearts,Hoodies,kakobuy,kakebuy2026,kekobuysheet,kakobuysheet2026,2026kakobuy,kakobuyspreadsheeet,kakobuylink,kakebuylist,Kakobuy MEGA Spreadsheet,kakobuysheetfind,kakobuysheetfind2026,2026kakobuysheetfind,kakobuysheet2026","refusal":null,"role":"assistant"}}],"created":1776668613,"id":"chatcmpl-DWcxJpLWyy3OY1rRW5YYuKsY9Ckxp","model":"gpt-5-chat-latest","object":"chat.completion","service_tier":"default","system_fingerprint":"fp_ad66631dec","usage":{"completion_tokens":88,"completion_tokens_details":{"accepted_prediction_tokens":0,"audio_tokens":0,"reasoning_tokens":0,"rejected_prediction_tokens":0},"prompt_tokens":504,"prompt_tokens_details":{"audio_tokens":0,"cached_tokens":0},"total_tokens":592}}</t>
        </is>
      </c>
      <c r="P17" t="inlineStr">
        <is>
          <t>Chrome Hearts,Hoodies,kakobuy,kakebuy2026,kekobuysheet,kakobuysheet2026,2026kakobuy,kakobuyspreadsheeet,kakobuylink,kakebuylist,Kakobuy MEGA Spreadsheet,kakobuysheetfind,kakobuysheetfind2026,2026kakobuysheetfind,kakobuysheet2026</t>
        </is>
      </c>
      <c r="Q17" t="inlineStr">
        <is>
          <t>Blue, Unisex, Streetwear, Modern</t>
        </is>
      </c>
      <c r="R17" t="inlineStr">
        <is>
          <t>recvh6xFVjjldp</t>
        </is>
      </c>
      <c r="S17" t="inlineStr">
        <is>
          <t>chrome-hearts-blue-oversized-gothic-hoodie-recvh6xfvjjldp</t>
        </is>
      </c>
      <c r="T17"/>
      <c r="U17"/>
      <c r="V17"/>
      <c r="W17" t="inlineStr">
        <is>
          <t>{"choices":[{"finish_reason":"stop","index":0,"logprobs":null,"message":{"annotations":[],"content":"Chrome Hearts：蓝色连帽卫衣，采用高品质纯棉面料，背部印有金色哥特字体与标志性十字花图腾，彰显品牌硬核美学。宽松剪裁结合街头休闲风格，男女皆宜，适合当代潮流穿搭，兼具舒适与个性态度。","refusal":null,"role":"assistant"}}],"created":1776656213,"id":"chatcmpl-DWZjJtxU5vdFOyS65C4J0fAd9X1SF","model":"gpt-5-chat-latest","object":"chat.completion","service_tier":"default","system_fingerprint":"fp_ad66631dec","usage":{"completion_tokens":82,"completion_tokens_details":{"accepted_prediction_tokens":0,"audio_tokens":0,"reasoning_tokens":0,"rejected_prediction_tokens":0},"prompt_tokens":1035,"prompt_tokens_details":{"audio_tokens":0,"cached_tokens":0},"total_tokens":1117}}</t>
        </is>
      </c>
      <c r="X17" t="inlineStr">
        <is>
          <t>Chrome Hearts：蓝色连帽卫衣，采用高品质纯棉面料，背部印有金色哥特字体与标志性十字花图腾，彰显品牌硬核美学。宽松剪裁结合街头休闲风格，男女皆宜，适合当代潮流穿搭，兼具舒适与个性态度。</t>
        </is>
      </c>
    </row>
    <row r="18" ht="25.5" customHeight="1">
      <c r="A18">
        <v>1839115443</v>
      </c>
      <c r="B18">
        <v>7601004386</v>
      </c>
      <c r="C18" t="inlineStr">
        <is>
          <t>https://weidian.com/item.html?itemID=7601004386</t>
        </is>
      </c>
      <c r="D18"/>
      <c r="E18" s="2" t="str">
        <f>=HYPERLINK("https://si.geilicdn.com/open1832946205-252808396-1ddd00000197e864a9c30a8133b0_800_800.jpg?w=640&amp;h=640", "https://si.geilicdn.com/open1832946205-252808396-1ddd00000197e864a9c30a8133b0_800_800.jpg?w=640&amp;h=640")</f>
        <v>https://si.geilicdn.com/open1832946205-252808396-1ddd00000197e864a9c30a8133b0_800_800.jpg?w=640&amp;h=640</v>
      </c>
      <c r="F18" t="inlineStr">
        <is>
          <t>T-Shirts</t>
        </is>
      </c>
      <c r="G18" t="inlineStr">
        <is>
          <t>Corteiz</t>
        </is>
      </c>
      <c r="H18" t="inlineStr">
        <is>
          <t>86.00</t>
        </is>
      </c>
      <c r="I18">
        <v>12.46</v>
      </c>
      <c r="J18" t="inlineStr">
        <is>
          <t>{"id":"chatcmpl-DWcCReKkK1WQdPRsdifkV6Dtx29fY","object":"chat.completion","created":1776665707,"model":"gpt-5-chat-latest","choices":[{"index":0,"message":{"role":"assistant","content":"Corteiz Black Star Logo Graffiti Cotton Unisex T-Shirt","refusal":null,"annotations":[]},"logprobs":null,"finish_reason":"stop"}],"usage":{"prompt_tokens":883,"completion_tokens":14,"total_tokens":897,"prompt_tokens_details":{"cached_tokens":0,"audio_tokens":0},"completion_tokens_details":{"reasoning_tokens":0,"audio_tokens":0,"accepted_prediction_tokens":0,"rejected_prediction_tokens":0}},"service_tier":"default","system_fingerprint":"fp_ad66631dec"}</t>
        </is>
      </c>
      <c r="K18" t="inlineStr">
        <is>
          <t>Corteiz Black Star Logo Graffiti Cotton Unisex T-Shirt</t>
        </is>
      </c>
      <c r="L18" t="inlineStr">
        <is>
          <t>{"choices":[{"finish_reason":"stop","index":0,"logprobs":null,"message":{"annotations":[],"content":"Corteiz Black Star Logo T-Shirt, made of premium cotton for comfort and breathability. Features pink graffiti lettering for a retro streetwear vibe. Unisex, versatile for everyday casual wear.","refusal":null,"role":"assistant"}}],"created":1776658484,"id":"chatcmpl-DWaJwo5w9rSVaLwyasTgT6h3cEYKO","model":"gpt-5-chat-latest","object":"chat.completion","service_tier":"default","system_fingerprint":"fp_ad66631dec","usage":{"completion_tokens":40,"completion_tokens_details":{"accepted_prediction_tokens":0,"audio_tokens":0,"reasoning_tokens":0,"rejected_prediction_tokens":0},"prompt_tokens":907,"prompt_tokens_details":{"audio_tokens":0,"cached_tokens":0},"total_tokens":947}}</t>
        </is>
      </c>
      <c r="M18" t="inlineStr">
        <is>
          <t>{"alt-svc":"h3=\":443\"; ma=2592000","apim-request-id":"17cf9570-13d3-4278-8a02-5d53c113e801","azureml-model-session":"d20260405234249-f9874baf","cache-control":"no-cache","connection":"close","content-length":"780","content-security-policy":"frame-ancestors 'self'","content-type":"application/json","date":"Mon, 20 Apr 2026 04:14:45 GMT","server":"nginx","skip-error-remapping":"true","strict-transport-security":"max-age=31536000; includeSubDomains; preload","via":"1.1 Caddy, 1.1 Caddy","x-api-request-id":"20260420121443481675495feJAiq1z","x-content-type-options":"nosniff","x-frame-options":"SAMEORIGIN","x-ms-client-request-id":"Not-Set","x-ms-is-spilled-over":"false","x-ms-rai-invoked":"true","x-ms-region":"East US 2","x-new-api-version":"0.4.39","x-oneapi-request-id":"202604200414434149563858268d9d6e0QeEqyi","x-ratelimit-abusepenalty-active":"False","x-ratelimit-limit-requests":"3850","x-ratelimit-limit-tokens":"3850000","x-ratelimit-remaining-requests":"3849","x-ratelimit-remaining-tokens":"3848331","x-ratelimit-renewalperiod-requests":"60","x-ratelimit-renewalperiod-tokens":"60","x-ratelimit-reset-requests":"15","x-ratelimit-reset-tokens":"26","x-request-id":"fb268dd6-49d9-47db-bcbb-9c5641f3f137"}</t>
        </is>
      </c>
      <c r="N18" t="inlineStr">
        <is>
          <t>Corteiz Black Star Logo T-Shirt, made of premium cotton for comfort and breathability. Features pink graffiti lettering for a retro streetwear vibe. Unisex, versatile for everyday casual wear.</t>
        </is>
      </c>
      <c r="O18" t="inlineStr">
        <is>
          <t>{"choices":[{"finish_reason":"stop","index":0,"logprobs":null,"message":{"annotations":[],"content":"Corteiz,T-Shirts,kakobuy,kakebuy2026,kekobuysheet,kakobuysheet2026,2026kakobuy,kakobuyspreadsheeet,kakobuylink,kakebuylist,Kakobuy MEGA Spreadsheet,kakobuysheetfind,kakobuysheetfind2026,2026kakobuysheetfind,kakobuysheet2026","refusal":null,"role":"assistant"}}],"created":1776668281,"id":"chatcmpl-DWcrxCc2BcTuKHf5g65KfVeTtANem","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is>
      </c>
      <c r="P18" t="inlineStr">
        <is>
          <t>Corteiz,T-Shirts,kakobuy,kakebuy2026,kekobuysheet,kakobuysheet2026,2026kakobuy,kakobuyspreadsheeet,kakobuylink,kakebuylist,Kakobuy MEGA Spreadsheet,kakobuysheetfind,kakobuysheetfind2026,2026kakobuysheetfind,kakobuysheet2026</t>
        </is>
      </c>
      <c r="Q18" t="inlineStr">
        <is>
          <t>Corteiz, Black, Pink, Retro, Streetwear, Unisex</t>
        </is>
      </c>
      <c r="R18" t="inlineStr">
        <is>
          <t>recvh6xFVjNA6s</t>
        </is>
      </c>
      <c r="S18" t="inlineStr">
        <is>
          <t>corteiz-black-star-logo-graffiti-recvh6xFVjNA6s</t>
        </is>
      </c>
      <c r="T18"/>
      <c r="U18"/>
      <c r="V18"/>
      <c r="W18" t="inlineStr">
        <is>
          <t>{"id":"chatcmpl-DWZVGExZ8pfddLTcbOu5UfbUJ8SUO","object":"chat.completion","created":1776655342,"model":"gpt-5-chat-latest","choices":[{"index":0,"message":{"role":"assistant","content":"Corteiz黑色星标Logo系列T恤，优选纯棉面料，舒适透气。前胸粉色涂鸦字母图腾设计，展现复古街头潮流风格，简约百搭，男女通用，适合日常休闲穿搭。","refusal":null,"annotations":[]},"logprobs":null,"finish_reason":"stop"}],"usage":{"prompt_tokens":1319,"completion_tokens":70,"total_tokens":1389,"prompt_tokens_details":{"cached_tokens":0,"audio_tokens":0},"completion_tokens_details":{"reasoning_tokens":0,"audio_tokens":0,"accepted_prediction_tokens":0,"rejected_prediction_tokens":0}},"service_tier":"default","system_fingerprint":"fp_ad66631dec"}</t>
        </is>
      </c>
      <c r="X18" t="inlineStr">
        <is>
          <t>Corteiz黑色星标Logo系列T恤，优选纯棉面料，舒适透气。前胸粉色涂鸦字母图腾设计，展现复古街头潮流风格，简约百搭，男女通用，适合日常休闲穿搭。</t>
        </is>
      </c>
    </row>
    <row r="19" ht="25.5" customHeight="1">
      <c r="A19">
        <v>1839115443</v>
      </c>
      <c r="B19">
        <v>7600979474</v>
      </c>
      <c r="C19" t="inlineStr">
        <is>
          <t>https://weidian.com/item.html?itemID=7600979474</t>
        </is>
      </c>
      <c r="D19"/>
      <c r="E19" s="2" t="str">
        <f>=HYPERLINK("https://si.geilicdn.com/open1832946205-252808396-3e8c00000197e89d6cb30a22d249_800_800.jpg?w=640&amp;h=640", "https://si.geilicdn.com/open1832946205-252808396-3e8c00000197e89d6cb30a22d249_800_800.jpg?w=640&amp;h=640")</f>
        <v>https://si.geilicdn.com/open1832946205-252808396-3e8c00000197e89d6cb30a22d249_800_800.jpg?w=640&amp;h=640</v>
      </c>
      <c r="F19" t="inlineStr">
        <is>
          <t>Hoodies</t>
        </is>
      </c>
      <c r="G19" t="inlineStr">
        <is>
          <t>Stussy</t>
        </is>
      </c>
      <c r="H19" t="inlineStr">
        <is>
          <t>120.00</t>
        </is>
      </c>
      <c r="I19">
        <v>17.39</v>
      </c>
      <c r="J19" t="inlineStr">
        <is>
          <t>{"choices":[{"finish_reason":"stop","index":0,"logprobs":null,"message":{"annotations":[],"content":"Stussy Green Graffiti Logo Unisex Cotton Hoodie","refusal":null,"role":"assistant"}}],"created":1776665837,"id":"chatcmpl-DWcEXExU9HqyZtwqObcqg4skPFnBA","model":"gpt-5-chat-latest","object":"chat.completion","service_tier":"default","system_fingerprint":"fp_ad66631dec","usage":{"completion_tokens":11,"completion_tokens_details":{"accepted_prediction_tokens":0,"audio_tokens":0,"reasoning_tokens":0,"rejected_prediction_tokens":0},"prompt_tokens":873,"prompt_tokens_details":{"audio_tokens":0,"cached_tokens":0},"total_tokens":884}}</t>
        </is>
      </c>
      <c r="K19" t="inlineStr">
        <is>
          <t>Stussy Green Graffiti Logo Unisex Cotton Hoodie</t>
        </is>
      </c>
      <c r="L19" t="inlineStr">
        <is>
          <t>{"choices":[{"finish_reason":"stop","index":0,"logprobs":null,"message":{"annotations":[],"content":"Stussy Green Hoodie – Soft thick cotton, bold orange graffiti logo, relaxed unisex fit with kangaroo pocket, streetwear style perfect for daily casual and layered outfits.","refusal":null,"role":"assistant"}}],"created":1776658441,"id":"chatcmpl-DWaJFRbzA1L8GpWvRa9BQnLizoA9h","model":"gpt-5-chat-latest","object":"chat.completion","service_tier":"default","system_fingerprint":"fp_ad66631dec","usage":{"completion_tokens":35,"completion_tokens_details":{"accepted_prediction_tokens":0,"audio_tokens":0,"reasoning_tokens":0,"rejected_prediction_tokens":0},"prompt_tokens":913,"prompt_tokens_details":{"audio_tokens":0,"cached_tokens":0},"total_tokens":948}}</t>
        </is>
      </c>
      <c r="M19" t="inlineStr">
        <is>
          <t>{"alt-svc":"h3=\":443\"; ma=2592000","apim-request-id":"cf4bdcb2-343d-4eea-8a2e-ea59d8a1a411","azureml-model-session":"d20260405234249-f9874baf","cache-control":"no-cache","connection":"close","content-length":"761","content-security-policy":"frame-ancestors 'self'","content-type":"application/json","date":"Mon, 20 Apr 2026 04:14:02 GMT","server":"Caddy","skip-error-remapping":"true","strict-transport-security":"max-age=31536000; includeSubDomains; preload","via":"1.1 Caddy","x-api-request-id":"20260420121401166571254EaXGpcu5","x-content-type-options":"nosniff","x-frame-options":"SAMEORIGIN","x-ms-client-request-id":"Not-Set","x-ms-is-spilled-over":"false","x-ms-rai-invoked":"true","x-ms-region":"East US 2","x-new-api-version":"0.4.39","x-oneapi-request-id":"202604200414011027764758268d9d68hl5bDpL","x-ratelimit-abusepenalty-active":"False","x-ratelimit-limit-requests":"3850","x-ratelimit-limit-tokens":"3850000","x-ratelimit-remaining-requests":"3849","x-ratelimit-remaining-tokens":"3848325","x-ratelimit-renewalperiod-requests":"60","x-ratelimit-renewalperiod-tokens":"60","x-ratelimit-reset-requests":"15","x-ratelimit-reset-tokens":"26","x-request-id":"268c5d18-c51a-4389-9a25-b65d216e7bea"}</t>
        </is>
      </c>
      <c r="N19" t="inlineStr">
        <is>
          <t>Stussy Green Hoodie – Soft thick cotton, bold orange graffiti logo, relaxed unisex fit with kangaroo pocket, streetwear style perfect for daily casual and layered outfits.</t>
        </is>
      </c>
      <c r="O19" t="inlineStr">
        <is>
          <t>{"choices":[{"finish_reason":"stop","index":0,"logprobs":null,"message":{"annotations":[],"content":"Stussy,Hoodies,kakobuy,kakebuy2026,kekobuysheet,kakobuysheet2026,2026kakobuy,kakobuyspreadsheeet,kakobuylink,kakebuylist,Kakobuy MEGA Spreadsheet,kakobuysheetfind,kakobuysheetfind2026,2026kakobuysheetfind,kakobuysheet2026","refusal":null,"role":"assistant"}}],"created":1776668745,"id":"chatcmpl-DWczRF2vIdLDUBMsKQp9ljiRRXTlt","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is>
      </c>
      <c r="P19" t="inlineStr">
        <is>
          <t>Stussy,Hoodies,kakobuy,kakebuy2026,kekobuysheet,kakobuysheet2026,2026kakobuy,kakobuyspreadsheeet,kakobuylink,kakebuylist,Kakobuy MEGA Spreadsheet,kakobuysheetfind,kakobuysheetfind2026,2026kakobuysheetfind,kakobuysheet2026</t>
        </is>
      </c>
      <c r="Q19" t="inlineStr">
        <is>
          <t>Stussy, Green, Streetwear, Unisex</t>
        </is>
      </c>
      <c r="R19" t="inlineStr">
        <is>
          <t>recvh6xFVjn44d</t>
        </is>
      </c>
      <c r="S19" t="inlineStr">
        <is>
          <t>stussy-green-graffiti-logo-hoodie-recvh6xFVjn44d</t>
        </is>
      </c>
      <c r="T19"/>
      <c r="U19"/>
      <c r="V19"/>
      <c r="W19" t="inlineStr">
        <is>
          <t>{"id":"chatcmpl-DWZipleTFrSjm4tg8h4RzE51wKwbO","object":"chat.completion","created":1776656183,"model":"gpt-5-chat-latest","choices":[{"index":0,"message":{"role":"assistant","content":"Stussy：绿色连帽卫衣，采用柔软厚实棉质面料，胸前橙色涂鸦标识彰显街头个性，宽松版型搭配袋鼠兜设计，男女皆宜，潮流休闲风格，适合日常穿搭与街头叠搭。","refusal":null,"annotations":[]},"logprobs":null,"finish_reason":"stop"}],"usage":{"prompt_tokens":1319,"completion_tokens":75,"total_tokens":1394,"prompt_tokens_details":{"cached_tokens":0,"audio_tokens":0},"completion_tokens_details":{"reasoning_tokens":0,"audio_tokens":0,"accepted_prediction_tokens":0,"rejected_prediction_tokens":0}},"service_tier":"default","system_fingerprint":"fp_ad66631dec"}</t>
        </is>
      </c>
      <c r="X19" t="inlineStr">
        <is>
          <t>Stussy：绿色连帽卫衣，采用柔软厚实棉质面料，胸前橙色涂鸦标识彰显街头个性，宽松版型搭配袋鼠兜设计，男女皆宜，潮流休闲风格，适合日常穿搭与街头叠搭。</t>
        </is>
      </c>
    </row>
    <row r="20" ht="25.5" customHeight="1">
      <c r="A20">
        <v>1839115443</v>
      </c>
      <c r="B20">
        <v>7601024120</v>
      </c>
      <c r="C20" t="inlineStr">
        <is>
          <t>https://weidian.com/item.html?itemID=7601024120</t>
        </is>
      </c>
      <c r="D20"/>
      <c r="E20" s="2" t="str">
        <f>=HYPERLINK("https://si.geilicdn.com/open1832946205-252808396-32b800000197e8859c3e0a22d249_1920_1920.jpg?w=640&amp;h=640", "https://si.geilicdn.com/open1832946205-252808396-32b800000197e8859c3e0a22d249_1920_1920.jpg?w=640&amp;h=640")</f>
        <v>https://si.geilicdn.com/open1832946205-252808396-32b800000197e8859c3e0a22d249_1920_1920.jpg?w=640&amp;h=640</v>
      </c>
      <c r="F20" t="inlineStr">
        <is>
          <t>T-Shirts</t>
        </is>
      </c>
      <c r="G20" t="inlineStr">
        <is>
          <t>Stussy</t>
        </is>
      </c>
      <c r="H20" t="inlineStr">
        <is>
          <t>86.00</t>
        </is>
      </c>
      <c r="I20">
        <v>12.46</v>
      </c>
      <c r="J20" t="inlineStr">
        <is>
          <t>{"choices":[{"finish_reason":"stop","index":0,"logprobs":null,"message":{"annotations":[],"content":"Stussy x Marc Jacobs 40th Black Floral Sweatshirt","refusal":null,"role":"assistant"}}],"created":1776666102,"id":"chatcmpl-DWcIoEe5LCflJ6P5WqaiuyyfFZsAD","model":"gpt-5-chat-latest","object":"chat.completion","service_tier":"default","system_fingerprint":"fp_ad66631dec","usage":{"completion_tokens":13,"completion_tokens_details":{"accepted_prediction_tokens":0,"audio_tokens":0,"reasoning_tokens":0,"rejected_prediction_tokens":0},"prompt_tokens":878,"prompt_tokens_details":{"audio_tokens":0,"cached_tokens":0},"total_tokens":891}}</t>
        </is>
      </c>
      <c r="K20" t="inlineStr">
        <is>
          <t>Stussy x Marc Jacobs 40th Black Floral Sweatshirt</t>
        </is>
      </c>
      <c r="L20" t="inlineStr">
        <is>
          <t>{"id":"chatcmpl-DWaS2ZvVMNpZRl86SX0HxMVH97JMt","object":"chat.completion","created":1776658986,"model":"gpt-5-chat-latest","choices":[{"index":0,"message":{"role":"assistant","content":"Stussy 40th Anniversary x Marc Jacobs Black Sweatshirt, soft cotton, street floral print with city icons, unisex retro streetwear, easy to style and show trendy attitude.","refusal":null,"annotations":[]},"logprobs":null,"finish_reason":"stop"}],"usage":{"prompt_tokens":911,"completion_tokens":38,"total_tokens":949,"prompt_tokens_details":{"cached_tokens":0,"audio_tokens":0},"completion_tokens_details":{"reasoning_tokens":0,"audio_tokens":0,"accepted_prediction_tokens":0,"rejected_prediction_tokens":0}},"service_tier":"default","system_fingerprint":"fp_ad66631dec"}</t>
        </is>
      </c>
      <c r="M20"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ma=2592000","apim-request-id":"efe1250d-3e77-43f9-b02d-959c9215e75d","azureml-model-session":"d20260405234249-f9874baf","cache-control":"no-cache, no-store, must-revalidate","connection":"close","content-length":"974","content-security-policy":"frame-ancestors 'self'","content-type":"application/json","date":"Mon, 20 Apr 2026 04:23:07 GMT","server":"nginx","skip-error-remapping":"true","strict-transport-security":"max-age=31536000; includeSubDomains; preload","via":"1.1 Caddy, 1.1 Caddy","x-api-request-id":"20260420122305654623404k1BjSGO2","x-content-type-options":"nosniff","x-frame-options":"SAMEORIGIN","x-ms-is-spilled-over":"false","x-ms-rai-invoked":"false","x-ms-region":"East US 2","x-new-api-version":"0.4.39","x-oneapi-request-id":"202604200423055866827198268d9d6asdA64cF","x-ratelimit-abusepenalty-active":"False","x-ratelimit-limit-requests":"4994","x-ratelimit-limit-tokens":"4994000","x-ratelimit-remaining-requests":"4993","x-ratelimit-remaining-tokens":"4992327","x-ratelimit-renewalperiod-requests":"60","x-ratelimit-renewalperiod-tokens":"60","x-ratelimit-reset-requests":"12","x-ratelimit-reset-tokens":"20","x-request-id":"a29f37fb-1a6f-4f84-82a8-a5631e6467b1"}</t>
        </is>
      </c>
      <c r="N20" t="inlineStr">
        <is>
          <t>Stussy 40th Anniversary x Marc Jacobs Black Sweatshirt, soft cotton, street floral print with city icons, unisex retro streetwear, easy to style and show trendy attitude.</t>
        </is>
      </c>
      <c r="O20" t="inlineStr">
        <is>
          <t>{"choices":[{"finish_reason":"stop","index":0,"logprobs":null,"message":{"annotations":[],"content":"Stussy,T-Shirts,kakobuy,kakebuy2026,kekobuysheet,kakobuysheet2026,2026kakobuy,kakobuyspreadsheeet,kakobuylink,kakebuylist,Kakobuy MEGA Spreadsheet,kakobuysheetfind,kakobuysheetfind2026,2026kakobuysheetfind,kakobuysheet2026","refusal":null,"role":"assistant"}}],"created":1776668392,"id":"chatcmpl-DWctk1a4krMIuCVvEemdKDFnzfBFk","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P20" t="inlineStr">
        <is>
          <t>Stussy,T-Shirts,kakobuy,kakebuy2026,kekobuysheet,kakobuysheet2026,2026kakobuy,kakobuyspreadsheeet,kakobuylink,kakebuylist,Kakobuy MEGA Spreadsheet,kakobuysheetfind,kakobuysheetfind2026,2026kakobuysheetfind,kakobuysheet2026</t>
        </is>
      </c>
      <c r="Q20" t="inlineStr">
        <is>
          <t>Stussy, Black, Retro, Streetwear, Unisex</t>
        </is>
      </c>
      <c r="R20" t="inlineStr">
        <is>
          <t>recvh6xFVjGjkx</t>
        </is>
      </c>
      <c r="S20" t="inlineStr">
        <is>
          <t>stussy-marc-jacobs-40th-black-floral-sweatshirt-recvh6xfvjgjkx</t>
        </is>
      </c>
      <c r="T20"/>
      <c r="U20"/>
      <c r="V20"/>
      <c r="W20" t="inlineStr">
        <is>
          <t>{"id":"chatcmpl-DWZO9jjFbFIm7ZNOt2h68w0r0hO9E","object":"chat.completion","created":1776654901,"model":"gpt-5-chat-latest","choices":[{"index":0,"message":{"role":"assistant","content":"Stussy：40周年联名款黑色圆领卫衣，柔软纯棉面料，印有标志性街头花卉与城市字样图腾，展现Marc Jacobs独特设计美学，男女皆宜，复古街头风格，休闲百搭彰显潮流态度。","refusal":null,"annotations":[]},"logprobs":null,"finish_reason":"stop"}],"usage":{"prompt_tokens":1320,"completion_tokens":73,"total_tokens":1393,"prompt_tokens_details":{"cached_tokens":0,"audio_tokens":0},"completion_tokens_details":{"reasoning_tokens":0,"audio_tokens":0,"accepted_prediction_tokens":0,"rejected_prediction_tokens":0}},"service_tier":"default","system_fingerprint":"fp_ad66631dec"}</t>
        </is>
      </c>
      <c r="X20" t="inlineStr">
        <is>
          <t>Stussy：40周年联名款黑色圆领卫衣，柔软纯棉面料，印有标志性街头花卉与城市字样图腾，展现Marc Jacobs独特设计美学，男女皆宜，复古街头风格，休闲百搭彰显潮流态度。</t>
        </is>
      </c>
    </row>
    <row r="21" ht="25.5" customHeight="1">
      <c r="A21">
        <v>1839115443</v>
      </c>
      <c r="B21">
        <v>7601058014</v>
      </c>
      <c r="C21" t="inlineStr">
        <is>
          <t>https://weidian.com/item.html?itemID=7601058014</t>
        </is>
      </c>
      <c r="D21"/>
      <c r="E21" s="2" t="str">
        <f>=HYPERLINK("https://si.geilicdn.com/open1832946205-252808396-1c2a00000197e85e8e490a23b4de_1080_1060.jpg?w=640&amp;h=640", "https://si.geilicdn.com/open1832946205-252808396-1c2a00000197e85e8e490a23b4de_1080_1060.jpg?w=640&amp;h=640")</f>
        <v>https://si.geilicdn.com/open1832946205-252808396-1c2a00000197e85e8e490a23b4de_1080_1060.jpg?w=640&amp;h=640</v>
      </c>
      <c r="F21" t="inlineStr">
        <is>
          <t>T-Shirts</t>
        </is>
      </c>
      <c r="G21" t="inlineStr">
        <is>
          <t>Corteiz</t>
        </is>
      </c>
      <c r="H21" t="inlineStr">
        <is>
          <t>86.00</t>
        </is>
      </c>
      <c r="I21">
        <v>12.46</v>
      </c>
      <c r="J21" t="inlineStr">
        <is>
          <t>{"id":"chatcmpl-DWcV3PvKjxFHBxoqVqHzztFAHFFIZ","object":"chat.completion","created":1776666861,"model":"gpt-5-chat-latest","choices":[{"index":0,"message":{"role":"assistant","content":"Corteiz Black Green Ship Graphic Unisex Streetwear T-Shirt","refusal":null,"annotations":[]},"logprobs":null,"finish_reason":"stop"}],"usage":{"prompt_tokens":875,"completion_tokens":14,"total_tokens":889,"prompt_tokens_details":{"cached_tokens":0,"audio_tokens":0},"completion_tokens_details":{"reasoning_tokens":0,"audio_tokens":0,"accepted_prediction_tokens":0,"rejected_prediction_tokens":0}},"service_tier":"default","system_fingerprint":"fp_ad66631dec"}</t>
        </is>
      </c>
      <c r="K21" t="inlineStr">
        <is>
          <t>Corteiz Black Green Ship Graphic Unisex Streetwear T-Shirt</t>
        </is>
      </c>
      <c r="L21" t="inlineStr">
        <is>
          <t>{"choices":[{"finish_reason":"stop","index":0,"logprobs":null,"message":{"annotations":[],"content":"Corteiz Black Printed T-Shirt in soft cotton with green ship graphic and logo, unisex retro streetwear style, easy to match, showing urban casual and trendy attitude.","refusal":null,"role":"assistant"}}],"created":1776658329,"id":"chatcmpl-DWaHRex0OirTQM3vUbHVHyMC733kT","model":"gpt-5-chat-latest","object":"chat.completion","service_tier":"default","system_fingerprint":"fp_ad66631dec","usage":{"completion_tokens":36,"completion_tokens_details":{"accepted_prediction_tokens":0,"audio_tokens":0,"reasoning_tokens":0,"rejected_prediction_tokens":0},"prompt_tokens":905,"prompt_tokens_details":{"audio_tokens":0,"cached_tokens":0},"total_tokens":941}}</t>
        </is>
      </c>
      <c r="M21" t="inlineStr">
        <is>
          <t>{"alt-svc":"h3=\":443\"; ma=2592000","apim-request-id":"d44c823f-5b72-4806-83c9-6990ae0cbd50","azureml-model-session":"d20260402083108-57a85543","cache-control":"no-cache","connection":"close","content-length":"754","content-security-policy":"frame-ancestors 'self'","content-type":"application/json","date":"Mon, 20 Apr 2026 04:12:10 GMT","server":"nginx","skip-error-remapping":"true","strict-transport-security":"max-age=31536000; includeSubDomains; preload","via":"1.1 Caddy, 1.1 Caddy","x-api-request-id":"20260420121208531966697t6Of4BhR","x-content-type-options":"nosniff","x-frame-options":"SAMEORIGIN","x-ms-client-request-id":"Not-Set","x-ms-is-spilled-over":"false","x-ms-rai-invoked":"true","x-ms-region":"East US 2","x-new-api-version":"0.4.39","x-oneapi-request-id":"202604200412084045824348268d9d6qvvY5tur","x-ratelimit-abusepenalty-active":"False","x-ratelimit-limit-requests":"3850","x-ratelimit-limit-tokens":"3850000","x-ratelimit-remaining-requests":"3849","x-ratelimit-remaining-tokens":"3846575","x-ratelimit-renewalperiod-requests":"60","x-ratelimit-renewalperiod-tokens":"60","x-ratelimit-reset-requests":"23","x-ratelimit-reset-tokens":"53","x-request-id":"27032d82-4317-4947-a32e-57f8d516466c"}</t>
        </is>
      </c>
      <c r="N21" t="inlineStr">
        <is>
          <t>Corteiz Black Printed T-Shirt in soft cotton with green ship graphic and logo, unisex retro streetwear style, easy to match, showing urban casual and trendy attitude.</t>
        </is>
      </c>
      <c r="O21" t="inlineStr">
        <is>
          <t>{"choices":[{"finish_reason":"stop","index":0,"logprobs":null,"message":{"annotations":[],"content":"Corteiz,T-Shirts,kakobuy,kakebuy2026,kekobuysheet,kakobuysheet2026,2026kakobuy,kakobuyspreadsheeet,kakobuylink,kakebuylist,Kakobuy MEGA Spreadsheet,kakobuysheetfind,kakobuysheetfind2026,2026kakobuysheetfind,kakobuysheet2026","refusal":null,"role":"assistant"}}],"created":1776667861,"id":"chatcmpl-DWclBCtd5f1P77VtDlgCYybBU1ZKY","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is>
      </c>
      <c r="P21" t="inlineStr">
        <is>
          <t>Corteiz,T-Shirts,kakobuy,kakebuy2026,kekobuysheet,kakobuysheet2026,2026kakobuy,kakobuyspreadsheeet,kakobuylink,kakebuylist,Kakobuy MEGA Spreadsheet,kakobuysheetfind,kakobuysheetfind2026,2026kakobuysheetfind,kakobuysheet2026</t>
        </is>
      </c>
      <c r="Q21" t="inlineStr">
        <is>
          <t>Corteiz, Black, Retro, Streetwear, Unisex</t>
        </is>
      </c>
      <c r="R21" t="inlineStr">
        <is>
          <t>recvh6xFVjstDn</t>
        </is>
      </c>
      <c r="S21" t="inlineStr">
        <is>
          <t>corteiz-black-green-ship-graphic-recvh6xfvjstdn</t>
        </is>
      </c>
      <c r="T21"/>
      <c r="U21"/>
      <c r="V21"/>
      <c r="W21" t="inlineStr">
        <is>
          <t>{"id":"chatcmpl-DWZXSKZF1MVVyiu2bstLnKvFmnjk6","object":"chat.completion","created":1776655478,"model":"gpt-5-chat-latest","choices":[{"index":0,"message":{"role":"assistant","content":"Corteiz：黑色印花短袖T恤，选用柔软纯棉面料，胸前绿色船舰图腾与品牌字样设计，街头复古风格，男女皆宜，穿搭简约有型，展现都市潮流态度。","refusal":null,"annotations":[]},"logprobs":null,"finish_reason":"stop"}],"usage":{"prompt_tokens":1327,"completion_tokens":64,"total_tokens":1391,"prompt_tokens_details":{"cached_tokens":1280,"audio_tokens":0},"completion_tokens_details":{"reasoning_tokens":0,"audio_tokens":0,"accepted_prediction_tokens":0,"rejected_prediction_tokens":0}},"service_tier":"default","system_fingerprint":"fp_ad66631dec"}</t>
        </is>
      </c>
      <c r="X21" t="inlineStr">
        <is>
          <t>Corteiz：黑色印花短袖T恤，选用柔软纯棉面料，胸前绿色船舰图腾与品牌字样设计，街头复古风格，男女皆宜，穿搭简约有型，展现都市潮流态度。</t>
        </is>
      </c>
    </row>
    <row r="22" ht="25.5" customHeight="1">
      <c r="A22">
        <v>1839115443</v>
      </c>
      <c r="B22">
        <v>7601069680</v>
      </c>
      <c r="C22" t="inlineStr">
        <is>
          <t>https://weidian.com/item.html?itemID=7601069680</t>
        </is>
      </c>
      <c r="D22"/>
      <c r="E22" s="2" t="str">
        <f>=HYPERLINK("https://si.geilicdn.com/open1832946205-252808396-730d00000196d244b66f0a23b4de_1080_1080.jpg?w=640&amp;h=640", "https://si.geilicdn.com/open1832946205-252808396-730d00000196d244b66f0a23b4de_1080_1080.jpg?w=640&amp;h=640")</f>
        <v>https://si.geilicdn.com/open1832946205-252808396-730d00000196d244b66f0a23b4de_1080_1080.jpg?w=640&amp;h=640</v>
      </c>
      <c r="F22" t="inlineStr">
        <is>
          <t>Sweaters</t>
        </is>
      </c>
      <c r="G22" t="inlineStr">
        <is>
          <t>Ralph Lauren</t>
        </is>
      </c>
      <c r="H22" t="inlineStr">
        <is>
          <t>212.00</t>
        </is>
      </c>
      <c r="I22">
        <v>30.72</v>
      </c>
      <c r="J22" t="inlineStr">
        <is>
          <t>{"id":"chatcmpl-DWcDVjnxJymzvf3zS7BOqOwIKRwrH","object":"chat.completion","created":1776665773,"model":"gpt-5-chat-latest","choices":[{"index":0,"message":{"role":"assistant","content":"Ralph Lauren Navy Cable Knit Cotton Crewneck Sweater","refusal":null,"annotations":[]},"logprobs":null,"finish_reason":"stop"}],"usage":{"prompt_tokens":873,"completion_tokens":12,"total_tokens":885,"prompt_tokens_details":{"cached_tokens":0,"audio_tokens":0},"completion_tokens_details":{"reasoning_tokens":0,"audio_tokens":0,"accepted_prediction_tokens":0,"rejected_prediction_tokens":0}},"service_tier":"default","system_fingerprint":"fp_ad66631dec"}</t>
        </is>
      </c>
      <c r="K22" t="inlineStr">
        <is>
          <t>Ralph Lauren Navy Cable Knit Cotton Crewneck Sweater</t>
        </is>
      </c>
      <c r="L22" t="inlineStr">
        <is>
          <t>{"choices":[{"finish_reason":"stop","index":0,"logprobs":null,"message":{"annotations":[],"content":"Ralph Lauren classic navy cable-knit cotton crewneck sweater with iconic red polo logo, timeless British collegiate style, warm, stylish, and perfect for both men and women.","refusal":null,"role":"assistant"}}],"created":1776658388,"id":"chatcmpl-DWaIOTaToFamzQJ0n0gS9X3vKaAO4","model":"gpt-5-chat-latest","object":"chat.completion","service_tier":"default","system_fingerprint":"fp_ad66631dec","usage":{"completion_tokens":35,"completion_tokens_details":{"accepted_prediction_tokens":0,"audio_tokens":0,"reasoning_tokens":0,"rejected_prediction_tokens":0},"prompt_tokens":904,"prompt_tokens_details":{"audio_tokens":0,"cached_tokens":0},"total_tokens":939}}</t>
        </is>
      </c>
      <c r="M22" t="inlineStr">
        <is>
          <t>{"alt-svc":"h3=\":443\"; ma=2592000","apim-request-id":"95e1346e-234b-4f2e-af1a-b18d5b0ec813","azureml-model-session":"d20260405234249-f9874baf","cache-control":"no-cache","connection":"close","content-length":"761","content-security-policy":"frame-ancestors 'self'","content-type":"application/json","date":"Mon, 20 Apr 2026 04:13:09 GMT","server":"nginx","skip-error-remapping":"true","strict-transport-security":"max-age=31536000; includeSubDomains; preload","via":"1.1 Caddy, 1.1 Caddy","x-api-request-id":"20260420121307507146545GYpJLQ9p","x-content-type-options":"nosniff","x-frame-options":"SAMEORIGIN","x-ms-client-request-id":"Not-Set","x-ms-is-spilled-over":"false","x-ms-rai-invoked":"true","x-ms-region":"East US 2","x-new-api-version":"0.4.39","x-oneapi-request-id":"202604200413074420567048268d9d6kueSAxG6","x-ratelimit-abusepenalty-active":"False","x-ratelimit-limit-requests":"3850","x-ratelimit-limit-tokens":"3850000","x-ratelimit-remaining-requests":"3849","x-ratelimit-remaining-tokens":"3848334","x-ratelimit-renewalperiod-requests":"60","x-ratelimit-renewalperiod-tokens":"60","x-ratelimit-reset-requests":"15","x-ratelimit-reset-tokens":"25","x-request-id":"bb5185e3-b132-43a1-ab2d-41b12e06e87b"}</t>
        </is>
      </c>
      <c r="N22" t="inlineStr">
        <is>
          <t>Ralph Lauren classic navy cable-knit cotton crewneck sweater with iconic red polo logo, timeless British collegiate style, warm, stylish, and perfect for both men and women.</t>
        </is>
      </c>
      <c r="O22" t="inlineStr">
        <is>
          <t>{"choices":[{"finish_reason":"stop","index":0,"logprobs":null,"message":{"annotations":[],"content":"Ralph Lauren,Sweater,kakobuy,kakebuy2026,kekobuysheet,kakobuysheet2026,2026kakobuy,kakobuyspreadsheeet,kakobuylink,kakebuylist,Kakobuy MEGA Spreadsheet,kakobuysheetfind,kakobuysheetfind2026,2026kakobuysheetfind,kakobuysheet2026","refusal":null,"role":"assistant"}}],"created":1776668097,"id":"chatcmpl-DWcozs7pOQPdWHU9rFx7MCSClK8lb","model":"gpt-5-chat-latest","object":"chat.completion","service_tier":"default","system_fingerprint":"fp_ad66631dec","usage":{"completion_tokens":89,"completion_tokens_details":{"accepted_prediction_tokens":0,"audio_tokens":0,"reasoning_tokens":0,"rejected_prediction_tokens":0},"prompt_tokens":784,"prompt_tokens_details":{"audio_tokens":0,"cached_tokens":0},"total_tokens":873}}</t>
        </is>
      </c>
      <c r="P22" t="inlineStr">
        <is>
          <t>Ralph Lauren,Sweater,kakobuy,kakebuy2026,kekobuysheet,kakobuysheet2026,2026kakobuy,kakobuyspreadsheeet,kakobuylink,kakebuylist,Kakobuy MEGA Spreadsheet,kakobuysheetfind,kakobuysheetfind2026,2026kakobuysheetfind,kakobuysheet2026</t>
        </is>
      </c>
      <c r="Q22" t="inlineStr">
        <is>
          <t>Navy, Classic, Unisex, Knitwear</t>
        </is>
      </c>
      <c r="R22" t="inlineStr">
        <is>
          <t>recvh6xFVj2nJW</t>
        </is>
      </c>
      <c r="S22" t="inlineStr">
        <is>
          <t>ralph-lauren-navy-cable-knit-crewneck-sweater-recvh6xFVj2nJW</t>
        </is>
      </c>
      <c r="T22"/>
      <c r="U22"/>
      <c r="V22"/>
      <c r="W22" t="inlineStr">
        <is>
          <t>{"choices":[{"finish_reason":"stop","index":0,"logprobs":null,"message":{"annotations":[],"content":"Ralph Lauren：经典海军蓝针织圆领毛衣，甄选纯棉材质，立体麻花织纹设计，胸前红色马球刺绣标志，英伦学院休闲风格，男女皆宜，兼具保暖与时尚。","refusal":null,"role":"assistant"}}],"created":1776655622,"id":"chatcmpl-DWZZmZyRVrcN0amtluhA4coXwwnsx","model":"gpt-5-chat-latest","object":"chat.completion","service_tier":"default","system_fingerprint":"fp_ad66631dec","usage":{"completion_tokens":65,"completion_tokens_details":{"accepted_prediction_tokens":0,"audio_tokens":0,"reasoning_tokens":0,"rejected_prediction_tokens":0},"prompt_tokens":1323,"prompt_tokens_details":{"audio_tokens":0,"cached_tokens":0},"total_tokens":1388}}</t>
        </is>
      </c>
      <c r="X22" t="inlineStr">
        <is>
          <t>Ralph Lauren：经典海军蓝针织圆领毛衣，甄选纯棉材质，立体麻花织纹设计，胸前红色马球刺绣标志，英伦学院休闲风格，男女皆宜，兼具保暖与时尚。</t>
        </is>
      </c>
    </row>
    <row r="23" ht="25.5" customHeight="1">
      <c r="A23">
        <v>1839115443</v>
      </c>
      <c r="B23">
        <v>7601010872</v>
      </c>
      <c r="C23" t="inlineStr">
        <is>
          <t>https://weidian.com/item.html?itemID=7601010872</t>
        </is>
      </c>
      <c r="D23"/>
      <c r="E23" s="2" t="str">
        <f>=HYPERLINK("https://si.geilicdn.com/open1832946205-252808396-74f900000197f37c74ad0a23b4de_800_800.jpg?w=640&amp;h=640", "https://si.geilicdn.com/open1832946205-252808396-74f900000197f37c74ad0a23b4de_800_800.jpg?w=640&amp;h=640")</f>
        <v>https://si.geilicdn.com/open1832946205-252808396-74f900000197f37c74ad0a23b4de_800_800.jpg?w=640&amp;h=640</v>
      </c>
      <c r="F23" t="inlineStr">
        <is>
          <t>Jackets</t>
        </is>
      </c>
      <c r="G23" t="inlineStr">
        <is>
          <t>Stussy</t>
        </is>
      </c>
      <c r="H23" t="inlineStr">
        <is>
          <t>484.00</t>
        </is>
      </c>
      <c r="I23">
        <v>69.85</v>
      </c>
      <c r="J23" t="inlineStr">
        <is>
          <t>{"id":"chatcmpl-DWcHBh1rykzj3AnINXrLEeaxoGchi","object":"chat.completion","created":1776666001,"model":"gpt-5-chat-latest","choices":[{"index":0,"message":{"role":"assistant","content":"Stussy White Glossy Down Hooded Jacket Unisex","refusal":null,"annotations":[]},"logprobs":null,"finish_reason":"stop"}],"usage":{"prompt_tokens":882,"completion_tokens":12,"total_tokens":894,"prompt_tokens_details":{"cached_tokens":0,"audio_tokens":0},"completion_tokens_details":{"reasoning_tokens":0,"audio_tokens":0,"accepted_prediction_tokens":0,"rejected_prediction_tokens":0}},"service_tier":"default","system_fingerprint":"fp_ad66631dec"}</t>
        </is>
      </c>
      <c r="K23" t="inlineStr">
        <is>
          <t>Stussy White Glossy Down Hooded Jacket Unisex</t>
        </is>
      </c>
      <c r="L23" t="inlineStr">
        <is>
          <t>{"choices":[{"finish_reason":"stop","index":0,"logprobs":null,"message":{"annotations":[],"content":"Stussy White Lightweight Down Hooded Jacket, windproof waterproof glossy design, classic logo on chest, green contrast lining, unisex streetwear for urban style, warm and trendy retro-modern look.","refusal":null,"role":"assistant"}}],"created":1776659318,"id":"chatcmpl-DWaXODpaD5q9YtioeW6NRSR7ozwzf","model":"gpt-5-chat-latest","object":"chat.completion","service_tier":"default","system_fingerprint":"fp_ad66631dec","usage":{"completion_tokens":40,"completion_tokens_details":{"accepted_prediction_tokens":0,"audio_tokens":0,"reasoning_tokens":0,"rejected_prediction_tokens":0},"prompt_tokens":923,"prompt_tokens_details":{"audio_tokens":0,"cached_tokens":0},"total_tokens":963}}</t>
        </is>
      </c>
      <c r="M23" t="inlineStr">
        <is>
          <t>{"alt-svc":"h3=\":443\"; ma=2592000","apim-request-id":"4236143f-09c5-426d-9e3b-12350b1580c6","azureml-model-session":"d20260405225800-40f19e54","cache-control":"no-cache","connection":"close","content-length":"784","content-security-policy":"frame-ancestors 'self'","content-type":"application/json","date":"Mon, 20 Apr 2026 04:28:39 GMT","server":"Caddy","skip-error-remapping":"true","strict-transport-security":"max-age=31536000; includeSubDomains; preload","via":"1.1 Caddy","x-api-request-id":"202604201228376873971615xITLwrP","x-content-type-options":"nosniff","x-frame-options":"SAMEORIGIN","x-ms-client-request-id":"Not-Set","x-ms-is-spilled-over":"false","x-ms-rai-invoked":"true","x-ms-region":"East US 2","x-new-api-version":"0.4.39","x-oneapi-request-id":"202604200428376202072028268d9d6uSW9wdKm","x-ratelimit-abusepenalty-active":"False","x-ratelimit-limit-requests":"3850","x-ratelimit-limit-tokens":"3850000","x-ratelimit-remaining-requests":"3849","x-ratelimit-remaining-tokens":"3848315","x-ratelimit-renewalperiod-requests":"60","x-ratelimit-renewalperiod-tokens":"60","x-ratelimit-reset-requests":"15","x-ratelimit-reset-tokens":"26","x-request-id":"e6d12c69-8812-4eb6-b514-eff91da4c48f"}</t>
        </is>
      </c>
      <c r="N23" t="inlineStr">
        <is>
          <t>Stussy White Lightweight Down Hooded Jacket, windproof waterproof glossy design, classic logo on chest, green contrast lining, unisex streetwear for urban style, warm and trendy retro-modern look.</t>
        </is>
      </c>
      <c r="O23" t="inlineStr">
        <is>
          <t>{"choices":[{"finish_reason":"stop","index":0,"logprobs":null,"message":{"annotations":[],"content":"Stussy, Jackets, kakobuy, kakebuy2026, kekobuysheet, kakobuysheet2026, 2026kakobuy, kakobuyspreadsheeet, kakobuylink, kakebuylist, Kakobuy MEGA Spreadsheet, kakobuysheetfind, kakobuysheetfind2026, 2026kakobuysheetfind, kakobuysheet2026","refusal":null,"role":"assistant"}}],"created":1776668254,"id":"chatcmpl-DWcrWYZsNdHEaZslNxBZAv3yQRDxx","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is>
      </c>
      <c r="P23" t="inlineStr">
        <is>
          <t>Stussy, Jackets, kakobuy, kakebuy2026, kekobuysheet, kakobuysheet2026, 2026kakobuy, kakobuyspreadsheeet, kakobuylink, kakebuylist, Kakobuy MEGA Spreadsheet, kakobuysheetfind, kakobuysheetfind2026, 2026kakobuysheetfind, kakobuysheet2026</t>
        </is>
      </c>
      <c r="Q23" t="inlineStr">
        <is>
          <t>Stussy, White, Windproof, Waterproof, Unisex, Streetwear</t>
        </is>
      </c>
      <c r="R23" t="inlineStr">
        <is>
          <t>recvh6xFVjzS3k</t>
        </is>
      </c>
      <c r="S23" t="inlineStr">
        <is>
          <t>stussy-white-glossy-down-hooded-jacket-recvh6xFVjzS3k</t>
        </is>
      </c>
      <c r="T23"/>
      <c r="U23"/>
      <c r="V23"/>
      <c r="W23" t="inlineStr">
        <is>
          <t>{"choices":[{"finish_reason":"stop","index":0,"logprobs":null,"message":{"annotations":[],"content":"Stussy：白色轻盈羽绒连帽夹克，采用防风防水面料与亮面质感设计，胸前经典手写Logo彰显街头潮流气息，内部绿色撞色内衬增添活力，中性款式适合都市男女，兼具保暖与时尚功能，展现复古与现代融合的街头风格。","refusal":null,"role":"assistant"}}],"created":1776655573,"id":"chatcmpl-DWZYzM6Oc2adPvw6LAau4bLF2yyKw","model":"gpt-5-chat-latest","object":"chat.completion","service_tier":"default","system_fingerprint":"fp_ad66631dec","usage":{"completion_tokens":88,"completion_tokens_details":{"accepted_prediction_tokens":0,"audio_tokens":0,"reasoning_tokens":0,"rejected_prediction_tokens":0},"prompt_tokens":1316,"prompt_tokens_details":{"audio_tokens":0,"cached_tokens":1280},"total_tokens":1404}}</t>
        </is>
      </c>
      <c r="X23" t="inlineStr">
        <is>
          <t>Stussy：白色轻盈羽绒连帽夹克，采用防风防水面料与亮面质感设计，胸前经典手写Logo彰显街头潮流气息，内部绿色撞色内衬增添活力，中性款式适合都市男女，兼具保暖与时尚功能，展现复古与现代融合的街头风格。</t>
        </is>
      </c>
    </row>
    <row r="24" ht="25.5" customHeight="1">
      <c r="A24">
        <v>1839115443</v>
      </c>
      <c r="B24">
        <v>7599195763</v>
      </c>
      <c r="C24" t="inlineStr">
        <is>
          <t>https://weidian.com/item.html?itemID=7599195763</t>
        </is>
      </c>
      <c r="D24"/>
      <c r="E24" s="2" t="str">
        <f>=HYPERLINK("http://image.png", "image.png")</f>
        <v>image.png</v>
      </c>
      <c r="F24" t="inlineStr">
        <is>
          <t>Hoodies</t>
        </is>
      </c>
      <c r="G24" t="inlineStr">
        <is>
          <t>Sp5der</t>
        </is>
      </c>
      <c r="H24" t="inlineStr">
        <is>
          <t>310.00</t>
        </is>
      </c>
      <c r="I24">
        <v>44.93</v>
      </c>
      <c r="J24" t="inlineStr">
        <is>
          <t>{"error":{"message":"You uploaded an unsupported image. Please make sure your image has of one the following formats: ['gif', 'webp', 'png', 'jpeg']. ","type":"new_api_error","param":"","code":"invalid_image_format"}}</t>
        </is>
      </c>
      <c r="K24"/>
      <c r="L24" t="inlineStr">
        <is>
          <t>{"error":{"message":"You uploaded an unsupported image. Please make sure your image has of one the following formats: ['webp', 'jpeg', 'png', 'gif']. ","type":"new_api_error","param":"","code":"invalid_image_format"}}</t>
        </is>
      </c>
      <c r="M24" t="inlineStr">
        <is>
          <t>{"alt-svc":"h3=\":443\"; ma=2592000","connection":"close","content-length":"217","content-type":"application/json; charset=utf-8","date":"Mon, 20 Apr 2026 04:19:48 GMT","via":"1.1 Caddy","x-new-api-version":"v0.0.0","x-oneapi-request-id":"B202604200419475429751363UG2WFAl"}</t>
        </is>
      </c>
      <c r="N24"/>
      <c r="O24" t="inlineStr">
        <is>
          <t>{"error":{"message":"You uploaded an unsupported image. Please make sure your image has of one the following formats: ['png', 'webp', 'gif', 'jpeg']. ","type":"new_api_error","param":"","code":"invalid_image_format"}}</t>
        </is>
      </c>
      <c r="P24"/>
      <c r="Q24"/>
      <c r="R24" t="inlineStr">
        <is>
          <t>recvh6xFVjJ8FC</t>
        </is>
      </c>
      <c r="S24" t="inlineStr">
        <is>
          <t>recvh6xfvjj8fc</t>
        </is>
      </c>
      <c r="T24"/>
      <c r="U24"/>
      <c r="V24"/>
      <c r="W24" t="inlineStr">
        <is>
          <t>{"error":{"message":"You uploaded an unsupported image. Please make sure your image has of one the following formats: ['png', 'jpeg', 'gif', 'webp']. ","type":"new_api_error","param":"","code":"invalid_image_format"}}</t>
        </is>
      </c>
      <c r="X24"/>
    </row>
    <row r="25" ht="25.5" customHeight="1">
      <c r="A25">
        <v>1839115443</v>
      </c>
      <c r="B25">
        <v>7601028240</v>
      </c>
      <c r="C25" t="inlineStr">
        <is>
          <t>https://weidian.com/item.html?itemID=7601028240</t>
        </is>
      </c>
      <c r="D25"/>
      <c r="E25" s="2" t="str">
        <f>=HYPERLINK("https://si.geilicdn.com/open1832946205-252808396-328200000197f27d63b40aa0c791_800_800.jpg?w=640&amp;h=640", "https://si.geilicdn.com/open1832946205-252808396-328200000197f27d63b40aa0c791_800_800.jpg?w=640&amp;h=640")</f>
        <v>https://si.geilicdn.com/open1832946205-252808396-328200000197f27d63b40aa0c791_800_800.jpg?w=640&amp;h=640</v>
      </c>
      <c r="F25" t="inlineStr">
        <is>
          <t>Hoodies</t>
        </is>
      </c>
      <c r="G25" t="inlineStr">
        <is>
          <t xml:space="preserve"> Represent</t>
        </is>
      </c>
      <c r="H25" t="inlineStr">
        <is>
          <t>154.00</t>
        </is>
      </c>
      <c r="I25">
        <v>22.32</v>
      </c>
      <c r="J25" t="inlineStr">
        <is>
          <t>{"id":"chatcmpl-DWcVKYAI6JhNAP9cOMwiY7qtlV8uj","object":"chat.completion","created":1776666878,"model":"gpt-5-chat-latest","choices":[{"index":0,"message":{"role":"assistant","content":"Represent Owners Club Black Oversized Streetwear Hoodie","refusal":null,"annotations":[]},"logprobs":null,"finish_reason":"stop"}],"usage":{"prompt_tokens":884,"completion_tokens":10,"total_tokens":894,"prompt_tokens_details":{"cached_tokens":0,"audio_tokens":0},"completion_tokens_details":{"reasoning_tokens":0,"audio_tokens":0,"accepted_prediction_tokens":0,"rejected_prediction_tokens":0}},"service_tier":"default","system_fingerprint":"fp_ad66631dec"}</t>
        </is>
      </c>
      <c r="K25" t="inlineStr">
        <is>
          <t>Represent Owners Club Black Oversized Streetwear Hoodie</t>
        </is>
      </c>
      <c r="L25" t="inlineStr">
        <is>
          <t>{"id":"chatcmpl-DWaMTnEVSna0w95kPNHDAQQCwLRap","object":"chat.completion","created":1776658641,"model":"gpt-5-chat-latest","choices":[{"index":0,"message":{"role":"assistant","content":"Represent Owners Club black hoodie made from soft thick cotton, featuring bold white logo print on the back, unisex oversized fit, British minimalist design, stylish, warm, and perfect for urban streetwear.","refusal":null,"annotations":[]},"logprobs":null,"finish_reason":"stop"}],"usage":{"prompt_tokens":909,"completion_tokens":41,"total_tokens":950,"prompt_tokens_details":{"cached_tokens":0,"audio_tokens":0},"completion_tokens_details":{"reasoning_tokens":0,"audio_tokens":0,"accepted_prediction_tokens":0,"rejected_prediction_tokens":0}},"service_tier":"default","system_fingerprint":"fp_ad66631dec"}</t>
        </is>
      </c>
      <c r="M25"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ma=2592000","apim-request-id":"1ab6c09c-e6da-44c9-b137-ef58d6becb32","azureml-model-session":"d20260405234249-f9874baf","cache-control":"no-cache, no-store, must-revalidate","connection":"close","content-length":"1010","content-security-policy":"frame-ancestors 'self'","content-type":"application/json","date":"Mon, 20 Apr 2026 04:17:24 GMT","server":"Caddy","skip-error-remapping":"true","strict-transport-security":"max-age=31536000; includeSubDomains; preload","via":"1.1 Caddy","x-api-request-id":"20260420121720750388599SruAv4Xz","x-content-type-options":"nosniff","x-frame-options":"SAMEORIGIN","x-ms-is-spilled-over":"false","x-ms-rai-invoked":"false","x-ms-region":"Sweden Central","x-new-api-version":"0.4.39","x-oneapi-request-id":"202604200417206831811438268d9d6iU3rm56l","x-ratelimit-abusepenalty-active":"False","x-ratelimit-limit-requests":"4993","x-ratelimit-limit-tokens":"4993000","x-ratelimit-remaining-requests":"4992","x-ratelimit-remaining-tokens":"4991329","x-ratelimit-renewalperiod-requests":"60","x-ratelimit-renewalperiod-tokens":"60","x-ratelimit-reset-requests":"12","x-ratelimit-reset-tokens":"20","x-request-id":"82a8ec86-8cd6-48b4-bffe-aaf346f8dcd1"}</t>
        </is>
      </c>
      <c r="N25" t="inlineStr">
        <is>
          <t>Represent Owners Club black hoodie made from soft thick cotton, featuring bold white logo print on the back, unisex oversized fit, British minimalist design, stylish, warm, and perfect for urban streetwear.</t>
        </is>
      </c>
      <c r="O25" t="inlineStr">
        <is>
          <t>{"id":"chatcmpl-DWcZTymofJmTreTRQZHuBb3hEROAM","object":"chat.completion","created":1776667135,"model":"gpt-5-chat-latest","choices":[{"index":0,"message":{"role":"assistant","content":"Represent,Hoodie,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ad66631dec"}</t>
        </is>
      </c>
      <c r="P25" t="inlineStr">
        <is>
          <t>Represent,Hoodie,kakobuy,kakebuy2026,kekobuysheet,kakobuysheet2026,2026kakobuy,kakobuyspreadsheeet,kakobuylink,kakebuylist,Kakobuy MEGA Spreadsheet,kakobuysheetfind,kakobuysheetfind2026,2026kakobuysheetfind,kakobuysheet2026</t>
        </is>
      </c>
      <c r="Q25" t="inlineStr">
        <is>
          <t>Unisex, Minimalist, Streetwear, Black, Winter</t>
        </is>
      </c>
      <c r="R25" t="inlineStr">
        <is>
          <t>recvh6xFVjjqbC</t>
        </is>
      </c>
      <c r="S25" t="inlineStr">
        <is>
          <t>represent-owners-club-black-oversized-hoodie-recvh6xFVjjqbC</t>
        </is>
      </c>
      <c r="T25"/>
      <c r="U25"/>
      <c r="V25"/>
      <c r="W25" t="inlineStr">
        <is>
          <t>{"id":"chatcmpl-DWZPAz3IM5rtYmcGQyc9ofNEb0U2t","object":"chat.completion","created":1776654964,"model":"gpt-5-chat-latest","choices":[{"index":0,"message":{"role":"assistant","content":"Represent：Owners Club黑色连帽卫衣，柔软厚实棉质面料，背部白色品牌标语印花彰显街头态度，宽松版型男女皆宜，融合英伦极简设计风格，休闲保暖兼具时尚与舒适，适合都市潮流穿搭。","refusal":null,"annotations":[]},"logprobs":null,"finish_reason":"stop"}],"usage":{"prompt_tokens":1310,"completion_tokens":75,"total_tokens":1385,"prompt_tokens_details":{"cached_tokens":0,"audio_tokens":0},"completion_tokens_details":{"reasoning_tokens":0,"audio_tokens":0,"accepted_prediction_tokens":0,"rejected_prediction_tokens":0}},"service_tier":"default","system_fingerprint":"fp_ad66631dec"}</t>
        </is>
      </c>
      <c r="X25" t="inlineStr">
        <is>
          <t>Represent：Owners Club黑色连帽卫衣，柔软厚实棉质面料，背部白色品牌标语印花彰显街头态度，宽松版型男女皆宜，融合英伦极简设计风格，休闲保暖兼具时尚与舒适，适合都市潮流穿搭。</t>
        </is>
      </c>
    </row>
    <row r="26" ht="25.5" customHeight="1">
      <c r="A26">
        <v>1839115443</v>
      </c>
      <c r="B26">
        <v>7601022760</v>
      </c>
      <c r="C26" t="inlineStr">
        <is>
          <t>https://weidian.com/item.html?itemID=7601022760</t>
        </is>
      </c>
      <c r="D26"/>
      <c r="E26" s="2" t="str">
        <f>=HYPERLINK("https://si.geilicdn.com/open1832946205-252808396-199100000196cd187b110a8133b0_1920_1920.jpg?w=640&amp;h=640", "https://si.geilicdn.com/open1832946205-252808396-199100000196cd187b110a8133b0_1920_1920.jpg?w=640&amp;h=640")</f>
        <v>https://si.geilicdn.com/open1832946205-252808396-199100000196cd187b110a8133b0_1920_1920.jpg?w=640&amp;h=640</v>
      </c>
      <c r="F26" t="inlineStr">
        <is>
          <t>T-Shirts</t>
        </is>
      </c>
      <c r="G26" t="inlineStr">
        <is>
          <t>Ralph Lauren</t>
        </is>
      </c>
      <c r="H26" t="inlineStr">
        <is>
          <t>216.00</t>
        </is>
      </c>
      <c r="I26">
        <v>31.3</v>
      </c>
      <c r="J26" t="inlineStr">
        <is>
          <t>{"choices":[{"finish_reason":"stop","index":0,"logprobs":null,"message":{"annotations":[],"content":"Ralph Lauren Black Half Zip Cotton Knit Top","refusal":null,"role":"assistant"}}],"created":1776666878,"id":"chatcmpl-DWcVKJlc0Asno9GH0rCPaND9lTGGJ","model":"gpt-5-chat-latest","object":"chat.completion","service_tier":"default","system_fingerprint":"fp_ad66631dec","usage":{"completion_tokens":10,"completion_tokens_details":{"accepted_prediction_tokens":0,"audio_tokens":0,"reasoning_tokens":0,"rejected_prediction_tokens":0},"prompt_tokens":885,"prompt_tokens_details":{"audio_tokens":0,"cached_tokens":0},"total_tokens":895}}</t>
        </is>
      </c>
      <c r="K26" t="inlineStr">
        <is>
          <t>Ralph Lauren Black Half Zip Cotton Knit Top</t>
        </is>
      </c>
      <c r="L26" t="inlineStr">
        <is>
          <t>{"choices":[{"finish_reason":"stop","index":0,"logprobs":null,"message":{"annotations":[],"content":"Ralph Lauren classic black half-zip knit long-sleeve top crafted from soft cotton, featuring iconic red pony logo on chest; unisex American preppy style for timeless elegance and casual comfort.","refusal":null,"role":"assistant"}}],"created":1776658286,"id":"chatcmpl-DWaGkMYWU5SuBWFbLKs4n2pYTQ9d9","model":"gpt-5-chat-latest","object":"chat.completion","service_tier":"default","system_fingerprint":"fp_ad66631dec","usage":{"completion_tokens":41,"completion_tokens_details":{"accepted_prediction_tokens":0,"audio_tokens":0,"reasoning_tokens":0,"rejected_prediction_tokens":0},"prompt_tokens":905,"prompt_tokens_details":{"audio_tokens":0,"cached_tokens":0},"total_tokens":946}}</t>
        </is>
      </c>
      <c r="M26" t="inlineStr">
        <is>
          <t>{"alt-svc":"h3=\":443\"; ma=2592000","apim-request-id":"863aba88-26d8-475b-983c-e39260fd0ba6","azureml-model-session":"d20260405234249-f9874baf","cache-control":"no-cache","connection":"close","content-length":"782","content-security-policy":"frame-ancestors 'self'","content-type":"application/json","date":"Mon, 20 Apr 2026 04:11:27 GMT","server":"nginx","skip-error-remapping":"true","strict-transport-security":"max-age=31536000; includeSubDomains; preload","via":"1.1 Caddy, 1.1 Caddy","x-api-request-id":"20260420121125842423254b5SK7v3C","x-content-type-options":"nosniff","x-frame-options":"SAMEORIGIN","x-ms-client-request-id":"Not-Set","x-ms-is-spilled-over":"false","x-ms-rai-invoked":"true","x-ms-region":"East US 2","x-new-api-version":"0.4.39","x-oneapi-request-id":"202604200411256808339838268d9d68RQuq1QM","x-ratelimit-abusepenalty-active":"False","x-ratelimit-limit-requests":"3850","x-ratelimit-limit-tokens":"3850000","x-ratelimit-remaining-requests":"3849","x-ratelimit-remaining-tokens":"3848333","x-ratelimit-renewalperiod-requests":"60","x-ratelimit-renewalperiod-tokens":"60","x-ratelimit-reset-requests":"15","x-ratelimit-reset-tokens":"25","x-request-id":"3718f867-ea1a-490e-adb5-bfc270c452cd"}</t>
        </is>
      </c>
      <c r="N26" t="inlineStr">
        <is>
          <t>Ralph Lauren classic black half-zip knit long-sleeve top crafted from soft cotton, featuring iconic red pony logo on chest; unisex American preppy style for timeless elegance and casual comfort.</t>
        </is>
      </c>
      <c r="O26" t="inlineStr">
        <is>
          <t>{"choices":[{"finish_reason":"stop","index":0,"logprobs":null,"message":{"annotations":[],"content":"Ralph Lauren,T-Shirts,kakobuy,kakebuy2026,kekobuysheet,kakobuysheet2026,2026kakobuy,kakobuyspreadsheeet,kakobuylink,kakebuylist,Kakobuy MEGA Spreadsheet,kakobuysheetfind,kakobuysheetfind2026,2026kakobuysheetfind,kakobuysheet2026","refusal":null,"role":"assistant"}}],"created":1776668399,"id":"chatcmpl-DWctryhsY2slfzU9CiwczoBapfjIv","model":"gpt-5-chat-latest","object":"chat.completion","service_tier":"default","system_fingerprint":"fp_ad66631dec","usage":{"completion_tokens":89,"completion_tokens_details":{"accepted_prediction_tokens":0,"audio_tokens":0,"reasoning_tokens":0,"rejected_prediction_tokens":0},"prompt_tokens":784,"prompt_tokens_details":{"audio_tokens":0,"cached_tokens":0},"total_tokens":873}}</t>
        </is>
      </c>
      <c r="P26" t="inlineStr">
        <is>
          <t>Ralph Lauren,T-Shirts,kakobuy,kakebuy2026,kekobuysheet,kakobuysheet2026,2026kakobuy,kakobuyspreadsheeet,kakobuylink,kakebuylist,Kakobuy MEGA Spreadsheet,kakobuysheetfind,kakobuysheetfind2026,2026kakobuysheetfind,kakobuysheet2026</t>
        </is>
      </c>
      <c r="Q26" t="inlineStr">
        <is>
          <t>Black, Unisex, Preppy, Classic, Knit</t>
        </is>
      </c>
      <c r="R26" t="inlineStr">
        <is>
          <t>recvh6xFVjyGMe</t>
        </is>
      </c>
      <c r="S26" t="inlineStr">
        <is>
          <t>ralph-lauren-black-half-zip-cotton-knit-top-recvh6xfvjygme</t>
        </is>
      </c>
      <c r="T26"/>
      <c r="U26"/>
      <c r="V26"/>
      <c r="W26" t="inlineStr">
        <is>
          <t>{"id":"chatcmpl-DWZWcrBkucMZXs7AY5Aco5p9atmNG","object":"chat.completion","created":1776655426,"model":"gpt-5-chat-latest","choices":[{"index":0,"message":{"role":"assistant","content":"Ralph Lauren：经典黑色半拉链针织长袖上衣，甄选柔软纯棉面料，左胸红色骑士刺绣Logo，简约美式学院风设计，舒适百搭男女通用款，展现低调优雅与休闲格调。","refusal":null,"annotations":[]},"logprobs":null,"finish_reason":"stop"}],"usage":{"prompt_tokens":1317,"completion_tokens":69,"total_tokens":1386,"prompt_tokens_details":{"cached_tokens":0,"audio_tokens":0},"completion_tokens_details":{"reasoning_tokens":0,"audio_tokens":0,"accepted_prediction_tokens":0,"rejected_prediction_tokens":0}},"service_tier":"default","system_fingerprint":"fp_ad66631dec"}</t>
        </is>
      </c>
      <c r="X26" t="inlineStr">
        <is>
          <t>Ralph Lauren：经典黑色半拉链针织长袖上衣，甄选柔软纯棉面料，左胸红色骑士刺绣Logo，简约美式学院风设计，舒适百搭男女通用款，展现低调优雅与休闲格调。</t>
        </is>
      </c>
    </row>
    <row r="27" ht="25.5" customHeight="1">
      <c r="A27">
        <v>1839115443</v>
      </c>
      <c r="B27">
        <v>7600957470</v>
      </c>
      <c r="C27" t="inlineStr">
        <is>
          <t>https://weidian.com/item.html?itemID=7600957470</t>
        </is>
      </c>
      <c r="D27"/>
      <c r="E27" s="2" t="str">
        <f>=HYPERLINK("https://si.geilicdn.com/open1832946205-252808396-233f00000197f3ceb4250a231226_1080_1441.jpg?w=640&amp;h=640", "https://si.geilicdn.com/open1832946205-252808396-233f00000197f3ceb4250a231226_1080_1441.jpg?w=640&amp;h=640")</f>
        <v>https://si.geilicdn.com/open1832946205-252808396-233f00000197f3ceb4250a231226_1080_1441.jpg?w=640&amp;h=640</v>
      </c>
      <c r="F27" t="inlineStr">
        <is>
          <t>Jackets</t>
        </is>
      </c>
      <c r="G27" t="inlineStr">
        <is>
          <t>Ralph Lauren</t>
        </is>
      </c>
      <c r="H27" t="inlineStr">
        <is>
          <t>748.00</t>
        </is>
      </c>
      <c r="I27">
        <v>108.41</v>
      </c>
      <c r="J27" t="inlineStr">
        <is>
          <t>{"choices":[{"finish_reason":"stop","index":0,"logprobs":null,"message":{"annotations":[],"content":"Ralph Lauren Navy Hooded Puffer Jacket Waterproof Warm","refusal":null,"role":"assistant"}}],"created":1776666640,"id":"chatcmpl-DWcRUcCCHtaY0byAzxWPyX6lfB2hq","model":"gpt-5-chat-latest","object":"chat.completion","service_tier":"default","system_fingerprint":"fp_ad66631dec","usage":{"completion_tokens":12,"completion_tokens_details":{"accepted_prediction_tokens":0,"audio_tokens":0,"reasoning_tokens":0,"rejected_prediction_tokens":0},"prompt_tokens":881,"prompt_tokens_details":{"audio_tokens":0,"cached_tokens":0},"total_tokens":893}}</t>
        </is>
      </c>
      <c r="K27" t="inlineStr">
        <is>
          <t>Ralph Lauren Navy Hooded Puffer Jacket Waterproof Warm</t>
        </is>
      </c>
      <c r="L27" t="inlineStr">
        <is>
          <t>{"choices":[{"finish_reason":"stop","index":0,"logprobs":null,"message":{"annotations":[],"content":"Ralph Lauren Navy Puffer Jacket – premium windproof and waterproof fabric, lightweight warmth, red chest logo embroidery, hooded stand collar, zipper closure, casual unisex winter outerwear.","refusal":null,"role":"assistant"}}],"created":1776658665,"id":"chatcmpl-DWaMrURWOJ1Q7KKg6NKibTMUl5gfN","model":"gpt-5-chat-latest","object":"chat.completion","service_tier":"default","system_fingerprint":"fp_ad66631dec","usage":{"completion_tokens":39,"completion_tokens_details":{"accepted_prediction_tokens":0,"audio_tokens":0,"reasoning_tokens":0,"rejected_prediction_tokens":0},"prompt_tokens":943,"prompt_tokens_details":{"audio_tokens":0,"cached_tokens":0},"total_tokens":982}}</t>
        </is>
      </c>
      <c r="M27" t="inlineStr">
        <is>
          <t>{"alt-svc":"h3=\":443\"; ma=2592000","apim-request-id":"b350f9c3-2b0e-46d7-bd06-4c6436a9c4b1","azureml-model-session":"d20260402075109-1fc5a0ec","cache-control":"no-cache","connection":"close","content-length":"780","content-security-policy":"frame-ancestors 'self'","content-type":"application/json","date":"Mon, 20 Apr 2026 04:17:48 GMT","server":"nginx","skip-error-remapping":"true","strict-transport-security":"max-age=31536000; includeSubDomains; preload","via":"1.1 Caddy, 1.1 Caddy","x-api-request-id":"20260420121744988145503jpC49iQp","x-content-type-options":"nosniff","x-frame-options":"SAMEORIGIN","x-ms-client-request-id":"Not-Set","x-ms-is-spilled-over":"false","x-ms-rai-invoked":"true","x-ms-region":"East US 2","x-new-api-version":"0.4.39","x-oneapi-request-id":"202604200417448732612548268d9d6m5yucats","x-ratelimit-abusepenalty-active":"False","x-ratelimit-limit-requests":"3850","x-ratelimit-limit-tokens":"3850000","x-ratelimit-remaining-requests":"3849","x-ratelimit-remaining-tokens":"3848295","x-ratelimit-renewalperiod-requests":"60","x-ratelimit-renewalperiod-tokens":"60","x-ratelimit-reset-requests":"15","x-ratelimit-reset-tokens":"26","x-request-id":"675eeaa0-e23f-42c8-921f-2823f9fdad19"}</t>
        </is>
      </c>
      <c r="N27" t="inlineStr">
        <is>
          <t>Ralph Lauren Navy Puffer Jacket – premium windproof and waterproof fabric, lightweight warmth, red chest logo embroidery, hooded stand collar, zipper closure, casual unisex winter outerwear.</t>
        </is>
      </c>
      <c r="O27" t="inlineStr">
        <is>
          <t>{"choices":[{"finish_reason":"stop","index":0,"logprobs":null,"message":{"annotations":[],"content":"Ralph Lauren, Jacket, kakobuy, kakebuy2026, kekobuysheet, kakobuysheet2026, 2026kakobuy, kakobuyspreadsheeet, kakobuylink, kakebuylist, Kakobuy MEGA Spreadsheet, kakobuysheetfind, kakobuysheetfind2026, 2026kakobuysheetfind, kakobuysheet2026","refusal":null,"role":"assistant"}}],"created":1776668171,"id":"chatcmpl-DWcqBTaRUrqTzYnsuuZN2gKjN51Jw","model":"gpt-5-chat-latest","object":"chat.completion","service_tier":"default","system_fingerprint":"fp_ad66631dec","usage":{"completion_tokens":92,"completion_tokens_details":{"accepted_prediction_tokens":0,"audio_tokens":0,"reasoning_tokens":0,"rejected_prediction_tokens":0},"prompt_tokens":784,"prompt_tokens_details":{"audio_tokens":0,"cached_tokens":0},"total_tokens":876}}</t>
        </is>
      </c>
      <c r="P27" t="inlineStr">
        <is>
          <t>Ralph Lauren, Jacket, kakobuy, kakebuy2026, kekobuysheet, kakobuysheet2026, 2026kakobuy, kakobuyspreadsheeet, kakobuylink, kakebuylist, Kakobuy MEGA Spreadsheet, kakobuysheetfind, kakobuysheetfind2026, 2026kakobuysheetfind, kakobuysheet2026</t>
        </is>
      </c>
      <c r="Q27" t="inlineStr">
        <is>
          <t>Navy, Windproof, Waterproof, Lightweight, Winter</t>
        </is>
      </c>
      <c r="R27" t="inlineStr">
        <is>
          <t>recvh6xFVjuVsp</t>
        </is>
      </c>
      <c r="S27" t="inlineStr">
        <is>
          <t>ralph-lauren-navy-hooded-puffer-jacket-recvh6xFVjuVsp</t>
        </is>
      </c>
      <c r="T27"/>
      <c r="U27"/>
      <c r="V27"/>
      <c r="W27" t="inlineStr">
        <is>
          <t>{"choices":[{"finish_reason":"stop","index":0,"logprobs":null,"message":{"annotations":[],"content":"Ralph Lauren：经典海军蓝羽绒夹克，采用高级防风防水面料，轻盈保暖。胸前红色标志刺绣点缀，彰显品牌典雅运动风格。立领连帽设计提升御寒性能，拉链门襟与斜插口袋实用便捷。中性款式，适合秋冬户外与城市休闲穿搭，展现Ralph Lauren复古美式品味。","refusal":null,"role":"assistant"}}],"created":1776655923,"id":"chatcmpl-DWZed5rEGGnbmB84DnHzOO2uzLs38","model":"gpt-5-chat-latest","object":"chat.completion","service_tier":"default","system_fingerprint":"fp_ad66631dec","usage":{"completion_tokens":107,"completion_tokens_details":{"accepted_prediction_tokens":0,"audio_tokens":0,"reasoning_tokens":0,"rejected_prediction_tokens":0},"prompt_tokens":1317,"prompt_tokens_details":{"audio_tokens":0,"cached_tokens":0},"total_tokens":1424}}</t>
        </is>
      </c>
      <c r="X27" t="inlineStr">
        <is>
          <t>Ralph Lauren：经典海军蓝羽绒夹克，采用高级防风防水面料，轻盈保暖。胸前红色标志刺绣点缀，彰显品牌典雅运动风格。立领连帽设计提升御寒性能，拉链门襟与斜插口袋实用便捷。中性款式，适合秋冬户外与城市休闲穿搭，展现Ralph Lauren复古美式品味。</t>
        </is>
      </c>
    </row>
    <row r="28" ht="25.5" customHeight="1">
      <c r="A28">
        <v>1839115443</v>
      </c>
      <c r="B28">
        <v>7599116695</v>
      </c>
      <c r="C28" t="inlineStr">
        <is>
          <t>https://weidian.com/item.html?itemID=7599116695</t>
        </is>
      </c>
      <c r="D28"/>
      <c r="E28" s="2" t="str">
        <f>=HYPERLINK("https://si.geilicdn.com/open1832946205-252808396-120000000197ee483b720a8133b0_876_876.jpg?w=640&amp;h=640", "https://si.geilicdn.com/open1832946205-252808396-120000000197ee483b720a8133b0_876_876.jpg?w=640&amp;h=640")</f>
        <v>https://si.geilicdn.com/open1832946205-252808396-120000000197ee483b720a8133b0_876_876.jpg?w=640&amp;h=640</v>
      </c>
      <c r="F28" t="inlineStr">
        <is>
          <t>Hoodies</t>
        </is>
      </c>
      <c r="G28" t="inlineStr">
        <is>
          <t>Celine</t>
        </is>
      </c>
      <c r="H28" t="inlineStr">
        <is>
          <t>207.00</t>
        </is>
      </c>
      <c r="I28">
        <v>30</v>
      </c>
      <c r="J28" t="inlineStr">
        <is>
          <t>{"id":"chatcmpl-DWcV5pGAUQ43TJYagBGCRJSCeTfLS","object":"chat.completion","created":1776666863,"model":"gpt-5-chat-latest","choices":[{"index":0,"message":{"role":"assistant","content":"Celine Black Zip Up Cotton Hoodie Unisex Streetwear","refusal":null,"annotations":[]},"logprobs":null,"finish_reason":"stop"}],"usage":{"prompt_tokens":885,"completion_tokens":12,"total_tokens":897,"prompt_tokens_details":{"cached_tokens":0,"audio_tokens":0},"completion_tokens_details":{"reasoning_tokens":0,"audio_tokens":0,"accepted_prediction_tokens":0,"rejected_prediction_tokens":0}},"service_tier":"default","system_fingerprint":"fp_ad66631dec"}</t>
        </is>
      </c>
      <c r="K28" t="inlineStr">
        <is>
          <t>Celine Black Zip Up Cotton Hoodie Unisex Streetwear</t>
        </is>
      </c>
      <c r="L28" t="inlineStr">
        <is>
          <t>{"choices":[{"finish_reason":"stop","index":0,"logprobs":null,"message":{"annotations":[],"content":"Celine black zip-up hoodie crafted from premium cotton, soft and breathable. Features bold logo on hood, minimalist French design, unisex fit, perfect for streetwear with a touch of quiet luxury.","refusal":null,"role":"assistant"}}],"created":1776658601,"id":"chatcmpl-DWaLpQ3HsXAshDjTF2RfRV6tDnala","model":"gpt-5-chat-latest","object":"chat.completion","service_tier":"default","system_fingerprint":"fp_ad66631dec","usage":{"completion_tokens":41,"completion_tokens_details":{"accepted_prediction_tokens":0,"audio_tokens":0,"reasoning_tokens":0,"rejected_prediction_tokens":0},"prompt_tokens":925,"prompt_tokens_details":{"audio_tokens":0,"cached_tokens":0},"total_tokens":966}}</t>
        </is>
      </c>
      <c r="M28" t="inlineStr">
        <is>
          <t>{"alt-svc":"h3=\":443\"; ma=2592000","apim-request-id":"6125caf6-0871-4f68-8156-fd544b16056c","azureml-model-session":"d20260402083108-57a85543","cache-control":"no-cache","connection":"close","content-length":"783","content-security-policy":"frame-ancestors 'self'","content-type":"application/json","date":"Mon, 20 Apr 2026 04:16:42 GMT","server":"Caddy","skip-error-remapping":"true","strict-transport-security":"max-age=31536000; includeSubDomains; preload","via":"1.1 Caddy","x-api-request-id":"20260420121640455394170YUSSAdOg","x-content-type-options":"nosniff","x-frame-options":"SAMEORIGIN","x-ms-client-request-id":"Not-Set","x-ms-is-spilled-over":"false","x-ms-rai-invoked":"true","x-ms-region":"East US 2","x-new-api-version":"0.4.39","x-oneapi-request-id":"202604200416403894737338268d9d6i899RapD","x-ratelimit-abusepenalty-active":"False","x-ratelimit-limit-requests":"3850","x-ratelimit-limit-tokens":"3850000","x-ratelimit-remaining-requests":"3849","x-ratelimit-remaining-tokens":"3848313","x-ratelimit-renewalperiod-requests":"60","x-ratelimit-renewalperiod-tokens":"60","x-ratelimit-reset-requests":"15","x-ratelimit-reset-tokens":"26","x-request-id":"2b0d7f1c-f55b-4543-be04-a358e39d94bb"}</t>
        </is>
      </c>
      <c r="N28" t="inlineStr">
        <is>
          <t>Celine black zip-up hoodie crafted from premium cotton, soft and breathable. Features bold logo on hood, minimalist French design, unisex fit, perfect for streetwear with a touch of quiet luxury.</t>
        </is>
      </c>
      <c r="O28" t="inlineStr">
        <is>
          <t>{"choices":[{"finish_reason":"stop","index":0,"logprobs":null,"message":{"annotations":[],"content":"Celine,Hoodies,kakobuy,kakebuy2026,kekobuysheet,kakobuysheet2026,2026kakobuy,kakobuyspreadsheeet,kakobuylink,kakebuylist,Kakobuy MEGA Spreadsheet,kakobuysheetfind,kakobuysheetfind2026,2026kakobuysheetfind,kakobuysheet2026","refusal":null,"role":"assistant"}}],"created":1776668121,"id":"chatcmpl-DWcpNtUzwFBoO6cEJBd8O4lN37T45","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is>
      </c>
      <c r="P28" t="inlineStr">
        <is>
          <t>Celine,Hoodies,kakobuy,kakebuy2026,kekobuysheet,kakobuysheet2026,2026kakobuy,kakobuyspreadsheeet,kakobuylink,kakebuylist,Kakobuy MEGA Spreadsheet,kakobuysheetfind,kakobuysheetfind2026,2026kakobuysheetfind,kakobuysheet2026</t>
        </is>
      </c>
      <c r="Q28" t="inlineStr">
        <is>
          <t>Celine, Black, Minimalist, Unisex, Streetwear</t>
        </is>
      </c>
      <c r="R28" t="inlineStr">
        <is>
          <t>recvh6xFVjKIE4</t>
        </is>
      </c>
      <c r="S28" t="inlineStr">
        <is>
          <t>celine-black-zip-up-cotton-hoodie-recvh6xFVjKIE4</t>
        </is>
      </c>
      <c r="T28"/>
      <c r="U28"/>
      <c r="V28"/>
      <c r="W28" t="inlineStr">
        <is>
          <t>{"choices":[{"finish_reason":"stop","index":0,"logprobs":null,"message":{"annotations":[],"content":"Celine：黑色拉链连帽卫衣，采用高品质棉质面料，柔软亲肤兼具透气性。帽檐印有醒目品牌字样，版型简约利落，展现极简法式风格。男女皆宜，休闲与都市感兼融，适合日常街头穿搭，彰显品牌低调奢华质感。","refusal":null,"role":"assistant"}}],"created":1776655380,"id":"chatcmpl-DWZVsIWK6RnUAHDn433oAbM9ZSMqi","model":"gpt-5-chat-latest","object":"chat.completion","service_tier":"default","system_fingerprint":"fp_ad66631dec","usage":{"completion_tokens":91,"completion_tokens_details":{"accepted_prediction_tokens":0,"audio_tokens":0,"reasoning_tokens":0,"rejected_prediction_tokens":0},"prompt_tokens":1311,"prompt_tokens_details":{"audio_tokens":0,"cached_tokens":0},"total_tokens":1402}}</t>
        </is>
      </c>
      <c r="X28" t="inlineStr">
        <is>
          <t>Celine：黑色拉链连帽卫衣，采用高品质棉质面料，柔软亲肤兼具透气性。帽檐印有醒目品牌字样，版型简约利落，展现极简法式风格。男女皆宜，休闲与都市感兼融，适合日常街头穿搭，彰显品牌低调奢华质感。</t>
        </is>
      </c>
    </row>
    <row r="29" ht="25.5" customHeight="1">
      <c r="A29">
        <v>1839115443</v>
      </c>
      <c r="B29">
        <v>7600954970</v>
      </c>
      <c r="C29" t="inlineStr">
        <is>
          <t>https://weidian.com/item.html?itemID=7600954970</t>
        </is>
      </c>
      <c r="D29"/>
      <c r="E29" s="2" t="str">
        <f>=HYPERLINK("https://si.geilicdn.com/open1832946205-252808396-276d00000197eeb5de450a22d249_1080_1080.jpg?w=640&amp;h=640", "https://si.geilicdn.com/open1832946205-252808396-276d00000197eeb5de450a22d249_1080_1080.jpg?w=640&amp;h=640")</f>
        <v>https://si.geilicdn.com/open1832946205-252808396-276d00000197eeb5de450a22d249_1080_1080.jpg?w=640&amp;h=640</v>
      </c>
      <c r="F29" t="inlineStr">
        <is>
          <t>T-Shirts</t>
        </is>
      </c>
      <c r="G29" t="inlineStr">
        <is>
          <t>Stussy</t>
        </is>
      </c>
      <c r="H29" t="inlineStr">
        <is>
          <t>160.00</t>
        </is>
      </c>
      <c r="I29">
        <v>23.19</v>
      </c>
      <c r="J29" t="inlineStr">
        <is>
          <t>{"id":"chatcmpl-DWcUYYcMnzrCmB2aC9k5mf5uv5LCb","object":"chat.completion","created":1776666830,"model":"gpt-5-chat-latest","choices":[{"index":0,"message":{"role":"assistant","content":"Stussy Black White Abstract Graffiti Knit Sweater","refusal":null,"annotations":[]},"logprobs":null,"finish_reason":"stop"}],"usage":{"prompt_tokens":880,"completion_tokens":11,"total_tokens":891,"prompt_tokens_details":{"cached_tokens":0,"audio_tokens":0},"completion_tokens_details":{"reasoning_tokens":0,"audio_tokens":0,"accepted_prediction_tokens":0,"rejected_prediction_tokens":0}},"service_tier":"default","system_fingerprint":"fp_ad66631dec"}</t>
        </is>
      </c>
      <c r="K29" t="inlineStr">
        <is>
          <t>Stussy Black White Abstract Graffiti Knit Sweater</t>
        </is>
      </c>
      <c r="L29" t="inlineStr">
        <is>
          <t>{"choices":[{"finish_reason":"stop","index":0,"logprobs":null,"message":{"annotations":[],"content":"Stussy Black &amp; White Abstract Knit Sweater made from soft thick blended fabric, featuring graffiti art design with street and vintage vibe, unisex loose fit, cozy and trendy for winter wear.","refusal":null,"role":"assistant"}}],"created":1776658275,"id":"chatcmpl-DWaGZMLnpbmrHK9xyzRo7ifdwIFHu","model":"gpt-5-chat-latest","object":"chat.completion","service_tier":"default","system_fingerprint":"fp_ad66631dec","usage":{"completion_tokens":39,"completion_tokens_details":{"accepted_prediction_tokens":0,"audio_tokens":0,"reasoning_tokens":0,"rejected_prediction_tokens":0},"prompt_tokens":932,"prompt_tokens_details":{"audio_tokens":0,"cached_tokens":0},"total_tokens":971}}</t>
        </is>
      </c>
      <c r="M29" t="inlineStr">
        <is>
          <t>{"alt-svc":"h3=\":443\"; ma=2592000","apim-request-id":"dec6f77e-0779-475c-8f3b-67de5040f9a5","azureml-model-session":"d20260402084046-4209e968","cache-control":"no-cache","connection":"close","content-length":"783","content-security-policy":"frame-ancestors 'self'","content-type":"application/json","date":"Mon, 20 Apr 2026 04:11:17 GMT","server":"Caddy","skip-error-remapping":"true","strict-transport-security":"max-age=31536000; includeSubDomains; preload","via":"1.1 Caddy","x-api-request-id":"20260420121115105779442TemYJwhj","x-content-type-options":"nosniff","x-frame-options":"SAMEORIGIN","x-ms-client-request-id":"Not-Set","x-ms-is-spilled-over":"false","x-ms-rai-invoked":"true","x-ms-region":"East US 2","x-new-api-version":"0.4.39","x-oneapi-request-id":"202604200411149823885708268d9d6qJhgKa9p","x-ratelimit-abusepenalty-active":"False","x-ratelimit-limit-requests":"3850","x-ratelimit-limit-tokens":"3850000","x-ratelimit-remaining-requests":"3849","x-ratelimit-remaining-tokens":"3848306","x-ratelimit-renewalperiod-requests":"60","x-ratelimit-renewalperiod-tokens":"60","x-ratelimit-reset-requests":"15","x-ratelimit-reset-tokens":"26","x-request-id":"c5adc0b4-425e-434b-ade6-736567aa024c"}</t>
        </is>
      </c>
      <c r="N29" t="inlineStr">
        <is>
          <t>Stussy Black &amp; White Abstract Knit Sweater made from soft thick blended fabric, featuring graffiti art design with street and vintage vibe, unisex loose fit, cozy and trendy for winter wear.</t>
        </is>
      </c>
      <c r="O29" t="inlineStr">
        <is>
          <t>{"choices":[{"finish_reason":"stop","index":0,"logprobs":null,"message":{"annotations":[],"content":"Stussy,T-Shirts,kakobuy,kakebuy2026,kekobuysheet,kakobuysheet2026,2026kakobuy,kakobuyspreadsheeet,kakobuylink,kakebuylist,Kakobuy MEGA Spreadsheet,kakobuysheetfind,kakobuysheetfind2026,2026kakobuysheetfind,kakobuysheet2026","refusal":null,"role":"assistant"}}],"created":1776667233,"id":"chatcmpl-DWcb3TQsqXTVpzPjXUNxNsR2BEcmL","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P29" t="inlineStr">
        <is>
          <t>Stussy,T-Shirts,kakobuy,kakebuy2026,kekobuysheet,kakobuysheet2026,2026kakobuy,kakobuyspreadsheeet,kakobuylink,kakebuylist,Kakobuy MEGA Spreadsheet,kakobuysheetfind,kakobuysheetfind2026,2026kakobuysheetfind,kakobuysheet2026</t>
        </is>
      </c>
      <c r="Q29" t="inlineStr">
        <is>
          <t>Stussy, Black, White, Abstract, Vintage, Winter</t>
        </is>
      </c>
      <c r="R29" t="inlineStr">
        <is>
          <t>recvh6xFVjsRF7</t>
        </is>
      </c>
      <c r="S29" t="inlineStr">
        <is>
          <t>stussy-black-white-abstract-graffiti-knit-sweater-recvh6xFVjsRF7</t>
        </is>
      </c>
      <c r="T29"/>
      <c r="U29"/>
      <c r="V29"/>
      <c r="W29" t="inlineStr">
        <is>
          <t>{"id":"chatcmpl-DWZOGvgXlloQOVFEiqXk3m1tBCxE8","object":"chat.completion","created":1776654908,"model":"gpt-5-chat-latest","choices":[{"index":0,"message":{"role":"assistant","content":"Stussy：黑白抽象图腾针织毛衣，采用柔软厚实混纺面料，质感舒适保暖。前后对比色艺术涂鸦设计，融合街头与复古风格，展现品牌标志性潮流态度。宽松圆领剪裁适合男女通穿，彰显个性与自由的都市精神，冬季穿搭吸睛百搭。","refusal":null,"annotations":[]},"logprobs":null,"finish_reason":"stop"}],"usage":{"prompt_tokens":1316,"completion_tokens":96,"total_tokens":1412,"prompt_tokens_details":{"cached_tokens":0,"audio_tokens":0},"completion_tokens_details":{"reasoning_tokens":0,"audio_tokens":0,"accepted_prediction_tokens":0,"rejected_prediction_tokens":0}},"service_tier":"default","system_fingerprint":"fp_ad66631dec"}</t>
        </is>
      </c>
      <c r="X29" t="inlineStr">
        <is>
          <t>Stussy：黑白抽象图腾针织毛衣，采用柔软厚实混纺面料，质感舒适保暖。前后对比色艺术涂鸦设计，融合街头与复古风格，展现品牌标志性潮流态度。宽松圆领剪裁适合男女通穿，彰显个性与自由的都市精神，冬季穿搭吸睛百搭。</t>
        </is>
      </c>
    </row>
    <row r="30" ht="25.5" customHeight="1">
      <c r="A30">
        <v>1839115443</v>
      </c>
      <c r="B30">
        <v>7600925566</v>
      </c>
      <c r="C30" t="inlineStr">
        <is>
          <t>https://weidian.com/item.html?itemID=7600925566</t>
        </is>
      </c>
      <c r="D30"/>
      <c r="E30" s="2" t="str">
        <f>=HYPERLINK("https://si.geilicdn.com/open1832946205-252808396-23df00000197e86e48c20a8133b0_496_498.jpg?w=640&amp;h=640", "https://si.geilicdn.com/open1832946205-252808396-23df00000197e86e48c20a8133b0_496_498.jpg?w=640&amp;h=640")</f>
        <v>https://si.geilicdn.com/open1832946205-252808396-23df00000197e86e48c20a8133b0_496_498.jpg?w=640&amp;h=640</v>
      </c>
      <c r="F30" t="inlineStr">
        <is>
          <t>T-Shirts</t>
        </is>
      </c>
      <c r="G30" t="inlineStr">
        <is>
          <t>Ralph Lauren</t>
        </is>
      </c>
      <c r="H30" t="inlineStr">
        <is>
          <t>121.00</t>
        </is>
      </c>
      <c r="I30">
        <v>17.54</v>
      </c>
      <c r="J30" t="inlineStr">
        <is>
          <t>{"id":"chatcmpl-DWcCYpHUo9QPum4GgtQWjZfZwuXVM","object":"chat.completion","created":1776665714,"model":"gpt-5-chat-latest","choices":[{"index":0,"message":{"role":"assistant","content":"Ralph Lauren Chicago Black Polo Shirt Vintage Sports Style","refusal":null,"annotations":[]},"logprobs":null,"finish_reason":"stop"}],"usage":{"prompt_tokens":461,"completion_tokens":11,"total_tokens":472,"prompt_tokens_details":{"cached_tokens":0,"audio_tokens":0},"completion_tokens_details":{"reasoning_tokens":0,"audio_tokens":0,"accepted_prediction_tokens":0,"rejected_prediction_tokens":0}},"service_tier":"default","system_fingerprint":"fp_ad66631dec"}</t>
        </is>
      </c>
      <c r="K30" t="inlineStr">
        <is>
          <t>Ralph Lauren Chicago Black Polo Shirt Vintage Sports Style</t>
        </is>
      </c>
      <c r="L30" t="inlineStr">
        <is>
          <t>{"choices":[{"finish_reason":"stop","index":0,"logprobs":null,"message":{"annotations":[],"content":"Ralph Lauren CHICAGO Series Black Polo Shirt, crafted from breathable cotton, features signature pony embroidery, sleeve number patch, and red-black collar for a vintage sporty yet elegant urban style.","refusal":null,"role":"assistant"}}],"created":1776659039,"id":"chatcmpl-DWaStq0BomKi7ZMFt5NTwh6rVevN1","model":"gpt-5-chat-latest","object":"chat.completion","service_tier":"default","system_fingerprint":"fp_ad66631dec","usage":{"completion_tokens":39,"completion_tokens_details":{"accepted_prediction_tokens":0,"audio_tokens":0,"reasoning_tokens":0,"rejected_prediction_tokens":0},"prompt_tokens":492,"prompt_tokens_details":{"audio_tokens":0,"cached_tokens":0},"total_tokens":531}}</t>
        </is>
      </c>
      <c r="M30" t="inlineStr">
        <is>
          <t>{"alt-svc":"h3=\":443\"; ma=2592000","apim-request-id":"83c7522a-293f-4cc5-a725-43a927490f63","azureml-model-session":"d20260402084046-4209e968","cache-control":"no-cache","connection":"close","content-length":"789","content-security-policy":"frame-ancestors 'self'","content-type":"application/json","date":"Mon, 20 Apr 2026 04:24:00 GMT","server":"Caddy","skip-error-remapping":"true","strict-transport-security":"max-age=31536000; includeSubDomains; preload","via":"1.1 Caddy","x-api-request-id":"20260420122359166857528yrOgdP0D","x-content-type-options":"nosniff","x-frame-options":"SAMEORIGIN","x-ms-client-request-id":"Not-Set","x-ms-is-spilled-over":"false","x-ms-rai-invoked":"true","x-ms-region":"East US 2","x-new-api-version":"0.4.39","x-oneapi-request-id":"202604200423591016713818268d9d6FD6E32JG","x-ratelimit-abusepenalty-active":"False","x-ratelimit-limit-requests":"3850","x-ratelimit-limit-tokens":"3850000","x-ratelimit-remaining-requests":"3849","x-ratelimit-remaining-tokens":"3848743","x-ratelimit-renewalperiod-requests":"60","x-ratelimit-renewalperiod-tokens":"60","x-ratelimit-reset-requests":"15","x-ratelimit-reset-tokens":"19","x-request-id":"e7d04474-016d-4b12-a635-6a69ed68d4a9"}</t>
        </is>
      </c>
      <c r="N30" t="inlineStr">
        <is>
          <t>Ralph Lauren CHICAGO Series Black Polo Shirt, crafted from breathable cotton, features signature pony embroidery, sleeve number patch, and red-black collar for a vintage sporty yet elegant urban style.</t>
        </is>
      </c>
      <c r="O30" t="inlineStr">
        <is>
          <t>{"choices":[{"finish_reason":"stop","index":0,"logprobs":null,"message":{"annotations":[],"content":"Ralph Lauren,T-Shirts,kakobuy,kakebuy2026,kekobuysheet,kakobuysheet2026,2026kakobuy,kakobuyspreadsheeet,kakobuylink,kakebuylist,Kakobuy MEGA Spreadsheet,kakobuysheetfind,kakobuysheetfind2026,2026kakobuysheetfind,kakobuysheet2026","refusal":null,"role":"assistant"}}],"created":1776668015,"id":"chatcmpl-DWcnfoqaE1zfx6C2cFrVLnjQTfXnw","model":"gpt-5-chat-latest","object":"chat.completion","service_tier":"default","system_fingerprint":"fp_ad66631dec","usage":{"completion_tokens":88,"completion_tokens_details":{"accepted_prediction_tokens":0,"audio_tokens":0,"reasoning_tokens":0,"rejected_prediction_tokens":0},"prompt_tokens":364,"prompt_tokens_details":{"audio_tokens":0,"cached_tokens":0},"total_tokens":452}}</t>
        </is>
      </c>
      <c r="P30" t="inlineStr">
        <is>
          <t>Ralph Lauren,T-Shirts,kakobuy,kakebuy2026,kekobuysheet,kakobuysheet2026,2026kakobuy,kakobuyspreadsheeet,kakobuylink,kakebuylist,Kakobuy MEGA Spreadsheet,kakobuysheetfind,kakobuysheetfind2026,2026kakobuysheetfind,kakobuysheet2026</t>
        </is>
      </c>
      <c r="Q30" t="inlineStr">
        <is>
          <t>Black, Vintage, Sporty, Elegant, Breathable</t>
        </is>
      </c>
      <c r="R30" t="inlineStr">
        <is>
          <t>recvh6xFVjhQUO</t>
        </is>
      </c>
      <c r="S30" t="inlineStr">
        <is>
          <t>ralph-lauren-chicago-black-polo-shirt-vintage-sports-recvh6xFVjhQUO</t>
        </is>
      </c>
      <c r="T30"/>
      <c r="U30"/>
      <c r="V30"/>
      <c r="W30" t="inlineStr">
        <is>
          <t>{"id":"chatcmpl-DWZchOGrKEVa9vo0QRJAhiRfgef1U","object":"chat.completion","created":1776655803,"model":"gpt-5-chat-latest","choices":[{"index":0,"message":{"role":"assistant","content":"Ralph Lauren：黑色CHICAGO系列刺绣徽章POLO衫，纯棉质地透气舒适，经典马术标识与数字臂章设计，红黑撞色领口彰显复古运动风格，男士休闲百搭款，展现美式优雅与城市精神。","refusal":null,"annotations":[]},"logprobs":null,"finish_reason":"stop"}],"usage":{"prompt_tokens":899,"completion_tokens":75,"total_tokens":974,"prompt_tokens_details":{"cached_tokens":0,"audio_tokens":0},"completion_tokens_details":{"reasoning_tokens":0,"audio_tokens":0,"accepted_prediction_tokens":0,"rejected_prediction_tokens":0}},"service_tier":"default","system_fingerprint":"fp_ad66631dec"}</t>
        </is>
      </c>
      <c r="X30" t="inlineStr">
        <is>
          <t>Ralph Lauren：黑色CHICAGO系列刺绣徽章POLO衫，纯棉质地透气舒适，经典马术标识与数字臂章设计，红黑撞色领口彰显复古运动风格，男士休闲百搭款，展现美式优雅与城市精神。</t>
        </is>
      </c>
    </row>
    <row r="31" ht="25.5" customHeight="1">
      <c r="A31">
        <v>1839115443</v>
      </c>
      <c r="B31">
        <v>7599050809</v>
      </c>
      <c r="C31" t="inlineStr">
        <is>
          <t>https://weidian.com/item.html?itemID=7599050809</t>
        </is>
      </c>
      <c r="D31"/>
      <c r="E31" s="2" t="str">
        <f>=HYPERLINK("https://si.geilicdn.com/open1832946205-252808396-118900000197e84c4bb80a23b4de_800_800.jpg?w=640&amp;h=640", "https://si.geilicdn.com/open1832946205-252808396-118900000197e84c4bb80a23b4de_800_800.jpg?w=640&amp;h=640")</f>
        <v>https://si.geilicdn.com/open1832946205-252808396-118900000197e84c4bb80a23b4de_800_800.jpg?w=640&amp;h=640</v>
      </c>
      <c r="F31" t="inlineStr">
        <is>
          <t>T-Shirts</t>
        </is>
      </c>
      <c r="G31" t="inlineStr">
        <is>
          <t>Stussy</t>
        </is>
      </c>
      <c r="H31" t="inlineStr">
        <is>
          <t>86.00</t>
        </is>
      </c>
      <c r="I31">
        <v>12.46</v>
      </c>
      <c r="J31" t="inlineStr">
        <is>
          <t>{"id":"chatcmpl-DWcELJgP7hp7PshFRlxycNSjeKiFg","object":"chat.completion","created":1776665825,"model":"gpt-5-chat-latest","choices":[{"index":0,"message":{"role":"assistant","content":"Stussy Classic City Dark Green Cotton T-Shirt","refusal":null,"annotations":[]},"logprobs":null,"finish_reason":"stop"}],"usage":{"prompt_tokens":874,"completion_tokens":10,"total_tokens":884,"prompt_tokens_details":{"cached_tokens":0,"audio_tokens":0},"completion_tokens_details":{"reasoning_tokens":0,"audio_tokens":0,"accepted_prediction_tokens":0,"rejected_prediction_tokens":0}},"service_tier":"default","system_fingerprint":"fp_ad66631dec"}</t>
        </is>
      </c>
      <c r="K31" t="inlineStr">
        <is>
          <t>Stussy Classic City Dark Green Cotton T-Shirt</t>
        </is>
      </c>
      <c r="L31" t="inlineStr">
        <is>
          <t>{"id":"chatcmpl-DWaR2TqcofIgPidFbC6iLPcCYmSPk","object":"chat.completion","created":1776658924,"model":"gpt-5-chat-latest","choices":[{"index":0,"message":{"role":"assistant","content":"Stussy Classic City Series Dark Green Cotton T-Shirt with iconic handwritten logo and city print, streetwear style, unisex design for a retro urban look, simple and versatile.","refusal":null,"annotations":[]},"logprobs":null,"finish_reason":"stop"}],"usage":{"prompt_tokens":894,"completion_tokens":36,"total_tokens":930,"prompt_tokens_details":{"cached_tokens":0,"audio_tokens":0},"completion_tokens_details":{"reasoning_tokens":0,"audio_tokens":0,"accepted_prediction_tokens":0,"rejected_prediction_tokens":0}},"service_tier":"default","system_fingerprint":"fp_ad66631dec"}</t>
        </is>
      </c>
      <c r="M31"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ma=2592000","apim-request-id":"b4be89c3-4580-4b2c-b824-adeb2f5ad9db","azureml-model-session":"d20260405212659-a9daa006","cache-control":"no-cache, no-store, must-revalidate","connection":"close","content-length":"979","content-security-policy":"frame-ancestors 'self'","content-type":"application/json","date":"Mon, 20 Apr 2026 04:22:05 GMT","server":"Caddy","skip-error-remapping":"true","strict-transport-security":"max-age=31536000; includeSubDomains; preload","via":"1.1 Caddy","x-api-request-id":"20260420122203769794766wRXJqkvV","x-content-type-options":"nosniff","x-frame-options":"SAMEORIGIN","x-ms-is-spilled-over":"false","x-ms-rai-invoked":"false","x-ms-region":"East US 2","x-new-api-version":"0.4.39","x-oneapi-request-id":"202604200422037017801458268d9d6VgY2pdoh","x-ratelimit-abusepenalty-active":"False","x-ratelimit-limit-requests":"4994","x-ratelimit-limit-tokens":"4994000","x-ratelimit-remaining-requests":"4993","x-ratelimit-remaining-tokens":"4992344","x-ratelimit-renewalperiod-requests":"60","x-ratelimit-renewalperiod-tokens":"60","x-ratelimit-reset-requests":"12","x-ratelimit-reset-tokens":"19","x-request-id":"bd850ea9-13dd-40a6-89c8-25ef64c49c3a"}</t>
        </is>
      </c>
      <c r="N31" t="inlineStr">
        <is>
          <t>Stussy Classic City Series Dark Green Cotton T-Shirt with iconic handwritten logo and city print, streetwear style, unisex design for a retro urban look, simple and versatile.</t>
        </is>
      </c>
      <c r="O31" t="inlineStr">
        <is>
          <t>{"choices":[{"finish_reason":"stop","index":0,"logprobs":null,"message":{"annotations":[],"content":"Stussy,T-Shirts,kakobuy,kakebuy2026,kekobuysheet,kakobuysheet2026,2026kakobuy,kakobuyspreadsheeet,kakobuylink,kakebuylist,Kakobuy MEGA Spreadsheet,kakobuysheetfind,kakobuysheetfind2026,2026kakobuysheetfind,kakobuysheet2026","refusal":null,"role":"assistant"}}],"created":1776668646,"id":"chatcmpl-DWcxqrCGqO0e3YfebostAGDKkcGpF","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P31" t="inlineStr">
        <is>
          <t>Stussy,T-Shirts,kakobuy,kakebuy2026,kekobuysheet,kakobuysheet2026,2026kakobuy,kakobuyspreadsheeet,kakobuylink,kakebuylist,Kakobuy MEGA Spreadsheet,kakobuysheetfind,kakobuysheetfind2026,2026kakobuysheetfind,kakobuysheet2026</t>
        </is>
      </c>
      <c r="Q31" t="inlineStr">
        <is>
          <t>Stussy, Dark Green, Streetwear, Retro, Unisex</t>
        </is>
      </c>
      <c r="R31" t="inlineStr">
        <is>
          <t>recvh6xFVjgRYv</t>
        </is>
      </c>
      <c r="S31" t="inlineStr">
        <is>
          <t>stussy-classic-city-dark-green-cotton-t-shirt-recvh6xFVjgRYv</t>
        </is>
      </c>
      <c r="T31"/>
      <c r="U31"/>
      <c r="V31"/>
      <c r="W31" t="inlineStr">
        <is>
          <t>{"choices":[{"finish_reason":"stop","index":0,"logprobs":null,"message":{"annotations":[],"content":"Stussy：经典城市系列深绿色纯棉短袖T恤，胸前标志性手写Logo与城市字样印花，街头潮流风格设计，简约百搭，男女皆宜，展现复古街头态度。","refusal":null,"role":"assistant"}}],"created":1776655404,"id":"chatcmpl-DWZWGLte3TQQkEjg4rzodtSGeYs1s","model":"gpt-5-chat-latest","object":"chat.completion","service_tier":"default","system_fingerprint":"fp_ad66631dec","usage":{"completion_tokens":59,"completion_tokens_details":{"accepted_prediction_tokens":0,"audio_tokens":0,"reasoning_tokens":0,"rejected_prediction_tokens":0},"prompt_tokens":1314,"prompt_tokens_details":{"audio_tokens":0,"cached_tokens":0},"total_tokens":1373}}</t>
        </is>
      </c>
      <c r="X31" t="inlineStr">
        <is>
          <t>Stussy：经典城市系列深绿色纯棉短袖T恤，胸前标志性手写Logo与城市字样印花，街头潮流风格设计，简约百搭，男女皆宜，展现复古街头态度。</t>
        </is>
      </c>
    </row>
    <row r="32" ht="25.5" customHeight="1">
      <c r="A32">
        <v>1839115443</v>
      </c>
      <c r="B32">
        <v>7599099449</v>
      </c>
      <c r="C32" t="inlineStr">
        <is>
          <t>https://weidian.com/item.html?itemID=7599099449</t>
        </is>
      </c>
      <c r="D32"/>
      <c r="E32" s="2" t="str">
        <f>=HYPERLINK("https://si.geilicdn.com/open1832946205-252808396-6e7600000197eef3bca80a23b4de_1600_1600.jpg?w=750&amp;h=750&amp;cp=1", "https://si.geilicdn.com/open1832946205-252808396-6e7600000197eef3bca80a23b4de_1600_1600.jpg?w=750&amp;h=750&amp;cp=1")</f>
        <v>https://si.geilicdn.com/open1832946205-252808396-6e7600000197eef3bca80a23b4de_1600_1600.jpg?w=750&amp;h=750&amp;cp=1</v>
      </c>
      <c r="F32" t="inlineStr">
        <is>
          <t>Hoodies</t>
        </is>
      </c>
      <c r="G32" t="inlineStr">
        <is>
          <t>Yeezy</t>
        </is>
      </c>
      <c r="H32" t="inlineStr">
        <is>
          <t>318.00</t>
        </is>
      </c>
      <c r="I32">
        <v>46.09</v>
      </c>
      <c r="J32" t="inlineStr">
        <is>
          <t>{"choices":[{"finish_reason":"stop","index":0,"logprobs":null,"message":{"annotations":[],"content":"Yeezy Essential Cream White Oversized Unisex Cotton Hoodie","refusal":null,"role":"assistant"}}],"created":1776665713,"id":"chatcmpl-DWcCXa42OTyFoEqMHJTZqVvxqAoIB","model":"gpt-5-chat-latest","object":"chat.completion","service_tier":"default","system_fingerprint":"fp_ad66631dec","usage":{"completion_tokens":13,"completion_tokens_details":{"accepted_prediction_tokens":0,"audio_tokens":0,"reasoning_tokens":0,"rejected_prediction_tokens":0},"prompt_tokens":896,"prompt_tokens_details":{"audio_tokens":0,"cached_tokens":0},"total_tokens":909}}</t>
        </is>
      </c>
      <c r="K32" t="inlineStr">
        <is>
          <t>Yeezy Essential Cream White Oversized Unisex Cotton Hoodie</t>
        </is>
      </c>
      <c r="L32" t="inlineStr">
        <is>
          <t>{"choices":[{"finish_reason":"stop","index":0,"logprobs":null,"message":{"annotations":[],"content":"HoodiesYeezyYeezy Essential Cream White Hoodie, crafted from high-density pure cotton for soft warmth. Minimalist oversized design fits men and women, perfect for streetwear, travel, and urban casual style.","refusal":null,"role":"assistant"}}],"created":1776658769,"id":"chatcmpl-DWaOXktyJxBOGbXPhCPmSQAWYRm8E","model":"gpt-5-chat-latest","object":"chat.completion","service_tier":"default","system_fingerprint":"fp_ad66631dec","usage":{"completion_tokens":46,"completion_tokens_details":{"accepted_prediction_tokens":0,"audio_tokens":0,"reasoning_tokens":0,"rejected_prediction_tokens":0},"prompt_tokens":932,"prompt_tokens_details":{"audio_tokens":0,"cached_tokens":0},"total_tokens":978}}</t>
        </is>
      </c>
      <c r="M32" t="inlineStr">
        <is>
          <t>{"alt-svc":"h3=\":443\"; ma=2592000","apim-request-id":"0a8b8b8e-310d-49e1-9451-de676fd78063","azureml-model-session":"d20260405234249-f9874baf","cache-control":"no-cache","connection":"close","content-length":"794","content-security-policy":"frame-ancestors 'self'","content-type":"application/json","date":"Mon, 20 Apr 2026 04:19:30 GMT","server":"Caddy","skip-error-remapping":"true","strict-transport-security":"max-age=31536000; includeSubDomains; preload","via":"1.1 Caddy","x-api-request-id":"202604201219284815335506VbZmLpB","x-content-type-options":"nosniff","x-frame-options":"SAMEORIGIN","x-ms-client-request-id":"Not-Set","x-ms-is-spilled-over":"false","x-ms-rai-invoked":"true","x-ms-region":"East US 2","x-new-api-version":"0.4.39","x-oneapi-request-id":"202604200419284153454638268d9d6rBur1zLZ","x-ratelimit-abusepenalty-active":"False","x-ratelimit-limit-requests":"3850","x-ratelimit-limit-tokens":"3850000","x-ratelimit-remaining-requests":"3849","x-ratelimit-remaining-tokens":"3848306","x-ratelimit-renewalperiod-requests":"60","x-ratelimit-renewalperiod-tokens":"60","x-ratelimit-reset-requests":"15","x-ratelimit-reset-tokens":"26","x-request-id":"dbf8b5c8-0528-402c-878a-2fe0a8a452b0"}</t>
        </is>
      </c>
      <c r="N32" t="inlineStr">
        <is>
          <t>HoodiesYeezyYeezy Essential Cream White Hoodie, crafted from high-density pure cotton for soft warmth. Minimalist oversized design fits men and women, perfect for streetwear, travel, and urban casual style.</t>
        </is>
      </c>
      <c r="O32" t="inlineStr">
        <is>
          <t>{"choices":[{"finish_reason":"stop","index":0,"logprobs":null,"message":{"annotations":[],"content":"Yeezy,Hoodies,kakobuy,kakebuy2026,kekobuysheet,kakobuysheet2026,2026kakobuy,kakobuyspreadsheeet,kakobuylink,kakebuylist,Kakobuy MEGA Spreadsheet,kakobuysheetfind,kakobuysheetfind2026,2026kakobuysheetfind,kakobuysheet2026","refusal":null,"role":"assistant"}}],"created":1776667938,"id":"chatcmpl-DWcmQ5I2MMRkre9ug7xpiIyyO7X4r","model":"gpt-5-chat-latest","object":"chat.completion","service_tier":"default","system_fingerprint":"fp_ad66631dec","usage":{"completion_tokens":89,"completion_tokens_details":{"accepted_prediction_tokens":0,"audio_tokens":0,"reasoning_tokens":0,"rejected_prediction_tokens":0},"prompt_tokens":785,"prompt_tokens_details":{"audio_tokens":0,"cached_tokens":0},"total_tokens":874}}</t>
        </is>
      </c>
      <c r="P32" t="inlineStr">
        <is>
          <t>Yeezy,Hoodies,kakobuy,kakebuy2026,kekobuysheet,kakobuysheet2026,2026kakobuy,kakobuyspreadsheeet,kakobuylink,kakebuylist,Kakobuy MEGA Spreadsheet,kakobuysheetfind,kakobuysheetfind2026,2026kakobuysheetfind,kakobuysheet2026</t>
        </is>
      </c>
      <c r="Q32" t="inlineStr">
        <is>
          <t>YEEZY, Cream, White, Minimalist, Streetwear, Men's And Women's</t>
        </is>
      </c>
      <c r="R32" t="inlineStr">
        <is>
          <t>recvh6xFVjdFyZ</t>
        </is>
      </c>
      <c r="S32" t="inlineStr">
        <is>
          <t>yeezy-essential-cream-white-oversized-cotton-hoodie-recvh6xfvjdfyz</t>
        </is>
      </c>
      <c r="T32"/>
      <c r="U32"/>
      <c r="V32"/>
      <c r="W32" t="inlineStr">
        <is>
          <t>{"id":"chatcmpl-DWZi7iGVZnQhd0JBM9DGaDLn67RcP","object":"chat.completion","created":1776656139,"model":"gpt-5-chat-latest","choices":[{"index":0,"message":{"role":"assistant","content":"Yeezy：Essential 奶油白连帽卫衣，甄选高密度纯棉面料，柔软亲肤兼具保暖性能。极简廓形设计与宽松剪裁，展现现代街头风格美学，男女皆宜。适合休闲出行与都市潮流穿搭，彰显简约而高级的时尚态度。","refusal":null,"annotations":[]},"logprobs":null,"finish_reason":"stop"}],"usage":{"prompt_tokens":1332,"completion_tokens":88,"total_tokens":1420,"prompt_tokens_details":{"cached_tokens":0,"audio_tokens":0},"completion_tokens_details":{"reasoning_tokens":0,"audio_tokens":0,"accepted_prediction_tokens":0,"rejected_prediction_tokens":0}},"service_tier":"default","system_fingerprint":"fp_ad66631dec"}</t>
        </is>
      </c>
      <c r="X32" t="inlineStr">
        <is>
          <t>Yeezy：Essential 奶油白连帽卫衣，甄选高密度纯棉面料，柔软亲肤兼具保暖性能。极简廓形设计与宽松剪裁，展现现代街头风格美学，男女皆宜。适合休闲出行与都市潮流穿搭，彰显简约而高级的时尚态度。</t>
        </is>
      </c>
    </row>
    <row r="33" ht="25.5" customHeight="1">
      <c r="A33">
        <v>1839115443</v>
      </c>
      <c r="B33">
        <v>7601044706</v>
      </c>
      <c r="C33" t="inlineStr">
        <is>
          <t>https://weidian.com/item.html?itemID=7601044706</t>
        </is>
      </c>
      <c r="D33"/>
      <c r="E33" s="2" t="str">
        <f>=HYPERLINK("https://si.geilicdn.com/open1832946205-1234478995-162500000196c91b63b50aa0834c_960_960.jpg?w=640&amp;h=640", "https://si.geilicdn.com/open1832946205-1234478995-162500000196c91b63b50aa0834c_960_960.jpg?w=640&amp;h=640")</f>
        <v>https://si.geilicdn.com/open1832946205-1234478995-162500000196c91b63b50aa0834c_960_960.jpg?w=640&amp;h=640</v>
      </c>
      <c r="F33" t="inlineStr">
        <is>
          <t>T-Shirts</t>
        </is>
      </c>
      <c r="G33" t="inlineStr">
        <is>
          <t>Nike</t>
        </is>
      </c>
      <c r="H33" t="inlineStr">
        <is>
          <t>65.00</t>
        </is>
      </c>
      <c r="I33">
        <v>9.42</v>
      </c>
      <c r="J33" t="inlineStr">
        <is>
          <t>{"choices":[{"finish_reason":"stop","index":0,"logprobs":null,"message":{"annotations":[],"content":"Nike Classic White Cotton Swoosh T-Shirt","refusal":null,"role":"assistant"}}],"created":1776666236,"id":"chatcmpl-DWcKyHqwKt5sFiUgmJuYnfHqR842Z","model":"gpt-5-chat-latest","object":"chat.completion","service_tier":"default","system_fingerprint":"fp_ad66631dec","usage":{"completion_tokens":10,"completion_tokens_details":{"accepted_prediction_tokens":0,"audio_tokens":0,"reasoning_tokens":0,"rejected_prediction_tokens":0},"prompt_tokens":877,"prompt_tokens_details":{"audio_tokens":0,"cached_tokens":0},"total_tokens":887}}</t>
        </is>
      </c>
      <c r="K33" t="inlineStr">
        <is>
          <t>Nike Classic White Cotton Swoosh T-Shirt</t>
        </is>
      </c>
      <c r="L33" t="inlineStr">
        <is>
          <t>{"choices":[{"finish_reason":"stop","index":0,"logprobs":null,"message":{"annotations":[],"content":"Nike Classic White Short Sleeve T-Shirt made from soft cotton with iconic Swoosh logo, minimalist sporty design, breathable comfort for men and women, perfect for daily casual or workout wear.","refusal":null,"role":"assistant"}}],"created":1776658418,"id":"chatcmpl-DWaIsKgA10LOIbDtQr3F4lX3fmdDD","model":"gpt-5-chat-latest","object":"chat.completion","service_tier":"default","system_fingerprint":"fp_ad66631dec","usage":{"completion_tokens":38,"completion_tokens_details":{"accepted_prediction_tokens":0,"audio_tokens":0,"reasoning_tokens":0,"rejected_prediction_tokens":0},"prompt_tokens":896,"prompt_tokens_details":{"audio_tokens":0,"cached_tokens":0},"total_tokens":934}}</t>
        </is>
      </c>
      <c r="M33" t="inlineStr">
        <is>
          <t>{"alt-svc":"h3=\":443\"; ma=2592000","apim-request-id":"491b1046-91e1-4c16-bfc9-06b669b03b08","azureml-model-session":"d20260405234249-f9874baf","cache-control":"no-cache","connection":"close","content-length":"780","content-security-policy":"frame-ancestors 'self'","content-type":"application/json","date":"Mon, 20 Apr 2026 04:13:39 GMT","server":"nginx","skip-error-remapping":"true","strict-transport-security":"max-age=31536000; includeSubDomains; preload","via":"1.1 Caddy, 1.1 Caddy","x-api-request-id":"20260420121337618749974mRBrMzNW","x-content-type-options":"nosniff","x-frame-options":"SAMEORIGIN","x-ms-client-request-id":"Not-Set","x-ms-is-spilled-over":"false","x-ms-rai-invoked":"true","x-ms-region":"East US 2","x-new-api-version":"0.4.39","x-oneapi-request-id":"202604200413374992518068268d9d668qnvHNi","x-ratelimit-abusepenalty-active":"False","x-ratelimit-limit-requests":"3850","x-ratelimit-limit-tokens":"3850000","x-ratelimit-remaining-requests":"3849","x-ratelimit-remaining-tokens":"3848342","x-ratelimit-renewalperiod-requests":"60","x-ratelimit-renewalperiod-tokens":"60","x-ratelimit-reset-requests":"15","x-ratelimit-reset-tokens":"25","x-request-id":"365101a6-6632-4a0b-b933-66bc1edc0c2f"}</t>
        </is>
      </c>
      <c r="N33" t="inlineStr">
        <is>
          <t>Nike Classic White Short Sleeve T-Shirt made from soft cotton with iconic Swoosh logo, minimalist sporty design, breathable comfort for men and women, perfect for daily casual or workout wear.</t>
        </is>
      </c>
      <c r="O33" t="inlineStr">
        <is>
          <t>{"id":"chatcmpl-DWcZBj2bPMwRNdk32Vo0dkSDr1w1X","object":"chat.completion","created":1776667117,"model":"gpt-5-chat-latest","choices":[{"index":0,"message":{"role":"assistant","content":"Nike, T-Shirts,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33" t="inlineStr">
        <is>
          <t>Nike, T-Shirts, kakobuy, kakebuy2026, kekobuysheet, kakobuysheet2026, 2026kakobuy, kakobuyspreadsheeet, kakobuylink, kakebuylist, Kakobuy MEGA Spreadsheet, kakobuysheetfind, kakobuysheetfind2026, 2026kakobuysheetfind, kakobuysheet2026</t>
        </is>
      </c>
      <c r="Q33" t="inlineStr">
        <is>
          <t>Nike, Minimalist, Sporty, Unisex, Summer</t>
        </is>
      </c>
      <c r="R33" t="inlineStr">
        <is>
          <t>recvh6xFVjtZdo</t>
        </is>
      </c>
      <c r="S33" t="inlineStr">
        <is>
          <t>nike-classic-white-cotton-swoosh-tshirt-recvh6xfvjtzdo</t>
        </is>
      </c>
      <c r="T33"/>
      <c r="U33"/>
      <c r="V33"/>
      <c r="W33" t="inlineStr">
        <is>
          <t>{"choices":[{"finish_reason":"stop","index":0,"logprobs":null,"message":{"annotations":[],"content":"Nike：经典白色短袖T恤，采用柔软纯棉材质，胸前点缀标志性Swoosh徽标，极简运动风格设计，男女皆宜，舒适透气，适合日常休闲与运动穿搭。","refusal":null,"role":"assistant"}}],"created":1776656212,"id":"chatcmpl-DWZjIHcTwxsy7ciat5WZPJXaFsIPI","model":"gpt-5-chat-latest","object":"chat.completion","service_tier":"default","system_fingerprint":"fp_ad66631dec","usage":{"completion_tokens":62,"completion_tokens_details":{"accepted_prediction_tokens":0,"audio_tokens":0,"reasoning_tokens":0,"rejected_prediction_tokens":0},"prompt_tokens":1311,"prompt_tokens_details":{"audio_tokens":0,"cached_tokens":1280},"total_tokens":1373}}</t>
        </is>
      </c>
      <c r="X33" t="inlineStr">
        <is>
          <t>Nike：经典白色短袖T恤，采用柔软纯棉材质，胸前点缀标志性Swoosh徽标，极简运动风格设计，男女皆宜，舒适透气，适合日常休闲与运动穿搭。</t>
        </is>
      </c>
    </row>
    <row r="34" ht="25.5" customHeight="1">
      <c r="A34">
        <v>1839115443</v>
      </c>
      <c r="B34">
        <v>7601078256</v>
      </c>
      <c r="C34" t="inlineStr">
        <is>
          <t>https://weidian.com/item.html?itemID=7601078256</t>
        </is>
      </c>
      <c r="D34"/>
      <c r="E34" s="2" t="str">
        <f>=HYPERLINK("https://si.geilicdn.com/pcitem1946583606-132600000196cdf965690a23047e-unadjust_768_784.png?w=640&amp;h=640", "https://si.geilicdn.com/pcitem1946583606-132600000196cdf965690a23047e-unadjust_768_784.png?w=640&amp;h=640")</f>
        <v>https://si.geilicdn.com/pcitem1946583606-132600000196cdf965690a23047e-unadjust_768_784.png?w=640&amp;h=640</v>
      </c>
      <c r="F34" t="inlineStr">
        <is>
          <t>T-Shirts</t>
        </is>
      </c>
      <c r="G34" t="inlineStr">
        <is>
          <t>Los Pollos Hermanos</t>
        </is>
      </c>
      <c r="H34" t="inlineStr">
        <is>
          <t>66.00</t>
        </is>
      </c>
      <c r="I34">
        <v>9.56521739130435</v>
      </c>
      <c r="J34" t="inlineStr">
        <is>
          <t>{"choices":[{"finish_reason":"stop","index":0,"logprobs":null,"message":{"annotations":[],"content":"Los Pollos Hermanos White Cotton Logo T-Shirt","refusal":null,"role":"assistant"}}],"created":1776666166,"id":"chatcmpl-DWcJqddpMsSIZF5reFzqFnMBkRDpG","model":"gpt-5-chat-latest","object":"chat.completion","service_tier":"default","system_fingerprint":"fp_ad66631dec","usage":{"completion_tokens":11,"completion_tokens_details":{"accepted_prediction_tokens":0,"audio_tokens":0,"reasoning_tokens":0,"rejected_prediction_tokens":0},"prompt_tokens":879,"prompt_tokens_details":{"audio_tokens":0,"cached_tokens":0},"total_tokens":890}}</t>
        </is>
      </c>
      <c r="K34" t="inlineStr">
        <is>
          <t>Los Pollos Hermanos White Cotton Logo T-Shirt</t>
        </is>
      </c>
      <c r="L34" t="inlineStr">
        <is>
          <t>{"id":"chatcmpl-DWaWYIB8sv0o4DTEDjENzt5OcKPEB","object":"chat.completion","created":1776659266,"model":"gpt-5-chat-latest","choices":[{"index":0,"message":{"role":"assistant","content":"Los Pollos Hermanos White Cotton T-Shirt features the iconic double chicken logo, vibrant retro colors, and unisex casual fit for a fun, laid-back street style with personality.","refusal":null,"annotations":[]},"logprobs":null,"finish_reason":"stop"}],"usage":{"prompt_tokens":904,"completion_tokens":37,"total_tokens":941,"prompt_tokens_details":{"cached_tokens":0,"audio_tokens":0},"completion_tokens_details":{"reasoning_tokens":0,"audio_tokens":0,"accepted_prediction_tokens":0,"rejected_prediction_tokens":0}},"service_tier":"default","system_fingerprint":"fp_ad66631dec"}</t>
        </is>
      </c>
      <c r="M34"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ma=2592000","apim-request-id":"b7d660fb-cd43-474c-8e7d-c917eedd6b0b","azureml-model-session":"d20260402075109-1fc5a0ec","cache-control":"no-cache, no-store, must-revalidate","connection":"close","content-length":"981","content-security-policy":"frame-ancestors 'self'","content-type":"application/json","date":"Mon, 20 Apr 2026 04:27:48 GMT","server":"nginx","skip-error-remapping":"true","strict-transport-security":"max-age=31536000; includeSubDomains; preload","via":"1.1 Caddy, 1.1 Caddy","x-api-request-id":"2026042012274498905320h8D2RDgN","x-content-type-options":"nosniff","x-frame-options":"SAMEORIGIN","x-ms-is-spilled-over":"false","x-ms-rai-invoked":"false","x-ms-region":"Sweden Central","x-new-api-version":"0.4.39","x-oneapi-request-id":"20260420042744282267788268d9d6qlsUKWkS","x-ratelimit-abusepenalty-active":"False","x-ratelimit-limit-requests":"4993","x-ratelimit-limit-tokens":"4993000","x-ratelimit-remaining-requests":"4992","x-ratelimit-remaining-tokens":"4991334","x-ratelimit-renewalperiod-requests":"60","x-ratelimit-renewalperiod-tokens":"60","x-ratelimit-reset-requests":"12","x-ratelimit-reset-tokens":"20","x-request-id":"68727382-20bc-4719-948c-f8106077b793"}</t>
        </is>
      </c>
      <c r="N34" t="inlineStr">
        <is>
          <t>Los Pollos Hermanos White Cotton T-Shirt features the iconic double chicken logo, vibrant retro colors, and unisex casual fit for a fun, laid-back street style with personality.</t>
        </is>
      </c>
      <c r="O34" t="inlineStr">
        <is>
          <t>{"choices":[{"finish_reason":"stop","index":0,"logprobs":null,"message":{"annotations":[],"content":"Los Pollos Hermanos,T-Shirts,kakobuy,kakebuy2026,kekobuysheet,kakobuysheet2026,2026kakobuy,kakobuyspreadsheeet,kakobuylink,kakebuylist,Kakobuy MEGA Spreadsheet,kakobuysheetfind,kakobuysheetfind2026,2026kakobuysheetfind,kakobuysheet2026","refusal":null,"role":"assistant"}}],"created":1776667651,"id":"chatcmpl-DWchnoH4XAd8jza0MYaKZ0p5Mqbvs","model":"gpt-5-chat-latest","object":"chat.completion","service_tier":"default","system_fingerprint":"fp_ad66631dec","usage":{"completion_tokens":90,"completion_tokens_details":{"accepted_prediction_tokens":0,"audio_tokens":0,"reasoning_tokens":0,"rejected_prediction_tokens":0},"prompt_tokens":786,"prompt_tokens_details":{"audio_tokens":0,"cached_tokens":0},"total_tokens":876}}</t>
        </is>
      </c>
      <c r="P34" t="inlineStr">
        <is>
          <t>Los Pollos Hermanos,T-Shirts,kakobuy,kakebuy2026,kekobuysheet,kakobuysheet2026,2026kakobuy,kakobuyspreadsheeet,kakobuylink,kakebuylist,Kakobuy MEGA Spreadsheet,kakobuysheetfind,kakobuysheetfind2026,2026kakobuysheetfind,kakobuysheet2026</t>
        </is>
      </c>
      <c r="Q34" t="inlineStr">
        <is>
          <t>White, Unisex, Retro, Streetwear</t>
        </is>
      </c>
      <c r="R34" t="inlineStr">
        <is>
          <t>recvh6xFVj9hsG</t>
        </is>
      </c>
      <c r="S34" t="inlineStr">
        <is>
          <t>los-pollos-hermanos-white-cotton-logo-tshirt-recvh6xfvj9hsg</t>
        </is>
      </c>
      <c r="T34"/>
      <c r="U34"/>
      <c r="V34"/>
      <c r="W34" t="inlineStr">
        <is>
          <t>{"id":"chatcmpl-DWZMTka0KdjZSHlWlKFaKzSIvBAZx","object":"chat.completion","created":1776654797,"model":"gpt-5-chat-2025-10-03","choices":[{"index":0,"message":{"role":"assistant","content":"Los Pollos Hermanos：白色短袖T恤，柔软纯棉面料打造，正面印有经典双鸡兄弟图腾，色彩鲜明充满美式复古街头风格，男女通用休闲款，轻松展现个性与幽默态度。","refusal":null,"annotations":[]},"logprobs":null,"finish_reason":"stop"}],"usage":{"prompt_tokens":1315,"completion_tokens":70,"total_tokens":1385,"prompt_tokens_details":{"cached_tokens":0,"audio_tokens":0},"completion_tokens_details":{"reasoning_tokens":0,"audio_tokens":0,"accepted_prediction_tokens":0,"rejected_prediction_tokens":0}},"service_tier":"default","system_fingerprint":"fp_ad66631dec"}</t>
        </is>
      </c>
      <c r="X34" t="inlineStr">
        <is>
          <t>Los Pollos Hermanos：白色短袖T恤，柔软纯棉面料打造，正面印有经典双鸡兄弟图腾，色彩鲜明充满美式复古街头风格，男女通用休闲款，轻松展现个性与幽默态度。</t>
        </is>
      </c>
    </row>
    <row r="35" ht="25.5" customHeight="1">
      <c r="A35">
        <v>1839115443</v>
      </c>
      <c r="B35">
        <v>7599047001</v>
      </c>
      <c r="C35" t="inlineStr">
        <is>
          <t>https://weidian.com/item.html?itemID=7599047001</t>
        </is>
      </c>
      <c r="D35"/>
      <c r="E35" s="2" t="str">
        <f>=HYPERLINK("https://si.geilicdn.com/open1832946205-252808396-1fe700000196cd29c0b50a22d249_800_800.jpg?w=640&amp;h=640", "https://si.geilicdn.com/open1832946205-252808396-1fe700000196cd29c0b50a22d249_800_800.jpg?w=640&amp;h=640")</f>
        <v>https://si.geilicdn.com/open1832946205-252808396-1fe700000196cd29c0b50a22d249_800_800.jpg?w=640&amp;h=640</v>
      </c>
      <c r="F35" t="inlineStr">
        <is>
          <t>T-Shirts</t>
        </is>
      </c>
      <c r="G35" t="inlineStr">
        <is>
          <t>Supreme</t>
        </is>
      </c>
      <c r="H35" t="inlineStr">
        <is>
          <t>72.00</t>
        </is>
      </c>
      <c r="I35">
        <v>10.43</v>
      </c>
      <c r="J35" t="inlineStr">
        <is>
          <t>{"choices":[{"finish_reason":"stop","index":0,"logprobs":null,"message":{"annotations":[],"content":"Supreme x FOX Blue Yellow Mesh Long Sleeve T-Shirt","refusal":null,"role":"assistant"}}],"created":1776666546,"id":"chatcmpl-DWcPyCqdtnKkc5OUdkLdKOLDc852X","model":"gpt-5-chat-latest","object":"chat.completion","service_tier":"default","system_fingerprint":"fp_ad66631dec","usage":{"completion_tokens":12,"completion_tokens_details":{"accepted_prediction_tokens":0,"audio_tokens":0,"reasoning_tokens":0,"rejected_prediction_tokens":0},"prompt_tokens":882,"prompt_tokens_details":{"audio_tokens":0,"cached_tokens":0},"total_tokens":894}}</t>
        </is>
      </c>
      <c r="K35" t="inlineStr">
        <is>
          <t>Supreme x FOX Blue Yellow Mesh Long Sleeve T-Shirt</t>
        </is>
      </c>
      <c r="L35" t="inlineStr">
        <is>
          <t>{"choices":[{"finish_reason":"stop","index":0,"logprobs":null,"message":{"annotations":[],"content":"Supreme x FOX blue-yellow long sleeve mesh T-shirt, featuring red logo panel and bold moto-street fusion design. Lightweight, breathable, unisex streetwear for sporty and casual fashion lovers.","refusal":null,"role":"assistant"}}],"created":1776658232,"id":"chatcmpl-DWaFsHLDOMioP5PfJgYtmUPZHaxAa","model":"gpt-5-chat-latest","object":"chat.completion","service_tier":"default","system_fingerprint":"fp_ad66631dec","usage":{"completion_tokens":40,"completion_tokens_details":{"accepted_prediction_tokens":0,"audio_tokens":0,"reasoning_tokens":0,"rejected_prediction_tokens":0},"prompt_tokens":905,"prompt_tokens_details":{"audio_tokens":0,"cached_tokens":0},"total_tokens":945}}</t>
        </is>
      </c>
      <c r="M35" t="inlineStr">
        <is>
          <t>{"alt-svc":"h3=\":443\"; ma=2592000","apim-request-id":"2eb377ce-b7ce-468f-90bf-7d2a9b4b373b","azureml-model-session":"d20260402074105-51db401e","cache-control":"no-cache","connection":"close","content-length":"781","content-security-policy":"frame-ancestors 'self'","content-type":"application/json","date":"Mon, 20 Apr 2026 04:10:33 GMT","server":"nginx","skip-error-remapping":"true","strict-transport-security":"max-age=31536000; includeSubDomains; preload","via":"1.1 Caddy, 1.1 Caddy","x-api-request-id":"202604201210314453931248zXl0ad1","x-content-type-options":"nosniff","x-frame-options":"SAMEORIGIN","x-ms-client-request-id":"Not-Set","x-ms-is-spilled-over":"false","x-ms-rai-invoked":"true","x-ms-region":"East US 2","x-new-api-version":"0.4.39","x-oneapi-request-id":"202604200410312260028418268d9d61qhnzKoL","x-ratelimit-abusepenalty-active":"False","x-ratelimit-limit-requests":"3850","x-ratelimit-limit-tokens":"3850000","x-ratelimit-remaining-requests":"3849","x-ratelimit-remaining-tokens":"3843636","x-ratelimit-renewalperiod-requests":"60","x-ratelimit-renewalperiod-tokens":"60","x-ratelimit-reset-requests":"15","x-ratelimit-reset-tokens":"99","x-request-id":"1eae48a4-38f9-4326-8acc-30e14dc1890c"}</t>
        </is>
      </c>
      <c r="N35" t="inlineStr">
        <is>
          <t>Supreme x FOX blue-yellow long sleeve mesh T-shirt, featuring red logo panel and bold moto-street fusion design. Lightweight, breathable, unisex streetwear for sporty and casual fashion lovers.</t>
        </is>
      </c>
      <c r="O35" t="inlineStr">
        <is>
          <t>{"choices":[{"finish_reason":"stop","index":0,"logprobs":null,"message":{"annotations":[],"content":"Supreme,T-Shirts,kakobuy,kakebuy2026,kekobuysheet,kakobuysheet2026,2026kakobuy,kakobuyspreadsheeet,kakobuylink,kakebuylist,Kakobuy MEGA Spreadsheet,kakobuysheetfind,kakobuysheetfind2026,2026kakobuysheetfind,kakobuysheet2026","refusal":null,"role":"assistant"}}],"created":1776668675,"id":"chatcmpl-DWcyJAe6dri9WEkd8Brxvm7m8t9d2","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P35" t="inlineStr">
        <is>
          <t>Supreme,T-Shirts,kakobuy,kakebuy2026,kekobuysheet,kakobuysheet2026,2026kakobuy,kakobuyspreadsheeet,kakobuylink,kakebuylist,Kakobuy MEGA Spreadsheet,kakobuysheetfind,kakobuysheetfind2026,2026kakobuysheetfind,kakobuysheet2026</t>
        </is>
      </c>
      <c r="Q35" t="inlineStr">
        <is>
          <t>Supreme, Mesh, Blue, Yellow, Streetwear, Unisex</t>
        </is>
      </c>
      <c r="R35" t="inlineStr">
        <is>
          <t>recvh6xFVjyrHz</t>
        </is>
      </c>
      <c r="S35" t="inlineStr">
        <is>
          <t>supreme-fox-blue-yellow-mesh-long-sleeve-tshirt-recvh6xFVjyrHz</t>
        </is>
      </c>
      <c r="T35"/>
      <c r="U35"/>
      <c r="V35"/>
      <c r="W35" t="inlineStr">
        <is>
          <t>{"choices":[{"finish_reason":"stop","index":0,"logprobs":null,"message":{"annotations":[],"content":"Supreme：联名系列蓝黄拼色长袖机能T恤，采用轻质透气网眼面料，胸前红底白字Logo与FOX标志设计，展现街头与机车风融合美学，潮流男女皆宜，运动休闲兼具时尚态度。","refusal":null,"role":"assistant"}}],"created":1776655509,"id":"chatcmpl-DWZXxu6SmAFoqJe1OzzfbwZn6lKpL","model":"gpt-5-chat-latest","object":"chat.completion","service_tier":"default","system_fingerprint":"fp_ad66631dec","usage":{"completion_tokens":70,"completion_tokens_details":{"accepted_prediction_tokens":0,"audio_tokens":0,"reasoning_tokens":0,"rejected_prediction_tokens":0},"prompt_tokens":1314,"prompt_tokens_details":{"audio_tokens":0,"cached_tokens":0},"total_tokens":1384}}</t>
        </is>
      </c>
      <c r="X35" t="inlineStr">
        <is>
          <t>Supreme：联名系列蓝黄拼色长袖机能T恤，采用轻质透气网眼面料，胸前红底白字Logo与FOX标志设计，展现街头与机车风融合美学，潮流男女皆宜，运动休闲兼具时尚态度。</t>
        </is>
      </c>
    </row>
    <row r="36" ht="25.5" customHeight="1">
      <c r="A36">
        <v>1839115443</v>
      </c>
      <c r="B36">
        <v>7599122517</v>
      </c>
      <c r="C36" t="inlineStr">
        <is>
          <t>https://weidian.com/item.html?itemID=7599122517</t>
        </is>
      </c>
      <c r="D36"/>
      <c r="E36" s="2" t="str">
        <f>=HYPERLINK("https://si.geilicdn.com/open1832946205-252808396-76cd00000196d37433210a23b491_800_800.jpg?w=640&amp;h=640", "https://si.geilicdn.com/open1832946205-252808396-76cd00000196d37433210a23b491_800_800.jpg?w=640&amp;h=640")</f>
        <v>https://si.geilicdn.com/open1832946205-252808396-76cd00000196d37433210a23b491_800_800.jpg?w=640&amp;h=640</v>
      </c>
      <c r="F36" t="inlineStr">
        <is>
          <t>Hoodies</t>
        </is>
      </c>
      <c r="G36" t="inlineStr">
        <is>
          <t>Essentials</t>
        </is>
      </c>
      <c r="H36" t="inlineStr">
        <is>
          <t>142.00</t>
        </is>
      </c>
      <c r="I36">
        <v>20.58</v>
      </c>
      <c r="J36" t="inlineStr">
        <is>
          <t>{"choices":[{"finish_reason":"stop","index":0,"logprobs":null,"message":{"annotations":[],"content":"Essentials Gray Green 3D Logo Unisex Hoodie","refusal":null,"role":"assistant"}}],"created":1776666549,"id":"chatcmpl-DWcQ17Od5m2iDKDexKZqEWGX1ab7X","model":"gpt-5-chat-latest","object":"chat.completion","service_tier":"default","system_fingerprint":"fp_ad66631dec","usage":{"completion_tokens":12,"completion_tokens_details":{"accepted_prediction_tokens":0,"audio_tokens":0,"reasoning_tokens":0,"rejected_prediction_tokens":0},"prompt_tokens":879,"prompt_tokens_details":{"audio_tokens":0,"cached_tokens":0},"total_tokens":891}}</t>
        </is>
      </c>
      <c r="K36" t="inlineStr">
        <is>
          <t>Essentials Gray Green 3D Logo Unisex Hoodie</t>
        </is>
      </c>
      <c r="L36" t="inlineStr">
        <is>
          <t>{"id":"chatcmpl-DWaJDeo7nn4RBRSKFMsPMFvUlRiFs","object":"chat.completion","created":1776658439,"model":"gpt-5-chat-latest","choices":[{"index":0,"message":{"role":"assistant","content":"ESSENTIALS Hoodie in gray-green, made of thick soft cotton with 3D logo on chest, relaxed unisex fit for street style, perfect for daily casual and urban wear.","refusal":null,"annotations":[]},"logprobs":null,"finish_reason":"stop"}],"usage":{"prompt_tokens":895,"completion_tokens":38,"total_tokens":933,"prompt_tokens_details":{"cached_tokens":0,"audio_tokens":0},"completion_tokens_details":{"reasoning_tokens":0,"audio_tokens":0,"accepted_prediction_tokens":0,"rejected_prediction_tokens":0}},"service_tier":"default","system_fingerprint":"fp_ad66631dec"}</t>
        </is>
      </c>
      <c r="M36"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ma=2592000","apim-request-id":"6ea89b28-715a-4d11-bf35-e1de47a78538","azureml-model-session":"d20260405234249-f9874baf","cache-control":"no-cache, no-store, must-revalidate","connection":"close","content-length":"963","content-security-policy":"frame-ancestors 'self'","content-type":"application/json","date":"Mon, 20 Apr 2026 04:14:00 GMT","server":"nginx","skip-error-remapping":"true","strict-transport-security":"max-age=31536000; includeSubDomains; preload","via":"1.1 Caddy, 1.1 Caddy","x-api-request-id":"20260420121358259381029Maim4KIm","x-content-type-options":"nosniff","x-frame-options":"SAMEORIGIN","x-ms-is-spilled-over":"false","x-ms-rai-invoked":"false","x-ms-region":"East US 2","x-new-api-version":"0.4.39","x-oneapi-request-id":"202604200413581952077808268d9d6gToJ0mHT","x-ratelimit-abusepenalty-active":"False","x-ratelimit-limit-requests":"4994","x-ratelimit-limit-tokens":"4994000","x-ratelimit-remaining-requests":"4993","x-ratelimit-remaining-tokens":"4992343","x-ratelimit-renewalperiod-requests":"60","x-ratelimit-renewalperiod-tokens":"60","x-ratelimit-reset-requests":"12","x-ratelimit-reset-tokens":"19","x-request-id":"33f427b0-c739-4d40-bb0b-11be64fb7567"}</t>
        </is>
      </c>
      <c r="N36" t="inlineStr">
        <is>
          <t>ESSENTIALS Hoodie in gray-green, made of thick soft cotton with 3D logo on chest, relaxed unisex fit for street style, perfect for daily casual and urban wear.</t>
        </is>
      </c>
      <c r="O36" t="inlineStr">
        <is>
          <t>{"choices":[{"finish_reason":"stop","index":0,"logprobs":null,"message":{"annotations":[],"content":"Essentials,Hoodie,kakobuy,kakebuy2026,kekobuysheet,kakobuysheet2026,2026kakobuy,kakobuyspreadsheeet,kakobuylink,kakebuylist,Kakobuy MEGA Spreadsheet,kakobuysheetfind,kakobuysheetfind2026,2026kakobuysheetfind,kakobuysheet2026","refusal":null,"role":"assistant"}}],"created":1776667806,"id":"chatcmpl-DWckIe7amUukdSSRhkUgF8E0u14KK","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is>
      </c>
      <c r="P36" t="inlineStr">
        <is>
          <t>Essentials,Hoodie,kakobuy,kakebuy2026,kekobuysheet,kakobuysheet2026,2026kakobuy,kakobuyspreadsheeet,kakobuylink,kakebuylist,Kakobuy MEGA Spreadsheet,kakobuysheetfind,kakobuysheetfind2026,2026kakobuysheetfind,kakobuysheet2026</t>
        </is>
      </c>
      <c r="Q36" t="inlineStr">
        <is>
          <t>Grey Green, Unisex, Streetwear, All Seasons</t>
        </is>
      </c>
      <c r="R36" t="inlineStr">
        <is>
          <t>recvh6xFVjJCFh</t>
        </is>
      </c>
      <c r="S36" t="inlineStr">
        <is>
          <t>essentials-gray-green-3d-logo-hoodie-recvh6xfvjjcfh</t>
        </is>
      </c>
      <c r="T36"/>
      <c r="U36"/>
      <c r="V36"/>
      <c r="W36" t="inlineStr">
        <is>
          <t>{"choices":[{"finish_reason":"stop","index":0,"logprobs":null,"message":{"annotations":[],"content":"Essentials：灰绿色连帽卫衣，柔软厚实棉质面料，胸前立体品牌字样设计，宽松版型兼具舒适与街头潮流气质，男女皆宜，适合日常休闲与都市穿搭。","refusal":null,"role":"assistant"}}],"created":1776655372,"id":"chatcmpl-DWZVkLKPMrAtQkmNfIWsSUdWAOpOM","model":"gpt-5-chat-latest","object":"chat.completion","service_tier":"default","system_fingerprint":"fp_ad66631dec","usage":{"completion_tokens":61,"completion_tokens_details":{"accepted_prediction_tokens":0,"audio_tokens":0,"reasoning_tokens":0,"rejected_prediction_tokens":0},"prompt_tokens":1311,"prompt_tokens_details":{"audio_tokens":0,"cached_tokens":0},"total_tokens":1372}}</t>
        </is>
      </c>
      <c r="X36" t="inlineStr">
        <is>
          <t>Essentials：灰绿色连帽卫衣，柔软厚实棉质面料，胸前立体品牌字样设计，宽松版型兼具舒适与街头潮流气质，男女皆宜，适合日常休闲与都市穿搭。</t>
        </is>
      </c>
    </row>
    <row r="37" ht="25.5" customHeight="1">
      <c r="A37">
        <v>1839115443</v>
      </c>
      <c r="B37">
        <v>7601001404</v>
      </c>
      <c r="C37" t="inlineStr">
        <is>
          <t>https://weidian.com/item.html?itemID=7601001404</t>
        </is>
      </c>
      <c r="D37"/>
      <c r="E37" s="2" t="str">
        <f>=HYPERLINK("https://si.geilicdn.com/open1832946205-252808396-09b600000197f32c7de40a22d249_750_875.jpg?w=640&amp;h=640", "https://si.geilicdn.com/open1832946205-252808396-09b600000197f32c7de40a22d249_750_875.jpg?w=640&amp;h=640")</f>
        <v>https://si.geilicdn.com/open1832946205-252808396-09b600000197f32c7de40a22d249_750_875.jpg?w=640&amp;h=640</v>
      </c>
      <c r="F37" t="inlineStr">
        <is>
          <t>Hoodies</t>
        </is>
      </c>
      <c r="G37" t="inlineStr">
        <is>
          <t>Other</t>
        </is>
      </c>
      <c r="H37" t="inlineStr">
        <is>
          <t>181.00</t>
        </is>
      </c>
      <c r="I37">
        <v>26.23</v>
      </c>
      <c r="J37" t="inlineStr">
        <is>
          <t>{"choices":[{"finish_reason":"stop","index":0,"logprobs":null,"message":{"annotations":[],"content":"Unisex Oversized Casual Solid Color Pullover Hoodies","refusal":null,"role":"assistant"}}],"created":1776666842,"id":"chatcmpl-DWcUkkzDc7skdtwu23xeEasNIyJxT","model":"gpt-5-chat-latest","object":"chat.completion","service_tier":"default","system_fingerprint":"fp_ad66631dec","usage":{"completion_tokens":12,"completion_tokens_details":{"accepted_prediction_tokens":0,"audio_tokens":0,"reasoning_tokens":0,"rejected_prediction_tokens":0},"prompt_tokens":805,"prompt_tokens_details":{"audio_tokens":0,"cached_tokens":0},"total_tokens":817}}</t>
        </is>
      </c>
      <c r="K37" t="inlineStr">
        <is>
          <t>Unisex Oversized Casual Solid Color Pullover Hoodies</t>
        </is>
      </c>
      <c r="L37"/>
      <c r="M37"/>
      <c r="N37"/>
      <c r="O37" t="inlineStr">
        <is>
          <t>{"id":"chatcmpl-DWcefoXSLdbw8Z0Uo8sPoMMCxXy7K","object":"chat.completion","created":1776667457,"model":"gpt-5-chat-latest","choices":[{"index":0,"message":{"role":"assistant","content":"Hoodies,Other,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37" t="inlineStr">
        <is>
          <t>Hoodies,Other,kakobuy,kakebuy2026,kekobuysheet,kakobuysheet2026,2026kakobuy,kakobuyspreadsheeet,kakobuylink,kakebuylist,Kakobuy MEGA Spreadsheet,kakobuysheetfind,kakobuysheetfind2026,2026kakobuysheetfind,kakobuysheet2026</t>
        </is>
      </c>
      <c r="Q37"/>
      <c r="R37" t="inlineStr">
        <is>
          <t>recvh6xFVjBahK</t>
        </is>
      </c>
      <c r="S37" t="inlineStr">
        <is>
          <t>unisex-oversized-casual-solid-color-pullover-hoodies-recvh6xFVjBahK</t>
        </is>
      </c>
      <c r="T37"/>
      <c r="U37"/>
      <c r="V37"/>
      <c r="W37" t="inlineStr">
        <is>
          <t>{"choices":[{"finish_reason":"stop","index":0,"logprobs":null,"message":{"annotations":[],"content":"简约蓝色连帽卫衣，选用高克重纯棉面料，柔软亲肤透气，宽松落肩版型彰显休闲街头风。前袋鼠兜设计兼具实用与时尚，男女皆宜，适合秋冬日常穿搭，展现轻松自在的潮流态度。","refusal":null,"role":"assistant"}}],"created":1776655908,"id":"chatcmpl-DWZeOprXPtCa19IPg5R7i6AkYGpzw","model":"gpt-5-chat-latest","object":"chat.completion","service_tier":"default","system_fingerprint":"fp_ad66631dec","usage":{"completion_tokens":80,"completion_tokens_details":{"accepted_prediction_tokens":0,"audio_tokens":0,"reasoning_tokens":0,"rejected_prediction_tokens":0},"prompt_tokens":1312,"prompt_tokens_details":{"audio_tokens":0,"cached_tokens":0},"total_tokens":1392}}</t>
        </is>
      </c>
      <c r="X37" t="inlineStr">
        <is>
          <t>简约蓝色连帽卫衣，选用高克重纯棉面料，柔软亲肤透气，宽松落肩版型彰显休闲街头风。前袋鼠兜设计兼具实用与时尚，男女皆宜，适合秋冬日常穿搭，展现轻松自在的潮流态度。</t>
        </is>
      </c>
    </row>
    <row r="38" ht="25.5" customHeight="1">
      <c r="A38">
        <v>1839115443</v>
      </c>
      <c r="B38">
        <v>7601047772</v>
      </c>
      <c r="C38" t="inlineStr">
        <is>
          <t>https://weidian.com/item.html?itemID=7601047772</t>
        </is>
      </c>
      <c r="D38"/>
      <c r="E38" s="2" t="str">
        <f>=HYPERLINK("https://si.geilicdn.com/open1832946205-252808396-1fee000001988e681a1f0a231226_1200_1500.jpg?w=640&amp;h=640", "https://si.geilicdn.com/open1832946205-252808396-1fee000001988e681a1f0a231226_1200_1500.jpg?w=640&amp;h=640")</f>
        <v>https://si.geilicdn.com/open1832946205-252808396-1fee000001988e681a1f0a231226_1200_1500.jpg?w=640&amp;h=640</v>
      </c>
      <c r="F38" t="inlineStr">
        <is>
          <t>Pants</t>
        </is>
      </c>
      <c r="G38" t="inlineStr">
        <is>
          <t>True Religion</t>
        </is>
      </c>
      <c r="H38" t="inlineStr">
        <is>
          <t>96.00</t>
        </is>
      </c>
      <c r="I38">
        <v>13.91</v>
      </c>
      <c r="J38" t="inlineStr">
        <is>
          <t>{"choices":[{"finish_reason":"stop","index":0,"logprobs":null,"message":{"annotations":[],"content":"True Religion Black Vintage Denim Jeans Unisex","refusal":null,"role":"assistant"}}],"created":1776665855,"id":"chatcmpl-DWcEpBpvMFLv7sk5KxEkMrjMWsoqL","model":"gpt-5-chat-latest","object":"chat.completion","service_tier":"default","system_fingerprint":"fp_ad66631dec","usage":{"completion_tokens":9,"completion_tokens_details":{"accepted_prediction_tokens":0,"audio_tokens":0,"reasoning_tokens":0,"rejected_prediction_tokens":0},"prompt_tokens":876,"prompt_tokens_details":{"audio_tokens":0,"cached_tokens":0},"total_tokens":885}}</t>
        </is>
      </c>
      <c r="K38" t="inlineStr">
        <is>
          <t>True Religion Black Vintage Denim Jeans Unisex</t>
        </is>
      </c>
      <c r="L38" t="inlineStr">
        <is>
          <t>{"choices":[{"finish_reason":"stop","index":0,"logprobs":null,"message":{"annotations":[],"content":"True Religion Black Denim Jeans: crafted from high-density denim with 3D tailoring, iconic contrast stitching and logo embroidery for a classic American vintage street style; unisex casual fashion.","refusal":null,"role":"assistant"}}],"created":1776658622,"id":"chatcmpl-DWaMA5V9izVrcYkMaKg9Eql1odnly","model":"gpt-5-chat-latest","object":"chat.completion","service_tier":"default","system_fingerprint":"fp_ad66631dec","usage":{"completion_tokens":37,"completion_tokens_details":{"accepted_prediction_tokens":0,"audio_tokens":0,"reasoning_tokens":0,"rejected_prediction_tokens":0},"prompt_tokens":930,"prompt_tokens_details":{"audio_tokens":0,"cached_tokens":0},"total_tokens":967}}</t>
        </is>
      </c>
      <c r="M38" t="inlineStr">
        <is>
          <t>{"alt-svc":"h3=\":443\"; ma=2592000","apim-request-id":"a1cb8bbb-78c3-4bab-aedf-85c4a474b07e","azureml-model-session":"d20260405234249-f9874baf","cache-control":"no-cache","connection":"close","content-length":"785","content-security-policy":"frame-ancestors 'self'","content-type":"application/json","date":"Mon, 20 Apr 2026 04:17:03 GMT","server":"nginx","skip-error-remapping":"true","strict-transport-security":"max-age=31536000; includeSubDomains; preload","via":"1.1 Caddy, 1.1 Caddy","x-api-request-id":"20260420121701246351055GIH0nsYD","x-content-type-options":"nosniff","x-frame-options":"SAMEORIGIN","x-ms-client-request-id":"Not-Set","x-ms-is-spilled-over":"false","x-ms-rai-invoked":"true","x-ms-region":"East US 2","x-new-api-version":"0.4.39","x-oneapi-request-id":"20260420041701988254808268d9d6HwgvrL5K","x-ratelimit-abusepenalty-active":"False","x-ratelimit-limit-requests":"3850","x-ratelimit-limit-tokens":"3850000","x-ratelimit-remaining-requests":"3849","x-ratelimit-remaining-tokens":"3848308","x-ratelimit-renewalperiod-requests":"60","x-ratelimit-renewalperiod-tokens":"60","x-ratelimit-reset-requests":"15","x-ratelimit-reset-tokens":"26","x-request-id":"932cb7dc-95fb-4558-a01c-a9c12982c244"}</t>
        </is>
      </c>
      <c r="N38" t="inlineStr">
        <is>
          <t>True Religion Black Denim Jeans: crafted from high-density denim with 3D tailoring, iconic contrast stitching and logo embroidery for a classic American vintage street style; unisex casual fashion.</t>
        </is>
      </c>
      <c r="O38" t="inlineStr">
        <is>
          <t>{"choices":[{"finish_reason":"stop","index":0,"logprobs":null,"message":{"annotations":[],"content":"True Religion,Pants,kakobuy,kakebuy2026,kekobuysheet,kakobuysheet2026,2026kakobuy,kakobuyspreadsheeet,kakobuylink,kakebuylist,Kakobuy MEGA Spreadsheet,kakobuysheetfind,kakobuysheetfind2026,2026kakobuysheetfind,kakobuysheet2026","refusal":null,"role":"assistant"}}],"created":1776668003,"id":"chatcmpl-DWcnTpi5ycsNbwSiMAkf5gWeTCklA","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P38" t="inlineStr">
        <is>
          <t>True Religion,Pants,kakobuy,kakebuy2026,kekobuysheet,kakobuysheet2026,2026kakobuy,kakobuyspreadsheeet,kakobuylink,kakebuylist,Kakobuy MEGA Spreadsheet,kakobuysheetfind,kakobuysheetfind2026,2026kakobuysheetfind,kakobuysheet2026</t>
        </is>
      </c>
      <c r="Q38" t="inlineStr">
        <is>
          <t>Denim, Classic, Vintage, Streetwear, Unisex</t>
        </is>
      </c>
      <c r="R38" t="inlineStr">
        <is>
          <t>recvh6xFVjCDxQ</t>
        </is>
      </c>
      <c r="S38" t="inlineStr">
        <is>
          <t>true-religion-black-vintage-denim-jeans-recvh6xfvjcdxq</t>
        </is>
      </c>
      <c r="T38"/>
      <c r="U38"/>
      <c r="V38"/>
      <c r="W38" t="inlineStr">
        <is>
          <t>{"choices":[{"finish_reason":"stop","index":0,"logprobs":null,"message":{"annotations":[],"content":"True Religion：黑色牛仔长裤，采用高密度丹宁面料，立体剪裁修饰腿型，标志性立体门襟与反白粗线缝制展现品牌经典工艺。后袋马蹄弧形刺绣搭配金属扣饰，彰显美式复古与街头风格。男女皆宜，休闲与潮流兼具。","refusal":null,"role":"assistant"}}],"created":1776655590,"id":"chatcmpl-DWZZGUCWo3KdeqF4Ovt9btdfzgMIk","model":"gpt-5-chat-latest","object":"chat.completion","service_tier":"default","system_fingerprint":"fp_ad66631dec","usage":{"completion_tokens":94,"completion_tokens_details":{"accepted_prediction_tokens":0,"audio_tokens":0,"reasoning_tokens":0,"rejected_prediction_tokens":0},"prompt_tokens":1316,"prompt_tokens_details":{"audio_tokens":0,"cached_tokens":0},"total_tokens":1410}}</t>
        </is>
      </c>
      <c r="X38" t="inlineStr">
        <is>
          <t>True Religion：黑色牛仔长裤，采用高密度丹宁面料，立体剪裁修饰腿型，标志性立体门襟与反白粗线缝制展现品牌经典工艺。后袋马蹄弧形刺绣搭配金属扣饰，彰显美式复古与街头风格。男女皆宜，休闲与潮流兼具。</t>
        </is>
      </c>
    </row>
    <row r="39" ht="25.5" customHeight="1">
      <c r="A39">
        <v>1839115443</v>
      </c>
      <c r="B39">
        <v>7601026932</v>
      </c>
      <c r="C39" t="inlineStr">
        <is>
          <t>https://weidian.com/item.html?itemID=7601026932</t>
        </is>
      </c>
      <c r="D39"/>
      <c r="E39" s="2" t="str">
        <f>=HYPERLINK("https://si.geilicdn.com/open1832946205-252808396-794500000196ceb019580a231226_800_800.jpg?w=640&amp;h=640", "https://si.geilicdn.com/open1832946205-252808396-794500000196ceb019580a231226_800_800.jpg?w=640&amp;h=640")</f>
        <v>https://si.geilicdn.com/open1832946205-252808396-794500000196ceb019580a231226_800_800.jpg?w=640&amp;h=640</v>
      </c>
      <c r="F39" t="inlineStr">
        <is>
          <t>T-Shirts</t>
        </is>
      </c>
      <c r="G39" t="inlineStr">
        <is>
          <t>Nike</t>
        </is>
      </c>
      <c r="H39" t="inlineStr">
        <is>
          <t>66.00</t>
        </is>
      </c>
      <c r="I39">
        <v>9.56521739130435</v>
      </c>
      <c r="J39" t="inlineStr">
        <is>
          <t>{"choices":[{"finish_reason":"stop","index":0,"logprobs":null,"message":{"annotations":[],"content":"Nike Black Geometric Reflective Logo Cotton T-Shirt","refusal":null,"role":"assistant"}}],"created":1776665779,"id":"chatcmpl-DWcDbuPTagyw3n2yni6Dee5vEvuMQ","model":"gpt-5-chat-latest","object":"chat.completion","service_tier":"default","system_fingerprint":"fp_ad66631dec","usage":{"completion_tokens":11,"completion_tokens_details":{"accepted_prediction_tokens":0,"audio_tokens":0,"reasoning_tokens":0,"rejected_prediction_tokens":0},"prompt_tokens":861,"prompt_tokens_details":{"audio_tokens":0,"cached_tokens":0},"total_tokens":872}}</t>
        </is>
      </c>
      <c r="K39" t="inlineStr">
        <is>
          <t>Nike Black Geometric Reflective Logo Cotton T-Shirt</t>
        </is>
      </c>
      <c r="L39" t="inlineStr">
        <is>
          <t>{"choices":[{"finish_reason":"stop","index":0,"logprobs":null,"message":{"annotations":[],"content":"Nike Black Geometric Reflective Logo T-Shirt, soft breathable cotton, classic crew neck style, unisex street fashion design showing modern sporty attitude.","refusal":null,"role":"assistant"}}],"created":1776659295,"id":"chatcmpl-DWaX1p2eXLSyssQvQWGx9zOeRr8X9","model":"gpt-5-chat-latest","object":"chat.completion","service_tier":"default","system_fingerprint":"fp_ad66631dec","usage":{"completion_tokens":30,"completion_tokens_details":{"accepted_prediction_tokens":0,"audio_tokens":0,"reasoning_tokens":0,"rejected_prediction_tokens":0},"prompt_tokens":884,"prompt_tokens_details":{"audio_tokens":0,"cached_tokens":0},"total_tokens":914}}</t>
        </is>
      </c>
      <c r="M39" t="inlineStr">
        <is>
          <t>{"alt-svc":"h3=\":443\"; ma=2592000","apim-request-id":"ca5f4ca7-3233-4795-a53f-9ec5006c83c0","azureml-model-session":"d20260405234249-f9874baf","cache-control":"no-cache","connection":"close","content-length":"743","content-security-policy":"frame-ancestors 'self'","content-type":"application/json","date":"Mon, 20 Apr 2026 04:28:16 GMT","server":"Caddy","skip-error-remapping":"true","strict-transport-security":"max-age=31536000; includeSubDomains; preload","via":"1.1 Caddy","x-api-request-id":"20260420122815616005836ZfXRp7B","x-content-type-options":"nosniff","x-frame-options":"SAMEORIGIN","x-ms-client-request-id":"Not-Set","x-ms-is-spilled-over":"false","x-ms-rai-invoked":"true","x-ms-region":"East US 2","x-new-api-version":"0.4.39","x-oneapi-request-id":"202604200428149946889118268d9d6vpzEILL9","x-ratelimit-abusepenalty-active":"False","x-ratelimit-limit-requests":"3850","x-ratelimit-limit-tokens":"3850000","x-ratelimit-remaining-requests":"3849","x-ratelimit-remaining-tokens":"3846484","x-ratelimit-renewalperiod-requests":"60","x-ratelimit-renewalperiod-tokens":"60","x-ratelimit-reset-requests":"15","x-ratelimit-reset-tokens":"54","x-request-id":"44986f5b-6cb2-4a5f-b96c-10d5d53986bc"}</t>
        </is>
      </c>
      <c r="N39" t="inlineStr">
        <is>
          <t>Nike Black Geometric Reflective Logo T-Shirt, soft breathable cotton, classic crew neck style, unisex street fashion design showing modern sporty attitude.</t>
        </is>
      </c>
      <c r="O39" t="inlineStr">
        <is>
          <t>{"choices":[{"finish_reason":"stop","index":0,"logprobs":null,"message":{"annotations":[],"content":"Nike,T-Shirts,kakobuy,kakebuy2026,kekobuysheet,kakobuysheet2026,2026kakobuy,kakobuyspreadsheeet,kakobuylink,kakebuylist,Kakobuy MEGA Spreadsheet,kakobuysheetfind,kakobuysheetfind2026,2026kakobuysheetfind,kakobuysheet2026","refusal":null,"role":"assistant"}}],"created":1776668573,"id":"chatcmpl-DWcwfXflUOsGVxEaSabX07MIyptRi","model":"gpt-5-chat-latest","object":"chat.completion","service_tier":"default","system_fingerprint":"fp_ad66631dec","usage":{"completion_tokens":86,"completion_tokens_details":{"accepted_prediction_tokens":0,"audio_tokens":0,"reasoning_tokens":0,"rejected_prediction_tokens":0},"prompt_tokens":782,"prompt_tokens_details":{"audio_tokens":0,"cached_tokens":0},"total_tokens":868}}</t>
        </is>
      </c>
      <c r="P39" t="inlineStr">
        <is>
          <t>Nike,T-Shirts,kakobuy,kakebuy2026,kekobuysheet,kakobuysheet2026,2026kakobuy,kakobuyspreadsheeet,kakobuylink,kakebuylist,Kakobuy MEGA Spreadsheet,kakobuysheetfind,kakobuysheetfind2026,2026kakobuysheetfind,kakobuysheet2026</t>
        </is>
      </c>
      <c r="Q39" t="inlineStr">
        <is>
          <t>Nike, Black, Geometric, Reflective, Unisex, Street</t>
        </is>
      </c>
      <c r="R39" t="inlineStr">
        <is>
          <t>recvh6xFVjlezy</t>
        </is>
      </c>
      <c r="S39" t="inlineStr">
        <is>
          <t>nike-black-geometric-reflective-logo-cotton-tshirt-recvh6xfvjlezy</t>
        </is>
      </c>
      <c r="T39"/>
      <c r="U39"/>
      <c r="V39"/>
      <c r="W39" t="inlineStr">
        <is>
          <t>{"choices":[{"finish_reason":"stop","index":0,"logprobs":null,"message":{"annotations":[],"content":"Nike：黑色拼几何反光Logo短袖T恤，柔软纯棉材质，透气舒适，简约圆领设计，街头潮流风男女通用款，展现现代运动时尚态度。","refusal":null,"role":"assistant"}}],"created":1776654992,"id":"chatcmpl-DWZPcKVJKQRNG8jBKXS5ovyRHYb6s","model":"gpt-5-chat-latest","object":"chat.completion","service_tier":"default","system_fingerprint":"fp_ad66631dec","usage":{"completion_tokens":55,"completion_tokens_details":{"accepted_prediction_tokens":0,"audio_tokens":0,"reasoning_tokens":0,"rejected_prediction_tokens":0},"prompt_tokens":1301,"prompt_tokens_details":{"audio_tokens":0,"cached_tokens":0},"total_tokens":1356}}</t>
        </is>
      </c>
      <c r="X39" t="inlineStr">
        <is>
          <t>Nike：黑色拼几何反光Logo短袖T恤，柔软纯棉材质，透气舒适，简约圆领设计，街头潮流风男女通用款，展现现代运动时尚态度。</t>
        </is>
      </c>
    </row>
    <row r="40" ht="25.5" customHeight="1">
      <c r="A40">
        <v>1839115443</v>
      </c>
      <c r="B40">
        <v>7600939338</v>
      </c>
      <c r="C40" t="inlineStr">
        <is>
          <t>https://weidian.com/item.html?itemID=7600939338</t>
        </is>
      </c>
      <c r="D40"/>
      <c r="E40" s="2" t="str">
        <f>=HYPERLINK("https://si.geilicdn.com/open1832946205-252808396-477300000197e83bbe270aa0c791_1080_1080.jpg?w=640&amp;h=640", "https://si.geilicdn.com/open1832946205-252808396-477300000197e83bbe270aa0c791_1080_1080.jpg?w=640&amp;h=640")</f>
        <v>https://si.geilicdn.com/open1832946205-252808396-477300000197e83bbe270aa0c791_1080_1080.jpg?w=640&amp;h=640</v>
      </c>
      <c r="F40" t="inlineStr">
        <is>
          <t>T-Shirts</t>
        </is>
      </c>
      <c r="G40" t="inlineStr">
        <is>
          <t>Stussy</t>
        </is>
      </c>
      <c r="H40" t="inlineStr">
        <is>
          <t>86.00</t>
        </is>
      </c>
      <c r="I40">
        <v>12.46</v>
      </c>
      <c r="J40" t="inlineStr">
        <is>
          <t>{"choices":[{"finish_reason":"stop","index":0,"logprobs":null,"message":{"annotations":[],"content":"Stussy White Spider 8-Ball Skate Street T-Shirt","refusal":null,"role":"assistant"}}],"created":1776665768,"id":"chatcmpl-DWcDQmXHy8Ay85hyk9GXbBnuDyJf9","model":"gpt-5-chat-latest","object":"chat.completion","service_tier":"default","system_fingerprint":"fp_ad66631dec","usage":{"completion_tokens":13,"completion_tokens_details":{"accepted_prediction_tokens":0,"audio_tokens":0,"reasoning_tokens":0,"rejected_prediction_tokens":0},"prompt_tokens":874,"prompt_tokens_details":{"audio_tokens":0,"cached_tokens":0},"total_tokens":887}}</t>
        </is>
      </c>
      <c r="K40" t="inlineStr">
        <is>
          <t>Stussy White Spider 8-Ball Skate Street T-Shirt</t>
        </is>
      </c>
      <c r="L40" t="inlineStr">
        <is>
          <t>{"choices":[{"finish_reason":"stop","index":0,"logprobs":null,"message":{"annotations":[],"content":"Stussy White Cotton Street T-Shirt featuring iconic black spider and 8-ball graphic with hand-drawn logo, soft breathable fabric, unisex design, classic American skate style.","refusal":null,"role":"assistant"}}],"created":1776659563,"id":"chatcmpl-DWabL92tzavOS1PHExq0ecY8Agjyy","model":"gpt-5-chat-latest","object":"chat.completion","service_tier":"default","system_fingerprint":"fp_ad66631dec","usage":{"completion_tokens":36,"completion_tokens_details":{"accepted_prediction_tokens":0,"audio_tokens":0,"reasoning_tokens":0,"rejected_prediction_tokens":0},"prompt_tokens":899,"prompt_tokens_details":{"audio_tokens":0,"cached_tokens":0},"total_tokens":935}}</t>
        </is>
      </c>
      <c r="M40" t="inlineStr">
        <is>
          <t>{"alt-svc":"h3=\":443\"; ma=2592000","apim-request-id":"1edf6b3c-0f66-4db3-aee8-4c47e9c1aa20","azureml-model-session":"d20260405234249-f9874baf","cache-control":"no-cache","connection":"close","content-length":"762","content-security-policy":"frame-ancestors 'self'","content-type":"application/json","date":"Mon, 20 Apr 2026 04:32:44 GMT","server":"nginx","skip-error-remapping":"true","strict-transport-security":"max-age=31536000; includeSubDomains; preload","via":"1.1 Caddy, 1.1 Caddy","x-api-request-id":"20260420123242992163863e8QEdeU9","x-content-type-options":"nosniff","x-frame-options":"SAMEORIGIN","x-ms-client-request-id":"Not-Set","x-ms-is-spilled-over":"false","x-ms-rai-invoked":"true","x-ms-region":"East US 2","x-new-api-version":"0.4.39","x-oneapi-request-id":"202604200432429246967158268d9d6E6Zc4cWm","x-ratelimit-abusepenalty-active":"False","x-ratelimit-limit-requests":"3850","x-ratelimit-limit-tokens":"3850000","x-ratelimit-remaining-requests":"3849","x-ratelimit-remaining-tokens":"3848339","x-ratelimit-renewalperiod-requests":"60","x-ratelimit-renewalperiod-tokens":"60","x-ratelimit-reset-requests":"15","x-ratelimit-reset-tokens":"25","x-request-id":"abc20484-41d6-48a1-9d83-a89d0fd8bd21"}</t>
        </is>
      </c>
      <c r="N40" t="inlineStr">
        <is>
          <t>Stussy White Cotton Street T-Shirt featuring iconic black spider and 8-ball graphic with hand-drawn logo, soft breathable fabric, unisex design, classic American skate style.</t>
        </is>
      </c>
      <c r="O40" t="inlineStr">
        <is>
          <t>{"choices":[{"finish_reason":"stop","index":0,"logprobs":null,"message":{"annotations":[],"content":"Stussy, T-Shirts, kakobuy, kakebuy2026, kekobuysheet, kakobuysheet2026, 2026kakobuy, kakobuyspreadsheeet, kakobuylink, kakebuylist, Kakobuy MEGA Spreadsheet, kakobuysheetfind, kakobuysheetfind2026, 2026kakobuysheetfind, kakobuysheet2026","refusal":null,"role":"assistant"}}],"created":1776667790,"id":"chatcmpl-DWck2YWJFyxDmLaER2CZmSKrqW8CD","model":"gpt-5-chat-latest","object":"chat.completion","service_tier":"default","system_fingerprint":"fp_ad66631dec","usage":{"completion_tokens":92,"completion_tokens_details":{"accepted_prediction_tokens":0,"audio_tokens":0,"reasoning_tokens":0,"rejected_prediction_tokens":0},"prompt_tokens":783,"prompt_tokens_details":{"audio_tokens":0,"cached_tokens":0},"total_tokens":875}}</t>
        </is>
      </c>
      <c r="P40" t="inlineStr">
        <is>
          <t>Stussy, T-Shirts, kakobuy, kakebuy2026, kekobuysheet, kakobuysheet2026, 2026kakobuy, kakobuyspreadsheeet, kakobuylink, kakebuylist, Kakobuy MEGA Spreadsheet, kakobuysheetfind, kakobuysheetfind2026, 2026kakobuysheetfind, kakobuysheet2026</t>
        </is>
      </c>
      <c r="Q40" t="inlineStr">
        <is>
          <t>Stussy, White, Street, Unisex, Skater</t>
        </is>
      </c>
      <c r="R40" t="inlineStr">
        <is>
          <t>recvh6xFVjiYIN</t>
        </is>
      </c>
      <c r="S40" t="inlineStr">
        <is>
          <t>stussy-white-spider-8-ball-skate-street-recvh6xfvjiyin</t>
        </is>
      </c>
      <c r="T40"/>
      <c r="U40"/>
      <c r="V40"/>
      <c r="W40" t="inlineStr">
        <is>
          <t>{"choices":[{"finish_reason":"stop","index":0,"logprobs":null,"message":{"annotations":[],"content":"Stussy：白色街头系列纯棉短袖T恤，背部印有标志性黑色蜘蛛与8号球图腾，搭配手写Logo设计，质地柔软透气，男女皆宜，展现经典美式街头滑板风格。","refusal":null,"role":"assistant"}}],"created":1776655559,"id":"chatcmpl-DWZYlrX5x8CRtzlDBDc1LrCNq3LdS","model":"gpt-5-chat-latest","object":"chat.completion","service_tier":"default","system_fingerprint":"fp_ad66631dec","usage":{"completion_tokens":65,"completion_tokens_details":{"accepted_prediction_tokens":0,"audio_tokens":0,"reasoning_tokens":0,"rejected_prediction_tokens":0},"prompt_tokens":1312,"prompt_tokens_details":{"audio_tokens":0,"cached_tokens":0},"total_tokens":1377}}</t>
        </is>
      </c>
      <c r="X40" t="inlineStr">
        <is>
          <t>Stussy：白色街头系列纯棉短袖T恤，背部印有标志性黑色蜘蛛与8号球图腾，搭配手写Logo设计，质地柔软透气，男女皆宜，展现经典美式街头滑板风格。</t>
        </is>
      </c>
    </row>
    <row r="41" ht="25.5" customHeight="1">
      <c r="A41">
        <v>1839115443</v>
      </c>
      <c r="B41">
        <v>7599093019</v>
      </c>
      <c r="C41" t="inlineStr">
        <is>
          <t>https://weidian.com/item.html?itemID=7599093019</t>
        </is>
      </c>
      <c r="D41"/>
      <c r="E41" s="2" t="str">
        <f>=HYPERLINK("https://si.geilicdn.com/open1832946205-252808396-4a5500000196d1da1f7f0a23b4de_1080_1343.jpg?w=640&amp;h=640", "https://si.geilicdn.com/open1832946205-252808396-4a5500000196d1da1f7f0a23b4de_1080_1343.jpg?w=640&amp;h=640")</f>
        <v>https://si.geilicdn.com/open1832946205-252808396-4a5500000196d1da1f7f0a23b4de_1080_1343.jpg?w=640&amp;h=640</v>
      </c>
      <c r="F41" t="inlineStr">
        <is>
          <t>Hoodies</t>
        </is>
      </c>
      <c r="G41" t="inlineStr">
        <is>
          <t>Nike</t>
        </is>
      </c>
      <c r="H41" t="inlineStr">
        <is>
          <t>309.00</t>
        </is>
      </c>
      <c r="I41">
        <v>44.78</v>
      </c>
      <c r="J41" t="inlineStr">
        <is>
          <t>{"id":"chatcmpl-DWcEQ4fniBMfIr4VRmBnuyJPedM83","object":"chat.completion","created":1776665830,"model":"gpt-5-chat-latest","choices":[{"index":0,"message":{"role":"assistant","content":"Nike Classic Fleece Gray Hoodie Unisex Pullover","refusal":null,"annotations":[]},"logprobs":null,"finish_reason":"stop"}],"usage":{"prompt_tokens":888,"completion_tokens":11,"total_tokens":899,"prompt_tokens_details":{"cached_tokens":0,"audio_tokens":0},"completion_tokens_details":{"reasoning_tokens":0,"audio_tokens":0,"accepted_prediction_tokens":0,"rejected_prediction_tokens":0}},"service_tier":"default","system_fingerprint":"fp_ad66631dec"}</t>
        </is>
      </c>
      <c r="K41" t="inlineStr">
        <is>
          <t>Nike Classic Fleece Gray Hoodie Unisex Pullover</t>
        </is>
      </c>
      <c r="L41" t="inlineStr">
        <is>
          <t>{"id":"chatcmpl-DWabQW8E2dI5TJ8taHaGQ0KMgCqPA","object":"chat.completion","created":1776659568,"model":"gpt-5-chat-latest","choices":[{"index":0,"message":{"role":"assistant","content":"Nike Classic Fleece Hoodie in gray, soft cotton blend with embroidered Swoosh logo. Relaxed fit, adjustable drawstring hood, and kangaroo pocket for comfort and daily sporty street style. Unisex.","refusal":null,"annotations":[]},"logprobs":null,"finish_reason":"stop"}],"usage":{"prompt_tokens":939,"completion_tokens":43,"total_tokens":982,"prompt_tokens_details":{"cached_tokens":0,"audio_tokens":0},"completion_tokens_details":{"reasoning_tokens":0,"audio_tokens":0,"accepted_prediction_tokens":0,"rejected_prediction_tokens":0}},"service_tier":"default","system_fingerprint":"fp_ad66631dec"}</t>
        </is>
      </c>
      <c r="M41"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ma=2592000","apim-request-id":"12d51214-8512-45f8-a85e-5f7497e50be7","azureml-model-session":"d20260402075109-1fc5a0ec","cache-control":"no-cache, no-store, must-revalidate","connection":"close","content-length":"999","content-security-policy":"frame-ancestors 'self'","content-type":"application/json","date":"Mon, 20 Apr 2026 04:32:49 GMT","server":"nginx","skip-error-remapping":"true","strict-transport-security":"max-age=31536000; includeSubDomains; preload","via":"1.1 Caddy, 1.1 Caddy","x-api-request-id":"2026042012324721594337iCm5hnrj","x-content-type-options":"nosniff","x-frame-options":"SAMEORIGIN","x-ms-is-spilled-over":"false","x-ms-rai-invoked":"false","x-ms-region":"East US 2","x-new-api-version":"0.4.39","x-oneapi-request-id":"202604200432469555011878268d9d6wI5pXZrJ","x-ratelimit-abusepenalty-active":"False","x-ratelimit-limit-requests":"4994","x-ratelimit-limit-tokens":"4994000","x-ratelimit-remaining-requests":"4993","x-ratelimit-remaining-tokens":"4992299","x-ratelimit-renewalperiod-requests":"60","x-ratelimit-renewalperiod-tokens":"60","x-ratelimit-reset-requests":"12","x-ratelimit-reset-tokens":"20","x-request-id":"18956938-31a3-4fb5-a4cb-e01d4955c5f6"}</t>
        </is>
      </c>
      <c r="N41" t="inlineStr">
        <is>
          <t>Nike Classic Fleece Hoodie in gray, soft cotton blend with embroidered Swoosh logo. Relaxed fit, adjustable drawstring hood, and kangaroo pocket for comfort and daily sporty street style. Unisex.</t>
        </is>
      </c>
      <c r="O41" t="inlineStr">
        <is>
          <t>{"id":"chatcmpl-DWcdOcXGcLCufqPaPrVC3TbQOmcMn","object":"chat.completion","created":1776667378,"model":"gpt-5-chat-latest","choices":[{"index":0,"message":{"role":"assistant","content":"Nike,Hoodi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ad66631dec"}</t>
        </is>
      </c>
      <c r="P41" t="inlineStr">
        <is>
          <t>Nike,Hoodies,kakobuy,kakebuy2026,kekobuysheet,kakobuysheet2026,2026kakobuy,kakobuyspreadsheeet,kakobuylink,kakebuylist,Kakobuy MEGA Spreadsheet,kakobuysheetfind,kakobuysheetfind2026,2026kakobuysheetfind,kakobuysheet2026</t>
        </is>
      </c>
      <c r="Q41" t="inlineStr">
        <is>
          <t>Nike, Gray, Sporty, Streetwear, Unisex</t>
        </is>
      </c>
      <c r="R41" t="inlineStr">
        <is>
          <t>recvh6xFVjEMfu</t>
        </is>
      </c>
      <c r="S41" t="inlineStr">
        <is>
          <t>nike-classic-fleece-gray-hoodie-recvh6xfvjemfu</t>
        </is>
      </c>
      <c r="T41"/>
      <c r="U41"/>
      <c r="V41"/>
      <c r="W41" t="inlineStr">
        <is>
          <t>{"choices":[{"finish_reason":"stop","index":0,"logprobs":null,"message":{"annotations":[],"content":"Nike：经典灰色连帽卫衣，柔软棉质混纺面料，胸前刺绣Swoosh标识简约醒目。宽松版型搭配可调节抽绳设计，前袋鼠兜实用便捷，舒适保暖兼具运动街头风格。男女皆宜，适合日常休闲与运动穿搭，展现品牌的极简都市美学。","refusal":null,"role":"assistant"}}],"created":1776655977,"id":"chatcmpl-DWZfVuhgG8KNjAk8wYHIDhjeg9GIc","model":"gpt-5-chat-latest","object":"chat.completion","service_tier":"default","system_fingerprint":"fp_ad66631dec","usage":{"completion_tokens":98,"completion_tokens_details":{"accepted_prediction_tokens":0,"audio_tokens":0,"reasoning_tokens":0,"rejected_prediction_tokens":0},"prompt_tokens":1324,"prompt_tokens_details":{"audio_tokens":0,"cached_tokens":0},"total_tokens":1422}}</t>
        </is>
      </c>
      <c r="X41" t="inlineStr">
        <is>
          <t>Nike：经典灰色连帽卫衣，柔软棉质混纺面料，胸前刺绣Swoosh标识简约醒目。宽松版型搭配可调节抽绳设计，前袋鼠兜实用便捷，舒适保暖兼具运动街头风格。男女皆宜，适合日常休闲与运动穿搭，展现品牌的极简都市美学。</t>
        </is>
      </c>
    </row>
    <row r="42" ht="25.5" customHeight="1">
      <c r="A42">
        <v>1839115443</v>
      </c>
      <c r="B42">
        <v>7601051770</v>
      </c>
      <c r="C42" t="inlineStr">
        <is>
          <t>https://weidian.com/item.html?itemID=7601051770</t>
        </is>
      </c>
      <c r="D42"/>
      <c r="E42" s="2" t="str">
        <f>=HYPERLINK("https://si.geilicdn.com/open1832946205-252808396-022800000197e97716440a8133b0_1280_1280.jpg?w=750&amp;h=750&amp;cp=1", "https://si.geilicdn.com/open1832946205-252808396-022800000197e97716440a8133b0_1280_1280.jpg?w=750&amp;h=750&amp;cp=1")</f>
        <v>https://si.geilicdn.com/open1832946205-252808396-022800000197e97716440a8133b0_1280_1280.jpg?w=750&amp;h=750&amp;cp=1</v>
      </c>
      <c r="F42" t="inlineStr">
        <is>
          <t>T-Shirts</t>
        </is>
      </c>
      <c r="G42" t="inlineStr">
        <is>
          <t>Maison Margiela</t>
        </is>
      </c>
      <c r="H42" t="inlineStr">
        <is>
          <t>243.00</t>
        </is>
      </c>
      <c r="I42">
        <v>35.2173913043478</v>
      </c>
      <c r="J42" t="inlineStr">
        <is>
          <t>{"id":"chatcmpl-DWcFqQNUqFDALjNdmzKqjlFbimkJh","object":"chat.completion","created":1776665918,"model":"gpt-5-chat-latest","choices":[{"index":0,"message":{"role":"assistant","content":"Maison Margiela Black Paint Splatter Cotton Sweatshirt","refusal":null,"annotations":[]},"logprobs":null,"finish_reason":"stop"}],"usage":{"prompt_tokens":877,"completion_tokens":11,"total_tokens":888,"prompt_tokens_details":{"cached_tokens":0,"audio_tokens":0},"completion_tokens_details":{"reasoning_tokens":0,"audio_tokens":0,"accepted_prediction_tokens":0,"rejected_prediction_tokens":0}},"service_tier":"default","system_fingerprint":"fp_ad66631dec"}</t>
        </is>
      </c>
      <c r="K42" t="inlineStr">
        <is>
          <t>Maison Margiela Black Paint Splatter Cotton Sweatshirt</t>
        </is>
      </c>
      <c r="L42" t="inlineStr">
        <is>
          <t>{"id":"chatcmpl-DWaXGoPwcTeK5lGvuGY9lTdsP4WCv","object":"chat.completion","created":1776659310,"model":"gpt-5-chat-latest","choices":[{"index":0,"message":{"role":"assistant","content":"Maison Margiela black splatter print sweatshirt, crafted from pure cotton for soft breathable comfort. Features reverse logo and abstract paint design, relaxed unisex fit, urban art-inspired style.","refusal":null,"annotations":[]},"logprobs":null,"finish_reason":"stop"}],"usage":{"prompt_tokens":950,"completion_tokens":37,"total_tokens":987,"prompt_tokens_details":{"cached_tokens":0,"audio_tokens":0},"completion_tokens_details":{"reasoning_tokens":0,"audio_tokens":0,"accepted_prediction_tokens":0,"rejected_prediction_tokens":0}},"service_tier":"default","system_fingerprint":"fp_ad66631dec"}</t>
        </is>
      </c>
      <c r="M42"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ma=2592000","apim-request-id":"400429a2-8b7a-4ec4-b2b3-27033e3f02d8","azureml-model-session":"d20260405234249-f9874baf","cache-control":"no-cache, no-store, must-revalidate","connection":"close","content-length":"1001","content-security-policy":"frame-ancestors 'self'","content-type":"application/json","date":"Mon, 20 Apr 2026 04:28:32 GMT","server":"Caddy","skip-error-remapping":"true","strict-transport-security":"max-age=31536000; includeSubDomains; preload","via":"1.1 Caddy","x-api-request-id":"20260420122829755452902u7cc3HO4","x-content-type-options":"nosniff","x-frame-options":"SAMEORIGIN","x-ms-is-spilled-over":"false","x-ms-rai-invoked":"false","x-ms-region":"East US 2","x-new-api-version":"0.4.39","x-oneapi-request-id":"202604200428296882841888268d9d6NZ4nxbYs","x-ratelimit-abusepenalty-active":"False","x-ratelimit-limit-requests":"4994","x-ratelimit-limit-tokens":"4994000","x-ratelimit-remaining-requests":"4993","x-ratelimit-remaining-tokens":"4992288","x-ratelimit-renewalperiod-requests":"60","x-ratelimit-renewalperiod-tokens":"60","x-ratelimit-reset-requests":"12","x-ratelimit-reset-tokens":"20","x-request-id":"1ab7aa64-ad65-4e41-b7b5-48a4a15d92f6"}</t>
        </is>
      </c>
      <c r="N42" t="inlineStr">
        <is>
          <t>Maison Margiela black splatter print sweatshirt, crafted from pure cotton for soft breathable comfort. Features reverse logo and abstract paint design, relaxed unisex fit, urban art-inspired style.</t>
        </is>
      </c>
      <c r="O42" t="inlineStr">
        <is>
          <t>{"choices":[{"finish_reason":"stop","index":0,"logprobs":null,"message":{"annotations":[],"content":"Maison Margiela, T-Shirts, kakobuy, kakebuy2026, kekobuysheet, kakobuysheet2026, 2026kakobuy, kakobuyspreadsheeet, kakobuylink, kakebuylist, Kakobuy MEGA Spreadsheet, kakobuysheetfind, kakobuysheetfind2026, 2026kakobuysheetfind, kakobuysheet2026","refusal":null,"role":"assistant"}}],"created":1776668013,"id":"chatcmpl-DWcndv66t027FLk8lRiKeef1BJMIv","model":"gpt-5-chat-latest","object":"chat.completion","service_tier":"default","system_fingerprint":"fp_ad66631dec","usage":{"completion_tokens":93,"completion_tokens_details":{"accepted_prediction_tokens":0,"audio_tokens":0,"reasoning_tokens":0,"rejected_prediction_tokens":0},"prompt_tokens":784,"prompt_tokens_details":{"audio_tokens":0,"cached_tokens":0},"total_tokens":877}}</t>
        </is>
      </c>
      <c r="P42" t="inlineStr">
        <is>
          <t>Maison Margiela, T-Shirts, kakobuy, kakebuy2026, kekobuysheet, kakobuysheet2026, 2026kakobuy, kakobuyspreadsheeet, kakobuylink, kakebuylist, Kakobuy MEGA Spreadsheet, kakobuysheetfind, kakobuysheetfind2026, 2026kakobuysheetfind, kakobuysheet2026</t>
        </is>
      </c>
      <c r="Q42" t="inlineStr">
        <is>
          <t>Black, Unisex, Abstract, Streetwear, Breathable</t>
        </is>
      </c>
      <c r="R42" t="inlineStr">
        <is>
          <t>recvh6xFVjqeMy</t>
        </is>
      </c>
      <c r="S42" t="inlineStr">
        <is>
          <t>maison-margiela-black-paint-splatter-cotton-sweatshirt-recvh6xFVjqeMy</t>
        </is>
      </c>
      <c r="T42"/>
      <c r="U42"/>
      <c r="V42"/>
      <c r="W42" t="inlineStr">
        <is>
          <t>{"choices":[{"finish_reason":"stop","index":0,"logprobs":null,"message":{"annotations":[],"content":"Maison Margiela：黑色泼墨印花卫衣，甄选纯棉面料打造，柔软舒适兼具透气性。前胸反向Logo设计搭配抽象绘画风格泼墨图案，展现品牌标志性解构美学。经典圆领长袖剪裁，宽松中性版型，适合男女穿搭。前卫艺术气息与街头潮流完美融合，彰显现代都市个性风格。","refusal":null,"role":"assistant"}}],"created":1776656249,"id":"chatcmpl-DWZjt96WTtepNYf5NvKFAJdm8cm71","model":"gpt-5-chat-latest","object":"chat.completion","service_tier":"default","system_fingerprint":"fp_ad66631dec","usage":{"completion_tokens":110,"completion_tokens_details":{"accepted_prediction_tokens":0,"audio_tokens":0,"reasoning_tokens":0,"rejected_prediction_tokens":0},"prompt_tokens":1325,"prompt_tokens_details":{"audio_tokens":0,"cached_tokens":0},"total_tokens":1435}}</t>
        </is>
      </c>
      <c r="X42" t="inlineStr">
        <is>
          <t>Maison Margiela：黑色泼墨印花卫衣，甄选纯棉面料打造，柔软舒适兼具透气性。前胸反向Logo设计搭配抽象绘画风格泼墨图案，展现品牌标志性解构美学。经典圆领长袖剪裁，宽松中性版型，适合男女穿搭。前卫艺术气息与街头潮流完美融合，彰显现代都市个性风格。</t>
        </is>
      </c>
    </row>
    <row r="43" ht="25.5" customHeight="1">
      <c r="A43">
        <v>1839115443</v>
      </c>
      <c r="B43">
        <v>7599086269</v>
      </c>
      <c r="C43" t="inlineStr">
        <is>
          <t>https://weidian.com/item.html?itemID=7599086269</t>
        </is>
      </c>
      <c r="D43"/>
      <c r="E43" s="2" t="str">
        <f>=HYPERLINK("https://si.geilicdn.com/open1832946205-252808396-15c300000197e9b54dee0aa043f9_800_800.jpg?w=640&amp;h=640", "https://si.geilicdn.com/open1832946205-252808396-15c300000197e9b54dee0aa043f9_800_800.jpg?w=640&amp;h=640")</f>
        <v>https://si.geilicdn.com/open1832946205-252808396-15c300000197e9b54dee0aa043f9_800_800.jpg?w=640&amp;h=640</v>
      </c>
      <c r="F43" t="inlineStr">
        <is>
          <t>Hoodies</t>
        </is>
      </c>
      <c r="G43" t="inlineStr">
        <is>
          <t>Essentials</t>
        </is>
      </c>
      <c r="H43" t="inlineStr">
        <is>
          <t>151.00</t>
        </is>
      </c>
      <c r="I43">
        <v>21.88</v>
      </c>
      <c r="J43" t="inlineStr">
        <is>
          <t>{"choices":[{"finish_reason":"stop","index":0,"logprobs":null,"message":{"annotations":[],"content":"Essentials Hoodie Light Khaki Unisex Streetwear Pullover","refusal":null,"role":"assistant"}}],"created":1776665660,"id":"chatcmpl-DWcBgSMLoWRunYvMkNIAOypJe7KQW","model":"gpt-5-chat-latest","object":"chat.completion","service_tier":"default","system_fingerprint":"fp_ad66631dec","usage":{"completion_tokens":13,"completion_tokens_details":{"accepted_prediction_tokens":0,"audio_tokens":0,"reasoning_tokens":0,"rejected_prediction_tokens":0},"prompt_tokens":873,"prompt_tokens_details":{"audio_tokens":0,"cached_tokens":0},"total_tokens":886}}</t>
        </is>
      </c>
      <c r="K43" t="inlineStr">
        <is>
          <t>Essentials Hoodie Light Khaki Unisex Streetwear Pullover</t>
        </is>
      </c>
      <c r="L43" t="inlineStr">
        <is>
          <t>{"choices":[{"finish_reason":"stop","index":0,"logprobs":null,"message":{"annotations":[],"content":"Essentials Hoodie: Soft thick cotton in light khaki, bold brand logo on chest, loose unisex street style, cozy and warm, perfect for modern casual fashion.","refusal":null,"role":"assistant"}}],"created":1776658654,"id":"chatcmpl-DWaMg4t7tp5QWwoUzNZ8nMPvQJcCT","model":"gpt-5-chat-latest","object":"chat.completion","service_tier":"default","system_fingerprint":"fp_ad66631dec","usage":{"completion_tokens":35,"completion_tokens_details":{"accepted_prediction_tokens":0,"audio_tokens":0,"reasoning_tokens":0,"rejected_prediction_tokens":0},"prompt_tokens":896,"prompt_tokens_details":{"audio_tokens":0,"cached_tokens":0},"total_tokens":931}}</t>
        </is>
      </c>
      <c r="M43" t="inlineStr">
        <is>
          <t>{"alt-svc":"h3=\":443\"; ma=2592000","apim-request-id":"548c7013-8b67-4b4c-a620-463708a8fd9f","azureml-model-session":"d20260405234249-f9874baf","cache-control":"no-cache","connection":"close","content-length":"743","content-security-policy":"frame-ancestors 'self'","content-type":"application/json","date":"Mon, 20 Apr 2026 04:17:35 GMT","server":"Caddy","skip-error-remapping":"true","strict-transport-security":"max-age=31536000; includeSubDomains; preload","via":"1.1 Caddy","x-api-request-id":"20260420121733447512378WyQNUqfi","x-content-type-options":"nosniff","x-frame-options":"SAMEORIGIN","x-ms-client-request-id":"Not-Set","x-ms-is-spilled-over":"false","x-ms-rai-invoked":"true","x-ms-region":"East US 2","x-new-api-version":"0.4.39","x-oneapi-request-id":"202604200417333807570128268d9d6qTLxWu8O","x-ratelimit-abusepenalty-active":"False","x-ratelimit-limit-requests":"3850","x-ratelimit-limit-tokens":"3850000","x-ratelimit-remaining-requests":"3849","x-ratelimit-remaining-tokens":"3848342","x-ratelimit-renewalperiod-requests":"60","x-ratelimit-renewalperiod-tokens":"60","x-ratelimit-reset-requests":"15","x-ratelimit-reset-tokens":"25","x-request-id":"b1e64a18-111b-4173-aa02-6ebb60f80bc9"}</t>
        </is>
      </c>
      <c r="N43" t="inlineStr">
        <is>
          <t>Essentials Hoodie: Soft thick cotton in light khaki, bold brand logo on chest, loose unisex street style, cozy and warm, perfect for modern casual fashion.</t>
        </is>
      </c>
      <c r="O43" t="inlineStr">
        <is>
          <t>{"choices":[{"finish_reason":"stop","index":0,"logprobs":null,"message":{"annotations":[],"content":"Essentials,Hoodies,kakobuy,kakebuy2026,kekobuysheet,kakobuysheet2026,2026kakobuy,kakobuyspreadsheeet,kakobuylink,kakebuylist,Kakobuy MEGA Spreadsheet,kakobuysheetfind,kakobuysheetfind2026,2026kakobuysheetfind,kakobuysheet2026","refusal":null,"role":"assistant"}}],"created":1776667137,"id":"chatcmpl-DWcZVH5lfWazRsWuzVlKI5Ujq29LS","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is>
      </c>
      <c r="P43" t="inlineStr">
        <is>
          <t>Essentials,Hoodies,kakobuy,kakebuy2026,kekobuysheet,kakobuysheet2026,2026kakobuy,kakobuyspreadsheeet,kakobuylink,kakebuylist,Kakobuy MEGA Spreadsheet,kakobuysheetfind,kakobuysheetfind2026,2026kakobuysheetfind,kakobuysheet2026</t>
        </is>
      </c>
      <c r="Q43" t="inlineStr">
        <is>
          <t>Unisex, Street, Autumn And Winter</t>
        </is>
      </c>
      <c r="R43" t="inlineStr">
        <is>
          <t>recvh6xFVj0TqN</t>
        </is>
      </c>
      <c r="S43" t="inlineStr">
        <is>
          <t>essentials-light-khaki-hoodie-recvh6xFVj0TqN</t>
        </is>
      </c>
      <c r="T43"/>
      <c r="U43"/>
      <c r="V43"/>
      <c r="W43" t="inlineStr">
        <is>
          <t>{"id":"chatcmpl-DWZMKwMPrRS4cLbA9okzPa7qfcXHl","object":"chat.completion","created":1776654788,"model":"gpt-5-chat-2025-10-03","choices":[{"index":0,"message":{"role":"assistant","content":"Essentials：浅卡其色连帽卫衣，选用柔软厚实棉质面料，胸前醒目品牌字样设计，宽松街头风格，男女通穿，舒适保暖，展现现代休闲潮流气质。","refusal":null,"annotations":[]},"logprobs":null,"finish_reason":"stop"}],"usage":{"prompt_tokens":1315,"completion_tokens":60,"total_tokens":1375,"prompt_tokens_details":{"cached_tokens":1280,"audio_tokens":0},"completion_tokens_details":{"reasoning_tokens":0,"audio_tokens":0,"accepted_prediction_tokens":0,"rejected_prediction_tokens":0}},"service_tier":"default","system_fingerprint":"fp_ad66631dec"}</t>
        </is>
      </c>
      <c r="X43" t="inlineStr">
        <is>
          <t>Essentials：浅卡其色连帽卫衣，选用柔软厚实棉质面料，胸前醒目品牌字样设计，宽松街头风格，男女通穿，舒适保暖，展现现代休闲潮流气质。</t>
        </is>
      </c>
    </row>
    <row r="44" ht="25.5" customHeight="1">
      <c r="A44">
        <v>1839115443</v>
      </c>
      <c r="B44">
        <v>7599173603</v>
      </c>
      <c r="C44" t="inlineStr">
        <is>
          <t>https://weidian.com/item.html?itemID=7599173603</t>
        </is>
      </c>
      <c r="D44"/>
      <c r="E44" s="2" t="str">
        <f>=HYPERLINK("https://si.geilicdn.com/open1832946205-252808396-405400000197f40b1e2f0aa043f9_1440_1080.jpg?w=640&amp;h=640", "https://si.geilicdn.com/open1832946205-252808396-405400000197f40b1e2f0aa043f9_1440_1080.jpg?w=640&amp;h=640")</f>
        <v>https://si.geilicdn.com/open1832946205-252808396-405400000197f40b1e2f0aa043f9_1440_1080.jpg?w=640&amp;h=640</v>
      </c>
      <c r="F44" t="inlineStr">
        <is>
          <t>Pants</t>
        </is>
      </c>
      <c r="G44" t="inlineStr">
        <is>
          <t>Essentials</t>
        </is>
      </c>
      <c r="H44" t="inlineStr">
        <is>
          <t>72.00</t>
        </is>
      </c>
      <c r="I44">
        <v>10.43</v>
      </c>
      <c r="J44" t="inlineStr">
        <is>
          <t>{"id":"chatcmpl-DWcStbwcElmJCDtlBM7U8Tdawj5fE","object":"chat.completion","created":1776666727,"model":"gpt-5-chat-latest","choices":[{"index":0,"message":{"role":"assistant","content":"Essentials Gray Cotton Athletic Shorts Unisex","refusal":null,"annotations":[]},"logprobs":null,"finish_reason":"stop"}],"usage":{"prompt_tokens":602,"completion_tokens":9,"total_tokens":611,"prompt_tokens_details":{"cached_tokens":0,"audio_tokens":0},"completion_tokens_details":{"reasoning_tokens":0,"audio_tokens":0,"accepted_prediction_tokens":0,"rejected_prediction_tokens":0}},"service_tier":"default","system_fingerprint":"fp_ad66631dec"}</t>
        </is>
      </c>
      <c r="K44" t="inlineStr">
        <is>
          <t>Essentials Gray Cotton Athletic Shorts Unisex</t>
        </is>
      </c>
      <c r="L44" t="inlineStr">
        <is>
          <t>{"id":"chatcmpl-DWaRGf3ashdMjOs6VZZKjkaebXAxc","object":"chat.completion","created":1776658938,"model":"gpt-5-chat-latest","choices":[{"index":0,"message":{"role":"assistant","content":"Essentials Pants: Gray casual athletic shorts made from soft cotton-poly blend, breathable and durable. Loose fit with drawstring waist, white ESSENTIALS logo, unisex street and sport style.","refusal":null,"annotations":[]},"logprobs":null,"finish_reason":"stop"}],"usage":{"prompt_tokens":653,"completion_tokens":40,"total_tokens":693,"prompt_tokens_details":{"cached_tokens":0,"audio_tokens":0},"completion_tokens_details":{"reasoning_tokens":0,"audio_tokens":0,"accepted_prediction_tokens":0,"rejected_prediction_tokens":0}},"service_tier":"default","system_fingerprint":"fp_ad66631dec"}</t>
        </is>
      </c>
      <c r="M44"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ma=2592000","apim-request-id":"eb5f20be-483a-41c3-829e-6ae7ae376d3c","azureml-model-session":"d20260402083108-57a85543","cache-control":"no-cache, no-store, must-revalidate","connection":"close","content-length":"994","content-security-policy":"frame-ancestors 'self'","content-type":"application/json","date":"Mon, 20 Apr 2026 04:22:19 GMT","server":"nginx","skip-error-remapping":"true","strict-transport-security":"max-age=31536000; includeSubDomains; preload","via":"1.1 Caddy, 1.1 Caddy","x-api-request-id":"2026042012221778704561jrCfdBgK","x-content-type-options":"nosniff","x-frame-options":"SAMEORIGIN","x-ms-is-spilled-over":"false","x-ms-rai-invoked":"false","x-ms-region":"East US 2","x-new-api-version":"0.4.39","x-oneapi-request-id":"20260420042217133721858268d9d6sb6q8tIi","x-ratelimit-abusepenalty-active":"False","x-ratelimit-limit-requests":"4994","x-ratelimit-limit-tokens":"4994000","x-ratelimit-remaining-requests":"4993","x-ratelimit-remaining-tokens":"4992583","x-ratelimit-renewalperiod-requests":"60","x-ratelimit-renewalperiod-tokens":"60","x-ratelimit-reset-requests":"12","x-ratelimit-reset-tokens":"17","x-request-id":"8fc558a6-0100-424d-8680-6d52cd3c0f14"}</t>
        </is>
      </c>
      <c r="N44" t="inlineStr">
        <is>
          <t>Essentials Pants: Gray casual athletic shorts made from soft cotton-poly blend, breathable and durable. Loose fit with drawstring waist, white ESSENTIALS logo, unisex street and sport style.</t>
        </is>
      </c>
      <c r="O44" t="inlineStr">
        <is>
          <t>{"choices":[{"finish_reason":"stop","index":0,"logprobs":null,"message":{"annotations":[],"content":"Essentials,Pants,kakobuy,kakebuy2026,kekobuysheet,kakobuysheet2026,2026kakobuy,kakobuyspreadsheeet,kakobuylink,kakebuylist,Kakobuy MEGA Spreadsheet,kakobuysheetfind,kakobuysheetfind2026,2026kakobuysheetfind,kakobuysheet2026","refusal":null,"role":"assistant"}}],"created":1776668038,"id":"chatcmpl-DWco2tDug3xkVDIxO1ooZ48RsisT2","model":"gpt-5-chat-latest","object":"chat.completion","service_tier":"default","system_fingerprint":"fp_ad66631dec","usage":{"completion_tokens":87,"completion_tokens_details":{"accepted_prediction_tokens":0,"audio_tokens":0,"reasoning_tokens":0,"rejected_prediction_tokens":0},"prompt_tokens":503,"prompt_tokens_details":{"audio_tokens":0,"cached_tokens":0},"total_tokens":590}}</t>
        </is>
      </c>
      <c r="P44" t="inlineStr">
        <is>
          <t>Essentials,Pants,kakobuy,kakebuy2026,kekobuysheet,kakobuysheet2026,2026kakobuy,kakobuyspreadsheeet,kakobuylink,kakebuylist,Kakobuy MEGA Spreadsheet,kakobuysheetfind,kakobuysheetfind2026,2026kakobuysheetfind,kakobuysheet2026</t>
        </is>
      </c>
      <c r="Q44" t="inlineStr">
        <is>
          <t>Gray, Athletic, Streetwear, Sporty, Unisex, Summer</t>
        </is>
      </c>
      <c r="R44" t="inlineStr">
        <is>
          <t>recvh6xFVjrTCv</t>
        </is>
      </c>
      <c r="S44" t="inlineStr">
        <is>
          <t>essentials-gray-cotton-athletic-shorts-unisex-recvh6xfvjrtcvv</t>
        </is>
      </c>
      <c r="T44"/>
      <c r="U44"/>
      <c r="V44"/>
      <c r="W44" t="inlineStr">
        <is>
          <t>{"choices":[{"finish_reason":"stop","index":0,"logprobs":null,"message":{"annotations":[],"content":"Essentials：灰色休闲运动短裤，采用高品质纯棉与涤纶混纺面料，柔软透气不易变形。简约宽松版型搭配弹力抽绳腰设计，左腿ESSENTIALS白色印花标识极具辨识度。男女皆宜，街头休闲与运动风格完美融合，展现现代简约美学。","refusal":null,"role":"assistant"}}],"created":1776655964,"id":"chatcmpl-DWZfI6EHtitSA9IlcgHXus8NipuRO","model":"gpt-5-chat-latest","object":"chat.completion","service_tier":"default","system_fingerprint":"fp_ad66631dec","usage":{"completion_tokens":95,"completion_tokens_details":{"accepted_prediction_tokens":0,"audio_tokens":0,"reasoning_tokens":0,"rejected_prediction_tokens":0},"prompt_tokens":1040,"prompt_tokens_details":{"audio_tokens":0,"cached_tokens":1024},"total_tokens":1135}}</t>
        </is>
      </c>
      <c r="X44" t="inlineStr">
        <is>
          <t>Essentials：灰色休闲运动短裤，采用高品质纯棉与涤纶混纺面料，柔软透气不易变形。简约宽松版型搭配弹力抽绳腰设计，左腿ESSENTIALS白色印花标识极具辨识度。男女皆宜，街头休闲与运动风格完美融合，展现现代简约美学。</t>
        </is>
      </c>
    </row>
    <row r="45" ht="25.5" customHeight="1">
      <c r="A45">
        <v>1839115443</v>
      </c>
      <c r="B45">
        <v>7599169865</v>
      </c>
      <c r="C45" t="inlineStr">
        <is>
          <t>https://weidian.com/item.html?itemID=7599169865</t>
        </is>
      </c>
      <c r="D45"/>
      <c r="E45" s="2" t="str">
        <f>=HYPERLINK("https://si.geilicdn.com/open1832946205-252808396-3f5200000197f34cd00e0a231226_800_800.jpg?w=640&amp;h=640", "https://si.geilicdn.com/open1832946205-252808396-3f5200000197f34cd00e0a231226_800_800.jpg?w=640&amp;h=640")</f>
        <v>https://si.geilicdn.com/open1832946205-252808396-3f5200000197f34cd00e0a231226_800_800.jpg?w=640&amp;h=640</v>
      </c>
      <c r="F45" t="inlineStr">
        <is>
          <t>Jackets</t>
        </is>
      </c>
      <c r="G45" t="inlineStr">
        <is>
          <t>The North Face</t>
        </is>
      </c>
      <c r="H45" t="inlineStr">
        <is>
          <t>219.00</t>
        </is>
      </c>
      <c r="I45">
        <v>31.74</v>
      </c>
      <c r="J45" t="inlineStr">
        <is>
          <t>{"id":"chatcmpl-DWcJpteN9fPSXCNIZPo0hvj9O4zxI","object":"chat.completion","created":1776666165,"model":"gpt-5-chat-latest","choices":[{"index":0,"message":{"role":"assistant","content":"The North Face GORE‑TEX Waterproof Outdoor Jacket","refusal":null,"annotations":[]},"logprobs":null,"finish_reason":"stop"}],"usage":{"prompt_tokens":877,"completion_tokens":12,"total_tokens":889,"prompt_tokens_details":{"cached_tokens":0,"audio_tokens":0},"completion_tokens_details":{"reasoning_tokens":0,"audio_tokens":0,"accepted_prediction_tokens":0,"rejected_prediction_tokens":0}},"service_tier":"default","system_fingerprint":"fp_ad66631dec"}</t>
        </is>
      </c>
      <c r="K45" t="inlineStr">
        <is>
          <t>The North Face GORE‑TEX Waterproof Outdoor Jacket</t>
        </is>
      </c>
      <c r="L45" t="inlineStr">
        <is>
          <t>{"choices":[{"finish_reason":"stop","index":0,"logprobs":null,"message":{"annotations":[],"content":"The North Face GORE-TEX waterproof jacket, lightweight breathable fabric, windproof and rainproof design, unisex outdoor explorer style, modern minimal cut, combining comfort and functionality.","refusal":null,"role":"assistant"}}],"created":1776658393,"id":"chatcmpl-DWaITl95B6IBK32b15qNLJrOW8S43","model":"gpt-5-chat-latest","object":"chat.completion","service_tier":"default","system_fingerprint":"fp_ad66631dec","usage":{"completion_tokens":37,"completion_tokens_details":{"accepted_prediction_tokens":0,"audio_tokens":0,"reasoning_tokens":0,"rejected_prediction_tokens":0},"prompt_tokens":891,"prompt_tokens_details":{"audio_tokens":0,"cached_tokens":0},"total_tokens":928}}</t>
        </is>
      </c>
      <c r="M45" t="inlineStr">
        <is>
          <t>{"alt-svc":"h3=\":443\"; ma=2592000","apim-request-id":"5617610c-ddea-4eda-b69f-aade6f7b52c9","azureml-model-session":"d20260402074105-51db401e","cache-control":"no-cache","connection":"close","content-length":"781","content-security-policy":"frame-ancestors 'self'","content-type":"application/json","date":"Mon, 20 Apr 2026 04:13:14 GMT","server":"Caddy","skip-error-remapping":"true","strict-transport-security":"max-age=31536000; includeSubDomains; preload","via":"1.1 Caddy","x-api-request-id":"20260420121312717635394ttYmE3mO","x-content-type-options":"nosniff","x-frame-options":"SAMEORIGIN","x-ms-client-request-id":"Not-Set","x-ms-is-spilled-over":"false","x-ms-rai-invoked":"true","x-ms-region":"East US 2","x-new-api-version":"0.4.39","x-oneapi-request-id":"202604200413126506930228268d9d620zxlbHz","x-ratelimit-abusepenalty-active":"False","x-ratelimit-limit-requests":"3850","x-ratelimit-limit-tokens":"3850000","x-ratelimit-remaining-requests":"3849","x-ratelimit-remaining-tokens":"3848347","x-ratelimit-renewalperiod-requests":"60","x-ratelimit-renewalperiod-tokens":"60","x-ratelimit-reset-requests":"15","x-ratelimit-reset-tokens":"25","x-request-id":"e008ed22-6363-4447-b697-6d9f0176c2e2"}</t>
        </is>
      </c>
      <c r="N45" t="inlineStr">
        <is>
          <t>The North Face GORE-TEX waterproof jacket, lightweight breathable fabric, windproof and rainproof design, unisex outdoor explorer style, modern minimal cut, combining comfort and functionality.</t>
        </is>
      </c>
      <c r="O45" t="inlineStr">
        <is>
          <t>{"choices":[{"finish_reason":"stop","index":0,"logprobs":null,"message":{"annotations":[],"content":"The North Face, Jackets, kakobuy, kakebuy2026, kekobuysheet, kakobuysheet2026, 2026kakobuy, kakobuyspreadsheeet, kakobuylink, kakebuylist, Kakobuy MEGA Spreadsheet, kakobuysheetfind, kakobuysheetfind2026, 2026kakobuysheetfind, kakobuysheet2026","refusal":null,"role":"assistant"}}],"created":1776668412,"id":"chatcmpl-DWcu4DtdBA8C5EL0j9EEzeScHaNRK","model":"gpt-5-chat-latest","object":"chat.completion","service_tier":"default","system_fingerprint":"fp_ad66631dec","usage":{"completion_tokens":92,"completion_tokens_details":{"accepted_prediction_tokens":0,"audio_tokens":0,"reasoning_tokens":0,"rejected_prediction_tokens":0},"prompt_tokens":784,"prompt_tokens_details":{"audio_tokens":0,"cached_tokens":0},"total_tokens":876}}</t>
        </is>
      </c>
      <c r="P45" t="inlineStr">
        <is>
          <t>The North Face, Jackets, kakobuy, kakebuy2026, kekobuysheet, kakobuysheet2026, 2026kakobuy, kakobuyspreadsheeet, kakobuylink, kakebuylist, Kakobuy MEGA Spreadsheet, kakobuysheetfind, kakobuysheetfind2026, 2026kakobuysheetfind, kakobuysheet2026</t>
        </is>
      </c>
      <c r="Q45" t="inlineStr">
        <is>
          <t>Waterproof, Windproof, Breathable, Lightweight, Outdoor, Unisex</t>
        </is>
      </c>
      <c r="R45" t="inlineStr">
        <is>
          <t>recvh6xFVjsYwj</t>
        </is>
      </c>
      <c r="S45" t="inlineStr">
        <is>
          <t>the-north-face-gore-tex-waterproof-jacket-recvh6xfvjswj</t>
        </is>
      </c>
      <c r="T45"/>
      <c r="U45"/>
      <c r="V45"/>
      <c r="W45" t="inlineStr">
        <is>
          <t>{"choices":[{"finish_reason":"stop","index":0,"logprobs":null,"message":{"annotations":[],"content":"The North Face 白黑拼色GORE-TEX防水夹克，采用轻盈透气面料，防风防雨设计，户外探索风格，男女皆宜，现代简约剪裁，兼具舒适与功能性。","refusal":null,"role":"assistant"}}],"created":1776655730,"id":"chatcmpl-DWZbWixooD4wyXvrpgFjXBmJbid5d","model":"gpt-5-chat-latest","object":"chat.completion","service_tier":"default","system_fingerprint":"fp_ad66631dec","usage":{"completion_tokens":55,"completion_tokens_details":{"accepted_prediction_tokens":0,"audio_tokens":0,"reasoning_tokens":0,"rejected_prediction_tokens":0},"prompt_tokens":1317,"prompt_tokens_details":{"audio_tokens":0,"cached_tokens":0},"total_tokens":1372}}</t>
        </is>
      </c>
      <c r="X45" t="inlineStr">
        <is>
          <t>The North Face 白黑拼色GORE-TEX防水夹克，采用轻盈透气面料，防风防雨设计，户外探索风格，男女皆宜，现代简约剪裁，兼具舒适与功能性。</t>
        </is>
      </c>
    </row>
    <row r="46" ht="25.5" customHeight="1">
      <c r="A46">
        <v>1839115443</v>
      </c>
      <c r="B46">
        <v>7600952844</v>
      </c>
      <c r="C46" t="inlineStr">
        <is>
          <t>https://weidian.com/item.html?itemID=7600952844</t>
        </is>
      </c>
      <c r="D46"/>
      <c r="E46" s="2" t="str">
        <f>=HYPERLINK("https://si.geilicdn.com/open1832946205-252808396-5ea800000196d1e4e96f0aa08290_900_900.jpg?w=640&amp;h=640", "https://si.geilicdn.com/open1832946205-252808396-5ea800000196d1e4e96f0aa08290_900_900.jpg?w=640&amp;h=640")</f>
        <v>https://si.geilicdn.com/open1832946205-252808396-5ea800000196d1e4e96f0aa08290_900_900.jpg?w=640&amp;h=640</v>
      </c>
      <c r="F46" t="inlineStr">
        <is>
          <t>T-Shirts</t>
        </is>
      </c>
      <c r="G46" t="inlineStr">
        <is>
          <t>Bape</t>
        </is>
      </c>
      <c r="H46" t="inlineStr">
        <is>
          <t>62.00</t>
        </is>
      </c>
      <c r="I46">
        <v>8.99</v>
      </c>
      <c r="J46" t="inlineStr">
        <is>
          <t>{"id":"chatcmpl-DWcEz6XJbC7ZvwwMpLvRemoFGrN91","object":"chat.completion","created":1776665865,"model":"gpt-5-chat-latest","choices":[{"index":0,"message":{"role":"assistant","content":"Bape Black Shark Head Blue Camo Cotton T-Shirt","refusal":null,"annotations":[]},"logprobs":null,"finish_reason":"stop"}],"usage":{"prompt_tokens":888,"completion_tokens":12,"total_tokens":900,"prompt_tokens_details":{"cached_tokens":0,"audio_tokens":0},"completion_tokens_details":{"reasoning_tokens":0,"audio_tokens":0,"accepted_prediction_tokens":0,"rejected_prediction_tokens":0}},"service_tier":"default","system_fingerprint":"fp_ad66631dec"}</t>
        </is>
      </c>
      <c r="K46" t="inlineStr">
        <is>
          <t>Bape Black Shark Head Blue Camo Cotton T-Shirt</t>
        </is>
      </c>
      <c r="L46" t="inlineStr">
        <is>
          <t>{"id":"chatcmpl-DWaSWnsRtWtgzpr7FPxkzGX7XdchZ","object":"chat.completion","created":1776659016,"model":"gpt-5-chat-latest","choices":[{"index":0,"message":{"role":"assistant","content":"BAPE Black Shark Head T-Shirt, made from soft cotton with iconic Ape Head in blue-pink camo. Unisex streetwear tee with crew neck, modern urban style, showing youthful energy and attitude.","refusal":null,"annotations":[]},"logprobs":null,"finish_reason":"stop"}],"usage":{"prompt_tokens":920,"completion_tokens":43,"total_tokens":963,"prompt_tokens_details":{"cached_tokens":0,"audio_tokens":0},"completion_tokens_details":{"reasoning_tokens":0,"audio_tokens":0,"accepted_prediction_tokens":0,"rejected_prediction_tokens":0}},"service_tier":"default","system_fingerprint":"fp_ad66631dec"}</t>
        </is>
      </c>
      <c r="M46"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ma=2592000","apim-request-id":"d76c6954-80d9-4fd2-8a8a-4bb7f37096d0","azureml-model-session":"d20260402075109-1fc5a0ec","cache-control":"no-cache, no-store, must-revalidate","connection":"close","content-length":"992","content-security-policy":"frame-ancestors 'self'","content-type":"application/json","date":"Mon, 20 Apr 2026 04:23:38 GMT","server":"nginx","skip-error-remapping":"true","strict-transport-security":"max-age=31536000; includeSubDomains; preload","via":"1.1 Caddy, 1.1 Caddy","x-api-request-id":"2026042012233628470316dBK22OHV","x-content-type-options":"nosniff","x-frame-options":"SAMEORIGIN","x-ms-is-spilled-over":"false","x-ms-rai-invoked":"false","x-ms-region":"East US 2","x-new-api-version":"0.4.39","x-oneapi-request-id":"202604200423359630322248268d9d6h2HY5Vrw","x-ratelimit-abusepenalty-active":"False","x-ratelimit-limit-requests":"4994","x-ratelimit-limit-tokens":"4994000","x-ratelimit-remaining-requests":"4993","x-ratelimit-remaining-tokens":"4992318","x-ratelimit-renewalperiod-requests":"60","x-ratelimit-renewalperiod-tokens":"60","x-ratelimit-reset-requests":"12","x-ratelimit-reset-tokens":"20","x-request-id":"3668a6e8-5e63-4cc6-a57f-8f63ac8e945b"}</t>
        </is>
      </c>
      <c r="N46" t="inlineStr">
        <is>
          <t>BAPE Black Shark Head T-Shirt, made from soft cotton with iconic Ape Head in blue-pink camo. Unisex streetwear tee with crew neck, modern urban style, showing youthful energy and attitude.</t>
        </is>
      </c>
      <c r="O46" t="inlineStr">
        <is>
          <t>{"choices":[{"finish_reason":"stop","index":0,"logprobs":null,"message":{"annotations":[],"content":"Bape,T-Shirts,kakobuy,kakebuy2026,kekobuysheet,kakobuysheet2026,2026kakobuy,kakobuyspreadsheeet,kakobuylink,kakebuylist,Kakobuy MEGA Spreadsheet,kakobuysheetfind,kakobuysheetfind2026,2026kakobuysheetfind,kakobuysheet2026","refusal":null,"role":"assistant"}}],"created":1776667858,"id":"chatcmpl-DWcl8yzVIa0WpQDSorVWur0bTIoDM","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P46" t="inlineStr">
        <is>
          <t>Bape,T-Shirts,kakobuy,kakebuy2026,kekobuysheet,kakobuysheet2026,2026kakobuy,kakobuyspreadsheeet,kakobuylink,kakebuylist,Kakobuy MEGA Spreadsheet,kakobuysheetfind,kakobuysheetfind2026,2026kakobuysheetfind,kakobuysheet2026</t>
        </is>
      </c>
      <c r="Q46" t="inlineStr">
        <is>
          <t>BAPE, Black, Blue, Pink, Camouflage, Streetwear</t>
        </is>
      </c>
      <c r="R46" t="inlineStr">
        <is>
          <t>recvh6xFVjAHYj</t>
        </is>
      </c>
      <c r="S46" t="inlineStr">
        <is>
          <t>bape-black-shark-head-blue-camo-recvh6xFVjAHYj</t>
        </is>
      </c>
      <c r="T46"/>
      <c r="U46"/>
      <c r="V46"/>
      <c r="W46" t="inlineStr">
        <is>
          <t>{"id":"chatcmpl-DWZYBSxHsBvb7bjBOFjgXOgJ04UtB","object":"chat.completion","created":1776655523,"model":"gpt-5-chat-latest","choices":[{"index":0,"message":{"role":"assistant","content":"Bape：黑色鲨鱼头系列短袖T恤，采用纯棉面料，柔软舒适。正面标志性Ape Head图腾以蓝粉迷彩图案呈现，融入街头潮流元素，简约圆领设计适合男女通穿。都市潮牌风格，展现年轻活力与个性态度。","refusal":null,"annotations":[]},"logprobs":null,"finish_reason":"stop"}],"usage":{"prompt_tokens":1316,"completion_tokens":84,"total_tokens":1400,"prompt_tokens_details":{"cached_tokens":0,"audio_tokens":0},"completion_tokens_details":{"reasoning_tokens":0,"audio_tokens":0,"accepted_prediction_tokens":0,"rejected_prediction_tokens":0}},"service_tier":"default","system_fingerprint":"fp_ad66631dec"}</t>
        </is>
      </c>
      <c r="X46" t="inlineStr">
        <is>
          <t>Bape：黑色鲨鱼头系列短袖T恤，采用纯棉面料，柔软舒适。正面标志性Ape Head图腾以蓝粉迷彩图案呈现，融入街头潮流元素，简约圆领设计适合男女通穿。都市潮牌风格，展现年轻活力与个性态度。</t>
        </is>
      </c>
    </row>
    <row r="47" ht="25.5" customHeight="1">
      <c r="A47">
        <v>1839115443</v>
      </c>
      <c r="B47">
        <v>7599044967</v>
      </c>
      <c r="C47" t="inlineStr">
        <is>
          <t>https://weidian.com/item.html?itemID=7599044967</t>
        </is>
      </c>
      <c r="D47"/>
      <c r="E47" s="2" t="str">
        <f>=HYPERLINK("https://si.geilicdn.com/open1832946205-252808396-27a600000197ee57c17b0a22d249_800_800.jpg?w=640&amp;h=640", "https://si.geilicdn.com/open1832946205-252808396-27a600000197ee57c17b0a22d249_800_800.jpg?w=640&amp;h=640")</f>
        <v>https://si.geilicdn.com/open1832946205-252808396-27a600000197ee57c17b0a22d249_800_800.jpg?w=640&amp;h=640</v>
      </c>
      <c r="F47" t="inlineStr">
        <is>
          <t>Hoodies</t>
        </is>
      </c>
      <c r="G47" t="inlineStr">
        <is>
          <t>Tommy Hilfiger</t>
        </is>
      </c>
      <c r="H47" t="inlineStr">
        <is>
          <t>98.00</t>
        </is>
      </c>
      <c r="I47">
        <v>14.2</v>
      </c>
      <c r="J47" t="inlineStr">
        <is>
          <t>{"id":"chatcmpl-DWcCaQX8Tt9yTa3fCihpozsCAATnP","object":"chat.completion","created":1776665716,"model":"gpt-5-chat-latest","choices":[{"index":0,"message":{"role":"assistant","content":"Tommy Hilfiger Pink Classic Logo Cotton Hoodie","refusal":null,"annotations":[]},"logprobs":null,"finish_reason":"stop"}],"usage":{"prompt_tokens":890,"completion_tokens":11,"total_tokens":901,"prompt_tokens_details":{"cached_tokens":0,"audio_tokens":0},"completion_tokens_details":{"reasoning_tokens":0,"audio_tokens":0,"accepted_prediction_tokens":0,"rejected_prediction_tokens":0}},"service_tier":"default","system_fingerprint":"fp_ad66631dec"}</t>
        </is>
      </c>
      <c r="K47" t="inlineStr">
        <is>
          <t>Tommy Hilfiger Pink Classic Logo Cotton Hoodie</t>
        </is>
      </c>
      <c r="L47" t="inlineStr">
        <is>
          <t>{"id":"chatcmpl-DWaSc4LrtRUxCJNcIFyIpNtIbqrTD","object":"chat.completion","created":1776659022,"model":"gpt-5-chat-latest","choices":[{"index":0,"message":{"role":"assistant","content":"Tommy Hilfiger Pink Classic Logo Hoodie – made from soft cotton for all-day comfort, featuring the iconic front logo, relaxed fit, and functional kangaroo pocket for a timeless unisex casual style.","refusal":null,"annotations":[]},"logprobs":null,"finish_reason":"stop"}],"usage":{"prompt_tokens":914,"completion_tokens":42,"total_tokens":956,"prompt_tokens_details":{"cached_tokens":0,"audio_tokens":0},"completion_tokens_details":{"reasoning_tokens":0,"audio_tokens":0,"accepted_prediction_tokens":0,"rejected_prediction_tokens":0}},"service_tier":"default","system_fingerprint":"fp_ad66631dec"}</t>
        </is>
      </c>
      <c r="M47"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ma=2592000","apim-request-id":"c21057ed-073e-4e5c-b551-3ced168bd3e7","azureml-model-session":"d20260402074105-51db401e","cache-control":"no-cache, no-store, must-revalidate","connection":"close","content-length":"1003","content-security-policy":"frame-ancestors 'self'","content-type":"application/json","date":"Mon, 20 Apr 2026 04:23:44 GMT","server":"nginx","skip-error-remapping":"true","strict-transport-security":"max-age=31536000; includeSubDomains; preload","via":"1.1 Caddy, 1.1 Caddy","x-api-request-id":"20260420122340366957097y5ccPMSR","x-content-type-options":"nosniff","x-frame-options":"SAMEORIGIN","x-ms-is-spilled-over":"false","x-ms-rai-invoked":"false","x-ms-region":"Sweden Central","x-new-api-version":"0.4.39","x-oneapi-request-id":"202604200423403016442988268d9d6UC3hVMMx","x-ratelimit-abusepenalty-active":"False","x-ratelimit-limit-requests":"4993","x-ratelimit-limit-tokens":"4993000","x-ratelimit-remaining-requests":"4992","x-ratelimit-remaining-tokens":"4991324","x-ratelimit-renewalperiod-requests":"60","x-ratelimit-renewalperiod-tokens":"60","x-ratelimit-reset-requests":"12","x-ratelimit-reset-tokens":"20","x-request-id":"3b4dceb6-58ce-48ce-a8c5-a0c33914e262"}</t>
        </is>
      </c>
      <c r="N47" t="inlineStr">
        <is>
          <t>Tommy Hilfiger Pink Classic Logo Hoodie – made from soft cotton for all-day comfort, featuring the iconic front logo, relaxed fit, and functional kangaroo pocket for a timeless unisex casual style.</t>
        </is>
      </c>
      <c r="O47" t="inlineStr">
        <is>
          <t>{"choices":[{"finish_reason":"stop","index":0,"logprobs":null,"message":{"annotations":[],"content":"Tommy Hilfiger,Hoodies,kakobuy,kakebuy2026,kekobuysheet,kakobuysheet2026,2026kakobuy,kakobuyspreadsheeet,kakobuylink,kakebuylist,Kakobuy MEGA Spreadsheet,kakobuysheetfind,kakobuysheetfind2026,2026kakobuysheetfind,kakobuysheet2026","refusal":null,"role":"assistant"}}],"created":1776668771,"id":"chatcmpl-DWczrypnnz2CDYNrNxvNY0ZogD3CS","model":"gpt-5-chat-latest","object":"chat.completion","service_tier":"default","system_fingerprint":"fp_ad66631dec","usage":{"completion_tokens":91,"completion_tokens_details":{"accepted_prediction_tokens":0,"audio_tokens":0,"reasoning_tokens":0,"rejected_prediction_tokens":0},"prompt_tokens":787,"prompt_tokens_details":{"audio_tokens":0,"cached_tokens":0},"total_tokens":878}}</t>
        </is>
      </c>
      <c r="P47" t="inlineStr">
        <is>
          <t>Tommy Hilfiger,Hoodies,kakobuy,kakebuy2026,kekobuysheet,kakobuysheet2026,2026kakobuy,kakobuyspreadsheeet,kakobuylink,kakebuylist,Kakobuy MEGA Spreadsheet,kakobuysheetfind,kakobuysheetfind2026,2026kakobuysheetfind,kakobuysheet2026</t>
        </is>
      </c>
      <c r="Q47" t="inlineStr">
        <is>
          <t>Pink, Classic, All Seasons, Unisex</t>
        </is>
      </c>
      <c r="R47" t="inlineStr">
        <is>
          <t>recvh6xFVjwErq</t>
        </is>
      </c>
      <c r="S47" t="inlineStr">
        <is>
          <t>tommy-hilfiger-pink-classic-logo-cotton-hoodie-recvh6xfvjwerq</t>
        </is>
      </c>
      <c r="T47"/>
      <c r="U47"/>
      <c r="V47"/>
      <c r="W47" t="inlineStr">
        <is>
          <t>{"choices":[{"finish_reason":"stop","index":0,"logprobs":null,"message":{"annotations":[],"content":"Tommy Hilfiger：粉色经典Logo连帽卫衣，柔软棉质面料舒适亲肤，胸前标志性徽标印花彰显美式休闲风格，宽松剪裁搭配实用袋鼠口袋，男女皆宜，日常穿搭轻松展现青春活力。","refusal":null,"role":"assistant"}}],"created":1776656035,"id":"chatcmpl-DWZgRe5lVMZtk6Lp6YkNakq1ByrJu","model":"gpt-5-chat-latest","object":"chat.completion","service_tier":"default","system_fingerprint":"fp_ad66631dec","usage":{"completion_tokens":75,"completion_tokens_details":{"accepted_prediction_tokens":0,"audio_tokens":0,"reasoning_tokens":0,"rejected_prediction_tokens":0},"prompt_tokens":1324,"prompt_tokens_details":{"audio_tokens":0,"cached_tokens":1280},"total_tokens":1399}}</t>
        </is>
      </c>
      <c r="X47" t="inlineStr">
        <is>
          <t>Tommy Hilfiger：粉色经典Logo连帽卫衣，柔软棉质面料舒适亲肤，胸前标志性徽标印花彰显美式休闲风格，宽松剪裁搭配实用袋鼠口袋，男女皆宜，日常穿搭轻松展现青春活力。</t>
        </is>
      </c>
    </row>
    <row r="48" ht="25.5" customHeight="1">
      <c r="A48">
        <v>1839115443</v>
      </c>
      <c r="B48">
        <v>7599042959</v>
      </c>
      <c r="C48" t="inlineStr">
        <is>
          <t>https://weidian.com/item.html?itemID=7599042959</t>
        </is>
      </c>
      <c r="D48"/>
      <c r="E48" s="2" t="str">
        <f>=HYPERLINK("https://si.geilicdn.com/open1832946205-252808396-454400000197e9ae6e8c0a23b4de_800_800.jpg?w=640&amp;h=640", "https://si.geilicdn.com/open1832946205-252808396-454400000197e9ae6e8c0a23b4de_800_800.jpg?w=640&amp;h=640")</f>
        <v>https://si.geilicdn.com/open1832946205-252808396-454400000197e9ae6e8c0a23b4de_800_800.jpg?w=640&amp;h=640</v>
      </c>
      <c r="F48" t="inlineStr">
        <is>
          <t>Hoodies</t>
        </is>
      </c>
      <c r="G48" t="inlineStr">
        <is>
          <t xml:space="preserve">Trapstar </t>
        </is>
      </c>
      <c r="H48" t="inlineStr">
        <is>
          <t>161.00</t>
        </is>
      </c>
      <c r="I48">
        <v>23.33</v>
      </c>
      <c r="J48" t="inlineStr">
        <is>
          <t>{"id":"chatcmpl-DWcJR37cesGhnXQFwsjDiBoFpdH91","object":"chat.completion","created":1776666141,"model":"gpt-5-chat-latest","choices":[{"index":0,"message":{"role":"assistant","content":"Trapstar Black Shooters 3D Leopard Head Hoodie","refusal":null,"annotations":[]},"logprobs":null,"finish_reason":"stop"}],"usage":{"prompt_tokens":895,"completion_tokens":12,"total_tokens":907,"prompt_tokens_details":{"cached_tokens":0,"audio_tokens":0},"completion_tokens_details":{"reasoning_tokens":0,"audio_tokens":0,"accepted_prediction_tokens":0,"rejected_prediction_tokens":0}},"service_tier":"default","system_fingerprint":"fp_ad66631dec"}</t>
        </is>
      </c>
      <c r="K48" t="inlineStr">
        <is>
          <t>Trapstar Black Shooters 3D Leopard Head Hoodie</t>
        </is>
      </c>
      <c r="L48" t="inlineStr">
        <is>
          <t>{"choices":[{"finish_reason":"stop","index":0,"logprobs":null,"message":{"annotations":[],"content":"Trapstar black hoodie with 3D leopard head and “Shooters” embroidery, made from premium soft cotton. Loose fit, drawstring hood, kangaroo pocket. Unisex streetwear mixing UK urban and sport vibes.","refusal":null,"role":"assistant"}}],"created":1776658304,"id":"chatcmpl-DWaH2bFBsgXEIgjbv9UI35Jy7KNWW","model":"gpt-5-chat-latest","object":"chat.completion","service_tier":"default","system_fingerprint":"fp_ad66631dec","usage":{"completion_tokens":46,"completion_tokens_details":{"accepted_prediction_tokens":0,"audio_tokens":0,"reasoning_tokens":0,"rejected_prediction_tokens":0},"prompt_tokens":930,"prompt_tokens_details":{"audio_tokens":0,"cached_tokens":0},"total_tokens":976}}</t>
        </is>
      </c>
      <c r="M48" t="inlineStr">
        <is>
          <t>{"alt-svc":"h3=\":443\"; ma=2592000","apim-request-id":"242b7776-2d8e-4820-8ea9-11ac4b578182","azureml-model-session":"d20260402083108-57a85543","cache-control":"no-cache","connection":"close","content-length":"788","content-security-policy":"frame-ancestors 'self'","content-type":"application/json","date":"Mon, 20 Apr 2026 04:11:45 GMT","server":"Caddy","skip-error-remapping":"true","strict-transport-security":"max-age=31536000; includeSubDomains; preload","via":"1.1 Caddy","x-api-request-id":"20260420121143918872284ljLE6MsE","x-content-type-options":"nosniff","x-frame-options":"SAMEORIGIN","x-ms-client-request-id":"Not-Set","x-ms-is-spilled-over":"false","x-ms-rai-invoked":"true","x-ms-region":"East US 2","x-new-api-version":"0.4.39","x-oneapi-request-id":"202604200411438177811208268d9d61gKzha9C","x-ratelimit-abusepenalty-active":"False","x-ratelimit-limit-requests":"3850","x-ratelimit-limit-tokens":"3850000","x-ratelimit-remaining-requests":"3849","x-ratelimit-remaining-tokens":"3847327","x-ratelimit-renewalperiod-requests":"60","x-ratelimit-renewalperiod-tokens":"60","x-ratelimit-reset-requests":"21","x-ratelimit-reset-tokens":"41","x-request-id":"264c13d1-2c1f-9e02-bee9-fad3c4ce6202"}</t>
        </is>
      </c>
      <c r="N48" t="inlineStr">
        <is>
          <t>Trapstar black hoodie with 3D leopard head and “Shooters” embroidery, made from premium soft cotton. Loose fit, drawstring hood, kangaroo pocket. Unisex streetwear mixing UK urban and sport vibes.</t>
        </is>
      </c>
      <c r="O48" t="inlineStr">
        <is>
          <t>{"choices":[{"finish_reason":"stop","index":0,"logprobs":null,"message":{"annotations":[],"content":"Trapstar,Hoodie,kakobuy,kakebuy2026,kekobuysheet,kakobuysheet2026,2026kakobuy,kakobuyspreadsheeet,kakobuylink,kakebuylist,Kakobuy MEGA Spreadsheet,kakobuysheetfind,kakobuysheetfind2026,2026kakobuysheetfind,kakobuysheet2026","refusal":null,"role":"assistant"}}],"created":1776667878,"id":"chatcmpl-DWclShaAQuvnNxxgYy5C3XEmPAxwP","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is>
      </c>
      <c r="P48" t="inlineStr">
        <is>
          <t>Trapstar,Hoodie,kakobuy,kakebuy2026,kekobuysheet,kakobuysheet2026,2026kakobuy,kakobuyspreadsheeet,kakobuylink,kakebuylist,Kakobuy MEGA Spreadsheet,kakobuysheetfind,kakobuysheetfind2026,2026kakobuysheetfind,kakobuysheet2026</t>
        </is>
      </c>
      <c r="Q48" t="inlineStr">
        <is>
          <t>Black, Streetwear, Unisex</t>
        </is>
      </c>
      <c r="R48" t="inlineStr">
        <is>
          <t>recvh6xFVjLFra</t>
        </is>
      </c>
      <c r="S48" t="inlineStr">
        <is>
          <t>trapstar-black-shooters-3d-leopard-head-hoodie-recvh6xfvjlfra</t>
        </is>
      </c>
      <c r="T48"/>
      <c r="U48"/>
      <c r="V48"/>
      <c r="W48" t="inlineStr">
        <is>
          <t>{"choices":[{"finish_reason":"stop","index":0,"logprobs":null,"message":{"annotations":[],"content":"Trapstar：黑色连帽卫衣，柔软高级棉质面料打造，正面以立体豹头与“Shooters”字样刺绣彰显街头力量美学，宽松版型搭配抽绳兜帽与袋鼠口袋设计，男女皆宜，融英伦街潮与运动元素于一体，舒适休闲兼具个性魅力。","refusal":null,"role":"assistant"}}],"created":1776655000,"id":"chatcmpl-DWZPketGDbTy9jYgTDmsRogKCePLz","model":"gpt-5-chat-latest","object":"chat.completion","service_tier":"default","system_fingerprint":"fp_ad66631dec","usage":{"completion_tokens":92,"completion_tokens_details":{"accepted_prediction_tokens":0,"audio_tokens":0,"reasoning_tokens":0,"rejected_prediction_tokens":0},"prompt_tokens":1319,"prompt_tokens_details":{"audio_tokens":0,"cached_tokens":1280},"total_tokens":1411}}</t>
        </is>
      </c>
      <c r="X48" t="inlineStr">
        <is>
          <t>Trapstar：黑色连帽卫衣，柔软高级棉质面料打造，正面以立体豹头与“Shooters”字样刺绣彰显街头力量美学，宽松版型搭配抽绳兜帽与袋鼠口袋设计，男女皆宜，融英伦街潮与运动元素于一体，舒适休闲兼具个性魅力。</t>
        </is>
      </c>
    </row>
    <row r="49" ht="25.5" customHeight="1">
      <c r="A49">
        <v>1839115443</v>
      </c>
      <c r="B49">
        <v>7600975296</v>
      </c>
      <c r="C49" t="inlineStr">
        <is>
          <t>https://weidian.com/item.html?itemID=7600975296</t>
        </is>
      </c>
      <c r="D49"/>
      <c r="E49" s="2" t="str">
        <f>=HYPERLINK("https://si.geilicdn.com/open1832946205-252808396-2af000000196d3c6d7e70aa0834c_1080_1080.jpg?w=640&amp;h=640", "https://si.geilicdn.com/open1832946205-252808396-2af000000196d3c6d7e70aa0834c_1080_1080.jpg?w=640&amp;h=640")</f>
        <v>https://si.geilicdn.com/open1832946205-252808396-2af000000196d3c6d7e70aa0834c_1080_1080.jpg?w=640&amp;h=640</v>
      </c>
      <c r="F49" t="inlineStr">
        <is>
          <t>T-Shirts</t>
        </is>
      </c>
      <c r="G49" t="inlineStr">
        <is>
          <t>Ralph Lauren</t>
        </is>
      </c>
      <c r="H49" t="inlineStr">
        <is>
          <t>66.00</t>
        </is>
      </c>
      <c r="I49">
        <v>9.56521739130434</v>
      </c>
      <c r="J49" t="inlineStr">
        <is>
          <t>{"choices":[{"finish_reason":"stop","index":0,"logprobs":null,"message":{"annotations":[],"content":"Ralph Lauren Mint Green Classic Polo T-Shirt","refusal":null,"role":"assistant"}}],"created":1776666064,"id":"chatcmpl-DWcIC3lxwPdg3IJU6L9p4ADesIK58","model":"gpt-5-chat-latest","object":"chat.completion","service_tier":"default","system_fingerprint":"fp_ad66631dec","usage":{"completion_tokens":10,"completion_tokens_details":{"accepted_prediction_tokens":0,"audio_tokens":0,"reasoning_tokens":0,"rejected_prediction_tokens":0},"prompt_tokens":871,"prompt_tokens_details":{"audio_tokens":0,"cached_tokens":0},"total_tokens":881}}</t>
        </is>
      </c>
      <c r="K49" t="inlineStr">
        <is>
          <t>Ralph Lauren Mint Green Classic Polo T-Shirt</t>
        </is>
      </c>
      <c r="L49" t="inlineStr">
        <is>
          <t>{"id":"chatcmpl-DWaYBCivp7rh4ZlI4cMztlhf6emdR","object":"chat.completion","created":1776659367,"model":"gpt-5-chat-latest","choices":[{"index":0,"message":{"role":"assistant","content":"Ralph Lauren Classic Polo T-Shirt in Mint Green, soft pure cotton crew neck with embroidered polo logo, unisex casual American style, breathable comfort and effortless luxury.","refusal":null,"annotations":[]},"logprobs":null,"finish_reason":"stop"}],"usage":{"prompt_tokens":900,"completion_tokens":34,"total_tokens":934,"prompt_tokens_details":{"cached_tokens":0,"audio_tokens":0},"completion_tokens_details":{"reasoning_tokens":0,"audio_tokens":0,"accepted_prediction_tokens":0,"rejected_prediction_tokens":0}},"service_tier":"default","system_fingerprint":"fp_ad66631dec"}</t>
        </is>
      </c>
      <c r="M49"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ma=2592000","apim-request-id":"5bffc813-044f-4875-9b13-69387e848e46","azureml-model-session":"d20260402075109-1fc5a0ec","cache-control":"no-cache, no-store, must-revalidate","connection":"close","content-length":"979","content-security-policy":"frame-ancestors 'self'","content-type":"application/json","date":"Mon, 20 Apr 2026 04:29:28 GMT","server":"Caddy","skip-error-remapping":"true","strict-transport-security":"max-age=31536000; includeSubDomains; preload","via":"1.1 Caddy","x-api-request-id":"20260420122926596822521sG7OLvWx","x-content-type-options":"nosniff","x-frame-options":"SAMEORIGIN","x-ms-is-spilled-over":"false","x-ms-rai-invoked":"false","x-ms-region":"East US 2","x-new-api-version":"0.4.39","x-oneapi-request-id":"202604200429265282665358268d9d6YLWCeU1p","x-ratelimit-abusepenalty-active":"False","x-ratelimit-limit-requests":"4994","x-ratelimit-limit-tokens":"4994000","x-ratelimit-remaining-requests":"4993","x-ratelimit-remaining-tokens":"4992338","x-ratelimit-renewalperiod-requests":"60","x-ratelimit-renewalperiod-tokens":"60","x-ratelimit-reset-requests":"12","x-ratelimit-reset-tokens":"19","x-request-id":"75837aea-36d1-4a31-b51b-ddc2849cc341"}</t>
        </is>
      </c>
      <c r="N49" t="inlineStr">
        <is>
          <t>Ralph Lauren Classic Polo T-Shirt in Mint Green, soft pure cotton crew neck with embroidered polo logo, unisex casual American style, breathable comfort and effortless luxury.</t>
        </is>
      </c>
      <c r="O49" t="inlineStr">
        <is>
          <t>{"choices":[{"finish_reason":"stop","index":0,"logprobs":null,"message":{"annotations":[],"content":"Ralph Lauren, T-Shirts, kakobuy, kakebuy2026, kekobuysheet, kakobuysheet2026, 2026kakobuy, kakobuyspreadsheeet, kakobuylink, kakebuylist, Kakobuy MEGA Spreadsheet, kakobuysheetfind, kakobuysheetfind2026, 2026kakobuysheetfind, kakobuysheet2026","refusal":null,"role":"assistant"}}],"created":1776667894,"id":"chatcmpl-DWclijMHdMPRdfmpUowGIDWxqKbbu","model":"gpt-5-chat-latest","object":"chat.completion","service_tier":"default","system_fingerprint":"fp_ad66631dec","usage":{"completion_tokens":93,"completion_tokens_details":{"accepted_prediction_tokens":0,"audio_tokens":0,"reasoning_tokens":0,"rejected_prediction_tokens":0},"prompt_tokens":784,"prompt_tokens_details":{"audio_tokens":0,"cached_tokens":0},"total_tokens":877}}</t>
        </is>
      </c>
      <c r="P49" t="inlineStr">
        <is>
          <t>Ralph Lauren, T-Shirts, kakobuy, kakebuy2026, kekobuysheet, kakobuysheet2026, 2026kakobuy, kakobuyspreadsheeet, kakobuylink, kakebuylist, Kakobuy MEGA Spreadsheet, kakobuysheetfind, kakobuysheetfind2026, 2026kakobuysheetfind, kakobuysheet2026</t>
        </is>
      </c>
      <c r="Q49" t="inlineStr">
        <is>
          <t>Mint, Unisex, Breathable, Comfort</t>
        </is>
      </c>
      <c r="R49" t="inlineStr">
        <is>
          <t>recvh6xFVjEQ0y</t>
        </is>
      </c>
      <c r="S49" t="inlineStr">
        <is>
          <t>ralph-lauren-mint-green-polo-recvh6xfvjeq0y</t>
        </is>
      </c>
      <c r="T49"/>
      <c r="U49"/>
      <c r="V49"/>
      <c r="W49" t="inlineStr">
        <is>
          <t>{"choices":[{"finish_reason":"stop","index":0,"logprobs":null,"message":{"annotations":[],"content":"Ralph Lauren：经典马球系列薄荷绿色纯棉圆领T恤，胸前刺绣马球标志，简约美式休闲风，男女皆宜，柔软透气舒适，彰显低调奢华格调。","refusal":null,"role":"assistant"}}],"created":1776656089,"id":"chatcmpl-DWZhJtIezDcMHHGXkQ9j86OrnqmvT","model":"gpt-5-chat-latest","object":"chat.completion","service_tier":"default","system_fingerprint":"fp_ad66631dec","usage":{"completion_tokens":60,"completion_tokens_details":{"accepted_prediction_tokens":0,"audio_tokens":0,"reasoning_tokens":0,"rejected_prediction_tokens":0},"prompt_tokens":1325,"prompt_tokens_details":{"audio_tokens":0,"cached_tokens":1280},"total_tokens":1385}}</t>
        </is>
      </c>
      <c r="X49" t="inlineStr">
        <is>
          <t>Ralph Lauren：经典马球系列薄荷绿色纯棉圆领T恤，胸前刺绣马球标志，简约美式休闲风，男女皆宜，柔软透气舒适，彰显低调奢华格调。</t>
        </is>
      </c>
    </row>
    <row r="50" ht="25.5" customHeight="1">
      <c r="A50">
        <v>1839115443</v>
      </c>
      <c r="B50">
        <v>7599045499</v>
      </c>
      <c r="C50" t="inlineStr">
        <is>
          <t>https://weidian.com/item.html?itemID=7599045499</t>
        </is>
      </c>
      <c r="D50"/>
      <c r="E50" s="2" t="str">
        <f>=HYPERLINK("https://si.geilicdn.com/open1832946205-252808396-3f1c00000197f325877b0aa0c791_790_3265.jpg?w=640&amp;h=640", "https://si.geilicdn.com/open1832946205-252808396-3f1c00000197f325877b0aa0c791_790_3265.jpg?w=640&amp;h=640")</f>
        <v>https://si.geilicdn.com/open1832946205-252808396-3f1c00000197f325877b0aa0c791_790_3265.jpg?w=640&amp;h=640</v>
      </c>
      <c r="F50" t="inlineStr">
        <is>
          <t>Hoodies</t>
        </is>
      </c>
      <c r="G50" t="inlineStr">
        <is>
          <t>Other</t>
        </is>
      </c>
      <c r="H50" t="inlineStr">
        <is>
          <t>162.00</t>
        </is>
      </c>
      <c r="I50">
        <v>23.48</v>
      </c>
      <c r="J50" t="inlineStr">
        <is>
          <t>{"choices":[{"finish_reason":"stop","index":0,"logprobs":null,"message":{"annotations":[],"content":"HoodiesOther Cement Gray Unisex Cotton Hoodie Set","refusal":null,"role":"assistant"}}],"created":1776665836,"id":"chatcmpl-DWcEWsyfd3auBk76ANuCZ6jY3YI79","model":"gpt-5-chat-latest","object":"chat.completion","service_tier":"default","system_fingerprint":"fp_ad66631dec","usage":{"completion_tokens":12,"completion_tokens_details":{"accepted_prediction_tokens":0,"audio_tokens":0,"reasoning_tokens":0,"rejected_prediction_tokens":0},"prompt_tokens":892,"prompt_tokens_details":{"audio_tokens":0,"cached_tokens":0},"total_tokens":904}}</t>
        </is>
      </c>
      <c r="K50" t="inlineStr">
        <is>
          <t>HoodiesOther Cement Gray Unisex Cotton Hoodie Set</t>
        </is>
      </c>
      <c r="L50" t="inlineStr">
        <is>
          <t>{"choices":[{"finish_reason":"stop","index":0,"logprobs":null,"message":{"annotations":[],"content":"HoodiesOther Cement Gray Hoodie Set, made from thick pure cotton for warmth and durability. Loose drop-shoulder design with minimalist street style, kangaroo pocket, unisex, perfect for casual autumn winter wear.","refusal":null,"role":"assistant"}}],"created":1776659320,"id":"chatcmpl-DWaXQNwku39wYTOPf9QcMXJuf3lgk","model":"gpt-5-chat-latest","object":"chat.completion","service_tier":"default","system_fingerprint":"fp_ad66631dec","usage":{"completion_tokens":45,"completion_tokens_details":{"accepted_prediction_tokens":0,"audio_tokens":0,"reasoning_tokens":0,"rejected_prediction_tokens":0},"prompt_tokens":927,"prompt_tokens_details":{"audio_tokens":0,"cached_tokens":0},"total_tokens":972}}</t>
        </is>
      </c>
      <c r="M50" t="inlineStr">
        <is>
          <t>{"alt-svc":"h3=\":443\"; ma=2592000","apim-request-id":"d3a3f83e-7d05-4d5f-b614-b9d53829c73f","azureml-model-session":"d20260405234249-f9874baf","cache-control":"no-cache","connection":"close","content-length":"800","content-security-policy":"frame-ancestors 'self'","content-type":"application/json","date":"Mon, 20 Apr 2026 04:28:41 GMT","server":"nginx","skip-error-remapping":"true","strict-transport-security":"max-age=31536000; includeSubDomains; preload","via":"1.1 Caddy, 1.1 Caddy","x-api-request-id":"20260420122839340948296VTT8osry","x-content-type-options":"nosniff","x-frame-options":"SAMEORIGIN","x-ms-client-request-id":"Not-Set","x-ms-is-spilled-over":"false","x-ms-rai-invoked":"true","x-ms-region":"East US 2","x-new-api-version":"0.4.39","x-oneapi-request-id":"202604200428392737749938268d9d64Gyvef2k","x-ratelimit-abusepenalty-active":"False","x-ratelimit-limit-requests":"3850","x-ratelimit-limit-tokens":"3850000","x-ratelimit-remaining-requests":"3849","x-ratelimit-remaining-tokens":"3848305","x-ratelimit-renewalperiod-requests":"60","x-ratelimit-renewalperiod-tokens":"60","x-ratelimit-reset-requests":"15","x-ratelimit-reset-tokens":"26","x-request-id":"32799681-08aa-4a3f-affa-732d1e12ec59"}</t>
        </is>
      </c>
      <c r="N50" t="inlineStr">
        <is>
          <t>HoodiesOther Cement Gray Hoodie Set, made from thick pure cotton for warmth and durability. Loose drop-shoulder design with minimalist street style, kangaroo pocket, unisex, perfect for casual autumn winter wear.</t>
        </is>
      </c>
      <c r="O50" t="inlineStr">
        <is>
          <t>{"choices":[{"finish_reason":"stop","index":0,"logprobs":null,"message":{"annotations":[],"content":"CEMENT GRAY,HoodiesOther,kakobuy,kakebuy2026,kekobuysheet,kakobuysheet2026,2026kakobuy,kakobuyspreadsheeet,kakobuylink,kakebuylist,Kakobuy MEGA Spreadsheet,kakobuysheetfind,kakobuysheetfind2026,2026kakobuysheetfind,kakobuysheet2026  \nGRAY CAMEL COLOR,HoodiesOther,kakobuy,kakebuy2026,kekobuysheet,kakobuysheet2026,2026kakobuy,kakobuyspreadsheeet,kakobuylink,kakebuylist,Kakobuy MEGA Spreadsheet,kakobuysheetfind,kakobuysheetfind2026,2026kakobuysheetfind,kakobuysheet2026  \nBLACK,HoodiesOther,kakobuy,kakebuy2026,kekobuysheet,kakobuysheet2026,2026kakobuy,kakobuyspreadsheeet,kakobuylink,kakebuylist,Kakobuy MEGA Spreadsheet,kakobuysheetfind,kakobuysheetfind2026,2026kakobuysheetfind,kakobuysheet2026","refusal":null,"role":"assistant"}}],"created":1776668502,"id":"chatcmpl-DWcvWN6vBds8wnA9rM5y1KyVoekGE","model":"gpt-5-chat-latest","object":"chat.completion","service_tier":"default","system_fingerprint":"fp_ad66631dec","usage":{"completion_tokens":270,"completion_tokens_details":{"accepted_prediction_tokens":0,"audio_tokens":0,"reasoning_tokens":0,"rejected_prediction_tokens":0},"prompt_tokens":783,"prompt_tokens_details":{"audio_tokens":0,"cached_tokens":0},"total_tokens":1053}}</t>
        </is>
      </c>
      <c r="P50" t="inlineStr">
        <is>
          <t>CEMENT GRAY,HoodiesOther,kakobuy,kakebuy2026,kekobuysheet,kakobuysheet2026,2026kakobuy,kakobuyspreadsheeet,kakobuylink,kakebuylist,Kakobuy MEGA Spreadsheet,kakobuysheetfind,kakobuysheetfind2026,2026kakobuysheetfind,kakobuysheet2026  
GRAY CAMEL COLOR,HoodiesOther,kakobuy,kakebuy2026,kekobuysheet,kakobuysheet2026,2026kakobuy,kakobuyspreadsheeet,kakobuylink,kakebuylist,Kakobuy MEGA Spreadsheet,kakobuysheetfind,kakobuysheetfind2026,2026kakobuysheetfind,kakobuysheet2026  
BLACK,HoodiesOther,kakobuy,kakebuy2026,kekobuysheet,kakobuysheet2026,2026kakobuy,kakobuyspreadsheeet,kakobuylink,kakebuylist,Kakobuy MEGA Spreadsheet,kakobuysheetfind,kakobuysheetfind2026,2026kakobuysheetfind,kakobuysheet2026</t>
        </is>
      </c>
      <c r="Q50" t="inlineStr">
        <is>
          <t>Minimalist, Streetwear, Autumn And Winter, Unisex</t>
        </is>
      </c>
      <c r="R50" t="inlineStr">
        <is>
          <t>recvh6xFVjR2vc</t>
        </is>
      </c>
      <c r="S50" t="inlineStr">
        <is>
          <t>hoodiesother-cement-gray-unisex-cotton-hoodie-recvh6xFVjR2vc</t>
        </is>
      </c>
      <c r="T50"/>
      <c r="U50"/>
      <c r="V50"/>
      <c r="W50" t="inlineStr">
        <is>
          <t>{"choices":[{"finish_reason":"stop","index":0,"logprobs":null,"message":{"annotations":[],"content":"水泥灰连帽卫衣套装，精选厚实纯棉面料，舒适保暖且耐穿。宽松落肩剪裁融合极简街头设计，展现都市休闲风格。简约无印图腾造型搭配袋鼠口袋，男女皆宜，适合秋冬日常或出街穿搭，轻松打造随性潮流气质。","refusal":null,"role":"assistant"}}],"created":1776655473,"id":"chatcmpl-DWZXNFfPKZroCWE178T4441EqkxOJ","model":"gpt-5-chat-latest","object":"chat.completion","service_tier":"default","system_fingerprint":"fp_ad66631dec","usage":{"completion_tokens":90,"completion_tokens_details":{"accepted_prediction_tokens":0,"audio_tokens":0,"reasoning_tokens":0,"rejected_prediction_tokens":0},"prompt_tokens":1316,"prompt_tokens_details":{"audio_tokens":0,"cached_tokens":1280},"total_tokens":1406}}</t>
        </is>
      </c>
      <c r="X50" t="inlineStr">
        <is>
          <t>水泥灰连帽卫衣套装，精选厚实纯棉面料，舒适保暖且耐穿。宽松落肩剪裁融合极简街头设计，展现都市休闲风格。简约无印图腾造型搭配袋鼠口袋，男女皆宜，适合秋冬日常或出街穿搭，轻松打造随性潮流气质。</t>
        </is>
      </c>
    </row>
    <row r="51" ht="25.5" customHeight="1">
      <c r="A51">
        <v>1839115443</v>
      </c>
      <c r="B51">
        <v>7601024990</v>
      </c>
      <c r="C51" t="inlineStr">
        <is>
          <t>https://weidian.com/item.html?itemID=7601024990</t>
        </is>
      </c>
      <c r="D51"/>
      <c r="E51" s="2" t="str">
        <f>=HYPERLINK("https://si.geilicdn.com/open1832946205-252808396-5e1b00000197f3bb66e70a22d249_800_800.jpg?w=640&amp;h=640", "https://si.geilicdn.com/open1832946205-252808396-5e1b00000197f3bb66e70a22d249_800_800.jpg?w=640&amp;h=640")</f>
        <v>https://si.geilicdn.com/open1832946205-252808396-5e1b00000197f3bb66e70a22d249_800_800.jpg?w=640&amp;h=640</v>
      </c>
      <c r="F51" t="inlineStr">
        <is>
          <t>Hoodies</t>
        </is>
      </c>
      <c r="G51" t="inlineStr">
        <is>
          <t>Essentials</t>
        </is>
      </c>
      <c r="H51" t="inlineStr">
        <is>
          <t>97.00</t>
        </is>
      </c>
      <c r="I51">
        <v>14.06</v>
      </c>
      <c r="J51" t="inlineStr">
        <is>
          <t>{"id":"chatcmpl-DWcBg2GZ4fqomDPFKg2EAe24MElwX","object":"chat.completion","created":1776665660,"model":"gpt-5-chat-latest","choices":[{"index":0,"message":{"role":"assistant","content":"Essentials 1977 Vintage Oversized Unisex Fleece Hoodie","refusal":null,"annotations":[]},"logprobs":null,"finish_reason":"stop"}],"usage":{"prompt_tokens":887,"completion_tokens":14,"total_tokens":901,"prompt_tokens_details":{"cached_tokens":0,"audio_tokens":0},"completion_tokens_details":{"reasoning_tokens":0,"audio_tokens":0,"accepted_prediction_tokens":0,"rejected_prediction_tokens":0}},"service_tier":"default","system_fingerprint":"fp_ad66631dec"}</t>
        </is>
      </c>
      <c r="K51" t="inlineStr">
        <is>
          <t>Essentials 1977 Vintage Oversized Unisex Fleece Hoodie</t>
        </is>
      </c>
      <c r="L51" t="inlineStr">
        <is>
          <t>{"choices":[{"finish_reason":"stop","index":0,"logprobs":null,"message":{"annotations":[],"content":"Essentials 1977 Hoodie features premium heavyweight cotton fleece, soft and warm comfort, vintage “1977” logo, adjustable drawstring, kangaroo pocket, unisex oversized fit for trendy street style.","refusal":null,"role":"assistant"}}],"created":1776659085,"id":"chatcmpl-DWaTdwkEg76LhKKvRXJsKN1i1hIvS","model":"gpt-5-chat-latest","object":"chat.completion","service_tier":"default","system_fingerprint":"fp_ad66631dec","usage":{"completion_tokens":42,"completion_tokens_details":{"accepted_prediction_tokens":0,"audio_tokens":0,"reasoning_tokens":0,"rejected_prediction_tokens":0},"prompt_tokens":923,"prompt_tokens_details":{"audio_tokens":0,"cached_tokens":0},"total_tokens":965}}</t>
        </is>
      </c>
      <c r="M51" t="inlineStr">
        <is>
          <t>{"alt-svc":"h3=\":443\"; ma=2592000","apim-request-id":"d7e9b126-e577-4da1-938b-0a7a174bb197","azureml-model-session":"d20260405234249-f9874baf","cache-control":"no-cache","connection":"close","content-length":"788","content-security-policy":"frame-ancestors 'self'","content-type":"application/json","date":"Mon, 20 Apr 2026 04:24:46 GMT","server":"nginx","skip-error-remapping":"true","strict-transport-security":"max-age=31536000; includeSubDomains; preload","via":"1.1 Caddy, 1.1 Caddy","x-api-request-id":"202604201224452700744CjxQoWKP","x-content-type-options":"nosniff","x-frame-options":"SAMEORIGIN","x-ms-client-request-id":"Not-Set","x-ms-is-spilled-over":"false","x-ms-rai-invoked":"true","x-ms-region":"East US 2","x-new-api-version":"0.4.39","x-oneapi-request-id":"202604200424449359574338268d9d6aaqwf79C","x-ratelimit-abusepenalty-active":"False","x-ratelimit-limit-requests":"3850","x-ratelimit-limit-tokens":"3850000","x-ratelimit-remaining-requests":"3849","x-ratelimit-remaining-tokens":"3848315","x-ratelimit-renewalperiod-requests":"60","x-ratelimit-renewalperiod-tokens":"60","x-ratelimit-reset-requests":"15","x-ratelimit-reset-tokens":"26","x-request-id":"d2646f64-fffd-418a-9fc3-4a3863b08383"}</t>
        </is>
      </c>
      <c r="N51" t="inlineStr">
        <is>
          <t>Essentials 1977 Hoodie features premium heavyweight cotton fleece, soft and warm comfort, vintage “1977” logo, adjustable drawstring, kangaroo pocket, unisex oversized fit for trendy street style.</t>
        </is>
      </c>
      <c r="O51" t="inlineStr">
        <is>
          <t>{"choices":[{"finish_reason":"stop","index":0,"logprobs":null,"message":{"annotations":[],"content":"Essentials,Hoodies,kakobuy,kakebuy2026,kekobuysheet,kakobuysheet2026,2026kakobuy,kakobuyspreadsheet,kakobuylink,kakebuylist,Kakobuy MEGA Spreadsheet,kakobuysheetfind,kakobuysheetfind2026,2026kakobuysheetfind,kakobuysheet2026","refusal":null,"role":"assistant"}}],"created":1776667767,"id":"chatcmpl-DWcjfPPO6SF26DJtw4kHrMdadmg83","model":"gpt-5-chat-latest","object":"chat.completion","service_tier":"default","system_fingerprint":"fp_ad66631dec","usage":{"completion_tokens":86,"completion_tokens_details":{"accepted_prediction_tokens":0,"audio_tokens":0,"reasoning_tokens":0,"rejected_prediction_tokens":0},"prompt_tokens":784,"prompt_tokens_details":{"audio_tokens":0,"cached_tokens":0},"total_tokens":870}}</t>
        </is>
      </c>
      <c r="P51" t="inlineStr">
        <is>
          <t>Essentials,Hoodies,kakobuy,kakebuy2026,kekobuysheet,kakobuysheet2026,2026kakobuy,kakobuyspreadsheet,kakobuylink,kakebuylist,Kakobuy MEGA Spreadsheet,kakobuysheetfind,kakobuysheetfind2026,2026kakobuysheetfind,kakobuysheet2026</t>
        </is>
      </c>
      <c r="Q51" t="inlineStr">
        <is>
          <t>Unisex, Streetwear, Fleece-Lined, Vintage, Comfort</t>
        </is>
      </c>
      <c r="R51" t="inlineStr">
        <is>
          <t>recvh6xFVjIODa</t>
        </is>
      </c>
      <c r="S51" t="inlineStr">
        <is>
          <t>1977-vintage-oversized-unisex-fleece-hoodie-recvh6xfvjioda</t>
        </is>
      </c>
      <c r="T51"/>
      <c r="U51"/>
      <c r="V51"/>
      <c r="W51" t="inlineStr">
        <is>
          <t>{"id":"chatcmpl-DWZPEVB3pSpgWzv04w8LkZZHziRLh","object":"chat.completion","created":1776654968,"model":"gpt-5-chat-latest","choices":[{"index":0,"message":{"role":"assistant","content":"Essentials：1977系列灰色连帽卫衣，精选高克重纯棉抓绒面料，柔软保暖。胸前复古“1977”字样彰显街头印记，宽松版型搭配可调抽绳与袋鼠兜设计，男女同款，休闲潮流风格兼具舒适与态度。","refusal":null,"annotations":[]},"logprobs":null,"finish_reason":"stop"}],"usage":{"prompt_tokens":1319,"completion_tokens":85,"total_tokens":1404,"prompt_tokens_details":{"cached_tokens":0,"audio_tokens":0},"completion_tokens_details":{"reasoning_tokens":0,"audio_tokens":0,"accepted_prediction_tokens":0,"rejected_prediction_tokens":0}},"service_tier":"default","system_fingerprint":"fp_ad66631dec"}</t>
        </is>
      </c>
      <c r="X51" t="inlineStr">
        <is>
          <t>Essentials：1977系列灰色连帽卫衣，精选高克重纯棉抓绒面料，柔软保暖。胸前复古“1977”字样彰显街头印记，宽松版型搭配可调抽绳与袋鼠兜设计，男女同款，休闲潮流风格兼具舒适与态度。</t>
        </is>
      </c>
    </row>
    <row r="52" ht="25.5" customHeight="1">
      <c r="A52">
        <v>1839115443</v>
      </c>
      <c r="B52">
        <v>7599075119</v>
      </c>
      <c r="C52" t="inlineStr">
        <is>
          <t>https://weidian.com/item.html?itemID=7599075119</t>
        </is>
      </c>
      <c r="D52"/>
      <c r="E52" s="2" t="str">
        <f>=HYPERLINK("https://si.geilicdn.com/open1832946205-252808396-2b1200000197f22204350a23b491_800_800.jpg?w=640&amp;h=640", "https://si.geilicdn.com/open1832946205-252808396-2b1200000197f22204350a23b491_800_800.jpg?w=640&amp;h=640")</f>
        <v>https://si.geilicdn.com/open1832946205-252808396-2b1200000197f22204350a23b491_800_800.jpg?w=640&amp;h=640</v>
      </c>
      <c r="F52" t="inlineStr">
        <is>
          <t>Hoodies</t>
        </is>
      </c>
      <c r="G52" t="inlineStr">
        <is>
          <t>The North Face</t>
        </is>
      </c>
      <c r="H52" t="inlineStr">
        <is>
          <t>134.00</t>
        </is>
      </c>
      <c r="I52">
        <v>19.42</v>
      </c>
      <c r="J52" t="inlineStr">
        <is>
          <t>{"choices":[{"finish_reason":"stop","index":0,"logprobs":null,"message":{"annotations":[],"content":"The North Face Black Geometric Print Unisex Hoodie","refusal":null,"role":"assistant"}}],"created":1776666085,"id":"chatcmpl-DWcIX5byu9RYJIiFRDEHz6XR3qpdi","model":"gpt-5-chat-latest","object":"chat.completion","service_tier":"default","system_fingerprint":"fp_ad66631dec","usage":{"completion_tokens":11,"completion_tokens_details":{"accepted_prediction_tokens":0,"audio_tokens":0,"reasoning_tokens":0,"rejected_prediction_tokens":0},"prompt_tokens":884,"prompt_tokens_details":{"audio_tokens":0,"cached_tokens":0},"total_tokens":895}}</t>
        </is>
      </c>
      <c r="K52" t="inlineStr">
        <is>
          <t>The North Face Black Geometric Print Unisex Hoodie</t>
        </is>
      </c>
      <c r="L52" t="inlineStr">
        <is>
          <t>{"choices":[{"finish_reason":"stop","index":0,"logprobs":null,"message":{"annotations":[],"content":"The North Face black hoodie made from premium cotton blend, featuring bold geometric arrow and text print on the back, striped sleeves, loose fit for unisex comfort, stylish and warm urban streetwear.","refusal":null,"role":"assistant"}}],"created":1776658611,"id":"chatcmpl-DWaLzTyTu4WXBQFKjcFdYRFMOiXNH","model":"gpt-5-chat-latest","object":"chat.completion","service_tier":"default","system_fingerprint":"fp_ad66631dec","usage":{"completion_tokens":40,"completion_tokens_details":{"accepted_prediction_tokens":0,"audio_tokens":0,"reasoning_tokens":0,"rejected_prediction_tokens":0},"prompt_tokens":917,"prompt_tokens_details":{"audio_tokens":0,"cached_tokens":0},"total_tokens":957}}</t>
        </is>
      </c>
      <c r="M52" t="inlineStr">
        <is>
          <t>{"alt-svc":"h3=\":443\"; ma=2592000","apim-request-id":"571cb352-602c-4274-96a5-72ef30997f34","azureml-model-session":"d20260402083108-57a85543","cache-control":"no-cache","connection":"close","content-length":"788","content-security-policy":"frame-ancestors 'self'","content-type":"application/json","date":"Mon, 20 Apr 2026 04:16:52 GMT","server":"Caddy","skip-error-remapping":"true","strict-transport-security":"max-age=31536000; includeSubDomains; preload","via":"1.1 Caddy","x-api-request-id":"20260420121651183985320OlGKsa5G","x-content-type-options":"nosniff","x-frame-options":"SAMEORIGIN","x-ms-client-request-id":"Not-Set","x-ms-is-spilled-over":"false","x-ms-rai-invoked":"true","x-ms-region":"East US 2","x-new-api-version":"0.4.39","x-oneapi-request-id":"202604200416511181699968268d9d6C4MHUAhj","x-ratelimit-abusepenalty-active":"False","x-ratelimit-limit-requests":"3850","x-ratelimit-limit-tokens":"3850000","x-ratelimit-remaining-requests":"3849","x-ratelimit-remaining-tokens":"3848321","x-ratelimit-renewalperiod-requests":"60","x-ratelimit-renewalperiod-tokens":"60","x-ratelimit-reset-requests":"15","x-ratelimit-reset-tokens":"26","x-request-id":"40ccaedd-7da5-429b-b8f3-8fa844ee27df"}</t>
        </is>
      </c>
      <c r="N52" t="inlineStr">
        <is>
          <t>The North Face black hoodie made from premium cotton blend, featuring bold geometric arrow and text print on the back, striped sleeves, loose fit for unisex comfort, stylish and warm urban streetwear.</t>
        </is>
      </c>
      <c r="O52" t="inlineStr">
        <is>
          <t>{"choices":[{"finish_reason":"stop","index":0,"logprobs":null,"message":{"annotations":[],"content":"The North Face, Hoodies, kakobuy, kakebuy2026, kekobuysheet, kakobuysheet2026, 2026kakobuy, kakobuyspreadsheeet, kakobuylink, kakebuylist, Kakobuy MEGA Spreadsheet, kakobuysheetfind, kakobuysheetfind2026, 2026kakobuysheetfind, kakobuysheet2026","refusal":null,"role":"assistant"}}],"created":1776668883,"id":"chatcmpl-DWd1fkkDFmiqgczYJWg9HsFVqZQmf","model":"gpt-5-chat-latest","object":"chat.completion","service_tier":"default","system_fingerprint":"fp_ad66631dec","usage":{"completion_tokens":93,"completion_tokens_details":{"accepted_prediction_tokens":0,"audio_tokens":0,"reasoning_tokens":0,"rejected_prediction_tokens":0},"prompt_tokens":785,"prompt_tokens_details":{"audio_tokens":0,"cached_tokens":0},"total_tokens":878}}</t>
        </is>
      </c>
      <c r="P52" t="inlineStr">
        <is>
          <t>The North Face, Hoodies, kakobuy, kakebuy2026, kekobuysheet, kakobuysheet2026, 2026kakobuy, kakobuyspreadsheeet, kakobuylink, kakebuylist, Kakobuy MEGA Spreadsheet, kakobuysheetfind, kakobuysheetfind2026, 2026kakobuysheetfind, kakobuysheet2026</t>
        </is>
      </c>
      <c r="Q52" t="inlineStr">
        <is>
          <t>Streetwear, Unisex, Black, Geometric</t>
        </is>
      </c>
      <c r="R52" t="inlineStr">
        <is>
          <t>recvh6xFVjasak</t>
        </is>
      </c>
      <c r="S52" t="inlineStr">
        <is>
          <t>thenorthface-black-geometric-hoodie-recvh6xFVjasak</t>
        </is>
      </c>
      <c r="T52"/>
      <c r="U52"/>
      <c r="V52"/>
      <c r="W52" t="inlineStr">
        <is>
          <t>{"choices":[{"finish_reason":"stop","index":0,"logprobs":null,"message":{"annotations":[],"content":"The North Face 黑色连帽卫衣，优质棉质混纺面料打造，背部醒目几何箭头及英文印花设计，袖部斜纹条纹彰显街头感。宽松剪裁舒适透气，男女皆宜，兼具保暖与时尚，演绎都市潮流休闲风。","refusal":null,"role":"assistant"}}],"created":1776656129,"id":"chatcmpl-DWZhxaF9hbvN31nF8U1bShXmSZv6u","model":"gpt-5-chat-latest","object":"chat.completion","service_tier":"default","system_fingerprint":"fp_ad66631dec","usage":{"completion_tokens":81,"completion_tokens_details":{"accepted_prediction_tokens":0,"audio_tokens":0,"reasoning_tokens":0,"rejected_prediction_tokens":0},"prompt_tokens":1316,"prompt_tokens_details":{"audio_tokens":0,"cached_tokens":0},"total_tokens":1397}}</t>
        </is>
      </c>
      <c r="X52" t="inlineStr">
        <is>
          <t>The North Face 黑色连帽卫衣，优质棉质混纺面料打造，背部醒目几何箭头及英文印花设计，袖部斜纹条纹彰显街头感。宽松剪裁舒适透气，男女皆宜，兼具保暖与时尚，演绎都市潮流休闲风。</t>
        </is>
      </c>
    </row>
    <row r="53" ht="25.5" customHeight="1">
      <c r="A53">
        <v>1839115443</v>
      </c>
      <c r="B53">
        <v>7601095968</v>
      </c>
      <c r="C53" t="inlineStr">
        <is>
          <t>https://weidian.com/item.html?itemID=7601095968</t>
        </is>
      </c>
      <c r="D53"/>
      <c r="E53" s="2" t="str">
        <f>=HYPERLINK("https://si.geilicdn.com/open1832946205-252808396-158600000196d7550cbb0a8133b0_1920_1920.jpg?w=640&amp;h=640", "https://si.geilicdn.com/open1832946205-252808396-158600000196d7550cbb0a8133b0_1920_1920.jpg?w=640&amp;h=640")</f>
        <v>https://si.geilicdn.com/open1832946205-252808396-158600000196d7550cbb0a8133b0_1920_1920.jpg?w=640&amp;h=640</v>
      </c>
      <c r="F53" t="inlineStr">
        <is>
          <t>T-Shirts</t>
        </is>
      </c>
      <c r="G53" t="inlineStr">
        <is>
          <t>Casablanca</t>
        </is>
      </c>
      <c r="H53" t="inlineStr">
        <is>
          <t>95.00</t>
        </is>
      </c>
      <c r="I53">
        <v>13.77</v>
      </c>
      <c r="J53" t="inlineStr">
        <is>
          <t>{"choices":[{"finish_reason":"stop","index":0,"logprobs":null,"message":{"annotations":[],"content":"Casablanca Aiiiiiir White Graphic Cotton T-Shirt","refusal":null,"role":"assistant"}}],"created":1776665686,"id":"chatcmpl-DWcC6LMUsVxJ6KIDDvAlArVGoy0Ff","model":"gpt-5-chat-latest","object":"chat.completion","service_tier":"default","system_fingerprint":"fp_ad66631dec","usage":{"completion_tokens":12,"completion_tokens_details":{"accepted_prediction_tokens":0,"audio_tokens":0,"reasoning_tokens":0,"rejected_prediction_tokens":0},"prompt_tokens":876,"prompt_tokens_details":{"audio_tokens":0,"cached_tokens":0},"total_tokens":888}}</t>
        </is>
      </c>
      <c r="K53" t="inlineStr">
        <is>
          <t>Casablanca Aiiiiiir White Graphic Cotton T-Shirt</t>
        </is>
      </c>
      <c r="L53" t="inlineStr">
        <is>
          <t>{"choices":[{"finish_reason":"stop","index":0,"logprobs":null,"message":{"annotations":[],"content":"Casablanca white Aiiiiiir cotton T-shirt with geometric plane, wave and sun print, inspired by travel and vacation spirit, relaxed unisex fit for modern French artistic style.","refusal":null,"role":"assistant"}}],"created":1776658452,"id":"chatcmpl-DWaJQCKKlfPDLUZxiR8duK1hJ3Qjx","model":"gpt-5-chat-latest","object":"chat.completion","service_tier":"default","system_fingerprint":"fp_ad66631dec","usage":{"completion_tokens":37,"completion_tokens_details":{"accepted_prediction_tokens":0,"audio_tokens":0,"reasoning_tokens":0,"rejected_prediction_tokens":0},"prompt_tokens":915,"prompt_tokens_details":{"audio_tokens":0,"cached_tokens":0},"total_tokens":952}}</t>
        </is>
      </c>
      <c r="M53" t="inlineStr">
        <is>
          <t>{"alt-svc":"h3=\":443\"; ma=2592000","apim-request-id":"c69fce9e-f116-4e99-8db2-a18929ea7be4","azureml-model-session":"d20260405234249-f9874baf","cache-control":"no-cache","connection":"close","content-length":"763","content-security-policy":"frame-ancestors 'self'","content-type":"application/json","date":"Mon, 20 Apr 2026 04:14:13 GMT","server":"Caddy","skip-error-remapping":"true","strict-transport-security":"max-age=31536000; includeSubDomains; preload","via":"1.1 Caddy","x-api-request-id":"20260420121411860468800C9OYNojB","x-content-type-options":"nosniff","x-frame-options":"SAMEORIGIN","x-ms-client-request-id":"Not-Set","x-ms-is-spilled-over":"false","x-ms-rai-invoked":"true","x-ms-region":"East US 2","x-new-api-version":"0.4.39","x-oneapi-request-id":"202604200414117229230868268d9d6o05oCRPk","x-ratelimit-abusepenalty-active":"False","x-ratelimit-limit-requests":"3850","x-ratelimit-limit-tokens":"3850000","x-ratelimit-remaining-requests":"3849","x-ratelimit-remaining-tokens":"3848323","x-ratelimit-renewalperiod-requests":"60","x-ratelimit-renewalperiod-tokens":"60","x-ratelimit-reset-requests":"15","x-ratelimit-reset-tokens":"26","x-request-id":"8ebe90ff-99e3-46c7-9cfd-4a5bfce6cc32"}</t>
        </is>
      </c>
      <c r="N53" t="inlineStr">
        <is>
          <t>Casablanca white Aiiiiiir cotton T-shirt with geometric plane, wave and sun print, inspired by travel and vacation spirit, relaxed unisex fit for modern French artistic style.</t>
        </is>
      </c>
      <c r="O53" t="inlineStr">
        <is>
          <t>{"choices":[{"finish_reason":"stop","index":0,"logprobs":null,"message":{"annotations":[],"content":"Casablanca, T-Shirts, kakobuy, kakebuy2026, kekobuysheet, kakobuysheet2026, 2026kakobuy, kakobuyspreadsheeet, kakobuylink, kakebuylist, Kakobuy MEGA Spreadsheet, kakobuysheetfind, kakobuysheetfind2026, 2026kakobuysheetfind, kakobuysheet2026","refusal":null,"role":"assistant"}}],"created":1776667525,"id":"chatcmpl-DWcflwpllaSq7ShKNxFOpZ5DQ032i","model":"gpt-5-chat-latest","object":"chat.completion","service_tier":"default","system_fingerprint":"fp_ad66631dec","usage":{"completion_tokens":92,"completion_tokens_details":{"accepted_prediction_tokens":0,"audio_tokens":0,"reasoning_tokens":0,"rejected_prediction_tokens":0},"prompt_tokens":783,"prompt_tokens_details":{"audio_tokens":0,"cached_tokens":0},"total_tokens":875}}</t>
        </is>
      </c>
      <c r="P53" t="inlineStr">
        <is>
          <t>Casablanca, T-Shirts, kakobuy, kakebuy2026, kekobuysheet, kakobuysheet2026, 2026kakobuy, kakobuyspreadsheeet, kakobuylink, kakebuylist, Kakobuy MEGA Spreadsheet, kakobuysheetfind, kakobuysheetfind2026, 2026kakobuysheetfind, kakobuysheet2026</t>
        </is>
      </c>
      <c r="Q53" t="inlineStr">
        <is>
          <t>White, Geometric, Artistic Style, Unisex</t>
        </is>
      </c>
      <c r="R53" t="inlineStr">
        <is>
          <t>recvh6xFVjHvNG</t>
        </is>
      </c>
      <c r="S53" t="inlineStr">
        <is>
          <t>casablanca-aiiiiiir-white-graphic-cotton-tshirt-recvh6xfvjhvng</t>
        </is>
      </c>
      <c r="T53"/>
      <c r="U53"/>
      <c r="V53"/>
      <c r="W53" t="inlineStr">
        <is>
          <t>{"choices":[{"finish_reason":"stop","index":0,"logprobs":null,"message":{"annotations":[],"content":"Casablanca：白色Aiiiiiir系列短袖T恤，采用柔软纯棉材质，背部印有几何飞机与海浪日光图腾，展现旅行灵感与度假风情，宽松中性剪裁，休闲与艺术气息并存，彰显现代法式摩登魅力。","refusal":null,"role":"assistant"}}],"created":1776655159,"id":"chatcmpl-DWZSJKZ5dHIWdOmQdSqFlSiUnY1qm","model":"gpt-5-chat-latest","object":"chat.completion","service_tier":"default","system_fingerprint":"fp_ad66631dec","usage":{"completion_tokens":78,"completion_tokens_details":{"accepted_prediction_tokens":0,"audio_tokens":0,"reasoning_tokens":0,"rejected_prediction_tokens":0},"prompt_tokens":1318,"prompt_tokens_details":{"audio_tokens":0,"cached_tokens":0},"total_tokens":1396}}</t>
        </is>
      </c>
      <c r="X53" t="inlineStr">
        <is>
          <t>Casablanca：白色Aiiiiiir系列短袖T恤，采用柔软纯棉材质，背部印有几何飞机与海浪日光图腾，展现旅行灵感与度假风情，宽松中性剪裁，休闲与艺术气息并存，彰显现代法式摩登魅力。</t>
        </is>
      </c>
    </row>
    <row r="54" ht="25.5" customHeight="1">
      <c r="A54">
        <v>1839115443</v>
      </c>
      <c r="B54">
        <v>7600966692</v>
      </c>
      <c r="C54" t="inlineStr">
        <is>
          <t>https://weidian.com/item.html?itemID=7600966692</t>
        </is>
      </c>
      <c r="D54"/>
      <c r="E54" s="2" t="str">
        <f>=HYPERLINK("https://si.geilicdn.com/open1832946205-1234478995-162500000196c91b63b50aa0834c_960_960.jpg?w=640&amp;h=640", "https://si.geilicdn.com/open1832946205-1234478995-162500000196c91b63b50aa0834c_960_960.jpg?w=640&amp;h=640")</f>
        <v>https://si.geilicdn.com/open1832946205-1234478995-162500000196c91b63b50aa0834c_960_960.jpg?w=640&amp;h=640</v>
      </c>
      <c r="F54" t="inlineStr">
        <is>
          <t>T-Shirts</t>
        </is>
      </c>
      <c r="G54" t="inlineStr">
        <is>
          <t>Nike</t>
        </is>
      </c>
      <c r="H54" t="inlineStr">
        <is>
          <t>54.00</t>
        </is>
      </c>
      <c r="I54">
        <v>7.83</v>
      </c>
      <c r="J54" t="inlineStr">
        <is>
          <t>{"choices":[{"finish_reason":"stop","index":0,"logprobs":null,"message":{"annotations":[],"content":"Nike Classic White Cotton Swoosh T-Shirt Unisex","refusal":null,"role":"assistant"}}],"created":1776666757,"id":"chatcmpl-DWcTNqfuu5AIZyofXyWI8VTi2anl7","model":"gpt-5-chat-latest","object":"chat.completion","service_tier":"default","system_fingerprint":"fp_ad66631dec","usage":{"completion_tokens":12,"completion_tokens_details":{"accepted_prediction_tokens":0,"audio_tokens":0,"reasoning_tokens":0,"rejected_prediction_tokens":0},"prompt_tokens":867,"prompt_tokens_details":{"audio_tokens":0,"cached_tokens":0},"total_tokens":879}}</t>
        </is>
      </c>
      <c r="K54" t="inlineStr">
        <is>
          <t>Nike Classic White Cotton Swoosh T-Shirt Unisex</t>
        </is>
      </c>
      <c r="L54" t="inlineStr">
        <is>
          <t>{"choices":[{"finish_reason":"stop","index":0,"logprobs":null,"message":{"annotations":[],"content":"Nike Classic White Cotton T-Shirt featuring iconic embroidered Swoosh logo, soft breathable fabric, minimalist style for men and women, perfect for everyday sporty casual wear.","refusal":null,"role":"assistant"}}],"created":1776659459,"id":"chatcmpl-DWaZfjQeC6eeaRwo3kMgY1GobHeAA","model":"gpt-5-chat-latest","object":"chat.completion","service_tier":"default","system_fingerprint":"fp_ad66631dec","usage":{"completion_tokens":33,"completion_tokens_details":{"accepted_prediction_tokens":0,"audio_tokens":0,"reasoning_tokens":0,"rejected_prediction_tokens":0},"prompt_tokens":889,"prompt_tokens_details":{"audio_tokens":0,"cached_tokens":0},"total_tokens":922}}</t>
        </is>
      </c>
      <c r="M54" t="inlineStr">
        <is>
          <t>{"alt-svc":"h3=\":443\"; ma=2592000","apim-request-id":"126df568-d478-4aa6-a585-a199cce0cde1","azureml-model-session":"d20260405234249-f9874baf","cache-control":"no-cache","connection":"close","content-length":"764","content-security-policy":"frame-ancestors 'self'","content-type":"application/json","date":"Mon, 20 Apr 2026 04:31:00 GMT","server":"Caddy","skip-error-remapping":"true","strict-transport-security":"max-age=31536000; includeSubDomains; preload","via":"1.1 Caddy","x-api-request-id":"20260420123058469058568tq6o9fOW","x-content-type-options":"nosniff","x-frame-options":"SAMEORIGIN","x-ms-client-request-id":"Not-Set","x-ms-is-spilled-over":"false","x-ms-rai-invoked":"true","x-ms-region":"East US 2","x-new-api-version":"0.4.39","x-oneapi-request-id":"202604200430583954970348268d9d6l2GSJ0Pf","x-ratelimit-abusepenalty-active":"False","x-ratelimit-limit-requests":"3850","x-ratelimit-limit-tokens":"3850000","x-ratelimit-remaining-requests":"3849","x-ratelimit-remaining-tokens":"3848349","x-ratelimit-renewalperiod-requests":"60","x-ratelimit-renewalperiod-tokens":"60","x-ratelimit-reset-requests":"15","x-ratelimit-reset-tokens":"25","x-request-id":"74874379-759c-483f-9f2a-ac0514024129"}</t>
        </is>
      </c>
      <c r="N54" t="inlineStr">
        <is>
          <t>Nike Classic White Cotton T-Shirt featuring iconic embroidered Swoosh logo, soft breathable fabric, minimalist style for men and women, perfect for everyday sporty casual wear.</t>
        </is>
      </c>
      <c r="O54" t="inlineStr">
        <is>
          <t>{"id":"chatcmpl-DWcbTIOolIv4LWhOroOwmspLcLoYS","object":"chat.completion","created":1776667259,"model":"gpt-5-chat-latest","choices":[{"index":0,"message":{"role":"assistant","content":"Nike,T-Shirt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86,"total_tokens":868,"prompt_tokens_details":{"cached_tokens":0,"audio_tokens":0},"completion_tokens_details":{"reasoning_tokens":0,"audio_tokens":0,"accepted_prediction_tokens":0,"rejected_prediction_tokens":0}},"service_tier":"default","system_fingerprint":"fp_ad66631dec"}</t>
        </is>
      </c>
      <c r="P54" t="inlineStr">
        <is>
          <t>Nike,T-Shirts,kakobuy,kakebuy2026,kekobuysheet,kakobuysheet2026,2026kakobuy,kakobuyspreadsheeet,kakobuylink,kakebuylist,Kakobuy MEGA Spreadsheet,kakobuysheetfind,kakobuysheetfind2026,2026kakobuysheetfind,kakobuysheet2026</t>
        </is>
      </c>
      <c r="Q54" t="inlineStr">
        <is>
          <t>Nike, White, Minimalist, Sporty, Unisex</t>
        </is>
      </c>
      <c r="R54" t="inlineStr">
        <is>
          <t>recvh6xFVjzSKh</t>
        </is>
      </c>
      <c r="S54" t="inlineStr">
        <is>
          <t>nike-classic-white-cotton-swoosh-t-shirt-unisex-recvh6xfvjzskh</t>
        </is>
      </c>
      <c r="T54"/>
      <c r="U54"/>
      <c r="V54"/>
      <c r="W54" t="inlineStr">
        <is>
          <t>{"choices":[{"finish_reason":"stop","index":0,"logprobs":null,"message":{"annotations":[],"content":"Nike：经典白色基础款T恤，采用柔软纯棉面料，胸前标志性Swoosh刺绣Logo，简约百搭设计适合男女日常穿搭，展现运动休闲风格。","refusal":null,"role":"assistant"}}],"created":1776655136,"id":"chatcmpl-DWZRwTndf4qeHeU2CmsN0xosLrZfE","model":"gpt-5-chat-latest","object":"chat.completion","service_tier":"default","system_fingerprint":"fp_ad66631dec","usage":{"completion_tokens":55,"completion_tokens_details":{"accepted_prediction_tokens":0,"audio_tokens":0,"reasoning_tokens":0,"rejected_prediction_tokens":0},"prompt_tokens":1311,"prompt_tokens_details":{"audio_tokens":0,"cached_tokens":1280},"total_tokens":1366}}</t>
        </is>
      </c>
      <c r="X54" t="inlineStr">
        <is>
          <t>Nike：经典白色基础款T恤，采用柔软纯棉面料，胸前标志性Swoosh刺绣Logo，简约百搭设计适合男女日常穿搭，展现运动休闲风格。</t>
        </is>
      </c>
    </row>
    <row r="55" ht="25.5" customHeight="1">
      <c r="A55">
        <v>1839115443</v>
      </c>
      <c r="B55">
        <v>7601070334</v>
      </c>
      <c r="C55" t="inlineStr">
        <is>
          <t>https://weidian.com/item.html?itemID=7601070334</t>
        </is>
      </c>
      <c r="D55"/>
      <c r="E55" s="2" t="str">
        <f>=HYPERLINK("https://si.geilicdn.com/open1832946205-252808396-5f2c00000197e9554b8d0a231226_800_800.jpg?w=640&amp;h=640", "https://si.geilicdn.com/open1832946205-252808396-5f2c00000197e9554b8d0a231226_800_800.jpg?w=640&amp;h=640")</f>
        <v>https://si.geilicdn.com/open1832946205-252808396-5f2c00000197e9554b8d0a231226_800_800.jpg?w=640&amp;h=640</v>
      </c>
      <c r="F55" t="inlineStr">
        <is>
          <t>Hoodies</t>
        </is>
      </c>
      <c r="G55" t="inlineStr">
        <is>
          <t>Anti Social Social Club</t>
        </is>
      </c>
      <c r="H55" t="inlineStr">
        <is>
          <t>108.00</t>
        </is>
      </c>
      <c r="I55">
        <v>15.65</v>
      </c>
      <c r="J55" t="inlineStr">
        <is>
          <t>{"choices":[{"finish_reason":"stop","index":0,"logprobs":null,"message":{"annotations":[],"content":"Anti Social Social Club Yellow Graffiti Logo Hoodie","refusal":null,"role":"assistant"}}],"created":1776665738,"id":"chatcmpl-DWcCwCdvtqV4ofv1POr2tqN4KkLtD","model":"gpt-5-chat-latest","object":"chat.completion","service_tier":"default","system_fingerprint":"fp_ad66631dec","usage":{"completion_tokens":10,"completion_tokens_details":{"accepted_prediction_tokens":0,"audio_tokens":0,"reasoning_tokens":0,"rejected_prediction_tokens":0},"prompt_tokens":879,"prompt_tokens_details":{"audio_tokens":0,"cached_tokens":0},"total_tokens":889}}</t>
        </is>
      </c>
      <c r="K55" t="inlineStr">
        <is>
          <t>Anti Social Social Club Yellow Graffiti Logo Hoodie</t>
        </is>
      </c>
      <c r="L55" t="inlineStr">
        <is>
          <t>{"id":"chatcmpl-DWaZgGgwLdh0ZTsN3bnt2wUbrDBCc","object":"chat.completion","created":1776659460,"model":"gpt-5-chat-latest","choices":[{"index":0,"message":{"role":"assistant","content":"Anti Social Social Club Yellow Hoodie made from soft cotton, features bold white logo and pink-purple graffiti crossover design, adjustable drawstring, kangaroo pocket, unisex street style fit.","refusal":null,"annotations":[]},"logprobs":null,"finish_reason":"stop"}],"usage":{"prompt_tokens":938,"completion_tokens":37,"total_tokens":975,"prompt_tokens_details":{"cached_tokens":0,"audio_tokens":0},"completion_tokens_details":{"reasoning_tokens":0,"audio_tokens":0,"accepted_prediction_tokens":0,"rejected_prediction_tokens":0}},"service_tier":"default","system_fingerprint":"fp_ad66631dec"}</t>
        </is>
      </c>
      <c r="M55"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ma=2592000","apim-request-id":"05c41022-66a9-48a2-9cff-62c76aac97f5","azureml-model-session":"d20260405234249-f9874baf","cache-control":"no-cache, no-store, must-revalidate","connection":"close","content-length":"997","content-security-policy":"frame-ancestors 'self'","content-type":"application/json","date":"Mon, 20 Apr 2026 04:31:02 GMT","server":"nginx","skip-error-remapping":"true","strict-transport-security":"max-age=31536000; includeSubDomains; preload","via":"1.1 Caddy, 1.1 Caddy","x-api-request-id":"20260420123059987626055vEWrP5ER","x-content-type-options":"nosniff","x-frame-options":"SAMEORIGIN","x-ms-is-spilled-over":"false","x-ms-rai-invoked":"false","x-ms-region":"East US 2","x-new-api-version":"0.4.39","x-oneapi-request-id":"202604200430599191710798268d9d6shXIMQzO","x-ratelimit-abusepenalty-active":"False","x-ratelimit-limit-requests":"4994","x-ratelimit-limit-tokens":"4994000","x-ratelimit-remaining-requests":"4993","x-ratelimit-remaining-tokens":"4992300","x-ratelimit-renewalperiod-requests":"60","x-ratelimit-renewalperiod-tokens":"60","x-ratelimit-reset-requests":"12","x-ratelimit-reset-tokens":"20","x-request-id":"53381863-c8a2-4e3e-989a-45b3c4cfe4fd"}</t>
        </is>
      </c>
      <c r="N55" t="inlineStr">
        <is>
          <t>Anti Social Social Club Yellow Hoodie made from soft cotton, features bold white logo and pink-purple graffiti crossover design, adjustable drawstring, kangaroo pocket, unisex street style fit.</t>
        </is>
      </c>
      <c r="O55" t="inlineStr">
        <is>
          <t>{"choices":[{"finish_reason":"stop","index":0,"logprobs":null,"message":{"annotations":[],"content":"Anti Social Social Club,Hoodies,kakobuy,kakebuy2026,kekobuysheet,kakobuysheet2026,2026kakobuy,kakobuyspreadsheeet,kakobuylink,kakebuylist,Kakobuy MEGA Spreadsheet,kakobuysheetfind,kakobuysheetfind2026,2026kakobuysheetfind,kakobuysheet2026","refusal":null,"role":"assistant"}}],"created":1776667415,"id":"chatcmpl-DWcdzelKaYMk9L8KIlqbo38Zq3hAF","model":"gpt-5-chat-latest","object":"chat.completion","service_tier":"default","system_fingerprint":"fp_ad66631dec","usage":{"completion_tokens":90,"completion_tokens_details":{"accepted_prediction_tokens":0,"audio_tokens":0,"reasoning_tokens":0,"rejected_prediction_tokens":0},"prompt_tokens":786,"prompt_tokens_details":{"audio_tokens":0,"cached_tokens":0},"total_tokens":876}}</t>
        </is>
      </c>
      <c r="P55" t="inlineStr">
        <is>
          <t>Anti Social Social Club,Hoodies,kakobuy,kakebuy2026,kekobuysheet,kakobuysheet2026,2026kakobuy,kakobuyspreadsheeet,kakobuylink,kakebuylist,Kakobuy MEGA Spreadsheet,kakobuysheetfind,kakobuysheetfind2026,2026kakobuysheetfind,kakobuysheet2026</t>
        </is>
      </c>
      <c r="Q55" t="inlineStr">
        <is>
          <t>Yellow, Unisex, Streetwear</t>
        </is>
      </c>
      <c r="R55" t="inlineStr">
        <is>
          <t>recvh6xFVjiige</t>
        </is>
      </c>
      <c r="S55" t="inlineStr">
        <is>
          <t>anti-social-club-yellow-graffiti-hoodie-recvh6xfvjiige</t>
        </is>
      </c>
      <c r="T55"/>
      <c r="U55"/>
      <c r="V55"/>
      <c r="W55" t="inlineStr">
        <is>
          <t>{"id":"chatcmpl-DWZeJsE3eSu7Vk0HEz7FNQZPP4p8P","object":"chat.completion","created":1776655903,"model":"gpt-5-chat-latest","choices":[{"index":0,"message":{"role":"assistant","content":"Anti Social Social Club：黄色连帽卫衣，柔软棉质面料打造，正背面印以标志性白字与紫粉色交叉涂鸦图案，呈现街头潮流艺术感。宽松剪裁配以可调节抽绳与袋鼠口袋，兼具舒适与实用，男女皆宜。展现年轻个性态度的街头休闲单品。","refusal":null,"annotations":[]},"logprobs":null,"finish_reason":"stop"}],"usage":{"prompt_tokens":1325,"completion_tokens":98,"total_tokens":1423,"prompt_tokens_details":{"cached_tokens":0,"audio_tokens":0},"completion_tokens_details":{"reasoning_tokens":0,"audio_tokens":0,"accepted_prediction_tokens":0,"rejected_prediction_tokens":0}},"service_tier":"default","system_fingerprint":"fp_ad66631dec"}</t>
        </is>
      </c>
      <c r="X55" t="inlineStr">
        <is>
          <t>Anti Social Social Club：黄色连帽卫衣，柔软棉质面料打造，正背面印以标志性白字与紫粉色交叉涂鸦图案，呈现街头潮流艺术感。宽松剪裁配以可调节抽绳与袋鼠口袋，兼具舒适与实用，男女皆宜。展现年轻个性态度的街头休闲单品。</t>
        </is>
      </c>
    </row>
    <row r="56" ht="25.5" customHeight="1">
      <c r="A56">
        <v>1839115443</v>
      </c>
      <c r="B56">
        <v>7599187753</v>
      </c>
      <c r="C56" t="inlineStr">
        <is>
          <t>https://weidian.com/item.html?itemID=7599187753</t>
        </is>
      </c>
      <c r="D56"/>
      <c r="E56" s="2" t="str">
        <f>=HYPERLINK("https://si.geilicdn.com/open1832946205-252808396-08eb00000197e9d61b3d0a23b4de_800_800.jpg?w=640&amp;h=640", "https://si.geilicdn.com/open1832946205-252808396-08eb00000197e9d61b3d0a23b4de_800_800.jpg?w=640&amp;h=640")</f>
        <v>https://si.geilicdn.com/open1832946205-252808396-08eb00000197e9d61b3d0a23b4de_800_800.jpg?w=640&amp;h=640</v>
      </c>
      <c r="F56" t="inlineStr">
        <is>
          <t>Hoodies</t>
        </is>
      </c>
      <c r="G56" t="inlineStr">
        <is>
          <t>Gallery Dept.</t>
        </is>
      </c>
      <c r="H56" t="inlineStr">
        <is>
          <t>317.00</t>
        </is>
      </c>
      <c r="I56">
        <v>45.94</v>
      </c>
      <c r="J56" t="inlineStr">
        <is>
          <t>{"id":"chatcmpl-DWcSZEYFmMHkjf3S9auGAg6tI50Ta","object":"chat.completion","created":1776666707,"model":"gpt-5-chat-latest","choices":[{"index":0,"message":{"role":"assistant","content":"Gallery Dept Black DEPT Logo Unisex Oversized Hoodie","refusal":null,"annotations":[]},"logprobs":null,"finish_reason":"stop"}],"usage":{"prompt_tokens":884,"completion_tokens":12,"total_tokens":896,"prompt_tokens_details":{"cached_tokens":0,"audio_tokens":0},"completion_tokens_details":{"reasoning_tokens":0,"audio_tokens":0,"accepted_prediction_tokens":0,"rejected_prediction_tokens":0}},"service_tier":"default","system_fingerprint":"fp_ad66631dec"}</t>
        </is>
      </c>
      <c r="K56" t="inlineStr">
        <is>
          <t>Gallery Dept Black DEPT Logo Unisex Oversized Hoodie</t>
        </is>
      </c>
      <c r="L56" t="inlineStr">
        <is>
          <t>{"id":"chatcmpl-DWaaUm3ThgW6Engu3ksxXzpeBqBbE","object":"chat.completion","created":1776659510,"model":"gpt-5-chat-latest","choices":[{"index":0,"message":{"role":"assistant","content":"Gallery Dept. Black Cotton Hoodie featuring front white “DEPT.” logo and back signature print. Oversized unisex fit with kangaroo pocket and drawstring hood, perfect for streetwear style.","refusal":null,"annotations":[]},"logprobs":null,"finish_reason":"stop"}],"usage":{"prompt_tokens":928,"completion_tokens":40,"total_tokens":968,"prompt_tokens_details":{"cached_tokens":0,"audio_tokens":0},"completion_tokens_details":{"reasoning_tokens":0,"audio_tokens":0,"accepted_prediction_tokens":0,"rejected_prediction_tokens":0}},"service_tier":"default","system_fingerprint":"fp_ad66631dec"}</t>
        </is>
      </c>
      <c r="M56"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ma=2592000","apim-request-id":"d1776e29-7491-4930-be24-3e1bb3c71395","azureml-model-session":"d20260405234249-f9874baf","cache-control":"no-cache, no-store, must-revalidate","connection":"close","content-length":"995","content-security-policy":"frame-ancestors 'self'","content-type":"application/json","date":"Mon, 20 Apr 2026 04:31:52 GMT","server":"nginx","skip-error-remapping":"true","strict-transport-security":"max-age=31536000; includeSubDomains; preload","via":"1.1 Caddy, 1.1 Caddy","x-api-request-id":"20260420123149215960434GXvKyFKN","x-content-type-options":"nosniff","x-frame-options":"SAMEORIGIN","x-ms-is-spilled-over":"false","x-ms-rai-invoked":"false","x-ms-region":"Sweden Central","x-new-api-version":"0.4.39","x-oneapi-request-id":"202604200431491486481228268d9d6XWMZES0O","x-ratelimit-abusepenalty-active":"False","x-ratelimit-limit-requests":"4993","x-ratelimit-limit-tokens":"4993000","x-ratelimit-remaining-requests":"4992","x-ratelimit-remaining-tokens":"4991310","x-ratelimit-renewalperiod-requests":"60","x-ratelimit-renewalperiod-tokens":"60","x-ratelimit-reset-requests":"12","x-ratelimit-reset-tokens":"20","x-request-id":"21056648-4ad6-441f-87ff-d4b1726c403b"}</t>
        </is>
      </c>
      <c r="N56" t="inlineStr">
        <is>
          <t>Gallery Dept. Black Cotton Hoodie featuring front white “DEPT.” logo and back signature print. Oversized unisex fit with kangaroo pocket and drawstring hood, perfect for streetwear style.</t>
        </is>
      </c>
      <c r="O56" t="inlineStr">
        <is>
          <t>{"choices":[{"finish_reason":"stop","index":0,"logprobs":null,"message":{"annotations":[],"content":"Gallery Dept, Hoodies, kakobuy, kakebuy2026, kekobuysheet, kakobuysheet2026, 2026kakobuy, kakobuyspreadsheeet, kakobuylink, kakebuylist, Kakobuy MEGA Spreadsheet, kakobuysheetfind, kakobuysheetfind2026, 2026kakobuysheetfind, kakobuysheet2026","refusal":null,"role":"assistant"}}],"created":1776668341,"id":"chatcmpl-DWcsvxcK7ikuNQBXwUg70V8E8cwyI","model":"gpt-5-chat-latest","object":"chat.completion","service_tier":"default","system_fingerprint":"fp_ad66631dec","usage":{"completion_tokens":92,"completion_tokens_details":{"accepted_prediction_tokens":0,"audio_tokens":0,"reasoning_tokens":0,"rejected_prediction_tokens":0},"prompt_tokens":784,"prompt_tokens_details":{"audio_tokens":0,"cached_tokens":0},"total_tokens":876}}</t>
        </is>
      </c>
      <c r="P56" t="inlineStr">
        <is>
          <t>Gallery Dept, Hoodies, kakobuy, kakebuy2026, kekobuysheet, kakobuysheet2026, 2026kakobuy, kakobuyspreadsheeet, kakobuylink, kakebuylist, Kakobuy MEGA Spreadsheet, kakobuysheetfind, kakobuysheetfind2026, 2026kakobuysheetfind, kakobuysheet2026</t>
        </is>
      </c>
      <c r="Q56" t="inlineStr">
        <is>
          <t>Black, Streetwear, Unisex</t>
        </is>
      </c>
      <c r="R56" t="inlineStr">
        <is>
          <t>recvh6xFVjXAXU</t>
        </is>
      </c>
      <c r="S56" t="inlineStr">
        <is>
          <t>gallery-dept-black-logo-hoodie-recvh6xfvjxaxu</t>
        </is>
      </c>
      <c r="T56"/>
      <c r="U56"/>
      <c r="V56"/>
      <c r="W56" t="inlineStr">
        <is>
          <t>{"choices":[{"finish_reason":"stop","index":0,"logprobs":null,"message":{"annotations":[],"content":"Gallery Dept.黑色连帽卫衣，精选柔软纯棉面料，胸前简约白色“DEPT.”字样与背部品牌印花形成视觉对比，展现街头艺术美学。宽松中性版型搭配袋鼠兜与抽绳设计，舒适休闲兼具潮流感，适合都市男女日常穿搭。","refusal":null,"role":"assistant"}}],"created":1776655320,"id":"chatcmpl-DWZUus5kYJu8qsD8TWKY8GkgrBI4m","model":"gpt-5-chat-latest","object":"chat.completion","service_tier":"default","system_fingerprint":"fp_ad66631dec","usage":{"completion_tokens":88,"completion_tokens_details":{"accepted_prediction_tokens":0,"audio_tokens":0,"reasoning_tokens":0,"rejected_prediction_tokens":0},"prompt_tokens":1324,"prompt_tokens_details":{"audio_tokens":0,"cached_tokens":0},"total_tokens":1412}}</t>
        </is>
      </c>
      <c r="X56" t="inlineStr">
        <is>
          <t>Gallery Dept.黑色连帽卫衣，精选柔软纯棉面料，胸前简约白色“DEPT.”字样与背部品牌印花形成视觉对比，展现街头艺术美学。宽松中性版型搭配袋鼠兜与抽绳设计，舒适休闲兼具潮流感，适合都市男女日常穿搭。</t>
        </is>
      </c>
    </row>
    <row r="57" ht="25.5" customHeight="1">
      <c r="A57">
        <v>1839115443</v>
      </c>
      <c r="B57">
        <v>7599126287</v>
      </c>
      <c r="C57" t="inlineStr">
        <is>
          <t>https://weidian.com/item.html?itemID=7599126287</t>
        </is>
      </c>
      <c r="D57"/>
      <c r="E57" s="2" t="str">
        <f>=HYPERLINK("https://si.geilicdn.com/open1832946205-252808396-242e00000197e99052c60a23b4de_1242_1243.jpg?w=750&amp;h=750&amp;cp=1", "https://si.geilicdn.com/open1832946205-252808396-242e00000197e99052c60a23b4de_1242_1243.jpg?w=750&amp;h=750&amp;cp=1")</f>
        <v>https://si.geilicdn.com/open1832946205-252808396-242e00000197e99052c60a23b4de_1242_1243.jpg?w=750&amp;h=750&amp;cp=1</v>
      </c>
      <c r="F57" t="inlineStr">
        <is>
          <t>Hoodies</t>
        </is>
      </c>
      <c r="G57" t="inlineStr">
        <is>
          <t>Supreme</t>
        </is>
      </c>
      <c r="H57" t="inlineStr">
        <is>
          <t>224.00</t>
        </is>
      </c>
      <c r="I57">
        <v>32.46</v>
      </c>
      <c r="J57" t="inlineStr">
        <is>
          <t>{"choices":[{"finish_reason":"stop","index":0,"logprobs":null,"message":{"annotations":[],"content":"Supreme Black Oversized Hoodie Unisex Streetwear Sweatshirt","refusal":null,"role":"assistant"}}],"created":1776665930,"id":"chatcmpl-DWcG288iqxUMQYQiggNwbf3oyScP2","model":"gpt-5-chat-latest","object":"chat.completion","service_tier":"default","system_fingerprint":"fp_ad66631dec","usage":{"completion_tokens":13,"completion_tokens_details":{"accepted_prediction_tokens":0,"audio_tokens":0,"reasoning_tokens":0,"rejected_prediction_tokens":0},"prompt_tokens":871,"prompt_tokens_details":{"audio_tokens":0,"cached_tokens":0},"total_tokens":884}}</t>
        </is>
      </c>
      <c r="K57" t="inlineStr">
        <is>
          <t>Supreme Black Oversized Hoodie Unisex Streetwear Sweatshirt</t>
        </is>
      </c>
      <c r="L57" t="inlineStr">
        <is>
          <t>{"choices":[{"finish_reason":"stop","index":0,"logprobs":null,"message":{"annotations":[],"content":"Supreme Hoodie: Black oversized cotton sweatshirt with bold white logo print on back, soft thick fabric for comfort, unisex design perfect for fall and winter street style.","refusal":null,"role":"assistant"}}],"created":1776659105,"id":"chatcmpl-DWaTxDOfiV3auARNbkhwtWHtn5IYM","model":"gpt-5-chat-latest","object":"chat.completion","service_tier":"default","system_fingerprint":"fp_ad66631dec","usage":{"completion_tokens":34,"completion_tokens_details":{"accepted_prediction_tokens":0,"audio_tokens":0,"reasoning_tokens":0,"rejected_prediction_tokens":0},"prompt_tokens":918,"prompt_tokens_details":{"audio_tokens":0,"cached_tokens":0},"total_tokens":952}}</t>
        </is>
      </c>
      <c r="M57" t="inlineStr">
        <is>
          <t>{"alt-svc":"h3=\":443\"; ma=2592000","apim-request-id":"02545126-4093-4006-abb3-f512ae15fe7a","azureml-model-session":"d20260405234249-f9874baf","cache-control":"no-cache","connection":"close","content-length":"760","content-security-policy":"frame-ancestors 'self'","content-type":"application/json","date":"Mon, 20 Apr 2026 04:25:06 GMT","server":"Caddy","skip-error-remapping":"true","strict-transport-security":"max-age=31536000; includeSubDomains; preload","via":"1.1 Caddy","x-api-request-id":"202604201225045911678538fBJWwl4","x-content-type-options":"nosniff","x-frame-options":"SAMEORIGIN","x-ms-client-request-id":"Not-Set","x-ms-is-spilled-over":"false","x-ms-rai-invoked":"true","x-ms-region":"East US 2","x-new-api-version":"0.4.39","x-oneapi-request-id":"202604200425045251311628268d9d6UYsqIgMs","x-ratelimit-abusepenalty-active":"False","x-ratelimit-limit-requests":"3850","x-ratelimit-limit-tokens":"3850000","x-ratelimit-remaining-requests":"3849","x-ratelimit-remaining-tokens":"3848320","x-ratelimit-renewalperiod-requests":"60","x-ratelimit-renewalperiod-tokens":"60","x-ratelimit-reset-requests":"15","x-ratelimit-reset-tokens":"26","x-request-id":"8bd479bb-83f0-41f7-8e49-40bbe3690d4a"}</t>
        </is>
      </c>
      <c r="N57" t="inlineStr">
        <is>
          <t>Supreme Hoodie: Black oversized cotton sweatshirt with bold white logo print on back, soft thick fabric for comfort, unisex design perfect for fall and winter street style.</t>
        </is>
      </c>
      <c r="O57" t="inlineStr">
        <is>
          <t>{"choices":[{"finish_reason":"stop","index":0,"logprobs":null,"message":{"annotations":[],"content":"Supreme,Hoodie,kakobuy,kakebuy2026,kekobuysheet,kakobuysheet2026,2026kakobuy,kakobuyspreadsheeet,kakobuylink,kakebuylist,Kakobuy MEGA Spreadsheet,kakobuysheetfind,kakobuysheetfind2026,2026kakobuysheetfind,kakobuysheet2026","refusal":null,"role":"assistant"}}],"created":1776667890,"id":"chatcmpl-DWcleLdeLjdWZ85i2HrgUoh6Mlt8k","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is>
      </c>
      <c r="P57" t="inlineStr">
        <is>
          <t>Supreme,Hoodie,kakobuy,kakebuy2026,kekobuysheet,kakobuysheet2026,2026kakobuy,kakobuyspreadsheeet,kakobuylink,kakebuylist,Kakobuy MEGA Spreadsheet,kakobuysheetfind,kakobuysheetfind2026,2026kakobuysheetfind,kakobuysheet2026</t>
        </is>
      </c>
      <c r="Q57" t="inlineStr">
        <is>
          <t>Supreme, Black, Streetwear, Autumn And Winter, Unisex</t>
        </is>
      </c>
      <c r="R57" t="inlineStr">
        <is>
          <t>recvh6xFVjCEqS</t>
        </is>
      </c>
      <c r="S57" t="inlineStr">
        <is>
          <t>supreme-black-oversized-hoodie-recvh6xFVjCEqS</t>
        </is>
      </c>
      <c r="T57"/>
      <c r="U57"/>
      <c r="V57"/>
      <c r="W57" t="inlineStr">
        <is>
          <t>{"id":"chatcmpl-DWZUsF2PvEidvVgpOu3h9zZBv3tqg","object":"chat.completion","created":1776655318,"model":"gpt-5-chat-latest","choices":[{"index":0,"message":{"role":"assistant","content":"Supreme：黑色宽松连帽卫衣，柔软厚棉材质打造，背部巨型白色品牌字母印花极具视觉冲击，展现街头潮流态度。男女同款设计，适合秋冬休闲穿搭，彰显都市年轻个性风格与时尚品味。","refusal":null,"annotations":[]},"logprobs":null,"finish_reason":"stop"}],"usage":{"prompt_tokens":1327,"completion_tokens":76,"total_tokens":1403,"prompt_tokens_details":{"cached_tokens":0,"audio_tokens":0},"completion_tokens_details":{"reasoning_tokens":0,"audio_tokens":0,"accepted_prediction_tokens":0,"rejected_prediction_tokens":0}},"service_tier":"default","system_fingerprint":"fp_ad66631dec"}</t>
        </is>
      </c>
      <c r="X57" t="inlineStr">
        <is>
          <t>Supreme：黑色宽松连帽卫衣，柔软厚棉材质打造，背部巨型白色品牌字母印花极具视觉冲击，展现街头潮流态度。男女同款设计，适合秋冬休闲穿搭，彰显都市年轻个性风格与时尚品味。</t>
        </is>
      </c>
    </row>
    <row r="58" ht="25.5" customHeight="1">
      <c r="A58">
        <v>1839115443</v>
      </c>
      <c r="B58">
        <v>7599064657</v>
      </c>
      <c r="C58" t="inlineStr">
        <is>
          <t>https://weidian.com/item.html?itemID=7599064657</t>
        </is>
      </c>
      <c r="D58"/>
      <c r="E58" s="2" t="str">
        <f>=HYPERLINK("https://si.geilicdn.com/open1832946205-252808396-5d2400000197e8adaa650a22d249_750_750.jpg?w=640&amp;h=640", "https://si.geilicdn.com/open1832946205-252808396-5d2400000197e8adaa650a22d249_750_750.jpg?w=640&amp;h=640")</f>
        <v>https://si.geilicdn.com/open1832946205-252808396-5d2400000197e8adaa650a22d249_750_750.jpg?w=640&amp;h=640</v>
      </c>
      <c r="F58" t="inlineStr">
        <is>
          <t>Hoodies</t>
        </is>
      </c>
      <c r="G58" t="inlineStr">
        <is>
          <t>Stussy</t>
        </is>
      </c>
      <c r="H58" t="inlineStr">
        <is>
          <t>75.00</t>
        </is>
      </c>
      <c r="I58">
        <v>10.87</v>
      </c>
      <c r="J58" t="inlineStr">
        <is>
          <t>{"choices":[{"finish_reason":"stop","index":0,"logprobs":null,"message":{"annotations":[],"content":"Stussy 8 Ball White Hoodie Unisex Streetwear Pullover","refusal":null,"role":"assistant"}}],"created":1776665905,"id":"chatcmpl-DWcFdF9sYDzJAI0p8fDBvJDfsn5AC","model":"gpt-5-chat-latest","object":"chat.completion","service_tier":"default","system_fingerprint":"fp_ad66631dec","usage":{"completion_tokens":14,"completion_tokens_details":{"accepted_prediction_tokens":0,"audio_tokens":0,"reasoning_tokens":0,"rejected_prediction_tokens":0},"prompt_tokens":881,"prompt_tokens_details":{"audio_tokens":0,"cached_tokens":0},"total_tokens":895}}</t>
        </is>
      </c>
      <c r="K58" t="inlineStr">
        <is>
          <t>Stussy 8 Ball White Hoodie Unisex Streetwear Pullover</t>
        </is>
      </c>
      <c r="L58" t="inlineStr">
        <is>
          <t>{"choices":[{"finish_reason":"stop","index":0,"logprobs":null,"message":{"annotations":[],"content":"Stussy White 8 Ball Hoodie – Soft cotton fabric with front logo and bold back print. Retro streetwear style, unisex loose fit perfect for daily casual wear with comfort and individuality.","refusal":null,"role":"assistant"}}],"created":1776659235,"id":"chatcmpl-DWaW3YrbrCdhoVhpbA47zGYZzOq0r","model":"gpt-5-chat-latest","object":"chat.completion","service_tier":"default","system_fingerprint":"fp_ad66631dec","usage":{"completion_tokens":39,"completion_tokens_details":{"accepted_prediction_tokens":0,"audio_tokens":0,"reasoning_tokens":0,"rejected_prediction_tokens":0},"prompt_tokens":903,"prompt_tokens_details":{"audio_tokens":0,"cached_tokens":0},"total_tokens":942}}</t>
        </is>
      </c>
      <c r="M58" t="inlineStr">
        <is>
          <t>{"alt-svc":"h3=\":443\"; ma=2592000","apim-request-id":"a5658fef-4e28-4dd4-ae6e-aecc094a7582","azureml-model-session":"d20260402084046-4209e968","cache-control":"no-cache","connection":"close","content-length":"777","content-security-policy":"frame-ancestors 'self'","content-type":"application/json","date":"Mon, 20 Apr 2026 04:27:16 GMT","server":"Caddy","skip-error-remapping":"true","strict-transport-security":"max-age=31536000; includeSubDomains; preload","via":"1.1 Caddy","x-api-request-id":"20260420122715262616329n5Q28KEh","x-content-type-options":"nosniff","x-frame-options":"SAMEORIGIN","x-ms-client-request-id":"Not-Set","x-ms-is-spilled-over":"false","x-ms-rai-invoked":"true","x-ms-region":"East US 2","x-new-api-version":"0.4.39","x-oneapi-request-id":"202604200427151956980388268d9d65nwO4SYB","x-ratelimit-abusepenalty-active":"False","x-ratelimit-limit-requests":"3850","x-ratelimit-limit-tokens":"3850000","x-ratelimit-remaining-requests":"3849","x-ratelimit-remaining-tokens":"3848335","x-ratelimit-renewalperiod-requests":"60","x-ratelimit-renewalperiod-tokens":"60","x-ratelimit-reset-requests":"15","x-ratelimit-reset-tokens":"25","x-request-id":"a6e042d9-8556-4868-9493-dbafc0f0eca2"}</t>
        </is>
      </c>
      <c r="N58" t="inlineStr">
        <is>
          <t>Stussy White 8 Ball Hoodie – Soft cotton fabric with front logo and bold back print. Retro streetwear style, unisex loose fit perfect for daily casual wear with comfort and individuality.</t>
        </is>
      </c>
      <c r="O58" t="inlineStr">
        <is>
          <t>{"id":"chatcmpl-DWccUje5PG6ebMZ4H2R6a7WVub0h1","object":"chat.completion","created":1776667322,"model":"gpt-5-chat-latest","choices":[{"index":0,"message":{"role":"assistant","content":"Stussy,Hoodies,kakobuy,kakebuy2026,kekobuysheet,kakobuysheet2026,2026kakobuy,kakobuyspreadsheeet,kakobuylink,kakebuylist,Kakobuy MEGA Spreadsheet,kakobuysheetfind,kakobuysheetfind2026,2026kakobuysheetfind,kakobuysheet2026","refusal":null,"annotations":[]},"logprobs":null,"finish_reason":"stop"}],"usage":{"prompt_tokens":784,"completion_tokens":88,"total_tokens":872,"prompt_tokens_details":{"cached_tokens":0,"audio_tokens":0},"completion_tokens_details":{"reasoning_tokens":0,"audio_tokens":0,"accepted_prediction_tokens":0,"rejected_prediction_tokens":0}},"service_tier":"default","system_fingerprint":"fp_ad66631dec"}</t>
        </is>
      </c>
      <c r="P58" t="inlineStr">
        <is>
          <t>Stussy,Hoodies,kakobuy,kakebuy2026,kekobuysheet,kakobuysheet2026,2026kakobuy,kakobuyspreadsheeet,kakobuylink,kakebuylist,Kakobuy MEGA Spreadsheet,kakobuysheetfind,kakobuysheetfind2026,2026kakobuysheetfind,kakobuysheet2026</t>
        </is>
      </c>
      <c r="Q58" t="inlineStr">
        <is>
          <t>Stussy, White, Retro, Streetwear, Unisex</t>
        </is>
      </c>
      <c r="R58" t="inlineStr">
        <is>
          <t>recvh6xFVjxu19</t>
        </is>
      </c>
      <c r="S58" t="inlineStr">
        <is>
          <t>stussy-8-ball-white-hoodie-recvh6xFVjxu19</t>
        </is>
      </c>
      <c r="T58"/>
      <c r="U58"/>
      <c r="V58"/>
      <c r="W58" t="inlineStr">
        <is>
          <t>{"id":"chatcmpl-DWZeVItZTBeo2TfFT3bv1FBjjwAI5","object":"chat.completion","created":1776655915,"model":"gpt-5-chat-latest","choices":[{"index":0,"message":{"role":"assistant","content":"Stussy：白色8球图腾连帽卫衣，柔软棉质面料，前胸小标与背部大型印花设计，展现复古街头潮流风格，宽松版型男女皆宜，休闲日常穿搭尽显个性与舒适。","refusal":null,"annotations":[]},"logprobs":null,"finish_reason":"stop"}],"usage":{"prompt_tokens":1313,"completion_tokens":68,"total_tokens":1381,"prompt_tokens_details":{"cached_tokens":0,"audio_tokens":0},"completion_tokens_details":{"reasoning_tokens":0,"audio_tokens":0,"accepted_prediction_tokens":0,"rejected_prediction_tokens":0}},"service_tier":"default","system_fingerprint":"fp_ad66631dec"}</t>
        </is>
      </c>
      <c r="X58" t="inlineStr">
        <is>
          <t>Stussy：白色8球图腾连帽卫衣，柔软棉质面料，前胸小标与背部大型印花设计，展现复古街头潮流风格，宽松版型男女皆宜，休闲日常穿搭尽显个性与舒适。</t>
        </is>
      </c>
    </row>
    <row r="59" ht="25.5" customHeight="1">
      <c r="A59">
        <v>1839115443</v>
      </c>
      <c r="B59">
        <v>7599099395</v>
      </c>
      <c r="C59" t="inlineStr">
        <is>
          <t>https://weidian.com/item.html?itemID=7599099395</t>
        </is>
      </c>
      <c r="D59"/>
      <c r="E59" s="2" t="str">
        <f>=HYPERLINK("https://si.geilicdn.com/open1832946205-252808396-007700000197e83155f00a8133b0_1800_1800.jpg?w=640&amp;h=640", "https://si.geilicdn.com/open1832946205-252808396-007700000197e83155f00a8133b0_1800_1800.jpg?w=640&amp;h=640")</f>
        <v>https://si.geilicdn.com/open1832946205-252808396-007700000197e83155f00a8133b0_1800_1800.jpg?w=640&amp;h=640</v>
      </c>
      <c r="F59" t="inlineStr">
        <is>
          <t>T-Shirts</t>
        </is>
      </c>
      <c r="G59" t="inlineStr">
        <is>
          <t>Stussy</t>
        </is>
      </c>
      <c r="H59" t="inlineStr">
        <is>
          <t>86.00</t>
        </is>
      </c>
      <c r="I59">
        <v>12.46</v>
      </c>
      <c r="J59" t="inlineStr">
        <is>
          <t>{"id":"chatcmpl-DWcSCbqMH8ktQfEjLjWAFqpV5E2Tv","object":"chat.completion","created":1776666684,"model":"gpt-5-chat-latest","choices":[{"index":0,"message":{"role":"assistant","content":"Stussy Pink Classic Logo Unisex Cotton T-Shirt","refusal":null,"annotations":[]},"logprobs":null,"finish_reason":"stop"}],"usage":{"prompt_tokens":876,"completion_tokens":11,"total_tokens":887,"prompt_tokens_details":{"cached_tokens":0,"audio_tokens":0},"completion_tokens_details":{"reasoning_tokens":0,"audio_tokens":0,"accepted_prediction_tokens":0,"rejected_prediction_tokens":0}},"service_tier":"default","system_fingerprint":"fp_ad66631dec"}</t>
        </is>
      </c>
      <c r="K59" t="inlineStr">
        <is>
          <t>Stussy Pink Classic Logo Unisex Cotton T-Shirt</t>
        </is>
      </c>
      <c r="L59" t="inlineStr">
        <is>
          <t>{"id":"chatcmpl-DWaKsEQIbwKwlCh7dxiD7pHaAmqVz","object":"chat.completion","created":1776658542,"model":"gpt-5-chat-latest","choices":[{"index":0,"message":{"role":"assistant","content":"Stussy Pink Classic Logo T-Shirt, made from soft cotton for all-day comfort; unisex streetwear style with iconic chest print, perfect for casual urban looks and everyday wear.","refusal":null,"annotations":[]},"logprobs":null,"finish_reason":"stop"}],"usage":{"prompt_tokens":887,"completion_tokens":37,"total_tokens":924,"prompt_tokens_details":{"cached_tokens":0,"audio_tokens":0},"completion_tokens_details":{"reasoning_tokens":0,"audio_tokens":0,"accepted_prediction_tokens":0,"rejected_prediction_tokens":0}},"service_tier":"default","system_fingerprint":"fp_ad66631dec"}</t>
        </is>
      </c>
      <c r="M59"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ma=2592000","apim-request-id":"ab303fc5-d9b7-41c1-b030-8e6d77e557d1","azureml-model-session":"d20260405212659-a9daa006","cache-control":"no-cache, no-store, must-revalidate","connection":"close","content-length":"979","content-security-policy":"frame-ancestors 'self'","content-type":"application/json","date":"Mon, 20 Apr 2026 04:15:44 GMT","server":"Caddy","skip-error-remapping":"true","strict-transport-security":"max-age=31536000; includeSubDomains; preload","via":"1.1 Caddy","x-api-request-id":"2026042012154210672812PTm2GoqZ","x-content-type-options":"nosniff","x-frame-options":"SAMEORIGIN","x-ms-is-spilled-over":"false","x-ms-rai-invoked":"false","x-ms-region":"East US 2","x-new-api-version":"0.4.39","x-oneapi-request-id":"202604200415418755751568268d9d6F5cz1uJi","x-ratelimit-abusepenalty-active":"False","x-ratelimit-limit-requests":"4994","x-ratelimit-limit-tokens":"4994000","x-ratelimit-remaining-requests":"4993","x-ratelimit-remaining-tokens":"4992351","x-ratelimit-renewalperiod-requests":"60","x-ratelimit-renewalperiod-tokens":"60","x-ratelimit-reset-requests":"12","x-ratelimit-reset-tokens":"19","x-request-id":"0865ccf3-11e0-4b83-9666-9cf1a0f565b8"}</t>
        </is>
      </c>
      <c r="N59" t="inlineStr">
        <is>
          <t>Stussy Pink Classic Logo T-Shirt, made from soft cotton for all-day comfort; unisex streetwear style with iconic chest print, perfect for casual urban looks and everyday wear.</t>
        </is>
      </c>
      <c r="O59" t="inlineStr">
        <is>
          <t>{"choices":[{"finish_reason":"stop","index":0,"logprobs":null,"message":{"annotations":[],"content":"Stussy, T-Shirt, kakobuy, kakebuy2026, kekobuysheet, kakobuysheet2026, 2026kakobuy, kakobuyspreadsheeet, kakobuylink, kakebuylist, Kakobuy MEGA Spreadsheet, kakobuysheetfind, kakobuysheetfind2026, 2026kakobuysheetfind, kakobuysheet2026","refusal":null,"role":"assistant"}}],"created":1776667831,"id":"chatcmpl-DWckhSJWpXwbcxwPquURBJbJShSxX","model":"gpt-5-chat-latest","object":"chat.completion","service_tier":"default","system_fingerprint":"fp_ad66631dec","usage":{"completion_tokens":92,"completion_tokens_details":{"accepted_prediction_tokens":0,"audio_tokens":0,"reasoning_tokens":0,"rejected_prediction_tokens":0},"prompt_tokens":783,"prompt_tokens_details":{"audio_tokens":0,"cached_tokens":0},"total_tokens":875}}</t>
        </is>
      </c>
      <c r="P59" t="inlineStr">
        <is>
          <t>Stussy, T-Shirt, kakobuy, kakebuy2026, kekobuysheet, kakobuysheet2026, 2026kakobuy, kakobuyspreadsheeet, kakobuylink, kakebuylist, Kakobuy MEGA Spreadsheet, kakobuysheetfind, kakobuysheetfind2026, 2026kakobuysheetfind, kakobuysheet2026</t>
        </is>
      </c>
      <c r="Q59" t="inlineStr">
        <is>
          <t>Stussy, Pink, Streetwear, Unisex, All Seasons</t>
        </is>
      </c>
      <c r="R59" t="inlineStr">
        <is>
          <t>recvh6xFVjREyQ</t>
        </is>
      </c>
      <c r="S59" t="inlineStr">
        <is>
          <t>stussy-pink-classic-logo-cotton-tshirt-recvh6xfvjreyq</t>
        </is>
      </c>
      <c r="T59"/>
      <c r="U59"/>
      <c r="V59"/>
      <c r="W59" t="inlineStr">
        <is>
          <t>{"id":"chatcmpl-DWZjRvtDIvlZ8BIniFKLiRO4Nm3YX","object":"chat.completion","created":1776656221,"model":"gpt-5-chat-latest","choices":[{"index":0,"message":{"role":"assistant","content":"Stussy：粉色经典Logo短袖T恤，采用柔软纯棉面料，胸前印有标志性街头字样，舒适休闲男女通穿，展现都市潮流风格。","refusal":null,"annotations":[]},"logprobs":null,"finish_reason":"stop"}],"usage":{"prompt_tokens":1316,"completion_tokens":51,"total_tokens":1367,"prompt_tokens_details":{"cached_tokens":0,"audio_tokens":0},"completion_tokens_details":{"reasoning_tokens":0,"audio_tokens":0,"accepted_prediction_tokens":0,"rejected_prediction_tokens":0}},"service_tier":"default","system_fingerprint":"fp_ad66631dec"}</t>
        </is>
      </c>
      <c r="X59" t="inlineStr">
        <is>
          <t>Stussy：粉色经典Logo短袖T恤，采用柔软纯棉面料，胸前印有标志性街头字样，舒适休闲男女通穿，展现都市潮流风格。</t>
        </is>
      </c>
    </row>
    <row r="60" ht="25.5" customHeight="1">
      <c r="A60">
        <v>1839115443</v>
      </c>
      <c r="B60">
        <v>7601009396</v>
      </c>
      <c r="C60" t="inlineStr">
        <is>
          <t>https://weidian.com/item.html?itemID=7601009396</t>
        </is>
      </c>
      <c r="D60"/>
      <c r="E60" s="2" t="str">
        <f>=HYPERLINK("https://si.geilicdn.com/open1832946205-252808396-4cb100000197f36009f20a8115c2_800_800.jpg?w=640&amp;h=640", "https://si.geilicdn.com/open1832946205-252808396-4cb100000197f36009f20a8115c2_800_800.jpg?w=640&amp;h=640")</f>
        <v>https://si.geilicdn.com/open1832946205-252808396-4cb100000197f36009f20a8115c2_800_800.jpg?w=640&amp;h=640</v>
      </c>
      <c r="F60" t="inlineStr">
        <is>
          <t>Jackets</t>
        </is>
      </c>
      <c r="G60" t="inlineStr">
        <is>
          <t>Stone Island</t>
        </is>
      </c>
      <c r="H60" t="inlineStr">
        <is>
          <t>825.00</t>
        </is>
      </c>
      <c r="I60">
        <v>119.579710144927</v>
      </c>
      <c r="J60" t="inlineStr">
        <is>
          <t>{"id":"chatcmpl-DWcK99vjwCxdT4BS6tzn4BwhdvNtv","object":"chat.completion","created":1776666185,"model":"gpt-5-chat-latest","choices":[{"index":0,"message":{"role":"assistant","content":"Stone Island Grey Black Badge Down Jacket","refusal":null,"annotations":[]},"logprobs":null,"finish_reason":"stop"}],"usage":{"prompt_tokens":880,"completion_tokens":8,"total_tokens":888,"prompt_tokens_details":{"cached_tokens":0,"audio_tokens":0},"completion_tokens_details":{"reasoning_tokens":0,"audio_tokens":0,"accepted_prediction_tokens":0,"rejected_prediction_tokens":0}},"service_tier":"default","system_fingerprint":"fp_ad66631dec"}</t>
        </is>
      </c>
      <c r="K60" t="inlineStr">
        <is>
          <t>Stone Island Grey Black Badge Down Jacket</t>
        </is>
      </c>
      <c r="L60" t="inlineStr">
        <is>
          <t>{"id":"chatcmpl-DWaULB30lwQ267Jevl377A48srbLf","object":"chat.completion","created":1776659129,"model":"gpt-5-chat-latest","choices":[{"index":0,"message":{"role":"assistant","content":"Stone Island Grey Black Badge Down Jacket crafted from high-density windproof nylon, filled with premium down for lightweight warmth. Sleek stand collar and glossy texture express urban tech style for all genders.","refusal":null,"annotations":[]},"logprobs":null,"finish_reason":"stop"}],"usage":{"prompt_tokens":918,"completion_tokens":39,"total_tokens":957,"prompt_tokens_details":{"cached_tokens":0,"audio_tokens":0},"completion_tokens_details":{"reasoning_tokens":0,"audio_tokens":0,"accepted_prediction_tokens":0,"rejected_prediction_tokens":0}},"service_tier":"default","system_fingerprint":"fp_ad66631dec"}</t>
        </is>
      </c>
      <c r="M60"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ma=2592000","apim-request-id":"84c015d5-e629-4451-90e2-9783845d547a","azureml-model-session":"d20260402083108-57a85543","cache-control":"no-cache, no-store, must-revalidate","connection":"close","content-length":"1017","content-security-policy":"frame-ancestors 'self'","content-type":"application/json","date":"Mon, 20 Apr 2026 04:25:31 GMT","server":"Caddy","skip-error-remapping":"true","strict-transport-security":"max-age=31536000; includeSubDomains; preload","via":"1.1 Caddy","x-api-request-id":"20260420122528943712787XpiraNTo","x-content-type-options":"nosniff","x-frame-options":"SAMEORIGIN","x-ms-is-spilled-over":"false","x-ms-rai-invoked":"false","x-ms-region":"East US 2","x-new-api-version":"0.4.39","x-oneapi-request-id":"202604200425288753831298268d9d64GiciwiB","x-ratelimit-abusepenalty-active":"False","x-ratelimit-limit-requests":"4994","x-ratelimit-limit-tokens":"4994000","x-ratelimit-remaining-requests":"4993","x-ratelimit-remaining-tokens":"4992320","x-ratelimit-renewalperiod-requests":"60","x-ratelimit-renewalperiod-tokens":"60","x-ratelimit-reset-requests":"12","x-ratelimit-reset-tokens":"20","x-request-id":"4a2b015a-e27f-4619-b9fe-100f7c41d1fc"}</t>
        </is>
      </c>
      <c r="N60" t="inlineStr">
        <is>
          <t>Stone Island Grey Black Badge Down Jacket crafted from high-density windproof nylon, filled with premium down for lightweight warmth. Sleek stand collar and glossy texture express urban tech style for all genders.</t>
        </is>
      </c>
      <c r="O60" t="inlineStr">
        <is>
          <t>{"choices":[{"finish_reason":"stop","index":0,"logprobs":null,"message":{"annotations":[],"content":"Stone Island, Jackets, kakobuy, kakebuy2026, kekobuysheet, kakobuysheet2026, 2026kakobuy, kakobuyspreadsheeet, kakobuylink, kakebuylist, Kakobuy MEGA Spreadsheet, kakobuysheetfind, kakobuysheetfind2026, 2026kakobuysheetfind, kakobuysheet2026","refusal":null,"role":"assistant"}}],"created":1776668040,"id":"chatcmpl-DWco4yLzokUJe65ldbakCXj18xwk2","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is>
      </c>
      <c r="P60" t="inlineStr">
        <is>
          <t>Stone Island, Jackets, kakobuy, kakebuy2026, kekobuysheet, kakobuysheet2026, 2026kakobuy, kakobuyspreadsheeet, kakobuylink, kakebuylist, Kakobuy MEGA Spreadsheet, kakobuysheetfind, kakobuysheetfind2026, 2026kakobuysheetfind, kakobuysheet2026</t>
        </is>
      </c>
      <c r="Q60" t="inlineStr">
        <is>
          <t>Nylon, Lightweight, Windproof, All Seasons, Sleek, Unisex</t>
        </is>
      </c>
      <c r="R60" t="inlineStr">
        <is>
          <t>recvh6xFVjsuuL</t>
        </is>
      </c>
      <c r="S60" t="inlineStr">
        <is>
          <t>stone-island-grey-black-badge-down-jacket-recvh6xfvjsuul</t>
        </is>
      </c>
      <c r="T60"/>
      <c r="U60"/>
      <c r="V60"/>
      <c r="W60" t="inlineStr">
        <is>
          <t>{"choices":[{"finish_reason":"stop","index":0,"logprobs":null,"message":{"annotations":[],"content":"Stone Island灰色黑标羽绒外套，采用高密防风尼龙面料填充优质羽绒，轻盈保暖。简约立领设计与光泽质感面料相融合，彰显现代都市机能风格，男女皆宜。背部极简剪裁，尽显品牌意式工艺与街头时尚。","refusal":null,"role":"assistant"}}],"created":1776655473,"id":"chatcmpl-DWZXNUVehzju5roqblsbBOXx9a13U","model":"gpt-5-chat-latest","object":"chat.completion","service_tier":"default","system_fingerprint":"fp_ad66631dec","usage":{"completion_tokens":83,"completion_tokens_details":{"accepted_prediction_tokens":0,"audio_tokens":0,"reasoning_tokens":0,"rejected_prediction_tokens":0},"prompt_tokens":1314,"prompt_tokens_details":{"audio_tokens":0,"cached_tokens":0},"total_tokens":1397}}</t>
        </is>
      </c>
      <c r="X60" t="inlineStr">
        <is>
          <t>Stone Island灰色黑标羽绒外套，采用高密防风尼龙面料填充优质羽绒，轻盈保暖。简约立领设计与光泽质感面料相融合，彰显现代都市机能风格，男女皆宜。背部极简剪裁，尽显品牌意式工艺与街头时尚。</t>
        </is>
      </c>
    </row>
    <row r="61" ht="25.5" customHeight="1">
      <c r="A61">
        <v>1839115443</v>
      </c>
      <c r="B61">
        <v>7600990142</v>
      </c>
      <c r="C61" t="inlineStr">
        <is>
          <t>https://weidian.com/item.html?itemID=7600990142</t>
        </is>
      </c>
      <c r="D61"/>
      <c r="E61" s="2" t="str">
        <f>=HYPERLINK("https://si.geilicdn.com/open1832946205-252808396-4f3400000197e94d1ed10a23b4de_1440_1920.jpg?w=640&amp;h=640", "https://si.geilicdn.com/open1832946205-252808396-4f3400000197e94d1ed10a23b4de_1440_1920.jpg?w=640&amp;h=640")</f>
        <v>https://si.geilicdn.com/open1832946205-252808396-4f3400000197e94d1ed10a23b4de_1440_1920.jpg?w=640&amp;h=640</v>
      </c>
      <c r="F61" t="inlineStr">
        <is>
          <t>Sweaters</t>
        </is>
      </c>
      <c r="G61" t="inlineStr">
        <is>
          <t>Ralph Lauren</t>
        </is>
      </c>
      <c r="H61" t="inlineStr">
        <is>
          <t>119.00</t>
        </is>
      </c>
      <c r="I61">
        <v>17.25</v>
      </c>
      <c r="J61" t="inlineStr">
        <is>
          <t>{"choices":[{"finish_reason":"stop","index":0,"logprobs":null,"message":{"annotations":[],"content":"Ralph Lauren Men Wool Cable Knit Navy Sweater","refusal":null,"role":"assistant"}}],"created":1776666797,"id":"chatcmpl-DWcU1VwOoNyU6TjxAhedepYIcWzNZ","model":"gpt-5-chat-latest","object":"chat.completion","service_tier":"default","system_fingerprint":"fp_ad66631dec","usage":{"completion_tokens":11,"completion_tokens_details":{"accepted_prediction_tokens":0,"audio_tokens":0,"reasoning_tokens":0,"rejected_prediction_tokens":0},"prompt_tokens":873,"prompt_tokens_details":{"audio_tokens":0,"cached_tokens":0},"total_tokens":884}}</t>
        </is>
      </c>
      <c r="K61" t="inlineStr">
        <is>
          <t>Ralph Lauren Men Wool Cable Knit Navy Sweater</t>
        </is>
      </c>
      <c r="L61" t="inlineStr">
        <is>
          <t>{"choices":[{"finish_reason":"stop","index":0,"logprobs":null,"message":{"annotations":[],"content":"Ralph Lauren classic navy wool cable knit sweater for men, soft and warm, timeless crewneck pullover showcasing American collegiate casual style, perfect for fall and winter outfits.","refusal":null,"role":"assistant"}}],"created":1776658296,"id":"chatcmpl-DWaGuDFcOIpb0wtOjXwobRBhADVjj","model":"gpt-5-chat-latest","object":"chat.completion","service_tier":"default","system_fingerprint":"fp_ad66631dec","usage":{"completion_tokens":35,"completion_tokens_details":{"accepted_prediction_tokens":0,"audio_tokens":0,"reasoning_tokens":0,"rejected_prediction_tokens":0},"prompt_tokens":888,"prompt_tokens_details":{"audio_tokens":0,"cached_tokens":0},"total_tokens":923}}</t>
        </is>
      </c>
      <c r="M61" t="inlineStr">
        <is>
          <t>{"alt-svc":"h3=\":443\"; ma=2592000","apim-request-id":"6c2001b6-7b9e-4690-8fa1-b7c3dbb12b81","azureml-model-session":"d20260402083108-57a85543","cache-control":"no-cache","connection":"close","content-length":"770","content-security-policy":"frame-ancestors 'self'","content-type":"application/json","date":"Mon, 20 Apr 2026 04:11:38 GMT","server":"nginx","skip-error-remapping":"true","strict-transport-security":"max-age=31536000; includeSubDomains; preload","via":"1.1 Caddy, 1.1 Caddy","x-api-request-id":"202604201211364274105NzZgj29E","x-content-type-options":"nosniff","x-frame-options":"SAMEORIGIN","x-ms-client-request-id":"Not-Set","x-ms-is-spilled-over":"false","x-ms-rai-invoked":"true","x-ms-region":"East US 2","x-new-api-version":"0.4.39","x-oneapi-request-id":"202604200411358947556748268d9d6BhWU7YvW","x-ratelimit-abusepenalty-active":"False","x-ratelimit-limit-requests":"3850","x-ratelimit-limit-tokens":"3850000","x-ratelimit-remaining-requests":"3849","x-ratelimit-remaining-tokens":"3848350","x-ratelimit-renewalperiod-requests":"60","x-ratelimit-renewalperiod-tokens":"60","x-ratelimit-reset-requests":"15","x-ratelimit-reset-tokens":"25","x-request-id":"644b58bd-1e78-4238-8698-5ceb7e87e326"}</t>
        </is>
      </c>
      <c r="N61" t="inlineStr">
        <is>
          <t>Ralph Lauren classic navy wool cable knit sweater for men, soft and warm, timeless crewneck pullover showcasing American collegiate casual style, perfect for fall and winter outfits.</t>
        </is>
      </c>
      <c r="O61" t="inlineStr">
        <is>
          <t>{"choices":[{"finish_reason":"stop","index":0,"logprobs":null,"message":{"annotations":[],"content":"Ralph Lauren,Sweaters,kakobuy,kakebuy2026,kekobuysheet,kakobuysheet2026,2026kakobuy,kakobuyspreadsheeet,kakobuylink,kakebuylist,Kakobuy MEGA Spreadsheet,kakobuysheetfind,kakobuysheetfind2026,2026kakobuysheetfind,kakobuysheet2026","refusal":null,"role":"assistant"}}],"created":1776667948,"id":"chatcmpl-DWcmaWm7xZDCqZOalJKcupqsKna8k","model":"gpt-5-chat-latest","object":"chat.completion","service_tier":"default","system_fingerprint":"fp_ad66631dec","usage":{"completion_tokens":89,"completion_tokens_details":{"accepted_prediction_tokens":0,"audio_tokens":0,"reasoning_tokens":0,"rejected_prediction_tokens":0},"prompt_tokens":784,"prompt_tokens_details":{"audio_tokens":0,"cached_tokens":0},"total_tokens":873}}</t>
        </is>
      </c>
      <c r="P61" t="inlineStr">
        <is>
          <t>Ralph Lauren,Sweaters,kakobuy,kakebuy2026,kekobuysheet,kakobuysheet2026,2026kakobuy,kakobuyspreadsheeet,kakobuylink,kakebuylist,Kakobuy MEGA Spreadsheet,kakobuysheetfind,kakobuysheetfind2026,2026kakobuysheetfind,kakobuysheet2026</t>
        </is>
      </c>
      <c r="Q61" t="inlineStr">
        <is>
          <t>Navy, Wool, Classic, Autumn And Winter, Men</t>
        </is>
      </c>
      <c r="R61" t="inlineStr">
        <is>
          <t>recvh6xFVjNZvB</t>
        </is>
      </c>
      <c r="S61" t="inlineStr">
        <is>
          <t>ralph-lauren-men-wool-cable-knit-navy-sweater-recvh6xfvjnzvb</t>
        </is>
      </c>
      <c r="T61"/>
      <c r="U61"/>
      <c r="V61"/>
      <c r="W61" t="inlineStr">
        <is>
          <t>{"choices":[{"finish_reason":"stop","index":0,"logprobs":null,"message":{"annotations":[],"content":"Ralph Lauren：经典海军蓝羊毛针织套头毛衣，Cable编织纹理设计，柔软保暖，展现美式学院休闲风格，男士秋冬百搭款。","refusal":null,"role":"assistant"}}],"created":1776655225,"id":"chatcmpl-DWZTNfqoWLzmFmkf4P4vo70FXCfrI","model":"gpt-5-chat-latest","object":"chat.completion","service_tier":"default","system_fingerprint":"fp_ad66631dec","usage":{"completion_tokens":48,"completion_tokens_details":{"accepted_prediction_tokens":0,"audio_tokens":0,"reasoning_tokens":0,"rejected_prediction_tokens":0},"prompt_tokens":1325,"prompt_tokens_details":{"audio_tokens":0,"cached_tokens":0},"total_tokens":1373}}</t>
        </is>
      </c>
      <c r="X61" t="inlineStr">
        <is>
          <t>Ralph Lauren：经典海军蓝羊毛针织套头毛衣，Cable编织纹理设计，柔软保暖，展现美式学院休闲风格，男士秋冬百搭款。</t>
        </is>
      </c>
    </row>
    <row r="62" ht="25.5" customHeight="1">
      <c r="A62">
        <v>1839115443</v>
      </c>
      <c r="B62">
        <v>7599055489</v>
      </c>
      <c r="C62" t="inlineStr">
        <is>
          <t>https://weidian.com/item.html?itemID=7599055489</t>
        </is>
      </c>
      <c r="D62"/>
      <c r="E62" s="2" t="str">
        <f>=HYPERLINK("https://si.geilicdn.com/open1832946205-252808396-7fdc00000197f22cab720aa043f9_367_453.jpg?w=640&amp;h=640", "https://si.geilicdn.com/open1832946205-252808396-7fdc00000197f22cab720aa043f9_367_453.jpg?w=640&amp;h=640")</f>
        <v>https://si.geilicdn.com/open1832946205-252808396-7fdc00000197f22cab720aa043f9_367_453.jpg?w=640&amp;h=640</v>
      </c>
      <c r="F62" t="inlineStr">
        <is>
          <t>Hoodies</t>
        </is>
      </c>
      <c r="G62" t="inlineStr">
        <is>
          <t>Eye of Providence</t>
        </is>
      </c>
      <c r="H62" t="inlineStr">
        <is>
          <t>94.00</t>
        </is>
      </c>
      <c r="I62">
        <v>13.62</v>
      </c>
      <c r="J62" t="inlineStr">
        <is>
          <t>{"choices":[{"finish_reason":"stop","index":0,"logprobs":null,"message":{"annotations":[],"content":"Eye of Providence 3D Embroidered Black Cotton Hoodie","refusal":null,"role":"assistant"}}],"created":1776665833,"id":"chatcmpl-DWcETq8hv6NHMVOW1pJzkQKFaE4iM","model":"gpt-5-chat-latest","object":"chat.completion","service_tier":"default","system_fingerprint":"fp_ad66631dec","usage":{"completion_tokens":13,"completion_tokens_details":{"accepted_prediction_tokens":0,"audio_tokens":0,"reasoning_tokens":0,"rejected_prediction_tokens":0},"prompt_tokens":476,"prompt_tokens_details":{"audio_tokens":0,"cached_tokens":0},"total_tokens":489}}</t>
        </is>
      </c>
      <c r="K62" t="inlineStr">
        <is>
          <t>Eye of Providence 3D Embroidered Black Cotton Hoodie</t>
        </is>
      </c>
      <c r="L62" t="inlineStr">
        <is>
          <t>{"id":"chatcmpl-DWaagNHreHTgXpPxvQYaDV1QcZE2T","object":"chat.completion","created":1776659522,"model":"gpt-5-chat-latest","choices":[{"index":0,"message":{"role":"assistant","content":"HoodiesEye of Providence black 3D embroidered hoodie, soft thick cotton, glowing eye emblem fusing mystery and power. Loose fit with ribbed hem and cuffs for comfort and style. Unisex street retro fashion.","refusal":null,"annotations":[]},"logprobs":null,"finish_reason":"stop"}],"usage":{"prompt_tokens":529,"completion_tokens":46,"total_tokens":575,"prompt_tokens_details":{"cached_tokens":0,"audio_tokens":0},"completion_tokens_details":{"reasoning_tokens":0,"audio_tokens":0,"accepted_prediction_tokens":0,"rejected_prediction_tokens":0}},"service_tier":"default","system_fingerprint":"fp_ad66631dec"}</t>
        </is>
      </c>
      <c r="M62"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ma=2592000","apim-request-id":"a0f4243b-0626-4614-93e8-39e2c376807d","azureml-model-session":"d20260405234249-f9874baf","cache-control":"no-cache, no-store, must-revalidate","connection":"close","content-length":"1009","content-security-policy":"frame-ancestors 'self'","content-type":"application/json","date":"Mon, 20 Apr 2026 04:32:04 GMT","server":"nginx","skip-error-remapping":"true","strict-transport-security":"max-age=31536000; includeSubDomains; preload","via":"1.1 Caddy, 1.1 Caddy","x-api-request-id":"202604201232018975765557upIxrdM","x-content-type-options":"nosniff","x-frame-options":"SAMEORIGIN","x-ms-is-spilled-over":"false","x-ms-rai-invoked":"false","x-ms-region":"Sweden Central","x-new-api-version":"0.4.39","x-oneapi-request-id":"202604200432018299972018268d9d6ZVUxrsVv","x-ratelimit-abusepenalty-active":"False","x-ratelimit-limit-requests":"4993","x-ratelimit-limit-tokens":"4993000","x-ratelimit-remaining-requests":"4992","x-ratelimit-remaining-tokens":"4991706","x-ratelimit-renewalperiod-requests":"60","x-ratelimit-renewalperiod-tokens":"60","x-ratelimit-reset-requests":"12","x-ratelimit-reset-tokens":"15","x-request-id":"107121a5-38bf-480d-9138-3051fc043f4c"}</t>
        </is>
      </c>
      <c r="N62" t="inlineStr">
        <is>
          <t>HoodiesEye of Providence black 3D embroidered hoodie, soft thick cotton, glowing eye emblem fusing mystery and power. Loose fit with ribbed hem and cuffs for comfort and style. Unisex street retro fashion.</t>
        </is>
      </c>
      <c r="O62" t="inlineStr">
        <is>
          <t>{"choices":[{"finish_reason":"stop","index":0,"logprobs":null,"message":{"annotations":[],"content":"Eye of Providence, Hoodies, kakobuy, kakebuy2026, kekobuysheet, kakobuysheet2026, 2026kakobuy, kakobuyspreadsheeet, kakobuylink, kakebuylist, Kakobuy MEGA Spreadsheet, kakobuysheetfind, kakobuysheetfind2026, 2026kakobuysheetfind, kakobuysheet2026","refusal":null,"role":"assistant"}}],"created":1776667136,"id":"chatcmpl-DWcZUKdZx8qNtcssoGAdjmS5T1AeJ","model":"gpt-5-chat-latest","object":"chat.completion","service_tier":"default","system_fingerprint":"fp_ad66631dec","usage":{"completion_tokens":93,"completion_tokens_details":{"accepted_prediction_tokens":0,"audio_tokens":0,"reasoning_tokens":0,"rejected_prediction_tokens":0},"prompt_tokens":365,"prompt_tokens_details":{"audio_tokens":0,"cached_tokens":0},"total_tokens":458}}</t>
        </is>
      </c>
      <c r="P62" t="inlineStr">
        <is>
          <t>Eye of Providence, Hoodies, kakobuy, kakebuy2026, kekobuysheet, kakobuysheet2026, 2026kakobuy, kakobuyspreadsheeet, kakobuylink, kakebuylist, Kakobuy MEGA Spreadsheet, kakobuysheetfind, kakobuysheetfind2026, 2026kakobuysheetfind, kakobuysheet2026</t>
        </is>
      </c>
      <c r="Q62" t="inlineStr">
        <is>
          <t>Black, Unisex, Street, Retro, Comfort</t>
        </is>
      </c>
      <c r="R62" t="inlineStr">
        <is>
          <t>recvh6xFVjwmWF</t>
        </is>
      </c>
      <c r="S62" t="inlineStr">
        <is>
          <t>eye-of-providence-3d-embroidered-black-cotton-hoodie-recvh6xfvjwmwf</t>
        </is>
      </c>
      <c r="T62"/>
      <c r="U62"/>
      <c r="V62"/>
      <c r="W62" t="inlineStr">
        <is>
          <t>{"choices":[{"finish_reason":"stop","index":0,"logprobs":null,"message":{"annotations":[],"content":"Eye of Providence黑色立体刺绣连帽卫衣，柔软厚棉质面料，胸前浮现光芒之眼图腾，呈现神秘与力量的交织。宽松剪裁搭配罗纹下摆与袖口设计，保暖舒适兼具质感，男女皆宜。融合街头潮流与象征主义美学，展现现代复古灵魂与独立时尚态度，适合日常穿搭与个性表达。","refusal":null,"role":"assistant"}}],"created":1776655023,"id":"chatcmpl-DWZQ7gBlXrKVth7MnEh0ndMeQflTP","model":"gpt-5-chat-latest","object":"chat.completion","service_tier":"default","system_fingerprint":"fp_ad66631dec","usage":{"completion_tokens":113,"completion_tokens_details":{"accepted_prediction_tokens":0,"audio_tokens":0,"reasoning_tokens":0,"rejected_prediction_tokens":0},"prompt_tokens":896,"prompt_tokens_details":{"audio_tokens":0,"cached_tokens":0},"total_tokens":1009}}</t>
        </is>
      </c>
      <c r="X62" t="inlineStr">
        <is>
          <t>Eye of Providence黑色立体刺绣连帽卫衣，柔软厚棉质面料，胸前浮现光芒之眼图腾，呈现神秘与力量的交织。宽松剪裁搭配罗纹下摆与袖口设计，保暖舒适兼具质感，男女皆宜。融合街头潮流与象征主义美学，展现现代复古灵魂与独立时尚态度，适合日常穿搭与个性表达。</t>
        </is>
      </c>
    </row>
    <row r="63" ht="25.5" customHeight="1">
      <c r="A63">
        <v>1839115443</v>
      </c>
      <c r="B63">
        <v>7600969306</v>
      </c>
      <c r="C63" t="inlineStr">
        <is>
          <t>https://weidian.com/item.html?itemID=7600969306</t>
        </is>
      </c>
      <c r="D63"/>
      <c r="E63" s="2" t="str">
        <f>=HYPERLINK("https://si.geilicdn.com/open1832946205-252808396-7ef700000197ee39d74d0a23b4de_800_800.jpg?w=640&amp;h=640", "https://si.geilicdn.com/open1832946205-252808396-7ef700000197ee39d74d0a23b4de_800_800.jpg?w=640&amp;h=640")</f>
        <v>https://si.geilicdn.com/open1832946205-252808396-7ef700000197ee39d74d0a23b4de_800_800.jpg?w=640&amp;h=640</v>
      </c>
      <c r="F63" t="inlineStr">
        <is>
          <t>Hoodies</t>
        </is>
      </c>
      <c r="G63" t="inlineStr">
        <is>
          <t>Carhartt</t>
        </is>
      </c>
      <c r="H63" t="inlineStr">
        <is>
          <t>174.00</t>
        </is>
      </c>
      <c r="I63">
        <v>25.2173913043478</v>
      </c>
      <c r="J63" t="inlineStr">
        <is>
          <t>{"choices":[{"content_filter_result":{"error":{"code":"content_filter_error","message":"The contents are not filtered"}},"finish_reason":"stop","index":0,"logprobs":null,"message":{"annotations":[],"content":"Carhartt Classic Full Zip Workwear Hoodie","refusal":null,"role":"assistant"}}],"created":1776666775,"id":"chatcmpl-DWcTfu0MisOejbmUAtZqogSXNrv3v","model":"gpt-5-chat-latest","object":"chat.completion","service_tier":"default","system_fingerprint":"fp_ad66631dec","usage":{"completion_tokens":10,"completion_tokens_details":{"accepted_prediction_tokens":0,"audio_tokens":0,"reasoning_tokens":0,"rejected_prediction_tokens":0},"prompt_tokens":888,"prompt_tokens_details":{"audio_tokens":0,"cached_tokens":0},"total_tokens":898}}</t>
        </is>
      </c>
      <c r="K63" t="inlineStr">
        <is>
          <t>Carhartt Classic Full Zip Workwear Hoodie</t>
        </is>
      </c>
      <c r="L63" t="inlineStr">
        <is>
          <t>{"choices":[{"content_filter_result":{"error":{"code":"content_filter_error","message":"The contents are not filtered"}},"finish_reason":"stop","index":0,"logprobs":null,"message":{"annotations":[],"content":"Carhartt Classic Full Zip Hoodie – heavyweight cotton fleece, soft and warm, with logo patch, adjustable drawstring, and kangaroo pocket. Unisex workwear hoodie for fall and winter street style.","refusal":null,"role":"assistant"}}],"created":1776658938,"id":"chatcmpl-DWaRGptA2Xs1Sj2OdAFkXhI8NVDj9","model":"gpt-5-chat-latest","object":"chat.completion","service_tier":"default","system_fingerprint":"fp_ad66631dec","usage":{"completion_tokens":42,"completion_tokens_details":{"accepted_prediction_tokens":0,"audio_tokens":0,"reasoning_tokens":0,"rejected_prediction_tokens":0},"prompt_tokens":941,"prompt_tokens_details":{"audio_tokens":0,"cached_tokens":0},"total_tokens":983}}</t>
        </is>
      </c>
      <c r="M63" t="inlineStr">
        <is>
          <t>{"alt-svc":"h3=\":443\"; ma=2592000","apim-request-id":"49119059-32fd-447f-b98f-8fbb3cbf6b2c","azureml-model-session":"d20260402083108-57a85543","cache-control":"no-cache","connection":"close","content-length":"892","content-security-policy":"frame-ancestors 'self'","content-type":"application/json","date":"Mon, 20 Apr 2026 04:22:21 GMT","server":"nginx","skip-error-remapping":"true","strict-transport-security":"max-age=31536000; includeSubDomains; preload","via":"1.1 Caddy, 1.1 Caddy","x-api-request-id":"20260420122218168183540UD99VoWF","x-content-type-options":"nosniff","x-frame-options":"SAMEORIGIN","x-ms-client-request-id":"Not-Set","x-ms-is-spilled-over":"false","x-ms-rai-invoked":"true","x-ms-region":"East US 2","x-new-api-version":"0.4.39","x-oneapi-request-id":"202604200422181026957178268d9d6KF3nRlit","x-ratelimit-abusepenalty-active":"False","x-ratelimit-limit-requests":"3850","x-ratelimit-limit-tokens":"3850000","x-ratelimit-remaining-requests":"3849","x-ratelimit-remaining-tokens":"3848297","x-ratelimit-renewalperiod-requests":"60","x-ratelimit-renewalperiod-tokens":"60","x-ratelimit-reset-requests":"15","x-ratelimit-reset-tokens":"26","x-request-id":"60cf9c06-09d1-4f0d-9824-4d7e18c9ed9a"}</t>
        </is>
      </c>
      <c r="N63" t="inlineStr">
        <is>
          <t>Carhartt Classic Full Zip Hoodie – heavyweight cotton fleece, soft and warm, with logo patch, adjustable drawstring, and kangaroo pocket. Unisex workwear hoodie for fall and winter street style.</t>
        </is>
      </c>
      <c r="O63" t="inlineStr">
        <is>
          <t>{"choices":[{"finish_reason":"stop","index":0,"logprobs":null,"message":{"annotations":[],"content":"Carhartt,Hoodies,kakobuy,kakebuy2026,kekobuysheet,kakobuysheet2026,2026kakobuy,kakobuyspreadsheeet,kakobuylink,kakebuylist,Kakobuy MEGA Spreadsheet,kakobuysheetfind,kakobuysheetfind2026,2026kakobuysheetfind,kakobuysheet2026","refusal":null,"role":"assistant"}}],"created":1776668303,"id":"chatcmpl-DWcsJk7y8TWwP0t6vNzDn1aMsuX1t","model":"gpt-5-chat-latest","object":"chat.completion","service_tier":"default","system_fingerprint":"fp_ad66631dec","usage":{"completion_tokens":89,"completion_tokens_details":{"accepted_prediction_tokens":0,"audio_tokens":0,"reasoning_tokens":0,"rejected_prediction_tokens":0},"prompt_tokens":785,"prompt_tokens_details":{"audio_tokens":0,"cached_tokens":0},"total_tokens":874}}</t>
        </is>
      </c>
      <c r="P63" t="inlineStr">
        <is>
          <t>Carhartt,Hoodies,kakobuy,kakebuy2026,kekobuysheet,kakobuysheet2026,2026kakobuy,kakobuyspreadsheeet,kakobuylink,kakebuylist,Kakobuy MEGA Spreadsheet,kakobuysheetfind,kakobuysheetfind2026,2026kakobuysheetfind,kakobuysheet2026</t>
        </is>
      </c>
      <c r="Q63" t="inlineStr">
        <is>
          <t>Workwear, Unisex, Winter, Autumn And Winter, Fleece-Lined</t>
        </is>
      </c>
      <c r="R63" t="inlineStr">
        <is>
          <t>recvh6xFVjpWep</t>
        </is>
      </c>
      <c r="S63" t="inlineStr">
        <is>
          <t>carhartt-classic-full-zip-workwear-hoodie-recvh6xFVjpWep</t>
        </is>
      </c>
      <c r="T63"/>
      <c r="U63"/>
      <c r="V63"/>
      <c r="W63" t="inlineStr">
        <is>
          <t>{"choices":[{"finish_reason":"stop","index":0,"logprobs":null,"message":{"annotations":[],"content":"Carhartt：经典黑色全拉链连帽卫衣，采用厚实棉质抓绒面料，柔软保暖，胸前皮标彰显工装基因。宽松剪裁搭配可调节抽绳与袋鼠兜设计，男女皆宜。延续美式街头与工装复古风格，兼顾舒适与耐穿，适合秋冬户外与日常休闲穿搭。","refusal":null,"role":"assistant"}}],"created":1776655117,"id":"chatcmpl-DWZRdTQtsUDHSydNslOgf4dry099h","model":"gpt-5-chat-latest","object":"chat.completion","service_tier":"default","system_fingerprint":"fp_ad66631dec","usage":{"completion_tokens":103,"completion_tokens_details":{"accepted_prediction_tokens":0,"audio_tokens":0,"reasoning_tokens":0,"rejected_prediction_tokens":0},"prompt_tokens":1320,"prompt_tokens_details":{"audio_tokens":0,"cached_tokens":0},"total_tokens":1423}}</t>
        </is>
      </c>
      <c r="X63" t="inlineStr">
        <is>
          <t>Carhartt：经典黑色全拉链连帽卫衣，采用厚实棉质抓绒面料，柔软保暖，胸前皮标彰显工装基因。宽松剪裁搭配可调节抽绳与袋鼠兜设计，男女皆宜。延续美式街头与工装复古风格，兼顾舒适与耐穿，适合秋冬户外与日常休闲穿搭。</t>
        </is>
      </c>
    </row>
    <row r="64" ht="25.5" customHeight="1">
      <c r="A64">
        <v>1839115443</v>
      </c>
      <c r="B64">
        <v>7599132019</v>
      </c>
      <c r="C64" t="inlineStr">
        <is>
          <t>https://weidian.com/item.html?itemID=7599132019</t>
        </is>
      </c>
      <c r="D64"/>
      <c r="E64" s="2" t="str">
        <f>=HYPERLINK("https://si.geilicdn.com/open1832946205-252808396-1e8c00000197e9e7ba4f0a231226_1200_1200.jpg?w=750&amp;h=750&amp;cp=1", "https://si.geilicdn.com/open1832946205-252808396-1e8c00000197e9e7ba4f0a231226_1200_1200.jpg?w=750&amp;h=750&amp;cp=1")</f>
        <v>https://si.geilicdn.com/open1832946205-252808396-1e8c00000197e9e7ba4f0a231226_1200_1200.jpg?w=750&amp;h=750&amp;cp=1</v>
      </c>
      <c r="F64" t="inlineStr">
        <is>
          <t>Hoodies</t>
        </is>
      </c>
      <c r="G64" t="inlineStr">
        <is>
          <t>Essentials</t>
        </is>
      </c>
      <c r="H64" t="inlineStr">
        <is>
          <t>128.00</t>
        </is>
      </c>
      <c r="I64">
        <v>18.55</v>
      </c>
      <c r="J64" t="inlineStr">
        <is>
          <t>{"choices":[{"finish_reason":"stop","index":0,"logprobs":null,"message":{"annotations":[],"content":"Essentials Black Hoodie Abstract Art Cotton Streetwear","refusal":null,"role":"assistant"}}],"created":1776666191,"id":"chatcmpl-DWcKFJ66mmyY5NvbD53SEqzDMqvcI","model":"gpt-5-chat-latest","object":"chat.completion","service_tier":"default","system_fingerprint":"fp_ad66631dec","usage":{"completion_tokens":10,"completion_tokens_details":{"accepted_prediction_tokens":0,"audio_tokens":0,"reasoning_tokens":0,"rejected_prediction_tokens":0},"prompt_tokens":873,"prompt_tokens_details":{"audio_tokens":0,"cached_tokens":0},"total_tokens":883}}</t>
        </is>
      </c>
      <c r="K64" t="inlineStr">
        <is>
          <t>Essentials Black Hoodie Abstract Art Cotton Streetwear</t>
        </is>
      </c>
      <c r="L64" t="inlineStr">
        <is>
          <t>{"choices":[{"finish_reason":"stop","index":0,"logprobs":null,"message":{"annotations":[],"content":"Essentials black cotton hoodie featuring abstract art print, breathable comfort, adjustable drawstring hood, kangaroo pocket, and unisex loose fit for modern urban streetwear style.","refusal":null,"role":"assistant"}}],"created":1776658284,"id":"chatcmpl-DWaGi4G7EHBMX4EL7ciBuzQcMg7pN","model":"gpt-5-chat-latest","object":"chat.completion","service_tier":"default","system_fingerprint":"fp_ad66631dec","usage":{"completion_tokens":35,"completion_tokens_details":{"accepted_prediction_tokens":0,"audio_tokens":0,"reasoning_tokens":0,"rejected_prediction_tokens":0},"prompt_tokens":947,"prompt_tokens_details":{"audio_tokens":0,"cached_tokens":0},"total_tokens":982}}</t>
        </is>
      </c>
      <c r="M64" t="inlineStr">
        <is>
          <t>{"alt-svc":"h3=\":443\"; ma=2592000","apim-request-id":"26f765f4-2266-4c4f-8886-546179071306","azureml-model-session":"d20260402083108-57a85543","cache-control":"no-cache","connection":"close","content-length":"769","content-security-policy":"frame-ancestors 'self'","content-type":"application/json","date":"Mon, 20 Apr 2026 04:11:25 GMT","server":"nginx","skip-error-remapping":"true","strict-transport-security":"max-age=31536000; includeSubDomains; preload","via":"1.1 Caddy, 1.1 Caddy","x-api-request-id":"20260420121123861590453WWy4ypBA","x-content-type-options":"nosniff","x-frame-options":"SAMEORIGIN","x-ms-client-request-id":"Not-Set","x-ms-is-spilled-over":"false","x-ms-rai-invoked":"true","x-ms-region":"East US 2","x-new-api-version":"0.4.39","x-oneapi-request-id":"202604200411234358533048268d9d6kpMoBZ5j","x-ratelimit-abusepenalty-active":"False","x-ratelimit-limit-requests":"3850","x-ratelimit-limit-tokens":"3850000","x-ratelimit-remaining-requests":"3849","x-ratelimit-remaining-tokens":"3848291","x-ratelimit-renewalperiod-requests":"60","x-ratelimit-renewalperiod-tokens":"60","x-ratelimit-reset-requests":"15","x-ratelimit-reset-tokens":"26","x-request-id":"711fd3fe-fd78-4704-bef1-44e7bac76803"}</t>
        </is>
      </c>
      <c r="N64" t="inlineStr">
        <is>
          <t>Essentials black cotton hoodie featuring abstract art print, breathable comfort, adjustable drawstring hood, kangaroo pocket, and unisex loose fit for modern urban streetwear style.</t>
        </is>
      </c>
      <c r="O64" t="inlineStr">
        <is>
          <t>{"choices":[{"finish_reason":"stop","index":0,"logprobs":null,"message":{"annotations":[],"content":"Enfants Riches Déprimés,Hoodies,kakobuy,kakebuy2026,kekobuysheet,kakobuysheet2026,2026kakobuy,kakobuyspreadsheeet,kakobuylink,kakebuylist,Kakobuy MEGA Spreadsheet,kakobuysheetfind,kakobuysheetfind2026,2026kakobuysheetfind,kakobuysheet2026","refusal":null,"role":"assistant"}}],"created":1776667836,"id":"chatcmpl-DWckm7RVbC5cCA79ylCFA9JaXxLU3","model":"gpt-5-chat-latest","object":"chat.completion","service_tier":"default","system_fingerprint":"fp_ad66631dec","usage":{"completion_tokens":93,"completion_tokens_details":{"accepted_prediction_tokens":0,"audio_tokens":0,"reasoning_tokens":0,"rejected_prediction_tokens":0},"prompt_tokens":784,"prompt_tokens_details":{"audio_tokens":0,"cached_tokens":0},"total_tokens":877}}</t>
        </is>
      </c>
      <c r="P64" t="inlineStr">
        <is>
          <t>Enfants Riches Déprimés,Hoodies,kakobuy,kakebuy2026,kekobuysheet,kakobuysheet2026,2026kakobuy,kakobuyspreadsheeet,kakobuylink,kakebuylist,Kakobuy MEGA Spreadsheet,kakobuysheetfind,kakobuysheetfind2026,2026kakobuysheetfind,kakobuysheet2026</t>
        </is>
      </c>
      <c r="Q64" t="inlineStr">
        <is>
          <t>Black, Abstract, Breathable, Comfort, Streetwear, Unisex</t>
        </is>
      </c>
      <c r="R64" t="inlineStr">
        <is>
          <t>recvh6xFVjzDrV</t>
        </is>
      </c>
      <c r="S64" t="inlineStr">
        <is>
          <t>essentials-black-hoodie-abstract-art-recvh6x</t>
        </is>
      </c>
      <c r="T64"/>
      <c r="U64"/>
      <c r="V64"/>
      <c r="W64" t="inlineStr">
        <is>
          <t>{"choices":[{"finish_reason":"stop","index":0,"logprobs":null,"message":{"annotations":[],"content":"Essentials黑色连帽卫衣，甄选高品质纯棉材质，柔软舒适透气。前幅拼接抽象艺术印花图腾，结合街头解构设计风格，展现独立个性与先锋态度。宽松廓形搭配可调抽绳帽兜与实用袋鼠口袋，男女通用休闲款，完美诠释当代城市潮流精神。","refusal":null,"role":"assistant"}}],"created":1776655399,"id":"chatcmpl-DWZWBwrQmXGse0cxv9YRLKR78OQqv","model":"gpt-5-chat-latest","object":"chat.completion","service_tier":"default","system_fingerprint":"fp_ad66631dec","usage":{"completion_tokens":102,"completion_tokens_details":{"accepted_prediction_tokens":0,"audio_tokens":0,"reasoning_tokens":0,"rejected_prediction_tokens":0},"prompt_tokens":1333,"prompt_tokens_details":{"audio_tokens":0,"cached_tokens":0},"total_tokens":1435}}</t>
        </is>
      </c>
      <c r="X64" t="inlineStr">
        <is>
          <t>Essentials黑色连帽卫衣，甄选高品质纯棉材质，柔软舒适透气。前幅拼接抽象艺术印花图腾，结合街头解构设计风格，展现独立个性与先锋态度。宽松廓形搭配可调抽绳帽兜与实用袋鼠口袋，男女通用休闲款，完美诠释当代城市潮流精神。</t>
        </is>
      </c>
    </row>
    <row r="65" ht="25.5" customHeight="1">
      <c r="A65">
        <v>1839115443</v>
      </c>
      <c r="B65">
        <v>7599187751</v>
      </c>
      <c r="C65" t="inlineStr">
        <is>
          <t>https://weidian.com/item.html?itemID=7599187751</t>
        </is>
      </c>
      <c r="D65"/>
      <c r="E65" s="2" t="str">
        <f>=HYPERLINK("https://si.geilicdn.com/open1832946205-252808396-6b8a00000197f377292c0a8115c2_1080_1440.jpg?w=640&amp;h=640", "https://si.geilicdn.com/open1832946205-252808396-6b8a00000197f377292c0a8115c2_1080_1440.jpg?w=640&amp;h=640")</f>
        <v>https://si.geilicdn.com/open1832946205-252808396-6b8a00000197f377292c0a8115c2_1080_1440.jpg?w=640&amp;h=640</v>
      </c>
      <c r="F65" t="inlineStr">
        <is>
          <t>Jackets</t>
        </is>
      </c>
      <c r="G65" t="inlineStr">
        <is>
          <t>Canada Goose</t>
        </is>
      </c>
      <c r="H65" t="inlineStr">
        <is>
          <t>649.00</t>
        </is>
      </c>
      <c r="I65">
        <v>94.06</v>
      </c>
      <c r="J65" t="inlineStr">
        <is>
          <t>{"choices":[{"finish_reason":"stop","index":0,"logprobs":null,"message":{"annotations":[],"content":"Canada Goose Black Lightweight Down Hooded Jacket","refusal":null,"role":"assistant"}}],"created":1776665665,"id":"chatcmpl-DWcBlbPoIjpoTguNzyptEmjWirtjK","model":"gpt-5-chat-latest","object":"chat.completion","service_tier":"default","system_fingerprint":"fp_ad66631dec","usage":{"completion_tokens":9,"completion_tokens_details":{"accepted_prediction_tokens":0,"audio_tokens":0,"reasoning_tokens":0,"rejected_prediction_tokens":0},"prompt_tokens":892,"prompt_tokens_details":{"audio_tokens":0,"cached_tokens":0},"total_tokens":901}}</t>
        </is>
      </c>
      <c r="K65" t="inlineStr">
        <is>
          <t>Canada Goose Black Lightweight Down Hooded Jacket</t>
        </is>
      </c>
      <c r="L65" t="inlineStr">
        <is>
          <t>{"choices":[{"finish_reason":"stop","index":0,"logprobs":null,"message":{"annotations":[],"content":"Canada Goose Lightweight Down Jacket: Black windproof nylon shell with premium down fill, warm yet ultra-light. Sleek cut, adjustable hood, glossy texture for urban style. Perfect for men and women in fall and winter.","refusal":null,"role":"assistant"}}],"created":1776658796,"id":"chatcmpl-DWaOy7Ea2YYCXglHpfXBrH9bihO0z","model":"gpt-5-chat-latest","object":"chat.completion","service_tier":"default","system_fingerprint":"fp_ad66631dec","usage":{"completion_tokens":45,"completion_tokens_details":{"accepted_prediction_tokens":0,"audio_tokens":0,"reasoning_tokens":0,"rejected_prediction_tokens":0},"prompt_tokens":919,"prompt_tokens_details":{"audio_tokens":0,"cached_tokens":0},"total_tokens":964}}</t>
        </is>
      </c>
      <c r="M65" t="inlineStr">
        <is>
          <t>{"alt-svc":"h3=\":443\"; ma=2592000","apim-request-id":"8004bf07-e9e5-41ec-92cc-cf0cd00468af","azureml-model-session":"d20260405234249-f9874baf","cache-control":"no-cache","connection":"close","content-length":"805","content-security-policy":"frame-ancestors 'self'","content-type":"application/json","date":"Mon, 20 Apr 2026 04:19:57 GMT","server":"Caddy","skip-error-remapping":"true","strict-transport-security":"max-age=31536000; includeSubDomains; preload","via":"1.1 Caddy","x-api-request-id":"20260420121955646762005AdNOqh30","x-content-type-options":"nosniff","x-frame-options":"SAMEORIGIN","x-ms-client-request-id":"Not-Set","x-ms-is-spilled-over":"false","x-ms-rai-invoked":"true","x-ms-region":"East US 2","x-new-api-version":"0.4.39","x-oneapi-request-id":"202604200419555816517618268d9d6ndBKIdQ7","x-ratelimit-abusepenalty-active":"False","x-ratelimit-limit-requests":"3850","x-ratelimit-limit-tokens":"3850000","x-ratelimit-remaining-requests":"3849","x-ratelimit-remaining-tokens":"3848319","x-ratelimit-renewalperiod-requests":"60","x-ratelimit-renewalperiod-tokens":"60","x-ratelimit-reset-requests":"15","x-ratelimit-reset-tokens":"26","x-request-id":"1f538568-b32a-4ccb-bd2c-47253184cede"}</t>
        </is>
      </c>
      <c r="N65" t="inlineStr">
        <is>
          <t>Canada Goose Lightweight Down Jacket: Black windproof nylon shell with premium down fill, warm yet ultra-light. Sleek cut, adjustable hood, glossy texture for urban style. Perfect for men and women in fall and winter.</t>
        </is>
      </c>
      <c r="O65" t="inlineStr">
        <is>
          <t>{"choices":[{"finish_reason":"stop","index":0,"logprobs":null,"message":{"annotations":[],"content":"Canada Goose, Jackets, kakobuy, kakebuy2026, kekobuysheet, kakobuysheet2026, 2026kakobuy, kakobuyspreadsheeet, kakobuylink, kakebuylist, Kakobuy MEGA Spreadsheet, kakobuysheetfind, kakobuysheetfind2026, 2026kakobuysheetfind, kakobuysheet2026","refusal":null,"role":"assistant"}}],"created":1776667532,"id":"chatcmpl-DWcfsomwwwQ0vMQxduE0e9BYGIe2Z","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is>
      </c>
      <c r="P65" t="inlineStr">
        <is>
          <t>Canada Goose, Jackets, kakobuy, kakebuy2026, kekobuysheet, kakobuysheet2026, 2026kakobuy, kakobuyspreadsheeet, kakobuylink, kakebuylist, Kakobuy MEGA Spreadsheet, kakobuysheetfind, kakobuysheetfind2026, 2026kakobuysheetfind, kakobuysheet2026</t>
        </is>
      </c>
      <c r="Q65" t="inlineStr">
        <is>
          <t>Black, Windproof, Autumn And Winter, Men's And Women's, Sleek, Nylon</t>
        </is>
      </c>
      <c r="R65" t="inlineStr">
        <is>
          <t>recvh6xFVjxdk0</t>
        </is>
      </c>
      <c r="S65" t="inlineStr">
        <is>
          <t>canada-goose-black-lightweight-down-hooded-jacket-recvh6xfvjxdk0</t>
        </is>
      </c>
      <c r="T65"/>
      <c r="U65"/>
      <c r="V65"/>
      <c r="W65" t="inlineStr">
        <is>
          <t>{"choices":[{"finish_reason":"stop","index":0,"logprobs":null,"message":{"annotations":[],"content":"Canada Goose：黑色轻盈羽绒夹克，采用高密防风尼龙面料与优质羽绒填充，保暖轻便。简约立体剪裁搭配可调节连帽设计，亮面质感呈现都市机能风格。适合男女秋冬穿搭，兼具舒适与时尚。","refusal":null,"role":"assistant"}}],"created":1776655299,"id":"chatcmpl-DWZUZZuY4SIFM8EsPdUYBwayKFzhQ","model":"gpt-5-chat-latest","object":"chat.completion","service_tier":"default","system_fingerprint":"fp_ad66631dec","usage":{"completion_tokens":80,"completion_tokens_details":{"accepted_prediction_tokens":0,"audio_tokens":0,"reasoning_tokens":0,"rejected_prediction_tokens":0},"prompt_tokens":1322,"prompt_tokens_details":{"audio_tokens":0,"cached_tokens":0},"total_tokens":1402}}</t>
        </is>
      </c>
      <c r="X65" t="inlineStr">
        <is>
          <t>Canada Goose：黑色轻盈羽绒夹克，采用高密防风尼龙面料与优质羽绒填充，保暖轻便。简约立体剪裁搭配可调节连帽设计，亮面质感呈现都市机能风格。适合男女秋冬穿搭，兼具舒适与时尚。</t>
        </is>
      </c>
    </row>
    <row r="66" ht="25.5" customHeight="1">
      <c r="A66">
        <v>1839115443</v>
      </c>
      <c r="B66">
        <v>7599124489</v>
      </c>
      <c r="C66" t="inlineStr">
        <is>
          <t>https://weidian.com/item.html?itemID=7599124489</t>
        </is>
      </c>
      <c r="D66"/>
      <c r="E66" s="2" t="str">
        <f>=HYPERLINK("https://si.geilicdn.com/open1832946205-252808396-304700000197eeec2b420aa043f9_1097_1050.jpg?w=640&amp;h=640", "https://si.geilicdn.com/open1832946205-252808396-304700000197eeec2b420aa043f9_1097_1050.jpg?w=640&amp;h=640")</f>
        <v>https://si.geilicdn.com/open1832946205-252808396-304700000197eeec2b420aa043f9_1097_1050.jpg?w=640&amp;h=640</v>
      </c>
      <c r="F66" t="inlineStr">
        <is>
          <t>Hoodies</t>
        </is>
      </c>
      <c r="G66" t="inlineStr">
        <is>
          <t>Supreme</t>
        </is>
      </c>
      <c r="H66" t="inlineStr">
        <is>
          <t>282.00</t>
        </is>
      </c>
      <c r="I66">
        <v>40.87</v>
      </c>
      <c r="J66" t="inlineStr">
        <is>
          <t>{"choices":[{"finish_reason":"stop","index":0,"logprobs":null,"message":{"annotations":[],"content":"Supreme Retro 1994 Green Fleece Zip Hoodie","refusal":null,"role":"assistant"}}],"created":1776666396,"id":"chatcmpl-DWcNYxt4fvCKxIpSyiWq1rQHaKZIs","model":"gpt-5-chat-latest","object":"chat.completion","service_tier":"default","system_fingerprint":"fp_ad66631dec","usage":{"completion_tokens":12,"completion_tokens_details":{"accepted_prediction_tokens":0,"audio_tokens":0,"reasoning_tokens":0,"rejected_prediction_tokens":0},"prompt_tokens":891,"prompt_tokens_details":{"audio_tokens":0,"cached_tokens":0},"total_tokens":903}}</t>
        </is>
      </c>
      <c r="K66" t="inlineStr">
        <is>
          <t>Supreme Retro 1994 Green Fleece Zip Hoodie</t>
        </is>
      </c>
      <c r="L66" t="inlineStr">
        <is>
          <t>{"choices":[{"finish_reason":"stop","index":0,"logprobs":null,"message":{"annotations":[],"content":"Supreme Retro Green Zip Hoodie features soft thick fleece, 3D “1994” embroidered logo, arch brand lettering, drawstring hood, kangaroo pocket, and relaxed unisex fit for streetwear comfort.","refusal":null,"role":"assistant"}}],"created":1776659468,"id":"chatcmpl-DWaZo2FUAnhlYpJGkveYj4nANwPnR","model":"gpt-5-chat-latest","object":"chat.completion","service_tier":"default","system_fingerprint":"fp_ad66631dec","usage":{"completion_tokens":44,"completion_tokens_details":{"accepted_prediction_tokens":0,"audio_tokens":0,"reasoning_tokens":0,"rejected_prediction_tokens":0},"prompt_tokens":932,"prompt_tokens_details":{"audio_tokens":0,"cached_tokens":0},"total_tokens":976}}</t>
        </is>
      </c>
      <c r="M66" t="inlineStr">
        <is>
          <t>{"alt-svc":"h3=\":443\"; ma=2592000","apim-request-id":"b667d70e-2197-45f5-90ab-97ff44237e70","azureml-model-session":"d20260402074105-51db401e","cache-control":"no-cache","connection":"close","content-length":"781","content-security-policy":"frame-ancestors 'self'","content-type":"application/json","date":"Mon, 20 Apr 2026 04:31:12 GMT","server":"Caddy","skip-error-remapping":"true","strict-transport-security":"max-age=31536000; includeSubDomains; preload","via":"1.1 Caddy","x-api-request-id":"20260420123108294862746cNuF5XjY","x-content-type-options":"nosniff","x-frame-options":"SAMEORIGIN","x-ms-client-request-id":"Not-Set","x-ms-is-spilled-over":"false","x-ms-rai-invoked":"true","x-ms-region":"East US 2","x-new-api-version":"0.4.39","x-oneapi-request-id":"202604200431082075784418268d9d6db1WSpDt","x-ratelimit-abusepenalty-active":"False","x-ratelimit-limit-requests":"3850","x-ratelimit-limit-tokens":"3850000","x-ratelimit-remaining-requests":"3849","x-ratelimit-remaining-tokens":"3848306","x-ratelimit-renewalperiod-requests":"60","x-ratelimit-renewalperiod-tokens":"60","x-ratelimit-reset-requests":"15","x-ratelimit-reset-tokens":"26","x-request-id":"566e6eb0-2bc4-49b7-b284-977695b60d10"}</t>
        </is>
      </c>
      <c r="N66" t="inlineStr">
        <is>
          <t>Supreme Retro Green Zip Hoodie features soft thick fleece, 3D “1994” embroidered logo, arch brand lettering, drawstring hood, kangaroo pocket, and relaxed unisex fit for streetwear comfort.</t>
        </is>
      </c>
      <c r="O66" t="inlineStr">
        <is>
          <t>{"choices":[{"finish_reason":"stop","index":0,"logprobs":null,"message":{"annotations":[],"content":"Supreme,Hoodie,kakobuy,kakebuy2026,kekobuysheet,kakobuysheet2026,2026kakobuy,kakobuyspreadsheeet,kakobuylink,kakebuylist,Kakobuy MEGA Spreadsheet,kakobuysheetfind,kakobuysheetfind2026,2026kakobuysheetfind,kakobuysheet2026","refusal":null,"role":"assistant"}}],"created":1776668034,"id":"chatcmpl-DWcnyUrP2YUi8ibTgPUTCQ2BhW7z1","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is>
      </c>
      <c r="P66" t="inlineStr">
        <is>
          <t>Supreme,Hoodie,kakobuy,kakebuy2026,kekobuysheet,kakobuysheet2026,2026kakobuy,kakobuyspreadsheeet,kakobuylink,kakebuylist,Kakobuy MEGA Spreadsheet,kakobuysheetfind,kakobuysheetfind2026,2026kakobuysheetfind,kakobuysheet2026</t>
        </is>
      </c>
      <c r="Q66" t="inlineStr">
        <is>
          <t>Supreme, Retro, Green, Streetwear, Unisex, Fleece-Lined</t>
        </is>
      </c>
      <c r="R66" t="inlineStr">
        <is>
          <t>recvh6xFVjnUkf</t>
        </is>
      </c>
      <c r="S66" t="inlineStr">
        <is>
          <t>supreme-retro-1994-green-fleece-hoodie-recvh6xFVjnUkf</t>
        </is>
      </c>
      <c r="T66"/>
      <c r="U66"/>
      <c r="V66"/>
      <c r="W66" t="inlineStr">
        <is>
          <t>{"id":"chatcmpl-DWZNu5xXdhzwvYcRHldiH1CZD2Nmc","object":"chat.completion","created":1776654886,"model":"gpt-5-chat-latest","choices":[{"index":0,"message":{"role":"assistant","content":"Supreme：复古绿色连帽拉链卫衣，采用柔软厚棉抓绒面料，胸前立体“1994”与拱形品牌字样刺绣设计，街头学院风格浓郁。宽松剪裁搭配抽绳帽与袋鼠口袋，男女皆可轻松驾驭，展现潮流与舒适并存的都市休闲态度。","refusal":null,"annotations":[]},"logprobs":null,"finish_reason":"stop"}],"usage":{"prompt_tokens":1315,"completion_tokens":96,"total_tokens":1411,"prompt_tokens_details":{"cached_tokens":0,"audio_tokens":0},"completion_tokens_details":{"reasoning_tokens":0,"audio_tokens":0,"accepted_prediction_tokens":0,"rejected_prediction_tokens":0}},"service_tier":"default","system_fingerprint":"fp_ad66631dec"}</t>
        </is>
      </c>
      <c r="X66" t="inlineStr">
        <is>
          <t>Supreme：复古绿色连帽拉链卫衣，采用柔软厚棉抓绒面料，胸前立体“1994”与拱形品牌字样刺绣设计，街头学院风格浓郁。宽松剪裁搭配抽绳帽与袋鼠口袋，男女皆可轻松驾驭，展现潮流与舒适并存的都市休闲态度。</t>
        </is>
      </c>
    </row>
    <row r="67" ht="25.5" customHeight="1">
      <c r="A67">
        <v>1839115443</v>
      </c>
      <c r="B67">
        <v>7601113740</v>
      </c>
      <c r="C67" t="inlineStr">
        <is>
          <t>https://weidian.com/item.html?itemID=7601113740</t>
        </is>
      </c>
      <c r="D67"/>
      <c r="E67" s="2" t="str">
        <f>=HYPERLINK("https://si.geilicdn.com/open1832946205-252808396-620b00000197ee83b4170a8133b0_1280_1278.jpg?w=640&amp;h=640", "https://si.geilicdn.com/open1832946205-252808396-620b00000197ee83b4170a8133b0_1280_1278.jpg?w=640&amp;h=640")</f>
        <v>https://si.geilicdn.com/open1832946205-252808396-620b00000197ee83b4170a8133b0_1280_1278.jpg?w=640&amp;h=640</v>
      </c>
      <c r="F67" t="inlineStr">
        <is>
          <t>Hoodies</t>
        </is>
      </c>
      <c r="G67" t="inlineStr">
        <is>
          <t>Bape</t>
        </is>
      </c>
      <c r="H67" t="inlineStr">
        <is>
          <t>251.00</t>
        </is>
      </c>
      <c r="I67">
        <v>36.38</v>
      </c>
      <c r="J67" t="inlineStr">
        <is>
          <t>{"id":"chatcmpl-DWcGm1gdUZTDv91Dv26Nkz2oN3LBH","object":"chat.completion","created":1776665976,"model":"gpt-5-chat-latest","choices":[{"index":0,"message":{"role":"assistant","content":"Bape Black Camo Question Mark Unisex Cotton Hoodie","refusal":null,"annotations":[]},"logprobs":null,"finish_reason":"stop"}],"usage":{"prompt_tokens":887,"completion_tokens":12,"total_tokens":899,"prompt_tokens_details":{"cached_tokens":0,"audio_tokens":0},"completion_tokens_details":{"reasoning_tokens":0,"audio_tokens":0,"accepted_prediction_tokens":0,"rejected_prediction_tokens":0}},"service_tier":"default","system_fingerprint":"fp_ad66631dec"}</t>
        </is>
      </c>
      <c r="K67" t="inlineStr">
        <is>
          <t>Bape Black Camo Question Mark Unisex Cotton Hoodie</t>
        </is>
      </c>
      <c r="L67" t="inlineStr">
        <is>
          <t>{"choices":[{"finish_reason":"stop","index":0,"logprobs":null,"message":{"annotations":[],"content":"Bape Black Camo Question Mark Hoodie, made of soft cotton with multicolor camo print. Unisex loose fit with kangaroo pocket, blending comfort and iconic streetwear style for everyday casual wear.","refusal":null,"role":"assistant"}}],"created":1776658369,"id":"chatcmpl-DWaI5EZZETZeQLks7x3HqdijIoVJN","model":"gpt-5-chat-latest","object":"chat.completion","service_tier":"default","system_fingerprint":"fp_ad66631dec","usage":{"completion_tokens":42,"completion_tokens_details":{"accepted_prediction_tokens":0,"audio_tokens":0,"reasoning_tokens":0,"rejected_prediction_tokens":0},"prompt_tokens":923,"prompt_tokens_details":{"audio_tokens":0,"cached_tokens":0},"total_tokens":965}}</t>
        </is>
      </c>
      <c r="M67" t="inlineStr">
        <is>
          <t>{"alt-svc":"h3=\":443\"; ma=2592000","apim-request-id":"8093ffc3-0380-4ce8-8e50-d22b287da6cc","azureml-model-session":"d20260405234249-f9874baf","cache-control":"no-cache","connection":"close","content-length":"783","content-security-policy":"frame-ancestors 'self'","content-type":"application/json","date":"Mon, 20 Apr 2026 04:12:51 GMT","server":"Caddy","skip-error-remapping":"true","strict-transport-security":"max-age=31536000; includeSubDomains; preload","via":"1.1 Caddy","x-api-request-id":"20260420121249205324910bcjcqCDU","x-content-type-options":"nosniff","x-frame-options":"SAMEORIGIN","x-ms-client-request-id":"Not-Set","x-ms-is-spilled-over":"false","x-ms-rai-invoked":"true","x-ms-region":"East US 2","x-new-api-version":"0.4.39","x-oneapi-request-id":"202604200412491315577968268d9d68TadBia3","x-ratelimit-abusepenalty-active":"False","x-ratelimit-limit-requests":"3850","x-ratelimit-limit-tokens":"3850000","x-ratelimit-remaining-requests":"3849","x-ratelimit-remaining-tokens":"3848315","x-ratelimit-renewalperiod-requests":"60","x-ratelimit-renewalperiod-tokens":"60","x-ratelimit-reset-requests":"15","x-ratelimit-reset-tokens":"26","x-request-id":"25f0c07d-f9c7-4787-9673-6b11cd02406f"}</t>
        </is>
      </c>
      <c r="N67" t="inlineStr">
        <is>
          <t>Bape Black Camo Question Mark Hoodie, made of soft cotton with multicolor camo print. Unisex loose fit with kangaroo pocket, blending comfort and iconic streetwear style for everyday casual wear.</t>
        </is>
      </c>
      <c r="O67" t="inlineStr">
        <is>
          <t>{"choices":[{"finish_reason":"stop","index":0,"logprobs":null,"message":{"annotations":[],"content":"Bape,Hoodie,kakobuy,kakebuy2026,kekobuysheet,kakobuysheet2026,2026kakobuy,kakobuyspreadsheeet,kakobuylink,kakebuylist,Kakobuy MEGA Spreadsheet,kakobuysheetfind,kakobuysheetfind2026,2026kakobuysheetfind,kakobusheet2026","refusal":null,"role":"assistant"}}],"created":1776668243,"id":"chatcmpl-DWcrLNCHu9o1EYQvOIEjEv8gyOpeu","model":"gpt-5-chat-latest","object":"chat.completion","service_tier":"default","system_fingerprint":"fp_ad66631dec","usage":{"completion_tokens":87,"completion_tokens_details":{"accepted_prediction_tokens":0,"audio_tokens":0,"reasoning_tokens":0,"rejected_prediction_tokens":0},"prompt_tokens":784,"prompt_tokens_details":{"audio_tokens":0,"cached_tokens":0},"total_tokens":871}}</t>
        </is>
      </c>
      <c r="P67" t="inlineStr">
        <is>
          <t>Bape,Hoodie,kakobuy,kakebuy2026,kekobuysheet,kakobuysheet2026,2026kakobuy,kakobuyspreadsheeet,kakobuylink,kakebuylist,Kakobuy MEGA Spreadsheet,kakobuysheetfind,kakobuysheetfind2026,2026kakobuysheetfind,kakobusheet2026</t>
        </is>
      </c>
      <c r="Q67" t="inlineStr">
        <is>
          <t>BAPE, Black, Camouflage, Streetwear, Unisex</t>
        </is>
      </c>
      <c r="R67" t="inlineStr">
        <is>
          <t>recvh6xFVjtDDY</t>
        </is>
      </c>
      <c r="S67" t="inlineStr">
        <is>
          <t>bape-black-camo-question-mark-hoodie-recvh6xFVjtDDY</t>
        </is>
      </c>
      <c r="T67"/>
      <c r="U67"/>
      <c r="V67"/>
      <c r="W67" t="inlineStr">
        <is>
          <t>{"id":"chatcmpl-DWZimneYokOdcqxDZ77JhdNBSEFzX","object":"chat.completion","created":1776656180,"model":"gpt-5-chat-latest","choices":[{"index":0,"message":{"role":"assistant","content":"Bape：黑色迷彩问号系列连帽卫衣，采用柔软纯棉面料，胸前多色迷彩问号印花设计，展现品牌标志性街头潮流风格。宽松剪裁搭配实用袋鼠口袋，男女皆宜，兼具舒适与时尚感，适合日常休闲穿搭。","refusal":null,"annotations":[]},"logprobs":null,"finish_reason":"stop"}],"usage":{"prompt_tokens":1319,"completion_tokens":85,"total_tokens":1404,"prompt_tokens_details":{"cached_tokens":1280,"audio_tokens":0},"completion_tokens_details":{"reasoning_tokens":0,"audio_tokens":0,"accepted_prediction_tokens":0,"rejected_prediction_tokens":0}},"service_tier":"default","system_fingerprint":"fp_ad66631dec"}</t>
        </is>
      </c>
      <c r="X67" t="inlineStr">
        <is>
          <t>Bape：黑色迷彩问号系列连帽卫衣，采用柔软纯棉面料，胸前多色迷彩问号印花设计，展现品牌标志性街头潮流风格。宽松剪裁搭配实用袋鼠口袋，男女皆宜，兼具舒适与时尚感，适合日常休闲穿搭。</t>
        </is>
      </c>
    </row>
    <row r="68" ht="25.5" customHeight="1">
      <c r="A68">
        <v>1839115443</v>
      </c>
      <c r="B68">
        <v>7600983188</v>
      </c>
      <c r="C68" t="inlineStr">
        <is>
          <t>https://weidian.com/item.html?itemID=7600983188</t>
        </is>
      </c>
      <c r="D68"/>
      <c r="E68" s="2" t="str">
        <f>=HYPERLINK("https://si.geilicdn.com/open1832946205-252808396-0ec500000197f3c3cd170a22d249_776_782.jpg?w=640&amp;h=640", "https://si.geilicdn.com/open1832946205-252808396-0ec500000197f3c3cd170a22d249_776_782.jpg?w=640&amp;h=640")</f>
        <v>https://si.geilicdn.com/open1832946205-252808396-0ec500000197f3c3cd170a22d249_776_782.jpg?w=640&amp;h=640</v>
      </c>
      <c r="F68" t="inlineStr">
        <is>
          <t>Jackets</t>
        </is>
      </c>
      <c r="G68" t="inlineStr">
        <is>
          <t>Ralph Lauren</t>
        </is>
      </c>
      <c r="H68" t="inlineStr">
        <is>
          <t>605.00</t>
        </is>
      </c>
      <c r="I68">
        <v>87.68</v>
      </c>
      <c r="J68" t="inlineStr">
        <is>
          <t>{"choices":[{"finish_reason":"stop","index":0,"logprobs":null,"message":{"annotations":[],"content":"Ralph Lauren Black Down Jacket Hooded Unisex ","refusal":null,"role":"assistant"}}],"created":1776665996,"id":"chatcmpl-DWcH6FrG48g4GaybzXmq45O5kFAg8","model":"gpt-5-chat-latest","object":"chat.completion","service_tier":"default","system_fingerprint":"fp_ad66631dec","usage":{"completion_tokens":12,"completion_tokens_details":{"accepted_prediction_tokens":0,"audio_tokens":0,"reasoning_tokens":0,"rejected_prediction_tokens":0},"prompt_tokens":883,"prompt_tokens_details":{"audio_tokens":0,"cached_tokens":0},"total_tokens":895}}</t>
        </is>
      </c>
      <c r="K68" t="inlineStr">
        <is>
          <t xml:space="preserve">Ralph Lauren Black Down Jacket Hooded Unisex </t>
        </is>
      </c>
      <c r="L68" t="inlineStr">
        <is>
          <t>{"choices":[{"finish_reason":"stop","index":0,"logprobs":null,"message":{"annotations":[],"content":"Ralph Lauren black performance down jacket, windproof water‑repellent fabric, lightweight warmth, red chest logo, stand collar with detachable hood, unisex urban casual style with elegant luxury appeal.","refusal":null,"role":"assistant"}}],"created":1776659203,"id":"chatcmpl-DWaVXVXtbx9JFWHgEEpOXBdDbAZL1","model":"gpt-5-chat-latest","object":"chat.completion","service_tier":"default","system_fingerprint":"fp_ad66631dec","usage":{"completion_tokens":40,"completion_tokens_details":{"accepted_prediction_tokens":0,"audio_tokens":0,"reasoning_tokens":0,"rejected_prediction_tokens":0},"prompt_tokens":903,"prompt_tokens_details":{"audio_tokens":0,"cached_tokens":0},"total_tokens":943}}</t>
        </is>
      </c>
      <c r="M68" t="inlineStr">
        <is>
          <t>{"alt-svc":"h3=\":443\"; ma=2592000","apim-request-id":"5eedde77-5a24-4080-85af-82f3e9e4d8cc","azureml-model-session":"d20260402083108-57a85543","cache-control":"no-cache","connection":"close","content-length":"792","content-security-policy":"frame-ancestors 'self'","content-type":"application/json","date":"Mon, 20 Apr 2026 04:26:44 GMT","server":"Caddy","skip-error-remapping":"true","strict-transport-security":"max-age=31536000; includeSubDomains; preload","via":"1.1 Caddy","x-api-request-id":"2026042012264272720792587DH3LUf","x-content-type-options":"nosniff","x-frame-options":"SAMEORIGIN","x-ms-client-request-id":"Not-Set","x-ms-is-spilled-over":"false","x-ms-rai-invoked":"true","x-ms-region":"East US 2","x-new-api-version":"0.4.39","x-oneapi-request-id":"202604200426426601789728268d9d6KDuXOKLq","x-ratelimit-abusepenalty-active":"False","x-ratelimit-limit-requests":"3850","x-ratelimit-limit-tokens":"3850000","x-ratelimit-remaining-requests":"3849","x-ratelimit-remaining-tokens":"3848335","x-ratelimit-renewalperiod-requests":"60","x-ratelimit-renewalperiod-tokens":"60","x-ratelimit-reset-requests":"15","x-ratelimit-reset-tokens":"25","x-request-id":"24edbded-355f-4ea1-9179-777bbc440bdc"}</t>
        </is>
      </c>
      <c r="N68" t="inlineStr">
        <is>
          <t>Ralph Lauren black performance down jacket, windproof water‑repellent fabric, lightweight warmth, red chest logo, stand collar with detachable hood, unisex urban casual style with elegant luxury appeal.</t>
        </is>
      </c>
      <c r="O68" t="inlineStr">
        <is>
          <t>{"choices":[{"finish_reason":"stop","index":0,"logprobs":null,"message":{"annotations":[],"content":"Ralph Lauren, Jackets, kakobuy, kakebuy2026, kekobuysheet, kakobuysheet2026, 2026kakobuy, kakobuyspreadsheeet, kakobuylink, kakebuylist, Kakobuy MEGA Spreadsheet, kakobuysheetfind, kakobuysheetfind2026, 2026kakobuysheetfind, kakobuysheet2026","refusal":null,"role":"assistant"}}],"created":1776667690,"id":"chatcmpl-DWciQd0QLDlIozczifwRxecLVOkKO","model":"gpt-5-chat-latest","object":"chat.completion","service_tier":"default","system_fingerprint":"fp_ad66631dec","usage":{"completion_tokens":92,"completion_tokens_details":{"accepted_prediction_tokens":0,"audio_tokens":0,"reasoning_tokens":0,"rejected_prediction_tokens":0},"prompt_tokens":784,"prompt_tokens_details":{"audio_tokens":0,"cached_tokens":0},"total_tokens":876}}</t>
        </is>
      </c>
      <c r="P68" t="inlineStr">
        <is>
          <t>Ralph Lauren, Jackets, kakobuy, kakebuy2026, kekobuysheet, kakobuysheet2026, 2026kakobuy, kakobuyspreadsheeet, kakobuylink, kakebuylist, Kakobuy MEGA Spreadsheet, kakobuysheetfind, kakobuysheetfind2026, 2026kakobuysheetfind, kakobuysheet2026</t>
        </is>
      </c>
      <c r="Q68" t="inlineStr">
        <is>
          <t>Black, Windproof, Waterproof, Lightweight, Unisex</t>
        </is>
      </c>
      <c r="R68" t="inlineStr">
        <is>
          <t>recvh6xFVjUzWw</t>
        </is>
      </c>
      <c r="S68" t="inlineStr">
        <is>
          <t>ralph-lauren-black-down-jacket-hooded-unisex-recvh6xfvjuzww</t>
        </is>
      </c>
      <c r="T68"/>
      <c r="U68"/>
      <c r="V68"/>
      <c r="W68" t="inlineStr">
        <is>
          <t>{"choices":[{"finish_reason":"stop","index":0,"logprobs":null,"message":{"annotations":[],"content":"Ralph Lauren：黑色高性能羽绒外套，采用防风防泼面料，轻盈保暖设计，胸前红色标识点缀，立领可拆卸帽款，男女通用休闲都市风格，展现典雅奢华气质。","refusal":null,"role":"assistant"}}],"created":1776654963,"id":"chatcmpl-DWZP9fU6bCDoEOJ8rELO8ZsoW7gFt","model":"gpt-5-chat-latest","object":"chat.completion","service_tier":"default","system_fingerprint":"fp_ad66631dec","usage":{"completion_tokens":67,"completion_tokens_details":{"accepted_prediction_tokens":0,"audio_tokens":0,"reasoning_tokens":0,"rejected_prediction_tokens":0},"prompt_tokens":1317,"prompt_tokens_details":{"audio_tokens":0,"cached_tokens":0},"total_tokens":1384}}</t>
        </is>
      </c>
      <c r="X68" t="inlineStr">
        <is>
          <t>Ralph Lauren：黑色高性能羽绒外套，采用防风防泼面料，轻盈保暖设计，胸前红色标识点缀，立领可拆卸帽款，男女通用休闲都市风格，展现典雅奢华气质。</t>
        </is>
      </c>
    </row>
    <row r="69" ht="25.5" customHeight="1">
      <c r="A69">
        <v>1839115443</v>
      </c>
      <c r="B69">
        <v>7601103686</v>
      </c>
      <c r="C69" t="inlineStr">
        <is>
          <t>https://weidian.com/item.html?itemID=7601103686</t>
        </is>
      </c>
      <c r="D69"/>
      <c r="E69" s="2" t="str">
        <f>=HYPERLINK("https://si.geilicdn.com/open1832946205-252808396-679d000001992c4f039b0a231226_800_800.jpg?w=750&amp;h=750&amp;cp=1", "https://si.geilicdn.com/open1832946205-252808396-679d000001992c4f039b0a231226_800_800.jpg?w=750&amp;h=750&amp;cp=1")</f>
        <v>https://si.geilicdn.com/open1832946205-252808396-679d000001992c4f039b0a231226_800_800.jpg?w=750&amp;h=750&amp;cp=1</v>
      </c>
      <c r="F69" t="inlineStr">
        <is>
          <t>Pants</t>
        </is>
      </c>
      <c r="G69" t="inlineStr">
        <is>
          <t>Other</t>
        </is>
      </c>
      <c r="H69" t="inlineStr">
        <is>
          <t>98.00</t>
        </is>
      </c>
      <c r="I69">
        <v>14.2</v>
      </c>
      <c r="J69" t="inlineStr">
        <is>
          <t>{"choices":[{"finish_reason":"stop","index":0,"logprobs":null,"message":{"annotations":[],"content":"PantsOther Unisex Techwear Cargo Nylon Pants","refusal":null,"role":"assistant"}}],"created":1776666270,"id":"chatcmpl-DWcLWRrPZgOD56ts9dlvhkt4gNqsC","model":"gpt-5-chat-latest","object":"chat.completion","service_tier":"default","system_fingerprint":"fp_ad66631dec","usage":{"completion_tokens":11,"completion_tokens_details":{"accepted_prediction_tokens":0,"audio_tokens":0,"reasoning_tokens":0,"rejected_prediction_tokens":0},"prompt_tokens":881,"prompt_tokens_details":{"audio_tokens":0,"cached_tokens":0},"total_tokens":892}}</t>
        </is>
      </c>
      <c r="K69" t="inlineStr">
        <is>
          <t>PantsOther Unisex Techwear Cargo Nylon Pants</t>
        </is>
      </c>
      <c r="L69" t="inlineStr">
        <is>
          <t>{"id":"chatcmpl-DWaHmTFqi4QWkljVNRkdgquWJpqrs","object":"chat.completion","created":1776658350,"model":"gpt-5-chat-latest","choices":[{"index":0,"message":{"role":"assistant","content":"PantsOther unisex color-block windproof nylon pants, loose straight fit with large cargo pockets, minimalist logo, street techwear style for daily and outdoor use, available in gray and black.","refusal":null,"annotations":[]},"logprobs":null,"finish_reason":"stop"}],"usage":{"prompt_tokens":922,"completion_tokens":40,"total_tokens":962,"prompt_tokens_details":{"cached_tokens":0,"audio_tokens":0},"completion_tokens_details":{"reasoning_tokens":0,"audio_tokens":0,"accepted_prediction_tokens":0,"rejected_prediction_tokens":0}},"service_tier":"default","system_fingerprint":"fp_ad66631dec"}</t>
        </is>
      </c>
      <c r="M69"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ma=2592000","apim-request-id":"5543346a-0f07-443f-8d79-e9cd0fbfd8ee","azureml-model-session":"d20260402083108-57a85543","cache-control":"no-cache, no-store, must-revalidate","connection":"close","content-length":"996","content-security-policy":"frame-ancestors 'self'","content-type":"application/json","date":"Mon, 20 Apr 2026 04:12:31 GMT","server":"Caddy","skip-error-remapping":"true","strict-transport-security":"max-age=31536000; includeSubDomains; preload","via":"1.1 Caddy","x-api-request-id":"20260420121229829098174EIPIWM5M","x-content-type-options":"nosniff","x-frame-options":"SAMEORIGIN","x-ms-is-spilled-over":"false","x-ms-rai-invoked":"false","x-ms-region":"East US 2","x-new-api-version":"0.4.39","x-oneapi-request-id":"202604200412297655286088268d9d6tQL6xC1z","x-ratelimit-abusepenalty-active":"False","x-ratelimit-limit-requests":"4994","x-ratelimit-limit-tokens":"4994000","x-ratelimit-remaining-requests":"4993","x-ratelimit-remaining-tokens":"4991234","x-ratelimit-renewalperiod-requests":"60","x-ratelimit-renewalperiod-tokens":"60","x-ratelimit-reset-requests":"12","x-ratelimit-reset-tokens":"33","x-request-id":"12c648db-2c57-4788-bf16-d984c469cac3"}</t>
        </is>
      </c>
      <c r="N69" t="inlineStr">
        <is>
          <t>PantsOther unisex color-block windproof nylon pants, loose straight fit with large cargo pockets, minimalist logo, street techwear style for daily and outdoor use, available in gray and black.</t>
        </is>
      </c>
      <c r="O69" t="inlineStr">
        <is>
          <t>{"choices":[{"finish_reason":"stop","index":0,"logprobs":null,"message":{"annotations":[],"content":"GXG, Pants, kakobuy, kakebuy2026, kekobuysheet, kakobuysheet2026, 2026kakobuy, kakobuyspreadsheeet, kakobuylink, kakebuylist, Kakobuy MEGA Spreadsheet, kakobuysheetfind, kakobuysheetfind2026, 2026kakobuysheetfind, kakobuysheet2026","refusal":null,"role":"assistant"}}],"created":1776668169,"id":"chatcmpl-DWcq9GkT99J0YBnRUSYSOIdUKPXRe","model":"gpt-5-chat-latest","object":"chat.completion","service_tier":"default","system_fingerprint":"fp_ad66631dec","usage":{"completion_tokens":91,"completion_tokens_details":{"accepted_prediction_tokens":0,"audio_tokens":0,"reasoning_tokens":0,"rejected_prediction_tokens":0},"prompt_tokens":782,"prompt_tokens_details":{"audio_tokens":0,"cached_tokens":0},"total_tokens":873}}</t>
        </is>
      </c>
      <c r="P69" t="inlineStr">
        <is>
          <t>GXG, Pants, kakobuy, kakebuy2026, kekobuysheet, kakobuysheet2026, 2026kakobuy, kakobuyspreadsheeet, kakobuylink, kakebuylist, Kakobuy MEGA Spreadsheet, kakobuysheetfind, kakobuysheetfind2026, 2026kakobuysheetfind, kakobuysheet2026</t>
        </is>
      </c>
      <c r="Q69" t="inlineStr">
        <is>
          <t>Unisex, Color Block, Windproof, Nylon, Streetwear, Outdoor</t>
        </is>
      </c>
      <c r="R69" t="inlineStr">
        <is>
          <t>recvh6xFVjhLWm</t>
        </is>
      </c>
      <c r="S69" t="inlineStr">
        <is>
          <t>techwear-cargo-nylon-pants-recvh6xfvjhlwm</t>
        </is>
      </c>
      <c r="T69"/>
      <c r="U69"/>
      <c r="V69"/>
      <c r="W69" t="inlineStr">
        <is>
          <t>{"choices":[{"finish_reason":"stop","index":0,"logprobs":null,"message":{"annotations":[],"content":"简约拼色休闲运动长裤，灰黑双色可选，采用轻盈防风尼龙面料，宽松直筒版型搭配工装大口袋设计，点缀简约字母标志，男女同款。街头机能风格，适合日常出行与户外活动，兼具时尚感与实用性。","refusal":null,"role":"assistant"}}],"created":1776655673,"id":"chatcmpl-DWZabvsdKMDrdD5oK8u3gstADab3u","model":"gpt-5-chat-latest","object":"chat.completion","service_tier":"default","system_fingerprint":"fp_ad66631dec","usage":{"completion_tokens":85,"completion_tokens_details":{"accepted_prediction_tokens":0,"audio_tokens":0,"reasoning_tokens":0,"rejected_prediction_tokens":0},"prompt_tokens":1317,"prompt_tokens_details":{"audio_tokens":0,"cached_tokens":0},"total_tokens":1402}}</t>
        </is>
      </c>
      <c r="X69" t="inlineStr">
        <is>
          <t>简约拼色休闲运动长裤，灰黑双色可选，采用轻盈防风尼龙面料，宽松直筒版型搭配工装大口袋设计，点缀简约字母标志，男女同款。街头机能风格，适合日常出行与户外活动，兼具时尚感与实用性。</t>
        </is>
      </c>
    </row>
    <row r="70" ht="25.5" customHeight="1">
      <c r="A70">
        <v>1839115443</v>
      </c>
      <c r="B70">
        <v>7599013363</v>
      </c>
      <c r="C70" t="inlineStr">
        <is>
          <t>https://weidian.com/item.html?itemID=7599013363</t>
        </is>
      </c>
      <c r="D70"/>
      <c r="E70" s="2" t="str">
        <f>=HYPERLINK("https://si.geilicdn.com/open1832946205-252808396-444200000197e946cce40a23b491_1920_1920.jpg?w=640&amp;h=640", "https://si.geilicdn.com/open1832946205-252808396-444200000197e946cce40a23b491_1920_1920.jpg?w=640&amp;h=640")</f>
        <v>https://si.geilicdn.com/open1832946205-252808396-444200000197e946cce40a23b491_1920_1920.jpg?w=640&amp;h=640</v>
      </c>
      <c r="F70" t="inlineStr">
        <is>
          <t>Jackets</t>
        </is>
      </c>
      <c r="G70" t="inlineStr">
        <is>
          <t>Ralph Lauren</t>
        </is>
      </c>
      <c r="H70" t="inlineStr">
        <is>
          <t>187.00</t>
        </is>
      </c>
      <c r="I70">
        <v>27.1</v>
      </c>
      <c r="J70" t="inlineStr">
        <is>
          <t>{"choices":[{"finish_reason":"stop","index":0,"logprobs":null,"message":{"annotations":[],"content":"Ralph Lauren Polo Navy Half Zip Cotton Knit Sweater","refusal":null,"role":"assistant"}}],"created":1776665810,"id":"chatcmpl-DWcE6mDShbjpNgdb0b9U7I8EZm1eK","model":"gpt-5-chat-latest","object":"chat.completion","service_tier":"default","system_fingerprint":"fp_ad66631dec","usage":{"completion_tokens":12,"completion_tokens_details":{"accepted_prediction_tokens":0,"audio_tokens":0,"reasoning_tokens":0,"rejected_prediction_tokens":0},"prompt_tokens":883,"prompt_tokens_details":{"audio_tokens":0,"cached_tokens":0},"total_tokens":895}}</t>
        </is>
      </c>
      <c r="K70" t="inlineStr">
        <is>
          <t>Ralph Lauren Polo Navy Half Zip Cotton Knit Sweater</t>
        </is>
      </c>
      <c r="L70" t="inlineStr">
        <is>
          <t>{"id":"chatcmpl-DWaLCKyYgt17HSwPzQYV94EhosXRC","object":"chat.completion","created":1776658562,"model":"gpt-5-chat-latest","choices":[{"index":0,"message":{"role":"assistant","content":"Ralph Lauren Polo Navy Half-Zip Knit Sweatshirt, crafted from premium cotton, featuring red pony logo embroidery, timeless American casual style for men and women, cozy, stylish, and versatile.","refusal":null,"annotations":[]},"logprobs":null,"finish_reason":"stop"}],"usage":{"prompt_tokens":907,"completion_tokens":40,"total_tokens":947,"prompt_tokens_details":{"cached_tokens":0,"audio_tokens":0},"completion_tokens_details":{"reasoning_tokens":0,"audio_tokens":0,"accepted_prediction_tokens":0,"rejected_prediction_tokens":0}},"service_tier":"default","system_fingerprint":"fp_ad66631dec"}</t>
        </is>
      </c>
      <c r="M70"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ma=2592000","apim-request-id":"67bdd583-f4e8-481a-b376-22b3c5b6c7be","azureml-model-session":"d20260402075109-1fc5a0ec","cache-control":"no-cache, no-store, must-revalidate","connection":"close","content-length":"997","content-security-policy":"frame-ancestors 'self'","content-type":"application/json","date":"Mon, 20 Apr 2026 04:16:03 GMT","server":"Caddy","skip-error-remapping":"true","strict-transport-security":"max-age=31536000; includeSubDomains; preload","via":"1.1 Caddy","x-api-request-id":"20260420121600900140363N4rox6Qu","x-content-type-options":"nosniff","x-frame-options":"SAMEORIGIN","x-ms-is-spilled-over":"false","x-ms-rai-invoked":"false","x-ms-region":"East US 2","x-new-api-version":"0.4.39","x-oneapi-request-id":"202604200416008347815228268d9d62uATyFpa","x-ratelimit-abusepenalty-active":"False","x-ratelimit-limit-requests":"4994","x-ratelimit-limit-tokens":"4994000","x-ratelimit-remaining-requests":"4993","x-ratelimit-remaining-tokens":"4992331","x-ratelimit-renewalperiod-requests":"60","x-ratelimit-renewalperiod-tokens":"60","x-ratelimit-reset-requests":"12","x-ratelimit-reset-tokens":"20","x-request-id":"27bf2753-5c1b-41ae-9868-0fd57f4312e7"}</t>
        </is>
      </c>
      <c r="N70" t="inlineStr">
        <is>
          <t>Ralph Lauren Polo Navy Half-Zip Knit Sweatshirt, crafted from premium cotton, featuring red pony logo embroidery, timeless American casual style for men and women, cozy, stylish, and versatile.</t>
        </is>
      </c>
      <c r="O70" t="inlineStr">
        <is>
          <t>{"choices":[{"finish_reason":"stop","index":0,"logprobs":null,"message":{"annotations":[],"content":"Ralph Lauren, Jackets, kakobuy, kakebuy2026, kekobuysheet, kakobuysheet2026, 2026kakobuy, kakobuyspreadsheeet, kakobuylink, kakebuylist, Kakobuy MEGA Spreadsheet, kakobuysheetfind, kakobuysheetfind2026, 2026kakobuysheetfind, kakobuysheet2026","refusal":null,"role":"assistant"}}],"created":1776668044,"id":"chatcmpl-DWco8RAjzJ2bsCzOfxBBd40122k2G","model":"gpt-5-chat-latest","object":"chat.completion","service_tier":"default","system_fingerprint":"fp_ad66631dec","usage":{"completion_tokens":92,"completion_tokens_details":{"accepted_prediction_tokens":0,"audio_tokens":0,"reasoning_tokens":0,"rejected_prediction_tokens":0},"prompt_tokens":784,"prompt_tokens_details":{"audio_tokens":0,"cached_tokens":0},"total_tokens":876}}</t>
        </is>
      </c>
      <c r="P70" t="inlineStr">
        <is>
          <t>Ralph Lauren, Jackets, kakobuy, kakebuy2026, kekobuysheet, kakobuysheet2026, 2026kakobuy, kakobuyspreadsheeet, kakobuylink, kakebuylist, Kakobuy MEGA Spreadsheet, kakobuysheetfind, kakobuysheetfind2026, 2026kakobuysheetfind, kakobuysheet2026</t>
        </is>
      </c>
      <c r="Q70" t="inlineStr">
        <is>
          <t>Men's And Women's, Navy, Knit, Versatile</t>
        </is>
      </c>
      <c r="R70" t="inlineStr">
        <is>
          <t>recvh6xFVjTQYg</t>
        </is>
      </c>
      <c r="S70" t="inlineStr">
        <is>
          <t>ralph-lauren-navy-half-zip-cotton-knit-sweater-recvh6xfvjtqyg</t>
        </is>
      </c>
      <c r="T70"/>
      <c r="U70"/>
      <c r="V70"/>
      <c r="W70" t="inlineStr">
        <is>
          <t>{"id":"chatcmpl-DWZZ4Z0fPGPqDMgsXbKqJ5PEvJYLo","object":"chat.completion","created":1776655578,"model":"gpt-5-chat-latest","choices":[{"index":0,"message":{"role":"assistant","content":"Ralph Lauren：Polo系列深蓝色半拉链针织卫衣，甄选优质棉质面料，胸前红色骑士刺绣标志彰显品牌经典，美式休闲风格设计适合男女日常穿搭，舒适保暖兼具优雅气质。","refusal":null,"annotations":[]},"logprobs":null,"finish_reason":"stop"}],"usage":{"prompt_tokens":1317,"completion_tokens":71,"total_tokens":1388,"prompt_tokens_details":{"cached_tokens":1280,"audio_tokens":0},"completion_tokens_details":{"reasoning_tokens":0,"audio_tokens":0,"accepted_prediction_tokens":0,"rejected_prediction_tokens":0}},"service_tier":"default","system_fingerprint":"fp_ad66631dec"}</t>
        </is>
      </c>
      <c r="X70" t="inlineStr">
        <is>
          <t>Ralph Lauren：Polo系列深蓝色半拉链针织卫衣，甄选优质棉质面料，胸前红色骑士刺绣标志彰显品牌经典，美式休闲风格设计适合男女日常穿搭，舒适保暖兼具优雅气质。</t>
        </is>
      </c>
    </row>
    <row r="71" ht="25.5" customHeight="1">
      <c r="A71">
        <v>1839115443</v>
      </c>
      <c r="B71">
        <v>7599055195</v>
      </c>
      <c r="C71" t="inlineStr">
        <is>
          <t>https://weidian.com/item.html?itemID=7599055195</t>
        </is>
      </c>
      <c r="D71"/>
      <c r="E71" s="2" t="str">
        <f>=HYPERLINK("https://si.geilicdn.com/open1832946205-252808396-1ecc00000197ee4d395e0a231226_800_800.jpg?w=640&amp;h=640", "https://si.geilicdn.com/open1832946205-252808396-1ecc00000197ee4d395e0a231226_800_800.jpg?w=640&amp;h=640")</f>
        <v>https://si.geilicdn.com/open1832946205-252808396-1ecc00000197ee4d395e0a231226_800_800.jpg?w=640&amp;h=640</v>
      </c>
      <c r="F71" t="inlineStr">
        <is>
          <t>Hoodies</t>
        </is>
      </c>
      <c r="G71" t="inlineStr">
        <is>
          <t>Celine</t>
        </is>
      </c>
      <c r="H71" t="inlineStr">
        <is>
          <t>207.00</t>
        </is>
      </c>
      <c r="I71">
        <v>30</v>
      </c>
      <c r="J71" t="inlineStr">
        <is>
          <t>{"choices":[{"finish_reason":"stop","index":0,"logprobs":null,"message":{"annotations":[],"content":"Celine CEL Black Oversized Unisex Cotton Hoodie","refusal":null,"role":"assistant"}}],"created":1776666334,"id":"chatcmpl-DWcMYz6FQUu6pAbM0Donm36iw0jny","model":"gpt-5-chat-latest","object":"chat.completion","service_tier":"default","system_fingerprint":"fp_ad66631dec","usage":{"completion_tokens":11,"completion_tokens_details":{"accepted_prediction_tokens":0,"audio_tokens":0,"reasoning_tokens":0,"rejected_prediction_tokens":0},"prompt_tokens":875,"prompt_tokens_details":{"audio_tokens":0,"cached_tokens":0},"total_tokens":886}}</t>
        </is>
      </c>
      <c r="K71" t="inlineStr">
        <is>
          <t>Celine CEL Black Oversized Unisex Cotton Hoodie</t>
        </is>
      </c>
      <c r="L71" t="inlineStr">
        <is>
          <t>{"choices":[{"finish_reason":"stop","index":0,"logprobs":null,"message":{"annotations":[],"content":"Celine black cotton hoodie featuring minimalist “CEL” print on the back, relaxed oversized fit, unisex streetwear design, soft and premium texture for effortless urban casual style.","refusal":null,"role":"assistant"}}],"created":1776658386,"id":"chatcmpl-DWaIMukrzBCa5MEmXovfczzFGFYXV","model":"gpt-5-chat-latest","object":"chat.completion","service_tier":"default","system_fingerprint":"fp_ad66631dec","usage":{"completion_tokens":36,"completion_tokens_details":{"accepted_prediction_tokens":0,"audio_tokens":0,"reasoning_tokens":0,"rejected_prediction_tokens":0},"prompt_tokens":914,"prompt_tokens_details":{"audio_tokens":0,"cached_tokens":0},"total_tokens":950}}</t>
        </is>
      </c>
      <c r="M71" t="inlineStr">
        <is>
          <t>{"alt-svc":"h3=\":443\"; ma=2592000","apim-request-id":"c2b8014d-17fc-491a-be3f-959d2f4a6f86","azureml-model-session":"d20260402074105-51db401e","cache-control":"no-cache","connection":"close","content-length":"773","content-security-policy":"frame-ancestors 'self'","content-type":"application/json","date":"Mon, 20 Apr 2026 04:13:07 GMT","server":"nginx","skip-error-remapping":"true","strict-transport-security":"max-age=31536000; includeSubDomains; preload","via":"1.1 Caddy, 1.1 Caddy","x-api-request-id":"2026042012130595094867duMhE8Ck","x-content-type-options":"nosniff","x-frame-options":"SAMEORIGIN","x-ms-client-request-id":"Not-Set","x-ms-is-spilled-over":"false","x-ms-rai-invoked":"true","x-ms-region":"East US 2","x-new-api-version":"0.4.39","x-oneapi-request-id":"20260420041305494568268d9d6qKLc5ZYO","x-ratelimit-abusepenalty-active":"False","x-ratelimit-limit-requests":"3850","x-ratelimit-limit-tokens":"3850000","x-ratelimit-remaining-requests":"3849","x-ratelimit-remaining-tokens":"3842630","x-ratelimit-renewalperiod-requests":"60","x-ratelimit-renewalperiod-tokens":"60","x-ratelimit-reset-requests":"15","x-ratelimit-reset-tokens":"114","x-request-id":"cc749517-2324-4faf-81b6-e26aea677560"}</t>
        </is>
      </c>
      <c r="N71" t="inlineStr">
        <is>
          <t>Celine black cotton hoodie featuring minimalist “CEL” print on the back, relaxed oversized fit, unisex streetwear design, soft and premium texture for effortless urban casual style.</t>
        </is>
      </c>
      <c r="O71" t="inlineStr">
        <is>
          <t>{"choices":[{"finish_reason":"stop","index":0,"logprobs":null,"message":{"annotations":[],"content":"Celine,Hoodies,kakobuy,kakebuy2026,kekobuysheet,kakobuysheet2026,2026kakobuy,kakobuyspreadsheeet,kakobuylink,kakebuylist,Kakobuy MEGA Spreadsheet,kakobuysheetfind,kakobuysheetfind2026,2026kakobuysheetfind,kakobuysheet2026","refusal":null,"role":"assistant"}}],"created":1776668131,"id":"chatcmpl-DWcpXXj1ozAPdz1Zc2Xyg5Hdha94t","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is>
      </c>
      <c r="P71" t="inlineStr">
        <is>
          <t>Celine,Hoodies,kakobuy,kakebuy2026,kekobuysheet,kakobuysheet2026,2026kakobuy,kakobuyspreadsheeet,kakobuylink,kakebuylist,Kakobuy MEGA Spreadsheet,kakobuysheetfind,kakobuysheetfind2026,2026kakobuysheetfind,kakobuysheet2026</t>
        </is>
      </c>
      <c r="Q71" t="inlineStr">
        <is>
          <t>Celine, Black, Minimalist, Streetwear, Unisex</t>
        </is>
      </c>
      <c r="R71" t="inlineStr">
        <is>
          <t>recvh6xFVjfe6i</t>
        </is>
      </c>
      <c r="S71" t="inlineStr">
        <is>
          <t>celine-cel-black-oversized-unisex-cotton-hoodie-recvh6xfvjfe6i</t>
        </is>
      </c>
      <c r="T71"/>
      <c r="U71"/>
      <c r="V71"/>
      <c r="W71" t="inlineStr">
        <is>
          <t>{"id":"chatcmpl-DWZbbeSwodAyAGXpatpHO9kKliDcg","object":"chat.completion","created":1776655735,"model":"gpt-5-chat-latest","choices":[{"index":0,"message":{"role":"assistant","content":"Celine：黑色连帽卫衣，柔软纯棉面料打造，背部点缀极简“CEL”字母印花，廓形宽松，展现随性街头风格，中性设计，适合男女穿搭，兼具舒适与高级质感，轻松演绎都市休闲时尚。","refusal":null,"annotations":[]},"logprobs":null,"finish_reason":"stop"}],"usage":{"prompt_tokens":1313,"completion_tokens":79,"total_tokens":1392,"prompt_tokens_details":{"cached_tokens":0,"audio_tokens":0},"completion_tokens_details":{"reasoning_tokens":0,"audio_tokens":0,"accepted_prediction_tokens":0,"rejected_prediction_tokens":0}},"service_tier":"default","system_fingerprint":"fp_ad66631dec"}</t>
        </is>
      </c>
      <c r="X71" t="inlineStr">
        <is>
          <t>Celine：黑色连帽卫衣，柔软纯棉面料打造，背部点缀极简“CEL”字母印花，廓形宽松，展现随性街头风格，中性设计，适合男女穿搭，兼具舒适与高级质感，轻松演绎都市休闲时尚。</t>
        </is>
      </c>
    </row>
    <row r="72" ht="25.5" customHeight="1">
      <c r="A72">
        <v>1839115443</v>
      </c>
      <c r="B72">
        <v>7599088943</v>
      </c>
      <c r="C72" t="inlineStr">
        <is>
          <t>https://weidian.com/item.html?itemID=7599088943</t>
        </is>
      </c>
      <c r="D72"/>
      <c r="E72" s="2" t="str">
        <f>=HYPERLINK("https://si.geilicdn.com/open1832946205-252808396-71a100000197e81449910a231226_800_800.jpg?w=640&amp;h=640", "https://si.geilicdn.com/open1832946205-252808396-71a100000197e81449910a231226_800_800.jpg?w=640&amp;h=640")</f>
        <v>https://si.geilicdn.com/open1832946205-252808396-71a100000197e81449910a231226_800_800.jpg?w=640&amp;h=640</v>
      </c>
      <c r="F72" t="inlineStr">
        <is>
          <t>T-Shirts</t>
        </is>
      </c>
      <c r="G72" t="inlineStr">
        <is>
          <t>Stussy</t>
        </is>
      </c>
      <c r="H72" t="inlineStr">
        <is>
          <t>86.00</t>
        </is>
      </c>
      <c r="I72">
        <v>12.46</v>
      </c>
      <c r="J72" t="inlineStr">
        <is>
          <t>{"choices":[{"finish_reason":"stop","index":0,"logprobs":null,"message":{"annotations":[],"content":"Stussy Black City Series Unisex Cotton Retro T-Shirt","refusal":null,"role":"assistant"}}],"created":1776666445,"id":"chatcmpl-DWcOL70abVlDNrHAAY0ZFsHwnYL8a","model":"gpt-5-chat-latest","object":"chat.completion","service_tier":"default","system_fingerprint":"fp_ad66631dec","usage":{"completion_tokens":12,"completion_tokens_details":{"accepted_prediction_tokens":0,"audio_tokens":0,"reasoning_tokens":0,"rejected_prediction_tokens":0},"prompt_tokens":894,"prompt_tokens_details":{"audio_tokens":0,"cached_tokens":0},"total_tokens":906}}</t>
        </is>
      </c>
      <c r="K72" t="inlineStr">
        <is>
          <t>Stussy Black City Series Unisex Cotton Retro T-Shirt</t>
        </is>
      </c>
      <c r="L72" t="inlineStr">
        <is>
          <t>{"choices":[{"finish_reason":"stop","index":0,"logprobs":null,"message":{"annotations":[],"content":"Stussy Black City Series T-Shirt in soft cotton, features pink logo print with New York, Los Angeles, Tokyo, London, Paris cities, unisex design, retro 90s streetwear style for casual urban looks.","refusal":null,"role":"assistant"}}],"created":1776658394,"id":"chatcmpl-DWaIUTB70HqQvpIgrqEmRRJrzdE3E","model":"gpt-5-chat-latest","object":"chat.completion","service_tier":"default","system_fingerprint":"fp_ad66631dec","usage":{"completion_tokens":46,"completion_tokens_details":{"accepted_prediction_tokens":0,"audio_tokens":0,"reasoning_tokens":0,"rejected_prediction_tokens":0},"prompt_tokens":917,"prompt_tokens_details":{"audio_tokens":0,"cached_tokens":0},"total_tokens":963}}</t>
        </is>
      </c>
      <c r="M72" t="inlineStr">
        <is>
          <t>{"alt-svc":"h3=\":443\"; ma=2592000","apim-request-id":"21e7d167-6b7c-4e58-a9f3-d55fc04a156e","azureml-model-session":"d20260402083108-57a85543","cache-control":"no-cache","connection":"close","content-length":"784","content-security-policy":"frame-ancestors 'self'","content-type":"application/json","date":"Mon, 20 Apr 2026 04:13:15 GMT","server":"nginx","skip-error-remapping":"true","strict-transport-security":"max-age=31536000; includeSubDomains; preload","via":"1.1 Caddy, 1.1 Caddy","x-api-request-id":"20260420121313731037406FDJjrATk","x-content-type-options":"nosniff","x-frame-options":"SAMEORIGIN","x-ms-client-request-id":"Not-Set","x-ms-is-spilled-over":"false","x-ms-rai-invoked":"true","x-ms-region":"East US 2","x-new-api-version":"0.4.39","x-oneapi-request-id":"202604200413136216321618268d9d6czHnzTao","x-ratelimit-abusepenalty-active":"False","x-ratelimit-limit-requests":"3850","x-ratelimit-limit-tokens":"3850000","x-ratelimit-remaining-requests":"3849","x-ratelimit-remaining-tokens":"3848321","x-ratelimit-renewalperiod-requests":"60","x-ratelimit-renewalperiod-tokens":"60","x-ratelimit-reset-requests":"15","x-ratelimit-reset-tokens":"26","x-request-id":"ea48ab24-9cf8-440d-8774-07d9ed7c29ca"}</t>
        </is>
      </c>
      <c r="N72" t="inlineStr">
        <is>
          <t>Stussy Black City Series T-Shirt in soft cotton, features pink logo print with New York, Los Angeles, Tokyo, London, Paris cities, unisex design, retro 90s streetwear style for casual urban looks.</t>
        </is>
      </c>
      <c r="O72" t="inlineStr">
        <is>
          <t>{"choices":[{"finish_reason":"stop","index":0,"logprobs":null,"message":{"annotations":[],"content":"Stussy,T-Shirts,kakobuy,kakebuy2026,kekobuysheet,kakobuysheet2026,2026kakobuy,kakobuyspreadsheeet,kakobuylink,kakebuylist,Kakobuy MEGA Spreadsheet,kakobuysheetfind,kakobuysheetfind2026,2026kakobuysheetfind,kakobuysheet2026","refusal":null,"role":"assistant"}}],"created":1776667712,"id":"chatcmpl-DWcimCanZUEzIZvwr8FarFt5TqUaZ","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P72" t="inlineStr">
        <is>
          <t>Stussy,T-Shirts,kakobuy,kakebuy2026,kekobuysheet,kakobuysheet2026,2026kakobuy,kakobuyspreadsheeet,kakobuylink,kakebuylist,Kakobuy MEGA Spreadsheet,kakobuysheetfind,kakobuysheetfind2026,2026kakobuysheetfind,kakobuysheet2026</t>
        </is>
      </c>
      <c r="Q72" t="inlineStr">
        <is>
          <t>Stussy, Black, Retro, Streetwear, Unisex</t>
        </is>
      </c>
      <c r="R72" t="inlineStr">
        <is>
          <t>recvh6xFVjjDYr</t>
        </is>
      </c>
      <c r="S72" t="inlineStr">
        <is>
          <t>stussy-black-city-series-retro-t-shirt-recvh6xfvjjdy</t>
        </is>
      </c>
      <c r="T72"/>
      <c r="U72"/>
      <c r="V72"/>
      <c r="W72" t="inlineStr">
        <is>
          <t>{"choices":[{"finish_reason":"stop","index":0,"logprobs":null,"message":{"annotations":[],"content":"Stussy：黑色城市系列短袖T恤，柔软纯棉材质打造，胸前粉色Logo印花点缀纽约、洛杉矶、东京、伦敦、巴黎字样，彰显全球街头文化气息，简约圆领设计，男女皆宜，休闲复古风格，展现90年代潮牌经典魅力。","refusal":null,"role":"assistant"}}],"created":1776655811,"id":"chatcmpl-DWZcph2h1io8dxZJX0xMz6stsuxXE","model":"gpt-5-chat-latest","object":"chat.completion","service_tier":"default","system_fingerprint":"fp_ad66631dec","usage":{"completion_tokens":85,"completion_tokens_details":{"accepted_prediction_tokens":0,"audio_tokens":0,"reasoning_tokens":0,"rejected_prediction_tokens":0},"prompt_tokens":1308,"prompt_tokens_details":{"audio_tokens":0,"cached_tokens":0},"total_tokens":1393}}</t>
        </is>
      </c>
      <c r="X72" t="inlineStr">
        <is>
          <t>Stussy：黑色城市系列短袖T恤，柔软纯棉材质打造，胸前粉色Logo印花点缀纽约、洛杉矶、东京、伦敦、巴黎字样，彰显全球街头文化气息，简约圆领设计，男女皆宜，休闲复古风格，展现90年代潮牌经典魅力。</t>
        </is>
      </c>
    </row>
    <row r="73" ht="25.5" customHeight="1">
      <c r="A73">
        <v>1839115443</v>
      </c>
      <c r="B73">
        <v>7599136051</v>
      </c>
      <c r="C73" t="inlineStr">
        <is>
          <t>https://weidian.com/item.html?itemID=7599136051</t>
        </is>
      </c>
      <c r="D73"/>
      <c r="E73" s="2" t="str">
        <f>=HYPERLINK("https://si.geilicdn.com/open1832946205-252808396-0c6000000197e84746110a23b491_750_930.jpg?w=640&amp;h=640", "https://si.geilicdn.com/open1832946205-252808396-0c6000000197e84746110a23b491_750_930.jpg?w=640&amp;h=640")</f>
        <v>https://si.geilicdn.com/open1832946205-252808396-0c6000000197e84746110a23b491_750_930.jpg?w=640&amp;h=640</v>
      </c>
      <c r="F73" t="inlineStr">
        <is>
          <t>T-Shirts</t>
        </is>
      </c>
      <c r="G73" t="inlineStr">
        <is>
          <t>Vlone</t>
        </is>
      </c>
      <c r="H73" t="inlineStr">
        <is>
          <t>69.00</t>
        </is>
      </c>
      <c r="I73">
        <v>10</v>
      </c>
      <c r="J73" t="inlineStr">
        <is>
          <t>{"choices":[{"finish_reason":"stop","index":0,"logprobs":null,"message":{"annotations":[],"content":"Vlone White Smoke V Logo Streetwear T-Shirt","refusal":null,"role":"assistant"}}],"created":1776666357,"id":"chatcmpl-DWcMvZXNn7M8hiHsfzKaftCXXuhBB","model":"gpt-5-chat-latest","object":"chat.completion","service_tier":"default","system_fingerprint":"fp_ad66631dec","usage":{"completion_tokens":11,"completion_tokens_details":{"accepted_prediction_tokens":0,"audio_tokens":0,"reasoning_tokens":0,"rejected_prediction_tokens":0},"prompt_tokens":868,"prompt_tokens_details":{"audio_tokens":0,"cached_tokens":0},"total_tokens":879}}</t>
        </is>
      </c>
      <c r="K73" t="inlineStr">
        <is>
          <t>Vlone White Smoke V Logo Streetwear T-Shirt</t>
        </is>
      </c>
      <c r="L73" t="inlineStr">
        <is>
          <t>{"choices":[{"finish_reason":"stop","index":0,"logprobs":null,"message":{"annotations":[],"content":"Vlone White Cotton T-Shirt with Black Smoke V logo on back, street art vibe, unisex loose fit, breathable and stylish for modern urban fashion attitude.","refusal":null,"role":"assistant"}}],"created":1776658705,"id":"chatcmpl-DWaNVu3t385mvvCQyEkjItbPpZPpg","model":"gpt-5-chat-latest","object":"chat.completion","service_tier":"default","system_fingerprint":"fp_ad66631dec","usage":{"completion_tokens":33,"completion_tokens_details":{"accepted_prediction_tokens":0,"audio_tokens":0,"reasoning_tokens":0,"rejected_prediction_tokens":0},"prompt_tokens":924,"prompt_tokens_details":{"audio_tokens":0,"cached_tokens":0},"total_tokens":957}}</t>
        </is>
      </c>
      <c r="M73" t="inlineStr">
        <is>
          <t>{"alt-svc":"h3=\":443\"; ma=2592000","apim-request-id":"6d651f75-d8aa-4f02-a1b0-bc6c957b06cc","azureml-model-session":"d20260405234249-f9874baf","cache-control":"no-cache","connection":"close","content-length":"740","content-security-policy":"frame-ancestors 'self'","content-type":"application/json","date":"Mon, 20 Apr 2026 04:18:26 GMT","server":"Caddy","skip-error-remapping":"true","strict-transport-security":"max-age=31536000; includeSubDomains; preload","via":"1.1 Caddy","x-api-request-id":"2026042012182577265498IOiNUcja","x-content-type-options":"nosniff","x-frame-options":"SAMEORIGIN","x-ms-client-request-id":"Not-Set","x-ms-is-spilled-over":"false","x-ms-rai-invoked":"true","x-ms-region":"East US 2","x-new-api-version":"0.4.39","x-oneapi-request-id":"2026042004182597244398268d9d6yXdvEE2A","x-ratelimit-abusepenalty-active":"False","x-ratelimit-limit-requests":"3850","x-ratelimit-limit-tokens":"3850000","x-ratelimit-remaining-requests":"3849","x-ratelimit-remaining-tokens":"3848314","x-ratelimit-renewalperiod-requests":"60","x-ratelimit-renewalperiod-tokens":"60","x-ratelimit-reset-requests":"15","x-ratelimit-reset-tokens":"26","x-request-id":"236c4c08-56f1-43d9-aa5f-ff50eee7d6e7"}</t>
        </is>
      </c>
      <c r="N73" t="inlineStr">
        <is>
          <t>Vlone White Cotton T-Shirt with Black Smoke V logo on back, street art vibe, unisex loose fit, breathable and stylish for modern urban fashion attitude.</t>
        </is>
      </c>
      <c r="O73" t="inlineStr">
        <is>
          <t>{"choices":[{"finish_reason":"stop","index":0,"logprobs":null,"message":{"annotations":[],"content":"Vlone,T-Shirts,kakobuy,kakebuy2026,kekobuysheet,kakobuysheet2026,2026kakobuy,kakobuyspreadsheeet,kakobuylink,kakebuylist,Kakobuy MEGA Spreadsheet,kakobuysheetfind,kakobuysheetfind2026,2026kakobuysheetfind,kakobuysheet2026","refusal":null,"role":"assistant"}}],"created":1776667423,"id":"chatcmpl-DWce7zQDzI2fDu3JuCcSl9omJ9bYL","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P73" t="inlineStr">
        <is>
          <t>Vlone,T-Shirts,kakobuy,kakebuy2026,kekobuysheet,kakobuysheet2026,2026kakobuy,kakobuyspreadsheeet,kakobuylink,kakebuylist,Kakobuy MEGA Spreadsheet,kakobuysheetfind,kakobuysheetfind2026,2026kakobuysheetfind,kakobuysheet2026</t>
        </is>
      </c>
      <c r="Q73" t="inlineStr">
        <is>
          <t>Streetwear, White, Unisex, Breathable</t>
        </is>
      </c>
      <c r="R73" t="inlineStr">
        <is>
          <t>recvh6xFVjcHr5</t>
        </is>
      </c>
      <c r="S73" t="inlineStr">
        <is>
          <t>vlone-white-smoke-v-logo-tshirt-recvh6xFVjcHr5</t>
        </is>
      </c>
      <c r="T73"/>
      <c r="U73"/>
      <c r="V73"/>
      <c r="W73" t="inlineStr">
        <is>
          <t>{"id":"chatcmpl-DWZXz0ANS0vDbzrArQCxnXWM9qCjf","object":"chat.completion","created":1776655511,"model":"gpt-5-chat-latest","choices":[{"index":0,"message":{"role":"assistant","content":"Vlone：白色短袖T恤，选用高品质纯棉面料，背面黑色烟雾感V字标识设计，质感简约却极具街头艺术气息。宽松版型剪裁适合男女通穿，舒适透气，彰显潮流态度与个性表达，打造都市年轻一代的时尚休闲风格。","refusal":null,"annotations":[]},"logprobs":null,"finish_reason":"stop"}],"usage":{"prompt_tokens":1312,"completion_tokens":90,"total_tokens":1402,"prompt_tokens_details":{"cached_tokens":1280,"audio_tokens":0},"completion_tokens_details":{"reasoning_tokens":0,"audio_tokens":0,"accepted_prediction_tokens":0,"rejected_prediction_tokens":0}},"service_tier":"default","system_fingerprint":"fp_ad66631dec"}</t>
        </is>
      </c>
      <c r="X73" t="inlineStr">
        <is>
          <t>Vlone：白色短袖T恤，选用高品质纯棉面料，背面黑色烟雾感V字标识设计，质感简约却极具街头艺术气息。宽松版型剪裁适合男女通穿，舒适透气，彰显潮流态度与个性表达，打造都市年轻一代的时尚休闲风格。</t>
        </is>
      </c>
    </row>
    <row r="74" ht="25.5" customHeight="1">
      <c r="A74">
        <v>1839115443</v>
      </c>
      <c r="B74">
        <v>7601071770</v>
      </c>
      <c r="C74" t="inlineStr">
        <is>
          <t>https://weidian.com/item.html?itemID=7601071770</t>
        </is>
      </c>
      <c r="D74"/>
      <c r="E74" s="2" t="str">
        <f>=HYPERLINK("https://si.geilicdn.com/open1832946205-252808396-166e00000197e858f84b0a8115c2_800_800.jpg?w=640&amp;h=640", "https://si.geilicdn.com/open1832946205-252808396-166e00000197e858f84b0a8115c2_800_800.jpg?w=640&amp;h=640")</f>
        <v>https://si.geilicdn.com/open1832946205-252808396-166e00000197e858f84b0a8115c2_800_800.jpg?w=640&amp;h=640</v>
      </c>
      <c r="F74" t="inlineStr">
        <is>
          <t>T-Shirts</t>
        </is>
      </c>
      <c r="G74" t="inlineStr">
        <is>
          <t>Stussy</t>
        </is>
      </c>
      <c r="H74" t="inlineStr">
        <is>
          <t>75.00</t>
        </is>
      </c>
      <c r="I74">
        <v>10.87</v>
      </c>
      <c r="J74" t="inlineStr">
        <is>
          <t>{"id":"chatcmpl-DWcWSOG3JMeu12ZvSJrIExcXfgzSf","object":"chat.completion","created":1776666948,"model":"gpt-5-chat-latest","choices":[{"index":0,"message":{"role":"assistant","content":"Stussy White 8 Ball Cracked Graphic T-Shirt","refusal":null,"annotations":[]},"logprobs":null,"finish_reason":"stop"}],"usage":{"prompt_tokens":890,"completion_tokens":12,"total_tokens":902,"prompt_tokens_details":{"cached_tokens":0,"audio_tokens":0},"completion_tokens_details":{"reasoning_tokens":0,"audio_tokens":0,"accepted_prediction_tokens":0,"rejected_prediction_tokens":0}},"service_tier":"default","system_fingerprint":"fp_ad66631dec"}</t>
        </is>
      </c>
      <c r="K74" t="inlineStr">
        <is>
          <t>Stussy White 8 Ball Cracked Graphic T-Shirt</t>
        </is>
      </c>
      <c r="L74" t="inlineStr">
        <is>
          <t>{"choices":[{"finish_reason":"stop","index":0,"logprobs":null,"message":{"annotations":[],"content":"Stussy White Cracked 8 Ball Tee—crafted from soft breathable cotton. Features graffiti-style logo and shattered glass print for bold street art flair. Unisex loose fit, inspired by 90s skate culture.","refusal":null,"role":"assistant"}}],"created":1776659246,"id":"chatcmpl-DWaWEBLOE4HC9ybiQqBZEpoKPO5OG","model":"gpt-5-chat-latest","object":"chat.completion","service_tier":"default","system_fingerprint":"fp_ad66631dec","usage":{"completion_tokens":44,"completion_tokens_details":{"accepted_prediction_tokens":0,"audio_tokens":0,"reasoning_tokens":0,"rejected_prediction_tokens":0},"prompt_tokens":919,"prompt_tokens_details":{"audio_tokens":0,"cached_tokens":0},"total_tokens":963}}</t>
        </is>
      </c>
      <c r="M74" t="inlineStr">
        <is>
          <t>{"alt-svc":"h3=\":443\"; ma=2592000","apim-request-id":"9a7923b4-faf7-4181-9962-c53fc0126661","azureml-model-session":"d20260402083108-57a85543","cache-control":"no-cache","connection":"close","content-length":"789","content-security-policy":"frame-ancestors 'self'","content-type":"application/json","date":"Mon, 20 Apr 2026 04:27:27 GMT","server":"nginx","skip-error-remapping":"true","strict-transport-security":"max-age=31536000; includeSubDomains; preload","via":"1.1 Caddy, 1.1 Caddy","x-api-request-id":"20260420122725464368090uMnDHglj","x-content-type-options":"nosniff","x-frame-options":"SAMEORIGIN","x-ms-client-request-id":"Not-Set","x-ms-is-spilled-over":"false","x-ms-rai-invoked":"true","x-ms-region":"East US 2","x-new-api-version":"0.4.39","x-oneapi-request-id":"202604200427253830246918268d9d6duQJ9vdz","x-ratelimit-abusepenalty-active":"False","x-ratelimit-limit-requests":"3850","x-ratelimit-limit-tokens":"3850000","x-ratelimit-remaining-requests":"3849","x-ratelimit-remaining-tokens":"3848319","x-ratelimit-renewalperiod-requests":"60","x-ratelimit-renewalperiod-tokens":"60","x-ratelimit-reset-requests":"15","x-ratelimit-reset-tokens":"26","x-request-id":"9d42e787-9842-4ac1-aaa7-8d4b4279bec5"}</t>
        </is>
      </c>
      <c r="N74" t="inlineStr">
        <is>
          <t>Stussy White Cracked 8 Ball Tee—crafted from soft breathable cotton. Features graffiti-style logo and shattered glass print for bold street art flair. Unisex loose fit, inspired by 90s skate culture.</t>
        </is>
      </c>
      <c r="O74" t="inlineStr">
        <is>
          <t>{"choices":[{"finish_reason":"stop","index":0,"logprobs":null,"message":{"annotations":[],"content":"Stussy,T-Shirts,kakobuy,kakebuy2026,kekobuysheet,kakobuysheet2026,2026kakobuy,kakobuyspreadsheeet,kakobuylink,kakebuylist,Kakobuy MEGA Spreadsheet,kakobuysheetfind,kakobuysheetfind2026,2026kakobuysheetfind,kakobuysheet2026","refusal":null,"role":"assistant"}}],"created":1776668272,"id":"chatcmpl-DWcronRn7kpFkguMMu4LE8Us9KHpG","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P74" t="inlineStr">
        <is>
          <t>Stussy,T-Shirts,kakobuy,kakebuy2026,kekobuysheet,kakobuysheet2026,2026kakobuy,kakobuyspreadsheeet,kakobuylink,kakebuylist,Kakobuy MEGA Spreadsheet,kakobuysheetfind,kakobuysheetfind2026,2026kakobuysheetfind,kakobuysheet2026</t>
        </is>
      </c>
      <c r="Q74" t="inlineStr">
        <is>
          <t>Stussy, White, Street, Streetwear, Unisex</t>
        </is>
      </c>
      <c r="R74" t="inlineStr">
        <is>
          <t>recvh6xFVjU8wN</t>
        </is>
      </c>
      <c r="S74" t="inlineStr">
        <is>
          <t>stussy-white-8-ball-cracked-graphic-recvh6xFVjU8wN</t>
        </is>
      </c>
      <c r="T74"/>
      <c r="U74"/>
      <c r="V74"/>
      <c r="W74" t="inlineStr">
        <is>
          <t>{"choices":[{"finish_reason":"stop","index":0,"logprobs":null,"message":{"annotations":[],"content":"Stussy：白色碎裂8号球印花T恤，采用纯棉面料，柔软透气。背面大胆涂鸦式Logo搭配撞击玻璃效果设计，展现街头艺术灵感。宽松版型，男女皆宜，彰显90年代滑板文化与当代潮流融合的独特个性。","refusal":null,"role":"assistant"}}],"created":1776655887,"id":"chatcmpl-DWZe3YEeXc2Op3G0IRhI8B4ePIDNz","model":"gpt-5-chat-latest","object":"chat.completion","service_tier":"default","system_fingerprint":"fp_ad66631dec","usage":{"completion_tokens":83,"completion_tokens_details":{"accepted_prediction_tokens":0,"audio_tokens":0,"reasoning_tokens":0,"rejected_prediction_tokens":0},"prompt_tokens":1316,"prompt_tokens_details":{"audio_tokens":0,"cached_tokens":0},"total_tokens":1399}}</t>
        </is>
      </c>
      <c r="X74" t="inlineStr">
        <is>
          <t>Stussy：白色碎裂8号球印花T恤，采用纯棉面料，柔软透气。背面大胆涂鸦式Logo搭配撞击玻璃效果设计，展现街头艺术灵感。宽松版型，男女皆宜，彰显90年代滑板文化与当代潮流融合的独特个性。</t>
        </is>
      </c>
    </row>
    <row r="75" ht="25.5" customHeight="1">
      <c r="A75">
        <v>1839115443</v>
      </c>
      <c r="B75">
        <v>7601060352</v>
      </c>
      <c r="C75" t="inlineStr">
        <is>
          <t>https://weidian.com/item.html?itemID=7601060352</t>
        </is>
      </c>
      <c r="D75"/>
      <c r="E75" s="2" t="str">
        <f>=HYPERLINK("https://si.geilicdn.com/open1832946205-252808396-10a300000197e9e03c4a0a8133b0_1284_1678.jpg?w=640&amp;h=640", "https://si.geilicdn.com/open1832946205-252808396-10a300000197e9e03c4a0a8133b0_1284_1678.jpg?w=640&amp;h=640")</f>
        <v>https://si.geilicdn.com/open1832946205-252808396-10a300000197e9e03c4a0a8133b0_1284_1678.jpg?w=640&amp;h=640</v>
      </c>
      <c r="F75" t="inlineStr">
        <is>
          <t>Jackets</t>
        </is>
      </c>
      <c r="G75" t="inlineStr">
        <is>
          <t>Essentials</t>
        </is>
      </c>
      <c r="H75" t="inlineStr">
        <is>
          <t>191.00</t>
        </is>
      </c>
      <c r="I75">
        <v>27.68</v>
      </c>
      <c r="J75" t="inlineStr">
        <is>
          <t>{"choices":[{"finish_reason":"stop","index":0,"logprobs":null,"message":{"annotations":[],"content":"Enfants Riches Déprimés Grey Blue Vintage Logo Hoodie","refusal":null,"role":"assistant"}}],"created":1776666733,"id":"chatcmpl-DWcSzWpFpsb9OqqLn4yn1eQPosIkx","model":"gpt-5-chat-latest","object":"chat.completion","service_tier":"default","system_fingerprint":"fp_ad66631dec","usage":{"completion_tokens":13,"completion_tokens_details":{"accepted_prediction_tokens":0,"audio_tokens":0,"reasoning_tokens":0,"rejected_prediction_tokens":0},"prompt_tokens":874,"prompt_tokens_details":{"audio_tokens":0,"cached_tokens":0},"total_tokens":887}}</t>
        </is>
      </c>
      <c r="K75" t="inlineStr">
        <is>
          <t>Enfants Riches Déprimés Grey Blue Vintage Logo Hoodie</t>
        </is>
      </c>
      <c r="L75" t="inlineStr">
        <is>
          <t>{"id":"chatcmpl-DWaP935tQw47eygkAS1qeBKsYhovv","object":"chat.completion","created":1776658807,"model":"gpt-5-chat-latest","choices":[{"index":0,"message":{"role":"assistant","content":"Enfants Riches Déprimés grey-blue vintage hoodie in soft cotton, distressed wash, logo print on back, unisex loose fit for effortless street style and versatile fashion.","refusal":null,"annotations":[]},"logprobs":null,"finish_reason":"stop"}],"usage":{"prompt_tokens":907,"completion_tokens":36,"total_tokens":943,"prompt_tokens_details":{"cached_tokens":0,"audio_tokens":0},"completion_tokens_details":{"reasoning_tokens":0,"audio_tokens":0,"accepted_prediction_tokens":0,"rejected_prediction_tokens":0}},"service_tier":"default","system_fingerprint":"fp_ad66631dec"}</t>
        </is>
      </c>
      <c r="M75"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ma=2592000","apim-request-id":"4f68e416-4f90-47a1-baa0-9d974f369421","azureml-model-session":"d20260402075109-1fc5a0ec","cache-control":"no-cache, no-store, must-revalidate","connection":"close","content-length":"975","content-security-policy":"frame-ancestors 'self'","content-type":"application/json","date":"Mon, 20 Apr 2026 04:20:09 GMT","server":"nginx","skip-error-remapping":"true","strict-transport-security":"max-age=31536000; includeSubDomains; preload","via":"1.1 Caddy, 1.1 Caddy","x-api-request-id":"20260420122006155229760kPHtd7Np","x-content-type-options":"nosniff","x-frame-options":"SAMEORIGIN","x-ms-is-spilled-over":"false","x-ms-rai-invoked":"false","x-ms-region":"Sweden Central","x-new-api-version":"0.4.39","x-oneapi-request-id":"20260420042006889254018268d9d6lEFBgbzA","x-ratelimit-abusepenalty-active":"False","x-ratelimit-limit-requests":"4993","x-ratelimit-limit-tokens":"4993000","x-ratelimit-remaining-requests":"4992","x-ratelimit-remaining-tokens":"4991331","x-ratelimit-renewalperiod-requests":"60","x-ratelimit-renewalperiod-tokens":"60","x-ratelimit-reset-requests":"12","x-ratelimit-reset-tokens":"20","x-request-id":"c86aa56d-0eca-4bd9-abd1-32733518d284"}</t>
        </is>
      </c>
      <c r="N75" t="inlineStr">
        <is>
          <t>Enfants Riches Déprimés grey-blue vintage hoodie in soft cotton, distressed wash, logo print on back, unisex loose fit for effortless street style and versatile fashion.</t>
        </is>
      </c>
      <c r="O75" t="inlineStr">
        <is>
          <t>{"choices":[{"finish_reason":"stop","index":0,"logprobs":null,"message":{"annotations":[],"content":"Enfants Riches Déprimés,Jacket,kakobuy,kakebuy2026,kekobuysheet,kakobuysheet2026,2026kakobuy,kakobuyspreadsheeet,kakobuylink,kakebuylist,Kakobuy MEGA Spreadsheet,kakobuysheetfind,kakobuysheetfind2026,2026kakobuysheetfind,kakobuysheet2026","refusal":null,"role":"assistant"}}],"created":1776667723,"id":"chatcmpl-DWcixpB1gCAn2NlDD2b6oHHg56JFS","model":"gpt-5-chat-latest","object":"chat.completion","service_tier":"default","system_fingerprint":"fp_ad66631dec","usage":{"completion_tokens":92,"completion_tokens_details":{"accepted_prediction_tokens":0,"audio_tokens":0,"reasoning_tokens":0,"rejected_prediction_tokens":0},"prompt_tokens":783,"prompt_tokens_details":{"audio_tokens":0,"cached_tokens":0},"total_tokens":875}}</t>
        </is>
      </c>
      <c r="P75" t="inlineStr">
        <is>
          <t>Enfants Riches Déprimés,Jacket,kakobuy,kakebuy2026,kekobuysheet,kakobuysheet2026,2026kakobuy,kakobuyspreadsheeet,kakobuylink,kakebuylist,Kakobuy MEGA Spreadsheet,kakobuysheetfind,kakobuysheetfind2026,2026kakobuysheetfind,kakobuysheet2026</t>
        </is>
      </c>
      <c r="Q75" t="inlineStr">
        <is>
          <t>Grey Blue, Vintage, Streetwear, Unisex, Versatile</t>
        </is>
      </c>
      <c r="R75" t="inlineStr">
        <is>
          <t>recvh6xFVjy9u2</t>
        </is>
      </c>
      <c r="S75" t="inlineStr">
        <is>
          <t>enfants-riches-deprimes-grey-blue-vintage-logo-hoodie-recvh6xfvjy9u2</t>
        </is>
      </c>
      <c r="T75"/>
      <c r="U75"/>
      <c r="V75"/>
      <c r="W75" t="inlineStr">
        <is>
          <t>{"id":"chatcmpl-DWZW7LWTbPoNDlK1uNVWdJU7H3HK8","object":"chat.completion","created":1776655395,"model":"gpt-5-chat-latest","choices":[{"index":0,"message":{"role":"assistant","content":"Enfants Riches Déprimés 灰蓝色复古连帽卫衣，柔软棉质面料搭配做旧洗染工艺，背部印有品牌标识字样，宽松剪裁展现休闲街头风格，男女皆宜，时尚百搭。","refusal":null,"annotations":[]},"logprobs":null,"finish_reason":"stop"}],"usage":{"prompt_tokens":1324,"completion_tokens":67,"total_tokens":1391,"prompt_tokens_details":{"cached_tokens":1280,"audio_tokens":0},"completion_tokens_details":{"reasoning_tokens":0,"audio_tokens":0,"accepted_prediction_tokens":0,"rejected_prediction_tokens":0}},"service_tier":"default","system_fingerprint":"fp_ad66631dec"}</t>
        </is>
      </c>
      <c r="X75" t="inlineStr">
        <is>
          <t>Enfants Riches Déprimés 灰蓝色复古连帽卫衣，柔软棉质面料搭配做旧洗染工艺，背部印有品牌标识字样，宽松剪裁展现休闲街头风格，男女皆宜，时尚百搭。</t>
        </is>
      </c>
    </row>
    <row r="76" ht="25.5" customHeight="1">
      <c r="A76">
        <v>1839115443</v>
      </c>
      <c r="B76">
        <v>7601029220</v>
      </c>
      <c r="C76" t="inlineStr">
        <is>
          <t>https://weidian.com/item.html?itemID=7601029220</t>
        </is>
      </c>
      <c r="D76"/>
      <c r="E76" s="2" t="str">
        <f>=HYPERLINK("https://si.geilicdn.com/open1832946205-252808396-085300000197ee9992120a23b4de_1280_1278.jpg?w=640&amp;h=640", "https://si.geilicdn.com/open1832946205-252808396-085300000197ee9992120a23b4de_1280_1278.jpg?w=640&amp;h=640")</f>
        <v>https://si.geilicdn.com/open1832946205-252808396-085300000197ee9992120a23b4de_1280_1278.jpg?w=640&amp;h=640</v>
      </c>
      <c r="F76" t="inlineStr">
        <is>
          <t>Hoodies</t>
        </is>
      </c>
      <c r="G76" t="inlineStr">
        <is>
          <t>Bape</t>
        </is>
      </c>
      <c r="H76" t="inlineStr">
        <is>
          <t>262.00</t>
        </is>
      </c>
      <c r="I76">
        <v>37.97</v>
      </c>
      <c r="J76" t="inlineStr">
        <is>
          <t>{"id":"chatcmpl-DWcTaxsL4lcvIvqQ0flRFo9HcnORv","object":"chat.completion","created":1776666770,"model":"gpt-5-chat-latest","choices":[{"index":0,"message":{"role":"assistant","content":"BAPE Ape Head White Cotton Hoodie Unisex","refusal":null,"annotations":[]},"logprobs":null,"finish_reason":"stop"}],"usage":{"prompt_tokens":879,"completion_tokens":10,"total_tokens":889,"prompt_tokens_details":{"cached_tokens":0,"audio_tokens":0},"completion_tokens_details":{"reasoning_tokens":0,"audio_tokens":0,"accepted_prediction_tokens":0,"rejected_prediction_tokens":0}},"service_tier":"default","system_fingerprint":"fp_ad66631dec"}</t>
        </is>
      </c>
      <c r="K76" t="inlineStr">
        <is>
          <t>BAPE Ape Head White Cotton Hoodie Unisex</t>
        </is>
      </c>
      <c r="L76" t="inlineStr">
        <is>
          <t>{"choices":[{"finish_reason":"stop","index":0,"logprobs":null,"message":{"annotations":[],"content":"BAPE Classic Ape Head Hoodie – White cotton sweatshirt with iconic green Ape Head print, unisex streetwear style, soft, comfy, and easy to match for a trendy casual look.","refusal":null,"role":"assistant"}}],"created":1776659001,"id":"chatcmpl-DWaSHBi6gYeVciPowpZQv48fmhjXk","model":"gpt-5-chat-latest","object":"chat.completion","service_tier":"default","system_fingerprint":"fp_ad66631dec","usage":{"completion_tokens":38,"completion_tokens_details":{"accepted_prediction_tokens":0,"audio_tokens":0,"reasoning_tokens":0,"rejected_prediction_tokens":0},"prompt_tokens":892,"prompt_tokens_details":{"audio_tokens":0,"cached_tokens":0},"total_tokens":930}}</t>
        </is>
      </c>
      <c r="M76" t="inlineStr">
        <is>
          <t>{"alt-svc":"h3=\":443\"; ma=2592000","apim-request-id":"52db1d34-127c-4e7a-a39e-d3a1f5ca968f","azureml-model-session":"d20260402083108-57a85543","cache-control":"no-cache","connection":"close","content-length":"760","content-security-policy":"frame-ancestors 'self'","content-type":"application/json","date":"Mon, 20 Apr 2026 04:23:22 GMT","server":"Caddy","skip-error-remapping":"true","strict-transport-security":"max-age=31536000; includeSubDomains; preload","via":"1.1 Caddy","x-api-request-id":"2026042012232157341598evkcrh61","x-content-type-options":"nosniff","x-frame-options":"SAMEORIGIN","x-ms-client-request-id":"Not-Set","x-ms-is-spilled-over":"false","x-ms-rai-invoked":"true","x-ms-region":"East US 2","x-new-api-version":"0.4.39","x-oneapi-request-id":"202604200423209905217768268d9d6kkbIulpE","x-ratelimit-abusepenalty-active":"False","x-ratelimit-limit-requests":"3850","x-ratelimit-limit-tokens":"3850000","x-ratelimit-remaining-requests":"3849","x-ratelimit-remaining-tokens":"3848346","x-ratelimit-renewalperiod-requests":"60","x-ratelimit-renewalperiod-tokens":"60","x-ratelimit-reset-requests":"15","x-ratelimit-reset-tokens":"25","x-request-id":"489f9eb1-1272-45d3-ad84-5bce6002360f"}</t>
        </is>
      </c>
      <c r="N76" t="inlineStr">
        <is>
          <t>BAPE Classic Ape Head Hoodie – White cotton sweatshirt with iconic green Ape Head print, unisex streetwear style, soft, comfy, and easy to match for a trendy casual look.</t>
        </is>
      </c>
      <c r="O76" t="inlineStr">
        <is>
          <t>{"choices":[{"finish_reason":"stop","index":0,"logprobs":null,"message":{"annotations":[],"content":"Bape,Hoodies,kakobuy,kakebuy2026,kekobuysheet,kakobuysheet2026,2026kakobuy,kakobuyspreadsheeet,kakobuylink,kakebuylist,Kakobuy MEGA Spreadsheet,kakobuysheetfind,kakobuysheetfind2026,2026kakobuysheetfind,kakobusheet2026","refusal":null,"role":"assistant"}}],"created":1776667665,"id":"chatcmpl-DWci182bgkcx2U2kzgzKaTWa0YS8y","model":"gpt-5-chat-latest","object":"chat.completion","service_tier":"default","system_fingerprint":"fp_ad66631dec","usage":{"completion_tokens":87,"completion_tokens_details":{"accepted_prediction_tokens":0,"audio_tokens":0,"reasoning_tokens":0,"rejected_prediction_tokens":0},"prompt_tokens":784,"prompt_tokens_details":{"audio_tokens":0,"cached_tokens":0},"total_tokens":871}}</t>
        </is>
      </c>
      <c r="P76" t="inlineStr">
        <is>
          <t>Bape,Hoodies,kakobuy,kakebuy2026,kekobuysheet,kakobuysheet2026,2026kakobuy,kakobuyspreadsheeet,kakobuylink,kakebuylist,Kakobuy MEGA Spreadsheet,kakobuysheetfind,kakobuysheetfind2026,2026kakobuysheetfind,kakobusheet2026</t>
        </is>
      </c>
      <c r="Q76" t="inlineStr">
        <is>
          <t>BAPE, White, Streetwear, Unisex</t>
        </is>
      </c>
      <c r="R76" t="inlineStr">
        <is>
          <t>recvh6xFVj2tGG</t>
        </is>
      </c>
      <c r="S76" t="inlineStr">
        <is>
          <t>bape-ape-head-white-hoodie-recvh6xfvj2tgg</t>
        </is>
      </c>
      <c r="T76"/>
      <c r="U76"/>
      <c r="V76"/>
      <c r="W76" t="inlineStr">
        <is>
          <t>{"id":"chatcmpl-DWZOL4lkX44EkxJw4bnfYxcNcmkLl","object":"chat.completion","created":1776654913,"model":"gpt-5-chat-latest","choices":[{"index":0,"message":{"role":"assistant","content":"BAPE：白色经典猿人系列连帽卫衣，柔软纯棉材质，正面绿色猿人头图腾印花设计，街头潮流风格，男女通用款，舒适休闲百搭。","refusal":null,"annotations":[]},"logprobs":null,"finish_reason":"stop"}],"usage":{"prompt_tokens":1315,"completion_tokens":56,"total_tokens":1371,"prompt_tokens_details":{"cached_tokens":1280,"audio_tokens":0},"completion_tokens_details":{"reasoning_tokens":0,"audio_tokens":0,"accepted_prediction_tokens":0,"rejected_prediction_tokens":0}},"service_tier":"default","system_fingerprint":"fp_ad66631dec"}</t>
        </is>
      </c>
      <c r="X76" t="inlineStr">
        <is>
          <t>BAPE：白色经典猿人系列连帽卫衣，柔软纯棉材质，正面绿色猿人头图腾印花设计，街头潮流风格，男女通用款，舒适休闲百搭。</t>
        </is>
      </c>
    </row>
    <row r="77" ht="25.5" customHeight="1">
      <c r="A77">
        <v>1839115443</v>
      </c>
      <c r="B77">
        <v>7599023279</v>
      </c>
      <c r="C77" t="inlineStr">
        <is>
          <t>https://weidian.com/item.html?itemID=7599023279</t>
        </is>
      </c>
      <c r="D77"/>
      <c r="E77" s="2" t="str">
        <f>=HYPERLINK("https://si.geilicdn.com/open1832946205-252808396-3a7400000197e9a2f68f0a23b4de_1242_1243.jpg?w=640&amp;h=640", "https://si.geilicdn.com/open1832946205-252808396-3a7400000197e9a2f68f0a23b4de_1242_1243.jpg?w=640&amp;h=640")</f>
        <v>https://si.geilicdn.com/open1832946205-252808396-3a7400000197e9a2f68f0a23b4de_1242_1243.jpg?w=640&amp;h=640</v>
      </c>
      <c r="F77" t="inlineStr">
        <is>
          <t>Hoodies</t>
        </is>
      </c>
      <c r="G77" t="inlineStr">
        <is>
          <t>Supreme</t>
        </is>
      </c>
      <c r="H77" t="inlineStr">
        <is>
          <t>233.00</t>
        </is>
      </c>
      <c r="I77">
        <v>33.77</v>
      </c>
      <c r="J77" t="inlineStr">
        <is>
          <t>{"id":"chatcmpl-DWcMplUv1GpwhZ39qIHaEgSAYoOvL","object":"chat.completion","created":1776666351,"model":"gpt-5-chat-latest","choices":[{"index":0,"message":{"role":"assistant","content":"Supreme Grey Graffiti Logo Cotton Fleece Hoodie","refusal":null,"annotations":[]},"logprobs":null,"finish_reason":"stop"}],"usage":{"prompt_tokens":871,"completion_tokens":11,"total_tokens":882,"prompt_tokens_details":{"cached_tokens":0,"audio_tokens":0},"completion_tokens_details":{"reasoning_tokens":0,"audio_tokens":0,"accepted_prediction_tokens":0,"rejected_prediction_tokens":0}},"service_tier":"default","system_fingerprint":"fp_ad66631dec"}</t>
        </is>
      </c>
      <c r="K77" t="inlineStr">
        <is>
          <t>Supreme Grey Graffiti Logo Cotton Fleece Hoodie</t>
        </is>
      </c>
      <c r="L77" t="inlineStr">
        <is>
          <t>{"choices":[{"finish_reason":"stop","index":0,"logprobs":null,"message":{"annotations":[],"content":"Supreme Grey Hoodie made of soft cotton fleece, featuring bold black graffiti logo, kangaroo pocket, and relaxed unisex fit for cozy warmth and urban street style.","refusal":null,"role":"assistant"}}],"created":1776658876,"id":"chatcmpl-DWaQGKCMOHK43NfvHiILY9xsqoFHO","model":"gpt-5-chat-latest","object":"chat.completion","service_tier":"default","system_fingerprint":"fp_ad66631dec","usage":{"completion_tokens":34,"completion_tokens_details":{"accepted_prediction_tokens":0,"audio_tokens":0,"reasoning_tokens":0,"rejected_prediction_tokens":0},"prompt_tokens":918,"prompt_tokens_details":{"audio_tokens":0,"cached_tokens":0},"total_tokens":952}}</t>
        </is>
      </c>
      <c r="M77" t="inlineStr">
        <is>
          <t>{"alt-svc":"h3=\":443\"; ma=2592000","apim-request-id":"03be2b92-4ea7-4874-a107-645746805807","azureml-model-session":"d20260405234249-f9874baf","cache-control":"no-cache","connection":"close","content-length":"751","content-security-policy":"frame-ancestors 'self'","content-type":"application/json","date":"Mon, 20 Apr 2026 04:21:17 GMT","server":"nginx","skip-error-remapping":"true","strict-transport-security":"max-age=31536000; includeSubDomains; preload","via":"1.1 Caddy, 1.1 Caddy","x-api-request-id":"20260420122115952358245tbr8hUDW","x-content-type-options":"nosniff","x-frame-options":"SAMEORIGIN","x-ms-client-request-id":"Not-Set","x-ms-is-spilled-over":"false","x-ms-rai-invoked":"true","x-ms-region":"East US 2","x-new-api-version":"0.4.39","x-oneapi-request-id":"202604200421158870876668268d9d653wqnq7E","x-ratelimit-abusepenalty-active":"False","x-ratelimit-limit-requests":"3850","x-ratelimit-limit-tokens":"3850000","x-ratelimit-remaining-requests":"3849","x-ratelimit-remaining-tokens":"3848320","x-ratelimit-renewalperiod-requests":"60","x-ratelimit-renewalperiod-tokens":"60","x-ratelimit-reset-requests":"15","x-ratelimit-reset-tokens":"26","x-request-id":"3cfc2a33-dff9-4c8a-83cf-662d9d9b76ef"}</t>
        </is>
      </c>
      <c r="N77" t="inlineStr">
        <is>
          <t>Supreme Grey Hoodie made of soft cotton fleece, featuring bold black graffiti logo, kangaroo pocket, and relaxed unisex fit for cozy warmth and urban street style.</t>
        </is>
      </c>
      <c r="O77" t="inlineStr">
        <is>
          <t>{"choices":[{"finish_reason":"stop","index":0,"logprobs":null,"message":{"annotations":[],"content":"Supreme,Hoodie,kakobuy,kakebuy2026,kekobuysheet,kakobuysheet2026,2026kakobuy,kakobuyspreadsheeet,kakobuylink,kakebuylist,Kakobuy MEGA Spreadsheet,kakobuysheetfind,kakobuysheetfind2026,2026kakobuysheetfind,kakobuysheet2026","refusal":null,"role":"assistant"}}],"created":1776667420,"id":"chatcmpl-DWce45NAG0BQkpFmX3we6rV1ZD3sL","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is>
      </c>
      <c r="P77" t="inlineStr">
        <is>
          <t>Supreme,Hoodie,kakobuy,kakebuy2026,kekobuysheet,kakobuysheet2026,2026kakobuy,kakobuyspreadsheeet,kakobuylink,kakebuylist,Kakobuy MEGA Spreadsheet,kakobuysheetfind,kakobuysheetfind2026,2026kakobuysheetfind,kakobuysheet2026</t>
        </is>
      </c>
      <c r="Q77" t="inlineStr">
        <is>
          <t>Supreme, Streetwear, Grey, Unisex, Fleece-Lined</t>
        </is>
      </c>
      <c r="R77" t="inlineStr">
        <is>
          <t>recvh6xFVjF9sM</t>
        </is>
      </c>
      <c r="S77" t="inlineStr">
        <is>
          <t>supreme-grey-graffiti-logo-hoodie-recvh6xFVjF9sM</t>
        </is>
      </c>
      <c r="T77"/>
      <c r="U77"/>
      <c r="V77"/>
      <c r="W77" t="inlineStr">
        <is>
          <t>{"id":"chatcmpl-DWZMPHYxbRR14ydjqo18bZvwSwz0Y","object":"chat.completion","created":1776654793,"model":"gpt-5-chat-latest","choices":[{"index":0,"message":{"role":"assistant","content":"Supreme：灰色连帽卫衣，选用纯棉抓绒材质，胸前黑色涂鸦字体标识尽显街头个性，宽松剪裁搭配袋鼠兜设计，男女通用款，舒适保暖兼顾潮流穿搭，彰显都市休闲风格。","refusal":null,"annotations":[]},"logprobs":null,"finish_reason":"stop"}],"usage":{"prompt_tokens":1327,"completion_tokens":76,"total_tokens":1403,"prompt_tokens_details":{"cached_tokens":1280,"audio_tokens":0},"completion_tokens_details":{"reasoning_tokens":0,"audio_tokens":0,"accepted_prediction_tokens":0,"rejected_prediction_tokens":0}},"service_tier":"default","system_fingerprint":"fp_ad66631dec"}</t>
        </is>
      </c>
      <c r="X77" t="inlineStr">
        <is>
          <t>Supreme：灰色连帽卫衣，选用纯棉抓绒材质，胸前黑色涂鸦字体标识尽显街头个性，宽松剪裁搭配袋鼠兜设计，男女通用款，舒适保暖兼顾潮流穿搭，彰显都市休闲风格。</t>
        </is>
      </c>
    </row>
    <row r="78" ht="25.5" customHeight="1">
      <c r="A78">
        <v>1839115443</v>
      </c>
      <c r="B78">
        <v>7599084953</v>
      </c>
      <c r="C78" t="inlineStr">
        <is>
          <t>https://weidian.com/item.html?itemID=7599084953</t>
        </is>
      </c>
      <c r="D78"/>
      <c r="E78" s="2" t="str">
        <f>=HYPERLINK("https://si.geilicdn.com/open1832946205-252808396-2764000001988e727fe40a231226_1200_1500.jpg?w=640&amp;h=640", "https://si.geilicdn.com/open1832946205-252808396-2764000001988e727fe40a231226_1200_1500.jpg?w=640&amp;h=640")</f>
        <v>https://si.geilicdn.com/open1832946205-252808396-2764000001988e727fe40a231226_1200_1500.jpg?w=640&amp;h=640</v>
      </c>
      <c r="F78" t="inlineStr">
        <is>
          <t>Pants</t>
        </is>
      </c>
      <c r="G78" t="inlineStr">
        <is>
          <t>True Religion</t>
        </is>
      </c>
      <c r="H78" t="inlineStr">
        <is>
          <t>95.00</t>
        </is>
      </c>
      <c r="I78">
        <v>13.77</v>
      </c>
      <c r="J78" t="inlineStr">
        <is>
          <t>{"choices":[{"finish_reason":"stop","index":0,"logprobs":null,"message":{"annotations":[],"content":"True Religion Black Slim Fit Jeans Unisex Denim","refusal":null,"role":"assistant"}}],"created":1776665812,"id":"chatcmpl-DWcE8aHKTj7fdV3e4F1wSa2Ncl0EJ","model":"gpt-5-chat-latest","object":"chat.completion","service_tier":"default","system_fingerprint":"fp_ad66631dec","usage":{"completion_tokens":10,"completion_tokens_details":{"accepted_prediction_tokens":0,"audio_tokens":0,"reasoning_tokens":0,"rejected_prediction_tokens":0},"prompt_tokens":872,"prompt_tokens_details":{"audio_tokens":0,"cached_tokens":0},"total_tokens":882}}</t>
        </is>
      </c>
      <c r="K78" t="inlineStr">
        <is>
          <t>True Religion Black Slim Fit Jeans Unisex Denim</t>
        </is>
      </c>
      <c r="L78" t="inlineStr">
        <is>
          <t>{"id":"chatcmpl-DWaXMBenh0zSlWatXITpwp2XpNErw","object":"chat.completion","created":1776659316,"model":"gpt-5-chat-latest","choices":[{"index":0,"message":{"role":"assistant","content":"True Religion classic black straight jeans crafted from high-density stretch denim with signature horseshoe logo embroidery, bold stitching, slim fit, unisex style for effortless streetwear appeal.","refusal":null,"annotations":[]},"logprobs":null,"finish_reason":"stop"}],"usage":{"prompt_tokens":915,"completion_tokens":35,"total_tokens":950,"prompt_tokens_details":{"cached_tokens":0,"audio_tokens":0},"completion_tokens_details":{"reasoning_tokens":0,"audio_tokens":0,"accepted_prediction_tokens":0,"rejected_prediction_tokens":0}},"service_tier":"default","system_fingerprint":"fp_ad66631dec"}</t>
        </is>
      </c>
      <c r="M78"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ma=2592000","apim-request-id":"82efbf7a-f8a0-4304-a2d0-1c18bdf1a6d0","azureml-model-session":"d20260402075109-1fc5a0ec","cache-control":"no-cache, no-store, must-revalidate","connection":"close","content-length":"1001","content-security-policy":"frame-ancestors 'self'","content-type":"application/json","date":"Mon, 20 Apr 2026 04:28:38 GMT","server":"Caddy","skip-error-remapping":"true","strict-transport-security":"max-age=31536000; includeSubDomains; preload","via":"1.1 Caddy","x-api-request-id":"20260420122835358144805UZpWvFTi","x-content-type-options":"nosniff","x-frame-options":"SAMEORIGIN","x-ms-is-spilled-over":"false","x-ms-rai-invoked":"false","x-ms-region":"Sweden Central","x-new-api-version":"0.4.39","x-oneapi-request-id":"202604200428352831853538268d9d6xRGR3sNZ","x-ratelimit-abusepenalty-active":"False","x-ratelimit-limit-requests":"4993","x-ratelimit-limit-tokens":"4993000","x-ratelimit-remaining-requests":"4992","x-ratelimit-remaining-tokens":"4991323","x-ratelimit-renewalperiod-requests":"60","x-ratelimit-renewalperiod-tokens":"60","x-ratelimit-reset-requests":"12","x-ratelimit-reset-tokens":"20","x-request-id":"c9418832-db6e-44b4-8fef-5a735bc0e902"}</t>
        </is>
      </c>
      <c r="N78" t="inlineStr">
        <is>
          <t>True Religion classic black straight jeans crafted from high-density stretch denim with signature horseshoe logo embroidery, bold stitching, slim fit, unisex style for effortless streetwear appeal.</t>
        </is>
      </c>
      <c r="O78" t="inlineStr">
        <is>
          <t>{"choices":[{"finish_reason":"stop","index":0,"logprobs":null,"message":{"annotations":[],"content":"True Religion,Pants,kakobuy,kakebuy2026,kekobuysheet,kakobuysheet2026,2026kakobuy,kakobuyspreadsheeet,kakobuylink,kakebuylist,Kakobuy MEGA Spreadsheet,kakobuysheetfind,kakobuysheetfind2026,2026kakobuysheetfind,kakobuysheet2026","refusal":null,"role":"assistant"}}],"created":1776668783,"id":"chatcmpl-DWd03INDQvi7pmyX6XUpMcmZllgsP","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P78" t="inlineStr">
        <is>
          <t>True Religion,Pants,kakobuy,kakebuy2026,kekobuysheet,kakobuysheet2026,2026kakobuy,kakobuyspreadsheeet,kakobuylink,kakebuylist,Kakobuy MEGA Spreadsheet,kakobuysheetfind,kakobuysheetfind2026,2026kakobuysheetfind,kakobuysheet2026</t>
        </is>
      </c>
      <c r="Q78" t="inlineStr">
        <is>
          <t>Denim, Black, Unisex, Streetwear, Classic</t>
        </is>
      </c>
      <c r="R78" t="inlineStr">
        <is>
          <t>recvh6xFVjyzRd</t>
        </is>
      </c>
      <c r="S78" t="inlineStr">
        <is>
          <t>true-religion-black-slim-jeans-recvh6xfvjyzrd</t>
        </is>
      </c>
      <c r="T78"/>
      <c r="U78"/>
      <c r="V78"/>
      <c r="W78" t="inlineStr">
        <is>
          <t>{"choices":[{"finish_reason":"stop","index":0,"logprobs":null,"message":{"annotations":[],"content":"True Religion：经典黑色直筒牛仔裤，采用高密度弹力丹宁面料，标志性马蹄LOGO立体刺绣后袋设计，粗线缝合展现美式复古工艺，修身剪裁凸显身形比例，男女皆宜，彰显休闲街头潮流格调。","refusal":null,"role":"assistant"}}],"created":1776655386,"id":"chatcmpl-DWZVywIjYv9zJito88HniRMWGIkA8","model":"gpt-5-chat-latest","object":"chat.completion","service_tier":"default","system_fingerprint":"fp_ad66631dec","usage":{"completion_tokens":81,"completion_tokens_details":{"accepted_prediction_tokens":0,"audio_tokens":0,"reasoning_tokens":0,"rejected_prediction_tokens":0},"prompt_tokens":1312,"prompt_tokens_details":{"audio_tokens":0,"cached_tokens":1280},"total_tokens":1393}}</t>
        </is>
      </c>
      <c r="X78" t="inlineStr">
        <is>
          <t>True Religion：经典黑色直筒牛仔裤，采用高密度弹力丹宁面料，标志性马蹄LOGO立体刺绣后袋设计，粗线缝合展现美式复古工艺，修身剪裁凸显身形比例，男女皆宜，彰显休闲街头潮流格调。</t>
        </is>
      </c>
    </row>
    <row r="79" ht="25.5" customHeight="1">
      <c r="A79">
        <v>1839115443</v>
      </c>
      <c r="B79">
        <v>7640181238</v>
      </c>
      <c r="C79" t="inlineStr">
        <is>
          <t>https://weidian.com/item.html?itemID=7640181238</t>
        </is>
      </c>
      <c r="D79"/>
      <c r="E79" s="2" t="str">
        <f>=HYPERLINK("https://si.geilicdn.com/open1839115443-252808396-19490000019b3ad4bb810a23b491_800_800.jpg?w=640&amp;h=640", "https://si.geilicdn.com/open1839115443-252808396-19490000019b3ad4bb810a23b491_800_800.jpg?w=640&amp;h=640")</f>
        <v>https://si.geilicdn.com/open1839115443-252808396-19490000019b3ad4bb810a23b491_800_800.jpg?w=640&amp;h=640</v>
      </c>
      <c r="F79" t="inlineStr">
        <is>
          <t>Hoodies</t>
        </is>
      </c>
      <c r="G79" t="inlineStr">
        <is>
          <t>Essentials</t>
        </is>
      </c>
      <c r="H79" t="inlineStr">
        <is>
          <t>155.00</t>
        </is>
      </c>
      <c r="I79">
        <v>22.46</v>
      </c>
      <c r="J79" t="inlineStr">
        <is>
          <t>{"choices":[{"finish_reason":"stop","index":0,"logprobs":null,"message":{"annotations":[],"content":"Essentials White Hoodie Unisex Thick Cotton Streetwear","refusal":null,"role":"assistant"}}],"created":1776666442,"id":"chatcmpl-DWcOItjULwlG5vK7sKU0pYNafd29L","model":"gpt-5-chat-latest","object":"chat.completion","service_tier":"default","system_fingerprint":"fp_ad66631dec","usage":{"completion_tokens":11,"completion_tokens_details":{"accepted_prediction_tokens":0,"audio_tokens":0,"reasoning_tokens":0,"rejected_prediction_tokens":0},"prompt_tokens":875,"prompt_tokens_details":{"audio_tokens":0,"cached_tokens":0},"total_tokens":886}}</t>
        </is>
      </c>
      <c r="K79" t="inlineStr">
        <is>
          <t>Essentials White Hoodie Unisex Thick Cotton Streetwear</t>
        </is>
      </c>
      <c r="L79" t="inlineStr">
        <is>
          <t>{"choices":[{"finish_reason":"stop","index":0,"logprobs":null,"message":{"annotations":[],"content":"ESSENTIALS White Hoodie with black logo print, made of thick soft cotton for warmth and comfort. Unisex minimalist streetwear, perfect for casual fashion and modern everyday style.","refusal":null,"role":"assistant"}}],"created":1776658579,"id":"chatcmpl-DWaLT6vjv6AsH5J2soEYv9AvgSpMm","model":"gpt-5-chat-latest","object":"chat.completion","service_tier":"default","system_fingerprint":"fp_ad66631dec","usage":{"completion_tokens":36,"completion_tokens_details":{"accepted_prediction_tokens":0,"audio_tokens":0,"reasoning_tokens":0,"rejected_prediction_tokens":0},"prompt_tokens":888,"prompt_tokens_details":{"audio_tokens":0,"cached_tokens":0},"total_tokens":924}}</t>
        </is>
      </c>
      <c r="M79" t="inlineStr">
        <is>
          <t>{"alt-svc":"h3=\":443\"; ma=2592000","apim-request-id":"67321f1c-be3b-488f-b78a-9b0cc9c49692","azureml-model-session":"d20260402075109-1fc5a0ec","cache-control":"no-cache","connection":"close","content-length":"768","content-security-policy":"frame-ancestors 'self'","content-type":"application/json","date":"Mon, 20 Apr 2026 04:16:20 GMT","server":"nginx","skip-error-remapping":"true","strict-transport-security":"max-age=31536000; includeSubDomains; preload","via":"1.1 Caddy, 1.1 Caddy","x-api-request-id":"20260420121619145698026q93ngslD","x-content-type-options":"nosniff","x-frame-options":"SAMEORIGIN","x-ms-client-request-id":"Not-Set","x-ms-is-spilled-over":"false","x-ms-rai-invoked":"true","x-ms-region":"East US 2","x-new-api-version":"0.4.39","x-oneapi-request-id":"20260420041619800206948268d9d6SRkFoJeF","x-ratelimit-abusepenalty-active":"False","x-ratelimit-limit-requests":"3850","x-ratelimit-limit-tokens":"3850000","x-ratelimit-remaining-requests":"3849","x-ratelimit-remaining-tokens":"3848350","x-ratelimit-renewalperiod-requests":"60","x-ratelimit-renewalperiod-tokens":"60","x-ratelimit-reset-requests":"15","x-ratelimit-reset-tokens":"25","x-request-id":"fff1aead-016e-4ee9-8223-570842c7728a"}</t>
        </is>
      </c>
      <c r="N79" t="inlineStr">
        <is>
          <t>ESSENTIALS White Hoodie with black logo print, made of thick soft cotton for warmth and comfort. Unisex minimalist streetwear, perfect for casual fashion and modern everyday style.</t>
        </is>
      </c>
      <c r="O79" t="inlineStr">
        <is>
          <t>{"choices":[{"finish_reason":"stop","index":0,"logprobs":null,"message":{"annotations":[],"content":"Essentials,Hoodies,kakobuy,kakebuy2026,kekobuysheet,kakobuysheet2026,2026kakobuy,kakobuyspreadsheeet,kakobuylink,kakebuylist,Kakobuy MEGA Spreadsheet,kakobuysheetfind,kakobuysheetfind2026,2026kakobuysheetfind,kakobuysheet2026","refusal":null,"role":"assistant"}}],"created":1776668325,"id":"chatcmpl-DWcsf5fgDgi0lxOXYiOKF8BkXW2ki","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is>
      </c>
      <c r="P79" t="inlineStr">
        <is>
          <t>Essentials,Hoodies,kakobuy,kakebuy2026,kekobuysheet,kakobuysheet2026,2026kakobuy,kakobuyspreadsheeet,kakobuylink,kakebuylist,Kakobuy MEGA Spreadsheet,kakobuysheetfind,kakobuysheetfind2026,2026kakobuysheetfind,kakobuysheet2026</t>
        </is>
      </c>
      <c r="Q79" t="inlineStr">
        <is>
          <t>White, Minimalist, Streetwear, Unisex</t>
        </is>
      </c>
      <c r="R79" t="inlineStr">
        <is>
          <t>recvh6xFVjissY</t>
        </is>
      </c>
      <c r="S79" t="inlineStr">
        <is>
          <t>essentials-white-hoodie-unisex-thick-cotton-streetwear-recvh6xfvjissy</t>
        </is>
      </c>
      <c r="T79"/>
      <c r="U79"/>
      <c r="V79"/>
      <c r="W79" t="inlineStr">
        <is>
          <t>{"id":"chatcmpl-DWZSbWKh1u6653SkXLkHpTJvJ5QoF","object":"chat.completion","created":1776655177,"model":"gpt-5-chat-latest","choices":[{"index":0,"message":{"role":"assistant","content":"Essentials：白色连帽卫衣，简约黑色Logo印花设计，柔软厚棉材质，舒适保暖休闲风，男女通用百搭款，呈现现代街头极简美学。","refusal":null,"annotations":[]},"logprobs":null,"finish_reason":"stop"}],"usage":{"prompt_tokens":1313,"completion_tokens":53,"total_tokens":1366,"prompt_tokens_details":{"cached_tokens":0,"audio_tokens":0},"completion_tokens_details":{"reasoning_tokens":0,"audio_tokens":0,"accepted_prediction_tokens":0,"rejected_prediction_tokens":0}},"service_tier":"default","system_fingerprint":"fp_ad66631dec"}</t>
        </is>
      </c>
      <c r="X79" t="inlineStr">
        <is>
          <t>Essentials：白色连帽卫衣，简约黑色Logo印花设计，柔软厚棉材质，舒适保暖休闲风，男女通用百搭款，呈现现代街头极简美学。</t>
        </is>
      </c>
    </row>
    <row r="80" ht="25.5" customHeight="1">
      <c r="A80">
        <v>1839115443</v>
      </c>
      <c r="B80">
        <v>7636066359</v>
      </c>
      <c r="C80" t="inlineStr">
        <is>
          <t>https://weidian.com/item.html?itemID=7636066359</t>
        </is>
      </c>
      <c r="D80"/>
      <c r="E80" s="2" t="str">
        <f>=HYPERLINK("https://si.geilicdn.com/pcitem902006541277-258e0000019b35d829d90a23047e_1440_1920.jpg?w=640&amp;h=640", "https://si.geilicdn.com/pcitem902006541277-258e0000019b35d829d90a23047e_1440_1920.jpg?w=640&amp;h=640")</f>
        <v>https://si.geilicdn.com/pcitem902006541277-258e0000019b35d829d90a23047e_1440_1920.jpg?w=640&amp;h=640</v>
      </c>
      <c r="F80" t="inlineStr">
        <is>
          <t>Hats</t>
        </is>
      </c>
      <c r="G80" t="inlineStr">
        <is>
          <t>Ralph Lauren</t>
        </is>
      </c>
      <c r="H80" t="inlineStr">
        <is>
          <t>116.00</t>
        </is>
      </c>
      <c r="I80">
        <v>16.81</v>
      </c>
      <c r="J80" t="inlineStr">
        <is>
          <t>{"choices":[{"finish_reason":"stop","index":0,"logprobs":null,"message":{"annotations":[],"content":"Ralph Lauren Black Wool Knit Beanie Hat","refusal":null,"role":"assistant"}}],"created":1776665714,"id":"chatcmpl-DWcCYW9mLammMtrRShc5TqIjvcS8k","model":"gpt-5-chat-latest","object":"chat.completion","service_tier":"default","system_fingerprint":"fp_ad66631dec","usage":{"completion_tokens":10,"completion_tokens_details":{"accepted_prediction_tokens":0,"audio_tokens":0,"reasoning_tokens":0,"rejected_prediction_tokens":0},"prompt_tokens":877,"prompt_tokens_details":{"audio_tokens":0,"cached_tokens":0},"total_tokens":887}}</t>
        </is>
      </c>
      <c r="K80" t="inlineStr">
        <is>
          <t>Ralph Lauren Black Wool Knit Beanie Hat</t>
        </is>
      </c>
      <c r="L80" t="inlineStr">
        <is>
          <t>{"id":"chatcmpl-DWaVqABBtg4bK7LWADlYvgcC5NKpg","object":"chat.completion","created":1776659222,"model":"gpt-5-chat-latest","choices":[{"index":0,"message":{"role":"assistant","content":"Ralph Lauren black wool knit beanie, soft and warm with high-density rib design and signature red embroidered polo logo. A timeless unisex accessory embodying classic American casual elegance.","refusal":null,"annotations":[]},"logprobs":null,"finish_reason":"stop"}],"usage":{"prompt_tokens":892,"completion_tokens":37,"total_tokens":929,"prompt_tokens_details":{"cached_tokens":0,"audio_tokens":0},"completion_tokens_details":{"reasoning_tokens":0,"audio_tokens":0,"accepted_prediction_tokens":0,"rejected_prediction_tokens":0}},"service_tier":"default","system_fingerprint":"fp_ad66631dec"}</t>
        </is>
      </c>
      <c r="M80"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ma=2592000","apim-request-id":"edd5f7d5-1606-4c27-a270-424448d4aae5","azureml-model-session":"d20260402084046-4209e968","cache-control":"no-cache, no-store, must-revalidate","connection":"close","content-length":"996","content-security-policy":"frame-ancestors 'self'","content-type":"application/json","date":"Mon, 20 Apr 2026 04:27:04 GMT","server":"nginx","skip-error-remapping":"true","strict-transport-security":"max-age=31536000; includeSubDomains; preload","via":"1.1 Caddy, 1.1 Caddy","x-api-request-id":"20260420122701135179499n1UunFpr","x-content-type-options":"nosniff","x-frame-options":"SAMEORIGIN","x-ms-is-spilled-over":"false","x-ms-rai-invoked":"false","x-ms-region":"Sweden Central","x-new-api-version":"0.4.39","x-oneapi-request-id":"20260420042701690867778268d9d6uDMNTf79","x-ratelimit-abusepenalty-active":"False","x-ratelimit-limit-requests":"4993","x-ratelimit-limit-tokens":"4993000","x-ratelimit-remaining-requests":"4992","x-ratelimit-remaining-tokens":"4991346","x-ratelimit-renewalperiod-requests":"60","x-ratelimit-renewalperiod-tokens":"60","x-ratelimit-reset-requests":"12","x-ratelimit-reset-tokens":"19","x-request-id":"c3acde38-4dad-4f45-a00a-5cce88f77f01"}</t>
        </is>
      </c>
      <c r="N80" t="inlineStr">
        <is>
          <t>Ralph Lauren black wool knit beanie, soft and warm with high-density rib design and signature red embroidered polo logo. A timeless unisex accessory embodying classic American casual elegance.</t>
        </is>
      </c>
      <c r="O80" t="inlineStr">
        <is>
          <t>{"id":"chatcmpl-DWcbdkyUt0Bab3TfCr6QkkQ1hCzTd","object":"chat.completion","created":1776667269,"model":"gpt-5-chat-latest","choices":[{"index":0,"message":{"role":"assistant","content":"Ralph Lauren, Hats, kakobuy, kakebuy2026, kekobuysheet, kakobuysheet2026, 2026kakobuy, kakobuyspreadsheeet, kakobuylink, kakebuylist, Kakobuy MEGA Spreadsheet, kakobuysheetfind, kakobuysheetfind2026, 2026kakobuysheetfind, kakobuysheet2026","refusal":null,"annotations":[]},"logprobs":null,"finish_reason":"stop"}],"usage":{"prompt_tokens":784,"completion_tokens":92,"total_tokens":876,"prompt_tokens_details":{"cached_tokens":0,"audio_tokens":0},"completion_tokens_details":{"reasoning_tokens":0,"audio_tokens":0,"accepted_prediction_tokens":0,"rejected_prediction_tokens":0}},"service_tier":"default","system_fingerprint":"fp_ad66631dec"}</t>
        </is>
      </c>
      <c r="P80" t="inlineStr">
        <is>
          <t>Ralph Lauren, Hats, kakobuy, kakebuy2026, kekobuysheet, kakobuysheet2026, 2026kakobuy, kakobuyspreadsheeet, kakobuylink, kakebuylist, Kakobuy MEGA Spreadsheet, kakobuysheetfind, kakobuysheetfind2026, 2026kakobuysheetfind, kakobuysheet2026</t>
        </is>
      </c>
      <c r="Q80" t="inlineStr">
        <is>
          <t>Black, Wool, Knit, Classic, Unisex, Winter</t>
        </is>
      </c>
      <c r="R80" t="inlineStr">
        <is>
          <t>recvh6xFVj4jFp</t>
        </is>
      </c>
      <c r="S80" t="inlineStr">
        <is>
          <t>ralph-lauren-black-wool-beanie-recvh6xfvj4jfp</t>
        </is>
      </c>
      <c r="T80"/>
      <c r="U80"/>
      <c r="V80"/>
      <c r="W80" t="inlineStr">
        <is>
          <t>{"id":"chatcmpl-DWZR85GWenLCk86FqMLXvXJg09DDO","object":"chat.completion","created":1776655086,"model":"gpt-5-chat-latest","choices":[{"index":0,"message":{"role":"assistant","content":"Ralph Lauren：黑色羊毛针织帽，柔软保暖，高密度罗纹设计搭配经典红色刺绣马球标志，简约百搭，男女通用，展现美式休闲雅致品味。","refusal":null,"annotations":[]},"logprobs":null,"finish_reason":"stop"}],"usage":{"prompt_tokens":1317,"completion_tokens":56,"total_tokens":1373,"prompt_tokens_details":{"cached_tokens":0,"audio_tokens":0},"completion_tokens_details":{"reasoning_tokens":0,"audio_tokens":0,"accepted_prediction_tokens":0,"rejected_prediction_tokens":0}},"service_tier":"default","system_fingerprint":"fp_ad66631dec"}</t>
        </is>
      </c>
      <c r="X80" t="inlineStr">
        <is>
          <t>Ralph Lauren：黑色羊毛针织帽，柔软保暖，高密度罗纹设计搭配经典红色刺绣马球标志，简约百搭，男女通用，展现美式休闲雅致品味。</t>
        </is>
      </c>
    </row>
    <row r="81" ht="25.5" customHeight="1">
      <c r="A81">
        <v>1839115443</v>
      </c>
      <c r="B81">
        <v>7639015970</v>
      </c>
      <c r="C81" t="inlineStr">
        <is>
          <t>https://weidian.com/item.html?itemID=7639015970</t>
        </is>
      </c>
      <c r="D81"/>
      <c r="E81" s="2" t="str">
        <f>=HYPERLINK("https://si.geilicdn.com/open1839115443-252808396-13020000019b35910c7d0a8133b0_1340_1785.jpg?w=640&amp;h=640", "https://si.geilicdn.com/open1839115443-252808396-13020000019b35910c7d0a8133b0_1340_1785.jpg?w=640&amp;h=640")</f>
        <v>https://si.geilicdn.com/open1839115443-252808396-13020000019b35910c7d0a8133b0_1340_1785.jpg?w=640&amp;h=640</v>
      </c>
      <c r="F81" t="inlineStr">
        <is>
          <t>Hoodies</t>
        </is>
      </c>
      <c r="G81" t="inlineStr">
        <is>
          <t>Other</t>
        </is>
      </c>
      <c r="H81" t="inlineStr">
        <is>
          <t>91.00</t>
        </is>
      </c>
      <c r="I81">
        <v>13.19</v>
      </c>
      <c r="J81" t="inlineStr">
        <is>
          <t>{"choices":[{"finish_reason":"stop","index":0,"logprobs":null,"message":{"annotations":[],"content":"CR7 Grey Sports Hoodie Unisex Casual Sweatshirt","refusal":null,"role":"assistant"}}],"created":1776666554,"id":"chatcmpl-DWcQ6Q8tJSbBnYfOjdBjkVvL9j6id","model":"gpt-5-chat-latest","object":"chat.completion","service_tier":"default","system_fingerprint":"fp_ad66631dec","usage":{"completion_tokens":11,"completion_tokens_details":{"accepted_prediction_tokens":0,"audio_tokens":0,"reasoning_tokens":0,"rejected_prediction_tokens":0},"prompt_tokens":884,"prompt_tokens_details":{"audio_tokens":0,"cached_tokens":0},"total_tokens":895}}</t>
        </is>
      </c>
      <c r="K81" t="inlineStr">
        <is>
          <t>CR7 Grey Sports Hoodie Unisex Casual Sweatshirt</t>
        </is>
      </c>
      <c r="L81" t="inlineStr">
        <is>
          <t>{"choices":[{"finish_reason":"stop","index":0,"logprobs":null,"message":{"annotations":[],"content":"CR7 Grey Sports Hoodie, soft cotton blend with bold black “CR7” silhouette print, loose fit, drawstring hood and kangaroo pocket, unisex street style for casual or athletic wear.","refusal":null,"role":"assistant"}}],"created":1776659164,"id":"chatcmpl-DWaUugPAhqJnxj3tlLm35HSuf8l17","model":"gpt-5-chat-latest","object":"chat.completion","service_tier":"default","system_fingerprint":"fp_ad66631dec","usage":{"completion_tokens":41,"completion_tokens_details":{"accepted_prediction_tokens":0,"audio_tokens":0,"reasoning_tokens":0,"rejected_prediction_tokens":0},"prompt_tokens":934,"prompt_tokens_details":{"audio_tokens":0,"cached_tokens":0},"total_tokens":975}}</t>
        </is>
      </c>
      <c r="M81" t="inlineStr">
        <is>
          <t>{"alt-svc":"h3=\":443\"; ma=2592000","apim-request-id":"e96b3918-80ff-47b8-a367-f154dff0126a","azureml-model-session":"d20260405221325-2e8d5e76","cache-control":"no-cache","connection":"close","content-length":"770","content-security-policy":"frame-ancestors 'self'","content-type":"application/json","date":"Mon, 20 Apr 2026 04:26:05 GMT","server":"Caddy","skip-error-remapping":"true","strict-transport-security":"max-age=31536000; includeSubDomains; preload","via":"1.1 Caddy","x-api-request-id":"20260420122602899555857fn4KW1zB","x-content-type-options":"nosniff","x-frame-options":"SAMEORIGIN","x-ms-client-request-id":"Not-Set","x-ms-is-spilled-over":"false","x-ms-rai-invoked":"true","x-ms-region":"East US 2","x-new-api-version":"0.4.39","x-oneapi-request-id":"202604200426028325456498268d9d6PY56IPEZ","x-ratelimit-abusepenalty-active":"False","x-ratelimit-limit-requests":"3850","x-ratelimit-limit-tokens":"3850000","x-ratelimit-remaining-requests":"3849","x-ratelimit-remaining-tokens":"3848304","x-ratelimit-renewalperiod-requests":"60","x-ratelimit-renewalperiod-tokens":"60","x-ratelimit-reset-requests":"15","x-ratelimit-reset-tokens":"26","x-request-id":"f4d8edb5-17c9-4934-968f-f28fd42dde6f"}</t>
        </is>
      </c>
      <c r="N81" t="inlineStr">
        <is>
          <t>CR7 Grey Sports Hoodie, soft cotton blend with bold black “CR7” silhouette print, loose fit, drawstring hood and kangaroo pocket, unisex street style for casual or athletic wear.</t>
        </is>
      </c>
      <c r="O81" t="inlineStr">
        <is>
          <t>{"id":"chatcmpl-DWcaXBZeZyyXB85DJ55hc6D0oYXxO","object":"chat.completion","created":1776667201,"model":"gpt-5-chat-latest","choices":[{"index":0,"message":{"role":"assistant","content":"CP7,Hoodi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81" t="inlineStr">
        <is>
          <t>CP7,Hoodies,kakobuy,kakebuy2026,kekobuysheet,kakobuysheet2026,2026kakobuy,kakobuyspreadsheeet,kakobuylink,kakebuylist,Kakobuy MEGA Spreadsheet,kakobuysheetfind,kakobuysheetfind2026,2026kakobuysheetfind,kakobuysheet2026</t>
        </is>
      </c>
      <c r="Q81" t="inlineStr">
        <is>
          <t>Unisex, Street, Grey, Black</t>
        </is>
      </c>
      <c r="R81" t="inlineStr">
        <is>
          <t>recvh6xFVjW2bB</t>
        </is>
      </c>
      <c r="S81" t="inlineStr">
        <is>
          <t>cr7-grey-sports-hoodie-recvh6xfvjw2bb</t>
        </is>
      </c>
      <c r="T81"/>
      <c r="U81"/>
      <c r="V81"/>
      <c r="W81" t="inlineStr">
        <is>
          <t>{"choices":[{"finish_reason":"stop","index":0,"logprobs":null,"message":{"annotations":[],"content":"灰色运动系列连帽卫衣，柔软棉混纺面料，胸前醒目黑色“CR7”剪影印花设计，展现活力运动感。宽松版型与抽绳帽兜结合，搭配经典袋鼠口袋，舒适实穿。男女通用街头风格，适合日常休闲或运动穿搭，彰显现代潮流态度。","refusal":null,"role":"assistant"}}],"created":1776655201,"id":"chatcmpl-DWZSzAe2irzdmj6aqd7NF8bPLVaQl","model":"gpt-5-chat-latest","object":"chat.completion","service_tier":"default","system_fingerprint":"fp_ad66631dec","usage":{"completion_tokens":96,"completion_tokens_details":{"accepted_prediction_tokens":0,"audio_tokens":0,"reasoning_tokens":0,"rejected_prediction_tokens":0},"prompt_tokens":1318,"prompt_tokens_details":{"audio_tokens":0,"cached_tokens":1280},"total_tokens":1414}}</t>
        </is>
      </c>
      <c r="X81" t="inlineStr">
        <is>
          <t>灰色运动系列连帽卫衣，柔软棉混纺面料，胸前醒目黑色“CR7”剪影印花设计，展现活力运动感。宽松版型与抽绳帽兜结合，搭配经典袋鼠口袋，舒适实穿。男女通用街头风格，适合日常休闲或运动穿搭，彰显现代潮流态度。</t>
        </is>
      </c>
    </row>
    <row r="82" ht="25.5" customHeight="1">
      <c r="A82">
        <v>1839115443</v>
      </c>
      <c r="B82">
        <v>7638940398</v>
      </c>
      <c r="C82" t="inlineStr">
        <is>
          <t>https://weidian.com/item.html?itemID=7638940398</t>
        </is>
      </c>
      <c r="D82"/>
      <c r="E82" s="2" t="str">
        <f>=HYPERLINK("https://si.geilicdn.com/open1839115443-252808396-0fdb0000019b359112720a8115c2_1340_1785.jpg?w=640&amp;h=640", "https://si.geilicdn.com/open1839115443-252808396-0fdb0000019b359112720a8115c2_1340_1785.jpg?w=640&amp;h=640")</f>
        <v>https://si.geilicdn.com/open1839115443-252808396-0fdb0000019b359112720a8115c2_1340_1785.jpg?w=640&amp;h=640</v>
      </c>
      <c r="F82" t="inlineStr">
        <is>
          <t>T-Shirts</t>
        </is>
      </c>
      <c r="G82" t="inlineStr">
        <is>
          <t>Jack Jones</t>
        </is>
      </c>
      <c r="H82" t="inlineStr">
        <is>
          <t>63.00</t>
        </is>
      </c>
      <c r="I82">
        <v>9.13</v>
      </c>
      <c r="J82" t="inlineStr">
        <is>
          <t>{"choices":[{"finish_reason":"stop","index":0,"logprobs":null,"message":{"annotations":[],"content":"Jack Jones Black Beast Print Street Style T-Shirt","refusal":null,"role":"assistant"}}],"created":1776666007,"id":"chatcmpl-DWcHH2ohvDhewaB6ck3F2Ifapl0jy","model":"gpt-5-chat-latest","object":"chat.completion","service_tier":"default","system_fingerprint":"fp_ad66631dec","usage":{"completion_tokens":10,"completion_tokens_details":{"accepted_prediction_tokens":0,"audio_tokens":0,"reasoning_tokens":0,"rejected_prediction_tokens":0},"prompt_tokens":878,"prompt_tokens_details":{"audio_tokens":0,"cached_tokens":0},"total_tokens":888}}</t>
        </is>
      </c>
      <c r="K82" t="inlineStr">
        <is>
          <t>Jack Jones Black Beast Print Street Style T-Shirt</t>
        </is>
      </c>
      <c r="L82" t="inlineStr">
        <is>
          <t>{"choices":[{"finish_reason":"stop","index":0,"logprobs":null,"message":{"annotations":[],"content":"Jack Jones black street style T-shirt made of soft cotton, featuring a dark beast face totem print on the chest, loose unisex fit, blending casual comfort with bold urban fashion.","refusal":null,"role":"assistant"}}],"created":1776658498,"id":"chatcmpl-DWaKAHgFDLBMgKqs3ZcbNiN7jvrkS","model":"gpt-5-chat-latest","object":"chat.completion","service_tier":"default","system_fingerprint":"fp_ad66631dec","usage":{"completion_tokens":38,"completion_tokens_details":{"accepted_prediction_tokens":0,"audio_tokens":0,"reasoning_tokens":0,"rejected_prediction_tokens":0},"prompt_tokens":903,"prompt_tokens_details":{"audio_tokens":0,"cached_tokens":0},"total_tokens":941}}</t>
        </is>
      </c>
      <c r="M82" t="inlineStr">
        <is>
          <t>{"alt-svc":"h3=\":443\"; ma=2592000","apim-request-id":"fd9f4733-e3a4-4494-9d7f-bb914c751272","azureml-model-session":"d20260402074105-51db401e","cache-control":"no-cache","connection":"close","content-length":"767","content-security-policy":"frame-ancestors 'self'","content-type":"application/json","date":"Mon, 20 Apr 2026 04:14:59 GMT","server":"Caddy","skip-error-remapping":"true","strict-transport-security":"max-age=31536000; includeSubDomains; preload","via":"1.1 Caddy","x-api-request-id":"20260420121457686053811L0z1d1xI","x-content-type-options":"nosniff","x-frame-options":"SAMEORIGIN","x-ms-client-request-id":"Not-Set","x-ms-is-spilled-over":"false","x-ms-rai-invoked":"true","x-ms-region":"East US 2","x-new-api-version":"0.4.39","x-oneapi-request-id":"202604200414576193748368268d9d6k0la5oap","x-ratelimit-abusepenalty-active":"False","x-ratelimit-limit-requests":"3850","x-ratelimit-limit-tokens":"3850000","x-ratelimit-remaining-requests":"3849","x-ratelimit-remaining-tokens":"3848335","x-ratelimit-renewalperiod-requests":"60","x-ratelimit-renewalperiod-tokens":"60","x-ratelimit-reset-requests":"15","x-ratelimit-reset-tokens":"25","x-request-id":"ef19e1bb-1804-41d3-9d03-4daff0146d3b"}</t>
        </is>
      </c>
      <c r="N82" t="inlineStr">
        <is>
          <t>Jack Jones black street style T-shirt made of soft cotton, featuring a dark beast face totem print on the chest, loose unisex fit, blending casual comfort with bold urban fashion.</t>
        </is>
      </c>
      <c r="O82" t="inlineStr">
        <is>
          <t>{"choices":[{"finish_reason":"stop","index":0,"logprobs":null,"message":{"annotations":[],"content":"Jack Jones, T-Shirts, kakobuy, kakebuy2026, kekobuysheet, kakobuysheet2026, 2026kakobuy, kakobuyspreadsheeet, kakobuylink, kakebuylist, Kakobuy MEGA Spreadsheet, kakobuysheetfind, kakobuysheetfind2026, 2026kakobuysheetfind, kakobuysheet2026","refusal":null,"role":"assistant"}}],"created":1776667974,"id":"chatcmpl-DWcn0LAvvguLl1SCH5XjuGGPh1LhG","model":"gpt-5-chat-latest","object":"chat.completion","service_tier":"default","system_fingerprint":"fp_ad66631dec","usage":{"completion_tokens":92,"completion_tokens_details":{"accepted_prediction_tokens":0,"audio_tokens":0,"reasoning_tokens":0,"rejected_prediction_tokens":0},"prompt_tokens":783,"prompt_tokens_details":{"audio_tokens":0,"cached_tokens":0},"total_tokens":875}}</t>
        </is>
      </c>
      <c r="P82" t="inlineStr">
        <is>
          <t>Jack Jones, T-Shirts, kakobuy, kakebuy2026, kekobuysheet, kakobuysheet2026, 2026kakobuy, kakobuyspreadsheeet, kakobuylink, kakebuylist, Kakobuy MEGA Spreadsheet, kakobuysheetfind, kakobuysheetfind2026, 2026kakobuysheetfind, kakobuysheet2026</t>
        </is>
      </c>
      <c r="Q82" t="inlineStr">
        <is>
          <t>Black, Street, Unisex</t>
        </is>
      </c>
      <c r="R82" t="inlineStr">
        <is>
          <t>recvh6xFVjRnJj</t>
        </is>
      </c>
      <c r="S82" t="inlineStr">
        <is>
          <t>jack-jones-black-beast-print-street-t-shirt-recvh6xfvjrjj</t>
        </is>
      </c>
      <c r="T82"/>
      <c r="U82"/>
      <c r="V82"/>
      <c r="W82" t="inlineStr">
        <is>
          <t>{"id":"chatcmpl-DWZfuYdS2dmZdvmLGL9FcfyBcMcCE","object":"chat.completion","created":1776656002,"model":"gpt-5-chat-latest","choices":[{"index":0,"message":{"role":"assistant","content":"Jack Jones黑色街头印花T恤，甄选柔软纯棉面料，胸前酷炫暗黑兽面图腾设计，展现前卫个性风格，短袖宽松版型，男女皆宜，休闲与潮流完美融合。","refusal":null,"annotations":[]},"logprobs":null,"finish_reason":"stop"}],"usage":{"prompt_tokens":1318,"completion_tokens":66,"total_tokens":1384,"prompt_tokens_details":{"cached_tokens":0,"audio_tokens":0},"completion_tokens_details":{"reasoning_tokens":0,"audio_tokens":0,"accepted_prediction_tokens":0,"rejected_prediction_tokens":0}},"service_tier":"default","system_fingerprint":"fp_ad66631dec"}</t>
        </is>
      </c>
      <c r="X82" t="inlineStr">
        <is>
          <t>Jack Jones黑色街头印花T恤，甄选柔软纯棉面料，胸前酷炫暗黑兽面图腾设计，展现前卫个性风格，短袖宽松版型，男女皆宜，休闲与潮流完美融合。</t>
        </is>
      </c>
    </row>
    <row r="83" ht="25.5" customHeight="1">
      <c r="A83">
        <v>1839115443</v>
      </c>
      <c r="B83">
        <v>7636083607</v>
      </c>
      <c r="C83" t="inlineStr">
        <is>
          <t>https://weidian.com/item.html?itemID=7636083607</t>
        </is>
      </c>
      <c r="D83"/>
      <c r="E83" s="2" t="str">
        <f>=HYPERLINK("https://si.geilicdn.com/open1839115443-252808396-24040000019b359104e20a23b4de_1340_1785.jpg?w=640&amp;h=640", "https://si.geilicdn.com/open1839115443-252808396-24040000019b359104e20a23b4de_1340_1785.jpg?w=640&amp;h=640")</f>
        <v>https://si.geilicdn.com/open1839115443-252808396-24040000019b359104e20a23b4de_1340_1785.jpg?w=640&amp;h=640</v>
      </c>
      <c r="F83" t="inlineStr">
        <is>
          <t>Hoodies</t>
        </is>
      </c>
      <c r="G83" t="inlineStr">
        <is>
          <t>Other</t>
        </is>
      </c>
      <c r="H83" t="inlineStr">
        <is>
          <t>91.00</t>
        </is>
      </c>
      <c r="I83">
        <v>13.19</v>
      </c>
      <c r="J83" t="inlineStr">
        <is>
          <t>{"choices":[{"finish_reason":"stop","index":0,"logprobs":null,"message":{"annotations":[],"content":"USYK Boxing Red Hoodie Unisex Streetwear Pullover","refusal":null,"role":"assistant"}}],"created":1776666324,"id":"chatcmpl-DWcMOwupfs7AhBoyCGjho7eCv7mXU","model":"gpt-5-chat-latest","object":"chat.completion","service_tier":"default","system_fingerprint":"fp_ad66631dec","usage":{"completion_tokens":12,"completion_tokens_details":{"accepted_prediction_tokens":0,"audio_tokens":0,"reasoning_tokens":0,"rejected_prediction_tokens":0},"prompt_tokens":880,"prompt_tokens_details":{"audio_tokens":0,"cached_tokens":0},"total_tokens":892}}</t>
        </is>
      </c>
      <c r="K83" t="inlineStr">
        <is>
          <t>USYK Boxing Red Hoodie Unisex Streetwear Pullover</t>
        </is>
      </c>
      <c r="L83" t="inlineStr">
        <is>
          <t>{"choices":[{"finish_reason":"stop","index":0,"logprobs":null,"message":{"annotations":[],"content":"USYK Boxing red hoodie in soft thick cotton, bold white front print, sporty streetwear style with drawstring hood and kangaroo pocket, unisex loose fit for casual or training wear.","refusal":null,"role":"assistant"}}],"created":1776659128,"id":"chatcmpl-DWaUKSdH8WQNndWDEe7ysINilhLz8","model":"gpt-5-chat-latest","object":"chat.completion","service_tier":"default","system_fingerprint":"fp_ad66631dec","usage":{"completion_tokens":39,"completion_tokens_details":{"accepted_prediction_tokens":0,"audio_tokens":0,"reasoning_tokens":0,"rejected_prediction_tokens":0},"prompt_tokens":923,"prompt_tokens_details":{"audio_tokens":0,"cached_tokens":0},"total_tokens":962}}</t>
        </is>
      </c>
      <c r="M83" t="inlineStr">
        <is>
          <t>{"alt-svc":"h3=\":443\"; ma=2592000","apim-request-id":"032c7985-b2f9-48de-801b-3a50e9e15c19","azureml-model-session":"d20260402083108-57a85543","cache-control":"no-cache","connection":"close","content-length":"768","content-security-policy":"frame-ancestors 'self'","content-type":"application/json","date":"Mon, 20 Apr 2026 04:25:29 GMT","server":"Caddy","skip-error-remapping":"true","strict-transport-security":"max-age=31536000; includeSubDomains; preload","via":"1.1 Caddy","x-api-request-id":"2026042012252791057091Oa3RIksi","x-content-type-options":"nosniff","x-frame-options":"SAMEORIGIN","x-ms-client-request-id":"Not-Set","x-ms-is-spilled-over":"false","x-ms-rai-invoked":"true","x-ms-region":"East US 2","x-new-api-version":"0.4.39","x-oneapi-request-id":"202604200425269353159708268d9d69a3C41Ra","x-ratelimit-abusepenalty-active":"False","x-ratelimit-limit-requests":"3850","x-ratelimit-limit-tokens":"3850000","x-ratelimit-remaining-requests":"3849","x-ratelimit-remaining-tokens":"3848315","x-ratelimit-renewalperiod-requests":"60","x-ratelimit-renewalperiod-tokens":"60","x-ratelimit-reset-requests":"15","x-ratelimit-reset-tokens":"26","x-request-id":"5f4dd1c3-8f1c-44a0-9797-7b9de84bcf8b"}</t>
        </is>
      </c>
      <c r="N83" t="inlineStr">
        <is>
          <t>USYK Boxing red hoodie in soft thick cotton, bold white front print, sporty streetwear style with drawstring hood and kangaroo pocket, unisex loose fit for casual or training wear.</t>
        </is>
      </c>
      <c r="O83" t="inlineStr">
        <is>
          <t>{"choices":[{"finish_reason":"stop","index":0,"logprobs":null,"message":{"annotations":[],"content":"Usyk,Hoodies,kakobuy,kakebuy2026,kekobuysheet,kakobuysheet2026,2026kakobuy,kakobuyspreadsheeet,kakobuylink,kakebuylist,Kakobuy MEGA Spreadsheet,kakobuysheetfind,kakobuysheetfind2026,2026kakobuysheetfind,kakobuysheet2026","refusal":null,"role":"assistant"}}],"created":1776667540,"id":"chatcmpl-DWcg0XIx0P2sZg3tvsiI21HsnePfy","model":"gpt-5-chat-latest","object":"chat.completion","service_tier":"default","system_fingerprint":"fp_ad66631dec","usage":{"completion_tokens":88,"completion_tokens_details":{"accepted_prediction_tokens":0,"audio_tokens":0,"reasoning_tokens":0,"rejected_prediction_tokens":0},"prompt_tokens":783,"prompt_tokens_details":{"audio_tokens":0,"cached_tokens":0},"total_tokens":871}}</t>
        </is>
      </c>
      <c r="P83" t="inlineStr">
        <is>
          <t>Usyk,Hoodies,kakobuy,kakebuy2026,kekobuysheet,kakobuysheet2026,2026kakobuy,kakobuyspreadsheeet,kakobuylink,kakebuylist,Kakobuy MEGA Spreadsheet,kakobuysheetfind,kakobuysheetfind2026,2026kakobuysheetfind,kakobuysheet2026</t>
        </is>
      </c>
      <c r="Q83" t="inlineStr">
        <is>
          <t>Red, Streetwear, Unisex, Sporty</t>
        </is>
      </c>
      <c r="R83" t="inlineStr">
        <is>
          <t>recvh6xFVjy6uQ</t>
        </is>
      </c>
      <c r="S83" t="inlineStr">
        <is>
          <t>usyk-boxing-red-hoodie-recvh6xFVjy6uQ</t>
        </is>
      </c>
      <c r="T83"/>
      <c r="U83"/>
      <c r="V83"/>
      <c r="W83" t="inlineStr">
        <is>
          <t>{"choices":[{"finish_reason":"stop","index":0,"logprobs":null,"message":{"annotations":[],"content":"红色拳击主题连帽卫衣，采用柔软加厚棉质面料，胸前醒目白色“USYK BOXING”印花设计，展现运动与街头潮流融合风格。宽松版型配抽绳帽兜与袋鼠口袋，舒适保暖，男女皆宜，适合日常休闲及运动穿搭。","refusal":null,"role":"assistant"}}],"created":1776655407,"id":"chatcmpl-DWZWJC5kLkybfS9Uvj0UkWrszgMF6","model":"gpt-5-chat-latest","object":"chat.completion","service_tier":"default","system_fingerprint":"fp_ad66631dec","usage":{"completion_tokens":87,"completion_tokens_details":{"accepted_prediction_tokens":0,"audio_tokens":0,"reasoning_tokens":0,"rejected_prediction_tokens":0},"prompt_tokens":1314,"prompt_tokens_details":{"audio_tokens":0,"cached_tokens":0},"total_tokens":1401}}</t>
        </is>
      </c>
      <c r="X83" t="inlineStr">
        <is>
          <t>红色拳击主题连帽卫衣，采用柔软加厚棉质面料，胸前醒目白色“USYK BOXING”印花设计，展现运动与街头潮流融合风格。宽松版型配抽绳帽兜与袋鼠口袋，舒适保暖，男女皆宜，适合日常休闲及运动穿搭。</t>
        </is>
      </c>
    </row>
    <row r="84" ht="25.5" customHeight="1">
      <c r="A84">
        <v>1839115443</v>
      </c>
      <c r="B84">
        <v>7636059809</v>
      </c>
      <c r="C84" t="inlineStr">
        <is>
          <t>https://weidian.com/item.html?itemID=7636059809</t>
        </is>
      </c>
      <c r="D84"/>
      <c r="E84" s="2" t="str">
        <f>=HYPERLINK("https://si.geilicdn.com/open1839115443-252808396-29310000019b3590eb4c0a22d249_1340_1785.jpg?w=640&amp;h=640", "https://si.geilicdn.com/open1839115443-252808396-29310000019b3590eb4c0a22d249_1340_1785.jpg?w=640&amp;h=640")</f>
        <v>https://si.geilicdn.com/open1839115443-252808396-29310000019b3590eb4c0a22d249_1340_1785.jpg?w=640&amp;h=640</v>
      </c>
      <c r="F84" t="inlineStr">
        <is>
          <t>T-Shirts</t>
        </is>
      </c>
      <c r="G84" t="inlineStr">
        <is>
          <t>Other</t>
        </is>
      </c>
      <c r="H84" t="inlineStr">
        <is>
          <t>127.00</t>
        </is>
      </c>
      <c r="I84">
        <v>18.41</v>
      </c>
      <c r="J84" t="inlineStr">
        <is>
          <t>{"choices":[{"finish_reason":"stop","index":0,"logprobs":null,"message":{"annotations":[],"content":"Other Black White Striped Knit Polo Shirt Men Casual","refusal":null,"role":"assistant"}}],"created":1776665969,"id":"chatcmpl-DWcGfc24HSXORgttDRrftWhzV5Euc","model":"gpt-5-chat-latest","object":"chat.completion","service_tier":"default","system_fingerprint":"fp_ad66631dec","usage":{"completion_tokens":11,"completion_tokens_details":{"accepted_prediction_tokens":0,"audio_tokens":0,"reasoning_tokens":0,"rejected_prediction_tokens":0},"prompt_tokens":875,"prompt_tokens_details":{"audio_tokens":0,"cached_tokens":0},"total_tokens":886}}</t>
        </is>
      </c>
      <c r="K84" t="inlineStr">
        <is>
          <t>Other Black White Striped Knit Polo Shirt Men Casual</t>
        </is>
      </c>
      <c r="L84" t="inlineStr">
        <is>
          <t>{"choices":[{"finish_reason":"stop","index":0,"logprobs":null,"message":{"annotations":[],"content":"T-ShirtsOther Black White Striped Knit Polo Shirt, crafted from soft breathable cotton blend, features classic collar with three buttons, modern contrast stripes, ideal for casual or business wear.","refusal":null,"role":"assistant"}}],"created":1776658319,"id":"chatcmpl-DWaHHgBeR08EOJmQqyPVv6Vlt2FVT","model":"gpt-5-chat-latest","object":"chat.completion","service_tier":"default","system_fingerprint":"fp_ad66631dec","usage":{"completion_tokens":37,"completion_tokens_details":{"accepted_prediction_tokens":0,"audio_tokens":0,"reasoning_tokens":0,"rejected_prediction_tokens":0},"prompt_tokens":928,"prompt_tokens_details":{"audio_tokens":0,"cached_tokens":0},"total_tokens":965}}</t>
        </is>
      </c>
      <c r="M84" t="inlineStr">
        <is>
          <t>{"alt-svc":"h3=\":443\"; ma=2592000","apim-request-id":"dd34c74e-616b-4d69-8dd4-6653dda23ac1","azureml-model-session":"d20260402074105-51db401e","cache-control":"no-cache","connection":"close","content-length":"785","content-security-policy":"frame-ancestors 'self'","content-type":"application/json","date":"Mon, 20 Apr 2026 04:12:01 GMT","server":"Caddy","skip-error-remapping":"true","strict-transport-security":"max-age=31536000; includeSubDomains; preload","via":"1.1 Caddy","x-api-request-id":"202604201211586682503346nLeY91Q","x-content-type-options":"nosniff","x-frame-options":"SAMEORIGIN","x-ms-client-request-id":"Not-Set","x-ms-is-spilled-over":"false","x-ms-rai-invoked":"true","x-ms-region":"East US 2","x-new-api-version":"0.4.39","x-oneapi-request-id":"202604200411586034459088268d9d65OeF2ZTw","x-ratelimit-abusepenalty-active":"False","x-ratelimit-limit-requests":"3850","x-ratelimit-limit-tokens":"3850000","x-ratelimit-remaining-requests":"3849","x-ratelimit-remaining-tokens":"3848310","x-ratelimit-renewalperiod-requests":"60","x-ratelimit-renewalperiod-tokens":"60","x-ratelimit-reset-requests":"15","x-ratelimit-reset-tokens":"26","x-request-id":"eec2b8f9-c8f2-4c1b-b999-0fc3944c261b"}</t>
        </is>
      </c>
      <c r="N84" t="inlineStr">
        <is>
          <t>T-ShirtsOther Black White Striped Knit Polo Shirt, crafted from soft breathable cotton blend, features classic collar with three buttons, modern contrast stripes, ideal for casual or business wear.</t>
        </is>
      </c>
      <c r="O84" t="inlineStr">
        <is>
          <t>{"choices":[{"finish_reason":"stop","index":0,"logprobs":null,"message":{"annotations":[],"content":"YuanShu, T-Shirts, kakobuy, kakebuy2026, kekobuysheet, kakobuysheet2026, 2026kakobuy, kakobuyspreadsheeet, kakobuylink, kakebuylist, Kakobuy MEGA Spreadsheet, kakobuysheetfind, kakobuysheetfind2026, 2026kakobuysheetfind, kakobuysheet2026","refusal":null,"role":"assistant"}}],"created":1776667709,"id":"chatcmpl-DWcij4e4vFqaUeEfUwxdVRQZbm4EP","model":"gpt-5-chat-latest","object":"chat.completion","service_tier":"default","system_fingerprint":"fp_ad66631dec","usage":{"completion_tokens":94,"completion_tokens_details":{"accepted_prediction_tokens":0,"audio_tokens":0,"reasoning_tokens":0,"rejected_prediction_tokens":0},"prompt_tokens":782,"prompt_tokens_details":{"audio_tokens":0,"cached_tokens":0},"total_tokens":876}}</t>
        </is>
      </c>
      <c r="P84" t="inlineStr">
        <is>
          <t>YuanShu, T-Shirts, kakobuy, kakebuy2026, kekobuysheet, kakobuysheet2026, 2026kakobuy, kakobuyspreadsheeet, kakobuylink, kakebuylist, Kakobuy MEGA Spreadsheet, kakobuysheetfind, kakobuysheetfind2026, 2026kakobuysheetfind, kakobuysheet2026</t>
        </is>
      </c>
      <c r="Q84" t="inlineStr">
        <is>
          <t>Black, White, Knit, Breathable, Business Casual</t>
        </is>
      </c>
      <c r="R84" t="inlineStr">
        <is>
          <t>recvh6xFVjbfBQ</t>
        </is>
      </c>
      <c r="S84" t="inlineStr">
        <is>
          <t>other-black-white-striped-knit-polo-shirt-men-casual-recvh6xfvjbfbq</t>
        </is>
      </c>
      <c r="T84"/>
      <c r="U84"/>
      <c r="V84"/>
      <c r="W84" t="inlineStr">
        <is>
          <t>{"choices":[{"finish_reason":"stop","index":0,"logprobs":null,"message":{"annotations":[],"content":"黑白条纹针织短袖POLO衫，精选透气柔软棉混纺面料，质感细腻不易变形。经典翻领三纽扣设计，展现简约雅致格调，黑白撞色横纹充满现代都市气息。适合男女日常休闲或商务场合穿搭，轻盈舒适兼具时尚品味。","refusal":null,"role":"assistant"}}],"created":1776655659,"id":"chatcmpl-DWZaNNkRd9wvZPtlBTAZJWY7V70Oe","model":"gpt-5-chat-latest","object":"chat.completion","service_tier":"default","system_fingerprint":"fp_ad66631dec","usage":{"completion_tokens":92,"completion_tokens_details":{"accepted_prediction_tokens":0,"audio_tokens":0,"reasoning_tokens":0,"rejected_prediction_tokens":0},"prompt_tokens":1315,"prompt_tokens_details":{"audio_tokens":0,"cached_tokens":0},"total_tokens":1407}}</t>
        </is>
      </c>
      <c r="X84" t="inlineStr">
        <is>
          <t>黑白条纹针织短袖POLO衫，精选透气柔软棉混纺面料，质感细腻不易变形。经典翻领三纽扣设计，展现简约雅致格调，黑白撞色横纹充满现代都市气息。适合男女日常休闲或商务场合穿搭，轻盈舒适兼具时尚品味。</t>
        </is>
      </c>
    </row>
    <row r="85" ht="25.5" customHeight="1">
      <c r="A85">
        <v>1839115443</v>
      </c>
      <c r="B85">
        <v>7636006177</v>
      </c>
      <c r="C85" t="inlineStr">
        <is>
          <t>https://weidian.com/item.html?itemID=7636006177</t>
        </is>
      </c>
      <c r="D85"/>
      <c r="E85" s="2" t="str">
        <f>=HYPERLINK("https://si.geilicdn.com/open1839115443-252808396-3b0c0000019b3591091b0aa086a7_1340_1785.jpg?w=640&amp;h=640", "https://si.geilicdn.com/open1839115443-252808396-3b0c0000019b3591091b0aa086a7_1340_1785.jpg?w=640&amp;h=640")</f>
        <v>https://si.geilicdn.com/open1839115443-252808396-3b0c0000019b3591091b0aa086a7_1340_1785.jpg?w=640&amp;h=640</v>
      </c>
      <c r="F85" t="inlineStr">
        <is>
          <t>Hoodies</t>
        </is>
      </c>
      <c r="G85" t="inlineStr">
        <is>
          <t>Other</t>
        </is>
      </c>
      <c r="H85" t="inlineStr">
        <is>
          <t>91.00</t>
        </is>
      </c>
      <c r="I85">
        <v>13.19</v>
      </c>
      <c r="J85" t="inlineStr">
        <is>
          <t>{"choices":[{"finish_reason":"stop","index":0,"logprobs":null,"message":{"annotations":[],"content":"USYK BOXING Red Hoodie Unisex Streetwear Pullover","refusal":null,"role":"assistant"}}],"created":1776666661,"id":"chatcmpl-DWcRpjJW48mmukvYMkO9QxZGV4W36","model":"gpt-5-chat-latest","object":"chat.completion","service_tier":"default","system_fingerprint":"fp_ad66631dec","usage":{"completion_tokens":13,"completion_tokens_details":{"accepted_prediction_tokens":0,"audio_tokens":0,"reasoning_tokens":0,"rejected_prediction_tokens":0},"prompt_tokens":884,"prompt_tokens_details":{"audio_tokens":0,"cached_tokens":0},"total_tokens":897}}</t>
        </is>
      </c>
      <c r="K85" t="inlineStr">
        <is>
          <t>USYK BOXING Red Hoodie Unisex Streetwear Pullover</t>
        </is>
      </c>
      <c r="L85" t="inlineStr">
        <is>
          <t>{"choices":[{"finish_reason":"stop","index":0,"logprobs":null,"message":{"annotations":[],"content":"USYK BOXING Red Hoodie, made of thick soft cotton with bold white logo print, loose fit, drawstring hood and front pocket, unisex streetwear style for sports or casual daily wear.","refusal":null,"role":"assistant"}}],"created":1776659508,"id":"chatcmpl-DWaaSlVASGjY1MgMM23AmsnnlrkeI","model":"gpt-5-chat-latest","object":"chat.completion","service_tier":"default","system_fingerprint":"fp_ad66631dec","usage":{"completion_tokens":41,"completion_tokens_details":{"accepted_prediction_tokens":0,"audio_tokens":0,"reasoning_tokens":0,"rejected_prediction_tokens":0},"prompt_tokens":931,"prompt_tokens_details":{"audio_tokens":0,"cached_tokens":0},"total_tokens":972}}</t>
        </is>
      </c>
      <c r="M85" t="inlineStr">
        <is>
          <t>{"alt-svc":"h3=\":443\"; ma=2592000","apim-request-id":"02b0c11b-31f6-4d30-8cf1-e02778e873a3","azureml-model-session":"d20260405234249-f9874baf","cache-control":"no-cache","connection":"close","content-length":"767","content-security-policy":"frame-ancestors 'self'","content-type":"application/json","date":"Mon, 20 Apr 2026 04:31:49 GMT","server":"nginx","skip-error-remapping":"true","strict-transport-security":"max-age=31536000; includeSubDomains; preload","via":"1.1 Caddy, 1.1 Caddy","x-api-request-id":"20260420123146833207326fDn4k5eG","x-content-type-options":"nosniff","x-frame-options":"SAMEORIGIN","x-ms-client-request-id":"Not-Set","x-ms-is-spilled-over":"false","x-ms-rai-invoked":"true","x-ms-region":"East US 2","x-new-api-version":"0.4.39","x-oneapi-request-id":"202604200431467647689298268d9d6h1WZ6Oj4","x-ratelimit-abusepenalty-active":"False","x-ratelimit-limit-requests":"3850","x-ratelimit-limit-tokens":"3850000","x-ratelimit-remaining-requests":"3849","x-ratelimit-remaining-tokens":"3848307","x-ratelimit-renewalperiod-requests":"60","x-ratelimit-renewalperiod-tokens":"60","x-ratelimit-reset-requests":"15","x-ratelimit-reset-tokens":"26","x-request-id":"d2ea3b65-2a56-49d0-8893-62ac98328c4d"}</t>
        </is>
      </c>
      <c r="N85" t="inlineStr">
        <is>
          <t>USYK BOXING Red Hoodie, made of thick soft cotton with bold white logo print, loose fit, drawstring hood and front pocket, unisex streetwear style for sports or casual daily wear.</t>
        </is>
      </c>
      <c r="O85" t="inlineStr">
        <is>
          <t>{"choices":[{"finish_reason":"stop","index":0,"logprobs":null,"message":{"annotations":[],"content":"OLEKSANDR USYK,Hoodies,kakobuy,kakebuy2026,kekobuysheet,kakobuysheet2026,2026kakobuy,kakobuyspreadsheeet,kakobuylink,kakebuylist,Kakobuy MEGA Spreadsheet,kakobuysheetfind,kakobuysheetfind2026,2026kakobuysheetfind,kakobuysheet2026","refusal":null,"role":"assistant"}}],"created":1776667332,"id":"chatcmpl-DWccegZrlTwhjhNvJm9RZaRMdKmJN","model":"gpt-5-chat-latest","object":"chat.completion","service_tier":"default","system_fingerprint":"fp_ad66631dec","usage":{"completion_tokens":92,"completion_tokens_details":{"accepted_prediction_tokens":0,"audio_tokens":0,"reasoning_tokens":0,"rejected_prediction_tokens":0},"prompt_tokens":783,"prompt_tokens_details":{"audio_tokens":0,"cached_tokens":0},"total_tokens":875}}</t>
        </is>
      </c>
      <c r="P85" t="inlineStr">
        <is>
          <t>OLEKSANDR USYK,Hoodies,kakobuy,kakebuy2026,kekobuysheet,kakobuysheet2026,2026kakobuy,kakobuyspreadsheeet,kakobuylink,kakebuylist,Kakobuy MEGA Spreadsheet,kakobuysheetfind,kakobuysheetfind2026,2026kakobuysheetfind,kakobuysheet2026</t>
        </is>
      </c>
      <c r="Q85" t="inlineStr">
        <is>
          <t>Red, Streetwear, Unisex</t>
        </is>
      </c>
      <c r="R85" t="inlineStr">
        <is>
          <t>recvh6xFVjgWYz</t>
        </is>
      </c>
      <c r="S85" t="inlineStr">
        <is>
          <t>usyk-boxing-red-hoodie-recvh6xFVjgWYz</t>
        </is>
      </c>
      <c r="T85"/>
      <c r="U85"/>
      <c r="V85"/>
      <c r="W85" t="inlineStr">
        <is>
          <t>{"id":"chatcmpl-DWZeKvBOiotFMslgWSTJh5MnUFIfZ","object":"chat.completion","created":1776655904,"model":"gpt-5-chat-latest","choices":[{"index":0,"message":{"role":"assistant","content":"红色拳击主题连帽卫衣，精选柔软加厚棉质面料，正面醒目白色“USYK BOXING”字样印花，展现街头运动风格；宽松版型搭配抽绳帽设计与前袋鼠兜，男女通用款，舒适保暖兼具潮流态度，适合日常休闲与运动穿搭。","refusal":null,"annotations":[]},"logprobs":null,"finish_reason":"stop"}],"usage":{"prompt_tokens":1320,"completion_tokens":92,"total_tokens":1412,"prompt_tokens_details":{"cached_tokens":0,"audio_tokens":0},"completion_tokens_details":{"reasoning_tokens":0,"audio_tokens":0,"accepted_prediction_tokens":0,"rejected_prediction_tokens":0}},"service_tier":"default","system_fingerprint":"fp_ad66631dec"}</t>
        </is>
      </c>
      <c r="X85" t="inlineStr">
        <is>
          <t>红色拳击主题连帽卫衣，精选柔软加厚棉质面料，正面醒目白色“USYK BOXING”字样印花，展现街头运动风格；宽松版型搭配抽绳帽设计与前袋鼠兜，男女通用款，舒适保暖兼具潮流态度，适合日常休闲与运动穿搭。</t>
        </is>
      </c>
    </row>
    <row r="86" ht="25.5" customHeight="1">
      <c r="A86">
        <v>1839115443</v>
      </c>
      <c r="B86">
        <v>7638936020</v>
      </c>
      <c r="C86" t="inlineStr">
        <is>
          <t>https://weidian.com/item.html?itemID=7638936020</t>
        </is>
      </c>
      <c r="D86"/>
      <c r="E86" s="2" t="str">
        <f>=HYPERLINK("https://si.geilicdn.com/open1839115443-252808396-0fb10000019b3590fea80a8115c2_1340_1785.jpg?w=640&amp;h=640", "https://si.geilicdn.com/open1839115443-252808396-0fb10000019b3590fea80a8115c2_1340_1785.jpg?w=640&amp;h=640")</f>
        <v>https://si.geilicdn.com/open1839115443-252808396-0fb10000019b3590fea80a8115c2_1340_1785.jpg?w=640&amp;h=640</v>
      </c>
      <c r="F86" t="inlineStr">
        <is>
          <t>Hoodies</t>
        </is>
      </c>
      <c r="G86" t="inlineStr">
        <is>
          <t>Other</t>
        </is>
      </c>
      <c r="H86" t="inlineStr">
        <is>
          <t>91.00</t>
        </is>
      </c>
      <c r="I86">
        <v>13.19</v>
      </c>
      <c r="J86" t="inlineStr">
        <is>
          <t>{"id":"chatcmpl-DWcWFXmRMJcwtHAY6RK4Htzz0t6ME","object":"chat.completion","created":1776666935,"model":"gpt-5-chat-latest","choices":[{"index":0,"message":{"role":"assistant","content":"HoodiesOther Los Angeles West Coast Gray Hoodie Unisex","refusal":null,"annotations":[]},"logprobs":null,"finish_reason":"stop"}],"usage":{"prompt_tokens":884,"completion_tokens":13,"total_tokens":897,"prompt_tokens_details":{"cached_tokens":0,"audio_tokens":0},"completion_tokens_details":{"reasoning_tokens":0,"audio_tokens":0,"accepted_prediction_tokens":0,"rejected_prediction_tokens":0}},"service_tier":"default","system_fingerprint":"fp_ad66631dec"}</t>
        </is>
      </c>
      <c r="K86" t="inlineStr">
        <is>
          <t>HoodiesOther Los Angeles West Coast Gray Hoodie Unisex</t>
        </is>
      </c>
      <c r="L86" t="inlineStr">
        <is>
          <t>{"choices":[{"finish_reason":"stop","index":0,"logprobs":null,"message":{"annotations":[],"content":"HoodiesOther Los Angeles West Coast gray hoodie, soft cotton fabric for cozy comfort, bold black print adds street style, loose fit for men and women, perfect for casual fall and winter wear.","refusal":null,"role":"assistant"}}],"created":1776659207,"id":"chatcmpl-DWaVbXKKPcnd6ikPQqzeaWOt4Cz46","model":"gpt-5-chat-latest","object":"chat.completion","service_tier":"default","system_fingerprint":"fp_ad66631dec","usage":{"completion_tokens":41,"completion_tokens_details":{"accepted_prediction_tokens":0,"audio_tokens":0,"reasoning_tokens":0,"rejected_prediction_tokens":0},"prompt_tokens":908,"prompt_tokens_details":{"audio_tokens":0,"cached_tokens":0},"total_tokens":949}}</t>
        </is>
      </c>
      <c r="M86" t="inlineStr">
        <is>
          <t>{"alt-svc":"h3=\":443\"; ma=2592000","apim-request-id":"ed1da2f4-f7b0-4d84-99b3-ade86e535df9","azureml-model-session":"d20260405234249-f9874baf","cache-control":"no-cache","connection":"close","content-length":"779","content-security-policy":"frame-ancestors 'self'","content-type":"application/json","date":"Mon, 20 Apr 2026 04:26:48 GMT","server":"nginx","skip-error-remapping":"true","strict-transport-security":"max-age=31536000; includeSubDomains; preload","via":"1.1 Caddy, 1.1 Caddy","x-api-request-id":"20260420122646219723741sKjY1FJ","x-content-type-options":"nosniff","x-frame-options":"SAMEORIGIN","x-ms-client-request-id":"Not-Set","x-ms-is-spilled-over":"false","x-ms-rai-invoked":"true","x-ms-region":"East US 2","x-new-api-version":"0.4.39","x-oneapi-request-id":"202604200426459560469988268d9d65oAzYzE3","x-ratelimit-abusepenalty-active":"False","x-ratelimit-limit-requests":"3850","x-ratelimit-limit-tokens":"3850000","x-ratelimit-remaining-requests":"3849","x-ratelimit-remaining-tokens":"3848330","x-ratelimit-renewalperiod-requests":"60","x-ratelimit-renewalperiod-tokens":"60","x-ratelimit-reset-requests":"15","x-ratelimit-reset-tokens":"26","x-request-id":"bd2e8fcd-e222-4221-ade0-4a8301b62282"}</t>
        </is>
      </c>
      <c r="N86" t="inlineStr">
        <is>
          <t>HoodiesOther Los Angeles West Coast gray hoodie, soft cotton fabric for cozy comfort, bold black print adds street style, loose fit for men and women, perfect for casual fall and winter wear.</t>
        </is>
      </c>
      <c r="O86" t="inlineStr">
        <is>
          <t>{"choices":[{"finish_reason":"stop","index":0,"logprobs":null,"message":{"annotations":[],"content":"Los Angeles, Hoodies, kakobuy, kakebuy2026, kekobuysheet, kakobuysheet2026, 2026kakobuy, kakobuyspreadsheeet, kakobuylink, kakebuylist, Kakobuy MEGA Spreadsheet, kakobuysheetfind, kakobuysheetfind2026, 2026kakobuysheetfind, kakobuysheet2026","refusal":null,"role":"assistant"}}],"created":1776668622,"id":"chatcmpl-DWcxSVoxEPP3WvtzAKFZ5Hk0eeLXm","model":"gpt-5-chat-latest","object":"chat.completion","service_tier":"default","system_fingerprint":"fp_ad66631dec","usage":{"completion_tokens":92,"completion_tokens_details":{"accepted_prediction_tokens":0,"audio_tokens":0,"reasoning_tokens":0,"rejected_prediction_tokens":0},"prompt_tokens":783,"prompt_tokens_details":{"audio_tokens":0,"cached_tokens":0},"total_tokens":875}}</t>
        </is>
      </c>
      <c r="P86" t="inlineStr">
        <is>
          <t>Los Angeles, Hoodies, kakobuy, kakebuy2026, kekobuysheet, kakobuysheet2026, 2026kakobuy, kakobuyspreadsheeet, kakobuylink, kakebuylist, Kakobuy MEGA Spreadsheet, kakobuysheetfind, kakobuysheetfind2026, 2026kakobuysheetfind, kakobuysheet2026</t>
        </is>
      </c>
      <c r="Q86" t="inlineStr">
        <is>
          <t>Gray, Streetwear, Autumn And Winter, Unisex</t>
        </is>
      </c>
      <c r="R86" t="inlineStr">
        <is>
          <t>recvh6xFVjaou0</t>
        </is>
      </c>
      <c r="S86" t="inlineStr">
        <is>
          <t>la-west-coast-gray-hoodie-recvh6xFVjaou0</t>
        </is>
      </c>
      <c r="T86"/>
      <c r="U86"/>
      <c r="V86"/>
      <c r="W86" t="inlineStr">
        <is>
          <t>{"choices":[{"finish_reason":"stop","index":0,"logprobs":null,"message":{"annotations":[],"content":"灰色“Los Angeles West Coast”系列连帽卫衣，柔软棉质面料舒适亲肤，胸前黑色印花字母设计彰显美式街头风格，宽松版型兼具休闲与时尚感，男女皆宜，适合秋冬日常穿搭。","refusal":null,"role":"assistant"}}],"created":1776655994,"id":"chatcmpl-DWZfmuKKQcM99fARYegRDj7jw5VDy","model":"gpt-5-chat-latest","object":"chat.completion","service_tier":"default","system_fingerprint":"fp_ad66631dec","usage":{"completion_tokens":71,"completion_tokens_details":{"accepted_prediction_tokens":0,"audio_tokens":0,"reasoning_tokens":0,"rejected_prediction_tokens":0},"prompt_tokens":1316,"prompt_tokens_details":{"audio_tokens":0,"cached_tokens":1280},"total_tokens":1387}}</t>
        </is>
      </c>
      <c r="X86" t="inlineStr">
        <is>
          <t>灰色“Los Angeles West Coast”系列连帽卫衣，柔软棉质面料舒适亲肤，胸前黑色印花字母设计彰显美式街头风格，宽松版型兼具休闲与时尚感，男女皆宜，适合秋冬日常穿搭。</t>
        </is>
      </c>
    </row>
    <row r="87" ht="25.5" customHeight="1">
      <c r="A87">
        <v>1839115443</v>
      </c>
      <c r="B87">
        <v>7635984323</v>
      </c>
      <c r="C87" t="inlineStr">
        <is>
          <t>https://weidian.com/item.html?itemID=7635984323</t>
        </is>
      </c>
      <c r="D87"/>
      <c r="E87" s="2" t="str">
        <f>=HYPERLINK("https://si.geilicdn.com/open1839115443-252808396-25630000019b3590fcb90a231226_1340_1785.jpg?w=640&amp;h=640", "https://si.geilicdn.com/open1839115443-252808396-25630000019b3590fcb90a231226_1340_1785.jpg?w=640&amp;h=640")</f>
        <v>https://si.geilicdn.com/open1839115443-252808396-25630000019b3590fcb90a231226_1340_1785.jpg?w=640&amp;h=640</v>
      </c>
      <c r="F87" t="inlineStr">
        <is>
          <t>Hoodies</t>
        </is>
      </c>
      <c r="G87" t="inlineStr">
        <is>
          <t>Other</t>
        </is>
      </c>
      <c r="H87" t="inlineStr">
        <is>
          <t>91.00</t>
        </is>
      </c>
      <c r="I87">
        <v>13.19</v>
      </c>
      <c r="J87" t="inlineStr">
        <is>
          <t>{"choices":[{"finish_reason":"stop","index":0,"logprobs":null,"message":{"annotations":[],"content":"HoodiesOther Vintage EST.1965 Red Retro Cotton Hoodie","refusal":null,"role":"assistant"}}],"created":1776666965,"id":"chatcmpl-DWcWjyWjBkEXoCORQRdHGCIPqFKK0","model":"gpt-5-chat-latest","object":"chat.completion","service_tier":"default","system_fingerprint":"fp_ad66631dec","usage":{"completion_tokens":14,"completion_tokens_details":{"accepted_prediction_tokens":0,"audio_tokens":0,"reasoning_tokens":0,"rejected_prediction_tokens":0},"prompt_tokens":882,"prompt_tokens_details":{"audio_tokens":0,"cached_tokens":0},"total_tokens":896}}</t>
        </is>
      </c>
      <c r="K87" t="inlineStr">
        <is>
          <t>HoodiesOther Vintage EST.1965 Red Retro Cotton Hoodie</t>
        </is>
      </c>
      <c r="L87" t="inlineStr">
        <is>
          <t>{"id":"chatcmpl-DWaUjhoYN79r9AH2j2WhgdRr83qGX","object":"chat.completion","created":1776659153,"model":"gpt-5-chat-latest","choices":[{"index":0,"message":{"role":"assistant","content":"HoodiesOther Vintage Series Red Hoodie, soft thick cotton fabric, front white “EST.1965” print, unisex street casual style, warm and comfy for a retro fashion look.","refusal":null,"annotations":[]},"logprobs":null,"finish_reason":"stop"}],"usage":{"prompt_tokens":897,"completion_tokens":40,"total_tokens":937,"prompt_tokens_details":{"cached_tokens":0,"audio_tokens":0},"completion_tokens_details":{"reasoning_tokens":0,"audio_tokens":0,"accepted_prediction_tokens":0,"rejected_prediction_tokens":0}},"service_tier":"default","system_fingerprint":"fp_ad66631dec"}</t>
        </is>
      </c>
      <c r="M87"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ma=2592000","apim-request-id":"c0131ef2-bf3c-4c77-b9c4-c745fa6e2332","azureml-model-session":"d20260405234249-f9874baf","cache-control":"no-cache, no-store, must-revalidate","connection":"close","content-length":"972","content-security-policy":"frame-ancestors 'self'","content-type":"application/json","date":"Mon, 20 Apr 2026 04:25:56 GMT","server":"nginx","skip-error-remapping":"true","strict-transport-security":"max-age=31536000; includeSubDomains; preload","via":"1.1 Caddy, 1.1 Caddy","x-api-request-id":"20260420122552434607045UaRS7aYm","x-content-type-options":"nosniff","x-frame-options":"SAMEORIGIN","x-ms-is-spilled-over":"false","x-ms-rai-invoked":"false","x-ms-region":"Sweden Central","x-new-api-version":"0.4.39","x-oneapi-request-id":"202604200425523686702148268d9d6m5Y7fLgh","x-ratelimit-abusepenalty-active":"False","x-ratelimit-limit-requests":"4993","x-ratelimit-limit-tokens":"4993000","x-ratelimit-remaining-requests":"4992","x-ratelimit-remaining-tokens":"4991341","x-ratelimit-renewalperiod-requests":"60","x-ratelimit-renewalperiod-tokens":"60","x-ratelimit-reset-requests":"12","x-ratelimit-reset-tokens":"19","x-request-id":"b9e4c7d6-8738-4cee-9957-6413984df9fe"}</t>
        </is>
      </c>
      <c r="N87" t="inlineStr">
        <is>
          <t>HoodiesOther Vintage Series Red Hoodie, soft thick cotton fabric, front white “EST.1965” print, unisex street casual style, warm and comfy for a retro fashion look.</t>
        </is>
      </c>
      <c r="O87" t="inlineStr">
        <is>
          <t>{"choices":[{"finish_reason":"stop","index":0,"logprobs":null,"message":{"annotations":[],"content":"EST1965,Hoodies,kakobuy,kakebuy2026,kekobuysheet,kakobuysheet2026,2026kakobuy,kakobuyspreadsheeet,kakobuylink,kakebuylist,Kakobuy MEGA Spreadsheet,kakobuysheetfind,kakobuysheetfind2026,2026kakobuysheetfind,kakobuysheet2026","refusal":null,"role":"assistant"}}],"created":1776668813,"id":"chatcmpl-DWd0XwOrdsjj7Ar7QStkAnydBNUmZ","model":"gpt-5-chat-latest","object":"chat.completion","service_tier":"default","system_fingerprint":"fp_ad66631dec","usage":{"completion_tokens":89,"completion_tokens_details":{"accepted_prediction_tokens":0,"audio_tokens":0,"reasoning_tokens":0,"rejected_prediction_tokens":0},"prompt_tokens":783,"prompt_tokens_details":{"audio_tokens":0,"cached_tokens":0},"total_tokens":872}}</t>
        </is>
      </c>
      <c r="P87" t="inlineStr">
        <is>
          <t>EST1965,Hoodies,kakobuy,kakebuy2026,kekobuysheet,kakobuysheet2026,2026kakobuy,kakobuyspreadsheeet,kakobuylink,kakebuylist,Kakobuy MEGA Spreadsheet,kakobuysheetfind,kakobuysheetfind2026,2026kakobuysheetfind,kakobuysheet2026</t>
        </is>
      </c>
      <c r="Q87" t="inlineStr">
        <is>
          <t>Red, Street, Unisex, Retro</t>
        </is>
      </c>
      <c r="R87" t="inlineStr">
        <is>
          <t>recvh6xFVjp31h</t>
        </is>
      </c>
      <c r="S87" t="inlineStr">
        <is>
          <t>vintage-est-1965-red-retro-cotton-hoodie-recvh6xFVjp31h</t>
        </is>
      </c>
      <c r="T87"/>
      <c r="U87"/>
      <c r="V87"/>
      <c r="W87" t="inlineStr">
        <is>
          <t>{"choices":[{"finish_reason":"stop","index":0,"logprobs":null,"message":{"annotations":[],"content":"复古系列红色连帽卫衣，柔软加厚棉质面料，正面白色“EST.1965”字样印花设计，街头休闲风格，男女同款，保暖舒适，展现复古潮流态度。","refusal":null,"role":"assistant"}}],"created":1776656112,"id":"chatcmpl-DWZhgz8DxLOmilBPB92KCL70jElSQ","model":"gpt-5-chat-latest","object":"chat.completion","service_tier":"default","system_fingerprint":"fp_ad66631dec","usage":{"completion_tokens":62,"completion_tokens_details":{"accepted_prediction_tokens":0,"audio_tokens":0,"reasoning_tokens":0,"rejected_prediction_tokens":0},"prompt_tokens":1312,"prompt_tokens_details":{"audio_tokens":0,"cached_tokens":0},"total_tokens":1374}}</t>
        </is>
      </c>
      <c r="X87" t="inlineStr">
        <is>
          <t>复古系列红色连帽卫衣，柔软加厚棉质面料，正面白色“EST.1965”字样印花设计，街头休闲风格，男女同款，保暖舒适，展现复古潮流态度。</t>
        </is>
      </c>
    </row>
    <row r="88" ht="25.5" customHeight="1">
      <c r="A88">
        <v>1839115443</v>
      </c>
      <c r="B88">
        <v>7692935409</v>
      </c>
      <c r="C88" t="inlineStr">
        <is>
          <t>https://weidian.com/item.html?itemID=7692935409</t>
        </is>
      </c>
      <c r="D88"/>
      <c r="E88" s="2" t="str">
        <f>=HYPERLINK("https://si.geilicdn.com/open1839115443-252808396-26d30000019c50c9f3f50a23b491_1140_1140.jpg?w=750&amp;h=750&amp;cp=1", "https://si.geilicdn.com/open1839115443-252808396-26d30000019c50c9f3f50a23b491_1140_1140.jpg?w=750&amp;h=750&amp;cp=1")</f>
        <v>https://si.geilicdn.com/open1839115443-252808396-26d30000019c50c9f3f50a23b491_1140_1140.jpg?w=750&amp;h=750&amp;cp=1</v>
      </c>
      <c r="F88" t="inlineStr">
        <is>
          <t>T-Shirts</t>
        </is>
      </c>
      <c r="G88" t="inlineStr">
        <is>
          <t>Other</t>
        </is>
      </c>
      <c r="H88" t="inlineStr">
        <is>
          <t>54.00</t>
        </is>
      </c>
      <c r="I88">
        <v>7.82608695652174</v>
      </c>
      <c r="J88" t="inlineStr">
        <is>
          <t>{"choices":[{"finish_reason":"stop","index":0,"logprobs":null,"message":{"annotations":[],"content":"LEFA Black Mountain Bike Cotton T-Shirt for Men Women","refusal":null,"role":"assistant"}}],"created":1776666907,"id":"chatcmpl-DWcVnIu0kdzxiTD6Rl7SzyFyKiHHM","model":"gpt-5-chat-latest","object":"chat.completion","service_tier":"default","system_fingerprint":"fp_ad66631dec","usage":{"completion_tokens":12,"completion_tokens_details":{"accepted_prediction_tokens":0,"audio_tokens":0,"reasoning_tokens":0,"rejected_prediction_tokens":0},"prompt_tokens":871,"prompt_tokens_details":{"audio_tokens":0,"cached_tokens":0},"total_tokens":883}}</t>
        </is>
      </c>
      <c r="K88" t="inlineStr">
        <is>
          <t>LEFA Black Mountain Bike Cotton T-Shirt for Men Women</t>
        </is>
      </c>
      <c r="L88" t="inlineStr">
        <is>
          <t>{"choices":[{"finish_reason":"stop","index":0,"logprobs":null,"message":{"annotations":[],"content":"LEFA Black Mountain Bike Cotton T-Shirt, soft breathable fabric with matte “MOUNTAIN BIKE” print, unisex casual style for outdoor cycling and everyday wear.","refusal":null,"role":"assistant"}}],"created":1776658945,"id":"chatcmpl-DWaRNRCyuf8s4geuEgUdjRE7S3pzZ","model":"gpt-5-chat-latest","object":"chat.completion","service_tier":"default","system_fingerprint":"fp_ad66631dec","usage":{"completion_tokens":35,"completion_tokens_details":{"accepted_prediction_tokens":0,"audio_tokens":0,"reasoning_tokens":0,"rejected_prediction_tokens":0},"prompt_tokens":912,"prompt_tokens_details":{"audio_tokens":0,"cached_tokens":0},"total_tokens":947}}</t>
        </is>
      </c>
      <c r="M88" t="inlineStr">
        <is>
          <t>{"alt-svc":"h3=\":443\"; ma=2592000","apim-request-id":"94471fee-ddc2-4fa4-bdcf-de2ed12501bf","azureml-model-session":"d20260405234249-f9874baf","cache-control":"no-cache","connection":"close","content-length":"748","content-security-policy":"frame-ancestors 'self'","content-type":"application/json","date":"Mon, 20 Apr 2026 04:22:26 GMT","server":"nginx","skip-error-remapping":"true","strict-transport-security":"max-age=31536000; includeSubDomains; preload","via":"1.1 Caddy, 1.1 Caddy","x-api-request-id":"20260420122224468643414uQnIuJfh","x-content-type-options":"nosniff","x-frame-options":"SAMEORIGIN","x-ms-client-request-id":"Not-Set","x-ms-is-spilled-over":"false","x-ms-rai-invoked":"true","x-ms-region":"East US 2","x-new-api-version":"0.4.39","x-oneapi-request-id":"202604200422244033191068268d9d6ffnXU8S7","x-ratelimit-abusepenalty-active":"False","x-ratelimit-limit-requests":"3850","x-ratelimit-limit-tokens":"3850000","x-ratelimit-remaining-requests":"3849","x-ratelimit-remaining-tokens":"3848326","x-ratelimit-renewalperiod-requests":"60","x-ratelimit-renewalperiod-tokens":"60","x-ratelimit-reset-requests":"15","x-ratelimit-reset-tokens":"26","x-request-id":"729285a1-211a-4199-9861-90ec9331f807"}</t>
        </is>
      </c>
      <c r="N88" t="inlineStr">
        <is>
          <t>LEFA Black Mountain Bike Cotton T-Shirt, soft breathable fabric with matte “MOUNTAIN BIKE” print, unisex casual style for outdoor cycling and everyday wear.</t>
        </is>
      </c>
      <c r="O88" t="inlineStr">
        <is>
          <t>{"id":"chatcmpl-DWcfWY1GsnT7B3bgQD90SdUBhSKnd","object":"chat.completion","created":1776667510,"model":"gpt-5-chat-latest","choices":[{"index":0,"message":{"role":"assistant","content":"LEFLA, T-Shirts,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93,"total_tokens":875,"prompt_tokens_details":{"cached_tokens":0,"audio_tokens":0},"completion_tokens_details":{"reasoning_tokens":0,"audio_tokens":0,"accepted_prediction_tokens":0,"rejected_prediction_tokens":0}},"service_tier":"default","system_fingerprint":"fp_ad66631dec"}</t>
        </is>
      </c>
      <c r="P88" t="inlineStr">
        <is>
          <t>LEFLA, T-Shirts, kakobuy, kakebuy2026, kekobuysheet, kakobuysheet2026, 2026kakobuy, kakobuyspreadsheeet, kakobuylink, kakebuylist, Kakobuy MEGA Spreadsheet, kakobuysheetfind, kakobuysheetfind2026, 2026kakobuysheetfind, kakobuysheet2026</t>
        </is>
      </c>
      <c r="Q88" t="inlineStr">
        <is>
          <t>Unisex, Outdoor, Breathable</t>
        </is>
      </c>
      <c r="R88" t="inlineStr">
        <is>
          <t>recvh6xFVjPHee</t>
        </is>
      </c>
      <c r="S88" t="inlineStr">
        <is>
          <t>lefa-black-mountain-bike-cotton-t-shirt-recvh6xFVjPHee</t>
        </is>
      </c>
      <c r="T88"/>
      <c r="U88"/>
      <c r="V88"/>
      <c r="W88" t="inlineStr">
        <is>
          <t>{"id":"chatcmpl-DWZb2AUGvbr6IjBDE2yZR5TDKi81M","object":"chat.completion","created":1776655700,"model":"gpt-5-chat-latest","choices":[{"index":0,"message":{"role":"assistant","content":"黑色山地骑行系列短袖T恤，采用柔软纯棉面料，胸前“MOUNTAIN BIKE”磨砂印花设计，展现户外运动与街头休闲风格，男女皆宜，舒适透气，适合日常穿搭及骑行活动。","refusal":null,"annotations":[]},"logprobs":null,"finish_reason":"stop"}],"usage":{"prompt_tokens":1327,"completion_tokens":70,"total_tokens":1397,"prompt_tokens_details":{"cached_tokens":1280,"audio_tokens":0},"completion_tokens_details":{"reasoning_tokens":0,"audio_tokens":0,"accepted_prediction_tokens":0,"rejected_prediction_tokens":0}},"service_tier":"default","system_fingerprint":"fp_ad66631dec"}</t>
        </is>
      </c>
      <c r="X88" t="inlineStr">
        <is>
          <t>黑色山地骑行系列短袖T恤，采用柔软纯棉面料，胸前“MOUNTAIN BIKE”磨砂印花设计，展现户外运动与街头休闲风格，男女皆宜，舒适透气，适合日常穿搭及骑行活动。</t>
        </is>
      </c>
    </row>
    <row r="89" ht="25.5" customHeight="1">
      <c r="A89">
        <v>1839115443</v>
      </c>
      <c r="B89">
        <v>7693001201</v>
      </c>
      <c r="C89" t="inlineStr">
        <is>
          <t>https://weidian.com/item.html?itemID=7693001201</t>
        </is>
      </c>
      <c r="D89"/>
      <c r="E89" s="2" t="str">
        <f>=HYPERLINK("https://si.geilicdn.com/open1839115443-252808396-0d880000019c50bbd04d0a8115c2_1000_1000.jpg?w=750&amp;h=750&amp;cp=1", "https://si.geilicdn.com/open1839115443-252808396-0d880000019c50bbd04d0a8115c2_1000_1000.jpg?w=750&amp;h=750&amp;cp=1")</f>
        <v>https://si.geilicdn.com/open1839115443-252808396-0d880000019c50bbd04d0a8115c2_1000_1000.jpg?w=750&amp;h=750&amp;cp=1</v>
      </c>
      <c r="F89" t="inlineStr">
        <is>
          <t>T-Shirts</t>
        </is>
      </c>
      <c r="G89" t="inlineStr">
        <is>
          <t>Other</t>
        </is>
      </c>
      <c r="H89" t="inlineStr">
        <is>
          <t>54.00</t>
        </is>
      </c>
      <c r="I89">
        <v>7.83</v>
      </c>
      <c r="J89" t="inlineStr">
        <is>
          <t>{"choices":[{"finish_reason":"stop","index":0,"logprobs":null,"message":{"annotations":[],"content":"YZEE MC Off-White Cartoon Cotton Unisex T-Shirt","refusal":null,"role":"assistant"}}],"created":1776666772,"id":"chatcmpl-DWcTcrVAsahkSyU6fOtnV07WqBgPd","model":"gpt-5-chat-latest","object":"chat.completion","service_tier":"default","system_fingerprint":"fp_ad66631dec","usage":{"completion_tokens":13,"completion_tokens_details":{"accepted_prediction_tokens":0,"audio_tokens":0,"reasoning_tokens":0,"rejected_prediction_tokens":0},"prompt_tokens":881,"prompt_tokens_details":{"audio_tokens":0,"cached_tokens":0},"total_tokens":894}}</t>
        </is>
      </c>
      <c r="K89" t="inlineStr">
        <is>
          <t>YZEE MC Off-White Cartoon Cotton Unisex T-Shirt</t>
        </is>
      </c>
      <c r="L89" t="inlineStr">
        <is>
          <t>{"choices":[{"finish_reason":"stop","index":0,"logprobs":null,"message":{"annotations":[],"content":"YZEE MC Cartoon Print Off-White T-Shirt, soft cotton, fun box and hand-drawn totem design, unisex casual style, breathable comfort, perfect for daily street fashion wear.","refusal":null,"role":"assistant"}}],"created":1776658481,"id":"chatcmpl-DWaJta5MgcWoIigUVhLU1W48PWAhO","model":"gpt-5-chat-latest","object":"chat.completion","service_tier":"default","system_fingerprint":"fp_ad66631dec","usage":{"completion_tokens":40,"completion_tokens_details":{"accepted_prediction_tokens":0,"audio_tokens":0,"reasoning_tokens":0,"rejected_prediction_tokens":0},"prompt_tokens":906,"prompt_tokens_details":{"audio_tokens":0,"cached_tokens":0},"total_tokens":946}}</t>
        </is>
      </c>
      <c r="M89" t="inlineStr">
        <is>
          <t>{"alt-svc":"h3=\":443\"; ma=2592000","apim-request-id":"e2fa51a1-3103-4063-9673-add9fba9b36f","azureml-model-session":"d20260402083108-57a85543","cache-control":"no-cache","connection":"close","content-length":"758","content-security-policy":"frame-ancestors 'self'","content-type":"application/json","date":"Mon, 20 Apr 2026 04:14:43 GMT","server":"nginx","skip-error-remapping":"true","strict-transport-security":"max-age=31536000; includeSubDomains; preload","via":"1.1 Caddy, 1.1 Caddy","x-api-request-id":"20260420121440808352336hx5xtzV2","x-content-type-options":"nosniff","x-frame-options":"SAMEORIGIN","x-ms-client-request-id":"Not-Set","x-ms-is-spilled-over":"false","x-ms-rai-invoked":"true","x-ms-region":"East US 2","x-new-api-version":"0.4.39","x-oneapi-request-id":"202604200414407218418718268d9d6jDlXrLhj","x-ratelimit-abusepenalty-active":"False","x-ratelimit-limit-requests":"3850","x-ratelimit-limit-tokens":"3850000","x-ratelimit-remaining-requests":"3849","x-ratelimit-remaining-tokens":"3848332","x-ratelimit-renewalperiod-requests":"60","x-ratelimit-renewalperiod-tokens":"60","x-ratelimit-reset-requests":"15","x-ratelimit-reset-tokens":"25","x-request-id":"0df829f6-26d3-4851-90b0-4ce90bc513f7"}</t>
        </is>
      </c>
      <c r="N89" t="inlineStr">
        <is>
          <t>YZEE MC Cartoon Print Off-White T-Shirt, soft cotton, fun box and hand-drawn totem design, unisex casual style, breathable comfort, perfect for daily street fashion wear.</t>
        </is>
      </c>
      <c r="O89" t="inlineStr">
        <is>
          <t>{"choices":[{"finish_reason":"stop","index":0,"logprobs":null,"message":{"annotations":[],"content":"YZEE MC,T-Shirts,kakobuy,kakebuy2026,kekobuysheet,kakobuysheet2026,2026kakobuy,kakobuyspreadsheeet,kakobuylink,kakebuylist,Kakobuy MEGA Spreadsheet,kakobuysheetfind,kakobuysheetfind2026,2026kakobuysheetfind,kakobuysheet2026","refusal":null,"role":"assistant"}}],"created":1776668543,"id":"chatcmpl-DWcwBgzCYCbnDP69ljcjGLgyu8K5n","model":"gpt-5-chat-latest","object":"chat.completion","service_tier":"default","system_fingerprint":"fp_ad66631dec","usage":{"completion_tokens":88,"completion_tokens_details":{"accepted_prediction_tokens":0,"audio_tokens":0,"reasoning_tokens":0,"rejected_prediction_tokens":0},"prompt_tokens":782,"prompt_tokens_details":{"audio_tokens":0,"cached_tokens":0},"total_tokens":870}}</t>
        </is>
      </c>
      <c r="P89" t="inlineStr">
        <is>
          <t>YZEE MC,T-Shirts,kakobuy,kakebuy2026,kekobuysheet,kakobuysheet2026,2026kakobuy,kakobuyspreadsheeet,kakobuylink,kakebuylist,Kakobuy MEGA Spreadsheet,kakobuysheetfind,kakobuysheetfind2026,2026kakobuysheetfind,kakobuysheet2026</t>
        </is>
      </c>
      <c r="Q89" t="inlineStr">
        <is>
          <t>Unisex, Streetwear, Breathable, Comfort</t>
        </is>
      </c>
      <c r="R89" t="inlineStr">
        <is>
          <t>recvh6xFVjSkDa</t>
        </is>
      </c>
      <c r="S89" t="inlineStr">
        <is>
          <t>yzee-mc-off-white-cartoon-cotton-unisex-recvh6xfvjskda</t>
        </is>
      </c>
      <c r="T89"/>
      <c r="U89"/>
      <c r="V89"/>
      <c r="W89" t="inlineStr">
        <is>
          <t>{"choices":[{"finish_reason":"stop","index":0,"logprobs":null,"message":{"annotations":[],"content":"卡通印花米白色短袖T恤，精选柔软纯棉面料，胸前趣味盒子与手绘图腾设计，简约休闲风格，男女通用款，舒适透气，适合日常街头休闲穿搭。","refusal":null,"role":"assistant"}}],"created":1776656077,"id":"chatcmpl-DWZh72qyiWETZiF2R3z3XrLDLcjLy","model":"gpt-5-chat-latest","object":"chat.completion","service_tier":"default","system_fingerprint":"fp_ad66631dec","usage":{"completion_tokens":64,"completion_tokens_details":{"accepted_prediction_tokens":0,"audio_tokens":0,"reasoning_tokens":0,"rejected_prediction_tokens":0},"prompt_tokens":1327,"prompt_tokens_details":{"audio_tokens":0,"cached_tokens":1280},"total_tokens":1391}}</t>
        </is>
      </c>
      <c r="X89" t="inlineStr">
        <is>
          <t>卡通印花米白色短袖T恤，精选柔软纯棉面料，胸前趣味盒子与手绘图腾设计，简约休闲风格，男女通用款，舒适透气，适合日常街头休闲穿搭。</t>
        </is>
      </c>
    </row>
    <row r="90" ht="25.5" customHeight="1">
      <c r="A90">
        <v>1839115443</v>
      </c>
      <c r="B90">
        <v>7696075658</v>
      </c>
      <c r="C90" t="inlineStr">
        <is>
          <t>https://weidian.com/item.html?itemID=7696075658</t>
        </is>
      </c>
      <c r="D90"/>
      <c r="E90" s="2" t="str">
        <f>=HYPERLINK("https://si.geilicdn.com/open1839115443-252808396-1c610000019c50ae2d9e0a231226_1440_1440.jpg?w=750&amp;h=750&amp;cp=1", "https://si.geilicdn.com/open1839115443-252808396-1c610000019c50ae2d9e0a231226_1440_1440.jpg?w=750&amp;h=750&amp;cp=1")</f>
        <v>https://si.geilicdn.com/open1839115443-252808396-1c610000019c50ae2d9e0a231226_1440_1440.jpg?w=750&amp;h=750&amp;cp=1</v>
      </c>
      <c r="F90" t="inlineStr">
        <is>
          <t>T-Shirts</t>
        </is>
      </c>
      <c r="G90" t="inlineStr">
        <is>
          <t>Other</t>
        </is>
      </c>
      <c r="H90" t="inlineStr">
        <is>
          <t>54.00</t>
        </is>
      </c>
      <c r="I90">
        <v>7.83</v>
      </c>
      <c r="J90" t="inlineStr">
        <is>
          <t>{"id":"chatcmpl-DWcQMlFqbUPToYQjV8QOULGCp9xnM","object":"chat.completion","created":1776666570,"model":"gpt-5-chat-latest","choices":[{"index":0,"message":{"role":"assistant","content":"MOYAN Slam Dunk Move Retro Anime Basketball T-Shirt","refusal":null,"annotations":[]},"logprobs":null,"finish_reason":"stop"}],"usage":{"prompt_tokens":881,"completion_tokens":11,"total_tokens":892,"prompt_tokens_details":{"cached_tokens":0,"audio_tokens":0},"completion_tokens_details":{"reasoning_tokens":0,"audio_tokens":0,"accepted_prediction_tokens":0,"rejected_prediction_tokens":0}},"service_tier":"default","system_fingerprint":"fp_ad66631dec"}</t>
        </is>
      </c>
      <c r="K90" t="inlineStr">
        <is>
          <t>MOYAN Slam Dunk Move Retro Anime Basketball T-Shirt</t>
        </is>
      </c>
      <c r="L90" t="inlineStr">
        <is>
          <t>{"choices":[{"finish_reason":"stop","index":0,"logprobs":null,"message":{"annotations":[],"content":"MOYAN Retro White Basketball T-Shirt made of soft cotton, featuring “SLAM DUNK MOVE” anime print for youthful sports vibes. Unisex loose fit, stylish and comfy streetwear essential.","refusal":null,"role":"assistant"}}],"created":1776658826,"id":"chatcmpl-DWaPSSlisIQS7SEuagj6UOnX9AXON","model":"gpt-5-chat-latest","object":"chat.completion","service_tier":"default","system_fingerprint":"fp_ad66631dec","usage":{"completion_tokens":40,"completion_tokens_details":{"accepted_prediction_tokens":0,"audio_tokens":0,"reasoning_tokens":0,"rejected_prediction_tokens":0},"prompt_tokens":916,"prompt_tokens_details":{"audio_tokens":0,"cached_tokens":0},"total_tokens":956}}</t>
        </is>
      </c>
      <c r="M90" t="inlineStr">
        <is>
          <t>{"alt-svc":"h3=\":443\"; ma=2592000","apim-request-id":"abfbec2e-f7a7-4ae8-9973-666d2f89fb26","azureml-model-session":"d20260402084046-4209e968","cache-control":"no-cache","connection":"close","content-length":"773","content-security-policy":"frame-ancestors 'self'","content-type":"application/json","date":"Mon, 20 Apr 2026 04:20:28 GMT","server":"Caddy","skip-error-remapping":"true","strict-transport-security":"max-age=31536000; includeSubDomains; preload","via":"1.1 Caddy","x-api-request-id":"20260420122025461304493SoFNsmOW","x-content-type-options":"nosniff","x-frame-options":"SAMEORIGIN","x-ms-client-request-id":"Not-Set","x-ms-is-spilled-over":"false","x-ms-rai-invoked":"true","x-ms-region":"East US 2","x-new-api-version":"0.4.39","x-oneapi-request-id":"202604200420253958561868268d9d6sd8aTu1a","x-ratelimit-abusepenalty-active":"False","x-ratelimit-limit-requests":"3850","x-ratelimit-limit-tokens":"3850000","x-ratelimit-remaining-requests":"3849","x-ratelimit-remaining-tokens":"3848322","x-ratelimit-renewalperiod-requests":"60","x-ratelimit-renewalperiod-tokens":"60","x-ratelimit-reset-requests":"15","x-ratelimit-reset-tokens":"26","x-request-id":"2a2515a1-8a77-44ef-9389-b4a07144557d"}</t>
        </is>
      </c>
      <c r="N90" t="inlineStr">
        <is>
          <t>MOYAN Retro White Basketball T-Shirt made of soft cotton, featuring “SLAM DUNK MOVE” anime print for youthful sports vibes. Unisex loose fit, stylish and comfy streetwear essential.</t>
        </is>
      </c>
      <c r="O90" t="inlineStr">
        <is>
          <t>{"choices":[{"finish_reason":"stop","index":0,"logprobs":null,"message":{"annotations":[],"content":"MOYAN,T-Shirt,kakobuy,kakebuy2026,kekobuysheet,kakobuysheet2026,2026kakobuy,kakobuyspreadsheeet,kakobuylink,kakebuylist,Kakobuy MEGA Spreadsheet,kakobuysheetfind,kakobuysheetfind2026,2026kakobuysheetfind,kakobuysheet2026","refusal":null,"role":"assistant"}}],"created":1776667653,"id":"chatcmpl-DWchpqQ6l0LN2e7mUxOh8Nk80rzmq","model":"gpt-5-chat-latest","object":"chat.completion","service_tier":"default","system_fingerprint":"fp_ad66631dec","usage":{"completion_tokens":87,"completion_tokens_details":{"accepted_prediction_tokens":0,"audio_tokens":0,"reasoning_tokens":0,"rejected_prediction_tokens":0},"prompt_tokens":782,"prompt_tokens_details":{"audio_tokens":0,"cached_tokens":0},"total_tokens":869}}</t>
        </is>
      </c>
      <c r="P90" t="inlineStr">
        <is>
          <t>MOYAN,T-Shirt,kakobuy,kakebuy2026,kekobuysheet,kakobuysheet2026,2026kakobuy,kakobuyspreadsheeet,kakobuylink,kakebuylist,Kakobuy MEGA Spreadsheet,kakobuysheetfind,kakobuysheetfind2026,2026kakobuysheetfind,kakobuysheet2026</t>
        </is>
      </c>
      <c r="Q90" t="inlineStr">
        <is>
          <t>Retro, White, Anime Style, Streetwear, Unisex</t>
        </is>
      </c>
      <c r="R90" t="inlineStr">
        <is>
          <t>recvh6xFVj2NUx</t>
        </is>
      </c>
      <c r="S90" t="inlineStr">
        <is>
          <t>moyan-slam-dunk-retro-anime-basketball-tshirt-recvh6xFVj2NUx</t>
        </is>
      </c>
      <c r="T90"/>
      <c r="U90"/>
      <c r="V90"/>
      <c r="W90" t="inlineStr">
        <is>
          <t>{"id":"chatcmpl-DWZSZyTKXQgHvsTmOWYGYqcEB2Ks1","object":"chat.completion","created":1776655175,"model":"gpt-5-chat-latest","choices":[{"index":0,"message":{"role":"assistant","content":"复古白色篮球主题短袖T恤，选用柔软纯棉面料，背面印有热血动漫风“SLAM DUNK MOVE”漫画图腾，展现青春运动气息。宽松版型设计兼具舒适与时尚，男女皆宜，街头潮流必备单品。","refusal":null,"annotations":[]},"logprobs":null,"finish_reason":"stop"}],"usage":{"prompt_tokens":1325,"completion_tokens":75,"total_tokens":1400,"prompt_tokens_details":{"cached_tokens":0,"audio_tokens":0},"completion_tokens_details":{"reasoning_tokens":0,"audio_tokens":0,"accepted_prediction_tokens":0,"rejected_prediction_tokens":0}},"service_tier":"default","system_fingerprint":"fp_ad66631dec"}</t>
        </is>
      </c>
      <c r="X90" t="inlineStr">
        <is>
          <t>复古白色篮球主题短袖T恤，选用柔软纯棉面料，背面印有热血动漫风“SLAM DUNK MOVE”漫画图腾，展现青春运动气息。宽松版型设计兼具舒适与时尚，男女皆宜，街头潮流必备单品。</t>
        </is>
      </c>
    </row>
    <row r="91" ht="25.5" customHeight="1">
      <c r="A91">
        <v>1839115443</v>
      </c>
      <c r="B91">
        <v>7693004825</v>
      </c>
      <c r="C91" t="inlineStr">
        <is>
          <t>https://weidian.com/item.html?itemID=7693004825</t>
        </is>
      </c>
      <c r="D91"/>
      <c r="E91" s="2" t="str">
        <f>=HYPERLINK("https://si.geilicdn.com/open1839115443-252808396-1c050000019c50acc2130aa08239_1284_1284.jpg?w=750&amp;h=750&amp;cp=1", "https://si.geilicdn.com/open1839115443-252808396-1c050000019c50acc2130aa08239_1284_1284.jpg?w=750&amp;h=750&amp;cp=1")</f>
        <v>https://si.geilicdn.com/open1839115443-252808396-1c050000019c50acc2130aa08239_1284_1284.jpg?w=750&amp;h=750&amp;cp=1</v>
      </c>
      <c r="F91" t="inlineStr">
        <is>
          <t>T-Shirts</t>
        </is>
      </c>
      <c r="G91" t="inlineStr">
        <is>
          <t>Other</t>
        </is>
      </c>
      <c r="H91" t="inlineStr">
        <is>
          <t>54.00</t>
        </is>
      </c>
      <c r="I91">
        <v>7.83</v>
      </c>
      <c r="J91" t="inlineStr">
        <is>
          <t>{"choices":[{"finish_reason":"stop","index":0,"logprobs":null,"message":{"annotations":[],"content":"SHIBAX Number 7 White Cotton Streetwear T-Shirt","refusal":null,"role":"assistant"}}],"created":1776666009,"id":"chatcmpl-DWcHJPnbKgzT3A4ZMoA72e549Wfj7","model":"gpt-5-chat-latest","object":"chat.completion","service_tier":"default","system_fingerprint":"fp_ad66631dec","usage":{"completion_tokens":13,"completion_tokens_details":{"accepted_prediction_tokens":0,"audio_tokens":0,"reasoning_tokens":0,"rejected_prediction_tokens":0},"prompt_tokens":887,"prompt_tokens_details":{"audio_tokens":0,"cached_tokens":0},"total_tokens":900}}</t>
        </is>
      </c>
      <c r="K91" t="inlineStr">
        <is>
          <t>SHIBAX Number 7 White Cotton Streetwear T-Shirt</t>
        </is>
      </c>
      <c r="L91" t="inlineStr">
        <is>
          <t>{"choices":[{"finish_reason":"stop","index":0,"logprobs":null,"message":{"annotations":[],"content":"SHIBAX White Number 7 T-Shirt, made of soft cotton with a bold back print, blends street sport and casual style. Loose fit for men and women, perfect for daily wear and urban outfits.","refusal":null,"role":"assistant"}}],"created":1776658267,"id":"chatcmpl-DWaGROjQ3aZGIkWKn3W9tuRo1KNwF","model":"gpt-5-chat-latest","object":"chat.completion","service_tier":"default","system_fingerprint":"fp_ad66631dec","usage":{"completion_tokens":43,"completion_tokens_details":{"accepted_prediction_tokens":0,"audio_tokens":0,"reasoning_tokens":0,"rejected_prediction_tokens":0},"prompt_tokens":921,"prompt_tokens_details":{"audio_tokens":0,"cached_tokens":0},"total_tokens":964}}</t>
        </is>
      </c>
      <c r="M91" t="inlineStr">
        <is>
          <t>{"alt-svc":"h3=\":443\"; ma=2592000","apim-request-id":"bfd51f5a-7189-4d7b-af4e-34e869553c00","azureml-model-session":"d20260402083108-57a85543","cache-control":"no-cache","connection":"close","content-length":"771","content-security-policy":"frame-ancestors 'self'","content-type":"application/json","date":"Mon, 20 Apr 2026 04:11:08 GMT","server":"nginx","skip-error-remapping":"true","strict-transport-security":"max-age=31536000; includeSubDomains; preload","via":"1.1 Caddy, 1.1 Caddy","x-api-request-id":"202604201211059813045273rb2NOJy","x-content-type-options":"nosniff","x-frame-options":"SAMEORIGIN","x-ms-client-request-id":"Not-Set","x-ms-is-spilled-over":"false","x-ms-rai-invoked":"true","x-ms-region":"East US 2","x-new-api-version":"0.4.39","x-oneapi-request-id":"202604200411053353228458268d9d6LB42wXMq","x-ratelimit-abusepenalty-active":"False","x-ratelimit-limit-requests":"3850","x-ratelimit-limit-tokens":"3850000","x-ratelimit-remaining-requests":"3849","x-ratelimit-remaining-tokens":"3848317","x-ratelimit-renewalperiod-requests":"60","x-ratelimit-renewalperiod-tokens":"60","x-ratelimit-reset-requests":"15","x-ratelimit-reset-tokens":"26","x-request-id":"62317953-df4a-4412-89df-1285c89a8380"}</t>
        </is>
      </c>
      <c r="N91" t="inlineStr">
        <is>
          <t>SHIBAX White Number 7 T-Shirt, made of soft cotton with a bold back print, blends street sport and casual style. Loose fit for men and women, perfect for daily wear and urban outfits.</t>
        </is>
      </c>
      <c r="O91" t="inlineStr">
        <is>
          <t>{"choices":[{"finish_reason":"stop","index":0,"logprobs":null,"message":{"annotations":[],"content":"18thStreetMenswear,T-Shirts,kakobuy,kakebuy2026,kekobuysheet,kakobuysheet2026,2026kakobuy,kakobuyspreadsheeet,kakobuylink,kakebuylist,Kakobuy MEGA Spreadsheet,kakobuysheetfind,kakobuysheetfind2026,2026kakobuysheetfind,kakobuysheet2026","refusal":null,"role":"assistant"}}],"created":1776667614,"id":"chatcmpl-DWchC2SNeo8hTMWa6dXzgxxqJvYMf","model":"gpt-5-chat-latest","object":"chat.completion","service_tier":"default","system_fingerprint":"fp_ad66631dec","usage":{"completion_tokens":90,"completion_tokens_details":{"accepted_prediction_tokens":0,"audio_tokens":0,"reasoning_tokens":0,"rejected_prediction_tokens":0},"prompt_tokens":782,"prompt_tokens_details":{"audio_tokens":0,"cached_tokens":0},"total_tokens":872}}</t>
        </is>
      </c>
      <c r="P91" t="inlineStr">
        <is>
          <t>18thStreetMenswear,T-Shirts,kakobuy,kakebuy2026,kekobuysheet,kakobuysheet2026,2026kakobuy,kakobuyspreadsheeet,kakobuylink,kakebuylist,Kakobuy MEGA Spreadsheet,kakobuysheetfind,kakobuysheetfind2026,2026kakobuysheetfind,kakobuysheet2026</t>
        </is>
      </c>
      <c r="Q91" t="inlineStr">
        <is>
          <t>White, Unisex, Streetwear</t>
        </is>
      </c>
      <c r="R91" t="inlineStr">
        <is>
          <t>recvh6xFVjCY15</t>
        </is>
      </c>
      <c r="S91" t="inlineStr">
        <is>
          <t>shibax-number-7-white-cotton-streetwear-t-shirt-recvh6xFVjCY15</t>
        </is>
      </c>
      <c r="T91"/>
      <c r="U91"/>
      <c r="V91"/>
      <c r="W91" t="inlineStr">
        <is>
          <t>{"choices":[{"finish_reason":"stop","index":0,"logprobs":null,"message":{"annotations":[],"content":"白色数字系列短袖T恤，精选柔软纯棉面料，背面以醒目的“NUMBER 7”图腾印花为设计亮点，融合街头运动风与休闲美学。版型宽松舒适，男女通穿，彰显青春活力与个性态度，适合日常休闲及都市穿搭。","refusal":null,"role":"assistant"}}],"created":1776656060,"id":"chatcmpl-DWZgqVMUmyza1tOkb6LNK158BHI3V","model":"gpt-5-chat-latest","object":"chat.completion","service_tier":"default","system_fingerprint":"fp_ad66631dec","usage":{"completion_tokens":83,"completion_tokens_details":{"accepted_prediction_tokens":0,"audio_tokens":0,"reasoning_tokens":0,"rejected_prediction_tokens":0},"prompt_tokens":1319,"prompt_tokens_details":{"audio_tokens":0,"cached_tokens":0},"total_tokens":1402}}</t>
        </is>
      </c>
      <c r="X91" t="inlineStr">
        <is>
          <t>白色数字系列短袖T恤，精选柔软纯棉面料，背面以醒目的“NUMBER 7”图腾印花为设计亮点，融合街头运动风与休闲美学。版型宽松舒适，男女通穿，彰显青春活力与个性态度，适合日常休闲及都市穿搭。</t>
        </is>
      </c>
    </row>
    <row r="92" ht="25.5" customHeight="1">
      <c r="A92">
        <v>1839115443</v>
      </c>
      <c r="B92">
        <v>7695965376</v>
      </c>
      <c r="C92" t="inlineStr">
        <is>
          <t>https://weidian.com/item.html?itemID=7695965376</t>
        </is>
      </c>
      <c r="D92"/>
      <c r="E92" s="2" t="str">
        <f>=HYPERLINK("https://si.geilicdn.com/open1839115443-252808396-1ad50000019c50aaa2ac0a231226_800_800.jpg?w=750&amp;h=750&amp;cp=1", "https://si.geilicdn.com/open1839115443-252808396-1ad50000019c50aaa2ac0a231226_800_800.jpg?w=750&amp;h=750&amp;cp=1")</f>
        <v>https://si.geilicdn.com/open1839115443-252808396-1ad50000019c50aaa2ac0a231226_800_800.jpg?w=750&amp;h=750&amp;cp=1</v>
      </c>
      <c r="F92" t="inlineStr">
        <is>
          <t>T-Shirts</t>
        </is>
      </c>
      <c r="G92" t="inlineStr">
        <is>
          <t>Other</t>
        </is>
      </c>
      <c r="H92" t="inlineStr">
        <is>
          <t>54.00</t>
        </is>
      </c>
      <c r="I92">
        <v>7.83</v>
      </c>
      <c r="J92" t="inlineStr">
        <is>
          <t>{"id":"chatcmpl-DWcQLICwYT2Klwa6HdgUWliIZCgxL","object":"chat.completion","created":1776666569,"model":"gpt-5-chat-latest","choices":[{"index":0,"message":{"role":"assistant","content":"Black Smile Face “Good” Cotton Unisex Casual T-Shirt","refusal":null,"annotations":[]},"logprobs":null,"finish_reason":"stop"}],"usage":{"prompt_tokens":871,"completion_tokens":13,"total_tokens":884,"prompt_tokens_details":{"cached_tokens":0,"audio_tokens":0},"completion_tokens_details":{"reasoning_tokens":0,"audio_tokens":0,"accepted_prediction_tokens":0,"rejected_prediction_tokens":0}},"service_tier":"default","system_fingerprint":"fp_ad66631dec"}</t>
        </is>
      </c>
      <c r="K92" t="inlineStr">
        <is>
          <t>Black Smile Face “Good” Cotton Unisex Casual T-Shirt</t>
        </is>
      </c>
      <c r="L92" t="inlineStr">
        <is>
          <t>{"choices":[{"finish_reason":"stop","index":0,"logprobs":null,"message":{"annotations":[],"content":"T-ShirtsOther black minimalist smile face T-shirt with yellow “Good” print, made of soft breathable cotton. Unisex loose fit for street casual style and positive vibes.","refusal":null,"role":"assistant"}}],"created":1776659161,"id":"chatcmpl-DWaUrM7zKMr7qcZe8UOijjdhVElxU","model":"gpt-5-chat-latest","object":"chat.completion","service_tier":"default","system_fingerprint":"fp_ad66631dec","usage":{"completion_tokens":35,"completion_tokens_details":{"accepted_prediction_tokens":0,"audio_tokens":0,"reasoning_tokens":0,"rejected_prediction_tokens":0},"prompt_tokens":917,"prompt_tokens_details":{"audio_tokens":0,"cached_tokens":0},"total_tokens":952}}</t>
        </is>
      </c>
      <c r="M92" t="inlineStr">
        <is>
          <t>{"alt-svc":"h3=\":443\"; ma=2592000","apim-request-id":"750f3bc1-da17-497a-9278-935ae824d7e8","azureml-model-session":"d20260405234249-f9874baf","cache-control":"no-cache","connection":"close","content-length":"760","content-security-policy":"frame-ancestors 'self'","content-type":"application/json","date":"Mon, 20 Apr 2026 04:26:02 GMT","server":"nginx","skip-error-remapping":"true","strict-transport-security":"max-age=31536000; includeSubDomains; preload","via":"1.1 Caddy, 1.1 Caddy","x-api-request-id":"20260420122600380698491koQ7F29j","x-content-type-options":"nosniff","x-frame-options":"SAMEORIGIN","x-ms-client-request-id":"Not-Set","x-ms-is-spilled-over":"false","x-ms-rai-invoked":"true","x-ms-region":"East US 2","x-new-api-version":"0.4.39","x-oneapi-request-id":"202604200426003126874788268d9d6ejAR0REr","x-ratelimit-abusepenalty-active":"False","x-ratelimit-limit-requests":"3850","x-ratelimit-limit-tokens":"3850000","x-ratelimit-remaining-requests":"3849","x-ratelimit-remaining-tokens":"3848321","x-ratelimit-renewalperiod-requests":"60","x-ratelimit-renewalperiod-tokens":"60","x-ratelimit-reset-requests":"15","x-ratelimit-reset-tokens":"26","x-request-id":"9ffca646-ee62-435e-ad86-4253314c0cec"}</t>
        </is>
      </c>
      <c r="N92" t="inlineStr">
        <is>
          <t>T-ShirtsOther black minimalist smile face T-shirt with yellow “Good” print, made of soft breathable cotton. Unisex loose fit for street casual style and positive vibes.</t>
        </is>
      </c>
      <c r="O92" t="inlineStr">
        <is>
          <t>{"choices":[{"finish_reason":"stop","index":0,"logprobs":null,"message":{"annotations":[],"content":"Good, T-Shirts, kakobuy, kakebuy2026, kekobuysheet, kakobuysheet2026, 2026kakobuy, kakobuyspreadsheeet, kakobuylink, kakebuylist, Kakobuy MEGA Spreadsheet, kakobuysheetfind, kakobuysheetfind2026, 2026kakobuysheetfind, kakobuysheet2026","refusal":null,"role":"assistant"}}],"created":1776668447,"id":"chatcmpl-DWcudqRhlbueNcsMFb3UQ5c1KydEJ","model":"gpt-5-chat-latest","object":"chat.completion","service_tier":"default","system_fingerprint":"fp_ad66631dec","usage":{"completion_tokens":91,"completion_tokens_details":{"accepted_prediction_tokens":0,"audio_tokens":0,"reasoning_tokens":0,"rejected_prediction_tokens":0},"prompt_tokens":782,"prompt_tokens_details":{"audio_tokens":0,"cached_tokens":0},"total_tokens":873}}</t>
        </is>
      </c>
      <c r="P92" t="inlineStr">
        <is>
          <t>Good, T-Shirts, kakobuy, kakebuy2026, kekobuysheet, kakobuysheet2026, 2026kakobuy, kakobuyspreadsheeet, kakobuylink, kakebuylist, Kakobuy MEGA Spreadsheet, kakobuysheetfind, kakobuysheetfind2026, 2026kakobuysheetfind, kakobuysheet2026</t>
        </is>
      </c>
      <c r="Q92" t="inlineStr">
        <is>
          <t>Black, Minimalist, Street, Breathable, Unisex</t>
        </is>
      </c>
      <c r="R92" t="inlineStr">
        <is>
          <t>recvh6xFVjIZlO</t>
        </is>
      </c>
      <c r="S92" t="inlineStr">
        <is>
          <t>black-smile-face-cotton-tshirt-recvh6xFVjIZlO</t>
        </is>
      </c>
      <c r="T92"/>
      <c r="U92"/>
      <c r="V92"/>
      <c r="W92" t="inlineStr">
        <is>
          <t>{"choices":[{"finish_reason":"stop","index":0,"logprobs":null,"message":{"annotations":[],"content":"黑色简约笑脸系列T恤，黄字“Good”印花搭配微笑图腾，彰显积极生活态度。精选柔软纯棉材质，舒适透气，适合男女日常穿搭。宽松版型设计，展现街头休闲风格，轻松打造青春感时尚造型。","refusal":null,"role":"assistant"}}],"created":1776655500,"id":"chatcmpl-DWZXokiAGCZlZjI8fhA3QHQ99WG7M","model":"gpt-5-chat-latest","object":"chat.completion","service_tier":"default","system_fingerprint":"fp_ad66631dec","usage":{"completion_tokens":80,"completion_tokens_details":{"accepted_prediction_tokens":0,"audio_tokens":0,"reasoning_tokens":0,"rejected_prediction_tokens":0},"prompt_tokens":1317,"prompt_tokens_details":{"audio_tokens":0,"cached_tokens":0},"total_tokens":1397}}</t>
        </is>
      </c>
      <c r="X92" t="inlineStr">
        <is>
          <t>黑色简约笑脸系列T恤，黄字“Good”印花搭配微笑图腾，彰显积极生活态度。精选柔软纯棉材质，舒适透气，适合男女日常穿搭。宽松版型设计，展现街头休闲风格，轻松打造青春感时尚造型。</t>
        </is>
      </c>
    </row>
    <row r="93" ht="25.5" customHeight="1">
      <c r="A93">
        <v>1839115443</v>
      </c>
      <c r="B93">
        <v>7696040024</v>
      </c>
      <c r="C93" t="inlineStr">
        <is>
          <t>https://weidian.com/item.html?itemID=7696040024</t>
        </is>
      </c>
      <c r="D93"/>
      <c r="E93" s="2" t="str">
        <f>=HYPERLINK("https://si.geilicdn.com/open1839115443-252808396-17bf0000019c50a2721b0a23b491_800_800.jpg?w=750&amp;h=750&amp;cp=1", "https://si.geilicdn.com/open1839115443-252808396-17bf0000019c50a2721b0a23b491_800_800.jpg?w=750&amp;h=750&amp;cp=1")</f>
        <v>https://si.geilicdn.com/open1839115443-252808396-17bf0000019c50a2721b0a23b491_800_800.jpg?w=750&amp;h=750&amp;cp=1</v>
      </c>
      <c r="F93" t="inlineStr">
        <is>
          <t>T-Shirts</t>
        </is>
      </c>
      <c r="G93" t="inlineStr">
        <is>
          <t>Other</t>
        </is>
      </c>
      <c r="H93" t="inlineStr">
        <is>
          <t>54.00</t>
        </is>
      </c>
      <c r="I93">
        <v>7.83</v>
      </c>
      <c r="J93" t="inlineStr">
        <is>
          <t>{"choices":[{"finish_reason":"stop","index":0,"logprobs":null,"message":{"annotations":[],"content":"Brand R Black Camo Logo Sleeveless Cotton T-Shirt","refusal":null,"role":"assistant"}}],"created":1776666940,"id":"chatcmpl-DWcWKC1hcjfZ976zuZ2nYRvc4a4Za","model":"gpt-5-chat-latest","object":"chat.completion","service_tier":"default","system_fingerprint":"fp_ad66631dec","usage":{"completion_tokens":12,"completion_tokens_details":{"accepted_prediction_tokens":0,"audio_tokens":0,"reasoning_tokens":0,"rejected_prediction_tokens":0},"prompt_tokens":875,"prompt_tokens_details":{"audio_tokens":0,"cached_tokens":0},"total_tokens":887}}</t>
        </is>
      </c>
      <c r="K93" t="inlineStr">
        <is>
          <t>Brand R Black Camo Logo Sleeveless Cotton T-Shirt</t>
        </is>
      </c>
      <c r="L93" t="inlineStr">
        <is>
          <t>{"id":"chatcmpl-DWaN6Yv3d1gU3mtjOolTiMzKBCsP2","object":"chat.completion","created":1776658680,"model":"gpt-5-chat-latest","choices":[{"index":0,"message":{"role":"assistant","content":"Brand R Black Sleeveless Cotton T-Shirt, soft and breathable. Features a camo square logo print, unisex loose fit for street style, daily casual or summer sports wear.","refusal":null,"annotations":[]},"logprobs":null,"finish_reason":"stop"}],"usage":{"prompt_tokens":933,"completion_tokens":37,"total_tokens":970,"prompt_tokens_details":{"cached_tokens":0,"audio_tokens":0},"completion_tokens_details":{"reasoning_tokens":0,"audio_tokens":0,"accepted_prediction_tokens":0,"rejected_prediction_tokens":0}},"service_tier":"default","system_fingerprint":"fp_ad66631dec"}</t>
        </is>
      </c>
      <c r="M93"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ma=2592000","apim-request-id":"727d0840-cf08-4f98-a22c-1fe4e0add893","azureml-model-session":"d20260402075109-1fc5a0ec","cache-control":"no-cache, no-store, must-revalidate","connection":"close","content-length":"971","content-security-policy":"frame-ancestors 'self'","content-type":"application/json","date":"Mon, 20 Apr 2026 04:18:02 GMT","server":"Caddy","skip-error-remapping":"true","strict-transport-security":"max-age=31536000; includeSubDomains; preload","via":"1.1 Caddy","x-api-request-id":"20260420121758880202410P3ZyhMUM","x-content-type-options":"nosniff","x-frame-options":"SAMEORIGIN","x-ms-is-spilled-over":"false","x-ms-rai-invoked":"false","x-ms-region":"Sweden Central","x-new-api-version":"0.4.39","x-oneapi-request-id":"202604200417588143538298268d9d6rXxXGhOw","x-ratelimit-abusepenalty-active":"False","x-ratelimit-limit-requests":"4993","x-ratelimit-limit-tokens":"4993000","x-ratelimit-remaining-requests":"4992","x-ratelimit-remaining-tokens":"4991305","x-ratelimit-renewalperiod-requests":"60","x-ratelimit-renewalperiod-tokens":"60","x-ratelimit-reset-requests":"12","x-ratelimit-reset-tokens":"20","x-request-id":"385bd99d-7b34-461a-9cde-e7febe119c94"}</t>
        </is>
      </c>
      <c r="N93" t="inlineStr">
        <is>
          <t>Brand R Black Sleeveless Cotton T-Shirt, soft and breathable. Features a camo square logo print, unisex loose fit for street style, daily casual or summer sports wear.</t>
        </is>
      </c>
      <c r="O93" t="inlineStr">
        <is>
          <t>{"id":"chatcmpl-DWcYohQXZyxYXINqicfn6xjFutG0Z","object":"chat.completion","created":1776667094,"model":"gpt-5-chat-latest","choices":[{"index":0,"message":{"role":"assistant","content":"R,T-Shirt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86,"total_tokens":868,"prompt_tokens_details":{"cached_tokens":0,"audio_tokens":0},"completion_tokens_details":{"reasoning_tokens":0,"audio_tokens":0,"accepted_prediction_tokens":0,"rejected_prediction_tokens":0}},"service_tier":"default","system_fingerprint":"fp_ad66631dec"}</t>
        </is>
      </c>
      <c r="P93" t="inlineStr">
        <is>
          <t>R,T-Shirts,kakobuy,kakebuy2026,kekobuysheet,kakobuysheet2026,2026kakobuy,kakobuyspreadsheeet,kakobuylink,kakebuylist,Kakobuy MEGA Spreadsheet,kakobuysheetfind,kakobuysheetfind2026,2026kakobuysheetfind,kakobuysheet2026</t>
        </is>
      </c>
      <c r="Q93" t="inlineStr">
        <is>
          <t>Camouflage, Streetwear, Summer, Unisex</t>
        </is>
      </c>
      <c r="R93" t="inlineStr">
        <is>
          <t>recvh6xFVjc9cg</t>
        </is>
      </c>
      <c r="S93" t="inlineStr">
        <is>
          <t>brand-r-black-camo-logo-sleeveless-cotton-t-shirt-recvh6xfvjc9cg</t>
        </is>
      </c>
      <c r="T93"/>
      <c r="U93"/>
      <c r="V93"/>
      <c r="W93" t="inlineStr">
        <is>
          <t>{"choices":[{"finish_reason":"stop","index":0,"logprobs":null,"message":{"annotations":[],"content":"黑色休闲无袖T恤，选用高品质纯棉面料，柔软透气。胸前方形徽标印花以迷彩图案衬底融合字母设计，简约又不失个性。宽松剪裁适合男女通穿，街头潮流风格，彰显时尚态度与自由精神，适配日常休闲与夏季运动穿搭。","refusal":null,"role":"assistant"}}],"created":1776656087,"id":"chatcmpl-DWZhHSskHIfDx4YfrKq0EtqveBcze","model":"gpt-5-chat-latest","object":"chat.completion","service_tier":"default","system_fingerprint":"fp_ad66631dec","usage":{"completion_tokens":94,"completion_tokens_details":{"accepted_prediction_tokens":0,"audio_tokens":0,"reasoning_tokens":0,"rejected_prediction_tokens":0},"prompt_tokens":1321,"prompt_tokens_details":{"audio_tokens":0,"cached_tokens":1280},"total_tokens":1415}}</t>
        </is>
      </c>
      <c r="X93" t="inlineStr">
        <is>
          <t>黑色休闲无袖T恤，选用高品质纯棉面料，柔软透气。胸前方形徽标印花以迷彩图案衬底融合字母设计，简约又不失个性。宽松剪裁适合男女通穿，街头潮流风格，彰显时尚态度与自由精神，适配日常休闲与夏季运动穿搭。</t>
        </is>
      </c>
    </row>
    <row r="94" ht="25.5" customHeight="1">
      <c r="A94">
        <v>1839115443</v>
      </c>
      <c r="B94">
        <v>7695996526</v>
      </c>
      <c r="C94" t="inlineStr">
        <is>
          <t>https://weidian.com/item.html?itemID=7695996526</t>
        </is>
      </c>
      <c r="D94"/>
      <c r="E94" s="2" t="str">
        <f>=HYPERLINK("https://si.geilicdn.com/open1839115443-252808396-17b50000019c509ebe430aa08239_1200_1200.jpg?w=750&amp;h=750&amp;cp=1", "https://si.geilicdn.com/open1839115443-252808396-17b50000019c509ebe430aa08239_1200_1200.jpg?w=750&amp;h=750&amp;cp=1")</f>
        <v>https://si.geilicdn.com/open1839115443-252808396-17b50000019c509ebe430aa08239_1200_1200.jpg?w=750&amp;h=750&amp;cp=1</v>
      </c>
      <c r="F94" t="inlineStr">
        <is>
          <t>T-Shirts</t>
        </is>
      </c>
      <c r="G94" t="inlineStr">
        <is>
          <t>Other</t>
        </is>
      </c>
      <c r="H94" t="inlineStr">
        <is>
          <t>54.00</t>
        </is>
      </c>
      <c r="I94">
        <v>7.83</v>
      </c>
      <c r="J94" t="inlineStr">
        <is>
          <t>{"choices":[{"finish_reason":"stop","index":0,"logprobs":null,"message":{"annotations":[],"content":"ShibaSpring White Cat Graphic Cotton T-Shirt","refusal":null,"role":"assistant"}}],"created":1776666729,"id":"chatcmpl-DWcSvKY1rWqMVGUTdDOYjDqohFoFI","model":"gpt-5-chat-latest","object":"chat.completion","service_tier":"default","system_fingerprint":"fp_ad66631dec","usage":{"completion_tokens":10,"completion_tokens_details":{"accepted_prediction_tokens":0,"audio_tokens":0,"reasoning_tokens":0,"rejected_prediction_tokens":0},"prompt_tokens":869,"prompt_tokens_details":{"audio_tokens":0,"cached_tokens":0},"total_tokens":879}}</t>
        </is>
      </c>
      <c r="K94" t="inlineStr">
        <is>
          <t>ShibaSpring White Cat Graphic Cotton T-Shirt</t>
        </is>
      </c>
      <c r="L94" t="inlineStr">
        <is>
          <t>{"choices":[{"finish_reason":"stop","index":0,"logprobs":null,"message":{"annotations":[],"content":"ShibaSpring White Casual Loose Cotton T-Shirt featuring playful cat graphic, unisex streetwear style, soft breathable fabric for trendy youthful look, perfect for everyday wear.","refusal":null,"role":"assistant"}}],"created":1776658616,"id":"chatcmpl-DWaM4Bju1zQnS8DV6wTRRjmN0YZYD","model":"gpt-5-chat-latest","object":"chat.completion","service_tier":"default","system_fingerprint":"fp_ad66631dec","usage":{"completion_tokens":34,"completion_tokens_details":{"accepted_prediction_tokens":0,"audio_tokens":0,"reasoning_tokens":0,"rejected_prediction_tokens":0},"prompt_tokens":891,"prompt_tokens_details":{"audio_tokens":0,"cached_tokens":0},"total_tokens":925}}</t>
        </is>
      </c>
      <c r="M94" t="inlineStr">
        <is>
          <t>{"alt-svc":"h3=\":443\"; ma=2592000","apim-request-id":"1de700f8-a553-4749-88ed-1aded6776a30","azureml-model-session":"d20260405225800-40f19e54","cache-control":"no-cache","connection":"close","content-length":"765","content-security-policy":"frame-ancestors 'self'","content-type":"application/json","date":"Mon, 20 Apr 2026 04:16:57 GMT","server":"Caddy","skip-error-remapping":"true","strict-transport-security":"max-age=31536000; includeSubDomains; preload","via":"1.1 Caddy","x-api-request-id":"20260420121655153507949pdLjIVhA","x-content-type-options":"nosniff","x-frame-options":"SAMEORIGIN","x-ms-client-request-id":"Not-Set","x-ms-is-spilled-over":"false","x-ms-rai-invoked":"true","x-ms-region":"East US 2","x-new-api-version":"0.4.39","x-oneapi-request-id":"20260420041655208314868268d9d6c4cCbkHJ","x-ratelimit-abusepenalty-active":"False","x-ratelimit-limit-requests":"3850","x-ratelimit-limit-tokens":"3850000","x-ratelimit-remaining-requests":"3849","x-ratelimit-remaining-tokens":"3848347","x-ratelimit-renewalperiod-requests":"60","x-ratelimit-renewalperiod-tokens":"60","x-ratelimit-reset-requests":"15","x-ratelimit-reset-tokens":"25","x-request-id":"165684fe-de69-4f02-a9f6-b2907a7fbe94"}</t>
        </is>
      </c>
      <c r="N94" t="inlineStr">
        <is>
          <t>ShibaSpring White Casual Loose Cotton T-Shirt featuring playful cat graphic, unisex streetwear style, soft breathable fabric for trendy youthful look, perfect for everyday wear.</t>
        </is>
      </c>
      <c r="O94" t="inlineStr">
        <is>
          <t>{"choices":[{"finish_reason":"stop","index":0,"logprobs":null,"message":{"annotations":[],"content":"Shibashi Menswear,T-Shirts,kakobuy,kakebuy2026,kekobuysheet,kakobuysheet2026,2026kakobuy,kakobuyspreadsheeet,kakobuylink,kakebuylist,Kakobuy MEGA Spreadsheet,kakobuysheetfind,kakobuysheetfind2026,2026kakobuysheetfind,kakobuysheet2026","refusal":null,"role":"assistant"}}],"created":1776668755,"id":"chatcmpl-DWczbSugNjSDjHdRTnYXeqvMaJWQ0","model":"gpt-5-chat-latest","object":"chat.completion","service_tier":"default","system_fingerprint":"fp_ad66631dec","usage":{"completion_tokens":90,"completion_tokens_details":{"accepted_prediction_tokens":0,"audio_tokens":0,"reasoning_tokens":0,"rejected_prediction_tokens":0},"prompt_tokens":782,"prompt_tokens_details":{"audio_tokens":0,"cached_tokens":0},"total_tokens":872}}</t>
        </is>
      </c>
      <c r="P94" t="inlineStr">
        <is>
          <t>Shibashi Menswear,T-Shirts,kakobuy,kakebuy2026,kekobuysheet,kakobuysheet2026,2026kakobuy,kakobuyspreadsheeet,kakobuylink,kakebuylist,Kakobuy MEGA Spreadsheet,kakobuysheetfind,kakobuysheetfind2026,2026kakobuysheetfind,kakobuysheet2026</t>
        </is>
      </c>
      <c r="Q94" t="inlineStr">
        <is>
          <t>White, Streetwear, Unisex, Youth</t>
        </is>
      </c>
      <c r="R94" t="inlineStr">
        <is>
          <t>recvh6xFVjfCAb</t>
        </is>
      </c>
      <c r="S94" t="inlineStr">
        <is>
          <t>shiba-spring-white-cat-graphic-cotton-recvh6xfvjfcab</t>
        </is>
      </c>
      <c r="T94"/>
      <c r="U94"/>
      <c r="V94"/>
      <c r="W94" t="inlineStr">
        <is>
          <t>{"id":"chatcmpl-DWZOsCQdAiQgtyRvGmCbeSTpdchiu","object":"chat.completion","created":1776654946,"model":"gpt-5-chat-latest","choices":[{"index":0,"message":{"role":"assistant","content":"白色休闲系列宽松短袖T恤，柔软纯棉材质，正面俏皮猫咪图腾设计，街头休闲风格，男女皆宜，轻松展现青春时尚态度。","refusal":null,"annotations":[]},"logprobs":null,"finish_reason":"stop"}],"usage":{"prompt_tokens":1317,"completion_tokens":54,"total_tokens":1371,"prompt_tokens_details":{"cached_tokens":0,"audio_tokens":0},"completion_tokens_details":{"reasoning_tokens":0,"audio_tokens":0,"accepted_prediction_tokens":0,"rejected_prediction_tokens":0}},"service_tier":"default","system_fingerprint":"fp_ad66631dec"}</t>
        </is>
      </c>
      <c r="X94" t="inlineStr">
        <is>
          <t>白色休闲系列宽松短袖T恤，柔软纯棉材质，正面俏皮猫咪图腾设计，街头休闲风格，男女皆宜，轻松展现青春时尚态度。</t>
        </is>
      </c>
    </row>
    <row r="95" ht="25.5" customHeight="1">
      <c r="A95">
        <v>1839115443</v>
      </c>
      <c r="B95">
        <v>7693028299</v>
      </c>
      <c r="C95" t="inlineStr">
        <is>
          <t>https://weidian.com/item.html?itemID=7693028299</t>
        </is>
      </c>
      <c r="D95"/>
      <c r="E95" s="2" t="str">
        <f>=HYPERLINK("https://si.geilicdn.com/open1839115443-252808396-01720000019c5099ea6f0a8133b0_1000_1000.jpg?w=750&amp;h=750&amp;cp=1", "https://si.geilicdn.com/open1839115443-252808396-01720000019c5099ea6f0a8133b0_1000_1000.jpg?w=750&amp;h=750&amp;cp=1")</f>
        <v>https://si.geilicdn.com/open1839115443-252808396-01720000019c5099ea6f0a8133b0_1000_1000.jpg?w=750&amp;h=750&amp;cp=1</v>
      </c>
      <c r="F95" t="inlineStr">
        <is>
          <t>T-Shirts</t>
        </is>
      </c>
      <c r="G95" t="inlineStr">
        <is>
          <t>Other</t>
        </is>
      </c>
      <c r="H95" t="inlineStr">
        <is>
          <t>54.00</t>
        </is>
      </c>
      <c r="I95">
        <v>7.83</v>
      </c>
      <c r="J95" t="inlineStr">
        <is>
          <t>{"choices":[{"content_filter_result":{"error":{"code":"content_filter_error","message":"The contents are not filtered"}},"finish_reason":"stop","index":0,"logprobs":null,"message":{"annotations":[],"content":"ANDIYX Vintage College Graphic White Cotton T-Shirt","refusal":null,"role":"assistant"}}],"created":1776666435,"id":"chatcmpl-DWcOBDgB48NyjUR6xWCjvG4V6gb68","model":"gpt-5-chat-latest","object":"chat.completion","service_tier":"default","system_fingerprint":"fp_ad66631dec","usage":{"completion_tokens":11,"completion_tokens_details":{"accepted_prediction_tokens":0,"audio_tokens":0,"reasoning_tokens":0,"rejected_prediction_tokens":0},"prompt_tokens":883,"prompt_tokens_details":{"audio_tokens":0,"cached_tokens":0},"total_tokens":894}}</t>
        </is>
      </c>
      <c r="K95" t="inlineStr">
        <is>
          <t>ANDIYX Vintage College Graphic White Cotton T-Shirt</t>
        </is>
      </c>
      <c r="L95" t="inlineStr">
        <is>
          <t>{"id":"chatcmpl-DWaTZ73wM4deDfic6WaUbG9QSrp5b","object":"chat.completion","created":1776659081,"model":"gpt-5-chat-latest","choices":[{"index":0,"message":{"role":"assistant","content":"ANDIYX Vintage College Style White Printed T-Shirt, made of soft cotton, features multi-badge letter graphics on the back. Unisex, breathable, and perfect for trendy American casual streetwear.","refusal":null,"annotations":[]},"logprobs":null,"finish_reason":"stop"}],"usage":{"prompt_tokens":901,"completion_tokens":41,"total_tokens":942,"prompt_tokens_details":{"cached_tokens":0,"audio_tokens":0},"completion_tokens_details":{"reasoning_tokens":0,"audio_tokens":0,"accepted_prediction_tokens":0,"rejected_prediction_tokens":0}},"service_tier":"default","system_fingerprint":"fp_ad66631dec"}</t>
        </is>
      </c>
      <c r="M95"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ma=2592000","apim-request-id":"91fd080f-724b-4c56-ac6a-15bd8b6d2714","azureml-model-session":"d20260402075109-1fc5a0ec","cache-control":"no-cache, no-store, must-revalidate","connection":"close","content-length":"997","content-security-policy":"frame-ancestors 'self'","content-type":"application/json","date":"Mon, 20 Apr 2026 04:24:42 GMT","server":"nginx","skip-error-remapping":"true","strict-transport-security":"max-age=31536000; includeSubDomains; preload","via":"1.1 Caddy, 1.1 Caddy","x-api-request-id":"20260420122440713941447Qyynhpmj","x-content-type-options":"nosniff","x-frame-options":"SAMEORIGIN","x-ms-is-spilled-over":"false","x-ms-rai-invoked":"false","x-ms-region":"East US 2","x-new-api-version":"0.4.39","x-oneapi-request-id":"202604200424406468758478268d9d6uGp5oDcu","x-ratelimit-abusepenalty-active":"False","x-ratelimit-limit-requests":"4994","x-ratelimit-limit-tokens":"4994000","x-ratelimit-remaining-requests":"4993","x-ratelimit-remaining-tokens":"4992337","x-ratelimit-renewalperiod-requests":"60","x-ratelimit-renewalperiod-tokens":"60","x-ratelimit-reset-requests":"12","x-ratelimit-reset-tokens":"19","x-request-id":"f3a700ec-7969-4408-a1ec-5b0382a9b8c3"}</t>
        </is>
      </c>
      <c r="N95" t="inlineStr">
        <is>
          <t>ANDIYX Vintage College Style White Printed T-Shirt, made of soft cotton, features multi-badge letter graphics on the back. Unisex, breathable, and perfect for trendy American casual streetwear.</t>
        </is>
      </c>
      <c r="O95" t="inlineStr">
        <is>
          <t>{"choices":[{"finish_reason":"stop","index":0,"logprobs":null,"message":{"annotations":[],"content":"ANDIYX,T-Shirts,kakobuy,kakebuy2026,kekobuysheet,kakobuysheet2026,2026kakobuy,kakobuyspreadsheeet,kakobuylink,kakebuylist,Kakobuy MEGA Spreadsheet,kakobuysheetfind,kakobuysheetfind2026,2026kakobuysheetfind,kakobuysheet2026","refusal":null,"role":"assistant"}}],"created":1776667347,"id":"chatcmpl-DWcctn032NMqih9U8mHTaHTtWxNlC","model":"gpt-5-chat-latest","object":"chat.completion","service_tier":"default","system_fingerprint":"fp_ad66631dec","usage":{"completion_tokens":88,"completion_tokens_details":{"accepted_prediction_tokens":0,"audio_tokens":0,"reasoning_tokens":0,"rejected_prediction_tokens":0},"prompt_tokens":782,"prompt_tokens_details":{"audio_tokens":0,"cached_tokens":0},"total_tokens":870}}</t>
        </is>
      </c>
      <c r="P95" t="inlineStr">
        <is>
          <t>ANDIYX,T-Shirts,kakobuy,kakebuy2026,kekobuysheet,kakobuysheet2026,2026kakobuy,kakobuyspreadsheeet,kakobuylink,kakebuylist,Kakobuy MEGA Spreadsheet,kakobuysheetfind,kakobuysheetfind2026,2026kakobuysheetfind,kakobuysheet2026</t>
        </is>
      </c>
      <c r="Q95" t="inlineStr">
        <is>
          <t>Unisex, Breathable, Streetwear, White</t>
        </is>
      </c>
      <c r="R95" t="inlineStr">
        <is>
          <t>recvh6xFVjG3MR</t>
        </is>
      </c>
      <c r="S95" t="inlineStr">
        <is>
          <t>andiix-vintage-college-graphic-white-cotton-tshirt-recvh6xFVjG3MR</t>
        </is>
      </c>
      <c r="T95"/>
      <c r="U95"/>
      <c r="V95"/>
      <c r="W95" t="inlineStr">
        <is>
          <t>{"id":"chatcmpl-DWZdHX651YmFlJ4OLOgmQ2Xxux75U","object":"chat.completion","created":1776655839,"model":"gpt-5-chat-latest","choices":[{"index":0,"message":{"role":"assistant","content":"复古学院风白色印花T恤，采用柔软纯棉面料，背面多徽章字母图腾设计，舒适透气，男女通用，展现美式休闲潮流格调，日常出街百搭。","refusal":null,"annotations":[]},"logprobs":null,"finish_reason":"stop"}],"usage":{"prompt_tokens":1325,"completion_tokens":60,"total_tokens":1385,"prompt_tokens_details":{"cached_tokens":0,"audio_tokens":0},"completion_tokens_details":{"reasoning_tokens":0,"audio_tokens":0,"accepted_prediction_tokens":0,"rejected_prediction_tokens":0}},"service_tier":"default","system_fingerprint":"fp_ad66631dec"}</t>
        </is>
      </c>
      <c r="X95" t="inlineStr">
        <is>
          <t>复古学院风白色印花T恤，采用柔软纯棉面料，背面多徽章字母图腾设计，舒适透气，男女通用，展现美式休闲潮流格调，日常出街百搭。</t>
        </is>
      </c>
    </row>
    <row r="96" ht="25.5" customHeight="1">
      <c r="A96">
        <v>1839115443</v>
      </c>
      <c r="B96">
        <v>7692721629</v>
      </c>
      <c r="C96" t="inlineStr">
        <is>
          <t>https://weidian.com/item.html?itemID=7692721629</t>
        </is>
      </c>
      <c r="D96"/>
      <c r="E96" s="2" t="str">
        <f>=HYPERLINK("https://si.geilicdn.com/open1839115443-252808396-719d0000019c4fde3c330a22d249_800_800.jpg?w=750&amp;h=750&amp;cp=1", "https://si.geilicdn.com/open1839115443-252808396-719d0000019c4fde3c330a22d249_800_800.jpg?w=750&amp;h=750&amp;cp=1")</f>
        <v>https://si.geilicdn.com/open1839115443-252808396-719d0000019c4fde3c330a22d249_800_800.jpg?w=750&amp;h=750&amp;cp=1</v>
      </c>
      <c r="F96" t="inlineStr">
        <is>
          <t>T-Shirts</t>
        </is>
      </c>
      <c r="G96" t="inlineStr">
        <is>
          <t>Other</t>
        </is>
      </c>
      <c r="H96" t="inlineStr">
        <is>
          <t>54.00</t>
        </is>
      </c>
      <c r="I96">
        <v>7.83</v>
      </c>
      <c r="J96" t="inlineStr">
        <is>
          <t>{"choices":[{"finish_reason":"stop","index":0,"logprobs":null,"message":{"annotations":[],"content":"DESSO CLUB Mountain Floral White Cotton T-Shirt","refusal":null,"role":"assistant"}}],"created":1776665661,"id":"chatcmpl-DWcBhquF2rDUoJcF9tvDDiw7l8ynM","model":"gpt-5-chat-latest","object":"chat.completion","service_tier":"default","system_fingerprint":"fp_ad66631dec","usage":{"completion_tokens":11,"completion_tokens_details":{"accepted_prediction_tokens":0,"audio_tokens":0,"reasoning_tokens":0,"rejected_prediction_tokens":0},"prompt_tokens":871,"prompt_tokens_details":{"audio_tokens":0,"cached_tokens":0},"total_tokens":882}}</t>
        </is>
      </c>
      <c r="K96" t="inlineStr">
        <is>
          <t>DESSO CLUB Mountain Floral White Cotton T-Shirt</t>
        </is>
      </c>
      <c r="L96" t="inlineStr">
        <is>
          <t>{"id":"chatcmpl-DWaUftVwkJgyChAEgfchJ2yzrLXjv","object":"chat.completion","created":1776659149,"model":"gpt-5-chat-latest","choices":[{"index":0,"message":{"role":"assistant","content":"DESSO CLUB white cotton graphic tee with mountain and floral print, unisex loose fit for casual streetwear, soft breathable fabric, blends summer freshness with artistic style.","refusal":null,"annotations":[]},"logprobs":null,"finish_reason":"stop"}],"usage":{"prompt_tokens":912,"completion_tokens":35,"total_tokens":947,"prompt_tokens_details":{"cached_tokens":0,"audio_tokens":0},"completion_tokens_details":{"reasoning_tokens":0,"audio_tokens":0,"accepted_prediction_tokens":0,"rejected_prediction_tokens":0}},"service_tier":"default","system_fingerprint":"fp_ad66631dec"}</t>
        </is>
      </c>
      <c r="M96"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ma=2592000","apim-request-id":"f925154d-9934-43bd-b00d-9cdc245eedf5","azureml-model-session":"d20260405234249-f9874baf","cache-control":"no-cache, no-store, must-revalidate","connection":"close","content-length":"980","content-security-policy":"frame-ancestors 'self'","content-type":"application/json","date":"Mon, 20 Apr 2026 04:25:51 GMT","server":"Caddy","skip-error-remapping":"true","strict-transport-security":"max-age=31536000; includeSubDomains; preload","via":"1.1 Caddy","x-api-request-id":"20260420122548439932431BwZfy2lm","x-content-type-options":"nosniff","x-frame-options":"SAMEORIGIN","x-ms-is-spilled-over":"false","x-ms-rai-invoked":"false","x-ms-region":"East US 2","x-new-api-version":"0.4.39","x-oneapi-request-id":"202604200425483455608048268d9d6INdA4S6q","x-ratelimit-abusepenalty-active":"False","x-ratelimit-limit-requests":"4994","x-ratelimit-limit-tokens":"4994000","x-ratelimit-remaining-requests":"4993","x-ratelimit-remaining-tokens":"4992326","x-ratelimit-renewalperiod-requests":"60","x-ratelimit-renewalperiod-tokens":"60","x-ratelimit-reset-requests":"12","x-ratelimit-reset-tokens":"20","x-request-id":"dfddeba6-a10d-404d-8aba-a542ce02a634"}</t>
        </is>
      </c>
      <c r="N96" t="inlineStr">
        <is>
          <t>DESSO CLUB white cotton graphic tee with mountain and floral print, unisex loose fit for casual streetwear, soft breathable fabric, blends summer freshness with artistic style.</t>
        </is>
      </c>
      <c r="O96" t="inlineStr">
        <is>
          <t>{"choices":[{"finish_reason":"stop","index":0,"logprobs":null,"message":{"annotations":[],"content":"Desso Club,T-Shirts,kakobuy,kakebuy2026,kekobuysheet,kakobuysheet2026,2026kakobuy,kakobuyspreadsheeet,kakobuylink,kakebuylist,Kakobuy MEGA Spreadsheet,kakobuysheetfind,kakobuysheetfind2026,2026kakobuysheetfind,kakobuysheet2026","refusal":null,"role":"assistant"}}],"created":1776668674,"id":"chatcmpl-DWcyI0veyy64wGf9cUgccltL5209D","model":"gpt-5-chat-latest","object":"chat.completion","service_tier":"default","system_fingerprint":"fp_ad66631dec","usage":{"completion_tokens":88,"completion_tokens_details":{"accepted_prediction_tokens":0,"audio_tokens":0,"reasoning_tokens":0,"rejected_prediction_tokens":0},"prompt_tokens":782,"prompt_tokens_details":{"audio_tokens":0,"cached_tokens":0},"total_tokens":870}}</t>
        </is>
      </c>
      <c r="P96" t="inlineStr">
        <is>
          <t>Desso Club,T-Shirts,kakobuy,kakebuy2026,kekobuysheet,kakobuysheet2026,2026kakobuy,kakobuyspreadsheeet,kakobuylink,kakebuylist,Kakobuy MEGA Spreadsheet,kakobuysheetfind,kakobuysheetfind2026,2026kakobuysheetfind,kakobuysheet2026</t>
        </is>
      </c>
      <c r="Q96" t="inlineStr">
        <is>
          <t>White, Streetwear, Summer, Unisex, Artistic Style</t>
        </is>
      </c>
      <c r="R96" t="inlineStr">
        <is>
          <t>recvh6xFVjbYkZ</t>
        </is>
      </c>
      <c r="S96" t="inlineStr">
        <is>
          <t>desso-club-mountain-floral-white-cotton-tshirt-recvh6xfvjbykz</t>
        </is>
      </c>
      <c r="T96"/>
      <c r="U96"/>
      <c r="V96"/>
      <c r="W96" t="inlineStr">
        <is>
          <t>{"id":"chatcmpl-DWZQS89thyfUFT7zQ4XM80LkZqj9I","object":"chat.completion","created":1776655044,"model":"gpt-5-chat-latest","choices":[{"index":0,"message":{"role":"assistant","content":"白色印花休闲T恤，精选柔软纯棉材质，背部山景花卉图腾搭配DESSO CLUB字样，色彩清新自然，展现轻松文艺气息，宽松剪裁男女皆宜，街头休闲与夏日潮流完美融合。","refusal":null,"annotations":[]},"logprobs":null,"finish_reason":"stop"}],"usage":{"prompt_tokens":1319,"completion_tokens":74,"total_tokens":1393,"prompt_tokens_details":{"cached_tokens":1280,"audio_tokens":0},"completion_tokens_details":{"reasoning_tokens":0,"audio_tokens":0,"accepted_prediction_tokens":0,"rejected_prediction_tokens":0}},"service_tier":"default","system_fingerprint":"fp_ad66631dec"}</t>
        </is>
      </c>
      <c r="X96" t="inlineStr">
        <is>
          <t>白色印花休闲T恤，精选柔软纯棉材质，背部山景花卉图腾搭配DESSO CLUB字样，色彩清新自然，展现轻松文艺气息，宽松剪裁男女皆宜，街头休闲与夏日潮流完美融合。</t>
        </is>
      </c>
    </row>
    <row r="97" ht="25.5" customHeight="1">
      <c r="A97">
        <v>1839115443</v>
      </c>
      <c r="B97">
        <v>7696042400</v>
      </c>
      <c r="C97" t="inlineStr">
        <is>
          <t>https://weidian.com/item.html?itemID=7696042400</t>
        </is>
      </c>
      <c r="D97"/>
      <c r="E97" s="2" t="str">
        <f>=HYPERLINK("https://si.geilicdn.com/open1839115443-252808396-719d0000019c4fde3c330a22d249_800_800.jpg?w=750&amp;h=750&amp;cp=1", "https://si.geilicdn.com/open1839115443-252808396-719d0000019c4fde3c330a22d249_800_800.jpg?w=750&amp;h=750&amp;cp=1")</f>
        <v>https://si.geilicdn.com/open1839115443-252808396-719d0000019c4fde3c330a22d249_800_800.jpg?w=750&amp;h=750&amp;cp=1</v>
      </c>
      <c r="F97" t="inlineStr">
        <is>
          <t>T-Shirts</t>
        </is>
      </c>
      <c r="G97" t="inlineStr">
        <is>
          <t>Other</t>
        </is>
      </c>
      <c r="H97" t="inlineStr">
        <is>
          <t>54.00</t>
        </is>
      </c>
      <c r="I97">
        <v>7.83</v>
      </c>
      <c r="J97" t="inlineStr">
        <is>
          <t>{"id":"chatcmpl-DWcMRu9wyB0zV3t1r5hPldmPbGLnP","object":"chat.completion","created":1776666327,"model":"gpt-5-chat-latest","choices":[{"index":0,"message":{"role":"assistant","content":"DESSO CLUB Snow Mountain Flowers Unisex White T-Shirt","refusal":null,"annotations":[]},"logprobs":null,"finish_reason":"stop"}],"usage":{"prompt_tokens":875,"completion_tokens":13,"total_tokens":888,"prompt_tokens_details":{"cached_tokens":0,"audio_tokens":0},"completion_tokens_details":{"reasoning_tokens":0,"audio_tokens":0,"accepted_prediction_tokens":0,"rejected_prediction_tokens":0}},"service_tier":"default","system_fingerprint":"fp_ad66631dec"}</t>
        </is>
      </c>
      <c r="K97" t="inlineStr">
        <is>
          <t>DESSO CLUB Snow Mountain Flowers Unisex White T-Shirt</t>
        </is>
      </c>
      <c r="L97" t="inlineStr">
        <is>
          <t>{"id":"chatcmpl-DWaJldZAjfdSbcL9gsmk0Tr1wbfJe","object":"chat.completion","created":1776658473,"model":"gpt-5-chat-latest","choices":[{"index":0,"message":{"role":"assistant","content":"DESSO CLUB Snow Mountain Flowers White T-Shirt, soft cotton fabric, abstract mountain and floral print, breathable unisex design for streetwear style, expressing individuality and youthful energy.","refusal":null,"annotations":[]},"logprobs":null,"finish_reason":"stop"}],"usage":{"prompt_tokens":911,"completion_tokens":37,"total_tokens":948,"prompt_tokens_details":{"cached_tokens":0,"audio_tokens":0},"completion_tokens_details":{"reasoning_tokens":0,"audio_tokens":0,"accepted_prediction_tokens":0,"rejected_prediction_tokens":0}},"service_tier":"default","system_fingerprint":"fp_ad66631dec"}</t>
        </is>
      </c>
      <c r="M97"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ma=2592000","apim-request-id":"d4854ef7-5b10-4f8f-9121-0377382d2d45","azureml-model-session":"d20260402083108-57a85543","cache-control":"no-cache, no-store, must-revalidate","connection":"close","content-length":"1000","content-security-policy":"frame-ancestors 'self'","content-type":"application/json","date":"Mon, 20 Apr 2026 04:14:35 GMT","server":"Caddy","skip-error-remapping":"true","strict-transport-security":"max-age=31536000; includeSubDomains; preload","via":"1.1 Caddy","x-api-request-id":"20260420121432323616858uQ3TRSBc","x-content-type-options":"nosniff","x-frame-options":"SAMEORIGIN","x-ms-is-spilled-over":"false","x-ms-rai-invoked":"false","x-ms-region":"Sweden Central","x-new-api-version":"0.4.39","x-oneapi-request-id":"202604200414322583326808268d9d6RDaMy281","x-ratelimit-abusepenalty-active":"False","x-ratelimit-limit-requests":"4993","x-ratelimit-limit-tokens":"4993000","x-ratelimit-remaining-requests":"4992","x-ratelimit-remaining-tokens":"4991327","x-ratelimit-renewalperiod-requests":"60","x-ratelimit-renewalperiod-tokens":"60","x-ratelimit-reset-requests":"12","x-ratelimit-reset-tokens":"20","x-request-id":"e473b91a-bc8c-4cba-9d9b-67127b1468f1"}</t>
        </is>
      </c>
      <c r="N97" t="inlineStr">
        <is>
          <t>DESSO CLUB Snow Mountain Flowers White T-Shirt, soft cotton fabric, abstract mountain and floral print, breathable unisex design for streetwear style, expressing individuality and youthful energy.</t>
        </is>
      </c>
      <c r="O97" t="inlineStr">
        <is>
          <t>{"choices":[{"finish_reason":"stop","index":0,"logprobs":null,"message":{"annotations":[],"content":"DESSO CLUB,T-Shirts,kakobuy,kakebuy2026,kekobuysheet,kakobuysheet2026,2026kakobuy,kakobuyspreadsheeet,kakobuylink,kakebuylist,Kakobuy MEGA Spreadsheet,kakobuysheetfind,kakobuysheetfind2026,2026kakobuysheetfind,kakobuysheet2026","refusal":null,"role":"assistant"}}],"created":1776668091,"id":"chatcmpl-DWcotWLTFiX0df8UGJj39HOgvsV0I","model":"gpt-5-chat-latest","object":"chat.completion","service_tier":"default","system_fingerprint":"fp_ad66631dec","usage":{"completion_tokens":89,"completion_tokens_details":{"accepted_prediction_tokens":0,"audio_tokens":0,"reasoning_tokens":0,"rejected_prediction_tokens":0},"prompt_tokens":782,"prompt_tokens_details":{"audio_tokens":0,"cached_tokens":0},"total_tokens":871}}</t>
        </is>
      </c>
      <c r="P97" t="inlineStr">
        <is>
          <t>DESSO CLUB,T-Shirts,kakobuy,kakebuy2026,kekobuysheet,kakobuysheet2026,2026kakobuy,kakobuyspreadsheeet,kakobuylink,kakebuylist,Kakobuy MEGA Spreadsheet,kakobuysheetfind,kakobuysheetfind2026,2026kakobuysheetfind,kakobuysheet2026</t>
        </is>
      </c>
      <c r="Q97" t="inlineStr">
        <is>
          <t>White, Breathable, Unisex, Streetwear, Abstract</t>
        </is>
      </c>
      <c r="R97" t="inlineStr">
        <is>
          <t>recvh6xFVjeLCT</t>
        </is>
      </c>
      <c r="S97" t="inlineStr">
        <is>
          <t>desso-club-snow-mountain-flowers-unisex-white-t-shirt-recvh6xfvjelct</t>
        </is>
      </c>
      <c r="T97"/>
      <c r="U97"/>
      <c r="V97"/>
      <c r="W97" t="inlineStr">
        <is>
          <t>{"id":"chatcmpl-DWZNMsssrxJqX5Hfy6gHlT96LbFng","object":"chat.completion","created":1776654852,"model":"gpt-5-chat-latest","choices":[{"index":0,"message":{"role":"assistant","content":"雪山花卉系列白色短袖T恤，柔软纯棉材质，背面抽象山景与花卉图腾融合英文字设计，呈现自然艺术风格，轻盈透气，男女皆宜，休闲街头穿搭彰显独立个性与青春活力。","refusal":null,"annotations":[]},"logprobs":null,"finish_reason":"stop"}],"usage":{"prompt_tokens":1319,"completion_tokens":73,"total_tokens":1392,"prompt_tokens_details":{"cached_tokens":1280,"audio_tokens":0},"completion_tokens_details":{"reasoning_tokens":0,"audio_tokens":0,"accepted_prediction_tokens":0,"rejected_prediction_tokens":0}},"service_tier":"default","system_fingerprint":"fp_ad66631dec"}</t>
        </is>
      </c>
      <c r="X97" t="inlineStr">
        <is>
          <t>雪山花卉系列白色短袖T恤，柔软纯棉材质，背面抽象山景与花卉图腾融合英文字设计，呈现自然艺术风格，轻盈透气，男女皆宜，休闲街头穿搭彰显独立个性与青春活力。</t>
        </is>
      </c>
    </row>
    <row r="98" ht="25.5" customHeight="1">
      <c r="A98">
        <v>1839115443</v>
      </c>
      <c r="B98">
        <v>7695965484</v>
      </c>
      <c r="C98" t="inlineStr">
        <is>
          <t>https://weidian.com/item.html?itemID=7695965484</t>
        </is>
      </c>
      <c r="D98"/>
      <c r="E98" s="2" t="str">
        <f>=HYPERLINK("https://si.geilicdn.com/open1839115443-252808396-07de0000019c50aebcfa0a8115c2_800_800.jpg?w=750&amp;h=750&amp;cp=1", "https://si.geilicdn.com/open1839115443-252808396-07de0000019c50aebcfa0a8115c2_800_800.jpg?w=750&amp;h=750&amp;cp=1")</f>
        <v>https://si.geilicdn.com/open1839115443-252808396-07de0000019c50aebcfa0a8115c2_800_800.jpg?w=750&amp;h=750&amp;cp=1</v>
      </c>
      <c r="F98" t="inlineStr">
        <is>
          <t>T-Shirts</t>
        </is>
      </c>
      <c r="G98" t="inlineStr">
        <is>
          <t>Other</t>
        </is>
      </c>
      <c r="H98" t="inlineStr">
        <is>
          <t>54.00</t>
        </is>
      </c>
      <c r="I98">
        <v>7.83</v>
      </c>
      <c r="J98" t="inlineStr">
        <is>
          <t>{"choices":[{"finish_reason":"stop","index":0,"logprobs":null,"message":{"annotations":[],"content":"OtherBrand White Sleeveless Tee Gold Wine Art","refusal":null,"role":"assistant"}}],"created":1776666894,"id":"chatcmpl-DWcVaY2A1t9kZ5oaDtdwSdUm7jB3U","model":"gpt-5-chat-latest","object":"chat.completion","service_tier":"default","system_fingerprint":"fp_ad66631dec","usage":{"completion_tokens":10,"completion_tokens_details":{"accepted_prediction_tokens":0,"audio_tokens":0,"reasoning_tokens":0,"rejected_prediction_tokens":0},"prompt_tokens":881,"prompt_tokens_details":{"audio_tokens":0,"cached_tokens":0},"total_tokens":891}}</t>
        </is>
      </c>
      <c r="K98" t="inlineStr">
        <is>
          <t>OtherBrand White Sleeveless Tee Gold Wine Art</t>
        </is>
      </c>
      <c r="L98" t="inlineStr">
        <is>
          <t>{"choices":[{"finish_reason":"stop","index":0,"logprobs":null,"message":{"annotations":[],"content":"Brand T-ShirtsOther minimalist white sleeveless tee made of smooth cotton, featuring a golden wine-pouring art graphic, unisex design for urban daily and summer street style, showing taste and personality.","refusal":null,"role":"assistant"}}],"created":1776658637,"id":"chatcmpl-DWaMP1MvDQUhHwkACu9Z01vDJqqyT","model":"gpt-5-chat-latest","object":"chat.completion","service_tier":"default","system_fingerprint":"fp_ad66631dec","usage":{"completion_tokens":40,"completion_tokens_details":{"accepted_prediction_tokens":0,"audio_tokens":0,"reasoning_tokens":0,"rejected_prediction_tokens":0},"prompt_tokens":909,"prompt_tokens_details":{"audio_tokens":0,"cached_tokens":0},"total_tokens":949}}</t>
        </is>
      </c>
      <c r="M98" t="inlineStr">
        <is>
          <t>{"alt-svc":"h3=\":443\"; ma=2592000","apim-request-id":"ca45b57c-540d-445b-8a09-957f1e4b8175","azureml-model-session":"d20260405234249-f9874baf","cache-control":"no-cache","connection":"close","content-length":"793","content-security-policy":"frame-ancestors 'self'","content-type":"application/json","date":"Mon, 20 Apr 2026 04:17:18 GMT","server":"nginx","skip-error-remapping":"true","strict-transport-security":"max-age=31536000; includeSubDomains; preload","via":"1.1 Caddy, 1.1 Caddy","x-api-request-id":"20260420121716339908794FEr8zrgv","x-content-type-options":"nosniff","x-frame-options":"SAMEORIGIN","x-ms-client-request-id":"Not-Set","x-ms-is-spilled-over":"false","x-ms-rai-invoked":"true","x-ms-region":"East US 2","x-new-api-version":"0.4.39","x-oneapi-request-id":"202604200417162742994578268d9d6E9qtyMm7","x-ratelimit-abusepenalty-active":"False","x-ratelimit-limit-requests":"3850","x-ratelimit-limit-tokens":"3850000","x-ratelimit-remaining-requests":"3849","x-ratelimit-remaining-tokens":"3848329","x-ratelimit-renewalperiod-requests":"60","x-ratelimit-renewalperiod-tokens":"60","x-ratelimit-reset-requests":"15","x-ratelimit-reset-tokens":"26","x-request-id":"abe79439-b2f2-4844-87c0-bb3956ac9b79"}</t>
        </is>
      </c>
      <c r="N98" t="inlineStr">
        <is>
          <t>Brand T-ShirtsOther minimalist white sleeveless tee made of smooth cotton, featuring a golden wine-pouring art graphic, unisex design for urban daily and summer street style, showing taste and personality.</t>
        </is>
      </c>
      <c r="O98" t="inlineStr">
        <is>
          <t>{"choices":[{"finish_reason":"stop","index":0,"logprobs":null,"message":{"annotations":[],"content":"T-Shirts,Other,kakobuy,kakebuy2026,kekobuysheet,kakobuysheet2026,2026kakobuy,kakobuyspreadsheeet,kakobuylink,kakebuylist,Kakobuy MEGA Spreadsheet,kakobuysheetfind,kakobuysheetfind2026,2026kakobuysheetfind,kakobuysheet2026","refusal":null,"role":"assistant"}}],"created":1776667348,"id":"chatcmpl-DWccufMAZAqs8hRvZUe9bU1Lfrs2Q","model":"gpt-5-chat-latest","object":"chat.completion","service_tier":"default","system_fingerprint":"fp_ad66631dec","usage":{"completion_tokens":87,"completion_tokens_details":{"accepted_prediction_tokens":0,"audio_tokens":0,"reasoning_tokens":0,"rejected_prediction_tokens":0},"prompt_tokens":782,"prompt_tokens_details":{"audio_tokens":0,"cached_tokens":0},"total_tokens":869}}</t>
        </is>
      </c>
      <c r="P98" t="inlineStr">
        <is>
          <t>T-Shirts,Other,kakobuy,kakebuy2026,kekobuysheet,kakobuysheet2026,2026kakobuy,kakobuyspreadsheeet,kakobuylink,kakebuylist,Kakobuy MEGA Spreadsheet,kakobuysheetfind,kakobuysheetfind2026,2026kakobuysheetfind,kakobuysheet2026</t>
        </is>
      </c>
      <c r="Q98" t="inlineStr">
        <is>
          <t>Minimalist, White, Summer, Unisex, Streetwear</t>
        </is>
      </c>
      <c r="R98" t="inlineStr">
        <is>
          <t>recvh6xFVj9dcm</t>
        </is>
      </c>
      <c r="S98" t="inlineStr">
        <is>
          <t>otherbrand-white-sleeveless-tee-gold-wine-art-recvh6xfvj9dcm</t>
        </is>
      </c>
      <c r="T98"/>
      <c r="U98"/>
      <c r="V98"/>
      <c r="W98" t="inlineStr">
        <is>
          <t>{"choices":[{"finish_reason":"stop","index":0,"logprobs":null,"message":{"annotations":[],"content":"极简白色无袖T恤，甄选柔滑纯棉面料，胸前印有金色酒杯注酒艺术图腾，展现现代休闲风格，男女皆宜，适合都市日常与夏季街头穿搭，彰显品味与个性。","refusal":null,"role":"assistant"}}],"created":1776655959,"id":"chatcmpl-DWZfDfMsmcjsTd8iTg15uEKuY8aOf","model":"gpt-5-chat-latest","object":"chat.completion","service_tier":"default","system_fingerprint":"fp_ad66631dec","usage":{"completion_tokens":69,"completion_tokens_details":{"accepted_prediction_tokens":0,"audio_tokens":0,"reasoning_tokens":0,"rejected_prediction_tokens":0},"prompt_tokens":1323,"prompt_tokens_details":{"audio_tokens":0,"cached_tokens":0},"total_tokens":1392}}</t>
        </is>
      </c>
      <c r="X98" t="inlineStr">
        <is>
          <t>极简白色无袖T恤，甄选柔滑纯棉面料，胸前印有金色酒杯注酒艺术图腾，展现现代休闲风格，男女皆宜，适合都市日常与夏季街头穿搭，彰显品味与个性。</t>
        </is>
      </c>
    </row>
    <row r="99" ht="25.5" customHeight="1">
      <c r="A99">
        <v>1839115443</v>
      </c>
      <c r="B99">
        <v>7693038489</v>
      </c>
      <c r="C99" t="inlineStr">
        <is>
          <t>https://weidian.com/item.html?itemID=7693038489</t>
        </is>
      </c>
      <c r="D99"/>
      <c r="E99" s="2" t="str">
        <f>=HYPERLINK("https://si.geilicdn.com/open1839115443-252808396-1e580000019c50aea1f00a23b4de_800_800.jpg?w=750&amp;h=750&amp;cp=1", "https://si.geilicdn.com/open1839115443-252808396-1e580000019c50aea1f00a23b4de_800_800.jpg?w=750&amp;h=750&amp;cp=1")</f>
        <v>https://si.geilicdn.com/open1839115443-252808396-1e580000019c50aea1f00a23b4de_800_800.jpg?w=750&amp;h=750&amp;cp=1</v>
      </c>
      <c r="F99" t="inlineStr">
        <is>
          <t>T-Shirts</t>
        </is>
      </c>
      <c r="G99" t="inlineStr">
        <is>
          <t>Other</t>
        </is>
      </c>
      <c r="H99" t="inlineStr">
        <is>
          <t>54.00</t>
        </is>
      </c>
      <c r="I99">
        <v>7.83</v>
      </c>
      <c r="J99" t="inlineStr">
        <is>
          <t>{"choices":[{"finish_reason":"stop","index":0,"logprobs":null,"message":{"annotations":[],"content":"BrandX White Lion Embroidered Sleeveless Cotton T-Shirt","refusal":null,"role":"assistant"}}],"created":1776665688,"id":"chatcmpl-DWcC8ypk0jnd2IphM5GOK3XH8iokb","model":"gpt-5-chat-latest","object":"chat.completion","service_tier":"default","system_fingerprint":"fp_ad66631dec","usage":{"completion_tokens":13,"completion_tokens_details":{"accepted_prediction_tokens":0,"audio_tokens":0,"reasoning_tokens":0,"rejected_prediction_tokens":0},"prompt_tokens":879,"prompt_tokens_details":{"audio_tokens":0,"cached_tokens":0},"total_tokens":892}}</t>
        </is>
      </c>
      <c r="K99" t="inlineStr">
        <is>
          <t>BrandX White Lion Embroidered Sleeveless Cotton T-Shirt</t>
        </is>
      </c>
      <c r="L99" t="inlineStr">
        <is>
          <t>{"id":"chatcmpl-DWaHM6Sna6JSzincfwKMHeKAIS2zu","object":"chat.completion","created":1776658324,"model":"gpt-5-chat-latest","choices":[{"index":0,"message":{"role":"assistant","content":"BrandX White Embroidered Lion Face Sleeveless T-Shirt, soft breathable cotton, vibrant ethnic totem design, loose fit round neck, unisex street style perfect for summer casual wear.","refusal":null,"annotations":[]},"logprobs":null,"finish_reason":"stop"}],"usage":{"prompt_tokens":929,"completion_tokens":39,"total_tokens":968,"prompt_tokens_details":{"cached_tokens":0,"audio_tokens":0},"completion_tokens_details":{"reasoning_tokens":0,"audio_tokens":0,"accepted_prediction_tokens":0,"rejected_prediction_tokens":0}},"service_tier":"default","system_fingerprint":"fp_ad66631dec"}</t>
        </is>
      </c>
      <c r="M99"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ma=2592000","apim-request-id":"ebd5adff-dede-458d-bf68-ad22f0feaf80","azureml-model-session":"d20260402083108-57a85543","cache-control":"no-cache, no-store, must-revalidate","connection":"close","content-length":"985","content-security-policy":"frame-ancestors 'self'","content-type":"application/json","date":"Mon, 20 Apr 2026 04:12:05 GMT","server":"nginx","skip-error-remapping":"true","strict-transport-security":"max-age=31536000; includeSubDomains; preload","via":"1.1 Caddy, 1.1 Caddy","x-api-request-id":"20260420121202266570922n94tlyzT","x-content-type-options":"nosniff","x-frame-options":"SAMEORIGIN","x-ms-is-spilled-over":"false","x-ms-rai-invoked":"false","x-ms-region":"East US 2","x-new-api-version":"0.4.39","x-oneapi-request-id":"202604200412021648071478268d9d6rdNrddU9","x-ratelimit-abusepenalty-active":"False","x-ratelimit-limit-requests":"4994","x-ratelimit-limit-tokens":"4994000","x-ratelimit-remaining-requests":"4993","x-ratelimit-remaining-tokens":"4992309","x-ratelimit-renewalperiod-requests":"60","x-ratelimit-renewalperiod-tokens":"60","x-ratelimit-reset-requests":"12","x-ratelimit-reset-tokens":"20","x-request-id":"dc02781c-9a0e-4ee8-869f-0e6975217cc1"}</t>
        </is>
      </c>
      <c r="N99" t="inlineStr">
        <is>
          <t>BrandX White Embroidered Lion Face Sleeveless T-Shirt, soft breathable cotton, vibrant ethnic totem design, loose fit round neck, unisex street style perfect for summer casual wear.</t>
        </is>
      </c>
      <c r="O99" t="inlineStr">
        <is>
          <t>{"choices":[{"finish_reason":"stop","index":0,"logprobs":null,"message":{"annotations":[],"content":"Morshya,T-Shirts,kakobuy,kakebuy2026,kekobuysheet,kakobuysheet2026,2026kakobuy,kakobuyspreadsheeet,kakobuylink,kakebuylist,Kakobuy MEGA Spreadsheet,kakobuysheetfind,kakobuysheetfind2026,2026kakobuysheetfind,kakobuysheet2026","refusal":null,"role":"assistant"}}],"created":1776667518,"id":"chatcmpl-DWcfe2dXGqn0hc7OYkcwZOphksXYV","model":"gpt-5-chat-latest","object":"chat.completion","service_tier":"default","system_fingerprint":"fp_ad66631dec","usage":{"completion_tokens":89,"completion_tokens_details":{"accepted_prediction_tokens":0,"audio_tokens":0,"reasoning_tokens":0,"rejected_prediction_tokens":0},"prompt_tokens":782,"prompt_tokens_details":{"audio_tokens":0,"cached_tokens":0},"total_tokens":871}}</t>
        </is>
      </c>
      <c r="P99" t="inlineStr">
        <is>
          <t>Morshya,T-Shirts,kakobuy,kakebuy2026,kekobuysheet,kakobuysheet2026,2026kakobuy,kakobuyspreadsheeet,kakobuylink,kakebuylist,Kakobuy MEGA Spreadsheet,kakobuysheetfind,kakobuysheetfind2026,2026kakobuysheetfind,kakobuysheet2026</t>
        </is>
      </c>
      <c r="Q99" t="inlineStr">
        <is>
          <t>White, Streetwear, Summer, Unisex</t>
        </is>
      </c>
      <c r="R99" t="inlineStr">
        <is>
          <t>recvh6xFVjk2iT</t>
        </is>
      </c>
      <c r="S99" t="inlineStr">
        <is>
          <t>brandx-white-lion-embroidered-sleeveless-cotton-t-shirt-recvh6xfvjk2it</t>
        </is>
      </c>
      <c r="T99"/>
      <c r="U99"/>
      <c r="V99"/>
      <c r="W99" t="inlineStr">
        <is>
          <t>{"choices":[{"finish_reason":"stop","index":0,"logprobs":null,"message":{"annotations":[],"content":"白色刺绣狮面无袖T恤，甄选柔韧纯棉面料，轻盈透气。胸前精致民族图腾刺绣，色彩丰富彰显东方美学。宽松剪裁搭配圆领设计，舒适休闲又具街头艺术感。男女皆宜，适合夏日日常与潮流混搭穿搭。","refusal":null,"role":"assistant"}}],"created":1776655717,"id":"chatcmpl-DWZbJqoKT9Pmm8UlxacIbhT42Uryu","model":"gpt-5-chat-latest","object":"chat.completion","service_tier":"default","system_fingerprint":"fp_ad66631dec","usage":{"completion_tokens":91,"completion_tokens_details":{"accepted_prediction_tokens":0,"audio_tokens":0,"reasoning_tokens":0,"rejected_prediction_tokens":0},"prompt_tokens":1321,"prompt_tokens_details":{"audio_tokens":0,"cached_tokens":0},"total_tokens":1412}}</t>
        </is>
      </c>
      <c r="X99" t="inlineStr">
        <is>
          <t>白色刺绣狮面无袖T恤，甄选柔韧纯棉面料，轻盈透气。胸前精致民族图腾刺绣，色彩丰富彰显东方美学。宽松剪裁搭配圆领设计，舒适休闲又具街头艺术感。男女皆宜，适合夏日日常与潮流混搭穿搭。</t>
        </is>
      </c>
    </row>
    <row r="100" ht="25.5" customHeight="1">
      <c r="A100">
        <v>1839115443</v>
      </c>
      <c r="B100">
        <v>7696032416</v>
      </c>
      <c r="C100" t="inlineStr">
        <is>
          <t>https://weidian.com/item.html?itemID=7696032416</t>
        </is>
      </c>
      <c r="D100"/>
      <c r="E100" s="2" t="str">
        <f>=HYPERLINK("https://si.geilicdn.com/open1839115443-252808396-0baa0000019c50b1e3b10a8133b0_800_800.jpg?w=750&amp;h=750&amp;cp=1", "https://si.geilicdn.com/open1839115443-252808396-0baa0000019c50b1e3b10a8133b0_800_800.jpg?w=750&amp;h=750&amp;cp=1")</f>
        <v>https://si.geilicdn.com/open1839115443-252808396-0baa0000019c50b1e3b10a8133b0_800_800.jpg?w=750&amp;h=750&amp;cp=1</v>
      </c>
      <c r="F100" t="inlineStr">
        <is>
          <t>T-Shirts</t>
        </is>
      </c>
      <c r="G100" t="inlineStr">
        <is>
          <t>Other</t>
        </is>
      </c>
      <c r="H100" t="inlineStr">
        <is>
          <t>68.00</t>
        </is>
      </c>
      <c r="I100">
        <v>9.8695652173913</v>
      </c>
      <c r="J100" t="inlineStr">
        <is>
          <t>{"choices":[{"finish_reason":"stop","index":0,"logprobs":null,"message":{"annotations":[],"content":"ANDIYX Retro Street Cotton Unisex Sweatshirt","refusal":null,"role":"assistant"}}],"created":1776666884,"id":"chatcmpl-DWcVQMPcwJNXfIb0GvgEERP75kwi2","model":"gpt-5-chat-latest","object":"chat.completion","service_tier":"default","system_fingerprint":"fp_ad66631dec","usage":{"completion_tokens":11,"completion_tokens_details":{"accepted_prediction_tokens":0,"audio_tokens":0,"reasoning_tokens":0,"rejected_prediction_tokens":0},"prompt_tokens":883,"prompt_tokens_details":{"audio_tokens":0,"cached_tokens":0},"total_tokens":894}}</t>
        </is>
      </c>
      <c r="K100" t="inlineStr">
        <is>
          <t>ANDIYX Retro Street Cotton Unisex Sweatshirt</t>
        </is>
      </c>
      <c r="L100" t="inlineStr">
        <is>
          <t>{"choices":[{"finish_reason":"stop","index":0,"logprobs":null,"message":{"annotations":[],"content":"ANDIYX Retro Street Sweatshirt, soft pure cotton, stylish English badge prints on back, unisex loose fit for men and women, breathable and comfy, vintage college vibe for daily casual wear.","refusal":null,"role":"assistant"}}],"created":1776659437,"id":"chatcmpl-DWaZJe3JluMfbG5gPp82mtl94sjmc","model":"gpt-5-chat-latest","object":"chat.completion","service_tier":"default","system_fingerprint":"fp_ad66631dec","usage":{"completion_tokens":41,"completion_tokens_details":{"accepted_prediction_tokens":0,"audio_tokens":0,"reasoning_tokens":0,"rejected_prediction_tokens":0},"prompt_tokens":915,"prompt_tokens_details":{"audio_tokens":0,"cached_tokens":0},"total_tokens":956}}</t>
        </is>
      </c>
      <c r="M100" t="inlineStr">
        <is>
          <t>{"alt-svc":"h3=\":443\"; ma=2592000","apim-request-id":"fe1898d8-01b7-4d32-8a51-c4ad58e86f52","azureml-model-session":"d20260402074105-51db401e","cache-control":"no-cache","connection":"close","content-length":"777","content-security-policy":"frame-ancestors 'self'","content-type":"application/json","date":"Mon, 20 Apr 2026 04:30:39 GMT","server":"nginx","skip-error-remapping":"true","strict-transport-security":"max-age=31536000; includeSubDomains; preload","via":"1.1 Caddy, 1.1 Caddy","x-api-request-id":"20260420123036741636319xdsnGP3D","x-content-type-options":"nosniff","x-frame-options":"SAMEORIGIN","x-ms-client-request-id":"Not-Set","x-ms-is-spilled-over":"false","x-ms-rai-invoked":"true","x-ms-region":"East US 2","x-new-api-version":"0.4.39","x-oneapi-request-id":"202604200430366732702678268d9d66buFaYjP","x-ratelimit-abusepenalty-active":"False","x-ratelimit-limit-requests":"3850","x-ratelimit-limit-tokens":"3850000","x-ratelimit-remaining-requests":"3849","x-ratelimit-remaining-tokens":"3848323","x-ratelimit-renewalperiod-requests":"60","x-ratelimit-renewalperiod-tokens":"60","x-ratelimit-reset-requests":"15","x-ratelimit-reset-tokens":"26","x-request-id":"68071032-afb7-48a3-8f06-b4b9412eff6e"}</t>
        </is>
      </c>
      <c r="N100" t="inlineStr">
        <is>
          <t>ANDIYX Retro Street Sweatshirt, soft pure cotton, stylish English badge prints on back, unisex loose fit for men and women, breathable and comfy, vintage college vibe for daily casual wear.</t>
        </is>
      </c>
      <c r="O100" t="inlineStr">
        <is>
          <t>{"choices":[{"finish_reason":"stop","index":0,"logprobs":null,"message":{"annotations":[],"content":"ANDIYX,T-Shirts,kakobuy,kakebuy2026,kekobuysheet,kakobuysheet2026,2026kakobuy,kakobuyspreadsheeet,kakobuylink,kakebuylist,Kakobuy MEGA Spreadsheet,kakobuysheetfind,kakobuysheetfind2026,2026kakobuysheetfind,kakobuysheet2026","refusal":null,"role":"assistant"}}],"created":1776668455,"id":"chatcmpl-DWcul5bDSJ1BJD8liw8TGyOcX3JKk","model":"gpt-5-chat-latest","object":"chat.completion","service_tier":"default","system_fingerprint":"fp_ad66631dec","usage":{"completion_tokens":88,"completion_tokens_details":{"accepted_prediction_tokens":0,"audio_tokens":0,"reasoning_tokens":0,"rejected_prediction_tokens":0},"prompt_tokens":782,"prompt_tokens_details":{"audio_tokens":0,"cached_tokens":0},"total_tokens":870}}</t>
        </is>
      </c>
      <c r="P100" t="inlineStr">
        <is>
          <t>ANDIYX,T-Shirts,kakobuy,kakebuy2026,kekobuysheet,kakobuysheet2026,2026kakobuy,kakobuyspreadsheeet,kakobuylink,kakebuylist,Kakobuy MEGA Spreadsheet,kakobuysheetfind,kakobuysheetfind2026,2026kakobuysheetfind,kakobuysheet2026</t>
        </is>
      </c>
      <c r="Q100" t="inlineStr">
        <is>
          <t>Unisex, Breathable, Retro, Vintage</t>
        </is>
      </c>
      <c r="R100" t="inlineStr">
        <is>
          <t>recvh6xFVjh9hw</t>
        </is>
      </c>
      <c r="S100" t="inlineStr">
        <is>
          <t>andiix-retro-street-cotton-sweatshirt-recvh6xfvjh9hw</t>
        </is>
      </c>
      <c r="T100"/>
      <c r="U100"/>
      <c r="V100"/>
      <c r="W100" t="inlineStr">
        <is>
          <t>{"choices":[{"finish_reason":"stop","index":0,"logprobs":null,"message":{"annotations":[],"content":"复古街头系列白色印花卫衣，精选柔软纯棉面料，背部多重英文字母徽章拼印设计，展现青春学院与复古潮流融合感，宽松中性版型适合男女穿搭，舒适透气，休闲又不失个性风范。","refusal":null,"role":"assistant"}}],"created":1776655619,"id":"chatcmpl-DWZZjFHkzPUGAmVhYkpxjp8L83wJa","model":"gpt-5-chat-latest","object":"chat.completion","service_tier":"default","system_fingerprint":"fp_ad66631dec","usage":{"completion_tokens":74,"completion_tokens_details":{"accepted_prediction_tokens":0,"audio_tokens":0,"reasoning_tokens":0,"rejected_prediction_tokens":0},"prompt_tokens":1325,"prompt_tokens_details":{"audio_tokens":0,"cached_tokens":1280},"total_tokens":1399}}</t>
        </is>
      </c>
      <c r="X100" t="inlineStr">
        <is>
          <t>复古街头系列白色印花卫衣，精选柔软纯棉面料，背部多重英文字母徽章拼印设计，展现青春学院与复古潮流融合感，宽松中性版型适合男女穿搭，舒适透气，休闲又不失个性风范。</t>
        </is>
      </c>
    </row>
    <row r="101" ht="25.5" customHeight="1">
      <c r="A101">
        <v>1839115443</v>
      </c>
      <c r="B101">
        <v>7695979044</v>
      </c>
      <c r="C101" t="inlineStr">
        <is>
          <t>https://weidian.com/item.html?itemID=7695979044</t>
        </is>
      </c>
      <c r="D101"/>
      <c r="E101" s="2" t="str">
        <f>=HYPERLINK("https://si.geilicdn.com/open1839115443-252808396-117e0000019c50ad7b320aa08676_800_800.jpg?w=750&amp;h=750&amp;cp=1", "https://si.geilicdn.com/open1839115443-252808396-117e0000019c50ad7b320aa08676_800_800.jpg?w=750&amp;h=750&amp;cp=1")</f>
        <v>https://si.geilicdn.com/open1839115443-252808396-117e0000019c50ad7b320aa08676_800_800.jpg?w=750&amp;h=750&amp;cp=1</v>
      </c>
      <c r="F101" t="inlineStr">
        <is>
          <t>T-Shirts</t>
        </is>
      </c>
      <c r="G101" t="inlineStr">
        <is>
          <t>Other</t>
        </is>
      </c>
      <c r="H101" t="inlineStr">
        <is>
          <t>54.00</t>
        </is>
      </c>
      <c r="I101">
        <v>7.83</v>
      </c>
      <c r="J101" t="inlineStr">
        <is>
          <t>{"choices":[{"finish_reason":"stop","index":0,"logprobs":null,"message":{"annotations":[],"content":"Brand X White Sleeveless T-Shirt Moon Rope Print","refusal":null,"role":"assistant"}}],"created":1776665840,"id":"chatcmpl-DWcEaybFPpU0jhsnjOfxSAY7fhBa9","model":"gpt-5-chat-latest","object":"chat.completion","service_tier":"default","system_fingerprint":"fp_ad66631dec","usage":{"completion_tokens":11,"completion_tokens_details":{"accepted_prediction_tokens":0,"audio_tokens":0,"reasoning_tokens":0,"rejected_prediction_tokens":0},"prompt_tokens":883,"prompt_tokens_details":{"audio_tokens":0,"cached_tokens":0},"total_tokens":894}}</t>
        </is>
      </c>
      <c r="K101" t="inlineStr">
        <is>
          <t>Brand X White Sleeveless T-Shirt Moon Rope Print</t>
        </is>
      </c>
      <c r="L101" t="inlineStr">
        <is>
          <t>{"id":"chatcmpl-DWaWoCXlRUYdi9VqPKLRiQyR4B7iT","object":"chat.completion","created":1776659282,"model":"gpt-5-chat-latest","choices":[{"index":0,"message":{"role":"assistant","content":"Brand X Minimalist White Sleeveless T-Shirt, soft high-density cotton, breathable and non-deformable. Features a black moon and rope boy print, unisex streetwear for summer casual style.","refusal":null,"annotations":[]},"logprobs":null,"finish_reason":"stop"}],"usage":{"prompt_tokens":922,"completion_tokens":41,"total_tokens":963,"prompt_tokens_details":{"cached_tokens":0,"audio_tokens":0},"completion_tokens_details":{"reasoning_tokens":0,"audio_tokens":0,"accepted_prediction_tokens":0,"rejected_prediction_tokens":0}},"service_tier":"default","system_fingerprint":"fp_ad66631dec"}</t>
        </is>
      </c>
      <c r="M101"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ma=2592000","apim-request-id":"6e2b118d-ff64-48a8-a142-60e67c9f8277","azureml-model-session":"d20260402075109-1fc5a0ec","cache-control":"no-cache, no-store, must-revalidate","connection":"close","content-length":"990","content-security-policy":"frame-ancestors 'self'","content-type":"application/json","date":"Mon, 20 Apr 2026 04:28:06 GMT","server":"nginx","skip-error-remapping":"true","strict-transport-security":"max-age=31536000; includeSubDomains; preload","via":"1.1 Caddy, 1.1 Caddy","x-api-request-id":"20260420122800686959230HojEJofn","x-content-type-options":"nosniff","x-frame-options":"SAMEORIGIN","x-ms-is-spilled-over":"false","x-ms-rai-invoked":"false","x-ms-region":"Sweden Central","x-new-api-version":"0.4.39","x-oneapi-request-id":"202604200428006197549478268d9d6Edg2hF8T","x-ratelimit-abusepenalty-active":"False","x-ratelimit-limit-requests":"4993","x-ratelimit-limit-tokens":"4993000","x-ratelimit-remaining-requests":"4992","x-ratelimit-remaining-tokens":"4991316","x-ratelimit-renewalperiod-requests":"60","x-ratelimit-renewalperiod-tokens":"60","x-ratelimit-reset-requests":"12","x-ratelimit-reset-tokens":"20","x-request-id":"b76f4eb1-e252-4426-ac1b-d2aceb222d44"}</t>
        </is>
      </c>
      <c r="N101" t="inlineStr">
        <is>
          <t>Brand X Minimalist White Sleeveless T-Shirt, soft high-density cotton, breathable and non-deformable. Features a black moon and rope boy print, unisex streetwear for summer casual style.</t>
        </is>
      </c>
      <c r="O101" t="inlineStr">
        <is>
          <t>{"choices":[{"finish_reason":"stop","index":0,"logprobs":null,"message":{"annotations":[],"content":"Masa, T-Shirts, kakobuy, kakebuy2026, kekobuysheet, kakobuysheet2026, 2026kakobuy, kakobuyspreadsheeet, kakobuylink, kakebuylist, Kakobuy MEGA Spreadsheet, kakobuysheetfind, kakobuysheetfind2026, 2026kakobuysheetfind, kakobuysheet2026","refusal":null,"role":"assistant"}}],"created":1776667685,"id":"chatcmpl-DWciLvDjI5lmWO0nwvBB7J7Thbg22","model":"gpt-5-chat-latest","object":"chat.completion","service_tier":"default","system_fingerprint":"fp_ad66631dec","usage":{"completion_tokens":92,"completion_tokens_details":{"accepted_prediction_tokens":0,"audio_tokens":0,"reasoning_tokens":0,"rejected_prediction_tokens":0},"prompt_tokens":782,"prompt_tokens_details":{"audio_tokens":0,"cached_tokens":0},"total_tokens":874}}</t>
        </is>
      </c>
      <c r="P101" t="inlineStr">
        <is>
          <t>Masa, T-Shirts, kakobuy, kakebuy2026, kekobuysheet, kakobuysheet2026, 2026kakobuy, kakobuyspreadsheeet, kakobuylink, kakebuylist, Kakobuy MEGA Spreadsheet, kakobuysheetfind, kakobuysheetfind2026, 2026kakobuysheetfind, kakobuysheet2026</t>
        </is>
      </c>
      <c r="Q101" t="inlineStr">
        <is>
          <t>Minimalist, White, Streetwear, Summer, Unisex</t>
        </is>
      </c>
      <c r="R101" t="inlineStr">
        <is>
          <t>recvh6xFVjhpyp</t>
        </is>
      </c>
      <c r="S101" t="inlineStr">
        <is>
          <t>brand-x-white-sleeveless-tshirt-moon-rope-print-recvh6xFVjhpyp</t>
        </is>
      </c>
      <c r="T101"/>
      <c r="U101"/>
      <c r="V101"/>
      <c r="W101" t="inlineStr">
        <is>
          <t>{"id":"chatcmpl-DWZPyUicXc8QuL4uqRF52JZXlTjIO","object":"chat.completion","created":1776655014,"model":"gpt-5-chat-latest","choices":[{"index":0,"message":{"role":"assistant","content":"极简白色无袖T恤，采用高密度纯棉面料，柔软透气不易变形。胸前黑色月亮与吊绳童趣印花设计，充满想象力与艺术感。休闲街头风格，男女皆宜，适合夏日日常穿搭，展现自在个性与轻盈时尚。","refusal":null,"annotations":[]},"logprobs":null,"finish_reason":"stop"}],"usage":{"prompt_tokens":1317,"completion_tokens":86,"total_tokens":1403,"prompt_tokens_details":{"cached_tokens":0,"audio_tokens":0},"completion_tokens_details":{"reasoning_tokens":0,"audio_tokens":0,"accepted_prediction_tokens":0,"rejected_prediction_tokens":0}},"service_tier":"default","system_fingerprint":"fp_ad66631dec"}</t>
        </is>
      </c>
      <c r="X101" t="inlineStr">
        <is>
          <t>极简白色无袖T恤，采用高密度纯棉面料，柔软透气不易变形。胸前黑色月亮与吊绳童趣印花设计，充满想象力与艺术感。休闲街头风格，男女皆宜，适合夏日日常穿搭，展现自在个性与轻盈时尚。</t>
        </is>
      </c>
    </row>
    <row r="102" ht="25.5" customHeight="1">
      <c r="A102">
        <v>1839115443</v>
      </c>
      <c r="B102">
        <v>7695877474</v>
      </c>
      <c r="C102" t="inlineStr">
        <is>
          <t>https://weidian.com/item.html?itemID=7695877474</t>
        </is>
      </c>
      <c r="D102"/>
      <c r="E102" s="2" t="str">
        <f>=HYPERLINK("https://si.geilicdn.com/open1839115443-252808396-19a30000019c50a799140a231226_1000_1000.jpg?w=750&amp;h=750&amp;cp=1", "https://si.geilicdn.com/open1839115443-252808396-19a30000019c50a799140a231226_1000_1000.jpg?w=750&amp;h=750&amp;cp=1")</f>
        <v>https://si.geilicdn.com/open1839115443-252808396-19a30000019c50a799140a231226_1000_1000.jpg?w=750&amp;h=750&amp;cp=1</v>
      </c>
      <c r="F102" t="inlineStr">
        <is>
          <t>T-Shirts</t>
        </is>
      </c>
      <c r="G102" t="inlineStr">
        <is>
          <t>Other</t>
        </is>
      </c>
      <c r="H102" t="inlineStr">
        <is>
          <t>54.00</t>
        </is>
      </c>
      <c r="I102">
        <v>7.83</v>
      </c>
      <c r="J102" t="inlineStr">
        <is>
          <t>{"choices":[{"finish_reason":"stop","index":0,"logprobs":null,"message":{"annotations":[],"content":"Other Minimalist Black Cotton Three-Star Embroidery T-Shirt","refusal":null,"role":"assistant"}}],"created":1776665976,"id":"chatcmpl-DWcGm6dDSHa3HP66sKzLuM5y5l6FJ","model":"gpt-5-chat-latest","object":"chat.completion","service_tier":"default","system_fingerprint":"fp_ad66631dec","usage":{"completion_tokens":12,"completion_tokens_details":{"accepted_prediction_tokens":0,"audio_tokens":0,"reasoning_tokens":0,"rejected_prediction_tokens":0},"prompt_tokens":885,"prompt_tokens_details":{"audio_tokens":0,"cached_tokens":0},"total_tokens":897}}</t>
        </is>
      </c>
      <c r="K102" t="inlineStr">
        <is>
          <t>Other Minimalist Black Cotton Three-Star Embroidery T-Shirt</t>
        </is>
      </c>
      <c r="L102" t="inlineStr">
        <is>
          <t>{"id":"chatcmpl-DWaQhcNF1jsY1rP5nPHd7IIJ8Y1OB","object":"chat.completion","created":1776658903,"model":"gpt-5-chat-latest","choices":[{"index":0,"message":{"role":"assistant","content":"T-ShirtsOther Minimalist Series Black Cotton T-Shirt with three-star embroidery. Soft, skin-friendly fabric, unisex fit, perfect for modern urban casual wear—simple, stylish, and easy to match.","refusal":null,"annotations":[]},"logprobs":null,"finish_reason":"stop"}],"usage":{"prompt_tokens":911,"completion_tokens":42,"total_tokens":953,"prompt_tokens_details":{"cached_tokens":0,"audio_tokens":0},"completion_tokens_details":{"reasoning_tokens":0,"audio_tokens":0,"accepted_prediction_tokens":0,"rejected_prediction_tokens":0}},"service_tier":"default","system_fingerprint":"fp_ad66631dec"}</t>
        </is>
      </c>
      <c r="M102"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ma=2592000","apim-request-id":"4beb3f45-543a-4954-aa9f-e34ff7ac70c5","azureml-model-session":"d20260402083108-57a85543","cache-control":"no-cache, no-store, must-revalidate","connection":"close","content-length":"999","content-security-policy":"frame-ancestors 'self'","content-type":"application/json","date":"Mon, 20 Apr 2026 04:21:45 GMT","server":"Caddy","skip-error-remapping":"true","strict-transport-security":"max-age=31536000; includeSubDomains; preload","via":"1.1 Caddy","x-api-request-id":"20260420122142690809733Bco73Q1T","x-content-type-options":"nosniff","x-frame-options":"SAMEORIGIN","x-ms-is-spilled-over":"false","x-ms-rai-invoked":"false","x-ms-region":"East US 2","x-new-api-version":"0.4.39","x-oneapi-request-id":"202604200421425507565468268d9d6mn4prvmQ","x-ratelimit-abusepenalty-active":"False","x-ratelimit-limit-requests":"4994","x-ratelimit-limit-tokens":"4994000","x-ratelimit-remaining-requests":"4993","x-ratelimit-remaining-tokens":"4992327","x-ratelimit-renewalperiod-requests":"60","x-ratelimit-renewalperiod-tokens":"60","x-ratelimit-reset-requests":"12","x-ratelimit-reset-tokens":"20","x-request-id":"9f21f3b5-340a-4c1b-aac7-404fadb5399f"}</t>
        </is>
      </c>
      <c r="N102" t="inlineStr">
        <is>
          <t>T-ShirtsOther Minimalist Series Black Cotton T-Shirt with three-star embroidery. Soft, skin-friendly fabric, unisex fit, perfect for modern urban casual wear—simple, stylish, and easy to match.</t>
        </is>
      </c>
      <c r="O102" t="inlineStr">
        <is>
          <t>{"id":"chatcmpl-DWcbWwrvadWqr8PD8sqvaBrbbWNyf","object":"chat.completion","created":1776667262,"model":"gpt-5-chat-latest","choices":[{"index":0,"message":{"role":"assistant","content":"T-Shirts,Other,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02" t="inlineStr">
        <is>
          <t>T-Shirts,Other,kakobuy,kakebuy2026,kekobuysheet,kakobuysheet2026,2026kakobuy,kakobuyspreadsheeet,kakobuylink,kakebuylist,Kakobuy MEGA Spreadsheet,kakobuysheetfind,kakobuysheetfind2026,2026kakobuysheetfind,kakobuysheet2026</t>
        </is>
      </c>
      <c r="Q102" t="inlineStr">
        <is>
          <t>Minimalist, Black, Unisex, Modern</t>
        </is>
      </c>
      <c r="R102" t="inlineStr">
        <is>
          <t>recvh6xFVjeidu</t>
        </is>
      </c>
      <c r="S102" t="inlineStr">
        <is>
          <t>other-minimalist-black-cotton-three-star-embroidery-t-shirt-recvh6xfvjeidu</t>
        </is>
      </c>
      <c r="T102"/>
      <c r="U102"/>
      <c r="V102"/>
      <c r="W102" t="inlineStr">
        <is>
          <t>{"id":"chatcmpl-DWZhkHpIaewDH9a1fAyBsr2Qzn418","object":"chat.completion","created":1776656116,"model":"gpt-5-chat-latest","choices":[{"index":0,"message":{"role":"assistant","content":"极简系列黑色纯棉短袖T恤，胸前点缀三颗星辰刺绣图案，柔软亲肤面料展现高级质感，男女通穿设计，契合现代都市休闲风格，百搭不挑人，轻松塑造简约时尚态度。","refusal":null,"annotations":[]},"logprobs":null,"finish_reason":"stop"}],"usage":{"prompt_tokens":1319,"completion_tokens":73,"total_tokens":1392,"prompt_tokens_details":{"cached_tokens":0,"audio_tokens":0},"completion_tokens_details":{"reasoning_tokens":0,"audio_tokens":0,"accepted_prediction_tokens":0,"rejected_prediction_tokens":0}},"service_tier":"default","system_fingerprint":"fp_ad66631dec"}</t>
        </is>
      </c>
      <c r="X102" t="inlineStr">
        <is>
          <t>极简系列黑色纯棉短袖T恤，胸前点缀三颗星辰刺绣图案，柔软亲肤面料展现高级质感，男女通穿设计，契合现代都市休闲风格，百搭不挑人，轻松塑造简约时尚态度。</t>
        </is>
      </c>
    </row>
    <row r="103" ht="25.5" customHeight="1">
      <c r="A103">
        <v>1839115443</v>
      </c>
      <c r="B103">
        <v>7693086081</v>
      </c>
      <c r="C103" t="inlineStr">
        <is>
          <t>https://weidian.com/item.html?itemID=7693086081</t>
        </is>
      </c>
      <c r="D103"/>
      <c r="E103" s="2" t="str">
        <f>=HYPERLINK("https://si.geilicdn.com/open1839115443-252808396-2c100000019c50ca2dbb0a22d249_800_800.jpg?w=750&amp;h=750&amp;cp=1", "https://si.geilicdn.com/open1839115443-252808396-2c100000019c50ca2dbb0a22d249_800_800.jpg?w=750&amp;h=750&amp;cp=1")</f>
        <v>https://si.geilicdn.com/open1839115443-252808396-2c100000019c50ca2dbb0a22d249_800_800.jpg?w=750&amp;h=750&amp;cp=1</v>
      </c>
      <c r="F103" t="inlineStr">
        <is>
          <t>T-Shirts</t>
        </is>
      </c>
      <c r="G103" t="inlineStr">
        <is>
          <t>Other</t>
        </is>
      </c>
      <c r="H103" t="inlineStr">
        <is>
          <t>54.00</t>
        </is>
      </c>
      <c r="I103">
        <v>7.83</v>
      </c>
      <c r="J103" t="inlineStr">
        <is>
          <t>{"choices":[{"finish_reason":"stop","index":0,"logprobs":null,"message":{"annotations":[],"content":"Solesana Vintage Black Compass Paisley Sleeveless T-Shirt","refusal":null,"role":"assistant"}}],"created":1776666749,"id":"chatcmpl-DWcTFrAYfDMAXEOG0m3wsuvvaSAbJ","model":"gpt-5-chat-latest","object":"chat.completion","service_tier":"default","system_fingerprint":"fp_ad66631dec","usage":{"completion_tokens":13,"completion_tokens_details":{"accepted_prediction_tokens":0,"audio_tokens":0,"reasoning_tokens":0,"rejected_prediction_tokens":0},"prompt_tokens":875,"prompt_tokens_details":{"audio_tokens":0,"cached_tokens":0},"total_tokens":888}}</t>
        </is>
      </c>
      <c r="K103" t="inlineStr">
        <is>
          <t>Solesana Vintage Black Compass Paisley Sleeveless T-Shirt</t>
        </is>
      </c>
      <c r="L103" t="inlineStr">
        <is>
          <t>{"choices":[{"finish_reason":"stop","index":0,"logprobs":null,"message":{"annotations":[],"content":"Solesana Vintage Black Sleeveless T-Shirt, soft cotton comfort, gold compass and paisley patterns bring street retro charm, unisex loose fit perfect for casual and urban fashion.","refusal":null,"role":"assistant"}}],"created":1776658769,"id":"chatcmpl-DWaOXKNSte4uWSrA1HFcXCsLJWyAU","model":"gpt-5-chat-latest","object":"chat.completion","service_tier":"default","system_fingerprint":"fp_ad66631dec","usage":{"completion_tokens":37,"completion_tokens_details":{"accepted_prediction_tokens":0,"audio_tokens":0,"reasoning_tokens":0,"rejected_prediction_tokens":0},"prompt_tokens":917,"prompt_tokens_details":{"audio_tokens":0,"cached_tokens":0},"total_tokens":954}}</t>
        </is>
      </c>
      <c r="M103" t="inlineStr">
        <is>
          <t>{"alt-svc":"h3=\":443\"; ma=2592000","apim-request-id":"1bf03043-aa8d-48d7-9686-22b985a84051","azureml-model-session":"d20260402083108-57a85543","cache-control":"no-cache","connection":"close","content-length":"766","content-security-policy":"frame-ancestors 'self'","content-type":"application/json","date":"Mon, 20 Apr 2026 04:19:30 GMT","server":"nginx","skip-error-remapping":"true","strict-transport-security":"max-age=31536000; includeSubDomains; preload","via":"1.1 Caddy, 1.1 Caddy","x-api-request-id":"20260420121928540510924bOVI9d3Z","x-content-type-options":"nosniff","x-frame-options":"SAMEORIGIN","x-ms-client-request-id":"Not-Set","x-ms-is-spilled-over":"false","x-ms-rai-invoked":"true","x-ms-region":"East US 2","x-new-api-version":"0.4.39","x-oneapi-request-id":"202604200419284733353708268d9d6aWgkBlWl","x-ratelimit-abusepenalty-active":"False","x-ratelimit-limit-requests":"3850","x-ratelimit-limit-tokens":"3850000","x-ratelimit-remaining-requests":"3849","x-ratelimit-remaining-tokens":"3848321","x-ratelimit-renewalperiod-requests":"60","x-ratelimit-renewalperiod-tokens":"60","x-ratelimit-reset-requests":"15","x-ratelimit-reset-tokens":"26","x-request-id":"fa7261b8-09c0-44ab-991b-e6f32360a270"}</t>
        </is>
      </c>
      <c r="N103" t="inlineStr">
        <is>
          <t>Solesana Vintage Black Sleeveless T-Shirt, soft cotton comfort, gold compass and paisley patterns bring street retro charm, unisex loose fit perfect for casual and urban fashion.</t>
        </is>
      </c>
      <c r="O103" t="inlineStr">
        <is>
          <t>{"choices":[{"finish_reason":"stop","index":0,"logprobs":null,"message":{"annotations":[],"content":"Solesun, T-Shirts, kakobuy, kakebuy2026, kekobuysheet, kakobuysheet2026, 2026kakobuy, kakobuyspreadsheeet, kakobuylink, kakebuylist, Kakobuy MEGA Spreadsheet, kakobuysheetfind, kakobuysheetfind2026, 2026kakobuysheetfind, kakobuysheet2026","refusal":null,"role":"assistant"}}],"created":1776667781,"id":"chatcmpl-DWcjtzEJoA32UV0gZsIsxXaT7GT4u","model":"gpt-5-chat-latest","object":"chat.completion","service_tier":"default","system_fingerprint":"fp_ad66631dec","usage":{"completion_tokens":93,"completion_tokens_details":{"accepted_prediction_tokens":0,"audio_tokens":0,"reasoning_tokens":0,"rejected_prediction_tokens":0},"prompt_tokens":782,"prompt_tokens_details":{"audio_tokens":0,"cached_tokens":0},"total_tokens":875}}</t>
        </is>
      </c>
      <c r="P103" t="inlineStr">
        <is>
          <t>Solesun, T-Shirts, kakobuy, kakebuy2026, kekobuysheet, kakobuysheet2026, 2026kakobuy, kakobuyspreadsheeet, kakobuylink, kakebuylist, Kakobuy MEGA Spreadsheet, kakobuysheetfind, kakobuysheetfind2026, 2026kakobuysheetfind, kakobuysheet2026</t>
        </is>
      </c>
      <c r="Q103" t="inlineStr">
        <is>
          <t>Black, Retro, Streetwear, Unisex</t>
        </is>
      </c>
      <c r="R103" t="inlineStr">
        <is>
          <t>recvh6xFVjAqey</t>
        </is>
      </c>
      <c r="S103" t="inlineStr">
        <is>
          <t>solesana-vintage-black-compass-paisley-sleeveless-t-shirt-recvh6xfvjaqey</t>
        </is>
      </c>
      <c r="T103"/>
      <c r="U103"/>
      <c r="V103"/>
      <c r="W103" t="inlineStr">
        <is>
          <t>{"id":"chatcmpl-DWZaRTGdcOI7Zg8pg8zSluSxP0Zl9","object":"chat.completion","created":1776655663,"model":"gpt-5-chat-latest","choices":[{"index":0,"message":{"role":"assistant","content":"复古黑色无袖T恤，采用柔软纯棉面料，背部饰以金色罗盘与佩斯利花纹图腾，展现街头复古与神秘浪漫气息。宽松剪裁设计兼顾舒适与时尚，男女皆宜，适合休闲与街头穿搭。","refusal":null,"annotations":[]},"logprobs":null,"finish_reason":"stop"}],"usage":{"prompt_tokens":1321,"completion_tokens":78,"total_tokens":1399,"prompt_tokens_details":{"cached_tokens":0,"audio_tokens":0},"completion_tokens_details":{"reasoning_tokens":0,"audio_tokens":0,"accepted_prediction_tokens":0,"rejected_prediction_tokens":0}},"service_tier":"default","system_fingerprint":"fp_ad66631dec"}</t>
        </is>
      </c>
      <c r="X103" t="inlineStr">
        <is>
          <t>复古黑色无袖T恤，采用柔软纯棉面料，背部饰以金色罗盘与佩斯利花纹图腾，展现街头复古与神秘浪漫气息。宽松剪裁设计兼顾舒适与时尚，男女皆宜，适合休闲与街头穿搭。</t>
        </is>
      </c>
    </row>
    <row r="104" ht="25.5" customHeight="1">
      <c r="A104">
        <v>1839115443</v>
      </c>
      <c r="B104">
        <v>7693046435</v>
      </c>
      <c r="C104" t="inlineStr">
        <is>
          <t>https://weidian.com/item.html?itemID=7693046435</t>
        </is>
      </c>
      <c r="D104"/>
      <c r="E104" s="2" t="str">
        <f>=HYPERLINK("https://si.geilicdn.com/open1839115443-252808396-0ad40000019c50b3df530a8115c2_790_790.jpg?w=750&amp;h=750&amp;cp=1", "https://si.geilicdn.com/open1839115443-252808396-0ad40000019c50b3df530a8115c2_790_790.jpg?w=750&amp;h=750&amp;cp=1")</f>
        <v>https://si.geilicdn.com/open1839115443-252808396-0ad40000019c50b3df530a8115c2_790_790.jpg?w=750&amp;h=750&amp;cp=1</v>
      </c>
      <c r="F104" t="inlineStr">
        <is>
          <t>T-Shirts</t>
        </is>
      </c>
      <c r="G104" t="inlineStr">
        <is>
          <t>Other</t>
        </is>
      </c>
      <c r="H104" t="inlineStr">
        <is>
          <t>54.00</t>
        </is>
      </c>
      <c r="I104">
        <v>7.83</v>
      </c>
      <c r="J104" t="inlineStr">
        <is>
          <t>{"choices":[{"finish_reason":"stop","index":0,"logprobs":null,"message":{"annotations":[],"content":"BrandName Artistic Girl Butterfly Print Sleeveless T-Shirt","refusal":null,"role":"assistant"}}],"created":1776666106,"id":"chatcmpl-DWcIsBkvS8VdY7tH15pEGB4Iw2gql","model":"gpt-5-chat-latest","object":"chat.completion","service_tier":"default","system_fingerprint":"fp_ad66631dec","usage":{"completion_tokens":11,"completion_tokens_details":{"accepted_prediction_tokens":0,"audio_tokens":0,"reasoning_tokens":0,"rejected_prediction_tokens":0},"prompt_tokens":883,"prompt_tokens_details":{"audio_tokens":0,"cached_tokens":0},"total_tokens":894}}</t>
        </is>
      </c>
      <c r="K104" t="inlineStr">
        <is>
          <t>BrandName Artistic Girl Butterfly Print Sleeveless T-Shirt</t>
        </is>
      </c>
      <c r="L104" t="inlineStr">
        <is>
          <t>{"choices":[{"finish_reason":"stop","index":0,"logprobs":null,"message":{"annotations":[],"content":"**BrandName** White Cotton Sleeveless T-Shirt featuring an artistic girl and butterfly bouquet print. Soft, breathable, and unisex. Street art style adds a modern, dreamy touch for casual wear.","refusal":null,"role":"assistant"}}],"created":1776659027,"id":"chatcmpl-DWaShO0r5WPhtukFW33FZIn2yWBj0","model":"gpt-5-chat-latest","object":"chat.completion","service_tier":"default","system_fingerprint":"fp_ad66631dec","usage":{"completion_tokens":41,"completion_tokens_details":{"accepted_prediction_tokens":0,"audio_tokens":0,"reasoning_tokens":0,"rejected_prediction_tokens":0},"prompt_tokens":919,"prompt_tokens_details":{"audio_tokens":0,"cached_tokens":0},"total_tokens":960}}</t>
        </is>
      </c>
      <c r="M104" t="inlineStr">
        <is>
          <t>{"alt-svc":"h3=\":443\"; ma=2592000","apim-request-id":"60ec0e22-92de-43fa-8232-737fb0471097","azureml-model-session":"d20260402074105-51db401e","cache-control":"no-cache","connection":"close","content-length":"781","content-security-policy":"frame-ancestors 'self'","content-type":"application/json","date":"Mon, 20 Apr 2026 04:23:48 GMT","server":"nginx","skip-error-remapping":"true","strict-transport-security":"max-age=31536000; includeSubDomains; preload","via":"1.1 Caddy, 1.1 Caddy","x-api-request-id":"20260420122346958898501bMGZX6V5","x-content-type-options":"nosniff","x-frame-options":"SAMEORIGIN","x-ms-client-request-id":"Not-Set","x-ms-is-spilled-over":"false","x-ms-rai-invoked":"true","x-ms-region":"East US 2","x-new-api-version":"0.4.39","x-oneapi-request-id":"202604200423468893168898268d9d6DwhY7NWZ","x-ratelimit-abusepenalty-active":"False","x-ratelimit-limit-requests":"3850","x-ratelimit-limit-tokens":"3850000","x-ratelimit-remaining-requests":"3849","x-ratelimit-remaining-tokens":"3848319","x-ratelimit-renewalperiod-requests":"60","x-ratelimit-renewalperiod-tokens":"60","x-ratelimit-reset-requests":"15","x-ratelimit-reset-tokens":"26","x-request-id":"b4380b0c-719a-47e2-b880-b5376e51f34a"}</t>
        </is>
      </c>
      <c r="N104" t="inlineStr">
        <is>
          <t>**BrandName** White Cotton Sleeveless T-Shirt featuring an artistic girl and butterfly bouquet print. Soft, breathable, and unisex. Street art style adds a modern, dreamy touch for casual wear.</t>
        </is>
      </c>
      <c r="O104" t="inlineStr">
        <is>
          <t>{"choices":[{"finish_reason":"stop","index":0,"logprobs":null,"message":{"annotations":[],"content":"T-Shirts, kakobuy, kakebuy2026, kekobuysheet, kakobuysheet2026, 2026kakobuy, kakobuyspreadsheeet, kakobuylink, kakebuylist, Kakobuy MEGA Spreadsheet, kakobuysheetfind, kakobuysheetfind2026, 2026kakobuysheetfind, kakobuysheet2026","refusal":null,"role":"assistant"}}],"created":1776667972,"id":"chatcmpl-DWcmyYH6XwpkHSB5iKvzM4kIdK4xt","model":"gpt-5-chat-latest","object":"chat.completion","service_tier":"default","system_fingerprint":"fp_ad66631dec","usage":{"completion_tokens":89,"completion_tokens_details":{"accepted_prediction_tokens":0,"audio_tokens":0,"reasoning_tokens":0,"rejected_prediction_tokens":0},"prompt_tokens":782,"prompt_tokens_details":{"audio_tokens":0,"cached_tokens":0},"total_tokens":871}}</t>
        </is>
      </c>
      <c r="P104" t="inlineStr">
        <is>
          <t>T-Shirts, kakobuy, kakebuy2026, kekobuysheet, kakobuysheet2026, 2026kakobuy, kakobuyspreadsheeet, kakobuylink, kakebuylist, Kakobuy MEGA Spreadsheet, kakobuysheetfind, kakobuysheetfind2026, 2026kakobuysheetfind, kakobuysheet2026</t>
        </is>
      </c>
      <c r="Q104" t="inlineStr">
        <is>
          <t>Unisex, Breathable, White</t>
        </is>
      </c>
      <c r="R104" t="inlineStr">
        <is>
          <t>recvh6xFVjVkDx</t>
        </is>
      </c>
      <c r="S104" t="inlineStr">
        <is>
          <t>brandname-artistic-girl-butterfly-print-sleeveless-t-shirt-recvh6xfvjvkd</t>
        </is>
      </c>
      <c r="T104"/>
      <c r="U104"/>
      <c r="V104"/>
      <c r="W104" t="inlineStr">
        <is>
          <t>{"id":"chatcmpl-DWZMvdaMAoSryOHmjxcfuoM2uXlAW","object":"chat.completion","created":1776654825,"model":"gpt-5-chat-latest","choices":[{"index":0,"message":{"role":"assistant","content":"白色无袖T恤，柔软纯棉面料，胸前彩绘女孩与彩蝶花束艺术印花，色彩跃动展现青春浪漫气息。宽松剪裁，舒适透气，男女皆宜。街头艺术风格，融合现代设计与梦幻视觉，适合日常休闲穿搭。","refusal":null,"annotations":[]},"logprobs":null,"finish_reason":"stop"}],"usage":{"prompt_tokens":1321,"completion_tokens":80,"total_tokens":1401,"prompt_tokens_details":{"cached_tokens":0,"audio_tokens":0},"completion_tokens_details":{"reasoning_tokens":0,"audio_tokens":0,"accepted_prediction_tokens":0,"rejected_prediction_tokens":0}},"service_tier":"default","system_fingerprint":"fp_ad66631dec"}</t>
        </is>
      </c>
      <c r="X104" t="inlineStr">
        <is>
          <t>白色无袖T恤，柔软纯棉面料，胸前彩绘女孩与彩蝶花束艺术印花，色彩跃动展现青春浪漫气息。宽松剪裁，舒适透气，男女皆宜。街头艺术风格，融合现代设计与梦幻视觉，适合日常休闲穿搭。</t>
        </is>
      </c>
    </row>
    <row r="105" ht="25.5" customHeight="1">
      <c r="A105">
        <v>1839115443</v>
      </c>
      <c r="B105">
        <v>7695951496</v>
      </c>
      <c r="C105" t="inlineStr">
        <is>
          <t>https://weidian.com/item.html?itemID=7695951496</t>
        </is>
      </c>
      <c r="D105"/>
      <c r="E105" s="2" t="str">
        <f>=HYPERLINK("https://si.geilicdn.com/open1839115443-252808396-0f7c0000019c50a886cf0aa08676_800_800.jpg?w=750&amp;h=750&amp;cp=1", "https://si.geilicdn.com/open1839115443-252808396-0f7c0000019c50a886cf0aa08676_800_800.jpg?w=750&amp;h=750&amp;cp=1")</f>
        <v>https://si.geilicdn.com/open1839115443-252808396-0f7c0000019c50a886cf0aa08676_800_800.jpg?w=750&amp;h=750&amp;cp=1</v>
      </c>
      <c r="F105" t="inlineStr">
        <is>
          <t>T-Shirts</t>
        </is>
      </c>
      <c r="G105" t="inlineStr">
        <is>
          <t>Other</t>
        </is>
      </c>
      <c r="H105" t="inlineStr">
        <is>
          <t>54.00</t>
        </is>
      </c>
      <c r="I105">
        <v>7.83</v>
      </c>
      <c r="J105" t="inlineStr">
        <is>
          <t>{"choices":[{"finish_reason":"stop","index":0,"logprobs":null,"message":{"annotations":[],"content":"Brand XYZ White Sleeveless Graffiti Cotton Streetwear T-Shirt","refusal":null,"role":"assistant"}}],"created":1776666906,"id":"chatcmpl-DWcVmBTe0qJ1GWERA4JXIexaTKa7S","model":"gpt-5-chat-latest","object":"chat.completion","service_tier":"default","system_fingerprint":"fp_ad66631dec","usage":{"completion_tokens":13,"completion_tokens_details":{"accepted_prediction_tokens":0,"audio_tokens":0,"reasoning_tokens":0,"rejected_prediction_tokens":0},"prompt_tokens":875,"prompt_tokens_details":{"audio_tokens":0,"cached_tokens":0},"total_tokens":888}}</t>
        </is>
      </c>
      <c r="K105" t="inlineStr">
        <is>
          <t>Brand XYZ White Sleeveless Graffiti Cotton Streetwear T-Shirt</t>
        </is>
      </c>
      <c r="L105" t="inlineStr">
        <is>
          <t>{"choices":[{"finish_reason":"stop","index":0,"logprobs":null,"message":{"annotations":[],"content":"Brand XYZ white sleeveless graffiti T-shirt features abstract black lettering on chest, soft breathable cotton, crew neck, relaxed fit for men and women, perfect for streetwear fashion style.","refusal":null,"role":"assistant"}}],"created":1776658745,"id":"chatcmpl-DWaO9VQx8Ohm7NicSUHjWWzzU8Zxv","model":"gpt-5-chat-latest","object":"chat.completion","service_tier":"default","system_fingerprint":"fp_ad66631dec","usage":{"completion_tokens":37,"completion_tokens_details":{"accepted_prediction_tokens":0,"audio_tokens":0,"reasoning_tokens":0,"rejected_prediction_tokens":0},"prompt_tokens":922,"prompt_tokens_details":{"audio_tokens":0,"cached_tokens":0},"total_tokens":959}}</t>
        </is>
      </c>
      <c r="M105" t="inlineStr">
        <is>
          <t>{"alt-svc":"h3=\":443\"; ma=2592000","apim-request-id":"f5b8bbfd-96e5-4dec-b924-4ae66df763be","azureml-model-session":"d20260402083108-57a85543","cache-control":"no-cache","connection":"close","content-length":"779","content-security-policy":"frame-ancestors 'self'","content-type":"application/json","date":"Mon, 20 Apr 2026 04:19:07 GMT","server":"nginx","skip-error-remapping":"true","strict-transport-security":"max-age=31536000; includeSubDomains; preload","via":"1.1 Caddy, 1.1 Caddy","x-api-request-id":"20260420121905161676351ZfLd865y","x-content-type-options":"nosniff","x-frame-options":"SAMEORIGIN","x-ms-client-request-id":"Not-Set","x-ms-is-spilled-over":"false","x-ms-rai-invoked":"true","x-ms-region":"East US 2","x-new-api-version":"0.4.39","x-oneapi-request-id":"20260420041905544652078268d9d6L7pOUL8b","x-ratelimit-abusepenalty-active":"False","x-ratelimit-limit-requests":"3850","x-ratelimit-limit-tokens":"3850000","x-ratelimit-remaining-requests":"3849","x-ratelimit-remaining-tokens":"3848316","x-ratelimit-renewalperiod-requests":"60","x-ratelimit-renewalperiod-tokens":"60","x-ratelimit-reset-requests":"15","x-ratelimit-reset-tokens":"26","x-request-id":"b61b193a-46f1-4cbd-b645-7659638393be"}</t>
        </is>
      </c>
      <c r="N105" t="inlineStr">
        <is>
          <t>Brand XYZ white sleeveless graffiti T-shirt features abstract black lettering on chest, soft breathable cotton, crew neck, relaxed fit for men and women, perfect for streetwear fashion style.</t>
        </is>
      </c>
      <c r="O105" t="inlineStr">
        <is>
          <t>{"choices":[{"finish_reason":"stop","index":0,"logprobs":null,"message":{"annotations":[],"content":"RNHELIXORX,T-Shirts,kakobuy,kakebuy2026,kekobuysheet,kakobuysheet2026,2026kakobuy,kakobuyspreadsheeet,kakobuylink,kakebuylist,Kakobuy MEGA Spreadsheet,kakobuysheetfind,kakobuysheetfind2026,2026kakobuysheetfind,kakobuysheet2026","refusal":null,"role":"assistant"}}],"created":1776667777,"id":"chatcmpl-DWcjpDjMD5MwNwhW1GPMEVnZHjGvn","model":"gpt-5-chat-latest","object":"chat.completion","service_tier":"default","system_fingerprint":"fp_ad66631dec","usage":{"completion_tokens":90,"completion_tokens_details":{"accepted_prediction_tokens":0,"audio_tokens":0,"reasoning_tokens":0,"rejected_prediction_tokens":0},"prompt_tokens":782,"prompt_tokens_details":{"audio_tokens":0,"cached_tokens":0},"total_tokens":872}}</t>
        </is>
      </c>
      <c r="P105" t="inlineStr">
        <is>
          <t>RNHELIXORX,T-Shirts,kakobuy,kakebuy2026,kekobuysheet,kakobuysheet2026,2026kakobuy,kakobuyspreadsheeet,kakobuylink,kakebuylist,Kakobuy MEGA Spreadsheet,kakobuysheetfind,kakobuysheetfind2026,2026kakobuysheetfind,kakobuysheet2026</t>
        </is>
      </c>
      <c r="Q105" t="inlineStr">
        <is>
          <t>White, Abstract, Breathable, Streetwear, Unisex</t>
        </is>
      </c>
      <c r="R105" t="inlineStr">
        <is>
          <t>recvh6xFVjvgdR</t>
        </is>
      </c>
      <c r="S105" t="inlineStr">
        <is>
          <t>xyz-white-sleeveless-graffiti-cotton-streetwear-tshirt-recvh6xFVjvgdR</t>
        </is>
      </c>
      <c r="T105"/>
      <c r="U105"/>
      <c r="V105"/>
      <c r="W105" t="inlineStr">
        <is>
          <t>{"choices":[{"finish_reason":"stop","index":0,"logprobs":null,"message":{"annotations":[],"content":"白色街头涂鸦无袖T恤，简约圆领设计，柔软纯棉面料透气舒适。胸前黑色抽象字母印花展现个性艺术感，宽松剪裁兼具休闲与时尚，适合男女日常穿搭，潮流街头风格彰显独特态度。","refusal":null,"role":"assistant"}}],"created":1776654938,"id":"chatcmpl-DWZOkOiBMnrPVx1gv69GQpc39aQtX","model":"gpt-5-chat-latest","object":"chat.completion","service_tier":"default","system_fingerprint":"fp_ad66631dec","usage":{"completion_tokens":83,"completion_tokens_details":{"accepted_prediction_tokens":0,"audio_tokens":0,"reasoning_tokens":0,"rejected_prediction_tokens":0},"prompt_tokens":1321,"prompt_tokens_details":{"audio_tokens":0,"cached_tokens":0},"total_tokens":1404}}</t>
        </is>
      </c>
      <c r="X105" t="inlineStr">
        <is>
          <t>白色街头涂鸦无袖T恤，简约圆领设计，柔软纯棉面料透气舒适。胸前黑色抽象字母印花展现个性艺术感，宽松剪裁兼具休闲与时尚，适合男女日常穿搭，潮流街头风格彰显独特态度。</t>
        </is>
      </c>
    </row>
    <row r="106" ht="25.5" customHeight="1">
      <c r="A106">
        <v>1839115443</v>
      </c>
      <c r="B106">
        <v>7695960876</v>
      </c>
      <c r="C106" t="inlineStr">
        <is>
          <t>https://weidian.com/item.html?itemID=7695960876</t>
        </is>
      </c>
      <c r="D106"/>
      <c r="E106" s="2" t="str">
        <f>=HYPERLINK("https://si.geilicdn.com/open1839115443-252808396-1d680000019c50a3de510a22d249_800_800.jpg?w=750&amp;h=750&amp;cp=1", "https://si.geilicdn.com/open1839115443-252808396-1d680000019c50a3de510a22d249_800_800.jpg?w=750&amp;h=750&amp;cp=1")</f>
        <v>https://si.geilicdn.com/open1839115443-252808396-1d680000019c50a3de510a22d249_800_800.jpg?w=750&amp;h=750&amp;cp=1</v>
      </c>
      <c r="F106" t="inlineStr">
        <is>
          <t>T-Shirts</t>
        </is>
      </c>
      <c r="G106" t="inlineStr">
        <is>
          <t>Other</t>
        </is>
      </c>
      <c r="H106" t="inlineStr">
        <is>
          <t>54.00</t>
        </is>
      </c>
      <c r="I106">
        <v>7.83</v>
      </c>
      <c r="J106" t="inlineStr">
        <is>
          <t>{"choices":[{"finish_reason":"stop","index":0,"logprobs":null,"message":{"annotations":[],"content":"MIHANGMEI White Horse Pixel Graphic Cotton T-Shirt","refusal":null,"role":"assistant"}}],"created":1776666149,"id":"chatcmpl-DWcJZbi3A1eKsgvWlRALrP6akCp2X","model":"gpt-5-chat-latest","object":"chat.completion","service_tier":"default","system_fingerprint":"fp_ad66631dec","usage":{"completion_tokens":13,"completion_tokens_details":{"accepted_prediction_tokens":0,"audio_tokens":0,"reasoning_tokens":0,"rejected_prediction_tokens":0},"prompt_tokens":883,"prompt_tokens_details":{"audio_tokens":0,"cached_tokens":0},"total_tokens":896}}</t>
        </is>
      </c>
      <c r="K106" t="inlineStr">
        <is>
          <t>MIHANGMEI White Horse Pixel Graphic Cotton T-Shirt</t>
        </is>
      </c>
      <c r="L106" t="inlineStr">
        <is>
          <t>{"choices":[{"finish_reason":"stop","index":0,"logprobs":null,"message":{"annotations":[],"content":"MIHANGMEI White Running Horse Graphic T-Shirt, made of soft breathable cotton. Abstract pixel horse print shows vitality and motion. Unisex slim fit, round neck for casual modern street style.","refusal":null,"role":"assistant"}}],"created":1776658912,"id":"chatcmpl-DWaQqlJX8cd1nSOqmAxXCQGzGv4I3","model":"gpt-5-chat-latest","object":"chat.completion","service_tier":"default","system_fingerprint":"fp_ad66631dec","usage":{"completion_tokens":41,"completion_tokens_details":{"accepted_prediction_tokens":0,"audio_tokens":0,"reasoning_tokens":0,"rejected_prediction_tokens":0},"prompt_tokens":944,"prompt_tokens_details":{"audio_tokens":0,"cached_tokens":0},"total_tokens":985}}</t>
        </is>
      </c>
      <c r="M106" t="inlineStr">
        <is>
          <t>{"alt-svc":"h3=\":443\"; ma=2592000","apim-request-id":"6b8c23a6-cf45-45d5-85c0-8a2cd76e10d2","azureml-model-session":"d20260402083108-57a85543","cache-control":"no-cache","connection":"close","content-length":"780","content-security-policy":"frame-ancestors 'self'","content-type":"application/json","date":"Mon, 20 Apr 2026 04:21:54 GMT","server":"nginx","skip-error-remapping":"true","strict-transport-security":"max-age=31536000; includeSubDomains; preload","via":"1.1 Caddy, 1.1 Caddy","x-api-request-id":"20260420122151758496740rFXtYw0O","x-content-type-options":"nosniff","x-frame-options":"SAMEORIGIN","x-ms-client-request-id":"Not-Set","x-ms-is-spilled-over":"false","x-ms-rai-invoked":"true","x-ms-region":"East US 2","x-new-api-version":"0.4.39","x-oneapi-request-id":"202604200421516931843328268d9d6ey3yho5P","x-ratelimit-abusepenalty-active":"False","x-ratelimit-limit-requests":"3850","x-ratelimit-limit-tokens":"3850000","x-ratelimit-remaining-requests":"3849","x-ratelimit-remaining-tokens":"3841044","x-ratelimit-renewalperiod-requests":"60","x-ratelimit-renewalperiod-tokens":"60","x-ratelimit-reset-requests":"15","x-ratelimit-reset-tokens":"139","x-request-id":"50ef0d15-b665-476a-b0dc-ea497b45b920"}</t>
        </is>
      </c>
      <c r="N106" t="inlineStr">
        <is>
          <t>MIHANGMEI White Running Horse Graphic T-Shirt, made of soft breathable cotton. Abstract pixel horse print shows vitality and motion. Unisex slim fit, round neck for casual modern street style.</t>
        </is>
      </c>
      <c r="O106" t="inlineStr">
        <is>
          <t>{"choices":[{"finish_reason":"stop","index":0,"logprobs":null,"message":{"annotations":[],"content":"MIHANGMEI,T-Shirts,kakobuy,kakebuy2026,kekobuysheet,kakobuysheet2026,2026kakobuy,kakobuyspreadsheeet,kakobuylink,kakebuylist,Kakobuy MEGA Spreadsheet,kakobuysheetfind,kakobuysheetfind2026,2026kakobuysheetfind,kakobuysheet2026","refusal":null,"role":"assistant"}}],"created":1776668727,"id":"chatcmpl-DWcz9Z2Y8nKyu4aFGtqtzow9ku204","model":"gpt-5-chat-latest","object":"chat.completion","service_tier":"default","system_fingerprint":"fp_ad66631dec","usage":{"completion_tokens":90,"completion_tokens_details":{"accepted_prediction_tokens":0,"audio_tokens":0,"reasoning_tokens":0,"rejected_prediction_tokens":0},"prompt_tokens":782,"prompt_tokens_details":{"audio_tokens":0,"cached_tokens":0},"total_tokens":872}}</t>
        </is>
      </c>
      <c r="P106" t="inlineStr">
        <is>
          <t>MIHANGMEI,T-Shirts,kakobuy,kakebuy2026,kekobuysheet,kakobuysheet2026,2026kakobuy,kakobuyspreadsheeet,kakobuylink,kakebuylist,Kakobuy MEGA Spreadsheet,kakobuysheetfind,kakobuysheetfind2026,2026kakobuysheetfind,kakobuysheet2026</t>
        </is>
      </c>
      <c r="Q106" t="inlineStr">
        <is>
          <t>White, Streetwear, Unisex, Breathable</t>
        </is>
      </c>
      <c r="R106" t="inlineStr">
        <is>
          <t>recvh6xFVjxVD8</t>
        </is>
      </c>
      <c r="S106" t="inlineStr">
        <is>
          <t>mihangmei-white-horse-pixel-graphic-cotton-tshirt-recvh6xfvjxvd8</t>
        </is>
      </c>
      <c r="T106"/>
      <c r="U106"/>
      <c r="V106"/>
      <c r="W106" t="inlineStr">
        <is>
          <t>{"id":"chatcmpl-DWZSC6kkzkmp7RNpZagncgx760r5S","object":"chat.completion","created":1776655152,"model":"gpt-5-chat-latest","choices":[{"index":0,"message":{"role":"assistant","content":"白色奔马印花短袖T恤，精选柔软纯棉面料，吸湿透气。正面采用抽象像素风奔马图腾设计，搭配英文字母装饰，展现活力与动感。简约圆领剪裁，修身不紧绷，男女皆宜。街头休闲与现代艺术感融合，适合年轻一代日常穿搭，彰显自由奔放的时尚态度。","refusal":null,"annotations":[]},"logprobs":null,"finish_reason":"stop"}],"usage":{"prompt_tokens":1319,"completion_tokens":106,"total_tokens":1425,"prompt_tokens_details":{"cached_tokens":0,"audio_tokens":0},"completion_tokens_details":{"reasoning_tokens":0,"audio_tokens":0,"accepted_prediction_tokens":0,"rejected_prediction_tokens":0}},"service_tier":"default","system_fingerprint":"fp_ad66631dec"}</t>
        </is>
      </c>
      <c r="X106" t="inlineStr">
        <is>
          <t>白色奔马印花短袖T恤，精选柔软纯棉面料，吸湿透气。正面采用抽象像素风奔马图腾设计，搭配英文字母装饰，展现活力与动感。简约圆领剪裁，修身不紧绷，男女皆宜。街头休闲与现代艺术感融合，适合年轻一代日常穿搭，彰显自由奔放的时尚态度。</t>
        </is>
      </c>
    </row>
    <row r="107" ht="25.5" customHeight="1">
      <c r="A107">
        <v>1839115443</v>
      </c>
      <c r="B107">
        <v>7693032373</v>
      </c>
      <c r="C107" t="inlineStr">
        <is>
          <t>https://weidian.com/item.html?itemID=7693032373</t>
        </is>
      </c>
      <c r="D107"/>
      <c r="E107" s="2" t="str">
        <f>=HYPERLINK("https://si.geilicdn.com/open1839115443-252808396-17e30000019c50a1180c0a231226_800_800.jpg?w=750&amp;h=750&amp;cp=1", "https://si.geilicdn.com/open1839115443-252808396-17e30000019c50a1180c0a231226_800_800.jpg?w=750&amp;h=750&amp;cp=1")</f>
        <v>https://si.geilicdn.com/open1839115443-252808396-17e30000019c50a1180c0a231226_800_800.jpg?w=750&amp;h=750&amp;cp=1</v>
      </c>
      <c r="F107" t="inlineStr">
        <is>
          <t>T-Shirts</t>
        </is>
      </c>
      <c r="G107" t="inlineStr">
        <is>
          <t>Other</t>
        </is>
      </c>
      <c r="H107" t="inlineStr">
        <is>
          <t>68.00</t>
        </is>
      </c>
      <c r="I107">
        <v>9.85507246376811</v>
      </c>
      <c r="J107" t="inlineStr">
        <is>
          <t>{"id":"chatcmpl-DWcCN41h50IMEtWMwsMQWKHbFnch3","object":"chat.completion","created":1776665703,"model":"gpt-5-chat-latest","choices":[{"index":0,"message":{"role":"assistant","content":"DIRKANN White Ethnic Totem Street Art Sweatshirt","refusal":null,"annotations":[]},"logprobs":null,"finish_reason":"stop"}],"usage":{"prompt_tokens":881,"completion_tokens":13,"total_tokens":894,"prompt_tokens_details":{"cached_tokens":0,"audio_tokens":0},"completion_tokens_details":{"reasoning_tokens":0,"audio_tokens":0,"accepted_prediction_tokens":0,"rejected_prediction_tokens":0}},"service_tier":"default","system_fingerprint":"fp_ad66631dec"}</t>
        </is>
      </c>
      <c r="K107" t="inlineStr">
        <is>
          <t>DIRKANN White Ethnic Totem Street Art Sweatshirt</t>
        </is>
      </c>
      <c r="L107" t="inlineStr">
        <is>
          <t>{"id":"chatcmpl-DWaS5Y6cUTYQEDDvlaRnJzT6LGPKU","object":"chat.completion","created":1776658989,"model":"gpt-5-chat-latest","choices":[{"index":0,"message":{"role":"assistant","content":"DIRKANN White Unisex Sweatshirt, soft thick cotton, ethnic totem letter print on back, loose street art style, cozy and warm for casual wear, trendy fashion for all seasons.","refusal":null,"annotations":[]},"logprobs":null,"finish_reason":"stop"}],"usage":{"prompt_tokens":905,"completion_tokens":40,"total_tokens":945,"prompt_tokens_details":{"cached_tokens":0,"audio_tokens":0},"completion_tokens_details":{"reasoning_tokens":0,"audio_tokens":0,"accepted_prediction_tokens":0,"rejected_prediction_tokens":0}},"service_tier":"default","system_fingerprint":"fp_ad66631dec"}</t>
        </is>
      </c>
      <c r="M107"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ma=2592000","apim-request-id":"b91507c5-ad68-4c6b-9eb2-ad274a5527f1","azureml-model-session":"d20260405234249-f9874baf","cache-control":"no-cache, no-store, must-revalidate","connection":"close","content-length":"977","content-security-policy":"frame-ancestors 'self'","content-type":"application/json","date":"Mon, 20 Apr 2026 04:23:10 GMT","server":"Caddy","skip-error-remapping":"true","strict-transport-security":"max-age=31536000; includeSubDomains; preload","via":"1.1 Caddy","x-api-request-id":"20260420122308153430304tzzCovnk","x-content-type-options":"nosniff","x-frame-options":"SAMEORIGIN","x-ms-is-spilled-over":"false","x-ms-rai-invoked":"false","x-ms-region":"East US 2","x-new-api-version":"0.4.39","x-oneapi-request-id":"20260420042308876467228268d9d6tDRI0LvX","x-ratelimit-abusepenalty-active":"False","x-ratelimit-limit-requests":"4994","x-ratelimit-limit-tokens":"4994000","x-ratelimit-remaining-requests":"4993","x-ratelimit-remaining-tokens":"4992333","x-ratelimit-renewalperiod-requests":"60","x-ratelimit-renewalperiod-tokens":"60","x-ratelimit-reset-requests":"12","x-ratelimit-reset-tokens":"20","x-request-id":"63795cf9-05d2-47ae-8701-f011648f43c1"}</t>
        </is>
      </c>
      <c r="N107" t="inlineStr">
        <is>
          <t>DIRKANN White Unisex Sweatshirt, soft thick cotton, ethnic totem letter print on back, loose street art style, cozy and warm for casual wear, trendy fashion for all seasons.</t>
        </is>
      </c>
      <c r="O107" t="inlineStr">
        <is>
          <t>{"choices":[{"finish_reason":"stop","index":0,"logprobs":null,"message":{"annotations":[],"content":"DIRKANN,T-Shirts,kakobuy,kakebuy2026,kekobuysheet,kakobuysheet2026,2026kakobuy,kakobuyspreadsheeet,kakobuylink,kakebuylist,Kakobuy MEGA Spreadsheet,kakobuysheetfind,kakobuysheetfind2026,2026kakobuysheetfind,kakobuysheet2026","refusal":null,"role":"assistant"}}],"created":1776667202,"id":"chatcmpl-DWcaYGguiUvulf1tBOv2xgu1E2Blu","model":"gpt-5-chat-latest","object":"chat.completion","service_tier":"default","system_fingerprint":"fp_ad66631dec","usage":{"completion_tokens":88,"completion_tokens_details":{"accepted_prediction_tokens":0,"audio_tokens":0,"reasoning_tokens":0,"rejected_prediction_tokens":0},"prompt_tokens":782,"prompt_tokens_details":{"audio_tokens":0,"cached_tokens":0},"total_tokens":870}}</t>
        </is>
      </c>
      <c r="P107" t="inlineStr">
        <is>
          <t>DIRKANN,T-Shirts,kakobuy,kakebuy2026,kekobuysheet,kakobuysheet2026,2026kakobuy,kakobuyspreadsheeet,kakobuylink,kakebuylist,Kakobuy MEGA Spreadsheet,kakobuysheetfind,kakobuysheetfind2026,2026kakobuysheetfind,kakobuysheet2026</t>
        </is>
      </c>
      <c r="Q107" t="inlineStr">
        <is>
          <t>White, Unisex, Streetwear, All Seasons</t>
        </is>
      </c>
      <c r="R107" t="inlineStr">
        <is>
          <t>recvh6xFVjPPJ6</t>
        </is>
      </c>
      <c r="S107" t="inlineStr">
        <is>
          <t>dirkann-white-ethnic-totem-street-art-sweatshirt-recvh6xFVjPPJ6</t>
        </is>
      </c>
      <c r="T107"/>
      <c r="U107"/>
      <c r="V107"/>
      <c r="W107" t="inlineStr">
        <is>
          <t>{"id":"chatcmpl-DWZU4fsHfCYRnusRHufw8RAWQaOTl","object":"chat.completion","created":1776655268,"model":"gpt-5-chat-latest","choices":[{"index":0,"message":{"role":"assistant","content":"白色休闲印花卫衣，柔软加厚棉质面料打造，背面浓郁民族风图腾字母设计彰显个性，宽松版型适合男女穿搭，融合街头与艺术风格，舒适保暖兼具时尚品味。","refusal":null,"annotations":[]},"logprobs":null,"finish_reason":"stop"}],"usage":{"prompt_tokens":1319,"completion_tokens":67,"total_tokens":1386,"prompt_tokens_details":{"cached_tokens":0,"audio_tokens":0},"completion_tokens_details":{"reasoning_tokens":0,"audio_tokens":0,"accepted_prediction_tokens":0,"rejected_prediction_tokens":0}},"service_tier":"default","system_fingerprint":"fp_ad66631dec"}</t>
        </is>
      </c>
      <c r="X107" t="inlineStr">
        <is>
          <t>白色休闲印花卫衣，柔软加厚棉质面料打造，背面浓郁民族风图腾字母设计彰显个性，宽松版型适合男女穿搭，融合街头与艺术风格，舒适保暖兼具时尚品味。</t>
        </is>
      </c>
    </row>
    <row r="108" ht="25.5" customHeight="1">
      <c r="A108">
        <v>1839115443</v>
      </c>
      <c r="B108">
        <v>7692941575</v>
      </c>
      <c r="C108" t="inlineStr">
        <is>
          <t>https://weidian.com/item.html?itemID=7692941575</t>
        </is>
      </c>
      <c r="D108"/>
      <c r="E108" s="2" t="str">
        <f>=HYPERLINK("https://si.geilicdn.com/open1839115443-252808396-17ab0000019c509ea2f20aa08239_800_800.jpg?w=750&amp;h=750&amp;cp=1", "https://si.geilicdn.com/open1839115443-252808396-17ab0000019c509ea2f20aa08239_800_800.jpg?w=750&amp;h=750&amp;cp=1")</f>
        <v>https://si.geilicdn.com/open1839115443-252808396-17ab0000019c509ea2f20aa08239_800_800.jpg?w=750&amp;h=750&amp;cp=1</v>
      </c>
      <c r="F108" t="inlineStr">
        <is>
          <t>T-Shirts</t>
        </is>
      </c>
      <c r="G108" t="inlineStr">
        <is>
          <t>Other</t>
        </is>
      </c>
      <c r="H108" t="inlineStr">
        <is>
          <t>54.00</t>
        </is>
      </c>
      <c r="I108">
        <v>7.83</v>
      </c>
      <c r="J108" t="inlineStr">
        <is>
          <t>{"choices":[{"finish_reason":"stop","index":0,"logprobs":null,"message":{"annotations":[],"content":"STYMAN Ethnic Totem Graphic White Cotton Unisex T-Shirt","refusal":null,"role":"assistant"}}],"created":1776665928,"id":"chatcmpl-DWcG05qb4EBl8vcHCInLCznJbsyGk","model":"gpt-5-chat-latest","object":"chat.completion","service_tier":"default","system_fingerprint":"fp_ad66631dec","usage":{"completion_tokens":15,"completion_tokens_details":{"accepted_prediction_tokens":0,"audio_tokens":0,"reasoning_tokens":0,"rejected_prediction_tokens":0},"prompt_tokens":879,"prompt_tokens_details":{"audio_tokens":0,"cached_tokens":0},"total_tokens":894}}</t>
        </is>
      </c>
      <c r="K108" t="inlineStr">
        <is>
          <t>STYMAN Ethnic Totem Graphic White Cotton Unisex T-Shirt</t>
        </is>
      </c>
      <c r="L108" t="inlineStr">
        <is>
          <t>{"id":"chatcmpl-DWaPlHyms4LHLFLWyrEnVGUDHWfaG","object":"chat.completion","created":1776658845,"model":"gpt-5-chat-latest","choices":[{"index":0,"message":{"role":"assistant","content":"STYMAN White Cotton Graphic T-Shirt featuring colorful ethnic totem letters on the back, unisex loose fit, soft breathable fabric for daily casual streetwear, showing individuality and trendy attitude.","refusal":null,"annotations":[]},"logprobs":null,"finish_reason":"stop"}],"usage":{"prompt_tokens":903,"completion_tokens":39,"total_tokens":942,"prompt_tokens_details":{"cached_tokens":0,"audio_tokens":0},"completion_tokens_details":{"reasoning_tokens":0,"audio_tokens":0,"accepted_prediction_tokens":0,"rejected_prediction_tokens":0}},"service_tier":"default","system_fingerprint":"fp_ad66631dec"}</t>
        </is>
      </c>
      <c r="M108"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ma=2592000","apim-request-id":"56e4b49a-d865-48af-b0c5-43bc1fb13b1f","azureml-model-session":"d20260405234249-f9874baf","cache-control":"no-cache, no-store, must-revalidate","connection":"close","content-length":"1005","content-security-policy":"frame-ancestors 'self'","content-type":"application/json","date":"Mon, 20 Apr 2026 04:20:47 GMT","server":"nginx","skip-error-remapping":"true","strict-transport-security":"max-age=31536000; includeSubDomains; preload","via":"1.1 Caddy, 1.1 Caddy","x-api-request-id":"20260420122043765430048JtgecWwn","x-content-type-options":"nosniff","x-frame-options":"SAMEORIGIN","x-ms-is-spilled-over":"false","x-ms-rai-invoked":"false","x-ms-region":"Sweden Central","x-new-api-version":"0.4.39","x-oneapi-request-id":"202604200420436971601588268d9d63yhJaze6","x-ratelimit-abusepenalty-active":"False","x-ratelimit-limit-requests":"4993","x-ratelimit-limit-tokens":"4993000","x-ratelimit-remaining-requests":"4992","x-ratelimit-remaining-tokens":"4991335","x-ratelimit-renewalperiod-requests":"60","x-ratelimit-renewalperiod-tokens":"60","x-ratelimit-reset-requests":"12","x-ratelimit-reset-tokens":"20","x-request-id":"862c4294-eafd-4849-a753-040dca91ee2c"}</t>
        </is>
      </c>
      <c r="N108" t="inlineStr">
        <is>
          <t>STYMAN White Cotton Graphic T-Shirt featuring colorful ethnic totem letters on the back, unisex loose fit, soft breathable fabric for daily casual streetwear, showing individuality and trendy attitude.</t>
        </is>
      </c>
      <c r="O108" t="inlineStr">
        <is>
          <t>{"choices":[{"finish_reason":"stop","index":0,"logprobs":null,"message":{"annotations":[],"content":"Stitch, T-Shirts, kakobuy, kakebuy2026, kekobuysheet, kakobuysheet2026, 2026kakobuy, kakobuyspreadsheeet, kakobuylink, kakebuylist, Kakobuy MEGA Spreadsheet, kakobuysheetfind, kakobuysheetfind2026, 2026kakobuysheetfind, kakobuysheet2026","refusal":null,"role":"assistant"}}],"created":1776667797,"id":"chatcmpl-DWck9tVxtcnzPbudGFGMQly0reH8t","model":"gpt-5-chat-latest","object":"chat.completion","service_tier":"default","system_fingerprint":"fp_ad66631dec","usage":{"completion_tokens":92,"completion_tokens_details":{"accepted_prediction_tokens":0,"audio_tokens":0,"reasoning_tokens":0,"rejected_prediction_tokens":0},"prompt_tokens":782,"prompt_tokens_details":{"audio_tokens":0,"cached_tokens":0},"total_tokens":874}}</t>
        </is>
      </c>
      <c r="P108" t="inlineStr">
        <is>
          <t>Stitch, T-Shirts, kakobuy, kakebuy2026, kekobuysheet, kakobuysheet2026, 2026kakobuy, kakobuyspreadsheeet, kakobuylink, kakebuylist, Kakobuy MEGA Spreadsheet, kakobuysheetfind, kakobuysheetfind2026, 2026kakobuysheetfind, kakobuysheet2026</t>
        </is>
      </c>
      <c r="Q108" t="inlineStr">
        <is>
          <t>White, Streetwear, Unisex, Breathable</t>
        </is>
      </c>
      <c r="R108" t="inlineStr">
        <is>
          <t>recvh6xFVjZ9v5</t>
        </is>
      </c>
      <c r="S108" t="inlineStr">
        <is>
          <t>styman-ethnic-totem-graphic-white-cotton-unisex-t-shirt-recvh6xfvjz9v5</t>
        </is>
      </c>
      <c r="T108"/>
      <c r="U108"/>
      <c r="V108"/>
      <c r="W108" t="inlineStr">
        <is>
          <t>{"choices":[{"finish_reason":"stop","index":0,"logprobs":null,"message":{"annotations":[],"content":"白色休闲系列印花T恤，采用柔软纯棉材质，背部饰以彩色民族图腾字母设计，时尚街头风格，宽松中性版型，适合男女日常穿搭，彰显个性与潮流态度。","refusal":null,"role":"assistant"}}],"created":1776655767,"id":"chatcmpl-DWZc7nxSo4RNnWrSyFTliH7uBN3jL","model":"gpt-5-chat-latest","object":"chat.completion","service_tier":"default","system_fingerprint":"fp_ad66631dec","usage":{"completion_tokens":66,"completion_tokens_details":{"accepted_prediction_tokens":0,"audio_tokens":0,"reasoning_tokens":0,"rejected_prediction_tokens":0},"prompt_tokens":1317,"prompt_tokens_details":{"audio_tokens":0,"cached_tokens":0},"total_tokens":1383}}</t>
        </is>
      </c>
      <c r="X108" t="inlineStr">
        <is>
          <t>白色休闲系列印花T恤，采用柔软纯棉材质，背部饰以彩色民族图腾字母设计，时尚街头风格，宽松中性版型，适合男女日常穿搭，彰显个性与潮流态度。</t>
        </is>
      </c>
    </row>
    <row r="109" ht="25.5" customHeight="1">
      <c r="A109">
        <v>1839115443</v>
      </c>
      <c r="B109">
        <v>7693020033</v>
      </c>
      <c r="C109" t="inlineStr">
        <is>
          <t>https://weidian.com/item.html?itemID=7693020033</t>
        </is>
      </c>
      <c r="D109"/>
      <c r="E109" s="2" t="str">
        <f>=HYPERLINK("https://si.geilicdn.com/open1839115443-252808396-10450000019c508c99110aa08239_1000_1000.jpg?w=750&amp;h=750&amp;cp=1", "https://si.geilicdn.com/open1839115443-252808396-10450000019c508c99110aa08239_1000_1000.jpg?w=750&amp;h=750&amp;cp=1")</f>
        <v>https://si.geilicdn.com/open1839115443-252808396-10450000019c508c99110aa08239_1000_1000.jpg?w=750&amp;h=750&amp;cp=1</v>
      </c>
      <c r="F109" t="inlineStr">
        <is>
          <t>T-Shirts</t>
        </is>
      </c>
      <c r="G109" t="inlineStr">
        <is>
          <t>Other</t>
        </is>
      </c>
      <c r="H109" t="inlineStr">
        <is>
          <t>80.00</t>
        </is>
      </c>
      <c r="I109">
        <v>11.59</v>
      </c>
      <c r="J109" t="inlineStr">
        <is>
          <t>{"id":"chatcmpl-DWcDIvkwSVN0irMzzxr1XnqBvpmUs","object":"chat.completion","created":1776665760,"model":"gpt-5-chat-latest","choices":[{"index":0,"message":{"role":"assistant","content":"Pollock White Graffiti Headphone Print Hoodie","refusal":null,"annotations":[]},"logprobs":null,"finish_reason":"stop"}],"usage":{"prompt_tokens":879,"completion_tokens":10,"total_tokens":889,"prompt_tokens_details":{"cached_tokens":0,"audio_tokens":0},"completion_tokens_details":{"reasoning_tokens":0,"audio_tokens":0,"accepted_prediction_tokens":0,"rejected_prediction_tokens":0}},"service_tier":"default","system_fingerprint":"fp_ad66631dec"}</t>
        </is>
      </c>
      <c r="K109" t="inlineStr">
        <is>
          <t>Pollock White Graffiti Headphone Print Hoodie</t>
        </is>
      </c>
      <c r="L109" t="inlineStr">
        <is>
          <t>{"id":"chatcmpl-DWaN3p5JxYMsHvBF9PGlhxJZyNg7T","object":"chat.completion","created":1776658677,"model":"gpt-5-chat-latest","choices":[{"index":0,"message":{"role":"assistant","content":"Pollock White Graffiti Headphone Print Hoodie, soft cotton fabric with 3D headphone totem and street handwritten text, loose unisex fit for trendy everyday and casual streetwear style.","refusal":null,"annotations":[]},"logprobs":null,"finish_reason":"stop"}],"usage":{"prompt_tokens":916,"completion_tokens":39,"total_tokens":955,"prompt_tokens_details":{"cached_tokens":0,"audio_tokens":0},"completion_tokens_details":{"reasoning_tokens":0,"audio_tokens":0,"accepted_prediction_tokens":0,"rejected_prediction_tokens":0}},"service_tier":"default","system_fingerprint":"fp_ad66631dec"}</t>
        </is>
      </c>
      <c r="M109"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ma=2592000","apim-request-id":"f5efd025-ec8b-416e-b2bb-f8b215371dc8","azureml-model-session":"d20260405234249-f9874baf","cache-control":"no-cache, no-store, must-revalidate","connection":"close","content-length":"988","content-security-policy":"frame-ancestors 'self'","content-type":"application/json","date":"Mon, 20 Apr 2026 04:17:58 GMT","server":"Caddy","skip-error-remapping":"true","strict-transport-security":"max-age=31536000; includeSubDomains; preload","via":"1.1 Caddy","x-api-request-id":"20260420121755930570976l9G8N40e","x-content-type-options":"nosniff","x-frame-options":"SAMEORIGIN","x-ms-is-spilled-over":"false","x-ms-rai-invoked":"false","x-ms-region":"East US 2","x-new-api-version":"0.4.39","x-oneapi-request-id":"202604200417558648869988268d9d6JbAxJs5y","x-ratelimit-abusepenalty-active":"False","x-ratelimit-limit-requests":"4994","x-ratelimit-limit-tokens":"4994000","x-ratelimit-remaining-requests":"4993","x-ratelimit-remaining-tokens":"4992322","x-ratelimit-renewalperiod-requests":"60","x-ratelimit-renewalperiod-tokens":"60","x-ratelimit-reset-requests":"12","x-ratelimit-reset-tokens":"20","x-request-id":"b3feadf7-638b-4c42-a30d-5cbaa60ccbc1"}</t>
        </is>
      </c>
      <c r="N109" t="inlineStr">
        <is>
          <t>Pollock White Graffiti Headphone Print Hoodie, soft cotton fabric with 3D headphone totem and street handwritten text, loose unisex fit for trendy everyday and casual streetwear style.</t>
        </is>
      </c>
      <c r="O109" t="inlineStr">
        <is>
          <t>{"choices":[{"finish_reason":"stop","index":0,"logprobs":null,"message":{"annotations":[],"content":"Pollock,T-Shirts,kakobuy,kakebuy2026,kekobuysheet,kakobuysheet2026,2026kakobuy,kakobuyspreadsheeet,kakobuylink,kakebuylist,Kakobuy MEGA Spreadsheet,kakobuysheetfind,kakobuysheetfind2026,2026kakobuysheetfind,kakobuysheet2026","refusal":null,"role":"assistant"}}],"created":1776668460,"id":"chatcmpl-DWcuq3EPuI9tJWCaLdXDsALOVIkqX","model":"gpt-5-chat-latest","object":"chat.completion","service_tier":"default","system_fingerprint":"fp_ad66631dec","usage":{"completion_tokens":87,"completion_tokens_details":{"accepted_prediction_tokens":0,"audio_tokens":0,"reasoning_tokens":0,"rejected_prediction_tokens":0},"prompt_tokens":782,"prompt_tokens_details":{"audio_tokens":0,"cached_tokens":0},"total_tokens":869}}</t>
        </is>
      </c>
      <c r="P109" t="inlineStr">
        <is>
          <t>Pollock,T-Shirts,kakobuy,kakebuy2026,kekobuysheet,kakobuysheet2026,2026kakobuy,kakobuyspreadsheeet,kakobuylink,kakebuylist,Kakobuy MEGA Spreadsheet,kakobuysheetfind,kakobuysheetfind2026,2026kakobuysheetfind,kakobuysheet2026</t>
        </is>
      </c>
      <c r="Q109" t="inlineStr">
        <is>
          <t>Unisex, Streetwear, White</t>
        </is>
      </c>
      <c r="R109" t="inlineStr">
        <is>
          <t>recvh6xFVj5CaJ</t>
        </is>
      </c>
      <c r="S109" t="inlineStr">
        <is>
          <t>pollock-white-graffiti-headphone-print-hoodie-recvh6xfvj5caj</t>
        </is>
      </c>
      <c r="T109"/>
      <c r="U109"/>
      <c r="V109"/>
      <c r="W109" t="inlineStr">
        <is>
          <t>{"choices":[{"finish_reason":"stop","index":0,"logprobs":null,"message":{"annotations":[],"content":"白色涂鸦耳机印花连帽卫衣，柔软纯棉面料，背部立体耳机图腾搭配街头手写字母设计，时尚休闲风格，宽松中性版型，彰显潮流个性与艺术气息，适合日常穿搭与街头造型。","refusal":null,"role":"assistant"}}],"created":1776655487,"id":"chatcmpl-DWZXbSWgaAuq1drKBPdtWC1KMWBWa","model":"gpt-5-chat-latest","object":"chat.completion","service_tier":"default","system_fingerprint":"fp_ad66631dec","usage":{"completion_tokens":79,"completion_tokens_details":{"accepted_prediction_tokens":0,"audio_tokens":0,"reasoning_tokens":0,"rejected_prediction_tokens":0},"prompt_tokens":1317,"prompt_tokens_details":{"audio_tokens":0,"cached_tokens":0},"total_tokens":1396}}</t>
        </is>
      </c>
      <c r="X109" t="inlineStr">
        <is>
          <t>白色涂鸦耳机印花连帽卫衣，柔软纯棉面料，背部立体耳机图腾搭配街头手写字母设计，时尚休闲风格，宽松中性版型，彰显潮流个性与艺术气息，适合日常穿搭与街头造型。</t>
        </is>
      </c>
    </row>
    <row r="110" ht="25.5" customHeight="1">
      <c r="A110">
        <v>1839115443</v>
      </c>
      <c r="B110">
        <v>7693093835</v>
      </c>
      <c r="C110" t="inlineStr">
        <is>
          <t>https://weidian.com/item.html?itemID=7693093835</t>
        </is>
      </c>
      <c r="D110"/>
      <c r="E110" s="2" t="str">
        <f>=HYPERLINK("https://si.geilicdn.com/open1839115443-252808396-0d340000019c50bb21e70a8115c2_800_800.jpg?w=750&amp;h=750&amp;cp=1", "https://si.geilicdn.com/open1839115443-252808396-0d340000019c50bb21e70a8115c2_800_800.jpg?w=750&amp;h=750&amp;cp=1")</f>
        <v>https://si.geilicdn.com/open1839115443-252808396-0d340000019c50bb21e70a8115c2_800_800.jpg?w=750&amp;h=750&amp;cp=1</v>
      </c>
      <c r="F110" t="inlineStr">
        <is>
          <t>T-Shirts</t>
        </is>
      </c>
      <c r="G110" t="inlineStr">
        <is>
          <t>Other</t>
        </is>
      </c>
      <c r="H110" t="inlineStr">
        <is>
          <t>54.00</t>
        </is>
      </c>
      <c r="I110">
        <v>7.83</v>
      </c>
      <c r="J110" t="inlineStr">
        <is>
          <t>{"choices":[{"finish_reason":"stop","index":0,"logprobs":null,"message":{"annotations":[],"content":"ANGYRD White Basketball Cartoon Street T-Shirt","refusal":null,"role":"assistant"}}],"created":1776666222,"id":"chatcmpl-DWcKkaEbw91psZRhakPo6SgrfT1wp","model":"gpt-5-chat-latest","object":"chat.completion","service_tier":"default","system_fingerprint":"fp_ad66631dec","usage":{"completion_tokens":10,"completion_tokens_details":{"accepted_prediction_tokens":0,"audio_tokens":0,"reasoning_tokens":0,"rejected_prediction_tokens":0},"prompt_tokens":873,"prompt_tokens_details":{"audio_tokens":0,"cached_tokens":0},"total_tokens":883}}</t>
        </is>
      </c>
      <c r="K110" t="inlineStr">
        <is>
          <t>ANGYRD White Basketball Cartoon Street T-Shirt</t>
        </is>
      </c>
      <c r="L110" t="inlineStr">
        <is>
          <t>{"id":"chatcmpl-DWaT0y6S28S0X9kTD6K3KmbI9JBaG","object":"chat.completion","created":1776659046,"model":"gpt-5-chat-latest","choices":[{"index":0,"message":{"role":"assistant","content":"ANGYRD White Basketball Street Tee – Soft breathable cotton, loose fit for men and women, vintage cartoon red-haired player print, sporty retro vibe for youthful and bold style.","refusal":null,"annotations":[]},"logprobs":null,"finish_reason":"stop"}],"usage":{"prompt_tokens":909,"completion_tokens":36,"total_tokens":945,"prompt_tokens_details":{"cached_tokens":0,"audio_tokens":0},"completion_tokens_details":{"reasoning_tokens":0,"audio_tokens":0,"accepted_prediction_tokens":0,"rejected_prediction_tokens":0}},"service_tier":"default","system_fingerprint":"fp_ad66631dec"}</t>
        </is>
      </c>
      <c r="M110"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ma=2592000","apim-request-id":"1c149828-ecdb-4bc3-b87c-6f7779501ae0","azureml-model-session":"d20260405234249-f9874baf","cache-control":"no-cache, no-store, must-revalidate","connection":"close","content-length":"983","content-security-policy":"frame-ancestors 'self'","content-type":"application/json","date":"Mon, 20 Apr 2026 04:24:08 GMT","server":"nginx","skip-error-remapping":"true","strict-transport-security":"max-age=31536000; includeSubDomains; preload","via":"1.1 Caddy, 1.1 Caddy","x-api-request-id":"202604201224049944758057RK2OhXH","x-content-type-options":"nosniff","x-frame-options":"SAMEORIGIN","x-ms-is-spilled-over":"false","x-ms-rai-invoked":"false","x-ms-region":"Sweden Central","x-new-api-version":"0.4.39","x-oneapi-request-id":"202604200424049289151458268d9d6mZ6286E3","x-ratelimit-abusepenalty-active":"False","x-ratelimit-limit-requests":"4993","x-ratelimit-limit-tokens":"4993000","x-ratelimit-remaining-requests":"4992","x-ratelimit-remaining-tokens":"4991329","x-ratelimit-renewalperiod-requests":"60","x-ratelimit-renewalperiod-tokens":"60","x-ratelimit-reset-requests":"12","x-ratelimit-reset-tokens":"20","x-request-id":"d187406a-0732-4bc6-ad7e-ca92c2652970"}</t>
        </is>
      </c>
      <c r="N110" t="inlineStr">
        <is>
          <t>ANGYRD White Basketball Street Tee – Soft breathable cotton, loose fit for men and women, vintage cartoon red-haired player print, sporty retro vibe for youthful and bold style.</t>
        </is>
      </c>
      <c r="O110" t="inlineStr">
        <is>
          <t>{"choices":[{"finish_reason":"stop","index":0,"logprobs":null,"message":{"annotations":[],"content":"ANGYRD, T-Shirts, kakobuy, kakebuy2026, kekobuysheet, kakobuysheet2026, 2026kakobuy, kakobuyspreadsheeet, kakobuylink, kakebuylist, Kakobuy MEGA Spreadsheet, kakobuysheetfind, kakobuysheetfind2026, 2026kakobuysheetfind, kakobuysheet2026","refusal":null,"role":"assistant"}}],"created":1776668911,"id":"chatcmpl-DWd27qu6URsSNawooPspL3DEZDks5","model":"gpt-5-chat-latest","object":"chat.completion","service_tier":"default","system_fingerprint":"fp_ad66631dec","usage":{"completion_tokens":93,"completion_tokens_details":{"accepted_prediction_tokens":0,"audio_tokens":0,"reasoning_tokens":0,"rejected_prediction_tokens":0},"prompt_tokens":782,"prompt_tokens_details":{"audio_tokens":0,"cached_tokens":0},"total_tokens":875}}</t>
        </is>
      </c>
      <c r="P110" t="inlineStr">
        <is>
          <t>ANGYRD, T-Shirts, kakobuy, kakebuy2026, kekobuysheet, kakobuysheet2026, 2026kakobuy, kakobuyspreadsheeet, kakobuylink, kakebuylist, Kakobuy MEGA Spreadsheet, kakobuysheetfind, kakobuysheetfind2026, 2026kakobuysheetfind, kakobuysheet2026</t>
        </is>
      </c>
      <c r="Q110" t="inlineStr">
        <is>
          <t>White, Vintage, Retro, Sporty, Unisex</t>
        </is>
      </c>
      <c r="R110" t="inlineStr">
        <is>
          <t>recvh6xFVjKMvW</t>
        </is>
      </c>
      <c r="S110" t="inlineStr">
        <is>
          <t>angyrd-white-basketball-cartoon-street-tshirt-recvh6xfvjkmvw</t>
        </is>
      </c>
      <c r="T110"/>
      <c r="U110"/>
      <c r="V110"/>
      <c r="W110" t="inlineStr">
        <is>
          <t>{"choices":[{"finish_reason":"stop","index":0,"logprobs":null,"message":{"annotations":[],"content":"白色篮球主题街头印花T恤，柔软棉质面料透气舒适，背面设计漫画风红发少年与篮球图腾，结合复古运动元素与潮流街头风格，宽松剪裁男女皆宜，展现青春活力与个性态度。","refusal":null,"role":"assistant"}}],"created":1776655073,"id":"chatcmpl-DWZQvTFi9JymHfgfsqPKjWYzeh0vg","model":"gpt-5-chat-latest","object":"chat.completion","service_tier":"default","system_fingerprint":"fp_ad66631dec","usage":{"completion_tokens":70,"completion_tokens_details":{"accepted_prediction_tokens":0,"audio_tokens":0,"reasoning_tokens":0,"rejected_prediction_tokens":0},"prompt_tokens":1321,"prompt_tokens_details":{"audio_tokens":0,"cached_tokens":0},"total_tokens":1391}}</t>
        </is>
      </c>
      <c r="X110" t="inlineStr">
        <is>
          <t>白色篮球主题街头印花T恤，柔软棉质面料透气舒适，背面设计漫画风红发少年与篮球图腾，结合复古运动元素与潮流街头风格，宽松剪裁男女皆宜，展现青春活力与个性态度。</t>
        </is>
      </c>
    </row>
    <row r="111" ht="25.5" customHeight="1">
      <c r="A111">
        <v>1839115443</v>
      </c>
      <c r="B111">
        <v>7693048421</v>
      </c>
      <c r="C111" t="inlineStr">
        <is>
          <t>https://weidian.com/item.html?itemID=7693048421</t>
        </is>
      </c>
      <c r="D111"/>
      <c r="E111" s="2" t="str">
        <f>=HYPERLINK("https://si.geilicdn.com/open1839115443-252808396-20890000019c50b269a60aa08239_800_800.jpg?w=750&amp;h=750&amp;cp=1", "https://si.geilicdn.com/open1839115443-252808396-20890000019c50b269a60aa08239_800_800.jpg?w=750&amp;h=750&amp;cp=1")</f>
        <v>https://si.geilicdn.com/open1839115443-252808396-20890000019c50b269a60aa08239_800_800.jpg?w=750&amp;h=750&amp;cp=1</v>
      </c>
      <c r="F111" t="inlineStr">
        <is>
          <t>T-Shirts</t>
        </is>
      </c>
      <c r="G111" t="inlineStr">
        <is>
          <t>Other</t>
        </is>
      </c>
      <c r="H111" t="inlineStr">
        <is>
          <t>54.00</t>
        </is>
      </c>
      <c r="I111">
        <v>7.83</v>
      </c>
      <c r="J111" t="inlineStr">
        <is>
          <t>{"choices":[{"finish_reason":"stop","index":0,"logprobs":null,"message":{"annotations":[],"content":"Brand W White Sleeveless Cotton T-Shirt Baseball Graphic","refusal":null,"role":"assistant"}}],"created":1776666798,"id":"chatcmpl-DWcU2YjsDHcSprGiGUE2AIOM39sY7","model":"gpt-5-chat-latest","object":"chat.completion","service_tier":"default","system_fingerprint":"fp_ad66631dec","usage":{"completion_tokens":11,"completion_tokens_details":{"accepted_prediction_tokens":0,"audio_tokens":0,"reasoning_tokens":0,"rejected_prediction_tokens":0},"prompt_tokens":877,"prompt_tokens_details":{"audio_tokens":0,"cached_tokens":0},"total_tokens":888}}</t>
        </is>
      </c>
      <c r="K111" t="inlineStr">
        <is>
          <t>Brand W White Sleeveless Cotton T-Shirt Baseball Graphic</t>
        </is>
      </c>
      <c r="L111" t="inlineStr">
        <is>
          <t>{"id":"chatcmpl-DWaXeVM31zWrCoSNajpKSsdFeaJLP","object":"chat.completion","created":1776659334,"model":"gpt-5-chat-latest","choices":[{"index":0,"message":{"role":"assistant","content":"Brand W White Cotton Sleeveless T-Shirt featuring bold red “W” with baseball bat graphic on back, unisex design for summer casual wear, workouts, and sporty street style comfort.","refusal":null,"annotations":[]},"logprobs":null,"finish_reason":"stop"}],"usage":{"prompt_tokens":903,"completion_tokens":38,"total_tokens":941,"prompt_tokens_details":{"cached_tokens":0,"audio_tokens":0},"completion_tokens_details":{"reasoning_tokens":0,"audio_tokens":0,"accepted_prediction_tokens":0,"rejected_prediction_tokens":0}},"service_tier":"default","system_fingerprint":"fp_ad66631dec"}</t>
        </is>
      </c>
      <c r="M111"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ma=2592000","apim-request-id":"f1695db2-df47-4ac2-b0fa-1ad2e3c13ec2","azureml-model-session":"d20260405234249-f9874baf","cache-control":"no-cache, no-store, must-revalidate","connection":"close","content-length":"986","content-security-policy":"frame-ancestors 'self'","content-type":"application/json","date":"Mon, 20 Apr 2026 04:28:56 GMT","server":"nginx","skip-error-remapping":"true","strict-transport-security":"max-age=31536000; includeSubDomains; preload","via":"1.1 Caddy, 1.1 Caddy","x-api-request-id":"20260420122852186667371Hsl6diJz","x-content-type-options":"nosniff","x-frame-options":"SAMEORIGIN","x-ms-is-spilled-over":"false","x-ms-rai-invoked":"false","x-ms-region":"Sweden Central","x-new-api-version":"0.4.39","x-oneapi-request-id":"202604200428521192289588268d9d6yoSHSLqZ","x-ratelimit-abusepenalty-active":"False","x-ratelimit-limit-requests":"4993","x-ratelimit-limit-tokens":"4993000","x-ratelimit-remaining-requests":"4992","x-ratelimit-remaining-tokens":"4991335","x-ratelimit-renewalperiod-requests":"60","x-ratelimit-renewalperiod-tokens":"60","x-ratelimit-reset-requests":"12","x-ratelimit-reset-tokens":"20","x-request-id":"d1892d47-5f9e-49fe-87b0-aecaf1582ae2"}</t>
        </is>
      </c>
      <c r="N111" t="inlineStr">
        <is>
          <t>Brand W White Cotton Sleeveless T-Shirt featuring bold red “W” with baseball bat graphic on back, unisex design for summer casual wear, workouts, and sporty street style comfort.</t>
        </is>
      </c>
      <c r="O111" t="inlineStr">
        <is>
          <t>{"choices":[{"finish_reason":"stop","index":0,"logprobs":null,"message":{"annotations":[],"content":"W Brand, T-Shirts, kakobuy, kakebuy2026, kekobuysheet, kakobuysheet2026, 2026kakobuy, kakobuyspreadsheeet, kakobuylink, kakebuylist, Kakobuy MEGA Spreadsheet, kakobuysheetfind, kakobuysheetfind2026, 2026kakobuysheetfind, kakobuysheet2026","refusal":null,"role":"assistant"}}],"created":1776668781,"id":"chatcmpl-DWd01gcJGYFWE44jeIupvsqjKQ3qr","model":"gpt-5-chat-latest","object":"chat.completion","service_tier":"default","system_fingerprint":"fp_ad66631dec","usage":{"completion_tokens":92,"completion_tokens_details":{"accepted_prediction_tokens":0,"audio_tokens":0,"reasoning_tokens":0,"rejected_prediction_tokens":0},"prompt_tokens":782,"prompt_tokens_details":{"audio_tokens":0,"cached_tokens":0},"total_tokens":874}}</t>
        </is>
      </c>
      <c r="P111" t="inlineStr">
        <is>
          <t>W Brand, T-Shirts, kakobuy, kakebuy2026, kekobuysheet, kakobuysheet2026, 2026kakobuy, kakobuyspreadsheeet, kakobuylink, kakebuylist, Kakobuy MEGA Spreadsheet, kakobuysheetfind, kakobuysheetfind2026, 2026kakobuysheetfind, kakobuysheet2026</t>
        </is>
      </c>
      <c r="Q111" t="inlineStr">
        <is>
          <t>White, Summer, Unisex, Sporty, Streetwear</t>
        </is>
      </c>
      <c r="R111" t="inlineStr">
        <is>
          <t>recvh6xFVjj6i6</t>
        </is>
      </c>
      <c r="S111" t="inlineStr">
        <is>
          <t>brand-w-white-sleeveless-cotton-tshirt-baseball-graphic-recvh6xfvjj6i6</t>
        </is>
      </c>
      <c r="T111"/>
      <c r="U111"/>
      <c r="V111"/>
      <c r="W111" t="inlineStr">
        <is>
          <t>{"choices":[{"finish_reason":"stop","index":0,"logprobs":null,"message":{"annotations":[],"content":"白色休闲无袖T恤，采用柔软纯棉面料，背面红色大写字母W叠加棒球棒图腾设计，简约又具运动街头风格，男女通穿，适合夏季日常与健身休闲场景。","refusal":null,"role":"assistant"}}],"created":1776655217,"id":"chatcmpl-DWZTFzKD7dCfQxNi9IEyaFw7CpqD2","model":"gpt-5-chat-latest","object":"chat.completion","service_tier":"default","system_fingerprint":"fp_ad66631dec","usage":{"completion_tokens":67,"completion_tokens_details":{"accepted_prediction_tokens":0,"audio_tokens":0,"reasoning_tokens":0,"rejected_prediction_tokens":0},"prompt_tokens":1315,"prompt_tokens_details":{"audio_tokens":0,"cached_tokens":0},"total_tokens":1382}}</t>
        </is>
      </c>
      <c r="X111" t="inlineStr">
        <is>
          <t>白色休闲无袖T恤，采用柔软纯棉面料，背面红色大写字母W叠加棒球棒图腾设计，简约又具运动街头风格，男女通穿，适合夏季日常与健身休闲场景。</t>
        </is>
      </c>
    </row>
    <row r="112" ht="25.5" customHeight="1">
      <c r="A112">
        <v>1839115443</v>
      </c>
      <c r="B112">
        <v>7696014714</v>
      </c>
      <c r="C112" t="inlineStr">
        <is>
          <t>https://weidian.com/item.html?itemID=7696014714</t>
        </is>
      </c>
      <c r="D112"/>
      <c r="E112" s="2" t="str">
        <f>=HYPERLINK("https://si.geilicdn.com/open1839115443-252808396-0a0e0000019c50b220c30a8115c2_800_800.jpg?w=750&amp;h=750&amp;cp=1", "https://si.geilicdn.com/open1839115443-252808396-0a0e0000019c50b220c30a8115c2_800_800.jpg?w=750&amp;h=750&amp;cp=1")</f>
        <v>https://si.geilicdn.com/open1839115443-252808396-0a0e0000019c50b220c30a8115c2_800_800.jpg?w=750&amp;h=750&amp;cp=1</v>
      </c>
      <c r="F112" t="inlineStr">
        <is>
          <t>T-Shirts</t>
        </is>
      </c>
      <c r="G112" t="inlineStr">
        <is>
          <t>Other</t>
        </is>
      </c>
      <c r="H112" t="inlineStr">
        <is>
          <t>80.00</t>
        </is>
      </c>
      <c r="I112">
        <v>11.59</v>
      </c>
      <c r="J112" t="inlineStr">
        <is>
          <t>{"id":"chatcmpl-DWcKXEUECc9MO9urme1wcBeISthdX","object":"chat.completion","created":1776666209,"model":"gpt-5-chat-latest","choices":[{"index":0,"message":{"role":"assistant","content":"RADWNFUDL White Floral Horse Print Hoodie","refusal":null,"annotations":[]},"logprobs":null,"finish_reason":"stop"}],"usage":{"prompt_tokens":885,"completion_tokens":11,"total_tokens":896,"prompt_tokens_details":{"cached_tokens":0,"audio_tokens":0},"completion_tokens_details":{"reasoning_tokens":0,"audio_tokens":0,"accepted_prediction_tokens":0,"rejected_prediction_tokens":0}},"service_tier":"default","system_fingerprint":"fp_ad66631dec"}</t>
        </is>
      </c>
      <c r="K112" t="inlineStr">
        <is>
          <t>RADWNFUDL White Floral Horse Print Hoodie</t>
        </is>
      </c>
      <c r="L112" t="inlineStr">
        <is>
          <t>{"choices":[{"finish_reason":"stop","index":0,"logprobs":null,"message":{"annotations":[],"content":"RADWNFUDL White Floral Horse Print Hoodie, made of soft breathable cotton, features a vibrant colorful horse totem design, unisex loose fit, street art style for daily wear and fashion expression.","refusal":null,"role":"assistant"}}],"created":1776659549,"id":"chatcmpl-DWab7BeFeXRCxyV5Dw8qDawkXm7LH","model":"gpt-5-chat-latest","object":"chat.completion","service_tier":"default","system_fingerprint":"fp_ad66631dec","usage":{"completion_tokens":42,"completion_tokens_details":{"accepted_prediction_tokens":0,"audio_tokens":0,"reasoning_tokens":0,"rejected_prediction_tokens":0},"prompt_tokens":915,"prompt_tokens_details":{"audio_tokens":0,"cached_tokens":0},"total_tokens":957}}</t>
        </is>
      </c>
      <c r="M112" t="inlineStr">
        <is>
          <t>{"alt-svc":"h3=\":443\"; ma=2592000","apim-request-id":"938c7c32-c6d5-40ea-a578-404c113fe8ec","azureml-model-session":"d20260405221325-2e8d5e76","cache-control":"no-cache","connection":"close","content-length":"784","content-security-policy":"frame-ancestors 'self'","content-type":"application/json","date":"Mon, 20 Apr 2026 04:32:30 GMT","server":"Caddy","skip-error-remapping":"true","strict-transport-security":"max-age=31536000; includeSubDomains; preload","via":"1.1 Caddy","x-api-request-id":"2026042012322874657647NgGIOf5S","x-content-type-options":"nosniff","x-frame-options":"SAMEORIGIN","x-ms-client-request-id":"Not-Set","x-ms-is-spilled-over":"false","x-ms-rai-invoked":"true","x-ms-region":"East US 2","x-new-api-version":"0.4.39","x-oneapi-request-id":"2026042004322873808148268d9d6N7pSSTUb","x-ratelimit-abusepenalty-active":"False","x-ratelimit-limit-requests":"3850","x-ratelimit-limit-tokens":"3850000","x-ratelimit-remaining-requests":"3849","x-ratelimit-remaining-tokens":"3848323","x-ratelimit-renewalperiod-requests":"60","x-ratelimit-renewalperiod-tokens":"60","x-ratelimit-reset-requests":"15","x-ratelimit-reset-tokens":"26","x-request-id":"e35a912d-fd42-4ff9-a6c9-9633a558eb49"}</t>
        </is>
      </c>
      <c r="N112" t="inlineStr">
        <is>
          <t>RADWNFUDL White Floral Horse Print Hoodie, made of soft breathable cotton, features a vibrant colorful horse totem design, unisex loose fit, street art style for daily wear and fashion expression.</t>
        </is>
      </c>
      <c r="O112" t="inlineStr">
        <is>
          <t>{"choices":[{"finish_reason":"stop","index":0,"logprobs":null,"message":{"annotations":[],"content":"RADWNFUDL,T-Shirts,kakobuy,kakebuy2026,kekobuysheet,kakobuysheet2026,2026kakobuy,kakobuyspreadsheeet,kakobuylink,kakebuylist,Kakobuy MEGA Spreadsheet,kakobuysheetfind,kakobuysheetfind2026,2026kakobuysheetfind,kakobuysheet2026","refusal":null,"role":"assistant"}}],"created":1776668085,"id":"chatcmpl-DWconEUOuJS8EeeEPpOTcWHkIY9OJ","model":"gpt-5-chat-latest","object":"chat.completion","service_tier":"default","system_fingerprint":"fp_ad66631dec","usage":{"completion_tokens":90,"completion_tokens_details":{"accepted_prediction_tokens":0,"audio_tokens":0,"reasoning_tokens":0,"rejected_prediction_tokens":0},"prompt_tokens":782,"prompt_tokens_details":{"audio_tokens":0,"cached_tokens":0},"total_tokens":872}}</t>
        </is>
      </c>
      <c r="P112" t="inlineStr">
        <is>
          <t>RADWNFUDL,T-Shirts,kakobuy,kakebuy2026,kekobuysheet,kakobuysheet2026,2026kakobuy,kakobuyspreadsheeet,kakobuylink,kakebuylist,Kakobuy MEGA Spreadsheet,kakobuysheetfind,kakobuysheetfind2026,2026kakobuysheetfind,kakobuysheet2026</t>
        </is>
      </c>
      <c r="Q112" t="inlineStr">
        <is>
          <t>White, Floral, Streetwear, Breathable, Unisex</t>
        </is>
      </c>
      <c r="R112" t="inlineStr">
        <is>
          <t>recvh6xFVjCDS5</t>
        </is>
      </c>
      <c r="S112" t="inlineStr">
        <is>
          <t>white-floral-horse-print-hoodie-recvh6xfvjcds5</t>
        </is>
      </c>
      <c r="T112"/>
      <c r="U112"/>
      <c r="V112"/>
      <c r="W112" t="inlineStr">
        <is>
          <t>{"choices":[{"finish_reason":"stop","index":0,"logprobs":null,"message":{"annotations":[],"content":"白色彩花骏马印花连帽卫衣，柔软棉质面料舒适透气，背部多彩马图腾设计彰显活力创意，宽松休闲版型，男女同款，街头艺术风格，适合日常穿搭展现个性时尚态度。","refusal":null,"role":"assistant"}}],"created":1776655457,"id":"chatcmpl-DWZX74N1mTRC5nLyuuKNcCIvVLdFK","model":"gpt-5-chat-latest","object":"chat.completion","service_tier":"default","system_fingerprint":"fp_ad66631dec","usage":{"completion_tokens":74,"completion_tokens_details":{"accepted_prediction_tokens":0,"audio_tokens":0,"reasoning_tokens":0,"rejected_prediction_tokens":0},"prompt_tokens":1325,"prompt_tokens_details":{"audio_tokens":0,"cached_tokens":1280},"total_tokens":1399}}</t>
        </is>
      </c>
      <c r="X112" t="inlineStr">
        <is>
          <t>白色彩花骏马印花连帽卫衣，柔软棉质面料舒适透气，背部多彩马图腾设计彰显活力创意，宽松休闲版型，男女同款，街头艺术风格，适合日常穿搭展现个性时尚态度。</t>
        </is>
      </c>
    </row>
    <row r="113" ht="25.5" customHeight="1">
      <c r="A113">
        <v>1839115443</v>
      </c>
      <c r="B113">
        <v>7693093605</v>
      </c>
      <c r="C113" t="inlineStr">
        <is>
          <t>https://weidian.com/item.html?itemID=7693093605</t>
        </is>
      </c>
      <c r="D113"/>
      <c r="E113" s="2" t="str">
        <f>=HYPERLINK("https://si.geilicdn.com/open1839115443-252808396-1ca90000019c50ad02bc0a23b4de_800_800.jpg?w=750&amp;h=750&amp;cp=1", "https://si.geilicdn.com/open1839115443-252808396-1ca90000019c50ad02bc0a23b4de_800_800.jpg?w=750&amp;h=750&amp;cp=1")</f>
        <v>https://si.geilicdn.com/open1839115443-252808396-1ca90000019c50ad02bc0a23b4de_800_800.jpg?w=750&amp;h=750&amp;cp=1</v>
      </c>
      <c r="F113" t="inlineStr">
        <is>
          <t>T-Shirts</t>
        </is>
      </c>
      <c r="G113" t="inlineStr">
        <is>
          <t>Other</t>
        </is>
      </c>
      <c r="H113" t="inlineStr">
        <is>
          <t>54.00</t>
        </is>
      </c>
      <c r="I113">
        <v>7.83</v>
      </c>
      <c r="J113" t="inlineStr">
        <is>
          <t>{"id":"chatcmpl-DWcJQKUNTxUvzkzc3sRROyn8ULGz6","object":"chat.completion","created":1776666140,"model":"gpt-5-chat-latest","choices":[{"index":0,"message":{"role":"assistant","content":"Other Space Exploration Astronaut Planet White Cotton T-Shirt","refusal":null,"annotations":[]},"logprobs":null,"finish_reason":"stop"}],"usage":{"prompt_tokens":875,"completion_tokens":11,"total_tokens":886,"prompt_tokens_details":{"cached_tokens":0,"audio_tokens":0},"completion_tokens_details":{"reasoning_tokens":0,"audio_tokens":0,"accepted_prediction_tokens":0,"rejected_prediction_tokens":0}},"service_tier":"default","system_fingerprint":"fp_ad66631dec"}</t>
        </is>
      </c>
      <c r="K113" t="inlineStr">
        <is>
          <t>Other Space Exploration Astronaut Planet White Cotton T-Shirt</t>
        </is>
      </c>
      <c r="L113" t="inlineStr">
        <is>
          <t>{"choices":[{"finish_reason":"stop","index":0,"logprobs":null,"message":{"annotations":[],"content":"Brand T-ShirtsOther Space Exploration Series white cotton T-shirt featuring cartoon astronaut and planet print, futuristic tech style, street fashion, unisex, soft, perfect for everyday casual wear.","refusal":null,"role":"assistant"}}],"created":1776658432,"id":"chatcmpl-DWaJ6mqSRSOvUjLEglg5haqJqICOM","model":"gpt-5-chat-latest","object":"chat.completion","service_tier":"default","system_fingerprint":"fp_ad66631dec","usage":{"completion_tokens":37,"completion_tokens_details":{"accepted_prediction_tokens":0,"audio_tokens":0,"reasoning_tokens":0,"rejected_prediction_tokens":0},"prompt_tokens":899,"prompt_tokens_details":{"audio_tokens":0,"cached_tokens":0},"total_tokens":936}}</t>
        </is>
      </c>
      <c r="M113" t="inlineStr">
        <is>
          <t>{"alt-svc":"h3=\":443\"; ma=2592000","apim-request-id":"6c9bb6f8-4211-460b-b7da-33d2ede6280e","azureml-model-session":"d20260402084046-4209e968","cache-control":"no-cache","connection":"close","content-length":"786","content-security-policy":"frame-ancestors 'self'","content-type":"application/json","date":"Mon, 20 Apr 2026 04:13:53 GMT","server":"Caddy","skip-error-remapping":"true","strict-transport-security":"max-age=31536000; includeSubDomains; preload","via":"1.1 Caddy","x-api-request-id":"2026042012135122472045NkaPikDC","x-content-type-options":"nosniff","x-frame-options":"SAMEORIGIN","x-ms-client-request-id":"Not-Set","x-ms-is-spilled-over":"false","x-ms-rai-invoked":"true","x-ms-region":"East US 2","x-new-api-version":"0.4.39","x-oneapi-request-id":"202604200413508773305358268d9d6BQNPMDvQ","x-ratelimit-abusepenalty-active":"False","x-ratelimit-limit-requests":"3850","x-ratelimit-limit-tokens":"3850000","x-ratelimit-remaining-requests":"3849","x-ratelimit-remaining-tokens":"3848339","x-ratelimit-renewalperiod-requests":"60","x-ratelimit-renewalperiod-tokens":"60","x-ratelimit-reset-requests":"15","x-ratelimit-reset-tokens":"25","x-request-id":"8183e408-c17d-43e1-aef0-6df76b9861ff"}</t>
        </is>
      </c>
      <c r="N113" t="inlineStr">
        <is>
          <t>Brand T-ShirtsOther Space Exploration Series white cotton T-shirt featuring cartoon astronaut and planet print, futuristic tech style, street fashion, unisex, soft, perfect for everyday casual wear.</t>
        </is>
      </c>
      <c r="O113" t="inlineStr">
        <is>
          <t>{"choices":[{"finish_reason":"stop","index":0,"logprobs":null,"message":{"annotations":[],"content":"Space, T-Shirts, kakobuy, kakebuy2026, kekobuysheet, kakobuysheet2026, 2026kakobuy, kakobuyspreadsheeet, kakobuylink, kakebuylist, Kakobuy MEGA Spreadsheet, kakobuysheetfind, kakobuysheetfind2026, 2026kakobuysheetfind, kakobuysheet2026","refusal":null,"role":"assistant"}}],"created":1776667614,"id":"chatcmpl-DWchCDxzFASjsGBXArvks0xOPJLSJ","model":"gpt-5-chat-latest","object":"chat.completion","service_tier":"default","system_fingerprint":"fp_ad66631dec","usage":{"completion_tokens":91,"completion_tokens_details":{"accepted_prediction_tokens":0,"audio_tokens":0,"reasoning_tokens":0,"rejected_prediction_tokens":0},"prompt_tokens":782,"prompt_tokens_details":{"audio_tokens":0,"cached_tokens":0},"total_tokens":873}}</t>
        </is>
      </c>
      <c r="P113" t="inlineStr">
        <is>
          <t>Space, T-Shirts, kakobuy, kakebuy2026, kekobuysheet, kakobuysheet2026, 2026kakobuy, kakobuyspreadsheeet, kakobuylink, kakebuylist, Kakobuy MEGA Spreadsheet, kakobuysheetfind, kakobuysheetfind2026, 2026kakobuysheetfind, kakobuysheet2026</t>
        </is>
      </c>
      <c r="Q113" t="inlineStr">
        <is>
          <t>White, Streetwear, Unisex, Four Seasons</t>
        </is>
      </c>
      <c r="R113" t="inlineStr">
        <is>
          <t>recvh6xFVjAHdL</t>
        </is>
      </c>
      <c r="S113" t="inlineStr">
        <is>
          <t>other-space-exploration-astronaut-planet-recvh6xFVjAHdL</t>
        </is>
      </c>
      <c r="T113"/>
      <c r="U113"/>
      <c r="V113"/>
      <c r="W113" t="inlineStr">
        <is>
          <t>{"id":"chatcmpl-DWZTFYAU1D4e4tS7IKXa32X7fNZxa","object":"chat.completion","created":1776655217,"model":"gpt-5-chat-latest","choices":[{"index":0,"message":{"role":"assistant","content":"太空探索系列白色休闲T恤，柔软纯棉材质，印有卡通宇航员与行星图腾，展现未来科技感与街头潮流风格，男女通用，日常穿搭轻松百搭。","refusal":null,"annotations":[]},"logprobs":null,"finish_reason":"stop"}],"usage":{"prompt_tokens":1321,"completion_tokens":60,"total_tokens":1381,"prompt_tokens_details":{"cached_tokens":1280,"audio_tokens":0},"completion_tokens_details":{"reasoning_tokens":0,"audio_tokens":0,"accepted_prediction_tokens":0,"rejected_prediction_tokens":0}},"service_tier":"default","system_fingerprint":"fp_ad66631dec"}</t>
        </is>
      </c>
      <c r="X113" t="inlineStr">
        <is>
          <t>太空探索系列白色休闲T恤，柔软纯棉材质，印有卡通宇航员与行星图腾，展现未来科技感与街头潮流风格，男女通用，日常穿搭轻松百搭。</t>
        </is>
      </c>
    </row>
    <row r="114" ht="25.5" customHeight="1">
      <c r="A114">
        <v>1839115443</v>
      </c>
      <c r="B114">
        <v>7695937582</v>
      </c>
      <c r="C114" t="inlineStr">
        <is>
          <t>https://weidian.com/item.html?itemID=7695937582</t>
        </is>
      </c>
      <c r="D114"/>
      <c r="E114" s="2" t="str">
        <f>=HYPERLINK("https://si.geilicdn.com/open1839115443-252808396-1dfe0000019c50a631030a22d249_800_800.jpg?w=750&amp;h=750&amp;cp=1", "https://si.geilicdn.com/open1839115443-252808396-1dfe0000019c50a631030a22d249_800_800.jpg?w=750&amp;h=750&amp;cp=1")</f>
        <v>https://si.geilicdn.com/open1839115443-252808396-1dfe0000019c50a631030a22d249_800_800.jpg?w=750&amp;h=750&amp;cp=1</v>
      </c>
      <c r="F114" t="inlineStr">
        <is>
          <t>T-Shirts</t>
        </is>
      </c>
      <c r="G114" t="inlineStr">
        <is>
          <t>Other</t>
        </is>
      </c>
      <c r="H114" t="inlineStr">
        <is>
          <t>54.00</t>
        </is>
      </c>
      <c r="I114">
        <v>7.83</v>
      </c>
      <c r="J114" t="inlineStr">
        <is>
          <t>{"choices":[{"finish_reason":"stop","index":0,"logprobs":null,"message":{"annotations":[],"content":"OtherBrand Minimalist White Cotton T-Shirt Fresh Start Embroidered","refusal":null,"role":"assistant"}}],"created":1776666547,"id":"chatcmpl-DWcPzoBkQsSXwAQ5pwpkQsLNVSayL","model":"gpt-5-chat-latest","object":"chat.completion","service_tier":"default","system_fingerprint":"fp_ad66631dec","usage":{"completion_tokens":14,"completion_tokens_details":{"accepted_prediction_tokens":0,"audio_tokens":0,"reasoning_tokens":0,"rejected_prediction_tokens":0},"prompt_tokens":873,"prompt_tokens_details":{"audio_tokens":0,"cached_tokens":0},"total_tokens":887}}</t>
        </is>
      </c>
      <c r="K114" t="inlineStr">
        <is>
          <t>OtherBrand Minimalist White Cotton T-Shirt Fresh Start Embroidered</t>
        </is>
      </c>
      <c r="L114" t="inlineStr">
        <is>
          <t>{"id":"chatcmpl-DWaOmChJ4nXwOLVCPrHl4oEp4eT4e","object":"chat.completion","created":1776658784,"model":"gpt-5-chat-latest","choices":[{"index":0,"message":{"role":"assistant","content":"Brand T-ShirtsOther Minimalist White Cotton T-Shirt, soft breathable fabric, black “fresh start” embroidery, unisex casual design for confident urban street style and everyday comfort.","refusal":null,"annotations":[]},"logprobs":null,"finish_reason":"stop"}],"usage":{"prompt_tokens":902,"completion_tokens":36,"total_tokens":938,"prompt_tokens_details":{"cached_tokens":0,"audio_tokens":0},"completion_tokens_details":{"reasoning_tokens":0,"audio_tokens":0,"accepted_prediction_tokens":0,"rejected_prediction_tokens":0}},"service_tier":"default","system_fingerprint":"fp_ad66631dec"}</t>
        </is>
      </c>
      <c r="M114"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ma=2592000","apim-request-id":"b7dddc05-dd32-46ad-ba93-57478aaaf461","azureml-model-session":"d20260405234249-f9874baf","cache-control":"no-cache, no-store, must-revalidate","connection":"close","content-length":"992","content-security-policy":"frame-ancestors 'self'","content-type":"application/json","date":"Mon, 20 Apr 2026 04:19:45 GMT","server":"Caddy","skip-error-remapping":"true","strict-transport-security":"max-age=31536000; includeSubDomains; preload","via":"1.1 Caddy","x-api-request-id":"20260420121942822380241fyV66tKA","x-content-type-options":"nosniff","x-frame-options":"SAMEORIGIN","x-ms-is-spilled-over":"false","x-ms-rai-invoked":"false","x-ms-region":"East US 2","x-new-api-version":"0.4.39","x-oneapi-request-id":"202604200419427575700808268d9d6zbFA2vHN","x-ratelimit-abusepenalty-active":"False","x-ratelimit-limit-requests":"4994","x-ratelimit-limit-tokens":"4994000","x-ratelimit-remaining-requests":"4993","x-ratelimit-remaining-tokens":"4992336","x-ratelimit-renewalperiod-requests":"60","x-ratelimit-renewalperiod-tokens":"60","x-ratelimit-reset-requests":"12","x-ratelimit-reset-tokens":"19","x-request-id":"d36430a2-c8ca-4bb8-a02d-5d970fde9ef3"}</t>
        </is>
      </c>
      <c r="N114" t="inlineStr">
        <is>
          <t>Brand T-ShirtsOther Minimalist White Cotton T-Shirt, soft breathable fabric, black “fresh start” embroidery, unisex casual design for confident urban street style and everyday comfort.</t>
        </is>
      </c>
      <c r="O114" t="inlineStr">
        <is>
          <t>{"choices":[{"finish_reason":"stop","index":0,"logprobs":null,"message":{"annotations":[],"content":"Freshstart,T-Shirts,kakobuy,kakebuy2026,kekobuysheet,kakobuysheet2026,2026kakobuy,kakobuyspreadsheeet,kakobuylink,kakebuylist,Kakobuy MEGA Spreadsheet,kakobuysheetfind,kakobuysheetfind2026,2026kakobuysheetfind,kakobuysheet2026","refusal":null,"role":"assistant"}}],"created":1776668794,"id":"chatcmpl-DWd0ErmlsU1Isr0XKmZv3Pmp1rJNa","model":"gpt-5-chat-latest","object":"chat.completion","service_tier":"default","system_fingerprint":"fp_ad66631dec","usage":{"completion_tokens":87,"completion_tokens_details":{"accepted_prediction_tokens":0,"audio_tokens":0,"reasoning_tokens":0,"rejected_prediction_tokens":0},"prompt_tokens":782,"prompt_tokens_details":{"audio_tokens":0,"cached_tokens":0},"total_tokens":869}}</t>
        </is>
      </c>
      <c r="P114" t="inlineStr">
        <is>
          <t>Freshstart,T-Shirts,kakobuy,kakebuy2026,kekobuysheet,kakobuysheet2026,2026kakobuy,kakobuyspreadsheeet,kakobuylink,kakebuylist,Kakobuy MEGA Spreadsheet,kakobuysheetfind,kakobuysheetfind2026,2026kakobuysheetfind,kakobuysheet2026</t>
        </is>
      </c>
      <c r="Q114" t="inlineStr">
        <is>
          <t>White, Unisex, Breathable, Street</t>
        </is>
      </c>
      <c r="R114" t="inlineStr">
        <is>
          <t>recvh6xFVjEdBY</t>
        </is>
      </c>
      <c r="S114" t="inlineStr">
        <is>
          <t>otherbrand-minimalist-white-cotton-tshirt-fresh-start-embroidered-recvh6xFVjEdBY</t>
        </is>
      </c>
      <c r="T114"/>
      <c r="U114"/>
      <c r="V114"/>
      <c r="W114" t="inlineStr">
        <is>
          <t>{"choices":[{"finish_reason":"stop","index":0,"logprobs":null,"message":{"annotations":[],"content":"极简白色短袖T恤，柔软纯棉面料舒适透气，胸前黑色“fresh start”刺绣字样点缀细节，简约都市设计，男女通用休闲款，展现年轻自信街头风格。","refusal":null,"role":"assistant"}}],"created":1776655897,"id":"chatcmpl-DWZeD9e2KnByohCiXKcFTGvEUPuRr","model":"gpt-5-chat-latest","object":"chat.completion","service_tier":"default","system_fingerprint":"fp_ad66631dec","usage":{"completion_tokens":64,"completion_tokens_details":{"accepted_prediction_tokens":0,"audio_tokens":0,"reasoning_tokens":0,"rejected_prediction_tokens":0},"prompt_tokens":1319,"prompt_tokens_details":{"audio_tokens":0,"cached_tokens":1280},"total_tokens":1383}}</t>
        </is>
      </c>
      <c r="X114" t="inlineStr">
        <is>
          <t>极简白色短袖T恤，柔软纯棉面料舒适透气，胸前黑色“fresh start”刺绣字样点缀细节，简约都市设计，男女通用休闲款，展现年轻自信街头风格。</t>
        </is>
      </c>
    </row>
    <row r="115" ht="25.5" customHeight="1">
      <c r="A115">
        <v>1839115443</v>
      </c>
      <c r="B115">
        <v>7693063745</v>
      </c>
      <c r="C115" t="inlineStr">
        <is>
          <t>https://weidian.com/item.html?itemID=7693063745</t>
        </is>
      </c>
      <c r="D115"/>
      <c r="E115" s="2" t="str">
        <f>=HYPERLINK("https://si.geilicdn.com/open1839115443-252808396-18940000019c50a0151f0a23b4de_790_790.jpg?w=750&amp;h=750&amp;cp=1", "https://si.geilicdn.com/open1839115443-252808396-18940000019c50a0151f0a23b4de_790_790.jpg?w=750&amp;h=750&amp;cp=1")</f>
        <v>https://si.geilicdn.com/open1839115443-252808396-18940000019c50a0151f0a23b4de_790_790.jpg?w=750&amp;h=750&amp;cp=1</v>
      </c>
      <c r="F115" t="inlineStr">
        <is>
          <t>T-Shirts</t>
        </is>
      </c>
      <c r="G115" t="inlineStr">
        <is>
          <t>Other</t>
        </is>
      </c>
      <c r="H115" t="inlineStr">
        <is>
          <t>54.00</t>
        </is>
      </c>
      <c r="I115">
        <v>7.83</v>
      </c>
      <c r="J115" t="inlineStr">
        <is>
          <t>{"choices":[{"finish_reason":"stop","index":0,"logprobs":null,"message":{"annotations":[],"content":"T-ShirtsOther Vintage Black Sleeveless Cotton Sweatshirt","refusal":null,"role":"assistant"}}],"created":1776666664,"id":"chatcmpl-DWcRsSrQot1AsGiQ7RdkzF5Bqt9DH","model":"gpt-5-chat-latest","object":"chat.completion","service_tier":"default","system_fingerprint":"fp_ad66631dec","usage":{"completion_tokens":11,"completion_tokens_details":{"accepted_prediction_tokens":0,"audio_tokens":0,"reasoning_tokens":0,"rejected_prediction_tokens":0},"prompt_tokens":875,"prompt_tokens_details":{"audio_tokens":0,"cached_tokens":0},"total_tokens":886}}</t>
        </is>
      </c>
      <c r="K115" t="inlineStr">
        <is>
          <t>T-ShirtsOther Vintage Black Sleeveless Cotton Sweatshirt</t>
        </is>
      </c>
      <c r="L115" t="inlineStr">
        <is>
          <t>{"choices":[{"finish_reason":"stop","index":0,"logprobs":null,"message":{"annotations":[],"content":"Brand T-ShirtsOther vintage black sleeveless sweatshirt in soft cotton, featuring minimalist artistic silhouette print, loose fit for unisex casual wear, blending comfort, individuality, and street style.","refusal":null,"role":"assistant"}}],"created":1776658454,"id":"chatcmpl-DWaJSAFByjSJHwlILi3OKfAJyxmSe","model":"gpt-5-chat-latest","object":"chat.completion","service_tier":"default","system_fingerprint":"fp_ad66631dec","usage":{"completion_tokens":37,"completion_tokens_details":{"accepted_prediction_tokens":0,"audio_tokens":0,"reasoning_tokens":0,"rejected_prediction_tokens":0},"prompt_tokens":912,"prompt_tokens_details":{"audio_tokens":0,"cached_tokens":0},"total_tokens":949}}</t>
        </is>
      </c>
      <c r="M115" t="inlineStr">
        <is>
          <t>{"alt-svc":"h3=\":443\"; ma=2592000","apim-request-id":"a674fc20-8137-464f-80f3-badada46e792","azureml-model-session":"d20260402083108-57a85543","cache-control":"no-cache","connection":"close","content-length":"792","content-security-policy":"frame-ancestors 'self'","content-type":"application/json","date":"Mon, 20 Apr 2026 04:14:15 GMT","server":"nginx","skip-error-remapping":"true","strict-transport-security":"max-age=31536000; includeSubDomains; preload","via":"1.1 Caddy, 1.1 Caddy","x-api-request-id":"20260420121413330626668UMz2hh8U","x-content-type-options":"nosniff","x-frame-options":"SAMEORIGIN","x-ms-client-request-id":"Not-Set","x-ms-is-spilled-over":"false","x-ms-rai-invoked":"true","x-ms-region":"East US 2","x-new-api-version":"0.4.39","x-oneapi-request-id":"202604200414132656264088268d9d6s1URyGvh","x-ratelimit-abusepenalty-active":"False","x-ratelimit-limit-requests":"3850","x-ratelimit-limit-tokens":"3850000","x-ratelimit-remaining-requests":"3849","x-ratelimit-remaining-tokens":"3848326","x-ratelimit-renewalperiod-requests":"60","x-ratelimit-renewalperiod-tokens":"60","x-ratelimit-reset-requests":"15","x-ratelimit-reset-tokens":"26","x-request-id":"529413c6-539b-489b-9e8a-7f4631b12d13"}</t>
        </is>
      </c>
      <c r="N115" t="inlineStr">
        <is>
          <t>Brand T-ShirtsOther vintage black sleeveless sweatshirt in soft cotton, featuring minimalist artistic silhouette print, loose fit for unisex casual wear, blending comfort, individuality, and street style.</t>
        </is>
      </c>
      <c r="O115" t="inlineStr">
        <is>
          <t>{"choices":[{"finish_reason":"stop","index":0,"logprobs":null,"message":{"annotations":[],"content":"T-Shirts, kakobuy, kakebuy2026, kekobuysheet, kakobuysheet2026, 2026kakobuy, kakobuyspreadsheeet, kakobuylink, kakebuylist, Kakobuy MEGA Spreadsheet, kakobuysheetfind, kakobuysheetfind2026, 2026kakobuysheetfind, kakobuysheet2026","refusal":null,"role":"assistant"}}],"created":1776668046,"id":"chatcmpl-DWcoAhTBUy5kiShO2yYCzIurJCFC4","model":"gpt-5-chat-latest","object":"chat.completion","service_tier":"default","system_fingerprint":"fp_ad66631dec","usage":{"completion_tokens":89,"completion_tokens_details":{"accepted_prediction_tokens":0,"audio_tokens":0,"reasoning_tokens":0,"rejected_prediction_tokens":0},"prompt_tokens":782,"prompt_tokens_details":{"audio_tokens":0,"cached_tokens":0},"total_tokens":871}}</t>
        </is>
      </c>
      <c r="P115" t="inlineStr">
        <is>
          <t>T-Shirts, kakobuy, kakebuy2026, kekobuysheet, kakobuysheet2026, 2026kakobuy, kakobuyspreadsheeet, kakobuylink, kakebuylist, Kakobuy MEGA Spreadsheet, kakobuysheetfind, kakobuysheetfind2026, 2026kakobuysheetfind, kakobuysheet2026</t>
        </is>
      </c>
      <c r="Q115" t="inlineStr">
        <is>
          <t>Black, Minimalist, Artistic Style, Unisex</t>
        </is>
      </c>
      <c r="R115" t="inlineStr">
        <is>
          <t>recvh6xFVj6S6G</t>
        </is>
      </c>
      <c r="S115" t="inlineStr">
        <is>
          <t>vintage-black-sleeveless-cotton-sweatshirt-recvh6xfvj6s6g</t>
        </is>
      </c>
      <c r="T115"/>
      <c r="U115"/>
      <c r="V115"/>
      <c r="W115" t="inlineStr">
        <is>
          <t>{"choices":[{"finish_reason":"stop","index":0,"logprobs":null,"message":{"annotations":[],"content":"黑色复古人物印花无袖卫衣，柔软纯棉面料打造，胸前简约剪影设计增添艺术感与街头气息，宽松版型兼具舒适与时尚，适合男女日常休闲穿搭，展现独立个性与潮流态度。","refusal":null,"role":"assistant"}}],"created":1776655382,"id":"chatcmpl-DWZVu5AUfmXZ8VvqDxixAoDIHGEKI","model":"gpt-5-chat-latest","object":"chat.completion","service_tier":"default","system_fingerprint":"fp_ad66631dec","usage":{"completion_tokens":73,"completion_tokens_details":{"accepted_prediction_tokens":0,"audio_tokens":0,"reasoning_tokens":0,"rejected_prediction_tokens":0},"prompt_tokens":1321,"prompt_tokens_details":{"audio_tokens":0,"cached_tokens":0},"total_tokens":1394}}</t>
        </is>
      </c>
      <c r="X115" t="inlineStr">
        <is>
          <t>黑色复古人物印花无袖卫衣，柔软纯棉面料打造，胸前简约剪影设计增添艺术感与街头气息，宽松版型兼具舒适与时尚，适合男女日常休闲穿搭，展现独立个性与潮流态度。</t>
        </is>
      </c>
    </row>
    <row r="116" ht="25.5" customHeight="1">
      <c r="A116">
        <v>1839115443</v>
      </c>
      <c r="B116">
        <v>7695923218</v>
      </c>
      <c r="C116" t="inlineStr">
        <is>
          <t>https://weidian.com/item.html?itemID=7695923218</t>
        </is>
      </c>
      <c r="D116"/>
      <c r="E116" s="2" t="str">
        <f>=HYPERLINK("https://si.geilicdn.com/open1839115443-252808396-0ee30000019c508b22c50a23b491_800_800.jpg?w=750&amp;h=750&amp;cp=1", "https://si.geilicdn.com/open1839115443-252808396-0ee30000019c508b22c50a23b491_800_800.jpg?w=750&amp;h=750&amp;cp=1")</f>
        <v>https://si.geilicdn.com/open1839115443-252808396-0ee30000019c508b22c50a23b491_800_800.jpg?w=750&amp;h=750&amp;cp=1</v>
      </c>
      <c r="F116" t="inlineStr">
        <is>
          <t>T-Shirts</t>
        </is>
      </c>
      <c r="G116" t="inlineStr">
        <is>
          <t>Other</t>
        </is>
      </c>
      <c r="H116" t="inlineStr">
        <is>
          <t>54.00</t>
        </is>
      </c>
      <c r="I116">
        <v>7.83</v>
      </c>
      <c r="J116" t="inlineStr">
        <is>
          <t>{"id":"chatcmpl-DWcIR7GdGKcw8w4KbFMWFZSA4vVTY","object":"chat.completion","created":1776666079,"model":"gpt-5-chat-latest","choices":[{"index":0,"message":{"role":"assistant","content":"OtherBrand Minimalist White Sleeveless Totem Cotton Tee","refusal":null,"annotations":[]},"logprobs":null,"finish_reason":"stop"}],"usage":{"prompt_tokens":877,"completion_tokens":12,"total_tokens":889,"prompt_tokens_details":{"cached_tokens":0,"audio_tokens":0},"completion_tokens_details":{"reasoning_tokens":0,"audio_tokens":0,"accepted_prediction_tokens":0,"rejected_prediction_tokens":0}},"service_tier":"default","system_fingerprint":"fp_ad66631dec"}</t>
        </is>
      </c>
      <c r="K116" t="inlineStr">
        <is>
          <t>OtherBrand Minimalist White Sleeveless Totem Cotton Tee</t>
        </is>
      </c>
      <c r="L116" t="inlineStr">
        <is>
          <t>{"choices":[{"finish_reason":"stop","index":0,"logprobs":null,"message":{"annotations":[],"content":"Brand T-ShirtsOther minimalist white sleeveless cotton tee with slim black vertical totem print, unisex loose fit, breathable comfort for gym or streetwear, showing futuristic and stylish simplicity.","refusal":null,"role":"assistant"}}],"created":1776658765,"id":"chatcmpl-DWaOTor9OeXXVTjg24isd6iopiKDx","model":"gpt-5-chat-latest","object":"chat.completion","service_tier":"default","system_fingerprint":"fp_ad66631dec","usage":{"completion_tokens":38,"completion_tokens_details":{"accepted_prediction_tokens":0,"audio_tokens":0,"reasoning_tokens":0,"rejected_prediction_tokens":0},"prompt_tokens":917,"prompt_tokens_details":{"audio_tokens":0,"cached_tokens":0},"total_tokens":955}}</t>
        </is>
      </c>
      <c r="M116" t="inlineStr">
        <is>
          <t>{"alt-svc":"h3=\":443\"; ma=2592000","apim-request-id":"888ae939-3c13-49e4-8803-c9eb781c2347","azureml-model-session":"d20260402083108-57a85543","cache-control":"no-cache","connection":"close","content-length":"787","content-security-policy":"frame-ancestors 'self'","content-type":"application/json","date":"Mon, 20 Apr 2026 04:19:26 GMT","server":"nginx","skip-error-remapping":"true","strict-transport-security":"max-age=31536000; includeSubDomains; preload","via":"1.1 Caddy, 1.1 Caddy","x-api-request-id":"2026042012192575397904xu1e4ulD","x-content-type-options":"nosniff","x-frame-options":"SAMEORIGIN","x-ms-client-request-id":"Not-Set","x-ms-is-spilled-over":"false","x-ms-rai-invoked":"true","x-ms-region":"East US 2","x-new-api-version":"0.4.39","x-oneapi-request-id":"2026042004192590859878268d9d6avqEH0FP","x-ratelimit-abusepenalty-active":"False","x-ratelimit-limit-requests":"3850","x-ratelimit-limit-tokens":"3850000","x-ratelimit-remaining-requests":"3849","x-ratelimit-remaining-tokens":"3848321","x-ratelimit-renewalperiod-requests":"60","x-ratelimit-renewalperiod-tokens":"60","x-ratelimit-reset-requests":"15","x-ratelimit-reset-tokens":"26","x-request-id":"628e93e8-64b6-42b2-8be8-790c7888cf75"}</t>
        </is>
      </c>
      <c r="N116" t="inlineStr">
        <is>
          <t>Brand T-ShirtsOther minimalist white sleeveless cotton tee with slim black vertical totem print, unisex loose fit, breathable comfort for gym or streetwear, showing futuristic and stylish simplicity.</t>
        </is>
      </c>
      <c r="O116" t="inlineStr">
        <is>
          <t>{"id":"chatcmpl-DWcd0KF90M5TlKOrCUyiX3QOBOQNE","object":"chat.completion","created":1776667354,"model":"gpt-5-chat-latest","choices":[{"index":0,"message":{"role":"assistant","content":"Brandless,T-Shirt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16" t="inlineStr">
        <is>
          <t>Brandless,T-Shirts,kakobuy,kakebuy2026,kekobuysheet,kakobuysheet2026,2026kakobuy,kakobuyspreadsheeet,kakobuylink,kakebuylist,Kakobuy MEGA Spreadsheet,kakobuysheetfind,kakobuysheetfind2026,2026kakobuysheetfind,kakobuysheet2026</t>
        </is>
      </c>
      <c r="Q116" t="inlineStr">
        <is>
          <t>Minimalist, White, Unisex, Breathable, Streetwear</t>
        </is>
      </c>
      <c r="R116" t="inlineStr">
        <is>
          <t>recvh6xFVjIJJq</t>
        </is>
      </c>
      <c r="S116" t="inlineStr">
        <is>
          <t>otherbrand-minimalist-white-totem-cotton-tee-recvh6xfvjiijjq</t>
        </is>
      </c>
      <c r="T116"/>
      <c r="U116"/>
      <c r="V116"/>
      <c r="W116" t="inlineStr">
        <is>
          <t>{"choices":[{"finish_reason":"stop","index":0,"logprobs":null,"message":{"annotations":[],"content":"极简白色无袖T恤，选用柔软纯棉材质，胸前黑色极细纵向图腾印花设计，展现未来感与力量感，宽松剪裁舒适透气，适合男女通用，街头休闲与健身穿搭皆宜，彰显简约时尚美学。","refusal":null,"role":"assistant"}}],"created":1776655102,"id":"chatcmpl-DWZROjE0oCLTjx2hG5BYJP6wYQUYL","model":"gpt-5-chat-latest","object":"chat.completion","service_tier":"default","system_fingerprint":"fp_ad66631dec","usage":{"completion_tokens":79,"completion_tokens_details":{"accepted_prediction_tokens":0,"audio_tokens":0,"reasoning_tokens":0,"rejected_prediction_tokens":0},"prompt_tokens":1319,"prompt_tokens_details":{"audio_tokens":0,"cached_tokens":0},"total_tokens":1398}}</t>
        </is>
      </c>
      <c r="X116" t="inlineStr">
        <is>
          <t>极简白色无袖T恤，选用柔软纯棉材质，胸前黑色极细纵向图腾印花设计，展现未来感与力量感，宽松剪裁舒适透气，适合男女通用，街头休闲与健身穿搭皆宜，彰显简约时尚美学。</t>
        </is>
      </c>
    </row>
    <row r="117" ht="25.5" customHeight="1">
      <c r="A117">
        <v>1839115443</v>
      </c>
      <c r="B117">
        <v>7692995253</v>
      </c>
      <c r="C117" t="inlineStr">
        <is>
          <t>https://weidian.com/item.html?itemID=7692995253</t>
        </is>
      </c>
      <c r="D117"/>
      <c r="E117" s="2" t="str">
        <f>=HYPERLINK("https://si.geilicdn.com/open1839115443-252808396-249a0000019c50bd44b20a23b4de_800_800.jpg?w=750&amp;h=750&amp;cp=1", "https://si.geilicdn.com/open1839115443-252808396-249a0000019c50bd44b20a23b4de_800_800.jpg?w=750&amp;h=750&amp;cp=1")</f>
        <v>https://si.geilicdn.com/open1839115443-252808396-249a0000019c50bd44b20a23b4de_800_800.jpg?w=750&amp;h=750&amp;cp=1</v>
      </c>
      <c r="F117" t="inlineStr">
        <is>
          <t>T-Shirts</t>
        </is>
      </c>
      <c r="G117" t="inlineStr">
        <is>
          <t>Other</t>
        </is>
      </c>
      <c r="H117" t="inlineStr">
        <is>
          <t>54.00</t>
        </is>
      </c>
      <c r="I117">
        <v>7.83</v>
      </c>
      <c r="J117" t="inlineStr">
        <is>
          <t>{"id":"chatcmpl-DWcHj9t7bkHkcLIWRGAFad8HlmCLV","object":"chat.completion","created":1776666035,"model":"gpt-5-chat-latest","choices":[{"index":0,"message":{"role":"assistant","content":"AICHAOGE Retro Wing Print White Cotton T-Shirt","refusal":null,"annotations":[]},"logprobs":null,"finish_reason":"stop"}],"usage":{"prompt_tokens":883,"completion_tokens":13,"total_tokens":896,"prompt_tokens_details":{"cached_tokens":0,"audio_tokens":0},"completion_tokens_details":{"reasoning_tokens":0,"audio_tokens":0,"accepted_prediction_tokens":0,"rejected_prediction_tokens":0}},"service_tier":"default","system_fingerprint":"fp_ad66631dec"}</t>
        </is>
      </c>
      <c r="K117" t="inlineStr">
        <is>
          <t>AICHAOGE Retro Wing Print White Cotton T-Shirt</t>
        </is>
      </c>
      <c r="L117" t="inlineStr">
        <is>
          <t>{"id":"chatcmpl-DWaaOoBS03JQoadWiIg4Ni6t6WHO2","object":"chat.completion","created":1776659504,"model":"gpt-5-chat-latest","choices":[{"index":0,"message":{"role":"assistant","content":"AICHAOGE white cotton T-shirt features a retro wing badge and letter print on the back. Loose unisex fit, breathable and comfy, perfect for spring and summer casual urban vintage style.","refusal":null,"annotations":[]},"logprobs":null,"finish_reason":"stop"}],"usage":{"prompt_tokens":926,"completion_tokens":41,"total_tokens":967,"prompt_tokens_details":{"cached_tokens":0,"audio_tokens":0},"completion_tokens_details":{"reasoning_tokens":0,"audio_tokens":0,"accepted_prediction_tokens":0,"rejected_prediction_tokens":0}},"service_tier":"default","system_fingerprint":"fp_ad66631dec"}</t>
        </is>
      </c>
      <c r="M117"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ma=2592000","apim-request-id":"b0f52df5-625a-4c56-9b3c-aa9a9bb1525c","azureml-model-session":"d20260402075109-1fc5a0ec","cache-control":"no-cache, no-store, must-revalidate","connection":"close","content-length":"989","content-security-policy":"frame-ancestors 'self'","content-type":"application/json","date":"Mon, 20 Apr 2026 04:31:46 GMT","server":"nginx","skip-error-remapping":"true","strict-transport-security":"max-age=31536000; includeSubDomains; preload","via":"1.1 Caddy, 1.1 Caddy","x-api-request-id":"20260420123143656467622odyK4qtu","x-content-type-options":"nosniff","x-frame-options":"SAMEORIGIN","x-ms-is-spilled-over":"false","x-ms-rai-invoked":"false","x-ms-region":"East US 2","x-new-api-version":"0.4.39","x-oneapi-request-id":"202604200431435888996328268d9d6sQzGbXRj","x-ratelimit-abusepenalty-active":"False","x-ratelimit-limit-requests":"4994","x-ratelimit-limit-tokens":"4994000","x-ratelimit-remaining-requests":"4993","x-ratelimit-remaining-tokens":"4992312","x-ratelimit-renewalperiod-requests":"60","x-ratelimit-renewalperiod-tokens":"60","x-ratelimit-reset-requests":"12","x-ratelimit-reset-tokens":"20","x-request-id":"474cb2c4-48d8-4e07-a0ad-2c526a508201"}</t>
        </is>
      </c>
      <c r="N117" t="inlineStr">
        <is>
          <t>AICHAOGE white cotton T-shirt features a retro wing badge and letter print on the back. Loose unisex fit, breathable and comfy, perfect for spring and summer casual urban vintage style.</t>
        </is>
      </c>
      <c r="O117" t="inlineStr">
        <is>
          <t>{"choices":[{"finish_reason":"stop","index":0,"logprobs":null,"message":{"annotations":[],"content":"AICHAOGE,T-Shirts,kakobuy,kakebuy2026,kekobuysheet,kakobuysheet2026,2026kakobuy,kakobuyspreadsheeet,kakobuylink,kakebuylist,Kakobuy MEGA Spreadsheet,kakobuysheetfind,kakobuysheetfind2026,2026kakobuysheetfind,kakobuysheet2026","refusal":null,"role":"assistant"}}],"created":1776668831,"id":"chatcmpl-DWd0pNbPphuTbIBT80GXYwQr44NNt","model":"gpt-5-chat-latest","object":"chat.completion","service_tier":"default","system_fingerprint":"fp_ad66631dec","usage":{"completion_tokens":90,"completion_tokens_details":{"accepted_prediction_tokens":0,"audio_tokens":0,"reasoning_tokens":0,"rejected_prediction_tokens":0},"prompt_tokens":782,"prompt_tokens_details":{"audio_tokens":0,"cached_tokens":0},"total_tokens":872}}</t>
        </is>
      </c>
      <c r="P117" t="inlineStr">
        <is>
          <t>AICHAOGE,T-Shirts,kakobuy,kakebuy2026,kekobuysheet,kakobuysheet2026,2026kakobuy,kakobuyspreadsheeet,kakobuylink,kakebuylist,Kakobuy MEGA Spreadsheet,kakobuysheetfind,kakobuysheetfind2026,2026kakobuysheetfind,kakobuysheet2026</t>
        </is>
      </c>
      <c r="Q117" t="inlineStr">
        <is>
          <t>White, Retro, Spring And Summer, Unisex, Breathable</t>
        </is>
      </c>
      <c r="R117" t="inlineStr">
        <is>
          <t>recvh6xFVjmnhp</t>
        </is>
      </c>
      <c r="S117" t="inlineStr">
        <is>
          <t>aichaoge-retro-wing-print-white-cotton-t-shirt-recvh6xfvjmnhp</t>
        </is>
      </c>
      <c r="T117"/>
      <c r="U117"/>
      <c r="V117"/>
      <c r="W117" t="inlineStr">
        <is>
          <t>{"id":"chatcmpl-DWZgQ64UQqx5FX3nk5JouBbpokvdL","object":"chat.completion","created":1776656034,"model":"gpt-5-chat-latest","choices":[{"index":0,"message":{"role":"assistant","content":"白色简约印花短袖T恤，精选柔软纯棉面料，背部搭配复古飞翼徽章标识与英文字母印花，彰显都市休闲与复古学院气质。宽松中性版型设计，男女皆宜，透气舒适，适合春夏日常穿搭，展现自在时尚风格。","refusal":null,"annotations":[]},"logprobs":null,"finish_reason":"stop"}],"usage":{"prompt_tokens":1321,"completion_tokens":87,"total_tokens":1408,"prompt_tokens_details":{"cached_tokens":0,"audio_tokens":0},"completion_tokens_details":{"reasoning_tokens":0,"audio_tokens":0,"accepted_prediction_tokens":0,"rejected_prediction_tokens":0}},"service_tier":"default","system_fingerprint":"fp_ad66631dec"}</t>
        </is>
      </c>
      <c r="X117" t="inlineStr">
        <is>
          <t>白色简约印花短袖T恤，精选柔软纯棉面料，背部搭配复古飞翼徽章标识与英文字母印花，彰显都市休闲与复古学院气质。宽松中性版型设计，男女皆宜，透气舒适，适合春夏日常穿搭，展现自在时尚风格。</t>
        </is>
      </c>
    </row>
    <row r="118" ht="25.5" customHeight="1">
      <c r="A118">
        <v>1839115443</v>
      </c>
      <c r="B118">
        <v>7695973426</v>
      </c>
      <c r="C118" t="inlineStr">
        <is>
          <t>https://weidian.com/item.html?itemID=7695973426</t>
        </is>
      </c>
      <c r="D118"/>
      <c r="E118" s="2" t="str">
        <f>=HYPERLINK("https://si.geilicdn.com/open1839115443-252808396-23e70000019c50bc55d70aa08239_1440_1440.jpg?w=750&amp;h=750&amp;cp=1", "https://si.geilicdn.com/open1839115443-252808396-23e70000019c50bc55d70aa08239_1440_1440.jpg?w=750&amp;h=750&amp;cp=1")</f>
        <v>https://si.geilicdn.com/open1839115443-252808396-23e70000019c50bc55d70aa08239_1440_1440.jpg?w=750&amp;h=750&amp;cp=1</v>
      </c>
      <c r="F118" t="inlineStr">
        <is>
          <t>T-Shirts</t>
        </is>
      </c>
      <c r="G118" t="inlineStr">
        <is>
          <t>Other</t>
        </is>
      </c>
      <c r="H118" t="inlineStr">
        <is>
          <t>54.00</t>
        </is>
      </c>
      <c r="I118">
        <v>7.83</v>
      </c>
      <c r="J118" t="inlineStr">
        <is>
          <t>{"choices":[{"finish_reason":"stop","index":0,"logprobs":null,"message":{"annotations":[],"content":"Featheris White Cotton Unisex Feather Print T-Shirt","refusal":null,"role":"assistant"}}],"created":1776666066,"id":"chatcmpl-DWcIEHyJ1UWKBlRrIXcODq8dOEygL","model":"gpt-5-chat-latest","object":"chat.completion","service_tier":"default","system_fingerprint":"fp_ad66631dec","usage":{"completion_tokens":12,"completion_tokens_details":{"accepted_prediction_tokens":0,"audio_tokens":0,"reasoning_tokens":0,"rejected_prediction_tokens":0},"prompt_tokens":875,"prompt_tokens_details":{"audio_tokens":0,"cached_tokens":0},"total_tokens":887}}</t>
        </is>
      </c>
      <c r="K118" t="inlineStr">
        <is>
          <t>Featheris White Cotton Unisex Feather Print T-Shirt</t>
        </is>
      </c>
      <c r="L118" t="inlineStr">
        <is>
          <t>{"id":"chatcmpl-DWaGzcJbFbeP5YnijRJ3v4gsKOhcz","object":"chat.completion","created":1776658301,"model":"gpt-5-chat-latest","choices":[{"index":0,"message":{"role":"assistant","content":"Featheris White Cotton T-Shirt, featuring colorful feather prints symbolizing freedom. Unisex loose fit, minimalist design, perfect for casual spring and summer wear with artistic natural style.","refusal":null,"annotations":[]},"logprobs":null,"finish_reason":"stop"}],"usage":{"prompt_tokens":926,"completion_tokens":37,"total_tokens":963,"prompt_tokens_details":{"cached_tokens":0,"audio_tokens":0},"completion_tokens_details":{"reasoning_tokens":0,"audio_tokens":0,"accepted_prediction_tokens":0,"rejected_prediction_tokens":0}},"service_tier":"default","system_fingerprint":"fp_ad66631dec"}</t>
        </is>
      </c>
      <c r="M118"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ma=2592000","apim-request-id":"2b87d6c5-9b78-4007-adf1-9996f7d2727e","azureml-model-session":"d20260402083108-57a85543","cache-control":"no-cache, no-store, must-revalidate","connection":"close","content-length":"998","content-security-policy":"frame-ancestors 'self'","content-type":"application/json","date":"Mon, 20 Apr 2026 04:11:43 GMT","server":"nginx","skip-error-remapping":"true","strict-transport-security":"max-age=31536000; includeSubDomains; preload","via":"1.1 Caddy, 1.1 Caddy","x-api-request-id":"20260420121139622394660HIzhAanc","x-content-type-options":"nosniff","x-frame-options":"SAMEORIGIN","x-ms-is-spilled-over":"false","x-ms-rai-invoked":"false","x-ms-region":"Sweden Central","x-new-api-version":"0.4.39","x-oneapi-request-id":"202604200411395160421088268d9d6eljXbVTD","x-ratelimit-abusepenalty-active":"False","x-ratelimit-limit-requests":"4993","x-ratelimit-limit-tokens":"4993000","x-ratelimit-remaining-requests":"4992","x-ratelimit-remaining-tokens":"4991312","x-ratelimit-renewalperiod-requests":"60","x-ratelimit-renewalperiod-tokens":"60","x-ratelimit-reset-requests":"12","x-ratelimit-reset-tokens":"20","x-request-id":"04bc3a96-d703-4ab9-a479-98324069ff0b"}</t>
        </is>
      </c>
      <c r="N118" t="inlineStr">
        <is>
          <t>Featheris White Cotton T-Shirt, featuring colorful feather prints symbolizing freedom. Unisex loose fit, minimalist design, perfect for casual spring and summer wear with artistic natural style.</t>
        </is>
      </c>
      <c r="O118" t="inlineStr">
        <is>
          <t>{"choices":[{"finish_reason":"stop","index":0,"logprobs":null,"message":{"annotations":[],"content":"Featheries, T-Shirts, kakobuy, kakebuy2026, kekobuysheet, kakobuysheet2026, 2026kakobuy, kakobuyspreadsheeet, kakobuylink, kakebuylist, Kakobuy MEGA Spreadsheet, kakobuysheetfind, kakobuysheetfind2026, 2026kakobuysheetfind, kakobuysheet2026","refusal":null,"role":"assistant"}}],"created":1776668647,"id":"chatcmpl-DWcxrvPhNcfDrFUVmmIhcz5Ud7DMv","model":"gpt-5-chat-latest","object":"chat.completion","service_tier":"default","system_fingerprint":"fp_ad66631dec","usage":{"completion_tokens":93,"completion_tokens_details":{"accepted_prediction_tokens":0,"audio_tokens":0,"reasoning_tokens":0,"rejected_prediction_tokens":0},"prompt_tokens":782,"prompt_tokens_details":{"audio_tokens":0,"cached_tokens":0},"total_tokens":875}}</t>
        </is>
      </c>
      <c r="P118" t="inlineStr">
        <is>
          <t>Featheries, T-Shirts, kakobuy, kakebuy2026, kekobuysheet, kakobuysheet2026, 2026kakobuy, kakobuyspreadsheeet, kakobuylink, kakebuylist, Kakobuy MEGA Spreadsheet, kakobuysheetfind, kakobuysheetfind2026, 2026kakobuysheetfind, kakobuysheet2026</t>
        </is>
      </c>
      <c r="Q118" t="inlineStr">
        <is>
          <t>Unisex, Spring And Summer, Minimalist, Colorful</t>
        </is>
      </c>
      <c r="R118" t="inlineStr">
        <is>
          <t>recvh6xFVjdX48</t>
        </is>
      </c>
      <c r="S118" t="inlineStr">
        <is>
          <t>featheris-white-cotton-feather-print-tshirt-recvh6xFVjdX48</t>
        </is>
      </c>
      <c r="T118"/>
      <c r="U118"/>
      <c r="V118"/>
      <c r="W118" t="inlineStr">
        <is>
          <t>{"id":"chatcmpl-DWZabwOIiW84nDxvS9TngC728OC34","object":"chat.completion","created":1776655673,"model":"gpt-5-chat-latest","choices":[{"index":0,"message":{"role":"assistant","content":"羽语系列白色短袖T恤，甄选柔软纯棉面料，背部印有多彩羽毛图腾，展现轻盈自由意象。宽松剪裁结合极简设计，男女皆宜，适合春夏日常穿搭。休闲文艺风格，呼应自然灵感，兼具舒适与时尚质感。","refusal":null,"annotations":[]},"logprobs":null,"finish_reason":"stop"}],"usage":{"prompt_tokens":1321,"completion_tokens":87,"total_tokens":1408,"prompt_tokens_details":{"cached_tokens":1280,"audio_tokens":0},"completion_tokens_details":{"reasoning_tokens":0,"audio_tokens":0,"accepted_prediction_tokens":0,"rejected_prediction_tokens":0}},"service_tier":"default","system_fingerprint":"fp_ad66631dec"}</t>
        </is>
      </c>
      <c r="X118" t="inlineStr">
        <is>
          <t>羽语系列白色短袖T恤，甄选柔软纯棉面料，背部印有多彩羽毛图腾，展现轻盈自由意象。宽松剪裁结合极简设计，男女皆宜，适合春夏日常穿搭。休闲文艺风格，呼应自然灵感，兼具舒适与时尚质感。</t>
        </is>
      </c>
    </row>
    <row r="119" ht="25.5" customHeight="1">
      <c r="A119">
        <v>1839115443</v>
      </c>
      <c r="B119">
        <v>7695969334</v>
      </c>
      <c r="C119" t="inlineStr">
        <is>
          <t>https://weidian.com/item.html?itemID=7695969334</t>
        </is>
      </c>
      <c r="D119"/>
      <c r="E119" s="2" t="str">
        <f>=HYPERLINK("https://si.geilicdn.com/open1839115443-252808396-1b4b0000019c50ad46230a23b491_1080_1080.jpg?w=750&amp;h=750&amp;cp=1", "https://si.geilicdn.com/open1839115443-252808396-1b4b0000019c50ad46230a23b491_1080_1080.jpg?w=750&amp;h=750&amp;cp=1")</f>
        <v>https://si.geilicdn.com/open1839115443-252808396-1b4b0000019c50ad46230a23b491_1080_1080.jpg?w=750&amp;h=750&amp;cp=1</v>
      </c>
      <c r="F119" t="inlineStr">
        <is>
          <t>T-Shirts</t>
        </is>
      </c>
      <c r="G119" t="inlineStr">
        <is>
          <t>Other</t>
        </is>
      </c>
      <c r="H119" t="inlineStr">
        <is>
          <t>54.00</t>
        </is>
      </c>
      <c r="I119">
        <v>7.83</v>
      </c>
      <c r="J119" t="inlineStr">
        <is>
          <t>{"choices":[{"finish_reason":"stop","index":0,"logprobs":null,"message":{"annotations":[],"content":"DIFANCLOANDI Black Cotton T-Shirt Winged Lion Print","refusal":null,"role":"assistant"}}],"created":1776666244,"id":"chatcmpl-DWcL64MM2FkwMp9wbbrIthxylifXq","model":"gpt-5-chat-latest","object":"chat.completion","service_tier":"default","system_fingerprint":"fp_ad66631dec","usage":{"completion_tokens":15,"completion_tokens_details":{"accepted_prediction_tokens":0,"audio_tokens":0,"reasoning_tokens":0,"rejected_prediction_tokens":0},"prompt_tokens":897,"prompt_tokens_details":{"audio_tokens":0,"cached_tokens":0},"total_tokens":912}}</t>
        </is>
      </c>
      <c r="K119" t="inlineStr">
        <is>
          <t>DIFANCLOANDI Black Cotton T-Shirt Winged Lion Print</t>
        </is>
      </c>
      <c r="L119" t="inlineStr">
        <is>
          <t>{"choices":[{"finish_reason":"stop","index":0,"logprobs":null,"message":{"annotations":[],"content":"DIFANCLOANDI Deep Black T-Shirt, made of soft pure cotton with silver-grey winged lion emblem print, exuding British noble style. Classic crew neck, structured fit, unisex, perfect for urban casual wear.","refusal":null,"role":"assistant"}}],"created":1776658373,"id":"chatcmpl-DWaI9uay4gCgDSoKQeIApDyzQmbfH","model":"gpt-5-chat-latest","object":"chat.completion","service_tier":"default","system_fingerprint":"fp_ad66631dec","usage":{"completion_tokens":48,"completion_tokens_details":{"accepted_prediction_tokens":0,"audio_tokens":0,"reasoning_tokens":0,"rejected_prediction_tokens":0},"prompt_tokens":922,"prompt_tokens_details":{"audio_tokens":0,"cached_tokens":0},"total_tokens":970}}</t>
        </is>
      </c>
      <c r="M119" t="inlineStr">
        <is>
          <t>{"alt-svc":"h3=\":443\"; ma=2592000","apim-request-id":"ef357815-6164-4e14-b39d-0f8cc27001ff","azureml-model-session":"d20260405212659-a9daa006","cache-control":"no-cache","connection":"close","content-length":"791","content-security-policy":"frame-ancestors 'self'","content-type":"application/json","date":"Mon, 20 Apr 2026 04:12:54 GMT","server":"nginx","skip-error-remapping":"true","strict-transport-security":"max-age=31536000; includeSubDomains; preload","via":"1.1 Caddy, 1.1 Caddy","x-api-request-id":"20260420121252682428583MhbSJnxG","x-content-type-options":"nosniff","x-frame-options":"SAMEORIGIN","x-ms-client-request-id":"Not-Set","x-ms-is-spilled-over":"false","x-ms-rai-invoked":"true","x-ms-region":"East US 2","x-new-api-version":"0.4.39","x-oneapi-request-id":"202604200412525439879268268d9d6SFD1yzpx","x-ratelimit-abusepenalty-active":"False","x-ratelimit-limit-requests":"3850","x-ratelimit-limit-tokens":"3850000","x-ratelimit-remaining-requests":"3849","x-ratelimit-remaining-tokens":"3848316","x-ratelimit-renewalperiod-requests":"60","x-ratelimit-renewalperiod-tokens":"60","x-ratelimit-reset-requests":"15","x-ratelimit-reset-tokens":"26","x-request-id":"1aa93ea8-02c2-42cf-89ed-398d0dea18df"}</t>
        </is>
      </c>
      <c r="N119" t="inlineStr">
        <is>
          <t>DIFANCLOANDI Deep Black T-Shirt, made of soft pure cotton with silver-grey winged lion emblem print, exuding British noble style. Classic crew neck, structured fit, unisex, perfect for urban casual wear.</t>
        </is>
      </c>
      <c r="O119" t="inlineStr">
        <is>
          <t>{"choices":[{"finish_reason":"stop","index":0,"logprobs":null,"message":{"annotations":[],"content":"DIFANCLOANDI,T-Shirts,kakobuy,kakebuy2026,kekobuysheet,kakobuysheet2026,2026kakobuy,kakobuyspreadsheeet,kakobuylink,kakebuylist,Kakobuy MEGA Spreadsheet,kakobuysheetfind,kakobuysheetfind2026,2026kakobuysheetfind,kakobuysheet2026","refusal":null,"role":"assistant"}}],"created":1776668886,"id":"chatcmpl-DWd1i87hrqLUrY5qUVPjAV1CDzhiT","model":"gpt-5-chat-latest","object":"chat.completion","service_tier":"default","system_fingerprint":"fp_ad66631dec","usage":{"completion_tokens":91,"completion_tokens_details":{"accepted_prediction_tokens":0,"audio_tokens":0,"reasoning_tokens":0,"rejected_prediction_tokens":0},"prompt_tokens":782,"prompt_tokens_details":{"audio_tokens":0,"cached_tokens":0},"total_tokens":873}}</t>
        </is>
      </c>
      <c r="P119" t="inlineStr">
        <is>
          <t>DIFANCLOANDI,T-Shirts,kakobuy,kakebuy2026,kekobuysheet,kakobuysheet2026,2026kakobuy,kakobuyspreadsheeet,kakobuylink,kakebuylist,Kakobuy MEGA Spreadsheet,kakobuysheetfind,kakobuysheetfind2026,2026kakobuysheetfind,kakobuysheet2026</t>
        </is>
      </c>
      <c r="Q119" t="inlineStr">
        <is>
          <t>Black, Silver, Unisex, Classic</t>
        </is>
      </c>
      <c r="R119" t="inlineStr">
        <is>
          <t>recvh6xFVjjtcx</t>
        </is>
      </c>
      <c r="S119" t="inlineStr">
        <is>
          <t>difancloandi-winged-lion-print-recvh6xfvjjtcx</t>
        </is>
      </c>
      <c r="T119"/>
      <c r="U119"/>
      <c r="V119"/>
      <c r="W119" t="inlineStr">
        <is>
          <t>{"id":"chatcmpl-DWZNqv5fP8ZtSY9d3433xuAngyjGp","object":"chat.completion","created":1776654882,"model":"gpt-5-chat-latest","choices":[{"index":0,"message":{"role":"assistant","content":"深黑系列短袖T恤，采用柔软纯棉面料，胸前银灰徽章狮翼图腾印花设计，彰显英伦贵族格调。简约圆领剪裁，版型挺括舒适，男女皆宜。都市休闲风格，适合日常穿搭与街头时尚场景。","refusal":null,"annotations":[]},"logprobs":null,"finish_reason":"stop"}],"usage":{"prompt_tokens":1325,"completion_tokens":81,"total_tokens":1406,"prompt_tokens_details":{"cached_tokens":0,"audio_tokens":0},"completion_tokens_details":{"reasoning_tokens":0,"audio_tokens":0,"accepted_prediction_tokens":0,"rejected_prediction_tokens":0}},"service_tier":"default","system_fingerprint":"fp_ad66631dec"}</t>
        </is>
      </c>
      <c r="X119" t="inlineStr">
        <is>
          <t>深黑系列短袖T恤，采用柔软纯棉面料，胸前银灰徽章狮翼图腾印花设计，彰显英伦贵族格调。简约圆领剪裁，版型挺括舒适，男女皆宜。都市休闲风格，适合日常穿搭与街头时尚场景。</t>
        </is>
      </c>
    </row>
    <row r="120" ht="25.5" customHeight="1">
      <c r="A120">
        <v>1839115443</v>
      </c>
      <c r="B120">
        <v>7696067764</v>
      </c>
      <c r="C120" t="inlineStr">
        <is>
          <t>https://weidian.com/item.html?itemID=7696067764</t>
        </is>
      </c>
      <c r="D120"/>
      <c r="E120" s="2" t="str">
        <f>=HYPERLINK("https://si.geilicdn.com/open1839115443-252808396-1adf0000019c50ac21850a23b491_1000_1000.jpg?w=750&amp;h=750&amp;cp=1", "https://si.geilicdn.com/open1839115443-252808396-1adf0000019c50ac21850a23b491_1000_1000.jpg?w=750&amp;h=750&amp;cp=1")</f>
        <v>https://si.geilicdn.com/open1839115443-252808396-1adf0000019c50ac21850a23b491_1000_1000.jpg?w=750&amp;h=750&amp;cp=1</v>
      </c>
      <c r="F120" t="inlineStr">
        <is>
          <t>T-Shirts</t>
        </is>
      </c>
      <c r="G120" t="inlineStr">
        <is>
          <t>Other</t>
        </is>
      </c>
      <c r="H120" t="inlineStr">
        <is>
          <t>54.00</t>
        </is>
      </c>
      <c r="I120">
        <v>7.83</v>
      </c>
      <c r="J120" t="inlineStr">
        <is>
          <t>{"id":"chatcmpl-DWcUT1YfluVEkLZTz6gqScORy5LXL","object":"chat.completion","created":1776666825,"model":"gpt-5-chat-latest","choices":[{"index":0,"message":{"role":"assistant","content":"Other Brand Cream White Hand Drawn Dog T-Shirt","refusal":null,"annotations":[]},"logprobs":null,"finish_reason":"stop"}],"usage":{"prompt_tokens":885,"completion_tokens":11,"total_tokens":896,"prompt_tokens_details":{"cached_tokens":0,"audio_tokens":0},"completion_tokens_details":{"reasoning_tokens":0,"audio_tokens":0,"accepted_prediction_tokens":0,"rejected_prediction_tokens":0}},"service_tier":"default","system_fingerprint":"fp_ad66631dec"}</t>
        </is>
      </c>
      <c r="K120" t="inlineStr">
        <is>
          <t>Other Brand Cream White Hand Drawn Dog T-Shirt</t>
        </is>
      </c>
      <c r="L120" t="inlineStr">
        <is>
          <t>{"choices":[{"finish_reason":"stop","index":0,"logprobs":null,"message":{"annotations":[],"content":"Brand T-ShirtsOther Cream White Hand-Drawn Dog Tee, high-density pure cotton, soft and breathable. Colorful art stroke design adds playful charm. Loose unisex fit for casual street style wear.","refusal":null,"role":"assistant"}}],"created":1776658608,"id":"chatcmpl-DWaLwSIJoEXZCdw9nPeBD6rN8qaQj","model":"gpt-5-chat-latest","object":"chat.completion","service_tier":"default","system_fingerprint":"fp_ad66631dec","usage":{"completion_tokens":42,"completion_tokens_details":{"accepted_prediction_tokens":0,"audio_tokens":0,"reasoning_tokens":0,"rejected_prediction_tokens":0},"prompt_tokens":919,"prompt_tokens_details":{"audio_tokens":0,"cached_tokens":0},"total_tokens":961}}</t>
        </is>
      </c>
      <c r="M120" t="inlineStr">
        <is>
          <t>{"alt-svc":"h3=\":443\"; ma=2592000","apim-request-id":"5d432793-ba4a-45b5-b28e-77507efe40d9","azureml-model-session":"d20260405234249-f9874baf","cache-control":"no-cache","connection":"close","content-length":"780","content-security-policy":"frame-ancestors 'self'","content-type":"application/json","date":"Mon, 20 Apr 2026 04:16:49 GMT","server":"nginx","skip-error-remapping":"true","strict-transport-security":"max-age=31536000; includeSubDomains; preload","via":"1.1 Caddy, 1.1 Caddy","x-api-request-id":"2026042012164767755807375kehePX","x-content-type-options":"nosniff","x-frame-options":"SAMEORIGIN","x-ms-client-request-id":"Not-Set","x-ms-is-spilled-over":"false","x-ms-rai-invoked":"true","x-ms-region":"East US 2","x-new-api-version":"0.4.39","x-oneapi-request-id":"202604200416476120733288268d9d6q4mpH3c3","x-ratelimit-abusepenalty-active":"False","x-ratelimit-limit-requests":"3850","x-ratelimit-limit-tokens":"3850000","x-ratelimit-remaining-requests":"3849","x-ratelimit-remaining-tokens":"3846782","x-ratelimit-renewalperiod-requests":"60","x-ratelimit-renewalperiod-tokens":"60","x-ratelimit-reset-requests":"15","x-ratelimit-reset-tokens":"50","x-request-id":"88d944d9-d891-42c9-8d7f-241a12a43348"}</t>
        </is>
      </c>
      <c r="N120" t="inlineStr">
        <is>
          <t>Brand T-ShirtsOther Cream White Hand-Drawn Dog Tee, high-density pure cotton, soft and breathable. Colorful art stroke design adds playful charm. Loose unisex fit for casual street style wear.</t>
        </is>
      </c>
      <c r="O120" t="inlineStr">
        <is>
          <t>{"choices":[{"finish_reason":"stop","index":0,"logprobs":null,"message":{"annotations":[],"content":"Kakobuy,T-Shirts,kakebuy2026,kekobuysheet,kakobuysheet2026,2026kakobuy,kakobuyspreadsheeet,kakobuylink,kakebuylist,Kakobuy MEGA Spreadsheet,kakobuysheetfind,kakobuysheetfind2026,2026kakobuysheetfind,kakobuysheet2026","refusal":null,"role":"assistant"}}],"created":1776667302,"id":"chatcmpl-DWccAeEKl84ir05QiJFiIoqRTHZ9U","model":"gpt-5-chat-latest","object":"chat.completion","service_tier":"default","system_fingerprint":"fp_ad66631dec","usage":{"completion_tokens":85,"completion_tokens_details":{"accepted_prediction_tokens":0,"audio_tokens":0,"reasoning_tokens":0,"rejected_prediction_tokens":0},"prompt_tokens":782,"prompt_tokens_details":{"audio_tokens":0,"cached_tokens":0},"total_tokens":867}}</t>
        </is>
      </c>
      <c r="P120" t="inlineStr">
        <is>
          <t>Kakobuy,T-Shirts,kakebuy2026,kekobuysheet,kakobuysheet2026,2026kakobuy,kakobuyspreadsheeet,kakobuylink,kakebuylist,Kakobuy MEGA Spreadsheet,kakobuysheetfind,kakobuysheetfind2026,2026kakobuysheetfind,kakobuysheet2026</t>
        </is>
      </c>
      <c r="Q120" t="inlineStr">
        <is>
          <t>Cream, White, Colorful, Streetwear, Unisex, Breathable</t>
        </is>
      </c>
      <c r="R120" t="inlineStr">
        <is>
          <t>recvh6xFVjEk5P</t>
        </is>
      </c>
      <c r="S120" t="inlineStr">
        <is>
          <t>other-brand-cream-white-hand-drawn-dog-tshirt-recvh6xFVjEk5P</t>
        </is>
      </c>
      <c r="T120"/>
      <c r="U120"/>
      <c r="V120"/>
      <c r="W120" t="inlineStr">
        <is>
          <t>{"choices":[{"finish_reason":"stop","index":0,"logprobs":null,"message":{"annotations":[],"content":"奶白色手绘狗狗图案T恤，选用高密度纯棉材质，柔软亲肤透气。前幅彩线艺术笔触设计，呈现俏皮可爱气质。宽松中性版型适合男女，彰显休闲街头风格，适合日常出街穿搭。","refusal":null,"role":"assistant"}}],"created":1776656168,"id":"chatcmpl-DWZiaSySVuu1kcAZcFR56rdRngMvV","model":"gpt-5-chat-latest","object":"chat.completion","service_tier":"default","system_fingerprint":"fp_ad66631dec","usage":{"completion_tokens":79,"completion_tokens_details":{"accepted_prediction_tokens":0,"audio_tokens":0,"reasoning_tokens":0,"rejected_prediction_tokens":0},"prompt_tokens":1323,"prompt_tokens_details":{"audio_tokens":0,"cached_tokens":0},"total_tokens":1402}}</t>
        </is>
      </c>
      <c r="X120" t="inlineStr">
        <is>
          <t>奶白色手绘狗狗图案T恤，选用高密度纯棉材质，柔软亲肤透气。前幅彩线艺术笔触设计，呈现俏皮可爱气质。宽松中性版型适合男女，彰显休闲街头风格，适合日常出街穿搭。</t>
        </is>
      </c>
    </row>
    <row r="121" ht="25.5" customHeight="1">
      <c r="A121">
        <v>1839115443</v>
      </c>
      <c r="B121">
        <v>7693067865</v>
      </c>
      <c r="C121" t="inlineStr">
        <is>
          <t>https://weidian.com/item.html?itemID=7693067865</t>
        </is>
      </c>
      <c r="D121"/>
      <c r="E121" s="2" t="str">
        <f>=HYPERLINK("https://si.geilicdn.com/open1839115443-252808396-1bad0000019c50abdb010aa08239_1284_1284.jpg?w=750&amp;h=750&amp;cp=1", "https://si.geilicdn.com/open1839115443-252808396-1bad0000019c50abdb010aa08239_1284_1284.jpg?w=750&amp;h=750&amp;cp=1")</f>
        <v>https://si.geilicdn.com/open1839115443-252808396-1bad0000019c50abdb010aa08239_1284_1284.jpg?w=750&amp;h=750&amp;cp=1</v>
      </c>
      <c r="F121" t="inlineStr">
        <is>
          <t>T-Shirts</t>
        </is>
      </c>
      <c r="G121" t="inlineStr">
        <is>
          <t>Other</t>
        </is>
      </c>
      <c r="H121" t="inlineStr">
        <is>
          <t>54.00</t>
        </is>
      </c>
      <c r="I121">
        <v>7.83</v>
      </c>
      <c r="J121" t="inlineStr">
        <is>
          <t>{"choices":[{"finish_reason":"stop","index":0,"logprobs":null,"message":{"annotations":[],"content":"Shiba Lane No.7 Black Graffiti Unisex Street T-Shirt","refusal":null,"role":"assistant"}}],"created":1776666532,"id":"chatcmpl-DWcPkIZRr8GoADgSoXUnXKI16RZwU","model":"gpt-5-chat-latest","object":"chat.completion","service_tier":"default","system_fingerprint":"fp_ad66631dec","usage":{"completion_tokens":15,"completion_tokens_details":{"accepted_prediction_tokens":0,"audio_tokens":0,"reasoning_tokens":0,"rejected_prediction_tokens":0},"prompt_tokens":881,"prompt_tokens_details":{"audio_tokens":0,"cached_tokens":0},"total_tokens":896}}</t>
        </is>
      </c>
      <c r="K121" t="inlineStr">
        <is>
          <t>Shiba Lane No.7 Black Graffiti Unisex Street T-Shirt</t>
        </is>
      </c>
      <c r="L121" t="inlineStr">
        <is>
          <t>{"choices":[{"finish_reason":"stop","index":0,"logprobs":null,"message":{"annotations":[],"content":"Shiba Lane Menwear Black Digital Graffiti Series T-Shirt, soft cotton fabric with No.7 spray print on back, unisex loose fit, street style for daily casual and trendy outfits.","refusal":null,"role":"assistant"}}],"created":1776658722,"id":"chatcmpl-DWaNmjQL4C2o0K8bWUWlAnxQkrD5H","model":"gpt-5-chat-latest","object":"chat.completion","service_tier":"default","system_fingerprint":"fp_ad66631dec","usage":{"completion_tokens":40,"completion_tokens_details":{"accepted_prediction_tokens":0,"audio_tokens":0,"reasoning_tokens":0,"rejected_prediction_tokens":0},"prompt_tokens":912,"prompt_tokens_details":{"audio_tokens":0,"cached_tokens":0},"total_tokens":952}}</t>
        </is>
      </c>
      <c r="M121" t="inlineStr">
        <is>
          <t>{"alt-svc":"h3=\":443\"; ma=2592000","apim-request-id":"4ad1a81f-49fd-43bb-8098-a036d6c4827b","azureml-model-session":"d20260402083108-57a85543","cache-control":"no-cache","connection":"close","content-length":"763","content-security-policy":"frame-ancestors 'self'","content-type":"application/json","date":"Mon, 20 Apr 2026 04:18:43 GMT","server":"nginx","skip-error-remapping":"true","strict-transport-security":"max-age=31536000; includeSubDomains; preload","via":"1.1 Caddy, 1.1 Caddy","x-api-request-id":"20260420121841421850733wHdq03cQ","x-content-type-options":"nosniff","x-frame-options":"SAMEORIGIN","x-ms-client-request-id":"Not-Set","x-ms-is-spilled-over":"false","x-ms-rai-invoked":"true","x-ms-region":"East US 2","x-new-api-version":"0.4.39","x-oneapi-request-id":"202604200418413560052828268d9d6HibMVxiR","x-ratelimit-abusepenalty-active":"False","x-ratelimit-limit-requests":"3850","x-ratelimit-limit-tokens":"3850000","x-ratelimit-remaining-requests":"3849","x-ratelimit-remaining-tokens":"3846834","x-ratelimit-renewalperiod-requests":"60","x-ratelimit-renewalperiod-tokens":"60","x-ratelimit-reset-requests":"15","x-ratelimit-reset-tokens":"49","x-request-id":"6d2f7780-1d75-4fef-a979-a732a7d3553f"}</t>
        </is>
      </c>
      <c r="N121" t="inlineStr">
        <is>
          <t>Shiba Lane Menwear Black Digital Graffiti Series T-Shirt, soft cotton fabric with No.7 spray print on back, unisex loose fit, street style for daily casual and trendy outfits.</t>
        </is>
      </c>
      <c r="O121" t="inlineStr">
        <is>
          <t>{"choices":[{"finish_reason":"stop","index":0,"logprobs":null,"message":{"annotations":[],"content":"ShibaMenswear,T-Shirts,kakobuy,kakebuy2026,kekobuysheet,kakobuysheet2026,2026kakobuy,kakobuyspreadsheeet,kakobuylink,kakebuylist,Kakobuy MEGA Spreadsheet,kakobuysheetfind,kakobuysheetfind2026,2026kakobuysheetfind,kakobuysheet2026","refusal":null,"role":"assistant"}}],"created":1776668063,"id":"chatcmpl-DWcoRwQrS8XO5Ar9FMtNiCPdASc8x","model":"gpt-5-chat-latest","object":"chat.completion","service_tier":"default","system_fingerprint":"fp_ad66631dec","usage":{"completion_tokens":89,"completion_tokens_details":{"accepted_prediction_tokens":0,"audio_tokens":0,"reasoning_tokens":0,"rejected_prediction_tokens":0},"prompt_tokens":782,"prompt_tokens_details":{"audio_tokens":0,"cached_tokens":0},"total_tokens":871}}</t>
        </is>
      </c>
      <c r="P121" t="inlineStr">
        <is>
          <t>ShibaMenswear,T-Shirts,kakobuy,kakebuy2026,kekobuysheet,kakobuysheet2026,2026kakobuy,kakobuyspreadsheeet,kakobuylink,kakebuylist,Kakobuy MEGA Spreadsheet,kakobuysheetfind,kakobuysheetfind2026,2026kakobuysheetfind,kakobuysheet2026</t>
        </is>
      </c>
      <c r="Q121" t="inlineStr">
        <is>
          <t>Black, Street, Streetwear, Unisex</t>
        </is>
      </c>
      <c r="R121" t="inlineStr">
        <is>
          <t>recvh6xFVjkVJB</t>
        </is>
      </c>
      <c r="S121" t="inlineStr">
        <is>
          <t>shiba-lane-7-black-graffiti-unisex-street-t-shirt-recvh6xfvjkvjb</t>
        </is>
      </c>
      <c r="T121"/>
      <c r="U121"/>
      <c r="V121"/>
      <c r="W121" t="inlineStr">
        <is>
          <t>{"id":"chatcmpl-DWZf7oYIFrLO5aU0ImGADTGn8BZke","object":"chat.completion","created":1776655953,"model":"gpt-5-chat-latest","choices":[{"index":0,"message":{"role":"assistant","content":"黑色数码涂鸦系列短袖T恤，采用柔软纯棉面料，背部7号英文字母喷漆印花设计，街头艺术风格彰显个性魅力，宽松中性版型，男女皆宜，适合日常休闲与潮流穿搭。","refusal":null,"annotations":[]},"logprobs":null,"finish_reason":"stop"}],"usage":{"prompt_tokens":1319,"completion_tokens":74,"total_tokens":1393,"prompt_tokens_details":{"cached_tokens":0,"audio_tokens":0},"completion_tokens_details":{"reasoning_tokens":0,"audio_tokens":0,"accepted_prediction_tokens":0,"rejected_prediction_tokens":0}},"service_tier":"default","system_fingerprint":"fp_ad66631dec"}</t>
        </is>
      </c>
      <c r="X121" t="inlineStr">
        <is>
          <t>黑色数码涂鸦系列短袖T恤，采用柔软纯棉面料，背部7号英文字母喷漆印花设计，街头艺术风格彰显个性魅力，宽松中性版型，男女皆宜，适合日常休闲与潮流穿搭。</t>
        </is>
      </c>
    </row>
    <row r="122" ht="25.5" customHeight="1">
      <c r="A122">
        <v>1839115443</v>
      </c>
      <c r="B122">
        <v>7696018318</v>
      </c>
      <c r="C122" t="inlineStr">
        <is>
          <t>https://weidian.com/item.html?itemID=7696018318</t>
        </is>
      </c>
      <c r="D122"/>
      <c r="E122" s="2" t="str">
        <f>=HYPERLINK("https://si.geilicdn.com/open1839115443-252808396-18590000019c50a4324c0a23b491_800_800.jpg?w=750&amp;h=750&amp;cp=1", "https://si.geilicdn.com/open1839115443-252808396-18590000019c50a4324c0a23b491_800_800.jpg?w=750&amp;h=750&amp;cp=1")</f>
        <v>https://si.geilicdn.com/open1839115443-252808396-18590000019c50a4324c0a23b491_800_800.jpg?w=750&amp;h=750&amp;cp=1</v>
      </c>
      <c r="F122" t="inlineStr">
        <is>
          <t>T-Shirts</t>
        </is>
      </c>
      <c r="G122" t="inlineStr">
        <is>
          <t>Other</t>
        </is>
      </c>
      <c r="H122" t="inlineStr">
        <is>
          <t>54.00</t>
        </is>
      </c>
      <c r="I122">
        <v>7.83</v>
      </c>
      <c r="J122" t="inlineStr">
        <is>
          <t>{"choices":[{"finish_reason":"stop","index":0,"logprobs":null,"message":{"annotations":[],"content":"Other Brand White Bamboo Embroidered Cotton Unisex Tee","refusal":null,"role":"assistant"}}],"created":1776666860,"id":"chatcmpl-DWcV2RLUK62uhzjgD77EOy2EbsP6U","model":"gpt-5-chat-latest","object":"chat.completion","service_tier":"default","system_fingerprint":"fp_ad66631dec","usage":{"completion_tokens":12,"completion_tokens_details":{"accepted_prediction_tokens":0,"audio_tokens":0,"reasoning_tokens":0,"rejected_prediction_tokens":0},"prompt_tokens":879,"prompt_tokens_details":{"audio_tokens":0,"cached_tokens":0},"total_tokens":891}}</t>
        </is>
      </c>
      <c r="K122" t="inlineStr">
        <is>
          <t>Other Brand White Bamboo Embroidered Cotton Unisex Tee</t>
        </is>
      </c>
      <c r="L122" t="inlineStr">
        <is>
          <t>{"choices":[{"finish_reason":"stop","index":0,"logprobs":null,"message":{"annotations":[],"content":"Brand T-ShirtsOther White Bamboo Embroidered Short Sleeve Tee, made of high-density pure cotton, soft and breathable, featuring delicate bamboo leaf and bird design for refined casual unisex style.","refusal":null,"role":"assistant"}}],"created":1776658604,"id":"chatcmpl-DWaLsyCnRKQu9UiH15YBenoNYm4Yi","model":"gpt-5-chat-latest","object":"chat.completion","service_tier":"default","system_fingerprint":"fp_ad66631dec","usage":{"completion_tokens":39,"completion_tokens_details":{"accepted_prediction_tokens":0,"audio_tokens":0,"reasoning_tokens":0,"rejected_prediction_tokens":0},"prompt_tokens":935,"prompt_tokens_details":{"audio_tokens":0,"cached_tokens":0},"total_tokens":974}}</t>
        </is>
      </c>
      <c r="M122" t="inlineStr">
        <is>
          <t>{"alt-svc":"h3=\":443\"; ma=2592000","apim-request-id":"238a217f-9106-48be-a9b1-304a74ae54ad","azureml-model-session":"d20260405234249-f9874baf","cache-control":"no-cache","connection":"close","content-length":"785","content-security-policy":"frame-ancestors 'self'","content-type":"application/json","date":"Mon, 20 Apr 2026 04:16:45 GMT","server":"Caddy","skip-error-remapping":"true","strict-transport-security":"max-age=31536000; includeSubDomains; preload","via":"1.1 Caddy","x-api-request-id":"20260420121643700647737cGuk3blD","x-content-type-options":"nosniff","x-frame-options":"SAMEORIGIN","x-ms-client-request-id":"Not-Set","x-ms-is-spilled-over":"false","x-ms-rai-invoked":"true","x-ms-region":"East US 2","x-new-api-version":"0.4.39","x-oneapi-request-id":"202604200416436264449058268d9d6CRHS22cq","x-ratelimit-abusepenalty-active":"False","x-ratelimit-limit-requests":"3850","x-ratelimit-limit-tokens":"3850000","x-ratelimit-remaining-requests":"3849","x-ratelimit-remaining-tokens":"3840968","x-ratelimit-renewalperiod-requests":"60","x-ratelimit-renewalperiod-tokens":"60","x-ratelimit-reset-requests":"15","x-ratelimit-reset-tokens":"140","x-request-id":"a8ff45f7-d3e6-4e7f-b210-779342300bf7"}</t>
        </is>
      </c>
      <c r="N122" t="inlineStr">
        <is>
          <t>Brand T-ShirtsOther White Bamboo Embroidered Short Sleeve Tee, made of high-density pure cotton, soft and breathable, featuring delicate bamboo leaf and bird design for refined casual unisex style.</t>
        </is>
      </c>
      <c r="O122" t="inlineStr">
        <is>
          <t>{"choices":[{"finish_reason":"stop","index":0,"logprobs":null,"message":{"annotations":[],"content":"Yuanshu,T-Shirts,kakobuy,kakebuy2026,kekobuysheet,kakobuysheet2026,2026kakobuy,kakobuyspreadsheeet,kakobuylink,kakebuylist,Kakobuy MEGA Spreadsheet,kakobuysheetfind,kakobuysheetfind2026,2026kakobuysheetfind,kakobuysheet2026","refusal":null,"role":"assistant"}}],"created":1776667261,"id":"chatcmpl-DWcbVeDe3DhbjjsFgMht9fE9cuIMi","model":"gpt-5-chat-latest","object":"chat.completion","service_tier":"default","system_fingerprint":"fp_ad66631dec","usage":{"completion_tokens":88,"completion_tokens_details":{"accepted_prediction_tokens":0,"audio_tokens":0,"reasoning_tokens":0,"rejected_prediction_tokens":0},"prompt_tokens":782,"prompt_tokens_details":{"audio_tokens":0,"cached_tokens":0},"total_tokens":870}}</t>
        </is>
      </c>
      <c r="P122" t="inlineStr">
        <is>
          <t>Yuanshu,T-Shirts,kakobuy,kakebuy2026,kekobuysheet,kakobuysheet2026,2026kakobuy,kakobuyspreadsheeet,kakobuylink,kakebuylist,Kakobuy MEGA Spreadsheet,kakobuysheetfind,kakobuysheetfind2026,2026kakobuysheetfind,kakobuysheet2026</t>
        </is>
      </c>
      <c r="Q122" t="inlineStr">
        <is>
          <t>White, Unisex, Breathable, Summer</t>
        </is>
      </c>
      <c r="R122" t="inlineStr">
        <is>
          <t>recvh6xFVj5L3K</t>
        </is>
      </c>
      <c r="S122" t="inlineStr">
        <is>
          <t>other-brand-white-bamboo-embroidered-cotton-unisex-tee-recvh6xFVj5L3K</t>
        </is>
      </c>
      <c r="T122"/>
      <c r="U122"/>
      <c r="V122"/>
      <c r="W122" t="inlineStr">
        <is>
          <t>{"choices":[{"finish_reason":"stop","index":0,"logprobs":null,"message":{"annotations":[],"content":"白色竹枝刺绣短袖T恤，甄选高密度纯棉材质，清爽透气手感柔软。肩胸处点缀精致竹叶与小鸟刺绣图腾，彰显东方写意美学，剪裁简洁利落，适合男女休闲日常穿搭，融合自然与艺术的现代设计风格，尽显轻奢气质。","refusal":null,"role":"assistant"}}],"created":1776655600,"id":"chatcmpl-DWZZQF4yZtjIrLjvOpPxtKmjO7Kh8","model":"gpt-5-chat-latest","object":"chat.completion","service_tier":"default","system_fingerprint":"fp_ad66631dec","usage":{"completion_tokens":97,"completion_tokens_details":{"accepted_prediction_tokens":0,"audio_tokens":0,"reasoning_tokens":0,"rejected_prediction_tokens":0},"prompt_tokens":1319,"prompt_tokens_details":{"audio_tokens":0,"cached_tokens":1280},"total_tokens":1416}}</t>
        </is>
      </c>
      <c r="X122" t="inlineStr">
        <is>
          <t>白色竹枝刺绣短袖T恤，甄选高密度纯棉材质，清爽透气手感柔软。肩胸处点缀精致竹叶与小鸟刺绣图腾，彰显东方写意美学，剪裁简洁利落，适合男女休闲日常穿搭，融合自然与艺术的现代设计风格，尽显轻奢气质。</t>
        </is>
      </c>
    </row>
    <row r="123" ht="25.5" customHeight="1">
      <c r="A123">
        <v>1839115443</v>
      </c>
      <c r="B123">
        <v>7693063737</v>
      </c>
      <c r="C123" t="inlineStr">
        <is>
          <t>https://weidian.com/item.html?itemID=7693063737</t>
        </is>
      </c>
      <c r="D123"/>
      <c r="E123" s="2" t="str">
        <f>=HYPERLINK("https://si.geilicdn.com/open1839115443-252808396-1c400000019c509feca20a22d249_800_800.jpg?w=750&amp;h=750&amp;cp=1", "https://si.geilicdn.com/open1839115443-252808396-1c400000019c509feca20a22d249_800_800.jpg?w=750&amp;h=750&amp;cp=1")</f>
        <v>https://si.geilicdn.com/open1839115443-252808396-1c400000019c509feca20a22d249_800_800.jpg?w=750&amp;h=750&amp;cp=1</v>
      </c>
      <c r="F123" t="inlineStr">
        <is>
          <t>T-Shirts</t>
        </is>
      </c>
      <c r="G123" t="inlineStr">
        <is>
          <t>Other</t>
        </is>
      </c>
      <c r="H123" t="inlineStr">
        <is>
          <t>54.00</t>
        </is>
      </c>
      <c r="I123">
        <v>7.83</v>
      </c>
      <c r="J123" t="inlineStr">
        <is>
          <t>{"choices":[{"finish_reason":"stop","index":0,"logprobs":null,"message":{"annotations":[],"content":"YZEMC White Swallow Print Unisex Cotton T-Shirt","refusal":null,"role":"assistant"}}],"created":1776666593,"id":"chatcmpl-DWcQjixqAIj6mdkIGASiwiXnHJU32","model":"gpt-5-chat-latest","object":"chat.completion","service_tier":"default","system_fingerprint":"fp_ad66631dec","usage":{"completion_tokens":13,"completion_tokens_details":{"accepted_prediction_tokens":0,"audio_tokens":0,"reasoning_tokens":0,"rejected_prediction_tokens":0},"prompt_tokens":875,"prompt_tokens_details":{"audio_tokens":0,"cached_tokens":0},"total_tokens":888}}</t>
        </is>
      </c>
      <c r="K123" t="inlineStr">
        <is>
          <t>YZEMC White Swallow Print Unisex Cotton T-Shirt</t>
        </is>
      </c>
      <c r="L123" t="inlineStr">
        <is>
          <t>{"choices":[{"finish_reason":"stop","index":0,"logprobs":null,"message":{"annotations":[],"content":"YZEMC Minimalist White Swallow Print T-Shirt, soft breathable cotton, black swallow silhouette adds elegant vibe, loose unisex fit for urban casual style and everyday fashion mix.","refusal":null,"role":"assistant"}}],"created":1776658961,"id":"chatcmpl-DWaRdep3AJhdCucOvEX2KC0httzxt","model":"gpt-5-chat-latest","object":"chat.completion","service_tier":"default","system_fingerprint":"fp_ad66631dec","usage":{"completion_tokens":37,"completion_tokens_details":{"accepted_prediction_tokens":0,"audio_tokens":0,"reasoning_tokens":0,"rejected_prediction_tokens":0},"prompt_tokens":917,"prompt_tokens_details":{"audio_tokens":0,"cached_tokens":0},"total_tokens":954}}</t>
        </is>
      </c>
      <c r="M123" t="inlineStr">
        <is>
          <t>{"alt-svc":"h3=\":443\"; ma=2592000","apim-request-id":"3ee1d8fd-b94d-4896-a276-1d2f7ceec14e","azureml-model-session":"d20260405234249-f9874baf","cache-control":"no-cache","connection":"close","content-length":"767","content-security-policy":"frame-ancestors 'self'","content-type":"application/json","date":"Mon, 20 Apr 2026 04:22:42 GMT","server":"Caddy","skip-error-remapping":"true","strict-transport-security":"max-age=31536000; includeSubDomains; preload","via":"1.1 Caddy","x-api-request-id":"20260420122240469042912MLIwGdw7","x-content-type-options":"nosniff","x-frame-options":"SAMEORIGIN","x-ms-client-request-id":"Not-Set","x-ms-is-spilled-over":"false","x-ms-rai-invoked":"true","x-ms-region":"East US 2","x-new-api-version":"0.4.39","x-oneapi-request-id":"202604200422404012558448268d9d6JVE1Nnbk","x-ratelimit-abusepenalty-active":"False","x-ratelimit-limit-requests":"3850","x-ratelimit-limit-tokens":"3850000","x-ratelimit-remaining-requests":"3849","x-ratelimit-remaining-tokens":"3848321","x-ratelimit-renewalperiod-requests":"60","x-ratelimit-renewalperiod-tokens":"60","x-ratelimit-reset-requests":"18","x-ratelimit-reset-tokens":"26","x-request-id":"406df6e5-9289-4cb2-8e55-2f28932060cb"}</t>
        </is>
      </c>
      <c r="N123" t="inlineStr">
        <is>
          <t>YZEMC Minimalist White Swallow Print T-Shirt, soft breathable cotton, black swallow silhouette adds elegant vibe, loose unisex fit for urban casual style and everyday fashion mix.</t>
        </is>
      </c>
      <c r="O123" t="inlineStr">
        <is>
          <t>{"choices":[{"finish_reason":"stop","index":0,"logprobs":null,"message":{"annotations":[],"content":"YZE MC,T-Shirts,kakobuy,kakebuy2026,kekobuysheet,kakobuysheet2026,2026kakobuy,kakobuyspreadsheeet,kakobuylink,kakebuylist,Kakobuy MEGA Spreadsheet,kakobuysheetfind,kakobuysheetfind2026,2026kakobuysheetfind,kakobuysheet2026","refusal":null,"role":"assistant"}}],"created":1776668533,"id":"chatcmpl-DWcw16vDCsEyM7599KrTWmcCPS0Dx","model":"gpt-5-chat-latest","object":"chat.completion","service_tier":"default","system_fingerprint":"fp_ad66631dec","usage":{"completion_tokens":88,"completion_tokens_details":{"accepted_prediction_tokens":0,"audio_tokens":0,"reasoning_tokens":0,"rejected_prediction_tokens":0},"prompt_tokens":782,"prompt_tokens_details":{"audio_tokens":0,"cached_tokens":0},"total_tokens":870}}</t>
        </is>
      </c>
      <c r="P123" t="inlineStr">
        <is>
          <t>YZE MC,T-Shirts,kakobuy,kakebuy2026,kekobuysheet,kakobuysheet2026,2026kakobuy,kakobuyspreadsheeet,kakobuylink,kakebuylist,Kakobuy MEGA Spreadsheet,kakobuysheetfind,kakobuysheetfind2026,2026kakobuysheetfind,kakobuysheet2026</t>
        </is>
      </c>
      <c r="Q123" t="inlineStr">
        <is>
          <t>Minimalist, White, Breathable, Unisex</t>
        </is>
      </c>
      <c r="R123" t="inlineStr">
        <is>
          <t>recvh6xFVjzFbX</t>
        </is>
      </c>
      <c r="S123" t="inlineStr">
        <is>
          <t>yzemc-white-swallow-print-cotton-tshirt-recvh6xfvjzfbx</t>
        </is>
      </c>
      <c r="T123"/>
      <c r="U123"/>
      <c r="V123"/>
      <c r="W123" t="inlineStr">
        <is>
          <t>{"id":"chatcmpl-DWZhqZcl16Q49ak55RE9XLKXUOuG3","object":"chat.completion","created":1776656122,"model":"gpt-5-chat-latest","choices":[{"index":0,"message":{"role":"assistant","content":"极简白色飞燕印花短袖T恤，柔软纯棉面料，轻盈透气。胸前黑色小燕剪影设计展现自然灵动之美，宽松版型兼具舒适与高级质感，男女皆宜，都市休闲风格，适合日常穿搭与潮流混搭。","refusal":null,"annotations":[]},"logprobs":null,"finish_reason":"stop"}],"usage":{"prompt_tokens":1317,"completion_tokens":80,"total_tokens":1397,"prompt_tokens_details":{"cached_tokens":0,"audio_tokens":0},"completion_tokens_details":{"reasoning_tokens":0,"audio_tokens":0,"accepted_prediction_tokens":0,"rejected_prediction_tokens":0}},"service_tier":"default","system_fingerprint":"fp_ad66631dec"}</t>
        </is>
      </c>
      <c r="X123" t="inlineStr">
        <is>
          <t>极简白色飞燕印花短袖T恤，柔软纯棉面料，轻盈透气。胸前黑色小燕剪影设计展现自然灵动之美，宽松版型兼具舒适与高级质感，男女皆宜，都市休闲风格，适合日常穿搭与潮流混搭。</t>
        </is>
      </c>
    </row>
    <row r="124" ht="25.5" customHeight="1">
      <c r="A124">
        <v>1839115443</v>
      </c>
      <c r="B124">
        <v>7693048053</v>
      </c>
      <c r="C124" t="inlineStr">
        <is>
          <t>https://weidian.com/item.html?itemID=7693048053</t>
        </is>
      </c>
      <c r="D124"/>
      <c r="E124" s="2" t="str">
        <f>=HYPERLINK("https://si.geilicdn.com/open1839115443-252808396-03040000019c509d972d0a8133b0_1080_1080.jpg?w=750&amp;h=750&amp;cp=1", "https://si.geilicdn.com/open1839115443-252808396-03040000019c509d972d0a8133b0_1080_1080.jpg?w=750&amp;h=750&amp;cp=1")</f>
        <v>https://si.geilicdn.com/open1839115443-252808396-03040000019c509d972d0a8133b0_1080_1080.jpg?w=750&amp;h=750&amp;cp=1</v>
      </c>
      <c r="F124" t="inlineStr">
        <is>
          <t>T-Shirts</t>
        </is>
      </c>
      <c r="G124" t="inlineStr">
        <is>
          <t>Other</t>
        </is>
      </c>
      <c r="H124" t="inlineStr">
        <is>
          <t>54.00</t>
        </is>
      </c>
      <c r="I124">
        <v>7.83</v>
      </c>
      <c r="J124" t="inlineStr">
        <is>
          <t>{"choices":[{"finish_reason":"stop","index":0,"logprobs":null,"message":{"annotations":[],"content":"OtherBrand Black Cotton Tee Gold Tiger Head","refusal":null,"role":"assistant"}}],"created":1776666277,"id":"chatcmpl-DWcLdpuyHIJtfFpwtXCDyKeP4RgdC","model":"gpt-5-chat-latest","object":"chat.completion","service_tier":"default","system_fingerprint":"fp_ad66631dec","usage":{"completion_tokens":9,"completion_tokens_details":{"accepted_prediction_tokens":0,"audio_tokens":0,"reasoning_tokens":0,"rejected_prediction_tokens":0},"prompt_tokens":873,"prompt_tokens_details":{"audio_tokens":0,"cached_tokens":0},"total_tokens":882}}</t>
        </is>
      </c>
      <c r="K124" t="inlineStr">
        <is>
          <t>OtherBrand Black Cotton Tee Gold Tiger Head</t>
        </is>
      </c>
      <c r="L124" t="inlineStr">
        <is>
          <t>{"id":"chatcmpl-DWaLVLRwbeCV9Vud7on9cO3XpE5FU","object":"chat.completion","created":1776658581,"model":"gpt-5-chat-latest","choices":[{"index":0,"message":{"role":"assistant","content":"Brand T-ShirtsOther stylish black cotton tee with gold metallic tiger head print, soft breathable fabric, unisex fit, round neck design for modern street fashion and urban casual wear.","refusal":null,"annotations":[]},"logprobs":null,"finish_reason":"stop"}],"usage":{"prompt_tokens":927,"completion_tokens":36,"total_tokens":963,"prompt_tokens_details":{"cached_tokens":0,"audio_tokens":0},"completion_tokens_details":{"reasoning_tokens":0,"audio_tokens":0,"accepted_prediction_tokens":0,"rejected_prediction_tokens":0}},"service_tier":"default","system_fingerprint":"fp_ad66631dec"}</t>
        </is>
      </c>
      <c r="M124"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ma=2592000","apim-request-id":"04f803ec-1cbc-4586-97ad-763ab5de8722","azureml-model-session":"d20260402075109-1fc5a0ec","cache-control":"no-cache, no-store, must-revalidate","connection":"close","content-length":"988","content-security-policy":"frame-ancestors 'self'","content-type":"application/json","date":"Mon, 20 Apr 2026 04:16:23 GMT","server":"nginx","skip-error-remapping":"true","strict-transport-security":"max-age=31536000; includeSubDomains; preload","via":"1.1 Caddy, 1.1 Caddy","x-api-request-id":"20260420121620828872594xYk1hyrv","x-content-type-options":"nosniff","x-frame-options":"SAMEORIGIN","x-ms-is-spilled-over":"false","x-ms-rai-invoked":"false","x-ms-region":"East US 2","x-new-api-version":"0.4.39","x-oneapi-request-id":"202604200416207627223858268d9d6XaT0oUyx","x-ratelimit-abusepenalty-active":"False","x-ratelimit-limit-requests":"4994","x-ratelimit-limit-tokens":"4994000","x-ratelimit-remaining-requests":"4993","x-ratelimit-remaining-tokens":"4992311","x-ratelimit-renewalperiod-requests":"60","x-ratelimit-renewalperiod-tokens":"60","x-ratelimit-reset-requests":"12","x-ratelimit-reset-tokens":"20","x-request-id":"b1f5433a-67af-4d77-b174-d0e0eb416c35"}</t>
        </is>
      </c>
      <c r="N124" t="inlineStr">
        <is>
          <t>Brand T-ShirtsOther stylish black cotton tee with gold metallic tiger head print, soft breathable fabric, unisex fit, round neck design for modern street fashion and urban casual wear.</t>
        </is>
      </c>
      <c r="O124" t="inlineStr">
        <is>
          <t>{"choices":[{"finish_reason":"stop","index":0,"logprobs":null,"message":{"annotations":[],"content":"Yuanshu, T-Shirts, kakobuy, kakebuy2026, kekobuysheet, kakobuysheet2026, 2026kakobuy, kakobuyspreadsheeet, kakobuylink, kakebuylist, Kakobuy MEGA Spreadsheet, kakobuysheetfind, kakobuysheetfind2026, 2026kakobuysheetfind, kakobuysheet2026","refusal":null,"role":"assistant"}}],"created":1776668529,"id":"chatcmpl-DWcvxmU2Vb0PFncvYoMhDTmj6mgkJ","model":"gpt-5-chat-latest","object":"chat.completion","service_tier":"default","system_fingerprint":"fp_ad66631dec","usage":{"completion_tokens":93,"completion_tokens_details":{"accepted_prediction_tokens":0,"audio_tokens":0,"reasoning_tokens":0,"rejected_prediction_tokens":0},"prompt_tokens":782,"prompt_tokens_details":{"audio_tokens":0,"cached_tokens":0},"total_tokens":875}}</t>
        </is>
      </c>
      <c r="P124" t="inlineStr">
        <is>
          <t>Yuanshu, T-Shirts, kakobuy, kakebuy2026, kekobuysheet, kakobuysheet2026, 2026kakobuy, kakobuyspreadsheeet, kakobuylink, kakebuylist, Kakobuy MEGA Spreadsheet, kakobuysheetfind, kakobuysheetfind2026, 2026kakobuysheetfind, kakobuysheet2026</t>
        </is>
      </c>
      <c r="Q124" t="inlineStr">
        <is>
          <t>Black, Unisex, Streetwear, Breathable</t>
        </is>
      </c>
      <c r="R124" t="inlineStr">
        <is>
          <t>recvh6xFVjfIUA</t>
        </is>
      </c>
      <c r="S124" t="inlineStr">
        <is>
          <t>otherbrand-black-cotton-tee-gold-tiger-head-recvh6xfvjfiua</t>
        </is>
      </c>
      <c r="T124"/>
      <c r="U124"/>
      <c r="V124"/>
      <c r="W124" t="inlineStr">
        <is>
          <t>{"choices":[{"finish_reason":"stop","index":0,"logprobs":null,"message":{"annotations":[],"content":"黑色金色虎头印花T恤，优质纯棉材质打造，触感柔软透气。前胸醒目金属质感虎头图腾，展现力量与个性美学，简约圆领设计凸显现代街头风格。男女通穿，兼具舒适与时尚，适合都市休闲与潮流穿搭。","refusal":null,"role":"assistant"}}],"created":1776655854,"id":"chatcmpl-DWZdW2Xm1DmFhjbL9AAiP03btVCPC","model":"gpt-5-chat-latest","object":"chat.completion","service_tier":"default","system_fingerprint":"fp_ad66631dec","usage":{"completion_tokens":87,"completion_tokens_details":{"accepted_prediction_tokens":0,"audio_tokens":0,"reasoning_tokens":0,"rejected_prediction_tokens":0},"prompt_tokens":1323,"prompt_tokens_details":{"audio_tokens":0,"cached_tokens":0},"total_tokens":1410}}</t>
        </is>
      </c>
      <c r="X124" t="inlineStr">
        <is>
          <t>黑色金色虎头印花T恤，优质纯棉材质打造，触感柔软透气。前胸醒目金属质感虎头图腾，展现力量与个性美学，简约圆领设计凸显现代街头风格。男女通穿，兼具舒适与时尚，适合都市休闲与潮流穿搭。</t>
        </is>
      </c>
    </row>
    <row r="125" ht="25.5" customHeight="1">
      <c r="A125">
        <v>1839115443</v>
      </c>
      <c r="B125">
        <v>7693040649</v>
      </c>
      <c r="C125" t="inlineStr">
        <is>
          <t>https://weidian.com/item.html?itemID=7693040649</t>
        </is>
      </c>
      <c r="D125"/>
      <c r="E125" s="2" t="str">
        <f>=HYPERLINK("https://si.geilicdn.com/open1839115443-252808396-28480000019c50bcee9f0a22d249_1440_1440.jpg?w=750&amp;h=750&amp;cp=1", "https://si.geilicdn.com/open1839115443-252808396-28480000019c50bcee9f0a22d249_1440_1440.jpg?w=750&amp;h=750&amp;cp=1")</f>
        <v>https://si.geilicdn.com/open1839115443-252808396-28480000019c50bcee9f0a22d249_1440_1440.jpg?w=750&amp;h=750&amp;cp=1</v>
      </c>
      <c r="F125" t="inlineStr">
        <is>
          <t>T-Shirts</t>
        </is>
      </c>
      <c r="G125" t="inlineStr">
        <is>
          <t>Other</t>
        </is>
      </c>
      <c r="H125" t="inlineStr">
        <is>
          <t>54.00</t>
        </is>
      </c>
      <c r="I125">
        <v>7.83</v>
      </c>
      <c r="J125" t="inlineStr">
        <is>
          <t>{"id":"chatcmpl-DWcW4neEf86Env482WtJLvg7qZMdQ","object":"chat.completion","created":1776666924,"model":"gpt-5-chat-latest","choices":[{"index":0,"message":{"role":"assistant","content":"OtherBrand 123 Print Ice Cream Patch White T-Shirt","refusal":null,"annotations":[]},"logprobs":null,"finish_reason":"stop"}],"usage":{"prompt_tokens":877,"completion_tokens":12,"total_tokens":889,"prompt_tokens_details":{"cached_tokens":0,"audio_tokens":0},"completion_tokens_details":{"reasoning_tokens":0,"audio_tokens":0,"accepted_prediction_tokens":0,"rejected_prediction_tokens":0}},"service_tier":"default","system_fingerprint":"fp_ad66631dec"}</t>
        </is>
      </c>
      <c r="K125" t="inlineStr">
        <is>
          <t>OtherBrand 123 Print Ice Cream Patch White T-Shirt</t>
        </is>
      </c>
      <c r="L125" t="inlineStr">
        <is>
          <t>{"id":"chatcmpl-DWaLIs2DJVkQTEYh9BQb9hB0R0i27","object":"chat.completion","created":1776658568,"model":"gpt-5-chat-latest","choices":[{"index":0,"message":{"role":"assistant","content":"Brand T-ShirtsOther minimalist white cotton tee, soft and breathable, featuring bold black “123” print and playful ice cream patches on the back for a trendy unisex streetwear look.","refusal":null,"annotations":[]},"logprobs":null,"finish_reason":"stop"}],"usage":{"prompt_tokens":913,"completion_tokens":38,"total_tokens":951,"prompt_tokens_details":{"cached_tokens":0,"audio_tokens":0},"completion_tokens_details":{"reasoning_tokens":0,"audio_tokens":0,"accepted_prediction_tokens":0,"rejected_prediction_tokens":0}},"service_tier":"default","system_fingerprint":"fp_ad66631dec"}</t>
        </is>
      </c>
      <c r="M125"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ma=2592000","apim-request-id":"784d7fee-af8e-48ec-9df2-ad5aff286036","azureml-model-session":"d20260405225800-40f19e54","cache-control":"no-cache, no-store, must-revalidate","connection":"close","content-length":"989","content-security-policy":"frame-ancestors 'self'","content-type":"application/json","date":"Mon, 20 Apr 2026 04:16:10 GMT","server":"nginx","skip-error-remapping":"true","strict-transport-security":"max-age=31536000; includeSubDomains; preload","via":"1.1 Caddy, 1.1 Caddy","x-api-request-id":"2026042012160759732797iuS3rya2","x-content-type-options":"nosniff","x-frame-options":"SAMEORIGIN","x-ms-is-spilled-over":"false","x-ms-rai-invoked":"false","x-ms-region":"Sweden Central","x-new-api-version":"0.4.39","x-oneapi-request-id":"202604200416069942343398268d9d6wyvPyyRL","x-ratelimit-abusepenalty-active":"False","x-ratelimit-limit-requests":"4993","x-ratelimit-limit-tokens":"4993000","x-ratelimit-remaining-requests":"4992","x-ratelimit-remaining-tokens":"4991325","x-ratelimit-renewalperiod-requests":"60","x-ratelimit-renewalperiod-tokens":"60","x-ratelimit-reset-requests":"12","x-ratelimit-reset-tokens":"20","x-request-id":"b0d7999a-2e2d-423f-bb87-2876b5a131dc"}</t>
        </is>
      </c>
      <c r="N125" t="inlineStr">
        <is>
          <t>Brand T-ShirtsOther minimalist white cotton tee, soft and breathable, featuring bold black “123” print and playful ice cream patches on the back for a trendy unisex streetwear look.</t>
        </is>
      </c>
      <c r="O125" t="inlineStr">
        <is>
          <t>{"choices":[{"finish_reason":"stop","index":0,"logprobs":null,"message":{"annotations":[],"content":"123, T-Shirts, kakobuy, kakebuy2026, kekobuysheet, kakobuysheet2026, 2026kakobuy, kakobuyspreadsheeet, kakobuylink, kakebuylist, Kakobuy MEGA Spreadsheet, kakobuysheetfind, kakobuysheetfind2026, 2026kakobuysheetfind, kakobuysheet2026","refusal":null,"role":"assistant"}}],"created":1776668119,"id":"chatcmpl-DWcpLeGACyNWl79iTHNVZtghfZ0vB","model":"gpt-5-chat-latest","object":"chat.completion","service_tier":"default","system_fingerprint":"fp_ad66631dec","usage":{"completion_tokens":91,"completion_tokens_details":{"accepted_prediction_tokens":0,"audio_tokens":0,"reasoning_tokens":0,"rejected_prediction_tokens":0},"prompt_tokens":782,"prompt_tokens_details":{"audio_tokens":0,"cached_tokens":0},"total_tokens":873}}</t>
        </is>
      </c>
      <c r="P125" t="inlineStr">
        <is>
          <t>123, T-Shirts, kakobuy, kakebuy2026, kekobuysheet, kakobuysheet2026, 2026kakobuy, kakobuyspreadsheeet, kakobuylink, kakebuylist, Kakobuy MEGA Spreadsheet, kakobuysheetfind, kakobuysheetfind2026, 2026kakobuysheetfind, kakobuysheet2026</t>
        </is>
      </c>
      <c r="Q125" t="inlineStr">
        <is>
          <t>Minimalist, White, Unisex, Streetwear, Breathable</t>
        </is>
      </c>
      <c r="R125" t="inlineStr">
        <is>
          <t>recvh6xFVjvCS4</t>
        </is>
      </c>
      <c r="S125" t="inlineStr">
        <is>
          <t>otherbrand-print-ice-cream-patch-white-tshirt-recvh6xfvjvcs4</t>
        </is>
      </c>
      <c r="T125"/>
      <c r="U125"/>
      <c r="V125"/>
      <c r="W125" t="inlineStr">
        <is>
          <t>{"id":"chatcmpl-DWZhIpgnvtfBYybk6B5lf8xyns1SO","object":"chat.completion","created":1776656088,"model":"gpt-5-chat-latest","choices":[{"index":0,"message":{"role":"assistant","content":"简约白色短袖T恤，优选纯棉面料柔软透气，背面印有醒目黑色“123”数字与趣味冰淇淋贴章图腾，彰显街头休闲风格，男女皆宜，适合日常休闲与潮流搭配。","refusal":null,"annotations":[]},"logprobs":null,"finish_reason":"stop"}],"usage":{"prompt_tokens":1323,"completion_tokens":73,"total_tokens":1396,"prompt_tokens_details":{"cached_tokens":0,"audio_tokens":0},"completion_tokens_details":{"reasoning_tokens":0,"audio_tokens":0,"accepted_prediction_tokens":0,"rejected_prediction_tokens":0}},"service_tier":"default","system_fingerprint":"fp_ad66631dec"}</t>
        </is>
      </c>
      <c r="X125" t="inlineStr">
        <is>
          <t>简约白色短袖T恤，优选纯棉面料柔软透气，背面印有醒目黑色“123”数字与趣味冰淇淋贴章图腾，彰显街头休闲风格，男女皆宜，适合日常休闲与潮流搭配。</t>
        </is>
      </c>
    </row>
    <row r="126" ht="25.5" customHeight="1">
      <c r="A126">
        <v>1839115443</v>
      </c>
      <c r="B126">
        <v>7696040186</v>
      </c>
      <c r="C126" t="inlineStr">
        <is>
          <t>https://weidian.com/item.html?itemID=7696040186</t>
        </is>
      </c>
      <c r="D126"/>
      <c r="E126" s="2" t="str">
        <f>=HYPERLINK("https://si.geilicdn.com/open1839115443-252808396-1b670000019c50ac77f10a231226_1080_1080.jpg?w=750&amp;h=750&amp;cp=1", "https://si.geilicdn.com/open1839115443-252808396-1b670000019c50ac77f10a231226_1080_1080.jpg?w=750&amp;h=750&amp;cp=1")</f>
        <v>https://si.geilicdn.com/open1839115443-252808396-1b670000019c50ac77f10a231226_1080_1080.jpg?w=750&amp;h=750&amp;cp=1</v>
      </c>
      <c r="F126" t="inlineStr">
        <is>
          <t>T-Shirts</t>
        </is>
      </c>
      <c r="G126" t="inlineStr">
        <is>
          <t>Other</t>
        </is>
      </c>
      <c r="H126" t="inlineStr">
        <is>
          <t>54.00</t>
        </is>
      </c>
      <c r="I126">
        <v>7.83</v>
      </c>
      <c r="J126" t="inlineStr">
        <is>
          <t>{"choices":[{"finish_reason":"stop","index":0,"logprobs":null,"message":{"annotations":[],"content":"Brand X White Skull Rose Gothic Cotton T-Shirt","refusal":null,"role":"assistant"}}],"created":1776665976,"id":"chatcmpl-DWcGmfnbIiiftVEN1xTud4iURWiwl","model":"gpt-5-chat-latest","object":"chat.completion","service_tier":"default","system_fingerprint":"fp_ad66631dec","usage":{"completion_tokens":10,"completion_tokens_details":{"accepted_prediction_tokens":0,"audio_tokens":0,"reasoning_tokens":0,"rejected_prediction_tokens":0},"prompt_tokens":883,"prompt_tokens_details":{"audio_tokens":0,"cached_tokens":0},"total_tokens":893}}</t>
        </is>
      </c>
      <c r="K126" t="inlineStr">
        <is>
          <t>Brand X White Skull Rose Gothic Cotton T-Shirt</t>
        </is>
      </c>
      <c r="L126" t="inlineStr">
        <is>
          <t>{"choices":[{"finish_reason":"stop","index":0,"logprobs":null,"message":{"annotations":[],"content":"Brand X White Skull Rose Graphic Tee, made of soft breathable cotton, featuring a striking red rose held by a skeleton hand. Unisex streetwear merging dark gothic and romantic vibe for bold fashion style.","refusal":null,"role":"assistant"}}],"created":1776658371,"id":"chatcmpl-DWaI7nK4P1mZGMZmFapmsLaKsN3Gv","model":"gpt-5-chat-latest","object":"chat.completion","service_tier":"default","system_fingerprint":"fp_ad66631dec","usage":{"completion_tokens":41,"completion_tokens_details":{"accepted_prediction_tokens":0,"audio_tokens":0,"reasoning_tokens":0,"rejected_prediction_tokens":0},"prompt_tokens":920,"prompt_tokens_details":{"audio_tokens":0,"cached_tokens":0},"total_tokens":961}}</t>
        </is>
      </c>
      <c r="M126" t="inlineStr">
        <is>
          <t>{"alt-svc":"h3=\":443\"; ma=2592000","apim-request-id":"6ee9f37a-47da-4ff0-90a2-814f5946a64c","azureml-model-session":"d20260405212659-a9daa006","cache-control":"no-cache","connection":"close","content-length":"792","content-security-policy":"frame-ancestors 'self'","content-type":"application/json","date":"Mon, 20 Apr 2026 04:12:52 GMT","server":"nginx","skip-error-remapping":"true","strict-transport-security":"max-age=31536000; includeSubDomains; preload","via":"1.1 Caddy, 1.1 Caddy","x-api-request-id":"20260420121250558594564sSRbBlEs","x-content-type-options":"nosniff","x-frame-options":"SAMEORIGIN","x-ms-client-request-id":"Not-Set","x-ms-is-spilled-over":"false","x-ms-rai-invoked":"true","x-ms-region":"East US 2","x-new-api-version":"0.4.39","x-oneapi-request-id":"202604200412504949588108268d9d6UF10tGbh","x-ratelimit-abusepenalty-active":"False","x-ratelimit-limit-requests":"3850","x-ratelimit-limit-tokens":"3850000","x-ratelimit-remaining-requests":"3849","x-ratelimit-remaining-tokens":"3848318","x-ratelimit-renewalperiod-requests":"60","x-ratelimit-renewalperiod-tokens":"60","x-ratelimit-reset-requests":"15","x-ratelimit-reset-tokens":"26","x-request-id":"66e83620-e2a2-4995-8963-a8e8a238a856"}</t>
        </is>
      </c>
      <c r="N126" t="inlineStr">
        <is>
          <t>Brand X White Skull Rose Graphic Tee, made of soft breathable cotton, featuring a striking red rose held by a skeleton hand. Unisex streetwear merging dark gothic and romantic vibe for bold fashion style.</t>
        </is>
      </c>
      <c r="O126" t="inlineStr">
        <is>
          <t>{"choices":[{"finish_reason":"stop","index":0,"logprobs":null,"message":{"annotations":[],"content":"T-Shirts,kakobuy,kakebuy2026,kekobuysheet,kakobuysheet2026,2026kakobuy,kakobuyspreadsheeet,kakobuylink,kakebuylist,Kakobuy MEGA Spreadsheet,kakobuysheetfind,kakobuysheetfind2026,2026kakobuysheetfind,kakobuysheet2026","refusal":null,"role":"assistant"}}],"created":1776668856,"id":"chatcmpl-DWd1EpSgYUJcsFo0cYpo1O6CYpCiG","model":"gpt-5-chat-latest","object":"chat.completion","service_tier":"default","system_fingerprint":"fp_ad66631dec","usage":{"completion_tokens":85,"completion_tokens_details":{"accepted_prediction_tokens":0,"audio_tokens":0,"reasoning_tokens":0,"rejected_prediction_tokens":0},"prompt_tokens":782,"prompt_tokens_details":{"audio_tokens":0,"cached_tokens":0},"total_tokens":867}}</t>
        </is>
      </c>
      <c r="P126" t="inlineStr">
        <is>
          <t>T-Shirts,kakobuy,kakebuy2026,kekobuysheet,kakobuysheet2026,2026kakobuy,kakobuyspreadsheeet,kakobuylink,kakebuylist,Kakobuy MEGA Spreadsheet,kakobuysheetfind,kakobuysheetfind2026,2026kakobuysheetfind,kakobuysheet2026</t>
        </is>
      </c>
      <c r="Q126" t="inlineStr">
        <is>
          <t>White, Red, Gothic, Romantic, Streetwear, Unisex</t>
        </is>
      </c>
      <c r="R126" t="inlineStr">
        <is>
          <t>recvh6xFVjmWbn</t>
        </is>
      </c>
      <c r="S126" t="inlineStr">
        <is>
          <t>brand-x-white-skull-rose-gothic-cotton-tshirt-recvh6xFVjmWbn</t>
        </is>
      </c>
      <c r="T126"/>
      <c r="U126"/>
      <c r="V126"/>
      <c r="W126" t="inlineStr">
        <is>
          <t>{"choices":[{"finish_reason":"stop","index":0,"logprobs":null,"message":{"annotations":[],"content":"白色骷髅玫瑰图腾系列短袖T恤，柔软纯棉面料亲肤透气，前幅印有红玫瑰与骷髅手图案，视觉冲击强烈，街头暗黑与浪漫元素融合，男女皆宜，彰显个性潮流穿搭风格。","refusal":null,"role":"assistant"}}],"created":1776655251,"id":"chatcmpl-DWZTnZQnAsHokxkhw5OcfwpG9woIO","model":"gpt-5-chat-latest","object":"chat.completion","service_tier":"default","system_fingerprint":"fp_ad66631dec","usage":{"completion_tokens":81,"completion_tokens_details":{"accepted_prediction_tokens":0,"audio_tokens":0,"reasoning_tokens":0,"rejected_prediction_tokens":0},"prompt_tokens":1321,"prompt_tokens_details":{"audio_tokens":0,"cached_tokens":0},"total_tokens":1402}}</t>
        </is>
      </c>
      <c r="X126" t="inlineStr">
        <is>
          <t>白色骷髅玫瑰图腾系列短袖T恤，柔软纯棉面料亲肤透气，前幅印有红玫瑰与骷髅手图案，视觉冲击强烈，街头暗黑与浪漫元素融合，男女皆宜，彰显个性潮流穿搭风格。</t>
        </is>
      </c>
    </row>
    <row r="127" ht="25.5" customHeight="1">
      <c r="A127">
        <v>1839115443</v>
      </c>
      <c r="B127">
        <v>7695996602</v>
      </c>
      <c r="C127" t="inlineStr">
        <is>
          <t>https://weidian.com/item.html?itemID=7695996602</t>
        </is>
      </c>
      <c r="D127"/>
      <c r="E127" s="2" t="str">
        <f>=HYPERLINK("https://si.geilicdn.com/open1839115443-252808396-18530000019c50a2f8eb0a231226_1080_1080.jpg?w=750&amp;h=750&amp;cp=1", "https://si.geilicdn.com/open1839115443-252808396-18530000019c50a2f8eb0a231226_1080_1080.jpg?w=750&amp;h=750&amp;cp=1")</f>
        <v>https://si.geilicdn.com/open1839115443-252808396-18530000019c50a2f8eb0a231226_1080_1080.jpg?w=750&amp;h=750&amp;cp=1</v>
      </c>
      <c r="F127" t="inlineStr">
        <is>
          <t>T-Shirts</t>
        </is>
      </c>
      <c r="G127" t="inlineStr">
        <is>
          <t>Other</t>
        </is>
      </c>
      <c r="H127" t="inlineStr">
        <is>
          <t>54.00</t>
        </is>
      </c>
      <c r="I127">
        <v>7.83</v>
      </c>
      <c r="J127" t="inlineStr">
        <is>
          <t>{"choices":[{"finish_reason":"stop","index":0,"logprobs":null,"message":{"annotations":[],"content":"MONSTERAUYM Green Butterfly White Cotton T-Shirt","refusal":null,"role":"assistant"}}],"created":1776666400,"id":"chatcmpl-DWcNc28hnNNsaCDrTBcQAdDVjPcL2","model":"gpt-5-chat-latest","object":"chat.completion","service_tier":"default","system_fingerprint":"fp_ad66631dec","usage":{"completion_tokens":12,"completion_tokens_details":{"accepted_prediction_tokens":0,"audio_tokens":0,"reasoning_tokens":0,"rejected_prediction_tokens":0},"prompt_tokens":879,"prompt_tokens_details":{"audio_tokens":0,"cached_tokens":0},"total_tokens":891}}</t>
        </is>
      </c>
      <c r="K127" t="inlineStr">
        <is>
          <t>MONSTERAUYM Green Butterfly White Cotton T-Shirt</t>
        </is>
      </c>
      <c r="L127" t="inlineStr">
        <is>
          <t>{"id":"chatcmpl-DWaI1syTQraGJNtVd9e3lXsMDuizm","object":"chat.completion","created":1776658365,"model":"gpt-5-chat-latest","choices":[{"index":0,"message":{"role":"assistant","content":"MONSTERAUYM White Cotton Unisex T-Shirt, featuring a vibrant green butterfly and artistic handwritten print on the back, lightweight, breathable, perfect for casual street style and daily wear.","refusal":null,"annotations":[]},"logprobs":null,"finish_reason":"stop"}],"usage":{"prompt_tokens":914,"completion_tokens":39,"total_tokens":953,"prompt_tokens_details":{"cached_tokens":0,"audio_tokens":0},"completion_tokens_details":{"reasoning_tokens":0,"audio_tokens":0,"accepted_prediction_tokens":0,"rejected_prediction_tokens":0}},"service_tier":"default","system_fingerprint":"fp_ad66631dec"}</t>
        </is>
      </c>
      <c r="M127"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ma=2592000","apim-request-id":"60cc8b3b-8c04-4824-9aa8-6eb9ec626b4d","azureml-model-session":"d20260405212659-a9daa006","cache-control":"no-cache, no-store, must-revalidate","connection":"close","content-length":"997","content-security-policy":"frame-ancestors 'self'","content-type":"application/json","date":"Mon, 20 Apr 2026 04:12:47 GMT","server":"nginx","skip-error-remapping":"true","strict-transport-security":"max-age=31536000; includeSubDomains; preload","via":"1.1 Caddy, 1.1 Caddy","x-api-request-id":"2026042012124357612527588nO7zYG","x-content-type-options":"nosniff","x-frame-options":"SAMEORIGIN","x-ms-is-spilled-over":"false","x-ms-rai-invoked":"false","x-ms-region":"Sweden Central","x-new-api-version":"0.4.39","x-oneapi-request-id":"202604200412435121798168268d9d6HcM3EXVP","x-ratelimit-abusepenalty-active":"False","x-ratelimit-limit-requests":"4993","x-ratelimit-limit-tokens":"4993000","x-ratelimit-remaining-requests":"4992","x-ratelimit-remaining-tokens":"4991324","x-ratelimit-renewalperiod-requests":"60","x-ratelimit-renewalperiod-tokens":"60","x-ratelimit-reset-requests":"12","x-ratelimit-reset-tokens":"20","x-request-id":"64ee490c-a3da-4b15-9ad9-70ba7122ed23"}</t>
        </is>
      </c>
      <c r="N127" t="inlineStr">
        <is>
          <t>MONSTERAUYM White Cotton Unisex T-Shirt, featuring a vibrant green butterfly and artistic handwritten print on the back, lightweight, breathable, perfect for casual street style and daily wear.</t>
        </is>
      </c>
      <c r="O127" t="inlineStr">
        <is>
          <t>{"choices":[{"finish_reason":"stop","index":0,"logprobs":null,"message":{"annotations":[],"content":"About Monsterauym, T-Shirts, kakobuy, kakebuy2026, kekobuysheet, kakobuysheet2026, 2026kakobuy, kakobuyspreadsheeet, kakobuylink, kakebuylist, Kakobuy MEGA Spreadsheet, kakobuysheetfind, kakobuysheetfind2026, 2026kakobuysheetfind, kakobuysheet2026","refusal":null,"role":"assistant"}}],"created":1776668269,"id":"chatcmpl-DWcrlJVvovxEqVE9dKK8z6gXkA6hH","model":"gpt-5-chat-latest","object":"chat.completion","service_tier":"default","system_fingerprint":"fp_ad66631dec","usage":{"completion_tokens":94,"completion_tokens_details":{"accepted_prediction_tokens":0,"audio_tokens":0,"reasoning_tokens":0,"rejected_prediction_tokens":0},"prompt_tokens":782,"prompt_tokens_details":{"audio_tokens":0,"cached_tokens":0},"total_tokens":876}}</t>
        </is>
      </c>
      <c r="P127" t="inlineStr">
        <is>
          <t>About Monsterauym, T-Shirts, kakobuy, kakebuy2026, kekobuysheet, kakobuysheet2026, 2026kakobuy, kakobuyspreadsheeet, kakobuylink, kakebuylist, Kakobuy MEGA Spreadsheet, kakobuysheetfind, kakobuysheetfind2026, 2026kakobuysheetfind, kakobuysheet2026</t>
        </is>
      </c>
      <c r="Q127" t="inlineStr">
        <is>
          <t>White, Unisex, Streetwear, Breathable, Lightweight</t>
        </is>
      </c>
      <c r="R127" t="inlineStr">
        <is>
          <t>recvh6xFVjL6p4</t>
        </is>
      </c>
      <c r="S127" t="inlineStr">
        <is>
          <t>monsterauym-green-butterfly-white-cotton-t-shirt-recvh6xFVjL6p4</t>
        </is>
      </c>
      <c r="T127"/>
      <c r="U127"/>
      <c r="V127"/>
      <c r="W127" t="inlineStr">
        <is>
          <t>{"id":"chatcmpl-DWZMulORrSiALiLexKusriLzH5A0f","object":"chat.completion","created":1776654824,"model":"gpt-5-chat-2025-10-03","choices":[{"index":0,"message":{"role":"assistant","content":"白色休闲短袖T恤，采用柔软纯棉面料，背面印花绿色蝴蝶与艺术手写字母图腾，彰显个性街头美学。中性版型适合男女穿搭，轻盈透气，适合日常休闲与时尚都市风格。","refusal":null,"annotations":[]},"logprobs":null,"finish_reason":"stop"}],"usage":{"prompt_tokens":1323,"completion_tokens":74,"total_tokens":1397,"prompt_tokens_details":{"cached_tokens":0,"audio_tokens":0},"completion_tokens_details":{"reasoning_tokens":0,"audio_tokens":0,"accepted_prediction_tokens":0,"rejected_prediction_tokens":0}},"service_tier":"default","system_fingerprint":"fp_ad66631dec"}</t>
        </is>
      </c>
      <c r="X127" t="inlineStr">
        <is>
          <t>白色休闲短袖T恤，采用柔软纯棉面料，背面印花绿色蝴蝶与艺术手写字母图腾，彰显个性街头美学。中性版型适合男女穿搭，轻盈透气，适合日常休闲与时尚都市风格。</t>
        </is>
      </c>
    </row>
    <row r="128" ht="25.5" customHeight="1">
      <c r="A128">
        <v>1839115443</v>
      </c>
      <c r="B128">
        <v>7692935085</v>
      </c>
      <c r="C128" t="inlineStr">
        <is>
          <t>https://weidian.com/item.html?itemID=7692935085</t>
        </is>
      </c>
      <c r="D128"/>
      <c r="E128" s="2" t="str">
        <f>=HYPERLINK("https://si.geilicdn.com/open1839115443-252808396-02800000019c509c8b3b0a8133b0_790_790.jpg?w=750&amp;h=750&amp;cp=1", "https://si.geilicdn.com/open1839115443-252808396-02800000019c509c8b3b0a8133b0_790_790.jpg?w=750&amp;h=750&amp;cp=1")</f>
        <v>https://si.geilicdn.com/open1839115443-252808396-02800000019c509c8b3b0a8133b0_790_790.jpg?w=750&amp;h=750&amp;cp=1</v>
      </c>
      <c r="F128" t="inlineStr">
        <is>
          <t>T-Shirts</t>
        </is>
      </c>
      <c r="G128" t="inlineStr">
        <is>
          <t>Vants</t>
        </is>
      </c>
      <c r="H128" t="inlineStr">
        <is>
          <t>54.00</t>
        </is>
      </c>
      <c r="I128">
        <v>7.83</v>
      </c>
      <c r="J128" t="inlineStr">
        <is>
          <t>{"choices":[{"finish_reason":"stop","index":0,"logprobs":null,"message":{"annotations":[],"content":"Vants White Sleeveless Cartoon Cotton Unisex Tee","refusal":null,"role":"assistant"}}],"created":1776665861,"id":"chatcmpl-DWcEv3cHdr0ZnRsIHhX4IM5a50Zgr","model":"gpt-5-chat-latest","object":"chat.completion","service_tier":"default","system_fingerprint":"fp_ad66631dec","usage":{"completion_tokens":11,"completion_tokens_details":{"accepted_prediction_tokens":0,"audio_tokens":0,"reasoning_tokens":0,"rejected_prediction_tokens":0},"prompt_tokens":876,"prompt_tokens_details":{"audio_tokens":0,"cached_tokens":0},"total_tokens":887}}</t>
        </is>
      </c>
      <c r="K128" t="inlineStr">
        <is>
          <t>Vants White Sleeveless Cartoon Cotton Unisex Tee</t>
        </is>
      </c>
      <c r="L128" t="inlineStr">
        <is>
          <t>{"id":"chatcmpl-DWaX2kJtcZ8glkWc7xcrQLWU8XolV","object":"chat.completion","created":1776659296,"model":"gpt-5-chat-latest","choices":[{"index":0,"message":{"role":"assistant","content":"Vants White Sleeveless Cartoon Tee, made of soft cotton, features cute ancient-style character print for a trendy streetwear look, unisex design, combining comfort and playful fashion.","refusal":null,"annotations":[]},"logprobs":null,"finish_reason":"stop"}],"usage":{"prompt_tokens":902,"completion_tokens":37,"total_tokens":939,"prompt_tokens_details":{"cached_tokens":0,"audio_tokens":0},"completion_tokens_details":{"reasoning_tokens":0,"audio_tokens":0,"accepted_prediction_tokens":0,"rejected_prediction_tokens":0}},"service_tier":"default","system_fingerprint":"fp_ad66631dec"}</t>
        </is>
      </c>
      <c r="M128"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ma=2592000","apim-request-id":"7eb2805c-aa67-4962-b531-5d516fab1f03","azureml-model-session":"d20260405234249-f9874baf","cache-control":"no-cache, no-store, must-revalidate","connection":"close","content-length":"988","content-security-policy":"frame-ancestors 'self'","content-type":"application/json","date":"Mon, 20 Apr 2026 04:28:18 GMT","server":"Caddy","skip-error-remapping":"true","strict-transport-security":"max-age=31536000; includeSubDomains; preload","via":"1.1 Caddy","x-api-request-id":"20260420122814945537657QfKMlmI4","x-content-type-options":"nosniff","x-frame-options":"SAMEORIGIN","x-ms-is-spilled-over":"false","x-ms-rai-invoked":"false","x-ms-region":"Sweden Central","x-new-api-version":"0.4.39","x-oneapi-request-id":"202604200428148784472198268d9d6FsVpWoD5","x-ratelimit-abusepenalty-active":"False","x-ratelimit-limit-requests":"4993","x-ratelimit-limit-tokens":"4993000","x-ratelimit-remaining-requests":"4992","x-ratelimit-remaining-tokens":"4991336","x-ratelimit-renewalperiod-requests":"60","x-ratelimit-renewalperiod-tokens":"60","x-ratelimit-reset-requests":"12","x-ratelimit-reset-tokens":"19","x-request-id":"47966c84-a257-41ea-b330-4568c6c88b7f"}</t>
        </is>
      </c>
      <c r="N128" t="inlineStr">
        <is>
          <t>Vants White Sleeveless Cartoon Tee, made of soft cotton, features cute ancient-style character print for a trendy streetwear look, unisex design, combining comfort and playful fashion.</t>
        </is>
      </c>
      <c r="O128" t="inlineStr">
        <is>
          <t>{"choices":[{"finish_reason":"stop","index":0,"logprobs":null,"message":{"annotations":[],"content":"Vans,T-Shirts,kakobuy,kakebuy2026,kekobuysheet,kakobuysheet2026,2026kakobuy,kakobuyspreadsheeet,kakobuylink,kakebuylist,Kakobuy MEGA Spreadsheet,kakobuysheetfind,kakobuysheetfind2026,2026kakobuysheetfind,kakobuysheet2026","refusal":null,"role":"assistant"}}],"created":1776667162,"id":"chatcmpl-DWcZuJ7cDjqAlnbNhlAUa6dpnzPhu","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P128" t="inlineStr">
        <is>
          <t>Vans,T-Shirts,kakobuy,kakebuy2026,kekobuysheet,kakobuysheet2026,2026kakobuy,kakobuyspreadsheeet,kakobuylink,kakebuylist,Kakobuy MEGA Spreadsheet,kakobuysheetfind,kakobuysheetfind2026,2026kakobuysheetfind,kakobuysheet2026</t>
        </is>
      </c>
      <c r="Q128"/>
      <c r="R128" t="inlineStr">
        <is>
          <t>recvh6xFVjWmr1</t>
        </is>
      </c>
      <c r="S128" t="inlineStr">
        <is>
          <t>vants-white-cartoon-cotton-tee-recvh6xfvjwmr1</t>
        </is>
      </c>
      <c r="T128"/>
      <c r="U128"/>
      <c r="V128"/>
      <c r="W128" t="inlineStr">
        <is>
          <t>{"choices":[{"finish_reason":"stop","index":0,"logprobs":null,"message":{"annotations":[],"content":"Vants：白色卡通插画系列无袖T恤，优选柔软纯棉面料，萌趣古风人物印花设计，休闲街头风格，男女通用款，彰显轻潮个性与舒适穿搭体验。","refusal":null,"role":"assistant"}}],"created":1776655048,"id":"chatcmpl-DWZQWz7gbqes0FSjm2Zs1QJn00BWB","model":"gpt-5-chat-latest","object":"chat.completion","service_tier":"default","system_fingerprint":"fp_ad66631dec","usage":{"completion_tokens":61,"completion_tokens_details":{"accepted_prediction_tokens":0,"audio_tokens":0,"reasoning_tokens":0,"rejected_prediction_tokens":0},"prompt_tokens":1326,"prompt_tokens_details":{"audio_tokens":0,"cached_tokens":0},"total_tokens":1387}}</t>
        </is>
      </c>
      <c r="X128" t="inlineStr">
        <is>
          <t>Vants：白色卡通插画系列无袖T恤，优选柔软纯棉面料，萌趣古风人物印花设计，休闲街头风格，男女通用款，彰显轻潮个性与舒适穿搭体验。</t>
        </is>
      </c>
    </row>
    <row r="129" ht="25.5" customHeight="1">
      <c r="A129">
        <v>1839115443</v>
      </c>
      <c r="B129">
        <v>7692947201</v>
      </c>
      <c r="C129" t="inlineStr">
        <is>
          <t>https://weidian.com/item.html?itemID=7692947201</t>
        </is>
      </c>
      <c r="D129"/>
      <c r="E129" s="2" t="str">
        <f>=HYPERLINK("https://si.geilicdn.com/open1839115443-252808396-0e810000019c5089bb000a23b491_1000_1000.jpg?w=750&amp;h=750&amp;cp=1", "https://si.geilicdn.com/open1839115443-252808396-0e810000019c5089bb000a23b491_1000_1000.jpg?w=750&amp;h=750&amp;cp=1")</f>
        <v>https://si.geilicdn.com/open1839115443-252808396-0e810000019c5089bb000a23b491_1000_1000.jpg?w=750&amp;h=750&amp;cp=1</v>
      </c>
      <c r="F129" t="inlineStr">
        <is>
          <t>T-Shirts</t>
        </is>
      </c>
      <c r="G129" t="inlineStr">
        <is>
          <t>Other</t>
        </is>
      </c>
      <c r="H129" t="inlineStr">
        <is>
          <t>54.00</t>
        </is>
      </c>
      <c r="I129">
        <v>7.83</v>
      </c>
      <c r="J129" t="inlineStr">
        <is>
          <t>{"id":"chatcmpl-DWcMY3CYJZh38KRBH1ykSSeo4bYqD","object":"chat.completion","created":1776666334,"model":"gpt-5-chat-latest","choices":[{"index":0,"message":{"role":"assistant","content":"MAGNANIMOUS Black Bear Print Street Style T-Shirt","refusal":null,"annotations":[]},"logprobs":null,"finish_reason":"stop"}],"usage":{"prompt_tokens":879,"completion_tokens":13,"total_tokens":892,"prompt_tokens_details":{"cached_tokens":0,"audio_tokens":0},"completion_tokens_details":{"reasoning_tokens":0,"audio_tokens":0,"accepted_prediction_tokens":0,"rejected_prediction_tokens":0}},"service_tier":"default","system_fingerprint":"fp_ad66631dec"}</t>
        </is>
      </c>
      <c r="K129" t="inlineStr">
        <is>
          <t>MAGNANIMOUS Black Bear Print Street Style T-Shirt</t>
        </is>
      </c>
      <c r="L129" t="inlineStr">
        <is>
          <t>{"id":"chatcmpl-DWaKRKM8xMCBUHyitCnbtyUVIlfdH","object":"chat.completion","created":1776658515,"model":"gpt-5-chat-latest","choices":[{"index":0,"message":{"role":"assistant","content":"MAGNANIMOUS Black Cotton Street Style T-Shirt, featuring vibrant bear collage print on the back. Unisex design, perfect for casual wear or trendy looks, expressing modern urban individuality.","refusal":null,"annotations":[]},"logprobs":null,"finish_reason":"stop"}],"usage":{"prompt_tokens":913,"completion_tokens":39,"total_tokens":952,"prompt_tokens_details":{"cached_tokens":0,"audio_tokens":0},"completion_tokens_details":{"reasoning_tokens":0,"audio_tokens":0,"accepted_prediction_tokens":0,"rejected_prediction_tokens":0}},"service_tier":"default","system_fingerprint":"fp_ad66631dec"}</t>
        </is>
      </c>
      <c r="M129"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ma=2592000","apim-request-id":"aa3187e0-061f-4e14-bff1-1150bfb6f9f4","azureml-model-session":"d20260405221325-2e8d5e76","cache-control":"no-cache, no-store, must-revalidate","connection":"close","content-length":"995","content-security-policy":"frame-ancestors 'self'","content-type":"application/json","date":"Mon, 20 Apr 2026 04:15:18 GMT","server":"nginx","skip-error-remapping":"true","strict-transport-security":"max-age=31536000; includeSubDomains; preload","via":"1.1 Caddy, 1.1 Caddy","x-api-request-id":"202604201215136606908ynkZpF1D","x-content-type-options":"nosniff","x-frame-options":"SAMEORIGIN","x-ms-is-spilled-over":"false","x-ms-rai-invoked":"false","x-ms-region":"Sweden Central","x-new-api-version":"0.4.39","x-oneapi-request-id":"202604200415129418419538268d9d6sjuP6NP5","x-ratelimit-abusepenalty-active":"False","x-ratelimit-limit-requests":"4993","x-ratelimit-limit-tokens":"4993000","x-ratelimit-remaining-requests":"4992","x-ratelimit-remaining-tokens":"4991325","x-ratelimit-renewalperiod-requests":"60","x-ratelimit-renewalperiod-tokens":"60","x-ratelimit-reset-requests":"12","x-ratelimit-reset-tokens":"20","x-request-id":"8f05693b-3175-45ee-84d6-0f0039d954c4"}</t>
        </is>
      </c>
      <c r="N129" t="inlineStr">
        <is>
          <t>MAGNANIMOUS Black Cotton Street Style T-Shirt, featuring vibrant bear collage print on the back. Unisex design, perfect for casual wear or trendy looks, expressing modern urban individuality.</t>
        </is>
      </c>
      <c r="O129" t="inlineStr">
        <is>
          <t>{"choices":[{"finish_reason":"stop","index":0,"logprobs":null,"message":{"annotations":[],"content":"MAGNANIMOUS,T-Shirts,kakobuy,kakebuy2026,kekobuysheet,kakobuysheet2026,2026kakobuy,kakobuyspreadsheeet,kakobuylink,kakebuylist,Kakobuy MEGA Spreadsheet,kakobuysheetfind,kakobuysheetfind2026,2026kakobuysheetfind,kakobuysheet2026","refusal":null,"role":"assistant"}}],"created":1776667614,"id":"chatcmpl-DWchCVTGnTWa3Q3uHITXODkSiA7XJ","model":"gpt-5-chat-latest","object":"chat.completion","service_tier":"default","system_fingerprint":"fp_ad66631dec","usage":{"completion_tokens":90,"completion_tokens_details":{"accepted_prediction_tokens":0,"audio_tokens":0,"reasoning_tokens":0,"rejected_prediction_tokens":0},"prompt_tokens":782,"prompt_tokens_details":{"audio_tokens":0,"cached_tokens":0},"total_tokens":872}}</t>
        </is>
      </c>
      <c r="P129" t="inlineStr">
        <is>
          <t>MAGNANIMOUS,T-Shirts,kakobuy,kakebuy2026,kekobuysheet,kakobuysheet2026,2026kakobuy,kakobuyspreadsheeet,kakobuylink,kakebuylist,Kakobuy MEGA Spreadsheet,kakobuysheetfind,kakobuysheetfind2026,2026kakobuysheetfind,kakobuysheet2026</t>
        </is>
      </c>
      <c r="Q129" t="inlineStr">
        <is>
          <t>Black, Street, Unisex</t>
        </is>
      </c>
      <c r="R129" t="inlineStr">
        <is>
          <t>recvh6xFVj1gkg</t>
        </is>
      </c>
      <c r="S129" t="inlineStr">
        <is>
          <t>magnanimous-black-bear-print-recvh6xfvj1gkg</t>
        </is>
      </c>
      <c r="T129"/>
      <c r="U129"/>
      <c r="V129"/>
      <c r="W129" t="inlineStr">
        <is>
          <t>{"choices":[{"finish_reason":"stop","index":0,"logprobs":null,"message":{"annotations":[],"content":"黑色潮流系列印花短袖T恤，甄选优质纯棉材质，背部熊型拼贴图腾设计，色彩层次丰富彰显个性街头风格，男女通用款，适合日常休闲与时尚穿搭，展现现代前卫美学。","refusal":null,"role":"assistant"}}],"created":1776655424,"id":"chatcmpl-DWZWaqxJaoDNjhwsWWdpUewvK1Go1","model":"gpt-5-chat-latest","object":"chat.completion","service_tier":"default","system_fingerprint":"fp_ad66631dec","usage":{"completion_tokens":74,"completion_tokens_details":{"accepted_prediction_tokens":0,"audio_tokens":0,"reasoning_tokens":0,"rejected_prediction_tokens":0},"prompt_tokens":1321,"prompt_tokens_details":{"audio_tokens":0,"cached_tokens":0},"total_tokens":1395}}</t>
        </is>
      </c>
      <c r="X129" t="inlineStr">
        <is>
          <t>黑色潮流系列印花短袖T恤，甄选优质纯棉材质，背部熊型拼贴图腾设计，色彩层次丰富彰显个性街头风格，男女通用款，适合日常休闲与时尚穿搭，展现现代前卫美学。</t>
        </is>
      </c>
    </row>
    <row r="130" ht="25.5" customHeight="1">
      <c r="A130">
        <v>1839115443</v>
      </c>
      <c r="B130">
        <v>7692991513</v>
      </c>
      <c r="C130" t="inlineStr">
        <is>
          <t>https://weidian.com/item.html?itemID=7692991513</t>
        </is>
      </c>
      <c r="D130"/>
      <c r="E130" s="2" t="str">
        <f>=HYPERLINK("https://si.geilicdn.com/open1839115443-252808396-1c7a0000019c50c8c5d90aa08676_800_800.jpg?w=750&amp;h=750&amp;cp=1", "https://si.geilicdn.com/open1839115443-252808396-1c7a0000019c50c8c5d90aa08676_800_800.jpg?w=750&amp;h=750&amp;cp=1")</f>
        <v>https://si.geilicdn.com/open1839115443-252808396-1c7a0000019c50c8c5d90aa08676_800_800.jpg?w=750&amp;h=750&amp;cp=1</v>
      </c>
      <c r="F130" t="inlineStr">
        <is>
          <t>T-Shirts</t>
        </is>
      </c>
      <c r="G130" t="inlineStr">
        <is>
          <t>Other</t>
        </is>
      </c>
      <c r="H130" t="inlineStr">
        <is>
          <t>54.00</t>
        </is>
      </c>
      <c r="I130">
        <v>7.83</v>
      </c>
      <c r="J130" t="inlineStr">
        <is>
          <t>{"choices":[{"finish_reason":"stop","index":0,"logprobs":null,"message":{"annotations":[],"content":"SU PRANDI Off White Cotton Unisex Logo T-Shirt","refusal":null,"role":"assistant"}}],"created":1776666330,"id":"chatcmpl-DWcMU3Yk9hz6qr7zQBmDcC35FmaU3","model":"gpt-5-chat-latest","object":"chat.completion","service_tier":"default","system_fingerprint":"fp_ad66631dec","usage":{"completion_tokens":13,"completion_tokens_details":{"accepted_prediction_tokens":0,"audio_tokens":0,"reasoning_tokens":0,"rejected_prediction_tokens":0},"prompt_tokens":883,"prompt_tokens_details":{"audio_tokens":0,"cached_tokens":0},"total_tokens":896}}</t>
        </is>
      </c>
      <c r="K130" t="inlineStr">
        <is>
          <t>SU PRANDI Off White Cotton Unisex Logo T-Shirt</t>
        </is>
      </c>
      <c r="L130" t="inlineStr">
        <is>
          <t>{"choices":[{"finish_reason":"stop","index":0,"logprobs":null,"message":{"annotations":[],"content":"SU PRANDI Minimalist Off-White Cotton T-Shirt, soft breathable fabric with black logo and star prints, unisex loose fit, round neck, perfect for casual street and urban daily wear.","refusal":null,"role":"assistant"}}],"created":1776659070,"id":"chatcmpl-DWaTO2p6TP80lL8Ly25fJe20n2aGz","model":"gpt-5-chat-latest","object":"chat.completion","service_tier":"default","system_fingerprint":"fp_ad66631dec","usage":{"completion_tokens":41,"completion_tokens_details":{"accepted_prediction_tokens":0,"audio_tokens":0,"reasoning_tokens":0,"rejected_prediction_tokens":0},"prompt_tokens":931,"prompt_tokens_details":{"audio_tokens":0,"cached_tokens":0},"total_tokens":972}}</t>
        </is>
      </c>
      <c r="M130" t="inlineStr">
        <is>
          <t>{"alt-svc":"h3=\":443\"; ma=2592000","apim-request-id":"64a07a16-f5fb-4f46-afe6-e13a1bef2e95","azureml-model-session":"d20260405221325-2e8d5e76","cache-control":"no-cache","connection":"close","content-length":"768","content-security-policy":"frame-ancestors 'self'","content-type":"application/json","date":"Mon, 20 Apr 2026 04:24:31 GMT","server":"Caddy","skip-error-remapping":"true","strict-transport-security":"max-age=31536000; includeSubDomains; preload","via":"1.1 Caddy","x-api-request-id":"20260420122429130947792WSJpevxB","x-content-type-options":"nosniff","x-frame-options":"SAMEORIGIN","x-ms-client-request-id":"Not-Set","x-ms-is-spilled-over":"false","x-ms-rai-invoked":"true","x-ms-region":"East US 2","x-new-api-version":"0.4.39","x-oneapi-request-id":"20260420042429639496008268d9d6X0f95kxB","x-ratelimit-abusepenalty-active":"False","x-ratelimit-limit-requests":"3850","x-ratelimit-limit-tokens":"3850000","x-ratelimit-remaining-requests":"3849","x-ratelimit-remaining-tokens":"3848307","x-ratelimit-renewalperiod-requests":"60","x-ratelimit-renewalperiod-tokens":"60","x-ratelimit-reset-requests":"15","x-ratelimit-reset-tokens":"26","x-request-id":"1ebbb844-f41b-4021-a7d6-02db75f27b9d"}</t>
        </is>
      </c>
      <c r="N130" t="inlineStr">
        <is>
          <t>SU PRANDI Minimalist Off-White Cotton T-Shirt, soft breathable fabric with black logo and star prints, unisex loose fit, round neck, perfect for casual street and urban daily wear.</t>
        </is>
      </c>
      <c r="O130" t="inlineStr">
        <is>
          <t>{"choices":[{"finish_reason":"stop","index":0,"logprobs":null,"message":{"annotations":[],"content":"Suprandi,T-Shirts,kakobuy,kakebuy2026,kekobuysheet,kakobuysheet2026,2026kakobuy,kakobuyspreadsheeet,kakobuylink,kakebuylist,Kakobuy MEGA Spreadsheet,kakobuysheetfind,kakobuysheetfind2026,2026kakobuysheetfind,kakobuysheet2026","refusal":null,"role":"assistant"}}],"created":1776668224,"id":"chatcmpl-DWcr2snq4wsjroXNcEBfZmdSyzV9g","model":"gpt-5-chat-latest","object":"chat.completion","service_tier":"default","system_fingerprint":"fp_ad66631dec","usage":{"completion_tokens":88,"completion_tokens_details":{"accepted_prediction_tokens":0,"audio_tokens":0,"reasoning_tokens":0,"rejected_prediction_tokens":0},"prompt_tokens":782,"prompt_tokens_details":{"audio_tokens":0,"cached_tokens":0},"total_tokens":870}}</t>
        </is>
      </c>
      <c r="P130" t="inlineStr">
        <is>
          <t>Suprandi,T-Shirts,kakobuy,kakebuy2026,kekobuysheet,kakobuysheet2026,2026kakobuy,kakobuyspreadsheeet,kakobuylink,kakebuylist,Kakobuy MEGA Spreadsheet,kakobuysheetfind,kakobuysheetfind2026,2026kakobuysheetfind,kakobuysheet2026</t>
        </is>
      </c>
      <c r="Q130" t="inlineStr">
        <is>
          <t>Minimalist, Off-White, Street, Unisex</t>
        </is>
      </c>
      <c r="R130" t="inlineStr">
        <is>
          <t>recvh6xFVjZPWk</t>
        </is>
      </c>
      <c r="S130" t="inlineStr">
        <is>
          <t>su-prandi-off-white-cotton-logo-t-shirt-recvh6xfvjzpwk</t>
        </is>
      </c>
      <c r="T130"/>
      <c r="U130"/>
      <c r="V130"/>
      <c r="W130" t="inlineStr">
        <is>
          <t>{"choices":[{"finish_reason":"stop","index":0,"logprobs":null,"message":{"annotations":[],"content":"极简系列米白色短袖T恤，柔软纯棉面料舒适透气，胸前点缀黑色“SU PRANDI”字样与星状印花，展现极简潮流美学。宽松剪裁搭配圆领设计，男女皆宜，兼具街头休闲与都市时尚感，适合日常出行穿搭。","refusal":null,"role":"assistant"}}],"created":1776655881,"id":"chatcmpl-DWZdxmjyk3s7gfDWRwH7mJruikUrE","model":"gpt-5-chat-latest","object":"chat.completion","service_tier":"default","system_fingerprint":"fp_ad66631dec","usage":{"completion_tokens":90,"completion_tokens_details":{"accepted_prediction_tokens":0,"audio_tokens":0,"reasoning_tokens":0,"rejected_prediction_tokens":0},"prompt_tokens":1325,"prompt_tokens_details":{"audio_tokens":0,"cached_tokens":1280},"total_tokens":1415}}</t>
        </is>
      </c>
      <c r="X130" t="inlineStr">
        <is>
          <t>极简系列米白色短袖T恤，柔软纯棉面料舒适透气，胸前点缀黑色“SU PRANDI”字样与星状印花，展现极简潮流美学。宽松剪裁搭配圆领设计，男女皆宜，兼具街头休闲与都市时尚感，适合日常出行穿搭。</t>
        </is>
      </c>
    </row>
    <row r="131" ht="25.5" customHeight="1">
      <c r="A131">
        <v>1839115443</v>
      </c>
      <c r="B131">
        <v>7693064385</v>
      </c>
      <c r="C131" t="inlineStr">
        <is>
          <t>https://weidian.com/item.html?itemID=7693064385</t>
        </is>
      </c>
      <c r="D131"/>
      <c r="E131" s="2" t="str">
        <f>=HYPERLINK("https://si.geilicdn.com/open1839115443-252808396-2b940000019c50c885a60a22d249_700_700.jpg?w=750&amp;h=750&amp;cp=1", "https://si.geilicdn.com/open1839115443-252808396-2b940000019c50c885a60a22d249_700_700.jpg?w=750&amp;h=750&amp;cp=1")</f>
        <v>https://si.geilicdn.com/open1839115443-252808396-2b940000019c50c885a60a22d249_700_700.jpg?w=750&amp;h=750&amp;cp=1</v>
      </c>
      <c r="F131" t="inlineStr">
        <is>
          <t>T-Shirts</t>
        </is>
      </c>
      <c r="G131" t="inlineStr">
        <is>
          <t>Other</t>
        </is>
      </c>
      <c r="H131" t="inlineStr">
        <is>
          <t>54.00</t>
        </is>
      </c>
      <c r="I131">
        <v>7.83</v>
      </c>
      <c r="J131" t="inlineStr">
        <is>
          <t>{"choices":[{"finish_reason":"stop","index":0,"logprobs":null,"message":{"annotations":[],"content":"Unusual Vibes Cartoon Boy White Cotton T-Shirt","refusal":null,"role":"assistant"}}],"created":1776666300,"id":"chatcmpl-DWcM0VnqbZmQMIXn6dA3hvxXPQFxq","model":"gpt-5-chat-latest","object":"chat.completion","service_tier":"default","system_fingerprint":"fp_ad66631dec","usage":{"completion_tokens":11,"completion_tokens_details":{"accepted_prediction_tokens":0,"audio_tokens":0,"reasoning_tokens":0,"rejected_prediction_tokens":0},"prompt_tokens":877,"prompt_tokens_details":{"audio_tokens":0,"cached_tokens":0},"total_tokens":888}}</t>
        </is>
      </c>
      <c r="K131" t="inlineStr">
        <is>
          <t>Unusual Vibes Cartoon Boy White Cotton T-Shirt</t>
        </is>
      </c>
      <c r="L131" t="inlineStr">
        <is>
          <t>{"choices":[{"finish_reason":"stop","index":0,"logprobs":null,"message":{"annotations":[],"content":"Unusual Vibes cartoon series white cotton T-shirt, soft and breathable with cute boy graphic and logo on the back, unisex streetwear style for casual everyday outfits showing trendy personality.","refusal":null,"role":"assistant"}}],"created":1776658855,"id":"chatcmpl-DWaPv7I0x6SEzkK6KFS5lYLeNXCZi","model":"gpt-5-chat-latest","object":"chat.completion","service_tier":"default","system_fingerprint":"fp_ad66631dec","usage":{"completion_tokens":38,"completion_tokens_details":{"accepted_prediction_tokens":0,"audio_tokens":0,"reasoning_tokens":0,"rejected_prediction_tokens":0},"prompt_tokens":915,"prompt_tokens_details":{"audio_tokens":0,"cached_tokens":0},"total_tokens":953}}</t>
        </is>
      </c>
      <c r="M131" t="inlineStr">
        <is>
          <t>{"alt-svc":"h3=\":443\"; ma=2592000","apim-request-id":"75aeae58-0b95-4444-98a2-4be11f5d38ee","azureml-model-session":"d20260402075109-1fc5a0ec","cache-control":"no-cache","connection":"close","content-length":"782","content-security-policy":"frame-ancestors 'self'","content-type":"application/json","date":"Mon, 20 Apr 2026 04:20:57 GMT","server":"nginx","skip-error-remapping":"true","strict-transport-security":"max-age=31536000; includeSubDomains; preload","via":"1.1 Caddy, 1.1 Caddy","x-api-request-id":"20260420122054580085318OiYlvMUz","x-content-type-options":"nosniff","x-frame-options":"SAMEORIGIN","x-ms-client-request-id":"Not-Set","x-ms-is-spilled-over":"false","x-ms-rai-invoked":"true","x-ms-region":"East US 2","x-new-api-version":"0.4.39","x-oneapi-request-id":"202604200420545145776168268d9d68rMxiQdi","x-ratelimit-abusepenalty-active":"False","x-ratelimit-limit-requests":"3850","x-ratelimit-limit-tokens":"3850000","x-ratelimit-remaining-requests":"3849","x-ratelimit-remaining-tokens":"3848323","x-ratelimit-renewalperiod-requests":"60","x-ratelimit-renewalperiod-tokens":"60","x-ratelimit-reset-requests":"15","x-ratelimit-reset-tokens":"26","x-request-id":"c070f366-2cb6-4c79-b405-15470d0778f6"}</t>
        </is>
      </c>
      <c r="N131" t="inlineStr">
        <is>
          <t>Unusual Vibes cartoon series white cotton T-shirt, soft and breathable with cute boy graphic and logo on the back, unisex streetwear style for casual everyday outfits showing trendy personality.</t>
        </is>
      </c>
      <c r="O131" t="inlineStr">
        <is>
          <t>{"choices":[{"finish_reason":"stop","index":0,"logprobs":null,"message":{"annotations":[],"content":"Unusual Vibes,T-Shirts,kakobuy,kakebuy2026,kekobuysheet,kakobuysheet2026,2026kakobuy,kakobuyspreadsheeet,kakobuylink,kakebuylist,Kakobuy MEGA Spreadsheet,kakobuysheetfind,kakobuysheetfind2026,2026kakobuysheetfind,kakobuysheet2026","refusal":null,"role":"assistant"}}],"created":1776668755,"id":"chatcmpl-DWczbEtBa6wjNYsNa8hiqJzBuLMr9","model":"gpt-5-chat-latest","object":"chat.completion","service_tier":"default","system_fingerprint":"fp_ad66631dec","usage":{"completion_tokens":89,"completion_tokens_details":{"accepted_prediction_tokens":0,"audio_tokens":0,"reasoning_tokens":0,"rejected_prediction_tokens":0},"prompt_tokens":782,"prompt_tokens_details":{"audio_tokens":0,"cached_tokens":0},"total_tokens":871}}</t>
        </is>
      </c>
      <c r="P131" t="inlineStr">
        <is>
          <t>Unusual Vibes,T-Shirts,kakobuy,kakebuy2026,kekobuysheet,kakobuysheet2026,2026kakobuy,kakobuyspreadsheeet,kakobuylink,kakebuylist,Kakobuy MEGA Spreadsheet,kakobuysheetfind,kakobuysheetfind2026,2026kakobuysheetfind,kakobuysheet2026</t>
        </is>
      </c>
      <c r="Q131" t="inlineStr">
        <is>
          <t>White, Unisex, Streetwear</t>
        </is>
      </c>
      <c r="R131" t="inlineStr">
        <is>
          <t>recvh6xFVjpVZt</t>
        </is>
      </c>
      <c r="S131" t="inlineStr">
        <is>
          <t>unusual-vibes-cartoon-boy-white-cotton-tshirt-recvh6xFVjpVZt</t>
        </is>
      </c>
      <c r="T131"/>
      <c r="U131"/>
      <c r="V131"/>
      <c r="W131" t="inlineStr">
        <is>
          <t>{"choices":[{"finish_reason":"stop","index":0,"logprobs":null,"message":{"annotations":[],"content":"白色Unusual Vibes卡通系列短袖T恤，选用纯棉面料，柔软透气，背部印有可爱男孩头像与品牌字样，简约有趣，展现街头潮流风格，男女皆宜，适合日常休闲穿搭，彰显个性态度。","refusal":null,"role":"assistant"}}],"created":1776654912,"id":"chatcmpl-DWZOK466xtGsonTfAaaFRv9NRO0Rz","model":"gpt-5-chat-latest","object":"chat.completion","service_tier":"default","system_fingerprint":"fp_ad66631dec","usage":{"completion_tokens":77,"completion_tokens_details":{"accepted_prediction_tokens":0,"audio_tokens":0,"reasoning_tokens":0,"rejected_prediction_tokens":0},"prompt_tokens":1319,"prompt_tokens_details":{"audio_tokens":0,"cached_tokens":0},"total_tokens":1396}}</t>
        </is>
      </c>
      <c r="X131" t="inlineStr">
        <is>
          <t>白色Unusual Vibes卡通系列短袖T恤，选用纯棉面料，柔软透气，背部印有可爱男孩头像与品牌字样，简约有趣，展现街头潮流风格，男女皆宜，适合日常休闲穿搭，彰显个性态度。</t>
        </is>
      </c>
    </row>
    <row r="132" ht="25.5" customHeight="1">
      <c r="A132">
        <v>1839115443</v>
      </c>
      <c r="B132">
        <v>7696012988</v>
      </c>
      <c r="C132" t="inlineStr">
        <is>
          <t>https://weidian.com/item.html?itemID=7696012988</t>
        </is>
      </c>
      <c r="D132"/>
      <c r="E132" s="2" t="str">
        <f>=HYPERLINK("https://si.geilicdn.com/open1839115443-252808396-26590000019c50c84efe0a23b491_1080_1080.jpg?w=750&amp;h=750&amp;cp=1", "https://si.geilicdn.com/open1839115443-252808396-26590000019c50c84efe0a23b491_1080_1080.jpg?w=750&amp;h=750&amp;cp=1")</f>
        <v>https://si.geilicdn.com/open1839115443-252808396-26590000019c50c84efe0a23b491_1080_1080.jpg?w=750&amp;h=750&amp;cp=1</v>
      </c>
      <c r="F132" t="inlineStr">
        <is>
          <t>T-Shirts</t>
        </is>
      </c>
      <c r="G132" t="inlineStr">
        <is>
          <t>Other</t>
        </is>
      </c>
      <c r="H132" t="inlineStr">
        <is>
          <t>54.00</t>
        </is>
      </c>
      <c r="I132">
        <v>7.83</v>
      </c>
      <c r="J132" t="inlineStr">
        <is>
          <t>{"choices":[{"finish_reason":"stop","index":0,"logprobs":null,"message":{"annotations":[],"content":"Dream Gold Graffiti Black Cotton Street Style T-Shirt","refusal":null,"role":"assistant"}}],"created":1776665901,"id":"chatcmpl-DWcFZKLm7nKugDbInQNGlX3RqZBA2","model":"gpt-5-chat-latest","object":"chat.completion","service_tier":"default","system_fingerprint":"fp_ad66631dec","usage":{"completion_tokens":11,"completion_tokens_details":{"accepted_prediction_tokens":0,"audio_tokens":0,"reasoning_tokens":0,"rejected_prediction_tokens":0},"prompt_tokens":879,"prompt_tokens_details":{"audio_tokens":0,"cached_tokens":0},"total_tokens":890}}</t>
        </is>
      </c>
      <c r="K132" t="inlineStr">
        <is>
          <t>Dream Gold Graffiti Black Cotton Street Style T-Shirt</t>
        </is>
      </c>
      <c r="L132" t="inlineStr">
        <is>
          <t>{"id":"chatcmpl-DWaQv5yuxHGoFEUrbKnLGtwGG5caz","object":"chat.completion","created":1776658917,"model":"gpt-5-chat-latest","choices":[{"index":0,"message":{"role":"assistant","content":"T-ShirtsOther black cotton street style T-shirt with gold graffiti “DREAM” print, unisex loose fit, breathable and comfy for daily wear, showing youthful attitude and modern fashion spirit.","refusal":null,"annotations":[]},"logprobs":null,"finish_reason":"stop"}],"usage":{"prompt_tokens":917,"completion_tokens":39,"total_tokens":956,"prompt_tokens_details":{"cached_tokens":0,"audio_tokens":0},"completion_tokens_details":{"reasoning_tokens":0,"audio_tokens":0,"accepted_prediction_tokens":0,"rejected_prediction_tokens":0}},"service_tier":"default","system_fingerprint":"fp_ad66631dec"}</t>
        </is>
      </c>
      <c r="M132"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ma=2592000","apim-request-id":"3facf1e9-8a5a-479a-b357-8355c8c9f877","azureml-model-session":"d20260402075109-1fc5a0ec","cache-control":"no-cache, no-store, must-revalidate","connection":"close","content-length":"997","content-security-policy":"frame-ancestors 'self'","content-type":"application/json","date":"Mon, 20 Apr 2026 04:21:59 GMT","server":"nginx","skip-error-remapping":"true","strict-transport-security":"max-age=31536000; includeSubDomains; preload","via":"1.1 Caddy, 1.1 Caddy","x-api-request-id":"20260420122156486073332gXmcjyXp","x-content-type-options":"nosniff","x-frame-options":"SAMEORIGIN","x-ms-is-spilled-over":"false","x-ms-rai-invoked":"false","x-ms-region":"East US 2","x-new-api-version":"0.4.39","x-oneapi-request-id":"202604200421563707296288268d9d6J5Brg7ms","x-ratelimit-abusepenalty-active":"False","x-ratelimit-limit-requests":"4994","x-ratelimit-limit-tokens":"4994000","x-ratelimit-remaining-requests":"4993","x-ratelimit-remaining-tokens":"4992321","x-ratelimit-renewalperiod-requests":"60","x-ratelimit-renewalperiod-tokens":"60","x-ratelimit-reset-requests":"12","x-ratelimit-reset-tokens":"20","x-request-id":"5af6de75-1a8a-4170-bd68-4066bdf2a5a5"}</t>
        </is>
      </c>
      <c r="N132" t="inlineStr">
        <is>
          <t>T-ShirtsOther black cotton street style T-shirt with gold graffiti “DREAM” print, unisex loose fit, breathable and comfy for daily wear, showing youthful attitude and modern fashion spirit.</t>
        </is>
      </c>
      <c r="O132" t="inlineStr">
        <is>
          <t>{"choices":[{"finish_reason":"stop","index":0,"logprobs":null,"message":{"annotations":[],"content":"Dream, T-Shirts, kakobuy, kakebuy2026, kekobuysheet, kakobuysheet2026, 2026kakobuy, kakobuyspreadsheeet, kakobuylink, kakebuylist, Kakobuy MEGA Spreadsheet, kakobuysheetfind, kakobuysheetfind2026, 2026kakobuysheetfind, kakobuysheet2026","refusal":null,"role":"assistant"}}],"created":1776667223,"id":"chatcmpl-DWcatQvT008hFcfdoH2PxkpnUoMF3","model":"gpt-5-chat-latest","object":"chat.completion","service_tier":"default","system_fingerprint":"fp_ad66631dec","usage":{"completion_tokens":91,"completion_tokens_details":{"accepted_prediction_tokens":0,"audio_tokens":0,"reasoning_tokens":0,"rejected_prediction_tokens":0},"prompt_tokens":782,"prompt_tokens_details":{"audio_tokens":0,"cached_tokens":0},"total_tokens":873}}</t>
        </is>
      </c>
      <c r="P132" t="inlineStr">
        <is>
          <t>Dream, T-Shirts, kakobuy, kakebuy2026, kekobuysheet, kakobuysheet2026, 2026kakobuy, kakobuyspreadsheeet, kakobuylink, kakebuylist, Kakobuy MEGA Spreadsheet, kakobuysheetfind, kakobuysheetfind2026, 2026kakobuysheetfind, kakobuysheet2026</t>
        </is>
      </c>
      <c r="Q132" t="inlineStr">
        <is>
          <t>Black, Gold, Street, Unisex, Breathable</t>
        </is>
      </c>
      <c r="R132" t="inlineStr">
        <is>
          <t>recvh6xFVj7lGd</t>
        </is>
      </c>
      <c r="S132" t="inlineStr">
        <is>
          <t>dream-gold-graffiti-black-cotton-street-style-t-shirt-recvh6xFVj7lGd</t>
        </is>
      </c>
      <c r="T132"/>
      <c r="U132"/>
      <c r="V132"/>
      <c r="W132" t="inlineStr">
        <is>
          <t>{"choices":[{"finish_reason":"stop","index":0,"logprobs":null,"message":{"annotations":[],"content":"黑色潮流短袖T恤，以柔软纯棉面料打造，背部金色涂鸦文字印花设计，展现街头艺术风格与积极态度。宽松版型男女皆宜，舒适透气适合日常休闲穿搭，诠释现代年轻个性与时尚理念。","refusal":null,"role":"assistant"}}],"created":1776654956,"id":"chatcmpl-DWZP210oJmaEfq6yt7Iy50qAuUIK2","model":"gpt-5-chat-latest","object":"chat.completion","service_tier":"default","system_fingerprint":"fp_ad66631dec","usage":{"completion_tokens":78,"completion_tokens_details":{"accepted_prediction_tokens":0,"audio_tokens":0,"reasoning_tokens":0,"rejected_prediction_tokens":0},"prompt_tokens":1321,"prompt_tokens_details":{"audio_tokens":0,"cached_tokens":1280},"total_tokens":1399}}</t>
        </is>
      </c>
      <c r="X132" t="inlineStr">
        <is>
          <t>黑色潮流短袖T恤，以柔软纯棉面料打造，背部金色涂鸦文字印花设计，展现街头艺术风格与积极态度。宽松版型男女皆宜，舒适透气适合日常休闲穿搭，诠释现代年轻个性与时尚理念。</t>
        </is>
      </c>
    </row>
    <row r="133" ht="25.5" customHeight="1">
      <c r="A133">
        <v>1839115443</v>
      </c>
      <c r="B133">
        <v>7693084099</v>
      </c>
      <c r="C133" t="inlineStr">
        <is>
          <t>https://weidian.com/item.html?itemID=7693084099</t>
        </is>
      </c>
      <c r="D133"/>
      <c r="E133" s="2" t="str">
        <f>=HYPERLINK("https://si.geilicdn.com/open1839115443-252808396-26ca0000019c50c3e5400a23b4de_1080_1080.jpg?w=750&amp;h=750&amp;cp=1", "https://si.geilicdn.com/open1839115443-252808396-26ca0000019c50c3e5400a23b4de_1080_1080.jpg?w=750&amp;h=750&amp;cp=1")</f>
        <v>https://si.geilicdn.com/open1839115443-252808396-26ca0000019c50c3e5400a23b4de_1080_1080.jpg?w=750&amp;h=750&amp;cp=1</v>
      </c>
      <c r="F133" t="inlineStr">
        <is>
          <t>T-Shirts</t>
        </is>
      </c>
      <c r="G133" t="inlineStr">
        <is>
          <t>Other</t>
        </is>
      </c>
      <c r="H133" t="inlineStr">
        <is>
          <t>54.00</t>
        </is>
      </c>
      <c r="I133">
        <v>7.82608695652174</v>
      </c>
      <c r="J133" t="inlineStr">
        <is>
          <t>{"choices":[{"finish_reason":"stop","index":0,"logprobs":null,"message":{"annotations":[],"content":"MENG XIE Deep Blue Minimalist Unisex Cotton T-Shirt","refusal":null,"role":"assistant"}}],"created":1776666587,"id":"chatcmpl-DWcQduD3bbDn3mOj4YSDHEQKgm5hp","model":"gpt-5-chat-latest","object":"chat.completion","service_tier":"default","system_fingerprint":"fp_ad66631dec","usage":{"completion_tokens":14,"completion_tokens_details":{"accepted_prediction_tokens":0,"audio_tokens":0,"reasoning_tokens":0,"rejected_prediction_tokens":0},"prompt_tokens":881,"prompt_tokens_details":{"audio_tokens":0,"cached_tokens":0},"total_tokens":895}}</t>
        </is>
      </c>
      <c r="K133" t="inlineStr">
        <is>
          <t>MENG XIE Deep Blue Minimalist Unisex Cotton T-Shirt</t>
        </is>
      </c>
      <c r="L133" t="inlineStr">
        <is>
          <t>{"choices":[{"finish_reason":"stop","index":0,"logprobs":null,"message":{"annotations":[],"content":"MENG XIE Minimalist Deep Blue Cotton T-Shirt, soft, breathable, unisex design with simple chest print. Perfect for daily wear and urban style, offering modern, understated luxury comfort.","refusal":null,"role":"assistant"}}],"created":1776658258,"id":"chatcmpl-DWaGItxPEc5LNlz3v5f6qJsXAzrcO","model":"gpt-5-chat-latest","object":"chat.completion","service_tier":"default","system_fingerprint":"fp_ad66631dec","usage":{"completion_tokens":40,"completion_tokens_details":{"accepted_prediction_tokens":0,"audio_tokens":0,"reasoning_tokens":0,"rejected_prediction_tokens":0},"prompt_tokens":929,"prompt_tokens_details":{"audio_tokens":0,"cached_tokens":0},"total_tokens":969}}</t>
        </is>
      </c>
      <c r="M133" t="inlineStr">
        <is>
          <t>{"alt-svc":"h3=\":443\"; ma=2592000","apim-request-id":"00812372-e9f3-4539-abd8-a89c2a2492e4","azureml-model-session":"d20260402083108-57a85543","cache-control":"no-cache","connection":"close","content-length":"775","content-security-policy":"frame-ancestors 'self'","content-type":"application/json","date":"Mon, 20 Apr 2026 04:11:00 GMT","server":"Caddy","skip-error-remapping":"true","strict-transport-security":"max-age=31536000; includeSubDomains; preload","via":"1.1 Caddy","x-api-request-id":"20260420121057384718459qLAFBK9R","x-content-type-options":"nosniff","x-frame-options":"SAMEORIGIN","x-ms-client-request-id":"Not-Set","x-ms-is-spilled-over":"false","x-ms-rai-invoked":"true","x-ms-region":"East US 2","x-new-api-version":"0.4.39","x-oneapi-request-id":"202604200410572831176658268d9d6FezofDRr","x-ratelimit-abusepenalty-active":"False","x-ratelimit-limit-requests":"3850","x-ratelimit-limit-tokens":"3850000","x-ratelimit-remaining-requests":"3849","x-ratelimit-remaining-tokens":"3848309","x-ratelimit-renewalperiod-requests":"60","x-ratelimit-renewalperiod-tokens":"60","x-ratelimit-reset-requests":"15","x-ratelimit-reset-tokens":"26","x-request-id":"d7f92cfa-2ce3-4071-a745-660a1e678c62"}</t>
        </is>
      </c>
      <c r="N133" t="inlineStr">
        <is>
          <t>MENG XIE Minimalist Deep Blue Cotton T-Shirt, soft, breathable, unisex design with simple chest print. Perfect for daily wear and urban style, offering modern, understated luxury comfort.</t>
        </is>
      </c>
      <c r="O133" t="inlineStr">
        <is>
          <t>{"choices":[{"finish_reason":"stop","index":0,"logprobs":null,"message":{"annotations":[],"content":"MENG XIE,T-Shirts,kakobuy,kakebuy2026,kekobuysheet,kakobuysheet2026,2026kakobuy,kakobuyspreadsheeet,kakobuylink,kakebuylist,Kakobuy MEGA Spreadsheet,kakobuysheetfind,kakobuysheetfind2026,2026kakobuysheetfind,kakobuysheet2026","refusal":null,"role":"assistant"}}],"created":1776667637,"id":"chatcmpl-DWchZthP4KGIdTU45WGGJwmgrz1e5","model":"gpt-5-chat-latest","object":"chat.completion","service_tier":"default","system_fingerprint":"fp_ad66631dec","usage":{"completion_tokens":89,"completion_tokens_details":{"accepted_prediction_tokens":0,"audio_tokens":0,"reasoning_tokens":0,"rejected_prediction_tokens":0},"prompt_tokens":782,"prompt_tokens_details":{"audio_tokens":0,"cached_tokens":0},"total_tokens":871}}</t>
        </is>
      </c>
      <c r="P133" t="inlineStr">
        <is>
          <t>MENG XIE,T-Shirts,kakobuy,kakebuy2026,kekobuysheet,kakobuysheet2026,2026kakobuy,kakobuyspreadsheeet,kakobuylink,kakebuylist,Kakobuy MEGA Spreadsheet,kakobuysheetfind,kakobuysheetfind2026,2026kakobuysheetfind,kakobuysheet2026</t>
        </is>
      </c>
      <c r="Q133" t="inlineStr">
        <is>
          <t>Minimalist, Breathable, Unisex, Modern</t>
        </is>
      </c>
      <c r="R133" t="inlineStr">
        <is>
          <t>recvh6xFVjb7d7</t>
        </is>
      </c>
      <c r="S133" t="inlineStr">
        <is>
          <t>meng-xie-deep-blue-minimalist-cotton-t-shirt-recvh6xfvjb7d7</t>
        </is>
      </c>
      <c r="T133"/>
      <c r="U133"/>
      <c r="V133"/>
      <c r="W133" t="inlineStr">
        <is>
          <t>{"choices":[{"finish_reason":"stop","index":0,"logprobs":null,"message":{"annotations":[],"content":"简约系列深蓝色短袖T恤，选用优质纯棉面料，柔软亲肤透气，胸前“MENG XIE”字样搭配极简印花，展现现代轻奢质感。男女皆宜，都市休闲风格设计，适合日常穿搭与通勤场景，彰显低调时尚格调。","refusal":null,"role":"assistant"}}],"created":1776655904,"id":"chatcmpl-DWZeKsvW7mJPpb8CpzbcAd1wtvXQZ","model":"gpt-5-chat-latest","object":"chat.completion","service_tier":"default","system_fingerprint":"fp_ad66631dec","usage":{"completion_tokens":87,"completion_tokens_details":{"accepted_prediction_tokens":0,"audio_tokens":0,"reasoning_tokens":0,"rejected_prediction_tokens":0},"prompt_tokens":1327,"prompt_tokens_details":{"audio_tokens":0,"cached_tokens":0},"total_tokens":1414}}</t>
        </is>
      </c>
      <c r="X133" t="inlineStr">
        <is>
          <t>简约系列深蓝色短袖T恤，选用优质纯棉面料，柔软亲肤透气，胸前“MENG XIE”字样搭配极简印花，展现现代轻奢质感。男女皆宜，都市休闲风格设计，适合日常穿搭与通勤场景，彰显低调时尚格调。</t>
        </is>
      </c>
    </row>
    <row r="134" ht="25.5" customHeight="1">
      <c r="A134">
        <v>1839115443</v>
      </c>
      <c r="B134">
        <v>7696087688</v>
      </c>
      <c r="C134" t="inlineStr">
        <is>
          <t>https://weidian.com/item.html?itemID=7696087688</t>
        </is>
      </c>
      <c r="D134"/>
      <c r="E134" s="2" t="str">
        <f>=HYPERLINK("https://si.geilicdn.com/open1839115443-252808396-26a40000019c50c3acf20a23b4de_800_800.jpg?w=750&amp;h=750&amp;cp=1", "https://si.geilicdn.com/open1839115443-252808396-26a40000019c50c3acf20a23b4de_800_800.jpg?w=750&amp;h=750&amp;cp=1")</f>
        <v>https://si.geilicdn.com/open1839115443-252808396-26a40000019c50c3acf20a23b4de_800_800.jpg?w=750&amp;h=750&amp;cp=1</v>
      </c>
      <c r="F134" t="inlineStr">
        <is>
          <t>T-Shirts</t>
        </is>
      </c>
      <c r="G134" t="inlineStr">
        <is>
          <t>Other</t>
        </is>
      </c>
      <c r="H134" t="inlineStr">
        <is>
          <t>68.00</t>
        </is>
      </c>
      <c r="I134">
        <v>9.85507246376811</v>
      </c>
      <c r="J134" t="inlineStr">
        <is>
          <t>{"choices":[{"finish_reason":"stop","index":0,"logprobs":null,"message":{"annotations":[],"content":"GOODANDI White Chinese Totem Street Style Sweatshirt","refusal":null,"role":"assistant"}}],"created":1776665869,"id":"chatcmpl-DWcF3z1SnmGKWWSOy5ZswHMoReZsx","model":"gpt-5-chat-latest","object":"chat.completion","service_tier":"default","system_fingerprint":"fp_ad66631dec","usage":{"completion_tokens":12,"completion_tokens_details":{"accepted_prediction_tokens":0,"audio_tokens":0,"reasoning_tokens":0,"rejected_prediction_tokens":0},"prompt_tokens":885,"prompt_tokens_details":{"audio_tokens":0,"cached_tokens":0},"total_tokens":897}}</t>
        </is>
      </c>
      <c r="K134" t="inlineStr">
        <is>
          <t>GOODANDI White Chinese Totem Street Style Sweatshirt</t>
        </is>
      </c>
      <c r="L134" t="inlineStr">
        <is>
          <t>{"choices":[{"finish_reason":"stop","index":0,"logprobs":null,"message":{"annotations":[],"content":"GOODANDI White Street Style Sweatshirt, featuring soft thick cotton, bold Chinese beast totem and English print, unisex relaxed fit, breathable comfort, vintage art vibe, symbolizing luck and attitude.","refusal":null,"role":"assistant"}}],"created":1776658917,"id":"chatcmpl-DWaQv2sh0yeO9DD45G8zHZ3Yfrada","model":"gpt-5-chat-latest","object":"chat.completion","service_tier":"default","system_fingerprint":"fp_ad66631dec","usage":{"completion_tokens":42,"completion_tokens_details":{"accepted_prediction_tokens":0,"audio_tokens":0,"reasoning_tokens":0,"rejected_prediction_tokens":0},"prompt_tokens":913,"prompt_tokens_details":{"audio_tokens":0,"cached_tokens":0},"total_tokens":955}}</t>
        </is>
      </c>
      <c r="M134" t="inlineStr">
        <is>
          <t>{"alt-svc":"h3=\":443\"; ma=2592000","apim-request-id":"b8d6cd51-e7d8-4983-9cf3-6a04c940cb19","azureml-model-session":"d20260402075109-1fc5a0ec","cache-control":"no-cache","connection":"close","content-length":"789","content-security-policy":"frame-ancestors 'self'","content-type":"application/json","date":"Mon, 20 Apr 2026 04:21:58 GMT","server":"nginx","skip-error-remapping":"true","strict-transport-security":"max-age=31536000; includeSubDomains; preload","via":"1.1 Caddy, 1.1 Caddy","x-api-request-id":"202604201221568119023685LJYpWmh","x-content-type-options":"nosniff","x-frame-options":"SAMEORIGIN","x-ms-client-request-id":"Not-Set","x-ms-is-spilled-over":"false","x-ms-rai-invoked":"true","x-ms-region":"East US 2","x-new-api-version":"0.4.39","x-oneapi-request-id":"202604200421567462406758268d9d61FvDllbL","x-ratelimit-abusepenalty-active":"False","x-ratelimit-limit-requests":"3850","x-ratelimit-limit-tokens":"3850000","x-ratelimit-remaining-requests":"3849","x-ratelimit-remaining-tokens":"3848325","x-ratelimit-renewalperiod-requests":"60","x-ratelimit-renewalperiod-tokens":"60","x-ratelimit-reset-requests":"15","x-ratelimit-reset-tokens":"26","x-request-id":"09e11054-e1f2-4752-b70b-84a11c5b273c"}</t>
        </is>
      </c>
      <c r="N134" t="inlineStr">
        <is>
          <t>GOODANDI White Street Style Sweatshirt, featuring soft thick cotton, bold Chinese beast totem and English print, unisex relaxed fit, breathable comfort, vintage art vibe, symbolizing luck and attitude.</t>
        </is>
      </c>
      <c r="O134" t="inlineStr">
        <is>
          <t>{"choices":[{"finish_reason":"stop","index":0,"logprobs":null,"message":{"annotations":[],"content":"GOODANDI,T-Shirts,kakobuy,kakebuy2026,kekobuysheet,kakobuysheet2026,2026kakobuy,kakobuyspreadsheeet,kakobuylink,kakebuylist,Kakobuy MEGA Spreadsheet,kakobuysheetfind,kakobuysheetfind2026,2026kakobuysheetfind,kakobuysheet2026","refusal":null,"role":"assistant"}}],"created":1776667941,"id":"chatcmpl-DWcmTN6MijltvzPFlOrAStszS8KSf","model":"gpt-5-chat-latest","object":"chat.completion","service_tier":"default","system_fingerprint":"fp_ad66631dec","usage":{"completion_tokens":88,"completion_tokens_details":{"accepted_prediction_tokens":0,"audio_tokens":0,"reasoning_tokens":0,"rejected_prediction_tokens":0},"prompt_tokens":782,"prompt_tokens_details":{"audio_tokens":0,"cached_tokens":0},"total_tokens":870}}</t>
        </is>
      </c>
      <c r="P134" t="inlineStr">
        <is>
          <t>GOODANDI,T-Shirts,kakobuy,kakebuy2026,kekobuysheet,kakobuysheet2026,2026kakobuy,kakobuyspreadsheeet,kakobuylink,kakebuylist,Kakobuy MEGA Spreadsheet,kakobuysheetfind,kakobuysheetfind2026,2026kakobuysheetfind,kakobuysheet2026</t>
        </is>
      </c>
      <c r="Q134" t="inlineStr">
        <is>
          <t>White, Street, Unisex, Vintage</t>
        </is>
      </c>
      <c r="R134" t="inlineStr">
        <is>
          <t>recvh6xFVjiQpw</t>
        </is>
      </c>
      <c r="S134" t="inlineStr">
        <is>
          <t>goodandi-white-chinese-totem-street-sweatshirt-recvh6xfvjiqpw</t>
        </is>
      </c>
      <c r="T134"/>
      <c r="U134"/>
      <c r="V134"/>
      <c r="W134" t="inlineStr">
        <is>
          <t>{"id":"chatcmpl-DWZXxnoxShnESg87KhbgmYiXeew2s","object":"chat.completion","created":1776655509,"model":"gpt-5-chat-latest","choices":[{"index":0,"message":{"role":"assistant","content":"白色潮流系列宽松卫衣，采用柔软加厚棉质面料，背面融合中式兽面图腾与英文字样设计，展现复古街头艺术风格。男女皆宜，舒适透气，适合休闲穿搭，彰显个性态度与好运寓意。","refusal":null,"annotations":[]},"logprobs":null,"finish_reason":"stop"}],"usage":{"prompt_tokens":1321,"completion_tokens":74,"total_tokens":1395,"prompt_tokens_details":{"cached_tokens":0,"audio_tokens":0},"completion_tokens_details":{"reasoning_tokens":0,"audio_tokens":0,"accepted_prediction_tokens":0,"rejected_prediction_tokens":0}},"service_tier":"default","system_fingerprint":"fp_ad66631dec"}</t>
        </is>
      </c>
      <c r="X134" t="inlineStr">
        <is>
          <t>白色潮流系列宽松卫衣，采用柔软加厚棉质面料，背面融合中式兽面图腾与英文字样设计，展现复古街头艺术风格。男女皆宜，舒适透气，适合休闲穿搭，彰显个性态度与好运寓意。</t>
        </is>
      </c>
    </row>
    <row r="135" ht="25.5" customHeight="1">
      <c r="A135">
        <v>1839115443</v>
      </c>
      <c r="B135">
        <v>7696056234</v>
      </c>
      <c r="C135" t="inlineStr">
        <is>
          <t>https://weidian.com/item.html?itemID=7696056234</t>
        </is>
      </c>
      <c r="D135"/>
      <c r="E135" s="2" t="str">
        <f>=HYPERLINK("https://si.geilicdn.com/open1839115443-252808396-2a500000019c50c3897d0a22d249_1080_1080.jpg?w=750&amp;h=750&amp;cp=1", "https://si.geilicdn.com/open1839115443-252808396-2a500000019c50c3897d0a22d249_1080_1080.jpg?w=750&amp;h=750&amp;cp=1")</f>
        <v>https://si.geilicdn.com/open1839115443-252808396-2a500000019c50c3897d0a22d249_1080_1080.jpg?w=750&amp;h=750&amp;cp=1</v>
      </c>
      <c r="F135" t="inlineStr">
        <is>
          <t>T-Shirts</t>
        </is>
      </c>
      <c r="G135" t="inlineStr">
        <is>
          <t>Other</t>
        </is>
      </c>
      <c r="H135" t="inlineStr">
        <is>
          <t>54.00</t>
        </is>
      </c>
      <c r="I135">
        <v>7.83</v>
      </c>
      <c r="J135" t="inlineStr">
        <is>
          <t>{"id":"chatcmpl-DWcGiqJ1F5PMM2atM9SkhY5FVaQwM","object":"chat.completion","created":1776665972,"model":"gpt-5-chat-latest","choices":[{"index":0,"message":{"role":"assistant","content":"MARJUA White Smoke Totem Unisex Loose Fit T-Shirt","refusal":null,"annotations":[]},"logprobs":null,"finish_reason":"stop"}],"usage":{"prompt_tokens":883,"completion_tokens":14,"total_tokens":897,"prompt_tokens_details":{"cached_tokens":0,"audio_tokens":0},"completion_tokens_details":{"reasoning_tokens":0,"audio_tokens":0,"accepted_prediction_tokens":0,"rejected_prediction_tokens":0}},"service_tier":"default","system_fingerprint":"fp_ad66631dec"}</t>
        </is>
      </c>
      <c r="K135" t="inlineStr">
        <is>
          <t>MARJUA White Smoke Totem Unisex Loose Fit T-Shirt</t>
        </is>
      </c>
      <c r="L135" t="inlineStr">
        <is>
          <t>{"id":"chatcmpl-DWaTlrKdYtpunZiTiQs6MM5Bm99mk","object":"chat.completion","created":1776659093,"model":"gpt-5-chat-latest","choices":[{"index":0,"message":{"role":"assistant","content":"MARJUA White Minimalist Art Print T-Shirt, soft cotton fabric with abstract smoke totem design, unisex loose fit, perfect for modern street style, urban leisure, and daily casual wear.","refusal":null,"annotations":[]},"logprobs":null,"finish_reason":"stop"}],"usage":{"prompt_tokens":906,"completion_tokens":41,"total_tokens":947,"prompt_tokens_details":{"cached_tokens":0,"audio_tokens":0},"completion_tokens_details":{"reasoning_tokens":0,"audio_tokens":0,"accepted_prediction_tokens":0,"rejected_prediction_tokens":0}},"service_tier":"default","system_fingerprint":"fp_ad66631dec"}</t>
        </is>
      </c>
      <c r="M135"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ma=2592000","apim-request-id":"ecbce999-0101-4ee9-ac15-ee6ee97f6357","azureml-model-session":"d20260405234249-f9874baf","cache-control":"no-cache, no-store, must-revalidate","connection":"close","content-length":"988","content-security-policy":"frame-ancestors 'self'","content-type":"application/json","date":"Mon, 20 Apr 2026 04:24:54 GMT","server":"nginx","skip-error-remapping":"true","strict-transport-security":"max-age=31536000; includeSubDomains; preload","via":"1.1 Caddy, 1.1 Caddy","x-api-request-id":"2026042012245292317273aciFMWJo","x-content-type-options":"nosniff","x-frame-options":"SAMEORIGIN","x-ms-is-spilled-over":"false","x-ms-rai-invoked":"false","x-ms-region":"East US 2","x-new-api-version":"0.4.39","x-oneapi-request-id":"20260420042452257933458268d9d6YydqUFVM","x-ratelimit-abusepenalty-active":"False","x-ratelimit-limit-requests":"4994","x-ratelimit-limit-tokens":"4994000","x-ratelimit-remaining-requests":"4993","x-ratelimit-remaining-tokens":"4992332","x-ratelimit-renewalperiod-requests":"60","x-ratelimit-renewalperiod-tokens":"60","x-ratelimit-reset-requests":"12","x-ratelimit-reset-tokens":"20","x-request-id":"723a6ea7-61db-4e72-b59f-18008a3ee206"}</t>
        </is>
      </c>
      <c r="N135" t="inlineStr">
        <is>
          <t>MARJUA White Minimalist Art Print T-Shirt, soft cotton fabric with abstract smoke totem design, unisex loose fit, perfect for modern street style, urban leisure, and daily casual wear.</t>
        </is>
      </c>
      <c r="O135" t="inlineStr">
        <is>
          <t>{"choices":[{"finish_reason":"stop","index":0,"logprobs":null,"message":{"annotations":[],"content":"MAROUA,T-Shirts,kakobuy,kakebuy2026,kekobuysheet,kakobuysheet2026,2026kakobuy,kakobuyspreadsheeet,kakobuylink,kakebuylist,Kakobuy MEGA Spreadsheet,kakobuysheetfind,kakobuysheetfind2026,2026kakobuysheetfind,kakobuysheet2026","refusal":null,"role":"assistant"}}],"created":1776668908,"id":"chatcmpl-DWd24dcQXqxlq0MGZ4jBa5TdewC2H","model":"gpt-5-chat-latest","object":"chat.completion","service_tier":"default","system_fingerprint":"fp_ad66631dec","usage":{"completion_tokens":88,"completion_tokens_details":{"accepted_prediction_tokens":0,"audio_tokens":0,"reasoning_tokens":0,"rejected_prediction_tokens":0},"prompt_tokens":782,"prompt_tokens_details":{"audio_tokens":0,"cached_tokens":0},"total_tokens":870}}</t>
        </is>
      </c>
      <c r="P135" t="inlineStr">
        <is>
          <t>MAROUA,T-Shirts,kakobuy,kakebuy2026,kekobuysheet,kakobuysheet2026,2026kakobuy,kakobuyspreadsheeet,kakobuylink,kakebuylist,Kakobuy MEGA Spreadsheet,kakobuysheetfind,kakobuysheetfind2026,2026kakobuysheetfind,kakobuysheet2026</t>
        </is>
      </c>
      <c r="Q135" t="inlineStr">
        <is>
          <t>White, Minimalist, Abstract, Unisex, Streetwear</t>
        </is>
      </c>
      <c r="R135" t="inlineStr">
        <is>
          <t>recvh6xFVjVxCh</t>
        </is>
      </c>
      <c r="S135" t="inlineStr">
        <is>
          <t>marjua-white-smoke-totem-recvh6xfvjvxch</t>
        </is>
      </c>
      <c r="T135"/>
      <c r="U135"/>
      <c r="V135"/>
      <c r="W135" t="inlineStr">
        <is>
          <t>{"choices":[{"finish_reason":"stop","index":0,"logprobs":null,"message":{"annotations":[],"content":"极简白色艺术印花T恤，柔软纯棉面料打造，背幅抽象烟雾图腾设计，展现现代街头艺术气息，宽松剪裁舒适百搭，男女皆宜，适合都市休闲与日常穿搭。","refusal":null,"role":"assistant"}}],"created":1776655983,"id":"chatcmpl-DWZfbqNK4whFHEH4O6Pk8fdEFfPnw","model":"gpt-5-chat-latest","object":"chat.completion","service_tier":"default","system_fingerprint":"fp_ad66631dec","usage":{"completion_tokens":65,"completion_tokens_details":{"accepted_prediction_tokens":0,"audio_tokens":0,"reasoning_tokens":0,"rejected_prediction_tokens":0},"prompt_tokens":1325,"prompt_tokens_details":{"audio_tokens":0,"cached_tokens":0},"total_tokens":1390}}</t>
        </is>
      </c>
      <c r="X135" t="inlineStr">
        <is>
          <t>极简白色艺术印花T恤，柔软纯棉面料打造，背幅抽象烟雾图腾设计，展现现代街头艺术气息，宽松剪裁舒适百搭，男女皆宜，适合都市休闲与日常穿搭。</t>
        </is>
      </c>
    </row>
    <row r="136" ht="25.5" customHeight="1">
      <c r="A136">
        <v>1839115443</v>
      </c>
      <c r="B136">
        <v>7696022786</v>
      </c>
      <c r="C136" t="inlineStr">
        <is>
          <t>https://weidian.com/item.html?itemID=7696022786</t>
        </is>
      </c>
      <c r="D136"/>
      <c r="E136" s="2" t="str">
        <f>=HYPERLINK("https://si.geilicdn.com/open1839115443-252808396-25870000019c50c3857c0a231226_700_700.jpg?w=750&amp;h=750&amp;cp=1", "https://si.geilicdn.com/open1839115443-252808396-25870000019c50c3857c0a231226_700_700.jpg?w=750&amp;h=750&amp;cp=1")</f>
        <v>https://si.geilicdn.com/open1839115443-252808396-25870000019c50c3857c0a231226_700_700.jpg?w=750&amp;h=750&amp;cp=1</v>
      </c>
      <c r="F136" t="inlineStr">
        <is>
          <t>T-Shirts</t>
        </is>
      </c>
      <c r="G136" t="inlineStr">
        <is>
          <t>Other</t>
        </is>
      </c>
      <c r="H136" t="inlineStr">
        <is>
          <t>54.00</t>
        </is>
      </c>
      <c r="I136">
        <v>7.83</v>
      </c>
      <c r="J136" t="inlineStr">
        <is>
          <t>{"choices":[{"finish_reason":"stop","index":0,"logprobs":null,"message":{"annotations":[],"content":"MEIYINGKEYOUXUAN Mahjong Eight Wan Wealth White T-Shirt","refusal":null,"role":"assistant"}}],"created":1776666134,"id":"chatcmpl-DWcJK6r4S15fxG0OTBR5r4slwO2CL","model":"gpt-5-chat-latest","object":"chat.completion","service_tier":"default","system_fingerprint":"fp_ad66631dec","usage":{"completion_tokens":17,"completion_tokens_details":{"accepted_prediction_tokens":0,"audio_tokens":0,"reasoning_tokens":0,"rejected_prediction_tokens":0},"prompt_tokens":889,"prompt_tokens_details":{"audio_tokens":0,"cached_tokens":0},"total_tokens":906}}</t>
        </is>
      </c>
      <c r="K136" t="inlineStr">
        <is>
          <t>MEIYINGKEYOUXUAN Mahjong Eight Wan Wealth White T-Shirt</t>
        </is>
      </c>
      <c r="L136" t="inlineStr">
        <is>
          <t>{"choices":[{"finish_reason":"stop","index":0,"logprobs":null,"message":{"annotations":[],"content":"MEIYINGKEYOUXUAN Mahjong Element White Cotton T-Shirt, soft fabric with creative fist and “Eight Wan” print symbolizing wealth, loose unisex fit, street fashion for daily casual wear.","refusal":null,"role":"assistant"}}],"created":1776658409,"id":"chatcmpl-DWaIjGfH7q5WBIUROAySxA9WtjczQ","model":"gpt-5-chat-latest","object":"chat.completion","service_tier":"default","system_fingerprint":"fp_ad66631dec","usage":{"completion_tokens":44,"completion_tokens_details":{"accepted_prediction_tokens":0,"audio_tokens":0,"reasoning_tokens":0,"rejected_prediction_tokens":0},"prompt_tokens":918,"prompt_tokens_details":{"audio_tokens":0,"cached_tokens":0},"total_tokens":962}}</t>
        </is>
      </c>
      <c r="M136" t="inlineStr">
        <is>
          <t>{"alt-svc":"h3=\":443\"; ma=2592000","apim-request-id":"ead6f899-b8dd-476a-b5f1-936286dfb8cc","azureml-model-session":"d20260405234249-f9874baf","cache-control":"no-cache","connection":"close","content-length":"775","content-security-policy":"frame-ancestors 'self'","content-type":"application/json","date":"Mon, 20 Apr 2026 04:13:31 GMT","server":"Caddy","skip-error-remapping":"true","strict-transport-security":"max-age=31536000; includeSubDomains; preload","via":"1.1 Caddy","x-api-request-id":"20260420121328996386633LLAAQiYu","x-content-type-options":"nosniff","x-frame-options":"SAMEORIGIN","x-ms-client-request-id":"Not-Set","x-ms-is-spilled-over":"false","x-ms-rai-invoked":"true","x-ms-region":"East US 2","x-new-api-version":"0.4.39","x-oneapi-request-id":"202604200413289315350358268d9d67WcnZJXX","x-ratelimit-abusepenalty-active":"False","x-ratelimit-limit-requests":"3850","x-ratelimit-limit-tokens":"3850000","x-ratelimit-remaining-requests":"3849","x-ratelimit-remaining-tokens":"3848320","x-ratelimit-renewalperiod-requests":"60","x-ratelimit-renewalperiod-tokens":"60","x-ratelimit-reset-requests":"15","x-ratelimit-reset-tokens":"26","x-request-id":"55ded548-6241-4f85-b388-ff957243a0ce"}</t>
        </is>
      </c>
      <c r="N136" t="inlineStr">
        <is>
          <t>MEIYINGKEYOUXUAN Mahjong Element White Cotton T-Shirt, soft fabric with creative fist and “Eight Wan” print symbolizing wealth, loose unisex fit, street fashion for daily casual wear.</t>
        </is>
      </c>
      <c r="O136" t="inlineStr">
        <is>
          <t>{"choices":[{"finish_reason":"stop","index":0,"logprobs":null,"message":{"annotations":[],"content":"MEINGXIKEYOULIAN,T-Shirts,kakobuy,kakebuy2026,kekobuysheet,kakobuysheet2026,2026kakobuy,kakobuyspreadsheeet,kakobuylink,kakebuylist,Kakobuy MEGA Spreadsheet,kakobuysheetfind,kakobuysheetfind2026,2026kakobuysheetfind,kakobuysheet2026","refusal":null,"role":"assistant"}}],"created":1776668909,"id":"chatcmpl-DWd25s2f2KnqMnNraCadjj8v3Ce7K","model":"gpt-5-chat-latest","object":"chat.completion","service_tier":"default","system_fingerprint":"fp_ad66631dec","usage":{"completion_tokens":92,"completion_tokens_details":{"accepted_prediction_tokens":0,"audio_tokens":0,"reasoning_tokens":0,"rejected_prediction_tokens":0},"prompt_tokens":782,"prompt_tokens_details":{"audio_tokens":0,"cached_tokens":0},"total_tokens":874}}</t>
        </is>
      </c>
      <c r="P136" t="inlineStr">
        <is>
          <t>MEINGXIKEYOULIAN,T-Shirts,kakobuy,kakebuy2026,kekobuysheet,kakobuysheet2026,2026kakobuy,kakobuyspreadsheeet,kakobuylink,kakebuylist,Kakobuy MEGA Spreadsheet,kakobuysheetfind,kakobuysheetfind2026,2026kakobuysheetfind,kakobuysheet2026</t>
        </is>
      </c>
      <c r="Q136" t="inlineStr">
        <is>
          <t>White, Streetwear, Unisex, Creative</t>
        </is>
      </c>
      <c r="R136" t="inlineStr">
        <is>
          <t>recvh6xFVj73eN</t>
        </is>
      </c>
      <c r="S136" t="inlineStr">
        <is>
          <t>meiyingkeyouxuan-mahjong-eight-wan-wealth-white-recvh6xFVj73eN</t>
        </is>
      </c>
      <c r="T136"/>
      <c r="U136"/>
      <c r="V136"/>
      <c r="W136" t="inlineStr">
        <is>
          <t>{"choices":[{"finish_reason":"stop","index":0,"logprobs":null,"message":{"annotations":[],"content":"麻将元素白色短袖T恤，柔软纯棉面料打造，背部印有创意拳头与麻将“八万”图腾，寓意八方来财。简约圆领设计，宽松剪裁男女皆宜，街头国潮风格，适合日常休闲穿搭，彰显个性与好运。","refusal":null,"role":"assistant"}}],"created":1776655095,"id":"chatcmpl-DWZRHDpVuwL64foXW2He1gRkGRmUK","model":"gpt-5-chat-latest","object":"chat.completion","service_tier":"default","system_fingerprint":"fp_ad66631dec","usage":{"completion_tokens":81,"completion_tokens_details":{"accepted_prediction_tokens":0,"audio_tokens":0,"reasoning_tokens":0,"rejected_prediction_tokens":0},"prompt_tokens":1317,"prompt_tokens_details":{"audio_tokens":0,"cached_tokens":0},"total_tokens":1398}}</t>
        </is>
      </c>
      <c r="X136" t="inlineStr">
        <is>
          <t>麻将元素白色短袖T恤，柔软纯棉面料打造，背部印有创意拳头与麻将“八万”图腾，寓意八方来财。简约圆领设计，宽松剪裁男女皆宜，街头国潮风格，适合日常休闲穿搭，彰显个性与好运。</t>
        </is>
      </c>
    </row>
    <row r="137" ht="25.5" customHeight="1">
      <c r="A137">
        <v>1839115443</v>
      </c>
      <c r="B137">
        <v>7693068207</v>
      </c>
      <c r="C137" t="inlineStr">
        <is>
          <t>https://weidian.com/item.html?itemID=7693068207</t>
        </is>
      </c>
      <c r="D137"/>
      <c r="E137" s="2" t="str">
        <f>=HYPERLINK("https://si.geilicdn.com/open1839115443-252808396-258f0000019c50c388ee0a231226_800_800.jpg?w=750&amp;h=750&amp;cp=1", "https://si.geilicdn.com/open1839115443-252808396-258f0000019c50c388ee0a231226_800_800.jpg?w=750&amp;h=750&amp;cp=1")</f>
        <v>https://si.geilicdn.com/open1839115443-252808396-258f0000019c50c388ee0a231226_800_800.jpg?w=750&amp;h=750&amp;cp=1</v>
      </c>
      <c r="F137" t="inlineStr">
        <is>
          <t>T-Shirts</t>
        </is>
      </c>
      <c r="G137" t="inlineStr">
        <is>
          <t>Other</t>
        </is>
      </c>
      <c r="H137" t="inlineStr">
        <is>
          <t>68.00</t>
        </is>
      </c>
      <c r="I137">
        <v>9.85507246376811</v>
      </c>
      <c r="J137" t="inlineStr">
        <is>
          <t>{"choices":[{"finish_reason":"stop","index":0,"logprobs":null,"message":{"annotations":[],"content":"VINTYMEAS White Moon Unisex Streetwear Sweatshirt","refusal":null,"role":"assistant"}}],"created":1776666051,"id":"chatcmpl-DWcHzPi1hAYT8XKcFV0G6cxxy4kBh","model":"gpt-5-chat-latest","object":"chat.completion","service_tier":"default","system_fingerprint":"fp_ad66631dec","usage":{"completion_tokens":14,"completion_tokens_details":{"accepted_prediction_tokens":0,"audio_tokens":0,"reasoning_tokens":0,"rejected_prediction_tokens":0},"prompt_tokens":881,"prompt_tokens_details":{"audio_tokens":0,"cached_tokens":0},"total_tokens":895}}</t>
        </is>
      </c>
      <c r="K137" t="inlineStr">
        <is>
          <t>VINTYMEAS White Moon Unisex Streetwear Sweatshirt</t>
        </is>
      </c>
      <c r="L137" t="inlineStr">
        <is>
          <t>{"id":"chatcmpl-DWaYyp2STIvTznX4eEfOrFyFi5ZSR","object":"chat.completion","created":1776659416,"model":"gpt-5-chat-latest","choices":[{"index":0,"message":{"role":"assistant","content":"VINTYMEAS Minimalist White Moon Sweatshirt, soft cotton for comfort, crescent back print adds mysterious art style, loose streetwear fit, unisex design for modern fashion lovers.","refusal":null,"annotations":[]},"logprobs":null,"finish_reason":"stop"}],"usage":{"prompt_tokens":897,"completion_tokens":40,"total_tokens":937,"prompt_tokens_details":{"cached_tokens":0,"audio_tokens":0},"completion_tokens_details":{"reasoning_tokens":0,"audio_tokens":0,"accepted_prediction_tokens":0,"rejected_prediction_tokens":0}},"service_tier":"default","system_fingerprint":"fp_ad66631dec"}</t>
        </is>
      </c>
      <c r="M137"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ma=2592000","apim-request-id":"e371f513-7c20-4d8a-b1ea-dfd45e8c9129","azureml-model-session":"d20260405234249-f9874baf","cache-control":"no-cache, no-store, must-revalidate","connection":"close","content-length":"982","content-security-policy":"frame-ancestors 'self'","content-type":"application/json","date":"Mon, 20 Apr 2026 04:30:17 GMT","server":"nginx","skip-error-remapping":"true","strict-transport-security":"max-age=31536000; includeSubDomains; preload","via":"1.1 Caddy, 1.1 Caddy","x-api-request-id":"20260420123015535856827O4d8ddi3","x-content-type-options":"nosniff","x-frame-options":"SAMEORIGIN","x-ms-is-spilled-over":"false","x-ms-rai-invoked":"false","x-ms-region":"East US 2","x-new-api-version":"0.4.39","x-oneapi-request-id":"202604200430154685177508268d9d6tAmVhiEn","x-ratelimit-abusepenalty-active":"False","x-ratelimit-limit-requests":"4994","x-ratelimit-limit-tokens":"4994000","x-ratelimit-remaining-requests":"4993","x-ratelimit-remaining-tokens":"4992341","x-ratelimit-renewalperiod-requests":"60","x-ratelimit-renewalperiod-tokens":"60","x-ratelimit-reset-requests":"12","x-ratelimit-reset-tokens":"19","x-request-id":"8c8ff2d0-6afe-40a4-a8fb-fa21bff5b9e1"}</t>
        </is>
      </c>
      <c r="N137" t="inlineStr">
        <is>
          <t>VINTYMEAS Minimalist White Moon Sweatshirt, soft cotton for comfort, crescent back print adds mysterious art style, loose streetwear fit, unisex design for modern fashion lovers.</t>
        </is>
      </c>
      <c r="O137" t="inlineStr">
        <is>
          <t>{"choices":[{"finish_reason":"stop","index":0,"logprobs":null,"message":{"annotations":[],"content":"OVINTYMEAS, T-Shirts, kakobuy, kakebuy2026, kekobuysheet, kakobuysheet2026, 2026kakobuy, kakobuyspreadsheeet, kakobuylink, kakebuylist, Kakobuy MEGA Spreadsheet, kakobuysheetfind, kakobuysheetfind2026, 2026kakobuysheetfind, kakobuysheet2026","refusal":null,"role":"assistant"}}],"created":1776667667,"id":"chatcmpl-DWci3egjHLnADVqhlcLUCfrJYgUtq","model":"gpt-5-chat-latest","object":"chat.completion","service_tier":"default","system_fingerprint":"fp_ad66631dec","usage":{"completion_tokens":95,"completion_tokens_details":{"accepted_prediction_tokens":0,"audio_tokens":0,"reasoning_tokens":0,"rejected_prediction_tokens":0},"prompt_tokens":782,"prompt_tokens_details":{"audio_tokens":0,"cached_tokens":0},"total_tokens":877}}</t>
        </is>
      </c>
      <c r="P137" t="inlineStr">
        <is>
          <t>OVINTYMEAS, T-Shirts, kakobuy, kakebuy2026, kekobuysheet, kakobuysheet2026, 2026kakobuy, kakobuyspreadsheeet, kakobuylink, kakebuylist, Kakobuy MEGA Spreadsheet, kakobuysheetfind, kakobuysheetfind2026, 2026kakobuysheetfind, kakobuysheet2026</t>
        </is>
      </c>
      <c r="Q137" t="inlineStr">
        <is>
          <t>Minimalist, White, Streetwear, Unisex, Fashion</t>
        </is>
      </c>
      <c r="R137" t="inlineStr">
        <is>
          <t>recvh6xFVjOolt</t>
        </is>
      </c>
      <c r="S137" t="inlineStr">
        <is>
          <t>vintymeas-white-moon-sweatshirt-recvh6xfvjoolt</t>
        </is>
      </c>
      <c r="T137"/>
      <c r="U137"/>
      <c r="V137"/>
      <c r="W137" t="inlineStr">
        <is>
          <t>{"choices":[{"finish_reason":"stop","index":0,"logprobs":null,"message":{"annotations":[],"content":"极简白色月亮印花卫衣，柔软纯棉面料打造舒适穿着体验，背部半月图腾展现神秘艺术美感，宽松街头休闲设计，男女皆宜，契合现代潮流审美。","refusal":null,"role":"assistant"}}],"created":1776655701,"id":"chatcmpl-DWZb3C0c8PvT0tAbrKCy1TsoHYUMW","model":"gpt-5-chat-latest","object":"chat.completion","service_tier":"default","system_fingerprint":"fp_ad66631dec","usage":{"completion_tokens":60,"completion_tokens_details":{"accepted_prediction_tokens":0,"audio_tokens":0,"reasoning_tokens":0,"rejected_prediction_tokens":0},"prompt_tokens":1317,"prompt_tokens_details":{"audio_tokens":0,"cached_tokens":0},"total_tokens":1377}}</t>
        </is>
      </c>
      <c r="X137" t="inlineStr">
        <is>
          <t>极简白色月亮印花卫衣，柔软纯棉面料打造舒适穿着体验，背部半月图腾展现神秘艺术美感，宽松街头休闲设计，男女皆宜，契合现代潮流审美。</t>
        </is>
      </c>
    </row>
    <row r="138" ht="25.5" customHeight="1">
      <c r="A138">
        <v>1839115443</v>
      </c>
      <c r="B138">
        <v>7696081846</v>
      </c>
      <c r="C138" t="inlineStr">
        <is>
          <t>https://weidian.com/item.html?itemID=7696081846</t>
        </is>
      </c>
      <c r="D138"/>
      <c r="E138" s="2" t="str">
        <f>=HYPERLINK("https://si.geilicdn.com/open1839115443-252808396-2a3e0000019c50c365450a22d249_800_800.jpg?w=750&amp;h=750&amp;cp=1", "https://si.geilicdn.com/open1839115443-252808396-2a3e0000019c50c365450a22d249_800_800.jpg?w=750&amp;h=750&amp;cp=1")</f>
        <v>https://si.geilicdn.com/open1839115443-252808396-2a3e0000019c50c365450a22d249_800_800.jpg?w=750&amp;h=750&amp;cp=1</v>
      </c>
      <c r="F138" t="inlineStr">
        <is>
          <t>Hoodies</t>
        </is>
      </c>
      <c r="G138" t="inlineStr">
        <is>
          <t>Other</t>
        </is>
      </c>
      <c r="H138" t="inlineStr">
        <is>
          <t>80.00</t>
        </is>
      </c>
      <c r="I138">
        <v>11.59</v>
      </c>
      <c r="J138" t="inlineStr">
        <is>
          <t>{"id":"chatcmpl-DWcPHOcEtNlLo7KjRYwDdHxX1IwKH","object":"chat.completion","created":1776666503,"model":"gpt-5-chat-latest","choices":[{"index":0,"message":{"role":"assistant","content":"DIRK YANN White Totem Print Unisex Hoodie","refusal":null,"annotations":[]},"logprobs":null,"finish_reason":"stop"}],"usage":{"prompt_tokens":880,"completion_tokens":12,"total_tokens":892,"prompt_tokens_details":{"cached_tokens":0,"audio_tokens":0},"completion_tokens_details":{"reasoning_tokens":0,"audio_tokens":0,"accepted_prediction_tokens":0,"rejected_prediction_tokens":0}},"service_tier":"default","system_fingerprint":"fp_ad66631dec"}</t>
        </is>
      </c>
      <c r="K138" t="inlineStr">
        <is>
          <t>DIRK YANN White Totem Print Unisex Hoodie</t>
        </is>
      </c>
      <c r="L138" t="inlineStr">
        <is>
          <t>{"id":"chatcmpl-DWaTUyyIv83bbPP0oT4DybFnzLfiw","object":"chat.completion","created":1776659076,"model":"gpt-5-chat-latest","choices":[{"index":0,"message":{"role":"assistant","content":"DIRK YANN White Cotton Hoodie featuring colorful ethnic totem letter print on back, unisex loose fit, soft fabric, perfect for daily wear, street fashion, and casual comfort style.","refusal":null,"annotations":[]},"logprobs":null,"finish_reason":"stop"}],"usage":{"prompt_tokens":915,"completion_tokens":39,"total_tokens":954,"prompt_tokens_details":{"cached_tokens":0,"audio_tokens":0},"completion_tokens_details":{"reasoning_tokens":0,"audio_tokens":0,"accepted_prediction_tokens":0,"rejected_prediction_tokens":0}},"service_tier":"default","system_fingerprint":"fp_ad66631dec"}</t>
        </is>
      </c>
      <c r="M138"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ma=2592000","apim-request-id":"11e60c0b-b528-4929-9130-58c6d0763b26","azureml-model-session":"d20260405234249-f9874baf","cache-control":"no-cache, no-store, must-revalidate","connection":"close","content-length":"984","content-security-policy":"frame-ancestors 'self'","content-type":"application/json","date":"Mon, 20 Apr 2026 04:24:38 GMT","server":"nginx","skip-error-remapping":"true","strict-transport-security":"max-age=31536000; includeSubDomains; preload","via":"1.1 Caddy, 1.1 Caddy","x-api-request-id":"20260420122434649274112yyM52R7z","x-content-type-options":"nosniff","x-frame-options":"SAMEORIGIN","x-ms-is-spilled-over":"false","x-ms-rai-invoked":"false","x-ms-region":"Sweden Central","x-new-api-version":"0.4.39","x-oneapi-request-id":"202604200424345081315858268d9d6JoSa6pqH","x-ratelimit-abusepenalty-active":"False","x-ratelimit-limit-requests":"4993","x-ratelimit-limit-tokens":"4993000","x-ratelimit-remaining-requests":"4992","x-ratelimit-remaining-tokens":"4991323","x-ratelimit-renewalperiod-requests":"60","x-ratelimit-renewalperiod-tokens":"60","x-ratelimit-reset-requests":"12","x-ratelimit-reset-tokens":"20","x-request-id":"b61995c3-1d88-998a-a054-dc2524dba055"}</t>
        </is>
      </c>
      <c r="N138" t="inlineStr">
        <is>
          <t>DIRK YANN White Cotton Hoodie featuring colorful ethnic totem letter print on back, unisex loose fit, soft fabric, perfect for daily wear, street fashion, and casual comfort style.</t>
        </is>
      </c>
      <c r="O138" t="inlineStr">
        <is>
          <t>{"choices":[{"finish_reason":"stop","index":0,"logprobs":null,"message":{"annotations":[],"content":"DIKYSANN,Hoodies,kakobuy,kakebuy2026,kekobuysheet,kakobuysheet2026,2026kakobuy,kakobuyspreadsheeet,kakobuylink,kakebuylist,Kakobuy MEGA Spreadsheet,kakobuysheetfind,kakobuysheetfind2026,2026kakobuysheetfind,kakobuysheet2026","refusal":null,"role":"assistant"}}],"created":1776668715,"id":"chatcmpl-DWcyxk73ktovWZjJKgneYo2N9WntH","model":"gpt-5-chat-latest","object":"chat.completion","service_tier":"default","system_fingerprint":"fp_ad66631dec","usage":{"completion_tokens":90,"completion_tokens_details":{"accepted_prediction_tokens":0,"audio_tokens":0,"reasoning_tokens":0,"rejected_prediction_tokens":0},"prompt_tokens":783,"prompt_tokens_details":{"audio_tokens":0,"cached_tokens":0},"total_tokens":873}}</t>
        </is>
      </c>
      <c r="P138" t="inlineStr">
        <is>
          <t>DIKYSANN,Hoodies,kakobuy,kakebuy2026,kekobuysheet,kakobuysheet2026,2026kakobuy,kakobuyspreadsheeet,kakobuylink,kakebuylist,Kakobuy MEGA Spreadsheet,kakobuysheetfind,kakobuysheetfind2026,2026kakobuysheetfind,kakobuysheet2026</t>
        </is>
      </c>
      <c r="Q138" t="inlineStr">
        <is>
          <t>White, Unisex, Streetwear</t>
        </is>
      </c>
      <c r="R138" t="inlineStr">
        <is>
          <t>recvh6xFVjHitd</t>
        </is>
      </c>
      <c r="S138" t="inlineStr">
        <is>
          <t>dirk-yann-white-totem-print-hoodie-recvh6xfvjhitd</t>
        </is>
      </c>
      <c r="T138"/>
      <c r="U138"/>
      <c r="V138"/>
      <c r="W138" t="inlineStr">
        <is>
          <t>{"choices":[{"finish_reason":"stop","index":0,"logprobs":null,"message":{"annotations":[],"content":"白色休闲连帽卫衣，采用柔软棉质面料，背面装饰彩色民族图腾字母印花，彰显街头时尚个性风格。宽松版型设计，男女皆宜，适合日常出行、休闲搭配，兼具舒适与潮流感。","refusal":null,"role":"assistant"}}],"created":1776655743,"id":"chatcmpl-DWZbjdIqDXKZD0fo6roNTIGSHJwre","model":"gpt-5-chat-latest","object":"chat.completion","service_tier":"default","system_fingerprint":"fp_ad66631dec","usage":{"completion_tokens":75,"completion_tokens_details":{"accepted_prediction_tokens":0,"audio_tokens":0,"reasoning_tokens":0,"rejected_prediction_tokens":0},"prompt_tokens":1322,"prompt_tokens_details":{"audio_tokens":0,"cached_tokens":0},"total_tokens":1397}}</t>
        </is>
      </c>
      <c r="X138" t="inlineStr">
        <is>
          <t>白色休闲连帽卫衣，采用柔软棉质面料，背面装饰彩色民族图腾字母印花，彰显街头时尚个性风格。宽松版型设计，男女皆宜，适合日常出行、休闲搭配，兼具舒适与潮流感。</t>
        </is>
      </c>
    </row>
    <row r="139" ht="25.5" customHeight="1">
      <c r="A139">
        <v>1839115443</v>
      </c>
      <c r="B139">
        <v>7695985306</v>
      </c>
      <c r="C139" t="inlineStr">
        <is>
          <t>https://weidian.com/item.html?itemID=7695985306</t>
        </is>
      </c>
      <c r="D139"/>
      <c r="E139" s="2" t="str">
        <f>=HYPERLINK("https://si.geilicdn.com/open1839115443-252808396-11680000019c50c299390a8133b0_800_800.jpg?w=750&amp;h=750&amp;cp=1", "https://si.geilicdn.com/open1839115443-252808396-11680000019c50c299390a8133b0_800_800.jpg?w=750&amp;h=750&amp;cp=1")</f>
        <v>https://si.geilicdn.com/open1839115443-252808396-11680000019c50c299390a8133b0_800_800.jpg?w=750&amp;h=750&amp;cp=1</v>
      </c>
      <c r="F139" t="inlineStr">
        <is>
          <t>T-Shirts</t>
        </is>
      </c>
      <c r="G139" t="inlineStr">
        <is>
          <t>Other</t>
        </is>
      </c>
      <c r="H139" t="inlineStr">
        <is>
          <t>54.00</t>
        </is>
      </c>
      <c r="I139">
        <v>7.83</v>
      </c>
      <c r="J139" t="inlineStr">
        <is>
          <t>{"choices":[{"finish_reason":"stop","index":0,"logprobs":null,"message":{"annotations":[],"content":"LDECEY Player 75 White Cotton Unisex T-Shirt","refusal":null,"role":"assistant"}}],"created":1776665860,"id":"chatcmpl-DWcEu05sr6dYgZgDNyV03C51SYBL3","model":"gpt-5-chat-latest","object":"chat.completion","service_tier":"default","system_fingerprint":"fp_ad66631dec","usage":{"completion_tokens":14,"completion_tokens_details":{"accepted_prediction_tokens":0,"audio_tokens":0,"reasoning_tokens":0,"rejected_prediction_tokens":0},"prompt_tokens":875,"prompt_tokens_details":{"audio_tokens":0,"cached_tokens":0},"total_tokens":889}}</t>
        </is>
      </c>
      <c r="K139" t="inlineStr">
        <is>
          <t>LDECEY Player 75 White Cotton Unisex T-Shirt</t>
        </is>
      </c>
      <c r="L139" t="inlineStr">
        <is>
          <t>{"choices":[{"finish_reason":"stop","index":0,"logprobs":null,"message":{"annotations":[],"content":"LDECEY White Cotton Loose T-Shirt with “Player 75” Retro Red-Black Print, Unisex Casual Streetwear, Comfortable American Sports Style, Perfect Everyday Outfit.","refusal":null,"role":"assistant"}}],"created":1776659476,"id":"chatcmpl-DWaZwjcOe4y8sQggPCAq5zMyEBYv4","model":"gpt-5-chat-latest","object":"chat.completion","service_tier":"default","system_fingerprint":"fp_ad66631dec","usage":{"completion_tokens":37,"completion_tokens_details":{"accepted_prediction_tokens":0,"audio_tokens":0,"reasoning_tokens":0,"rejected_prediction_tokens":0},"prompt_tokens":898,"prompt_tokens_details":{"audio_tokens":0,"cached_tokens":0},"total_tokens":935}}</t>
        </is>
      </c>
      <c r="M139" t="inlineStr">
        <is>
          <t>{"alt-svc":"h3=\":443\"; ma=2592000","apim-request-id":"d3e9454b-dd11-48f3-974d-a0c97101d410","azureml-model-session":"d20260405234249-f9874baf","cache-control":"no-cache","connection":"close","content-length":"751","content-security-policy":"frame-ancestors 'self'","content-type":"application/json","date":"Mon, 20 Apr 2026 04:31:18 GMT","server":"Caddy","skip-error-remapping":"true","strict-transport-security":"max-age=31536000; includeSubDomains; preload","via":"1.1 Caddy","x-api-request-id":"2026042012311687980573LeLjkBLa","x-content-type-options":"nosniff","x-frame-options":"SAMEORIGIN","x-ms-client-request-id":"Not-Set","x-ms-is-spilled-over":"false","x-ms-rai-invoked":"true","x-ms-region":"East US 2","x-new-api-version":"0.4.39","x-oneapi-request-id":"20260420043116193002648268d9d6fFxGP55F","x-ratelimit-abusepenalty-active":"False","x-ratelimit-limit-requests":"3850","x-ratelimit-limit-tokens":"3850000","x-ratelimit-remaining-requests":"3849","x-ratelimit-remaining-tokens":"3848340","x-ratelimit-renewalperiod-requests":"60","x-ratelimit-renewalperiod-tokens":"60","x-ratelimit-reset-requests":"15","x-ratelimit-reset-tokens":"25","x-request-id":"c2b260ca-4714-92f5-89a3-14cad8d0c57a"}</t>
        </is>
      </c>
      <c r="N139" t="inlineStr">
        <is>
          <t>LDECEY White Cotton Loose T-Shirt with “Player 75” Retro Red-Black Print, Unisex Casual Streetwear, Comfortable American Sports Style, Perfect Everyday Outfit.</t>
        </is>
      </c>
      <c r="O139" t="inlineStr">
        <is>
          <t>{"choices":[{"finish_reason":"stop","index":0,"logprobs":null,"message":{"annotations":[],"content":"LDECEY,T-Shirts,kakobuy,kakebuy2026,kekobuysheet,kakobuysheet2026,2026kakobuy,kakobuyspreadsheeet,kakobuylink,kakebuylist,Kakobuy MEGA Spreadsheet,kakobuysheetfind,kakobuysheetfind2026,2026kakobuysheetfind,kakobuysheet2026","refusal":null,"role":"assistant"}}],"created":1776668684,"id":"chatcmpl-DWcySDFup6pLnJjbYC1QzkAHh3rqr","model":"gpt-5-chat-latest","object":"chat.completion","service_tier":"default","system_fingerprint":"fp_ad66631dec","usage":{"completion_tokens":89,"completion_tokens_details":{"accepted_prediction_tokens":0,"audio_tokens":0,"reasoning_tokens":0,"rejected_prediction_tokens":0},"prompt_tokens":782,"prompt_tokens_details":{"audio_tokens":0,"cached_tokens":0},"total_tokens":871}}</t>
        </is>
      </c>
      <c r="P139" t="inlineStr">
        <is>
          <t>LDECEY,T-Shirts,kakobuy,kakebuy2026,kekobuysheet,kakobuysheet2026,2026kakobuy,kakobuyspreadsheeet,kakobuylink,kakebuylist,Kakobuy MEGA Spreadsheet,kakobuysheetfind,kakobuysheetfind2026,2026kakobuysheetfind,kakobuysheet2026</t>
        </is>
      </c>
      <c r="Q139" t="inlineStr">
        <is>
          <t>White, Red, Black, Streetwear, Unisex</t>
        </is>
      </c>
      <c r="R139" t="inlineStr">
        <is>
          <t>recvh6xFVjY5b0</t>
        </is>
      </c>
      <c r="S139" t="inlineStr">
        <is>
          <t>ldecey-player-75-white-cotton-unisex-t-shirt-recvh6xfvjY5b0</t>
        </is>
      </c>
      <c r="T139"/>
      <c r="U139"/>
      <c r="V139"/>
      <c r="W139" t="inlineStr">
        <is>
          <t>{"choices":[{"finish_reason":"stop","index":0,"logprobs":null,"message":{"annotations":[],"content":"白色休闲系列宽松短袖T恤，采用柔软纯棉面料，胸前红黑撞色“Player 75”复古印花设计，彰显美式街头运动风格，男女皆宜，日常百搭单品。","refusal":null,"role":"assistant"}}],"created":1776656173,"id":"chatcmpl-DWZifrYWuuSoUPlWUff5DXdSaIfFX","model":"gpt-5-chat-latest","object":"chat.completion","service_tier":"default","system_fingerprint":"fp_ad66631dec","usage":{"completion_tokens":61,"completion_tokens_details":{"accepted_prediction_tokens":0,"audio_tokens":0,"reasoning_tokens":0,"rejected_prediction_tokens":0},"prompt_tokens":1317,"prompt_tokens_details":{"audio_tokens":0,"cached_tokens":0},"total_tokens":1378}}</t>
        </is>
      </c>
      <c r="X139" t="inlineStr">
        <is>
          <t>白色休闲系列宽松短袖T恤，采用柔软纯棉面料，胸前红黑撞色“Player 75”复古印花设计，彰显美式街头运动风格，男女皆宜，日常百搭单品。</t>
        </is>
      </c>
    </row>
    <row r="140" ht="25.5" customHeight="1">
      <c r="A140">
        <v>1839115443</v>
      </c>
      <c r="B140">
        <v>7693086005</v>
      </c>
      <c r="C140" t="inlineStr">
        <is>
          <t>https://weidian.com/item.html?itemID=7693086005</t>
        </is>
      </c>
      <c r="D140"/>
      <c r="E140" s="2" t="str">
        <f>=HYPERLINK("https://si.geilicdn.com/open1839115443-252808396-0f940000019c50c2672a0a8115c2_800_800.jpg?w=750&amp;h=750&amp;cp=1", "https://si.geilicdn.com/open1839115443-252808396-0f940000019c50c2672a0a8115c2_800_800.jpg?w=750&amp;h=750&amp;cp=1")</f>
        <v>https://si.geilicdn.com/open1839115443-252808396-0f940000019c50c2672a0a8115c2_800_800.jpg?w=750&amp;h=750&amp;cp=1</v>
      </c>
      <c r="F140" t="inlineStr">
        <is>
          <t>Hoodies</t>
        </is>
      </c>
      <c r="G140" t="inlineStr">
        <is>
          <t>Other</t>
        </is>
      </c>
      <c r="H140" t="inlineStr">
        <is>
          <t>54.00</t>
        </is>
      </c>
      <c r="I140">
        <v>7.83</v>
      </c>
      <c r="J140" t="inlineStr">
        <is>
          <t>{"choices":[{"finish_reason":"stop","index":0,"logprobs":null,"message":{"annotations":[],"content":"HoodiesOther White Cotton T-Shirt Gray 7 Print Unisex Tee","refusal":null,"role":"assistant"}}],"created":1776666328,"id":"chatcmpl-DWcMSeQubKsQ2Tb0Hwiqu0OCFzzxT","model":"gpt-5-chat-latest","object":"chat.completion","service_tier":"default","system_fingerprint":"fp_ad66631dec","usage":{"completion_tokens":16,"completion_tokens_details":{"accepted_prediction_tokens":0,"audio_tokens":0,"reasoning_tokens":0,"rejected_prediction_tokens":0},"prompt_tokens":888,"prompt_tokens_details":{"audio_tokens":0,"cached_tokens":0},"total_tokens":904}}</t>
        </is>
      </c>
      <c r="K140" t="inlineStr">
        <is>
          <t>HoodiesOther White Cotton T-Shirt Gray 7 Print Unisex Tee</t>
        </is>
      </c>
      <c r="L140" t="inlineStr">
        <is>
          <t>{"choices":[{"finish_reason":"stop","index":0,"logprobs":null,"message":{"annotations":[],"content":"HoodiesOther minimalist white cotton T-shirt features soft, breathable comfort with a gray “7” print on chest. Unisex loose fit and crew neck bring effortless street style for daily wear and summer outings.","refusal":null,"role":"assistant"}}],"created":1776658770,"id":"chatcmpl-DWaOYQPrMsZSD22XFwP4tu6VdaXCW","model":"gpt-5-chat-latest","object":"chat.completion","service_tier":"default","system_fingerprint":"fp_ad66631dec","usage":{"completion_tokens":43,"completion_tokens_details":{"accepted_prediction_tokens":0,"audio_tokens":0,"reasoning_tokens":0,"rejected_prediction_tokens":0},"prompt_tokens":923,"prompt_tokens_details":{"audio_tokens":0,"cached_tokens":0},"total_tokens":966}}</t>
        </is>
      </c>
      <c r="M140" t="inlineStr">
        <is>
          <t>{"alt-svc":"h3=\":443\"; ma=2592000","apim-request-id":"2c65129d-3ca8-4013-a5f6-9530d94ea5fa","azureml-model-session":"d20260402083108-57a85543","cache-control":"no-cache","connection":"close","content-length":"798","content-security-policy":"frame-ancestors 'self'","content-type":"application/json","date":"Mon, 20 Apr 2026 04:19:32 GMT","server":"Caddy","skip-error-remapping":"true","strict-transport-security":"max-age=31536000; includeSubDomains; preload","via":"1.1 Caddy","x-api-request-id":"20260420121929730901716T5yxjZfv","x-content-type-options":"nosniff","x-frame-options":"SAMEORIGIN","x-ms-client-request-id":"Not-Set","x-ms-is-spilled-over":"false","x-ms-rai-invoked":"true","x-ms-region":"East US 2","x-new-api-version":"0.4.39","x-oneapi-request-id":"202604200419296646994228268d9d6WaIdwJnD","x-ratelimit-abusepenalty-active":"False","x-ratelimit-limit-requests":"3850","x-ratelimit-limit-tokens":"3850000","x-ratelimit-remaining-requests":"3849","x-ratelimit-remaining-tokens":"3848315","x-ratelimit-renewalperiod-requests":"60","x-ratelimit-renewalperiod-tokens":"60","x-ratelimit-reset-requests":"15","x-ratelimit-reset-tokens":"26","x-request-id":"f329a186-df67-4608-ac9f-d35e58a760dd"}</t>
        </is>
      </c>
      <c r="N140" t="inlineStr">
        <is>
          <t>HoodiesOther minimalist white cotton T-shirt features soft, breathable comfort with a gray “7” print on chest. Unisex loose fit and crew neck bring effortless street style for daily wear and summer outings.</t>
        </is>
      </c>
      <c r="O140" t="inlineStr">
        <is>
          <t>{"choices":[{"finish_reason":"stop","index":0,"logprobs":null,"message":{"annotations":[],"content":"7, T-shirt, kakobuy, kakebuy2026, kekobuysheet, kakobuysheet2026, 2026kakobuy, kakobuyspreadsheeet, kakobuylink, kakebuylist, Kakobuy MEGA Spreadsheet, kakobuysheetfind, kakobuysheetfind2026, 2026kakobuysheetfind, kakobuysheet2026","refusal":null,"role":"assistant"}}],"created":1776668263,"id":"chatcmpl-DWcrfO4a8fDZbZNF3RKMZVxM1jTUV","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is>
      </c>
      <c r="P140" t="inlineStr">
        <is>
          <t>7, T-shirt, kakobuy, kakebuy2026, kekobuysheet, kakobuysheet2026, 2026kakobuy, kakobuyspreadsheeet, kakobuylink, kakebuylist, Kakobuy MEGA Spreadsheet, kakobuysheetfind, kakobuysheetfind2026, 2026kakobuysheetfind, kakobuysheet2026</t>
        </is>
      </c>
      <c r="Q140" t="inlineStr">
        <is>
          <t>White, Minimalist, Street, Summer, Unisex</t>
        </is>
      </c>
      <c r="R140" t="inlineStr">
        <is>
          <t>recvh6xFVj1Q00</t>
        </is>
      </c>
      <c r="S140" t="inlineStr">
        <is>
          <t>hoodiesother-white-cotton-tshirt-gray-7-print-unisex-tee-recvh6xfvj1q00</t>
        </is>
      </c>
      <c r="T140"/>
      <c r="U140"/>
      <c r="V140"/>
      <c r="W140" t="inlineStr">
        <is>
          <t>{"id":"chatcmpl-DWZc8MN2z8hpEKN2qyGuMgzkSN12R","object":"chat.completion","created":1776655768,"model":"gpt-5-chat-latest","choices":[{"index":0,"message":{"role":"assistant","content":"简约白色短袖T恤，柔软纯棉面料带来舒适透气体验，胸前灰色数字“7”印花点缀极简个性。宽松版型结合圆领设计，男女皆宜，街头休闲风格展现随性态度，适合日常穿搭与夏季出行。","refusal":null,"annotations":[]},"logprobs":null,"finish_reason":"stop"}],"usage":{"prompt_tokens":1324,"completion_tokens":82,"total_tokens":1406,"prompt_tokens_details":{"cached_tokens":0,"audio_tokens":0},"completion_tokens_details":{"reasoning_tokens":0,"audio_tokens":0,"accepted_prediction_tokens":0,"rejected_prediction_tokens":0}},"service_tier":"default","system_fingerprint":"fp_ad66631dec"}</t>
        </is>
      </c>
      <c r="X140" t="inlineStr">
        <is>
          <t>简约白色短袖T恤，柔软纯棉面料带来舒适透气体验，胸前灰色数字“7”印花点缀极简个性。宽松版型结合圆领设计，男女皆宜，街头休闲风格展现随性态度，适合日常穿搭与夏季出行。</t>
        </is>
      </c>
    </row>
    <row r="141" ht="25.5" customHeight="1">
      <c r="A141">
        <v>1839115443</v>
      </c>
      <c r="B141">
        <v>7695993124</v>
      </c>
      <c r="C141" t="inlineStr">
        <is>
          <t>https://weidian.com/item.html?itemID=7695993124</t>
        </is>
      </c>
      <c r="D141"/>
      <c r="E141" s="2" t="str">
        <f>=HYPERLINK("https://si.geilicdn.com/open1839115443-252808396-26220000019c50c2298a0a23b4de_800_800.jpg?w=750&amp;h=750&amp;cp=1", "https://si.geilicdn.com/open1839115443-252808396-26220000019c50c2298a0a23b4de_800_800.jpg?w=750&amp;h=750&amp;cp=1")</f>
        <v>https://si.geilicdn.com/open1839115443-252808396-26220000019c50c2298a0a23b4de_800_800.jpg?w=750&amp;h=750&amp;cp=1</v>
      </c>
      <c r="F141" t="inlineStr">
        <is>
          <t>T-Shirts</t>
        </is>
      </c>
      <c r="G141" t="inlineStr">
        <is>
          <t>Other</t>
        </is>
      </c>
      <c r="H141" t="inlineStr">
        <is>
          <t>54.00</t>
        </is>
      </c>
      <c r="I141">
        <v>7.83</v>
      </c>
      <c r="J141" t="inlineStr">
        <is>
          <t>{"choices":[{"finish_reason":"stop","index":0,"logprobs":null,"message":{"annotations":[],"content":"Other Brand White Embroidered Totem Cotton Unisex T-Shirt","refusal":null,"role":"assistant"}}],"created":1776666907,"id":"chatcmpl-DWcVnoBN9txMxzbVt4AGB8xaLQUDY","model":"gpt-5-chat-latest","object":"chat.completion","service_tier":"default","system_fingerprint":"fp_ad66631dec","usage":{"completion_tokens":14,"completion_tokens_details":{"accepted_prediction_tokens":0,"audio_tokens":0,"reasoning_tokens":0,"rejected_prediction_tokens":0},"prompt_tokens":879,"prompt_tokens_details":{"audio_tokens":0,"cached_tokens":0},"total_tokens":893}}</t>
        </is>
      </c>
      <c r="K141" t="inlineStr">
        <is>
          <t>Other Brand White Embroidered Totem Cotton Unisex T-Shirt</t>
        </is>
      </c>
      <c r="L141" t="inlineStr">
        <is>
          <t>{"choices":[{"finish_reason":"stop","index":0,"logprobs":null,"message":{"annotations":[],"content":"Brand T-ShirtsOther white embroidered totem T-shirt, soft pure cotton fabric, red neckline stitching and fun embroidery, blending Oriental art with modern casual style, unisex, luxury and unique.","refusal":null,"role":"assistant"}}],"created":1776658964,"id":"chatcmpl-DWaRgl6DSXCsF4Oxof9pYESJRzAyp","model":"gpt-5-chat-latest","object":"chat.completion","service_tier":"default","system_fingerprint":"fp_ad66631dec","usage":{"completion_tokens":39,"completion_tokens_details":{"accepted_prediction_tokens":0,"audio_tokens":0,"reasoning_tokens":0,"rejected_prediction_tokens":0},"prompt_tokens":906,"prompt_tokens_details":{"audio_tokens":0,"cached_tokens":0},"total_tokens":945}}</t>
        </is>
      </c>
      <c r="M141" t="inlineStr">
        <is>
          <t>{"alt-svc":"h3=\":443\"; ma=2592000","apim-request-id":"e8ee175b-61e7-4da1-b087-af2607aa71c9","azureml-model-session":"d20260402083108-57a85543","cache-control":"no-cache","connection":"close","content-length":"783","content-security-policy":"frame-ancestors 'self'","content-type":"application/json","date":"Mon, 20 Apr 2026 04:22:46 GMT","server":"Caddy","skip-error-remapping":"true","strict-transport-security":"max-age=31536000; includeSubDomains; preload","via":"1.1 Caddy","x-api-request-id":"2026042012224445704477TIEUZa1m","x-content-type-options":"nosniff","x-frame-options":"SAMEORIGIN","x-ms-client-request-id":"Not-Set","x-ms-is-spilled-over":"false","x-ms-rai-invoked":"true","x-ms-region":"East US 2","x-new-api-version":"0.4.39","x-oneapi-request-id":"202604200422439788635218268d9d66fkvrSlm","x-ratelimit-abusepenalty-active":"False","x-ratelimit-limit-requests":"3850","x-ratelimit-limit-tokens":"3850000","x-ratelimit-remaining-requests":"3849","x-ratelimit-remaining-tokens":"3848332","x-ratelimit-renewalperiod-requests":"60","x-ratelimit-renewalperiod-tokens":"60","x-ratelimit-reset-requests":"15","x-ratelimit-reset-tokens":"25","x-request-id":"fdb26214-1699-4eaa-ab04-cea32f62edfb"}</t>
        </is>
      </c>
      <c r="N141" t="inlineStr">
        <is>
          <t>Brand T-ShirtsOther white embroidered totem T-shirt, soft pure cotton fabric, red neckline stitching and fun embroidery, blending Oriental art with modern casual style, unisex, luxury and unique.</t>
        </is>
      </c>
      <c r="O141" t="inlineStr">
        <is>
          <t>{"choices":[{"finish_reason":"stop","index":0,"logprobs":null,"message":{"annotations":[],"content":"Menswear,T-Shirts,kakobuy,kakebuy2026,kekobuysheet,kakobuysheet2026,2026kakobuy,kakobuyspreadsheeet,kakobuylink,kakebuylist,Kakobuy MEGA Spreadsheet,kakobuysheetfind,kakobuysheetfind2026,2026kakobuysheetfind,kakobuysheet2026","refusal":null,"role":"assistant"}}],"created":1776668911,"id":"chatcmpl-DWd27qcOVRqrqRNp5CvlFAkixwoev","model":"gpt-5-chat-latest","object":"chat.completion","service_tier":"default","system_fingerprint":"fp_ad66631dec","usage":{"completion_tokens":87,"completion_tokens_details":{"accepted_prediction_tokens":0,"audio_tokens":0,"reasoning_tokens":0,"rejected_prediction_tokens":0},"prompt_tokens":782,"prompt_tokens_details":{"audio_tokens":0,"cached_tokens":0},"total_tokens":869}}</t>
        </is>
      </c>
      <c r="P141" t="inlineStr">
        <is>
          <t>Menswear,T-Shirts,kakobuy,kakebuy2026,kekobuysheet,kakobuysheet2026,2026kakobuy,kakobuyspreadsheeet,kakobuylink,kakebuylist,Kakobuy MEGA Spreadsheet,kakobuysheetfind,kakobuysheetfind2026,2026kakobuysheetfind,kakobuysheet2026</t>
        </is>
      </c>
      <c r="Q141" t="inlineStr">
        <is>
          <t>White, Oriental, Unisex</t>
        </is>
      </c>
      <c r="R141" t="inlineStr">
        <is>
          <t>recvh6xFVjpZBQ</t>
        </is>
      </c>
      <c r="S141" t="inlineStr">
        <is>
          <t>other-brand-white-embroidered-totem-cotton-unisex-t-shirt-recvh6xFVjpZBQ</t>
        </is>
      </c>
      <c r="T141"/>
      <c r="U141"/>
      <c r="V141"/>
      <c r="W141" t="inlineStr">
        <is>
          <t>{"choices":[{"finish_reason":"stop","index":0,"logprobs":null,"message":{"annotations":[],"content":"白色刺绣图腾系列短袖T恤，精选柔软纯棉面料，领口点缀红线与趣味刺绣装饰，融合东洋艺术风格与现代休闲设计，男女皆宜，彰显轻奢与个性品味。","refusal":null,"role":"assistant"}}],"created":1776655913,"id":"chatcmpl-DWZeT9Z7jY2cAb3OIHTbNUVDAPFMp","model":"gpt-5-chat-latest","object":"chat.completion","service_tier":"default","system_fingerprint":"fp_ad66631dec","usage":{"completion_tokens":67,"completion_tokens_details":{"accepted_prediction_tokens":0,"audio_tokens":0,"reasoning_tokens":0,"rejected_prediction_tokens":0},"prompt_tokens":1321,"prompt_tokens_details":{"audio_tokens":0,"cached_tokens":0},"total_tokens":1388}}</t>
        </is>
      </c>
      <c r="X141" t="inlineStr">
        <is>
          <t>白色刺绣图腾系列短袖T恤，精选柔软纯棉面料，领口点缀红线与趣味刺绣装饰，融合东洋艺术风格与现代休闲设计，男女皆宜，彰显轻奢与个性品味。</t>
        </is>
      </c>
    </row>
    <row r="142" ht="25.5" customHeight="1">
      <c r="A142">
        <v>1839115443</v>
      </c>
      <c r="B142">
        <v>7696014938</v>
      </c>
      <c r="C142" t="inlineStr">
        <is>
          <t>https://weidian.com/item.html?itemID=7696014938</t>
        </is>
      </c>
      <c r="D142"/>
      <c r="E142" s="2" t="str">
        <f>=HYPERLINK("https://si.geilicdn.com/open1839115443-252808396-1aa40000019c50c2035b0aa08676_800_800.jpg?w=750&amp;h=750&amp;cp=1", "https://si.geilicdn.com/open1839115443-252808396-1aa40000019c50c2035b0aa08676_800_800.jpg?w=750&amp;h=750&amp;cp=1")</f>
        <v>https://si.geilicdn.com/open1839115443-252808396-1aa40000019c50c2035b0aa08676_800_800.jpg?w=750&amp;h=750&amp;cp=1</v>
      </c>
      <c r="F142" t="inlineStr">
        <is>
          <t>T-Shirts</t>
        </is>
      </c>
      <c r="G142" t="inlineStr">
        <is>
          <t>Other</t>
        </is>
      </c>
      <c r="H142" t="inlineStr">
        <is>
          <t>54.00</t>
        </is>
      </c>
      <c r="I142">
        <v>7.83</v>
      </c>
      <c r="J142" t="inlineStr">
        <is>
          <t>{"id":"chatcmpl-DWcH69LV3I8xa1mLY2M1iMgtTf3SF","object":"chat.completion","created":1776665996,"model":"gpt-5-chat-latest","choices":[{"index":0,"message":{"role":"assistant","content":"OtherBrand Minimalist White “HI!” Cotton T-Shirt Unisex","refusal":null,"annotations":[]},"logprobs":null,"finish_reason":"stop"}],"usage":{"prompt_tokens":869,"completion_tokens":14,"total_tokens":883,"prompt_tokens_details":{"cached_tokens":0,"audio_tokens":0},"completion_tokens_details":{"reasoning_tokens":0,"audio_tokens":0,"accepted_prediction_tokens":0,"rejected_prediction_tokens":0}},"service_tier":"default","system_fingerprint":"fp_ad66631dec"}</t>
        </is>
      </c>
      <c r="K142" t="inlineStr">
        <is>
          <t>OtherBrand Minimalist White “HI!” Cotton T-Shirt Unisex</t>
        </is>
      </c>
      <c r="L142" t="inlineStr">
        <is>
          <t>{"choices":[{"finish_reason":"stop","index":0,"logprobs":null,"message":{"annotations":[],"content":"Brand T-ShirtsOther minimalist white cotton tee with bold “HI!” print, breathable and soft fabric, unisex loose fit for casual streetwear and modern trendy style.","refusal":null,"role":"assistant"}}],"created":1776658414,"id":"chatcmpl-DWaIoGA1Pfb8NeWi69ksRrgIaA4ZL","model":"gpt-5-chat-latest","object":"chat.completion","service_tier":"default","system_fingerprint":"fp_ad66631dec","usage":{"completion_tokens":34,"completion_tokens_details":{"accepted_prediction_tokens":0,"audio_tokens":0,"reasoning_tokens":0,"rejected_prediction_tokens":0},"prompt_tokens":926,"prompt_tokens_details":{"audio_tokens":0,"cached_tokens":0},"total_tokens":960}}</t>
        </is>
      </c>
      <c r="M142" t="inlineStr">
        <is>
          <t>{"alt-svc":"h3=\":443\"; ma=2592000","apim-request-id":"ce11d882-fea3-45ad-8b3a-664f3c022bd6","azureml-model-session":"d20260405234249-f9874baf","cache-control":"no-cache","connection":"close","content-length":"754","content-security-policy":"frame-ancestors 'self'","content-type":"application/json","date":"Mon, 20 Apr 2026 04:13:35 GMT","server":"nginx","skip-error-remapping":"true","strict-transport-security":"max-age=31536000; includeSubDomains; preload","via":"1.1 Caddy, 1.1 Caddy","x-api-request-id":"20260420121333293776681GrjqHpar","x-content-type-options":"nosniff","x-frame-options":"SAMEORIGIN","x-ms-client-request-id":"Not-Set","x-ms-is-spilled-over":"false","x-ms-rai-invoked":"true","x-ms-region":"East US 2","x-new-api-version":"0.4.39","x-oneapi-request-id":"202604200413331916863968268d9d6hqIYfV20","x-ratelimit-abusepenalty-active":"False","x-ratelimit-limit-requests":"3850","x-ratelimit-limit-tokens":"3850000","x-ratelimit-remaining-requests":"3849","x-ratelimit-remaining-tokens":"3848312","x-ratelimit-renewalperiod-requests":"60","x-ratelimit-renewalperiod-tokens":"60","x-ratelimit-reset-requests":"15","x-ratelimit-reset-tokens":"26","x-request-id":"75c66c2c-76ac-4d5a-8b02-5313b0306fa0"}</t>
        </is>
      </c>
      <c r="N142" t="inlineStr">
        <is>
          <t>Brand T-ShirtsOther minimalist white cotton tee with bold “HI!” print, breathable and soft fabric, unisex loose fit for casual streetwear and modern trendy style.</t>
        </is>
      </c>
      <c r="O142" t="inlineStr">
        <is>
          <t>{"choices":[{"finish_reason":"stop","index":0,"logprobs":null,"message":{"annotations":[],"content":"Hi,T-Shirts,kakobuy,kakebuy2026,kekobuysheet,kakobuysheet2026,2026kakobuy,kakobuyspreadsheeet,kakobuylink,kakebuylist,Kakobuy MEGA Spreadsheet,kakobuysheetfind,kakobuysheetfind2026,2026kakobuysheetfind,kakobuysheet2026","refusal":null,"role":"assistant"}}],"created":1776668822,"id":"chatcmpl-DWd0gAoXIlcXxrm7zi61TbwlV1CoG","model":"gpt-5-chat-latest","object":"chat.completion","service_tier":"default","system_fingerprint":"fp_ad66631dec","usage":{"completion_tokens":86,"completion_tokens_details":{"accepted_prediction_tokens":0,"audio_tokens":0,"reasoning_tokens":0,"rejected_prediction_tokens":0},"prompt_tokens":782,"prompt_tokens_details":{"audio_tokens":0,"cached_tokens":0},"total_tokens":868}}</t>
        </is>
      </c>
      <c r="P142" t="inlineStr">
        <is>
          <t>Hi,T-Shirts,kakobuy,kakebuy2026,kekobuysheet,kakobuysheet2026,2026kakobuy,kakobuyspreadsheeet,kakobuylink,kakebuylist,Kakobuy MEGA Spreadsheet,kakobuysheetfind,kakobuysheetfind2026,2026kakobuysheetfind,kakobuysheet2026</t>
        </is>
      </c>
      <c r="Q142" t="inlineStr">
        <is>
          <t>White, Breathable, Unisex, Streetwear</t>
        </is>
      </c>
      <c r="R142" t="inlineStr">
        <is>
          <t>recvh6xFVjZ9W9</t>
        </is>
      </c>
      <c r="S142" t="inlineStr">
        <is>
          <t>otherbrand-minimalist-white-hi-cotton-t-shirt-recvh6xFVjZ9W9</t>
        </is>
      </c>
      <c r="T142"/>
      <c r="U142"/>
      <c r="V142"/>
      <c r="W142" t="inlineStr">
        <is>
          <t>{"choices":[{"finish_reason":"stop","index":0,"logprobs":null,"message":{"annotations":[],"content":"简约白色休闲T恤，采用高品质纯棉面料，质地柔软透气。正面印有醒目的黑色“HI!”几何字母图案，彰显街头艺术风格。宽松版型设计，适合男女日常穿搭，结合现代极简与个性设计元素，轻松营造潮流休闲造型。","refusal":null,"role":"assistant"}}],"created":1776655438,"id":"chatcmpl-DWZWoRITGZDolygXJLfXpdxhd1fmB","model":"gpt-5-chat-latest","object":"chat.completion","service_tier":"default","system_fingerprint":"fp_ad66631dec","usage":{"completion_tokens":88,"completion_tokens_details":{"accepted_prediction_tokens":0,"audio_tokens":0,"reasoning_tokens":0,"rejected_prediction_tokens":0},"prompt_tokens":1319,"prompt_tokens_details":{"audio_tokens":0,"cached_tokens":0},"total_tokens":1407}}</t>
        </is>
      </c>
      <c r="X142" t="inlineStr">
        <is>
          <t>简约白色休闲T恤，采用高品质纯棉面料，质地柔软透气。正面印有醒目的黑色“HI!”几何字母图案，彰显街头艺术风格。宽松版型设计，适合男女日常穿搭，结合现代极简与个性设计元素，轻松营造潮流休闲造型。</t>
        </is>
      </c>
    </row>
    <row r="143" ht="25.5" customHeight="1">
      <c r="A143">
        <v>1839115443</v>
      </c>
      <c r="B143">
        <v>7696048300</v>
      </c>
      <c r="C143" t="inlineStr">
        <is>
          <t>https://weidian.com/item.html?itemID=7696048300</t>
        </is>
      </c>
      <c r="D143"/>
      <c r="E143" s="2" t="str">
        <f>=HYPERLINK("https://si.geilicdn.com/open1839115443-252808396-1a880000019c50c1c5250aa08676_1080_1080.jpg?w=750&amp;h=750&amp;cp=1", "https://si.geilicdn.com/open1839115443-252808396-1a880000019c50c1c5250aa08676_1080_1080.jpg?w=750&amp;h=750&amp;cp=1")</f>
        <v>https://si.geilicdn.com/open1839115443-252808396-1a880000019c50c1c5250aa08676_1080_1080.jpg?w=750&amp;h=750&amp;cp=1</v>
      </c>
      <c r="F143" t="inlineStr">
        <is>
          <t>T-Shirts</t>
        </is>
      </c>
      <c r="G143" t="inlineStr">
        <is>
          <t>Other</t>
        </is>
      </c>
      <c r="H143" t="inlineStr">
        <is>
          <t>54.00</t>
        </is>
      </c>
      <c r="I143">
        <v>7.83</v>
      </c>
      <c r="J143" t="inlineStr">
        <is>
          <t>{"choices":[{"finish_reason":"stop","index":0,"logprobs":null,"message":{"annotations":[],"content":"Minimalist White Cotton Tee “Whatever” Print Unisex Shirt","refusal":null,"role":"assistant"}}],"created":1776665860,"id":"chatcmpl-DWcEuVd2RFk51YHXpKUh8N9StpPc9","model":"gpt-5-chat-latest","object":"chat.completion","service_tier":"default","system_fingerprint":"fp_ad66631dec","usage":{"completion_tokens":13,"completion_tokens_details":{"accepted_prediction_tokens":0,"audio_tokens":0,"reasoning_tokens":0,"rejected_prediction_tokens":0},"prompt_tokens":873,"prompt_tokens_details":{"audio_tokens":0,"cached_tokens":0},"total_tokens":886}}</t>
        </is>
      </c>
      <c r="K143" t="inlineStr">
        <is>
          <t>Minimalist White Cotton Tee “Whatever” Print Unisex Shirt</t>
        </is>
      </c>
      <c r="L143" t="inlineStr">
        <is>
          <t>{"choices":[{"finish_reason":"stop","index":0,"logprobs":null,"message":{"annotations":[],"content":"Brand T-ShirtsOther minimalist white cotton tee with black “whatever” print, loose unisex fit for street casual style, perfect for effortless everyday outfits with cool laid-back attitude.","refusal":null,"role":"assistant"}}],"created":1776658853,"id":"chatcmpl-DWaPtdOocsghYvXzIFcIw8L62u6yR","model":"gpt-5-chat-latest","object":"chat.completion","service_tier":"default","system_fingerprint":"fp_ad66631dec","usage":{"completion_tokens":36,"completion_tokens_details":{"accepted_prediction_tokens":0,"audio_tokens":0,"reasoning_tokens":0,"rejected_prediction_tokens":0},"prompt_tokens":914,"prompt_tokens_details":{"audio_tokens":0,"cached_tokens":0},"total_tokens":950}}</t>
        </is>
      </c>
      <c r="M143" t="inlineStr">
        <is>
          <t>{"alt-svc":"h3=\":443\"; ma=2592000","apim-request-id":"6ccee73a-75ad-4599-935c-4cc51e9b2eb7","azureml-model-session":"d20260405234249-f9874baf","cache-control":"no-cache","connection":"close","content-length":"780","content-security-policy":"frame-ancestors 'self'","content-type":"application/json","date":"Mon, 20 Apr 2026 04:20:54 GMT","server":"nginx","skip-error-remapping":"true","strict-transport-security":"max-age=31536000; includeSubDomains; preload","via":"1.1 Caddy, 1.1 Caddy","x-api-request-id":"20260420122052720615044s6Qp36AQ","x-content-type-options":"nosniff","x-frame-options":"SAMEORIGIN","x-ms-client-request-id":"Not-Set","x-ms-is-spilled-over":"false","x-ms-rai-invoked":"true","x-ms-region":"East US 2","x-new-api-version":"0.4.39","x-oneapi-request-id":"202604200420526542440688268d9d6k6wvbQtC","x-ratelimit-abusepenalty-active":"False","x-ratelimit-limit-requests":"3850","x-ratelimit-limit-tokens":"3850000","x-ratelimit-remaining-requests":"3849","x-ratelimit-remaining-tokens":"3848324","x-ratelimit-renewalperiod-requests":"60","x-ratelimit-renewalperiod-tokens":"60","x-ratelimit-reset-requests":"15","x-ratelimit-reset-tokens":"26","x-request-id":"6b744d1d-1fb4-45fc-80b9-c6de4a4e6124"}</t>
        </is>
      </c>
      <c r="N143" t="inlineStr">
        <is>
          <t>Brand T-ShirtsOther minimalist white cotton tee with black “whatever” print, loose unisex fit for street casual style, perfect for effortless everyday outfits with cool laid-back attitude.</t>
        </is>
      </c>
      <c r="O143" t="inlineStr">
        <is>
          <t>{"choices":[{"finish_reason":"stop","index":0,"logprobs":null,"message":{"annotations":[],"content":"whatever, T-Shirts, kakobuy, kakebuy2026, kekobuysheet, kakobuysheet2026, 2026kakobuy, kakobuyspreadsheeet, kakobuylink, kakebuylist, Kakobuy MEGA Spreadsheet, kakobuysheetfind, kakobuysheetfind2026, 2026kakobuysheetfind, kakobuysheet2026","refusal":null,"role":"assistant"}}],"created":1776667866,"id":"chatcmpl-DWclGKW2qUoYJgWhI2tdkLNCRN9nT","model":"gpt-5-chat-latest","object":"chat.completion","service_tier":"default","system_fingerprint":"fp_ad66631dec","usage":{"completion_tokens":91,"completion_tokens_details":{"accepted_prediction_tokens":0,"audio_tokens":0,"reasoning_tokens":0,"rejected_prediction_tokens":0},"prompt_tokens":782,"prompt_tokens_details":{"audio_tokens":0,"cached_tokens":0},"total_tokens":873}}</t>
        </is>
      </c>
      <c r="P143" t="inlineStr">
        <is>
          <t>whatever, T-Shirts, kakobuy, kakebuy2026, kekobuysheet, kakobuysheet2026, 2026kakobuy, kakobuyspreadsheeet, kakobuylink, kakebuylist, Kakobuy MEGA Spreadsheet, kakobuysheetfind, kakobuysheetfind2026, 2026kakobuysheetfind, kakobuysheet2026</t>
        </is>
      </c>
      <c r="Q143" t="inlineStr">
        <is>
          <t>White, Minimalist, Street, Unisex</t>
        </is>
      </c>
      <c r="R143" t="inlineStr">
        <is>
          <t>recvh6xFVjmydH</t>
        </is>
      </c>
      <c r="S143" t="inlineStr">
        <is>
          <t>minimalist-white-cotton-tee-whatever-print-unisex-shirt-recvh6xfvjmydh</t>
        </is>
      </c>
      <c r="T143"/>
      <c r="U143"/>
      <c r="V143"/>
      <c r="W143" t="inlineStr">
        <is>
          <t>{"choices":[{"finish_reason":"stop","index":0,"logprobs":null,"message":{"annotations":[],"content":"简约白色短袖T恤，甄选柔软纯棉面料，正面点缀黑色“whatever”字样极简印花，版型宽松舒适，男女皆宜。休闲街头风格，百搭日常穿搭彰显自在个性与轻松态度。","refusal":null,"role":"assistant"}}],"created":1776655601,"id":"chatcmpl-DWZZRzkRjhW4m9uDNuTqj7GwAC5hu","model":"gpt-5-chat-latest","object":"chat.completion","service_tier":"default","system_fingerprint":"fp_ad66631dec","usage":{"completion_tokens":74,"completion_tokens_details":{"accepted_prediction_tokens":0,"audio_tokens":0,"reasoning_tokens":0,"rejected_prediction_tokens":0},"prompt_tokens":1323,"prompt_tokens_details":{"audio_tokens":0,"cached_tokens":1280},"total_tokens":1397}}</t>
        </is>
      </c>
      <c r="X143" t="inlineStr">
        <is>
          <t>简约白色短袖T恤，甄选柔软纯棉面料，正面点缀黑色“whatever”字样极简印花，版型宽松舒适，男女皆宜。休闲街头风格，百搭日常穿搭彰显自在个性与轻松态度。</t>
        </is>
      </c>
    </row>
    <row r="144" ht="25.5" customHeight="1">
      <c r="A144">
        <v>1839115443</v>
      </c>
      <c r="B144">
        <v>7693064297</v>
      </c>
      <c r="C144" t="inlineStr">
        <is>
          <t>https://weidian.com/item.html?itemID=7693064297</t>
        </is>
      </c>
      <c r="D144"/>
      <c r="E144" s="2" t="str">
        <f>=HYPERLINK("https://si.geilicdn.com/open1839115443-252808396-10f80000019c50c185f60a8133b0_800_800.jpg?w=750&amp;h=750&amp;cp=1", "https://si.geilicdn.com/open1839115443-252808396-10f80000019c50c185f60a8133b0_800_800.jpg?w=750&amp;h=750&amp;cp=1")</f>
        <v>https://si.geilicdn.com/open1839115443-252808396-10f80000019c50c185f60a8133b0_800_800.jpg?w=750&amp;h=750&amp;cp=1</v>
      </c>
      <c r="F144" t="inlineStr">
        <is>
          <t>T-Shirts</t>
        </is>
      </c>
      <c r="G144" t="inlineStr">
        <is>
          <t>Other</t>
        </is>
      </c>
      <c r="H144" t="inlineStr">
        <is>
          <t>54.00</t>
        </is>
      </c>
      <c r="I144">
        <v>7.83</v>
      </c>
      <c r="J144" t="inlineStr">
        <is>
          <t>{"choices":[{"finish_reason":"stop","index":0,"logprobs":null,"message":{"annotations":[],"content":"Other Brand White Heart “Loves Me” Cotton T-Shirt","refusal":null,"role":"assistant"}}],"created":1776665850,"id":"chatcmpl-DWcEkUOkMGUfn3THcrMS9zUbHcmXJ","model":"gpt-5-chat-latest","object":"chat.completion","service_tier":"default","system_fingerprint":"fp_ad66631dec","usage":{"completion_tokens":13,"completion_tokens_details":{"accepted_prediction_tokens":0,"audio_tokens":0,"reasoning_tokens":0,"rejected_prediction_tokens":0},"prompt_tokens":877,"prompt_tokens_details":{"audio_tokens":0,"cached_tokens":0},"total_tokens":890}}</t>
        </is>
      </c>
      <c r="K144" t="inlineStr">
        <is>
          <t>Other Brand White Heart “Loves Me” Cotton T-Shirt</t>
        </is>
      </c>
      <c r="L144" t="inlineStr">
        <is>
          <t>{"id":"chatcmpl-DWaWFsSAuZh74UkWxA5aFR2YAGcAk","object":"chat.completion","created":1776659247,"model":"gpt-5-chat-latest","choices":[{"index":0,"message":{"role":"assistant","content":"Brand T-ShirtsOther white cotton tee with red heart and “loves me” print, unisex casual streetwear style, soft breathable fabric for romantic minimalist look and everyday fashion comfort.","refusal":null,"annotations":[]},"logprobs":null,"finish_reason":"stop"}],"usage":{"prompt_tokens":913,"completion_tokens":38,"total_tokens":951,"prompt_tokens_details":{"cached_tokens":0,"audio_tokens":0},"completion_tokens_details":{"reasoning_tokens":0,"audio_tokens":0,"accepted_prediction_tokens":0,"rejected_prediction_tokens":0}},"service_tier":"default","system_fingerprint":"fp_ad66631dec"}</t>
        </is>
      </c>
      <c r="M144"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ma=2592000","apim-request-id":"7faa780e-4cff-4eed-8ab1-87428f41feae","azureml-model-session":"d20260405234249-f9874baf","cache-control":"no-cache, no-store, must-revalidate","connection":"close","content-length":"995","content-security-policy":"frame-ancestors 'self'","content-type":"application/json","date":"Mon, 20 Apr 2026 04:27:28 GMT","server":"nginx","skip-error-remapping":"true","strict-transport-security":"max-age=31536000; includeSubDomains; preload","via":"1.1 Caddy, 1.1 Caddy","x-api-request-id":"20260420122725646389382p0SADcxA","x-content-type-options":"nosniff","x-frame-options":"SAMEORIGIN","x-ms-is-spilled-over":"false","x-ms-rai-invoked":"false","x-ms-region":"East US 2","x-new-api-version":"0.4.39","x-oneapi-request-id":"202604200427255779858368268d9d6QLEPnuMh","x-ratelimit-abusepenalty-active":"False","x-ratelimit-limit-requests":"4994","x-ratelimit-limit-tokens":"4994000","x-ratelimit-remaining-requests":"4993","x-ratelimit-remaining-tokens":"4992325","x-ratelimit-renewalperiod-requests":"60","x-ratelimit-renewalperiod-tokens":"60","x-ratelimit-reset-requests":"12","x-ratelimit-reset-tokens":"20","x-request-id":"e2d657ab-79fe-4c61-a797-c8865ebc2000"}</t>
        </is>
      </c>
      <c r="N144" t="inlineStr">
        <is>
          <t>Brand T-ShirtsOther white cotton tee with red heart and “loves me” print, unisex casual streetwear style, soft breathable fabric for romantic minimalist look and everyday fashion comfort.</t>
        </is>
      </c>
      <c r="O144" t="inlineStr">
        <is>
          <t>{"choices":[{"finish_reason":"stop","index":0,"logprobs":null,"message":{"annotations":[],"content":"T-Shirts,kakobuy,kakebuy2026,kekobuysheet,kakobuysheet2026,2026kakobuy,kakobuyspreadsheeet,kakobuylink,kakebuylist,Kakobuy MEGA Spreadsheet,kakobuysheetfind,kakobuysheetfind2026,2026kakobuysheetfind,kakobuysheet2026","refusal":null,"role":"assistant"}}],"created":1776668652,"id":"chatcmpl-DWcxwnKWjtBrn2dT5DWkieKiDtu5v","model":"gpt-5-chat-latest","object":"chat.completion","service_tier":"default","system_fingerprint":"fp_ad66631dec","usage":{"completion_tokens":85,"completion_tokens_details":{"accepted_prediction_tokens":0,"audio_tokens":0,"reasoning_tokens":0,"rejected_prediction_tokens":0},"prompt_tokens":782,"prompt_tokens_details":{"audio_tokens":0,"cached_tokens":0},"total_tokens":867}}</t>
        </is>
      </c>
      <c r="P144" t="inlineStr">
        <is>
          <t>T-Shirts,kakobuy,kakebuy2026,kekobuysheet,kakobuysheet2026,2026kakobuy,kakobuyspreadsheeet,kakobuylink,kakebuylist,Kakobuy MEGA Spreadsheet,kakobuysheetfind,kakobuysheetfind2026,2026kakobuysheetfind,kakobuysheet2026</t>
        </is>
      </c>
      <c r="Q144" t="inlineStr">
        <is>
          <t>White, Unisex, Streetwear, Comfort</t>
        </is>
      </c>
      <c r="R144" t="inlineStr">
        <is>
          <t>recvh6xFVjDCbV</t>
        </is>
      </c>
      <c r="S144" t="inlineStr">
        <is>
          <t>other-brand-white-heart-loves-me-cotton-t-shirt-recvh6xfvjdc</t>
        </is>
      </c>
      <c r="T144"/>
      <c r="U144"/>
      <c r="V144"/>
      <c r="W144" t="inlineStr">
        <is>
          <t>{"choices":[{"finish_reason":"stop","index":0,"logprobs":null,"message":{"annotations":[],"content":"白色爱心印花短袖T恤，采用柔软纯棉面料，胸前红色爱心搭配英文字样设计，简约又充满浪漫气息。中性剪裁，男女皆可穿，街头与休闲风格兼具，展现轻松时尚态度。","refusal":null,"role":"assistant"}}],"created":1776655840,"id":"chatcmpl-DWZdImsjDezW5naEwZzntgqsE8bok","model":"gpt-5-chat-latest","object":"chat.completion","service_tier":"default","system_fingerprint":"fp_ad66631dec","usage":{"completion_tokens":74,"completion_tokens_details":{"accepted_prediction_tokens":0,"audio_tokens":0,"reasoning_tokens":0,"rejected_prediction_tokens":0},"prompt_tokens":1321,"prompt_tokens_details":{"audio_tokens":0,"cached_tokens":0},"total_tokens":1395}}</t>
        </is>
      </c>
      <c r="X144" t="inlineStr">
        <is>
          <t>白色爱心印花短袖T恤，采用柔软纯棉面料，胸前红色爱心搭配英文字样设计，简约又充满浪漫气息。中性剪裁，男女皆可穿，街头与休闲风格兼具，展现轻松时尚态度。</t>
        </is>
      </c>
    </row>
    <row r="145" ht="25.5" customHeight="1">
      <c r="A145">
        <v>1839115443</v>
      </c>
      <c r="B145">
        <v>7696058152</v>
      </c>
      <c r="C145" t="inlineStr">
        <is>
          <t>https://weidian.com/item.html?itemID=7696058152</t>
        </is>
      </c>
      <c r="D145"/>
      <c r="E145" s="2" t="str">
        <f>=HYPERLINK("https://si.geilicdn.com/open1839115443-252808396-1a5e0000019c50c14b380aa08676_800_800.jpg?w=750&amp;h=750&amp;cp=1", "https://si.geilicdn.com/open1839115443-252808396-1a5e0000019c50c14b380aa08676_800_800.jpg?w=750&amp;h=750&amp;cp=1")</f>
        <v>https://si.geilicdn.com/open1839115443-252808396-1a5e0000019c50c14b380aa08676_800_800.jpg?w=750&amp;h=750&amp;cp=1</v>
      </c>
      <c r="F145" t="inlineStr">
        <is>
          <t>T-Shirts</t>
        </is>
      </c>
      <c r="G145" t="inlineStr">
        <is>
          <t>Other</t>
        </is>
      </c>
      <c r="H145" t="inlineStr">
        <is>
          <t>54.00</t>
        </is>
      </c>
      <c r="I145">
        <v>7.83</v>
      </c>
      <c r="J145" t="inlineStr">
        <is>
          <t>{"choices":[{"finish_reason":"stop","index":0,"logprobs":null,"message":{"annotations":[],"content":"YZEE.MC Funny Smiley Letter White Cotton T-Shirt","refusal":null,"role":"assistant"}}],"created":1776666061,"id":"chatcmpl-DWcI9zN2ukYvWd1XAfN0t9chvqobt","model":"gpt-5-chat-latest","object":"chat.completion","service_tier":"default","system_fingerprint":"fp_ad66631dec","usage":{"completion_tokens":13,"completion_tokens_details":{"accepted_prediction_tokens":0,"audio_tokens":0,"reasoning_tokens":0,"rejected_prediction_tokens":0},"prompt_tokens":881,"prompt_tokens_details":{"audio_tokens":0,"cached_tokens":0},"total_tokens":894}}</t>
        </is>
      </c>
      <c r="K145" t="inlineStr">
        <is>
          <t>YZEE.MC Funny Smiley Letter White Cotton T-Shirt</t>
        </is>
      </c>
      <c r="L145" t="inlineStr">
        <is>
          <t>{"id":"chatcmpl-DWaY6ft2woKkzsdBZNo6TvruByZ61","object":"chat.completion","created":1776659362,"model":"gpt-5-chat-latest","choices":[{"index":0,"message":{"role":"assistant","content":"YZEE.MC Funny Letter Smiley T-Shirt – Soft cotton unisex white tee featuring colorful cartoon alphabet, smiley and flower prints. Loose fit for casual street style comfort and youthful vibe.","refusal":null,"annotations":[]},"logprobs":null,"finish_reason":"stop"}],"usage":{"prompt_tokens":920,"completion_tokens":40,"total_tokens":960,"prompt_tokens_details":{"cached_tokens":0,"audio_tokens":0},"completion_tokens_details":{"reasoning_tokens":0,"audio_tokens":0,"accepted_prediction_tokens":0,"rejected_prediction_tokens":0}},"service_tier":"default","system_fingerprint":"fp_ad66631dec"}</t>
        </is>
      </c>
      <c r="M145"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ma=2592000","apim-request-id":"03dd1f35-4c37-445a-8283-072388865ed5","azureml-model-session":"d20260402083108-57a85543","cache-control":"no-cache, no-store, must-revalidate","connection":"close","content-length":"996","content-security-policy":"frame-ancestors 'self'","content-type":"application/json","date":"Mon, 20 Apr 2026 04:29:24 GMT","server":"Caddy","skip-error-remapping":"true","strict-transport-security":"max-age=31536000; includeSubDomains; preload","via":"1.1 Caddy","x-api-request-id":"20260420122920975723462YZ9yvm2v","x-content-type-options":"nosniff","x-frame-options":"SAMEORIGIN","x-ms-is-spilled-over":"false","x-ms-rai-invoked":"false","x-ms-region":"Sweden Central","x-new-api-version":"0.4.39","x-oneapi-request-id":"202604200429208679689708268d9d6WcA10SJD","x-ratelimit-abusepenalty-active":"False","x-ratelimit-limit-requests":"4993","x-ratelimit-limit-tokens":"4993000","x-ratelimit-remaining-requests":"4992","x-ratelimit-remaining-tokens":"4991318","x-ratelimit-renewalperiod-requests":"60","x-ratelimit-renewalperiod-tokens":"60","x-ratelimit-reset-requests":"12","x-ratelimit-reset-tokens":"20","x-request-id":"310905ed-1d8d-4b7c-95ce-b030b05a9bb7"}</t>
        </is>
      </c>
      <c r="N145" t="inlineStr">
        <is>
          <t>YZEE.MC Funny Letter Smiley T-Shirt – Soft cotton unisex white tee featuring colorful cartoon alphabet, smiley and flower prints. Loose fit for casual street style comfort and youthful vibe.</t>
        </is>
      </c>
      <c r="O145" t="inlineStr">
        <is>
          <t>{"choices":[{"finish_reason":"stop","index":0,"logprobs":null,"message":{"annotations":[],"content":"YZEMC,T-Shirts,kakobuy,kakebuy2026,kekobuysheet,kakobuysheet2026,2026kakobuy,kakobuyspreadsheeet,kakobuylink,kakebuylist,Kakobuy MEGA Spreadsheet,kakobuysheetfind,kakobuysheetfind2026,2026kakobuysheetfind,kakobuysheet2026","refusal":null,"role":"assistant"}}],"created":1776667303,"id":"chatcmpl-DWccBz4Cjq2YFiYZq3MH4AjLcxof7","model":"gpt-5-chat-latest","object":"chat.completion","service_tier":"default","system_fingerprint":"fp_ad66631dec","usage":{"completion_tokens":88,"completion_tokens_details":{"accepted_prediction_tokens":0,"audio_tokens":0,"reasoning_tokens":0,"rejected_prediction_tokens":0},"prompt_tokens":782,"prompt_tokens_details":{"audio_tokens":0,"cached_tokens":0},"total_tokens":870}}</t>
        </is>
      </c>
      <c r="P145" t="inlineStr">
        <is>
          <t>YZEMC,T-Shirts,kakobuy,kakebuy2026,kekobuysheet,kakobuysheet2026,2026kakobuy,kakobuyspreadsheeet,kakobuylink,kakebuylist,Kakobuy MEGA Spreadsheet,kakobuysheetfind,kakobuysheetfind2026,2026kakobuysheetfind,kakobuysheet2026</t>
        </is>
      </c>
      <c r="Q145" t="inlineStr">
        <is>
          <t>Unisex, White, Streetwear, Youth</t>
        </is>
      </c>
      <c r="R145" t="inlineStr">
        <is>
          <t>recvh6xFVjFQJl</t>
        </is>
      </c>
      <c r="S145" t="inlineStr">
        <is>
          <t>yzee-mc-funny-smiley-letter-white-cotton-t-shirt-recvh6xFVjFQJl</t>
        </is>
      </c>
      <c r="T145"/>
      <c r="U145"/>
      <c r="V145"/>
      <c r="W145" t="inlineStr">
        <is>
          <t>{"choices":[{"finish_reason":"stop","index":0,"logprobs":null,"message":{"annotations":[],"content":"趣味字母笑脸系列白色短袖T恤，柔软纯棉面料舒适亲肤，颈部彩色卡通字母印花设计，融入笑脸与花朵等趣味元素，展现青春街头潮流感，宽松剪裁男女皆宜，轻松打造休闲个性穿搭。","refusal":null,"role":"assistant"}}],"created":1776655782,"id":"chatcmpl-DWZcM6JhRdLRJOqgmVNL0clp7J6iN","model":"gpt-5-chat-latest","object":"chat.completion","service_tier":"default","system_fingerprint":"fp_ad66631dec","usage":{"completion_tokens":81,"completion_tokens_details":{"accepted_prediction_tokens":0,"audio_tokens":0,"reasoning_tokens":0,"rejected_prediction_tokens":0},"prompt_tokens":1321,"prompt_tokens_details":{"audio_tokens":0,"cached_tokens":0},"total_tokens":1402}}</t>
        </is>
      </c>
      <c r="X145" t="inlineStr">
        <is>
          <t>趣味字母笑脸系列白色短袖T恤，柔软纯棉面料舒适亲肤，颈部彩色卡通字母印花设计，融入笑脸与花朵等趣味元素，展现青春街头潮流感，宽松剪裁男女皆宜，轻松打造休闲个性穿搭。</t>
        </is>
      </c>
    </row>
    <row r="146" ht="25.5" customHeight="1">
      <c r="A146">
        <v>1839115443</v>
      </c>
      <c r="B146">
        <v>7696079646</v>
      </c>
      <c r="C146" t="inlineStr">
        <is>
          <t>https://weidian.com/item.html?itemID=7696079646</t>
        </is>
      </c>
      <c r="D146"/>
      <c r="E146" s="2" t="str">
        <f>=HYPERLINK("https://si.geilicdn.com/open1839115443-252808396-253b0000019c50c121fd0aa08239_1284_1284.jpg?w=750&amp;h=750&amp;cp=1", "https://si.geilicdn.com/open1839115443-252808396-253b0000019c50c121fd0aa08239_1284_1284.jpg?w=750&amp;h=750&amp;cp=1")</f>
        <v>https://si.geilicdn.com/open1839115443-252808396-253b0000019c50c121fd0aa08239_1284_1284.jpg?w=750&amp;h=750&amp;cp=1</v>
      </c>
      <c r="F146" t="inlineStr">
        <is>
          <t>T-Shirts</t>
        </is>
      </c>
      <c r="G146" t="inlineStr">
        <is>
          <t>Other</t>
        </is>
      </c>
      <c r="H146" t="inlineStr">
        <is>
          <t>54.00</t>
        </is>
      </c>
      <c r="I146">
        <v>7.83</v>
      </c>
      <c r="J146" t="inlineStr">
        <is>
          <t>{"choices":[{"finish_reason":"stop","index":0,"logprobs":null,"message":{"annotations":[],"content":"BTNL R Street Black Graphic Hip Hop T-Shirt","refusal":null,"role":"assistant"}}],"created":1776665752,"id":"chatcmpl-DWcDAbKu86Dc5VRE392Cp26LBm64y","model":"gpt-5-chat-latest","object":"chat.completion","service_tier":"default","system_fingerprint":"fp_ad66631dec","usage":{"completion_tokens":11,"completion_tokens_details":{"accepted_prediction_tokens":0,"audio_tokens":0,"reasoning_tokens":0,"rejected_prediction_tokens":0},"prompt_tokens":877,"prompt_tokens_details":{"audio_tokens":0,"cached_tokens":0},"total_tokens":888}}</t>
        </is>
      </c>
      <c r="K146" t="inlineStr">
        <is>
          <t>BTNL R Street Black Graphic Hip Hop T-Shirt</t>
        </is>
      </c>
      <c r="L146" t="inlineStr">
        <is>
          <t>{"choices":[{"finish_reason":"stop","index":0,"logprobs":null,"message":{"annotations":[],"content":"BTNL R Street Series black cotton T-shirt, featuring colorful sneaker and gold chain graphic, hip-hop streetwear style, unisex loose fit for trendy youth attitude and effortless fashion flair.","refusal":null,"role":"assistant"}}],"created":1776659459,"id":"chatcmpl-DWaZfF1hIaUMYc5m1vGNEigwOCwEt","model":"gpt-5-chat-latest","object":"chat.completion","service_tier":"default","system_fingerprint":"fp_ad66631dec","usage":{"completion_tokens":38,"completion_tokens_details":{"accepted_prediction_tokens":0,"audio_tokens":0,"reasoning_tokens":0,"rejected_prediction_tokens":0},"prompt_tokens":902,"prompt_tokens_details":{"audio_tokens":0,"cached_tokens":0},"total_tokens":940}}</t>
        </is>
      </c>
      <c r="M146" t="inlineStr">
        <is>
          <t>{"alt-svc":"h3=\":443\"; ma=2592000","apim-request-id":"49adbf72-e113-432a-b733-58808f7a35ff","azureml-model-session":"d20260402083108-57a85543","cache-control":"no-cache","connection":"close","content-length":"780","content-security-policy":"frame-ancestors 'self'","content-type":"application/json","date":"Mon, 20 Apr 2026 04:31:00 GMT","server":"nginx","skip-error-remapping":"true","strict-transport-security":"max-age=31536000; includeSubDomains; preload","via":"1.1 Caddy, 1.1 Caddy","x-api-request-id":"2026042012305973483119EqCbySrQ","x-content-type-options":"nosniff","x-frame-options":"SAMEORIGIN","x-ms-client-request-id":"Not-Set","x-ms-is-spilled-over":"false","x-ms-rai-invoked":"true","x-ms-region":"East US 2","x-new-api-version":"0.4.39","x-oneapi-request-id":"2026042004305944737898268d9d6Ly1XbOiw","x-ratelimit-abusepenalty-active":"False","x-ratelimit-limit-requests":"3850","x-ratelimit-limit-tokens":"3850000","x-ratelimit-remaining-requests":"3849","x-ratelimit-remaining-tokens":"3848336","x-ratelimit-renewalperiod-requests":"60","x-ratelimit-renewalperiod-tokens":"60","x-ratelimit-reset-requests":"15","x-ratelimit-reset-tokens":"25","x-request-id":"63bae0d0-26c0-4e11-a7b8-8be0fba9ce7e"}</t>
        </is>
      </c>
      <c r="N146" t="inlineStr">
        <is>
          <t>BTNL R Street Series black cotton T-shirt, featuring colorful sneaker and gold chain graphic, hip-hop streetwear style, unisex loose fit for trendy youth attitude and effortless fashion flair.</t>
        </is>
      </c>
      <c r="O146" t="inlineStr">
        <is>
          <t>{"choices":[{"finish_reason":"stop","index":0,"logprobs":null,"message":{"annotations":[],"content":"BTNL R,T-Shirts,kakobuy,kakebuy2026,kekobuysheet,kakobuysheet2026,2026kakobuy,kakobuyspreadsheeet,kakobuylink,kakebuylist,Kakobuy MEGA Spreadsheet,kakobuysheetfind,kakobuysheetfind2026,2026kakobuysheetfind,kakobuysheet2026","refusal":null,"role":"assistant"}}],"created":1776667781,"id":"chatcmpl-DWcjtQn5JebCl6wgn9zJPmPqHWF7u","model":"gpt-5-chat-latest","object":"chat.completion","service_tier":"default","system_fingerprint":"fp_ad66631dec","usage":{"completion_tokens":88,"completion_tokens_details":{"accepted_prediction_tokens":0,"audio_tokens":0,"reasoning_tokens":0,"rejected_prediction_tokens":0},"prompt_tokens":782,"prompt_tokens_details":{"audio_tokens":0,"cached_tokens":0},"total_tokens":870}}</t>
        </is>
      </c>
      <c r="P146" t="inlineStr">
        <is>
          <t>BTNL R,T-Shirts,kakobuy,kakebuy2026,kekobuysheet,kakobuysheet2026,2026kakobuy,kakobuyspreadsheeet,kakobuylink,kakebuylist,Kakobuy MEGA Spreadsheet,kakobuysheetfind,kakobuysheetfind2026,2026kakobuysheetfind,kakobuysheet2026</t>
        </is>
      </c>
      <c r="Q146" t="inlineStr">
        <is>
          <t>Black, Colorful, Hip Hop, Streetwear, Unisex, Youth</t>
        </is>
      </c>
      <c r="R146" t="inlineStr">
        <is>
          <t>recvh6xFVjDm1h</t>
        </is>
      </c>
      <c r="S146" t="inlineStr">
        <is>
          <t>btnl-r-street-black-graphic-hip-hop-tshirt-recvh6xFVjDm1h</t>
        </is>
      </c>
      <c r="T146"/>
      <c r="U146"/>
      <c r="V146"/>
      <c r="W146" t="inlineStr">
        <is>
          <t>{"choices":[{"finish_reason":"stop","index":0,"logprobs":null,"message":{"annotations":[],"content":"街头系列黑色潮流短袖T恤，柔软纯棉材质，背部彩绘球鞋与金链图腾设计，融合嘻哈街头风格，宽松剪裁男女皆宜，彰显年轻个性与街头态度。","refusal":null,"role":"assistant"}}],"created":1776655697,"id":"chatcmpl-DWZazPS1AOOYRTeTocnyZL4zLuFgI","model":"gpt-5-chat-latest","object":"chat.completion","service_tier":"default","system_fingerprint":"fp_ad66631dec","usage":{"completion_tokens":63,"completion_tokens_details":{"accepted_prediction_tokens":0,"audio_tokens":0,"reasoning_tokens":0,"rejected_prediction_tokens":0},"prompt_tokens":1321,"prompt_tokens_details":{"audio_tokens":0,"cached_tokens":0},"total_tokens":1384}}</t>
        </is>
      </c>
      <c r="X146" t="inlineStr">
        <is>
          <t>街头系列黑色潮流短袖T恤，柔软纯棉材质，背部彩绘球鞋与金链图腾设计，融合嘻哈街头风格，宽松剪裁男女皆宜，彰显年轻个性与街头态度。</t>
        </is>
      </c>
    </row>
    <row r="147" ht="25.5" customHeight="1">
      <c r="A147">
        <v>1839115443</v>
      </c>
      <c r="B147">
        <v>7692997301</v>
      </c>
      <c r="C147" t="inlineStr">
        <is>
          <t>https://weidian.com/item.html?itemID=7692997301</t>
        </is>
      </c>
      <c r="D147"/>
      <c r="E147" s="2" t="str">
        <f>=HYPERLINK("https://si.geilicdn.com/open1839115443-252808396-259c0000019c50c0e3f00a23b4de_800_800.jpg?w=750&amp;h=750&amp;cp=1", "https://si.geilicdn.com/open1839115443-252808396-259c0000019c50c0e3f00a23b4de_800_800.jpg?w=750&amp;h=750&amp;cp=1")</f>
        <v>https://si.geilicdn.com/open1839115443-252808396-259c0000019c50c0e3f00a23b4de_800_800.jpg?w=750&amp;h=750&amp;cp=1</v>
      </c>
      <c r="F147" t="inlineStr">
        <is>
          <t>T-Shirts</t>
        </is>
      </c>
      <c r="G147" t="inlineStr">
        <is>
          <t>Other</t>
        </is>
      </c>
      <c r="H147" t="inlineStr">
        <is>
          <t>54.00</t>
        </is>
      </c>
      <c r="I147">
        <v>7.83</v>
      </c>
      <c r="J147" t="inlineStr">
        <is>
          <t>{"id":"chatcmpl-DWcGRQntwjjIONNmTIjzQV5nyuh3w","object":"chat.completion","created":1776665955,"model":"gpt-5-chat-latest","choices":[{"index":0,"message":{"role":"assistant","content":"MAGNANIMOUS Colorful Bear Graphic Sleeveless Cotton T-Shirt","refusal":null,"annotations":[]},"logprobs":null,"finish_reason":"stop"}],"usage":{"prompt_tokens":883,"completion_tokens":15,"total_tokens":898,"prompt_tokens_details":{"cached_tokens":0,"audio_tokens":0},"completion_tokens_details":{"reasoning_tokens":0,"audio_tokens":0,"accepted_prediction_tokens":0,"rejected_prediction_tokens":0}},"service_tier":"default","system_fingerprint":"fp_ad66631dec"}</t>
        </is>
      </c>
      <c r="K147" t="inlineStr">
        <is>
          <t>MAGNANIMOUS Colorful Bear Graphic Sleeveless Cotton T-Shirt</t>
        </is>
      </c>
      <c r="L147" t="inlineStr">
        <is>
          <t>{"choices":[{"finish_reason":"stop","index":0,"logprobs":null,"message":{"annotations":[],"content":"MAGNANIMOUS unisex white sleeveless cotton T-shirt with colorful bear graphic and letter print, streetwear loose fit, soft and breathable, perfect for casual daily outfits and trendy summer style.","refusal":null,"role":"assistant"}}],"created":1776659276,"id":"chatcmpl-DWaWisy1GAULY6WD8LdkgIhsYDi0M","model":"gpt-5-chat-latest","object":"chat.completion","service_tier":"default","system_fingerprint":"fp_ad66631dec","usage":{"completion_tokens":41,"completion_tokens_details":{"accepted_prediction_tokens":0,"audio_tokens":0,"reasoning_tokens":0,"rejected_prediction_tokens":0},"prompt_tokens":909,"prompt_tokens_details":{"audio_tokens":0,"cached_tokens":0},"total_tokens":950}}</t>
        </is>
      </c>
      <c r="M147" t="inlineStr">
        <is>
          <t>{"alt-svc":"h3=\":443\"; ma=2592000","apim-request-id":"3cf0d382-425b-45ea-929c-79c99d624c6d","azureml-model-session":"d20260402083108-57a85543","cache-control":"no-cache","connection":"close","content-length":"784","content-security-policy":"frame-ancestors 'self'","content-type":"application/json","date":"Mon, 20 Apr 2026 04:27:58 GMT","server":"Caddy","skip-error-remapping":"true","strict-transport-security":"max-age=31536000; includeSubDomains; preload","via":"1.1 Caddy","x-api-request-id":"20260420122755748639345i4RRdcix","x-content-type-options":"nosniff","x-frame-options":"SAMEORIGIN","x-ms-client-request-id":"Not-Set","x-ms-is-spilled-over":"false","x-ms-rai-invoked":"true","x-ms-region":"East US 2","x-new-api-version":"0.4.39","x-oneapi-request-id":"202604200427556817367848268d9d6uxumYMIz","x-ratelimit-abusepenalty-active":"False","x-ratelimit-limit-requests":"3850","x-ratelimit-limit-tokens":"3850000","x-ratelimit-remaining-requests":"3849","x-ratelimit-remaining-tokens":"3848329","x-ratelimit-renewalperiod-requests":"60","x-ratelimit-renewalperiod-tokens":"60","x-ratelimit-reset-requests":"15","x-ratelimit-reset-tokens":"26","x-request-id":"2308ccf2-5866-4edb-b91c-21dc41acc512"}</t>
        </is>
      </c>
      <c r="N147" t="inlineStr">
        <is>
          <t>MAGNANIMOUS unisex white sleeveless cotton T-shirt with colorful bear graphic and letter print, streetwear loose fit, soft and breathable, perfect for casual daily outfits and trendy summer style.</t>
        </is>
      </c>
      <c r="O147" t="inlineStr">
        <is>
          <t>{"choices":[{"finish_reason":"stop","index":0,"logprobs":null,"message":{"annotations":[],"content":"MAGNANIMOUS,T-Shirts,kakobuy,kakebuy2026,kekobuysheet,kakobuysheet2026,2026kakobuy,kakobuyspreadsheeet,kakobuylink,kakebuylist,Kakobuy MEGA Spreadsheet,kakobuysheetfind,kakobuysheetfind2026,2026kakobuysheetfind,kakobuysheet2026","refusal":null,"role":"assistant"}}],"created":1776667198,"id":"chatcmpl-DWcaUgPr8Qf4vKTq52yuohmSLGIEc","model":"gpt-5-chat-latest","object":"chat.completion","service_tier":"default","system_fingerprint":"fp_ad66631dec","usage":{"completion_tokens":90,"completion_tokens_details":{"accepted_prediction_tokens":0,"audio_tokens":0,"reasoning_tokens":0,"rejected_prediction_tokens":0},"prompt_tokens":782,"prompt_tokens_details":{"audio_tokens":0,"cached_tokens":0},"total_tokens":872}}</t>
        </is>
      </c>
      <c r="P147" t="inlineStr">
        <is>
          <t>MAGNANIMOUS,T-Shirts,kakobuy,kakebuy2026,kekobuysheet,kakobuysheet2026,2026kakobuy,kakobuyspreadsheeet,kakobuylink,kakebuylist,Kakobuy MEGA Spreadsheet,kakobuysheetfind,kakobuysheetfind2026,2026kakobuysheetfind,kakobuysheet2026</t>
        </is>
      </c>
      <c r="Q147" t="inlineStr">
        <is>
          <t>Unisex, White, Colorful, Streetwear, Summer</t>
        </is>
      </c>
      <c r="R147" t="inlineStr">
        <is>
          <t>recvh6xFVjwwt4</t>
        </is>
      </c>
      <c r="S147" t="inlineStr">
        <is>
          <t>magnanimous-colorful-bear-graphic-sleeveless-cotton-t-shirt-recvh6xfvjwwt4</t>
        </is>
      </c>
      <c r="T147"/>
      <c r="U147"/>
      <c r="V147"/>
      <c r="W147" t="inlineStr">
        <is>
          <t>{"choices":[{"finish_reason":"stop","index":0,"logprobs":null,"message":{"annotations":[],"content":"白色无袖印花T恤，采用柔软纯棉面料，背部饰彩色熊型图腾与英文字母设计，潮流街头风格，宽松剪裁舒适百搭，适合男女休闲穿搭，彰显个性时尚态度。","refusal":null,"role":"assistant"}}],"created":1776655190,"id":"chatcmpl-DWZSoGSBzkToczlkSKgwUyW31CVRq","model":"gpt-5-chat-latest","object":"chat.completion","service_tier":"default","system_fingerprint":"fp_ad66631dec","usage":{"completion_tokens":68,"completion_tokens_details":{"accepted_prediction_tokens":0,"audio_tokens":0,"reasoning_tokens":0,"rejected_prediction_tokens":0},"prompt_tokens":1325,"prompt_tokens_details":{"audio_tokens":0,"cached_tokens":0},"total_tokens":1393}}</t>
        </is>
      </c>
      <c r="X147" t="inlineStr">
        <is>
          <t>白色无袖印花T恤，采用柔软纯棉面料，背部饰彩色熊型图腾与英文字母设计，潮流街头风格，宽松剪裁舒适百搭，适合男女休闲穿搭，彰显个性时尚态度。</t>
        </is>
      </c>
    </row>
    <row r="148" ht="25.5" customHeight="1">
      <c r="A148">
        <v>1839115443</v>
      </c>
      <c r="B148">
        <v>7696071916</v>
      </c>
      <c r="C148" t="inlineStr">
        <is>
          <t>https://weidian.com/item.html?itemID=7696071916</t>
        </is>
      </c>
      <c r="D148"/>
      <c r="E148" s="2" t="str">
        <f>=HYPERLINK("https://si.geilicdn.com/open1839115443-252808396-10be0000019c50c0e39e0a8133b0_1200_1200.jpg?w=750&amp;h=750&amp;cp=1", "https://si.geilicdn.com/open1839115443-252808396-10be0000019c50c0e39e0a8133b0_1200_1200.jpg?w=750&amp;h=750&amp;cp=1")</f>
        <v>https://si.geilicdn.com/open1839115443-252808396-10be0000019c50c0e39e0a8133b0_1200_1200.jpg?w=750&amp;h=750&amp;cp=1</v>
      </c>
      <c r="F148" t="inlineStr">
        <is>
          <t>T-Shirts</t>
        </is>
      </c>
      <c r="G148" t="inlineStr">
        <is>
          <t>Other</t>
        </is>
      </c>
      <c r="H148" t="inlineStr">
        <is>
          <t>54.00</t>
        </is>
      </c>
      <c r="I148">
        <v>7.83</v>
      </c>
      <c r="J148" t="inlineStr">
        <is>
          <t>{"choices":[{"finish_reason":"stop","index":0,"logprobs":null,"message":{"annotations":[],"content":"Brand X Minimalist White Barcode Graphic T-Shirt","refusal":null,"role":"assistant"}}],"created":1776666259,"id":"chatcmpl-DWcLLNM5MvCw4IzcKceMq31ShWuEe","model":"gpt-5-chat-latest","object":"chat.completion","service_tier":"default","system_fingerprint":"fp_ad66631dec","usage":{"completion_tokens":10,"completion_tokens_details":{"accepted_prediction_tokens":0,"audio_tokens":0,"reasoning_tokens":0,"rejected_prediction_tokens":0},"prompt_tokens":875,"prompt_tokens_details":{"audio_tokens":0,"cached_tokens":0},"total_tokens":885}}</t>
        </is>
      </c>
      <c r="K148" t="inlineStr">
        <is>
          <t>Brand X Minimalist White Barcode Graphic T-Shirt</t>
        </is>
      </c>
      <c r="L148" t="inlineStr">
        <is>
          <t>{"id":"chatcmpl-DWaZI4wpIurOxiwe3LWfpPhQKXfbo","object":"chat.completion","created":1776659436,"model":"gpt-5-chat-latest","choices":[{"index":0,"message":{"role":"assistant","content":"Brand X Minimalist Series white cotton T-shirt features soft, breathable fabric with black-white barcode and beige graphic print, delivering a modern unisex streetwear look for casual urban style.","refusal":null,"annotations":[]},"logprobs":null,"finish_reason":"stop"}],"usage":{"prompt_tokens":914,"completion_tokens":37,"total_tokens":951,"prompt_tokens_details":{"cached_tokens":0,"audio_tokens":0},"completion_tokens_details":{"reasoning_tokens":0,"audio_tokens":0,"accepted_prediction_tokens":0,"rejected_prediction_tokens":0}},"service_tier":"default","system_fingerprint":"fp_ad66631dec"}</t>
        </is>
      </c>
      <c r="M148"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ma=2592000","apim-request-id":"f6fcba00-9d10-49e9-a1e4-b81b8e277946","azureml-model-session":"d20260402075109-1fc5a0ec","cache-control":"no-cache, no-store, must-revalidate","connection":"close","content-length":"1000","content-security-policy":"frame-ancestors 'self'","content-type":"application/json","date":"Mon, 20 Apr 2026 04:30:37 GMT","server":"nginx","skip-error-remapping":"true","strict-transport-security":"max-age=31536000; includeSubDomains; preload","via":"1.1 Caddy, 1.1 Caddy","x-api-request-id":"20260420123034864639892RykV7skd","x-content-type-options":"nosniff","x-frame-options":"SAMEORIGIN","x-ms-is-spilled-over":"false","x-ms-rai-invoked":"false","x-ms-region":"East US 2","x-new-api-version":"0.4.39","x-oneapi-request-id":"202604200430347964167218268d9d6pR4VyXtf","x-ratelimit-abusepenalty-active":"False","x-ratelimit-limit-requests":"4994","x-ratelimit-limit-tokens":"4994000","x-ratelimit-remaining-requests":"4993","x-ratelimit-remaining-tokens":"4992324","x-ratelimit-renewalperiod-requests":"60","x-ratelimit-renewalperiod-tokens":"60","x-ratelimit-reset-requests":"12","x-ratelimit-reset-tokens":"20","x-request-id":"8d000cd0-259c-4098-93bd-5530cf559c65"}</t>
        </is>
      </c>
      <c r="N148" t="inlineStr">
        <is>
          <t>Brand X Minimalist Series white cotton T-shirt features soft, breathable fabric with black-white barcode and beige graphic print, delivering a modern unisex streetwear look for casual urban style.</t>
        </is>
      </c>
      <c r="O148" t="inlineStr">
        <is>
          <t>{"choices":[{"finish_reason":"stop","index":0,"logprobs":null,"message":{"annotations":[],"content":"Antecbumbers Bear, T-Shirts, kakobuy, kakebuy2026, kekobuysheet, kakobuysheet2026, 2026kakobuy, kakobuyspreadsheeet, kakobuylink, kakebuylist, Kakobuy MEGA Spreadsheet, kakobuysheetfind, kakobuysheetfind2026, 2026kakobuysheetfind, kakobuysheet2026","refusal":null,"role":"assistant"}}],"created":1776668073,"id":"chatcmpl-DWcobIkElK9CwHY2cP1ruZDbCoZpA","model":"gpt-5-chat-latest","object":"chat.completion","service_tier":"default","system_fingerprint":"fp_ad66631dec","usage":{"completion_tokens":94,"completion_tokens_details":{"accepted_prediction_tokens":0,"audio_tokens":0,"reasoning_tokens":0,"rejected_prediction_tokens":0},"prompt_tokens":782,"prompt_tokens_details":{"audio_tokens":0,"cached_tokens":0},"total_tokens":876}}</t>
        </is>
      </c>
      <c r="P148" t="inlineStr">
        <is>
          <t>Antecbumbers Bear, T-Shirts, kakobuy, kakebuy2026, kekobuysheet, kakobuysheet2026, 2026kakobuy, kakobuyspreadsheeet, kakobuylink, kakebuylist, Kakobuy MEGA Spreadsheet, kakobuysheetfind, kakobuysheetfind2026, 2026kakobuysheetfind, kakobuysheet2026</t>
        </is>
      </c>
      <c r="Q148" t="inlineStr">
        <is>
          <t>Minimalist, White, Unisex, Streetwear, Casual Shoes</t>
        </is>
      </c>
      <c r="R148" t="inlineStr">
        <is>
          <t>recvh6xFVjZgcW</t>
        </is>
      </c>
      <c r="S148" t="inlineStr">
        <is>
          <t>brand-x-minimalist-white-barcode-graphic-t-shirt-recvh6xfvjzg</t>
        </is>
      </c>
      <c r="T148"/>
      <c r="U148"/>
      <c r="V148"/>
      <c r="W148" t="inlineStr">
        <is>
          <t>{"id":"chatcmpl-DWZQ3j4eLeHjoFJ6dgvHY9rmjQcyr","object":"chat.completion","created":1776655019,"model":"gpt-5-chat-latest","choices":[{"index":0,"message":{"role":"assistant","content":"极简系列白色短袖T恤，甄选纯棉面料柔软透气，胸前拼接黑白条形码与米色图形印花设计，呈现现代极简艺术风格，男女皆宜，休闲时尚百搭，彰显都市轻潮美学。","refusal":null,"annotations":[]},"logprobs":null,"finish_reason":"stop"}],"usage":{"prompt_tokens":1329,"completion_tokens":71,"total_tokens":1400,"prompt_tokens_details":{"cached_tokens":0,"audio_tokens":0},"completion_tokens_details":{"reasoning_tokens":0,"audio_tokens":0,"accepted_prediction_tokens":0,"rejected_prediction_tokens":0}},"service_tier":"default","system_fingerprint":"fp_ad66631dec"}</t>
        </is>
      </c>
      <c r="X148" t="inlineStr">
        <is>
          <t>极简系列白色短袖T恤，甄选纯棉面料柔软透气，胸前拼接黑白条形码与米色图形印花设计，呈现现代极简艺术风格，男女皆宜，休闲时尚百搭，彰显都市轻潮美学。</t>
        </is>
      </c>
    </row>
    <row r="149" ht="25.5" customHeight="1">
      <c r="A149">
        <v>1839115443</v>
      </c>
      <c r="B149">
        <v>7693085989</v>
      </c>
      <c r="C149" t="inlineStr">
        <is>
          <t>https://weidian.com/item.html?itemID=7693085989</t>
        </is>
      </c>
      <c r="D149"/>
      <c r="E149" s="2" t="str">
        <f>=HYPERLINK("https://si.geilicdn.com/open1839115443-252808396-1a2a0000019c50c0e1660aa08676_800_800.jpg?w=750&amp;h=750&amp;cp=1", "https://si.geilicdn.com/open1839115443-252808396-1a2a0000019c50c0e1660aa08676_800_800.jpg?w=750&amp;h=750&amp;cp=1")</f>
        <v>https://si.geilicdn.com/open1839115443-252808396-1a2a0000019c50c0e1660aa08676_800_800.jpg?w=750&amp;h=750&amp;cp=1</v>
      </c>
      <c r="F149" t="inlineStr">
        <is>
          <t>T-Shirts</t>
        </is>
      </c>
      <c r="G149" t="inlineStr">
        <is>
          <t>Other</t>
        </is>
      </c>
      <c r="H149" t="inlineStr">
        <is>
          <t>54.00</t>
        </is>
      </c>
      <c r="I149">
        <v>7.83</v>
      </c>
      <c r="J149" t="inlineStr">
        <is>
          <t>{"choices":[{"finish_reason":"stop","index":0,"logprobs":null,"message":{"annotations":[],"content":"Unisex White Star Print Cotton T-Shirt Streetwear","refusal":null,"role":"assistant"}}],"created":1776665953,"id":"chatcmpl-DWcGPabOnSAWQGY89ZhTrW6hrenAw","model":"gpt-5-chat-latest","object":"chat.completion","service_tier":"default","system_fingerprint":"fp_ad66631dec","usage":{"completion_tokens":11,"completion_tokens_details":{"accepted_prediction_tokens":0,"audio_tokens":0,"reasoning_tokens":0,"rejected_prediction_tokens":0},"prompt_tokens":869,"prompt_tokens_details":{"audio_tokens":0,"cached_tokens":0},"total_tokens":880}}</t>
        </is>
      </c>
      <c r="K149" t="inlineStr">
        <is>
          <t>Unisex White Star Print Cotton T-Shirt Streetwear</t>
        </is>
      </c>
      <c r="L149" t="inlineStr">
        <is>
          <t>{"id":"chatcmpl-DWaM1SBdrL7BXuVzaU8ctxZ2EVIiu","object":"chat.completion","created":1776658613,"model":"gpt-5-chat-latest","choices":[{"index":0,"message":{"role":"assistant","content":"T-ShirtsOther minimalist white T-shirt with black star emblem print, soft cotton fabric, relaxed fit for men and women, futuristic casual streetwear with modern clean style.","refusal":null,"annotations":[]},"logprobs":null,"finish_reason":"stop"}],"usage":{"prompt_tokens":911,"completion_tokens":34,"total_tokens":945,"prompt_tokens_details":{"cached_tokens":0,"audio_tokens":0},"completion_tokens_details":{"reasoning_tokens":0,"audio_tokens":0,"accepted_prediction_tokens":0,"rejected_prediction_tokens":0}},"service_tier":"default","system_fingerprint":"fp_ad66631dec"}</t>
        </is>
      </c>
      <c r="M149"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ma=2592000","apim-request-id":"a91a3122-4e76-47df-a39a-8788b38fed83","azureml-model-session":"d20260402075109-1fc5a0ec","cache-control":"no-cache, no-store, must-revalidate","connection":"close","content-length":"977","content-security-policy":"frame-ancestors 'self'","content-type":"application/json","date":"Mon, 20 Apr 2026 04:16:55 GMT","server":"nginx","skip-error-remapping":"true","strict-transport-security":"max-age=31536000; includeSubDomains; preload","via":"1.1 Caddy, 1.1 Caddy","x-api-request-id":"20260420121651324419568RdqygmGh","x-content-type-options":"nosniff","x-frame-options":"SAMEORIGIN","x-ms-is-spilled-over":"false","x-ms-rai-invoked":"false","x-ms-region":"Sweden Central","x-new-api-version":"0.4.39","x-oneapi-request-id":"202604200416512570999858268d9d6qPV62gEq","x-ratelimit-abusepenalty-active":"False","x-ratelimit-limit-requests":"4993","x-ratelimit-limit-tokens":"4993000","x-ratelimit-remaining-requests":"4992","x-ratelimit-remaining-tokens":"4991327","x-ratelimit-renewalperiod-requests":"60","x-ratelimit-renewalperiod-tokens":"60","x-ratelimit-reset-requests":"12","x-ratelimit-reset-tokens":"20","x-request-id":"b26ae144-ddf8-4dfd-87ff-7ef89d034b76"}</t>
        </is>
      </c>
      <c r="N149" t="inlineStr">
        <is>
          <t>T-ShirtsOther minimalist white T-shirt with black star emblem print, soft cotton fabric, relaxed fit for men and women, futuristic casual streetwear with modern clean style.</t>
        </is>
      </c>
      <c r="O149" t="inlineStr">
        <is>
          <t>{"choices":[{"finish_reason":"stop","index":0,"logprobs":null,"message":{"annotations":[],"content":"Givenchy,T-Shirts,kakobuy,kakebuy2026,kekobuysheet,kakobuysheet2026,2026kakobuy,kakobuyspreadsheeet,kakobuylink,kakebuylist,Kakobuy MEGA Spreadsheet,kakobuysheetfind,kakobuysheetfind2026,2026kakobuysheetfind,kakobuysheet2026","refusal":null,"role":"assistant"}}],"created":1776668204,"id":"chatcmpl-DWcqine3sQB8sGzClLPLfqLyxetq7","model":"gpt-5-chat-latest","object":"chat.completion","service_tier":"default","system_fingerprint":"fp_ad66631dec","usage":{"completion_tokens":87,"completion_tokens_details":{"accepted_prediction_tokens":0,"audio_tokens":0,"reasoning_tokens":0,"rejected_prediction_tokens":0},"prompt_tokens":782,"prompt_tokens_details":{"audio_tokens":0,"cached_tokens":0},"total_tokens":869}}</t>
        </is>
      </c>
      <c r="P149" t="inlineStr">
        <is>
          <t>Givenchy,T-Shirts,kakobuy,kakebuy2026,kekobuysheet,kakobuysheet2026,2026kakobuy,kakobuyspreadsheeet,kakobuylink,kakebuylist,Kakobuy MEGA Spreadsheet,kakobuysheetfind,kakobuysheetfind2026,2026kakobuysheetfind,kakobuysheet2026</t>
        </is>
      </c>
      <c r="Q149" t="inlineStr">
        <is>
          <t>Minimalist, White, Streetwear, Modern, Unisex</t>
        </is>
      </c>
      <c r="R149" t="inlineStr">
        <is>
          <t>recvh6xFVjhpzx</t>
        </is>
      </c>
      <c r="S149" t="inlineStr">
        <is>
          <t>white-star-print-cotton-tshirt-recvh6xfvjhpzx</t>
        </is>
      </c>
      <c r="T149"/>
      <c r="U149"/>
      <c r="V149"/>
      <c r="W149" t="inlineStr">
        <is>
          <t>{"choices":[{"finish_reason":"stop","index":0,"logprobs":null,"message":{"annotations":[],"content":"极简白色星徽印花短袖T恤，柔软纯棉材质，版型宽松舒适，胸前点缀黑色星型图腾，展现未来感极简风格，男女皆宜，日常休闲与街头穿搭兼具时尚格调。","refusal":null,"role":"assistant"}}],"created":1776655185,"id":"chatcmpl-DWZSjLqJBVsgXBBsLEd79ALz8ZgA9","model":"gpt-5-chat-latest","object":"chat.completion","service_tier":"default","system_fingerprint":"fp_ad66631dec","usage":{"completion_tokens":71,"completion_tokens_details":{"accepted_prediction_tokens":0,"audio_tokens":0,"reasoning_tokens":0,"rejected_prediction_tokens":0},"prompt_tokens":1323,"prompt_tokens_details":{"audio_tokens":0,"cached_tokens":0},"total_tokens":1394}}</t>
        </is>
      </c>
      <c r="X149" t="inlineStr">
        <is>
          <t>极简白色星徽印花短袖T恤，柔软纯棉材质，版型宽松舒适，胸前点缀黑色星型图腾，展现未来感极简风格，男女皆宜，日常休闲与街头穿搭兼具时尚格调。</t>
        </is>
      </c>
    </row>
    <row r="150" ht="25.5" customHeight="1">
      <c r="A150">
        <v>1839115443</v>
      </c>
      <c r="B150">
        <v>7693060413</v>
      </c>
      <c r="C150" t="inlineStr">
        <is>
          <t>https://weidian.com/item.html?itemID=7693060413</t>
        </is>
      </c>
      <c r="D150"/>
      <c r="E150" s="2" t="str">
        <f>=HYPERLINK("https://si.geilicdn.com/open1839115443-252808396-242b0000019c50c0dc7c0a23b491_1000_1000.jpg?w=750&amp;h=750&amp;cp=1", "https://si.geilicdn.com/open1839115443-252808396-242b0000019c50c0dc7c0a23b491_1000_1000.jpg?w=750&amp;h=750&amp;cp=1")</f>
        <v>https://si.geilicdn.com/open1839115443-252808396-242b0000019c50c0dc7c0a23b491_1000_1000.jpg?w=750&amp;h=750&amp;cp=1</v>
      </c>
      <c r="F150" t="inlineStr">
        <is>
          <t>T-Shirts</t>
        </is>
      </c>
      <c r="G150" t="inlineStr">
        <is>
          <t>Other</t>
        </is>
      </c>
      <c r="H150" t="inlineStr">
        <is>
          <t>54.00</t>
        </is>
      </c>
      <c r="I150">
        <v>7.83</v>
      </c>
      <c r="J150" t="inlineStr">
        <is>
          <t>{"choices":[{"finish_reason":"stop","index":0,"logprobs":null,"message":{"annotations":[],"content":"White Knight Splash Horse Print Cotton T-Shirt","refusal":null,"role":"assistant"}}],"created":1776665716,"id":"chatcmpl-DWcCagYgOJuPUPYp0pKn0uooxiEok","model":"gpt-5-chat-latest","object":"chat.completion","service_tier":"default","system_fingerprint":"fp_ad66631dec","usage":{"completion_tokens":9,"completion_tokens_details":{"accepted_prediction_tokens":0,"audio_tokens":0,"reasoning_tokens":0,"rejected_prediction_tokens":0},"prompt_tokens":875,"prompt_tokens_details":{"audio_tokens":0,"cached_tokens":0},"total_tokens":884}}</t>
        </is>
      </c>
      <c r="K150" t="inlineStr">
        <is>
          <t>White Knight Splash Horse Print Cotton T-Shirt</t>
        </is>
      </c>
      <c r="L150" t="inlineStr">
        <is>
          <t>{"id":"chatcmpl-DWaPPk5sjyQ3YjerhNfKk9VetCpF0","object":"chat.completion","created":1776658823,"model":"gpt-5-chat-latest","choices":[{"index":0,"message":{"role":"assistant","content":"Brand T-ShirtsOther White Knight Print Tee, made of premium cotton with soft breathable comfort. Features colorful splash knight &amp; horse design, unisex street style symbolizing power and freedom.","refusal":null,"annotations":[]},"logprobs":null,"finish_reason":"stop"}],"usage":{"prompt_tokens":935,"completion_tokens":37,"total_tokens":972,"prompt_tokens_details":{"cached_tokens":0,"audio_tokens":0},"completion_tokens_details":{"reasoning_tokens":0,"audio_tokens":0,"accepted_prediction_tokens":0,"rejected_prediction_tokens":0}},"service_tier":"default","system_fingerprint":"fp_ad66631dec"}</t>
        </is>
      </c>
      <c r="M150"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ma=2592000","apim-request-id":"72735829-49c1-4cb5-9506-5bd0b9092f98","azureml-model-session":"d20260405225800-40f19e54","cache-control":"no-cache, no-store, must-revalidate","connection":"close","content-length":"999","content-security-policy":"frame-ancestors 'self'","content-type":"application/json","date":"Mon, 20 Apr 2026 04:20:24 GMT","server":"Caddy","skip-error-remapping":"true","strict-transport-security":"max-age=31536000; includeSubDomains; preload","via":"1.1 Caddy","x-api-request-id":"20260420122021886062743g1b9jh7V","x-content-type-options":"nosniff","x-frame-options":"SAMEORIGIN","x-ms-is-spilled-over":"false","x-ms-rai-invoked":"false","x-ms-region":"East US 2","x-new-api-version":"0.4.39","x-oneapi-request-id":"202604200420218209310668268d9d6djbmSXMg","x-ratelimit-abusepenalty-active":"False","x-ratelimit-limit-requests":"4994","x-ratelimit-limit-tokens":"4994000","x-ratelimit-remaining-requests":"4993","x-ratelimit-remaining-tokens":"4992303","x-ratelimit-renewalperiod-requests":"60","x-ratelimit-renewalperiod-tokens":"60","x-ratelimit-reset-requests":"12","x-ratelimit-reset-tokens":"20","x-request-id":"a61184e4-d451-43ff-9be5-2c85a0a62559"}</t>
        </is>
      </c>
      <c r="N150" t="inlineStr">
        <is>
          <t>Brand T-ShirtsOther White Knight Print Tee, made of premium cotton with soft breathable comfort. Features colorful splash knight &amp; horse design, unisex street style symbolizing power and freedom.</t>
        </is>
      </c>
      <c r="O150" t="inlineStr">
        <is>
          <t>{"choices":[{"finish_reason":"stop","index":0,"logprobs":null,"message":{"annotations":[],"content":"Kakobuy, T-Shirts, kakobuy, kakebuy2026, kekobuysheet, kakobuysheet2026, 2026kakobuy, kakobuyspreadsheeet, kakobuylink, kakebuylist, Kakobuy MEGA Spreadsheet, kakobuysheetfind, kakobuysheetfind2026, 2026kakobuysheetfind, kakobuysheet2026","refusal":null,"role":"assistant"}}],"created":1776667854,"id":"chatcmpl-DWcl4OoVIemlMg02vW1slpsVX4N6i","model":"gpt-5-chat-latest","object":"chat.completion","service_tier":"default","system_fingerprint":"fp_ad66631dec","usage":{"completion_tokens":94,"completion_tokens_details":{"accepted_prediction_tokens":0,"audio_tokens":0,"reasoning_tokens":0,"rejected_prediction_tokens":0},"prompt_tokens":782,"prompt_tokens_details":{"audio_tokens":0,"cached_tokens":0},"total_tokens":876}}</t>
        </is>
      </c>
      <c r="P150" t="inlineStr">
        <is>
          <t>Kakobuy, T-Shirts, kakobuy, kakebuy2026, kekobuysheet, kakobuysheet2026, 2026kakobuy, kakobuyspreadsheeet, kakobuylink, kakebuylist, Kakobuy MEGA Spreadsheet, kakobuysheetfind, kakobuysheetfind2026, 2026kakobuysheetfind, kakobuysheet2026</t>
        </is>
      </c>
      <c r="Q150" t="inlineStr">
        <is>
          <t>Unisex, Streetwear, Colorful</t>
        </is>
      </c>
      <c r="R150" t="inlineStr">
        <is>
          <t>recvh6xFVjUyWX</t>
        </is>
      </c>
      <c r="S150" t="inlineStr">
        <is>
          <t>white-knight-splash-horse-print-cotton-t-shirt-recvh6xfvjuywx</t>
        </is>
      </c>
      <c r="T150"/>
      <c r="U150"/>
      <c r="V150"/>
      <c r="W150" t="inlineStr">
        <is>
          <t>{"choices":[{"finish_reason":"stop","index":0,"logprobs":null,"message":{"annotations":[],"content":"白色骑士印花系列T恤，采用高品质纯棉材质，柔软透气触感舒适。正面呈现彩色泼墨骑士与战马图腾，艺术街头风格设计，彰显个性张力。中性休闲版型，适合男女通穿，时尚寓意力量与自由，日常穿搭轻松展现品味。","refusal":null,"role":"assistant"}}],"created":1776655785,"id":"chatcmpl-DWZcPTgPzjdJP1xdvGrXEkMuks6VG","model":"gpt-5-chat-latest","object":"chat.completion","service_tier":"default","system_fingerprint":"fp_ad66631dec","usage":{"completion_tokens":93,"completion_tokens_details":{"accepted_prediction_tokens":0,"audio_tokens":0,"reasoning_tokens":0,"rejected_prediction_tokens":0},"prompt_tokens":1327,"prompt_tokens_details":{"audio_tokens":0,"cached_tokens":0},"total_tokens":1420}}</t>
        </is>
      </c>
      <c r="X150" t="inlineStr">
        <is>
          <t>白色骑士印花系列T恤，采用高品质纯棉材质，柔软透气触感舒适。正面呈现彩色泼墨骑士与战马图腾，艺术街头风格设计，彰显个性张力。中性休闲版型，适合男女通穿，时尚寓意力量与自由，日常穿搭轻松展现品味。</t>
        </is>
      </c>
    </row>
    <row r="151" ht="25.5" customHeight="1">
      <c r="A151">
        <v>1839115443</v>
      </c>
      <c r="B151">
        <v>7693044683</v>
      </c>
      <c r="C151" t="inlineStr">
        <is>
          <t>https://weidian.com/item.html?itemID=7693044683</t>
        </is>
      </c>
      <c r="D151"/>
      <c r="E151" s="2" t="str">
        <f>=HYPERLINK("https://si.geilicdn.com/open1839115443-252808396-29500000019c50c0c7c70a22d249_800_800.jpg?w=750&amp;h=750&amp;cp=1", "https://si.geilicdn.com/open1839115443-252808396-29500000019c50c0c7c70a22d249_800_800.jpg?w=750&amp;h=750&amp;cp=1")</f>
        <v>https://si.geilicdn.com/open1839115443-252808396-29500000019c50c0c7c70a22d249_800_800.jpg?w=750&amp;h=750&amp;cp=1</v>
      </c>
      <c r="F151" t="inlineStr">
        <is>
          <t>T-Shirts</t>
        </is>
      </c>
      <c r="G151" t="inlineStr">
        <is>
          <t>Other</t>
        </is>
      </c>
      <c r="H151" t="inlineStr">
        <is>
          <t>68.00</t>
        </is>
      </c>
      <c r="I151">
        <v>9.85507246376811</v>
      </c>
      <c r="J151" t="inlineStr">
        <is>
          <t>{"choices":[{"finish_reason":"stop","index":0,"logprobs":null,"message":{"annotations":[],"content":"MOONISOPEN White Cotton Unisex Graphic Sweatshirt","refusal":null,"role":"assistant"}}],"created":1776666350,"id":"chatcmpl-DWcMoREGZqSnIccfReYmzciCDXhEg","model":"gpt-5-chat-latest","object":"chat.completion","service_tier":"default","system_fingerprint":"fp_ad66631dec","usage":{"completion_tokens":12,"completion_tokens_details":{"accepted_prediction_tokens":0,"audio_tokens":0,"reasoning_tokens":0,"rejected_prediction_tokens":0},"prompt_tokens":881,"prompt_tokens_details":{"audio_tokens":0,"cached_tokens":0},"total_tokens":893}}</t>
        </is>
      </c>
      <c r="K151" t="inlineStr">
        <is>
          <t>MOONISOPEN White Cotton Unisex Graphic Sweatshirt</t>
        </is>
      </c>
      <c r="L151" t="inlineStr">
        <is>
          <t>{"choices":[{"finish_reason":"stop","index":0,"logprobs":null,"message":{"annotations":[],"content":"MOONISOPEN white cotton sweatshirt, soft and skin-friendly with hand-drawn moon graphic and artistic lettering. Loose unisex fit perfect for streetwear, casual urban fashion, and daily comfort.","refusal":null,"role":"assistant"}}],"created":1776659172,"id":"chatcmpl-DWaV2xEt6jddjHoqaBNuMeMU9ZIw0","model":"gpt-5-chat-latest","object":"chat.completion","service_tier":"default","system_fingerprint":"fp_ad66631dec","usage":{"completion_tokens":40,"completion_tokens_details":{"accepted_prediction_tokens":0,"audio_tokens":0,"reasoning_tokens":0,"rejected_prediction_tokens":0},"prompt_tokens":912,"prompt_tokens_details":{"audio_tokens":0,"cached_tokens":0},"total_tokens":952}}</t>
        </is>
      </c>
      <c r="M151" t="inlineStr">
        <is>
          <t>{"alt-svc":"h3=\":443\"; ma=2592000","apim-request-id":"61a22da1-a5c9-4203-9619-72220657c4f4","azureml-model-session":"d20260402083108-57a85543","cache-control":"no-cache","connection":"close","content-length":"781","content-security-policy":"frame-ancestors 'self'","content-type":"application/json","date":"Mon, 20 Apr 2026 04:26:13 GMT","server":"nginx","skip-error-remapping":"true","strict-transport-security":"max-age=31536000; includeSubDomains; preload","via":"1.1 Caddy, 1.1 Caddy","x-api-request-id":"20260420122611963720393vahe5oL9","x-content-type-options":"nosniff","x-frame-options":"SAMEORIGIN","x-ms-client-request-id":"Not-Set","x-ms-is-spilled-over":"false","x-ms-rai-invoked":"true","x-ms-region":"East US 2","x-new-api-version":"0.4.39","x-oneapi-request-id":"202604200426118977848738268d9d6Mpcy67PF","x-ratelimit-abusepenalty-active":"False","x-ratelimit-limit-requests":"3850","x-ratelimit-limit-tokens":"3850000","x-ratelimit-remaining-requests":"3849","x-ratelimit-remaining-tokens":"3848326","x-ratelimit-renewalperiod-requests":"60","x-ratelimit-renewalperiod-tokens":"60","x-ratelimit-reset-requests":"15","x-ratelimit-reset-tokens":"26","x-request-id":"5f484a98-ae0c-469b-a68c-dafb5a95ee6b"}</t>
        </is>
      </c>
      <c r="N151" t="inlineStr">
        <is>
          <t>MOONISOPEN white cotton sweatshirt, soft and skin-friendly with hand-drawn moon graphic and artistic lettering. Loose unisex fit perfect for streetwear, casual urban fashion, and daily comfort.</t>
        </is>
      </c>
      <c r="O151" t="inlineStr">
        <is>
          <t>{"choices":[{"finish_reason":"stop","index":0,"logprobs":null,"message":{"annotations":[],"content":"MOONISOPEN,T-Shirts,kakobuy,kakebuy2026,kekobuysheet,kakobuysheet2026,2026kakobuy,kakobuyspreadsheeet,kakobuylink,kakebuylist,Kakobuy MEGA Spreadsheet,kakobuysheetfind,kakobuysheetfind2026,2026kakobuysheetfind,kakobuysheet2026","refusal":null,"role":"assistant"}}],"created":1776667170,"id":"chatcmpl-DWca26Y1tuowiTin0Qx5gglufrwci","model":"gpt-5-chat-latest","object":"chat.completion","service_tier":"default","system_fingerprint":"fp_ad66631dec","usage":{"completion_tokens":89,"completion_tokens_details":{"accepted_prediction_tokens":0,"audio_tokens":0,"reasoning_tokens":0,"rejected_prediction_tokens":0},"prompt_tokens":782,"prompt_tokens_details":{"audio_tokens":0,"cached_tokens":0},"total_tokens":871}}</t>
        </is>
      </c>
      <c r="P151" t="inlineStr">
        <is>
          <t>MOONISOPEN,T-Shirts,kakobuy,kakebuy2026,kekobuysheet,kakobuysheet2026,2026kakobuy,kakobuyspreadsheeet,kakobuylink,kakebuylist,Kakobuy MEGA Spreadsheet,kakobuysheetfind,kakobuysheetfind2026,2026kakobuysheetfind,kakobuysheet2026</t>
        </is>
      </c>
      <c r="Q151" t="inlineStr">
        <is>
          <t>White, Unisex, Streetwear, Comfort</t>
        </is>
      </c>
      <c r="R151" t="inlineStr">
        <is>
          <t>recvh6xFVjlZri</t>
        </is>
      </c>
      <c r="S151" t="inlineStr">
        <is>
          <t>moonisopen-white-cotton-graphic-sweatshirt-recvh6xfvjlzri</t>
        </is>
      </c>
      <c r="T151"/>
      <c r="U151"/>
      <c r="V151"/>
      <c r="W151" t="inlineStr">
        <is>
          <t>{"id":"chatcmpl-DWZRQuIh0usZhgxLqYag0YDh9hYNd","object":"chat.completion","created":1776655104,"model":"gpt-5-chat-latest","choices":[{"index":0,"message":{"role":"assistant","content":"白色休闲卫衣，柔软亲肤棉质面料，背部彩绘手绘风月球图腾与英文标识“MOONISOPEN”，展现潮流街头艺术感。宽松版型设计舒适百搭，男女皆宜，适合都市休闲与个性穿搭。","refusal":null,"annotations":[]},"logprobs":null,"finish_reason":"stop"}],"usage":{"prompt_tokens":1321,"completion_tokens":73,"total_tokens":1394,"prompt_tokens_details":{"cached_tokens":1280,"audio_tokens":0},"completion_tokens_details":{"reasoning_tokens":0,"audio_tokens":0,"accepted_prediction_tokens":0,"rejected_prediction_tokens":0}},"service_tier":"default","system_fingerprint":"fp_ad66631dec"}</t>
        </is>
      </c>
      <c r="X151" t="inlineStr">
        <is>
          <t>白色休闲卫衣，柔软亲肤棉质面料，背部彩绘手绘风月球图腾与英文标识“MOONISOPEN”，展现潮流街头艺术感。宽松版型设计舒适百搭，男女皆宜，适合都市休闲与个性穿搭。</t>
        </is>
      </c>
    </row>
    <row r="152" ht="25.5" customHeight="1">
      <c r="A152">
        <v>1839115443</v>
      </c>
      <c r="B152">
        <v>7696004934</v>
      </c>
      <c r="C152" t="inlineStr">
        <is>
          <t>https://weidian.com/item.html?itemID=7696004934</t>
        </is>
      </c>
      <c r="D152"/>
      <c r="E152" s="2" t="str">
        <f>=HYPERLINK("https://si.geilicdn.com/open1839115443-252808396-0e7c0000019c50bf23c00a8115c2_800_800.jpg?w=750&amp;h=750&amp;cp=1", "https://si.geilicdn.com/open1839115443-252808396-0e7c0000019c50bf23c00a8115c2_800_800.jpg?w=750&amp;h=750&amp;cp=1")</f>
        <v>https://si.geilicdn.com/open1839115443-252808396-0e7c0000019c50bf23c00a8115c2_800_800.jpg?w=750&amp;h=750&amp;cp=1</v>
      </c>
      <c r="F152" t="inlineStr">
        <is>
          <t>Hoodies</t>
        </is>
      </c>
      <c r="G152" t="inlineStr">
        <is>
          <t>Other</t>
        </is>
      </c>
      <c r="H152" t="inlineStr">
        <is>
          <t>80.00</t>
        </is>
      </c>
      <c r="I152">
        <v>11.59</v>
      </c>
      <c r="J152" t="inlineStr">
        <is>
          <t>{"id":"chatcmpl-DWcUgHpsmiiXjTjCMgOoFHyewCUAC","object":"chat.completion","created":1776666838,"model":"gpt-5-chat-latest","choices":[{"index":0,"message":{"role":"assistant","content":"HoodiesOther White Totem Print Streetwear Hoodie","refusal":null,"annotations":[]},"logprobs":null,"finish_reason":"stop"}],"usage":{"prompt_tokens":886,"completion_tokens":12,"total_tokens":898,"prompt_tokens_details":{"cached_tokens":0,"audio_tokens":0},"completion_tokens_details":{"reasoning_tokens":0,"audio_tokens":0,"accepted_prediction_tokens":0,"rejected_prediction_tokens":0}},"service_tier":"default","system_fingerprint":"fp_ad66631dec"}</t>
        </is>
      </c>
      <c r="K152" t="inlineStr">
        <is>
          <t>HoodiesOther White Totem Print Streetwear Hoodie</t>
        </is>
      </c>
      <c r="L152" t="inlineStr">
        <is>
          <t>{"choices":[{"finish_reason":"stop","index":0,"logprobs":null,"message":{"annotations":[],"content":"HoodiesOther White Graphic Hoodie – Unisex streetwear style with bold black-and-white letter print and totem design. Soft breathable cotton, loose casual fit, perfect for daily wear and urban fashion.","refusal":null,"role":"assistant"}}],"created":1776659158,"id":"chatcmpl-DWaUoaC2UxdRladRi4EImiVSRcTLd","model":"gpt-5-chat-latest","object":"chat.completion","service_tier":"default","system_fingerprint":"fp_ad66631dec","usage":{"completion_tokens":42,"completion_tokens_details":{"accepted_prediction_tokens":0,"audio_tokens":0,"reasoning_tokens":0,"rejected_prediction_tokens":0},"prompt_tokens":910,"prompt_tokens_details":{"audio_tokens":0,"cached_tokens":0},"total_tokens":952}}</t>
        </is>
      </c>
      <c r="M152" t="inlineStr">
        <is>
          <t>{"alt-svc":"h3=\":443\"; ma=2592000","apim-request-id":"7d468755-9f59-4938-b823-22433109ee6e","azureml-model-session":"d20260402074105-51db401e","cache-control":"no-cache","connection":"close","content-length":"790","content-security-policy":"frame-ancestors 'self'","content-type":"application/json","date":"Mon, 20 Apr 2026 04:25:59 GMT","server":"nginx","skip-error-remapping":"true","strict-transport-security":"max-age=31536000; includeSubDomains; preload","via":"1.1 Caddy, 1.1 Caddy","x-api-request-id":"20260420122557669495506NNEVHOjv","x-content-type-options":"nosniff","x-frame-options":"SAMEORIGIN","x-ms-client-request-id":"Not-Set","x-ms-is-spilled-over":"false","x-ms-rai-invoked":"true","x-ms-region":"East US 2","x-new-api-version":"0.4.39","x-oneapi-request-id":"202604200425575853409208268d9d6VW5Takaq","x-ratelimit-abusepenalty-active":"False","x-ratelimit-limit-requests":"3850","x-ratelimit-limit-tokens":"3850000","x-ratelimit-remaining-requests":"3849","x-ratelimit-remaining-tokens":"3848328","x-ratelimit-renewalperiod-requests":"60","x-ratelimit-renewalperiod-tokens":"60","x-ratelimit-reset-requests":"15","x-ratelimit-reset-tokens":"26","x-request-id":"d79f203a-b934-442a-b127-d9a7deb28358"}</t>
        </is>
      </c>
      <c r="N152" t="inlineStr">
        <is>
          <t>HoodiesOther White Graphic Hoodie – Unisex streetwear style with bold black-and-white letter print and totem design. Soft breathable cotton, loose casual fit, perfect for daily wear and urban fashion.</t>
        </is>
      </c>
      <c r="O152" t="inlineStr">
        <is>
          <t>{"choices":[{"finish_reason":"stop","index":0,"logprobs":null,"message":{"annotations":[],"content":"K,hoddies,kakobuy,kakebuy2026,kekobuysheet,kakobuysheet2026,2026kakobuy,kakobuyspreadsheeet,kakobuylink,kakebuylist,Kakobuy MEGA Spreadsheet,kakobuysheetfind,kakobuysheetfind2026,2026kakobuysheetfind,kakobuysheet2026","refusal":null,"role":"assistant"}}],"created":1776667439,"id":"chatcmpl-DWceN7go1oArlk4WAtaLIzBoUGThq","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P152" t="inlineStr">
        <is>
          <t>K,hoddies,kakobuy,kakebuy2026,kekobuysheet,kakobuysheet2026,2026kakobuy,kakobuyspreadsheeet,kakobuylink,kakebuylist,Kakobuy MEGA Spreadsheet,kakobuysheetfind,kakobuysheetfind2026,2026kakobuysheetfind,kakobuysheet2026</t>
        </is>
      </c>
      <c r="Q152" t="inlineStr">
        <is>
          <t>Unisex, Streetwear, White</t>
        </is>
      </c>
      <c r="R152" t="inlineStr">
        <is>
          <t>recvh6xFVjJJAn</t>
        </is>
      </c>
      <c r="S152" t="inlineStr">
        <is>
          <t>hoodiesother-white-totem-print-streetwear-hoodie-recvh6xFVjJJAn</t>
        </is>
      </c>
      <c r="T152"/>
      <c r="U152"/>
      <c r="V152"/>
      <c r="W152" t="inlineStr">
        <is>
          <t>{"choices":[{"finish_reason":"stop","index":0,"logprobs":null,"message":{"annotations":[],"content":"白色印花连帽卫衣，宽松休闲版型，柔软棉质面料舒适透气，背面黑白字母与花纹图腾设计彰显街头潮流态度，男女通用款，适合日常休闲与都市时尚穿搭。","refusal":null,"role":"assistant"}}],"created":1776655054,"id":"chatcmpl-DWZQctVFgkJQMNY3wHuO1uiJ7XPSO","model":"gpt-5-chat-latest","object":"chat.completion","service_tier":"default","system_fingerprint":"fp_ad66631dec","usage":{"completion_tokens":68,"completion_tokens_details":{"accepted_prediction_tokens":0,"audio_tokens":0,"reasoning_tokens":0,"rejected_prediction_tokens":0},"prompt_tokens":1326,"prompt_tokens_details":{"audio_tokens":0,"cached_tokens":0},"total_tokens":1394}}</t>
        </is>
      </c>
      <c r="X152" t="inlineStr">
        <is>
          <t>白色印花连帽卫衣，宽松休闲版型，柔软棉质面料舒适透气，背面黑白字母与花纹图腾设计彰显街头潮流态度，男女通用款，适合日常休闲与都市时尚穿搭。</t>
        </is>
      </c>
    </row>
    <row r="153" ht="25.5" customHeight="1">
      <c r="A153">
        <v>1839115443</v>
      </c>
      <c r="B153">
        <v>7693101661</v>
      </c>
      <c r="C153" t="inlineStr">
        <is>
          <t>https://weidian.com/item.html?itemID=7693101661</t>
        </is>
      </c>
      <c r="D153"/>
      <c r="E153" s="2" t="str">
        <f>=HYPERLINK("https://si.geilicdn.com/open1839115443-252808396-0e320000019c50bdfefa0a8115c2_800_800.jpg?w=750&amp;h=750&amp;cp=1", "https://si.geilicdn.com/open1839115443-252808396-0e320000019c50bdfefa0a8115c2_800_800.jpg?w=750&amp;h=750&amp;cp=1")</f>
        <v>https://si.geilicdn.com/open1839115443-252808396-0e320000019c50bdfefa0a8115c2_800_800.jpg?w=750&amp;h=750&amp;cp=1</v>
      </c>
      <c r="F153" t="inlineStr">
        <is>
          <t>Hoodies</t>
        </is>
      </c>
      <c r="G153" t="inlineStr">
        <is>
          <t>Other</t>
        </is>
      </c>
      <c r="H153" t="inlineStr">
        <is>
          <t>80.00</t>
        </is>
      </c>
      <c r="I153">
        <v>11.59</v>
      </c>
      <c r="J153" t="inlineStr">
        <is>
          <t>{"id":"chatcmpl-DWcNYzw8yVgVSIWXW5nKw5HXrVWr2","object":"chat.completion","created":1776666396,"model":"gpt-5-chat-latest","choices":[{"index":0,"message":{"role":"assistant","content":"HoodiesOther Motorcycle Series White Biker Graphic Hoodie","refusal":null,"annotations":[]},"logprobs":null,"finish_reason":"stop"}],"usage":{"prompt_tokens":880,"completion_tokens":12,"total_tokens":892,"prompt_tokens_details":{"cached_tokens":0,"audio_tokens":0},"completion_tokens_details":{"reasoning_tokens":0,"audio_tokens":0,"accepted_prediction_tokens":0,"rejected_prediction_tokens":0}},"service_tier":"default","system_fingerprint":"fp_ad66631dec"}</t>
        </is>
      </c>
      <c r="K153" t="inlineStr">
        <is>
          <t>HoodiesOther Motorcycle Series White Biker Graphic Hoodie</t>
        </is>
      </c>
      <c r="L153" t="inlineStr">
        <is>
          <t>{"id":"chatcmpl-DWaOdpgbs2mE6OBYyIfYwL02uqGwv","object":"chat.completion","created":1776658775,"model":"gpt-5-chat-latest","choices":[{"index":0,"message":{"role":"assistant","content":"HoodiesOther Motorcycle Series White Cotton Hoodie combines comfort and style with a biker graphic symbolizing freedom and speed. Unisex loose fit with drawstring design, perfect for casual street fashion.","refusal":null,"annotations":[]},"logprobs":null,"finish_reason":"stop"}],"usage":{"prompt_tokens":929,"completion_tokens":39,"total_tokens":968,"prompt_tokens_details":{"cached_tokens":0,"audio_tokens":0},"completion_tokens_details":{"reasoning_tokens":0,"audio_tokens":0,"accepted_prediction_tokens":0,"rejected_prediction_tokens":0}},"service_tier":"default","system_fingerprint":"fp_ad66631dec"}</t>
        </is>
      </c>
      <c r="M153"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ma=2592000","apim-request-id":"f810b603-e302-4cd9-a33c-79ac27697351","azureml-model-session":"d20260402083108-57a85543","cache-control":"no-cache, no-store, must-revalidate","connection":"close","content-length":"1009","content-security-policy":"frame-ancestors 'self'","content-type":"application/json","date":"Mon, 20 Apr 2026 04:19:37 GMT","server":"nginx","skip-error-remapping":"true","strict-transport-security":"max-age=31536000; includeSubDomains; preload","via":"1.1 Caddy, 1.1 Caddy","x-api-request-id":"20260420121934492697849haPraP21","x-content-type-options":"nosniff","x-frame-options":"SAMEORIGIN","x-ms-is-spilled-over":"false","x-ms-rai-invoked":"false","x-ms-region":"East US 2","x-new-api-version":"0.4.39","x-oneapi-request-id":"202604200419344252790628268d9d6VqoNrcS8","x-ratelimit-abusepenalty-active":"False","x-ratelimit-limit-requests":"4994","x-ratelimit-limit-tokens":"4994000","x-ratelimit-remaining-requests":"4993","x-ratelimit-remaining-tokens":"4992309","x-ratelimit-renewalperiod-requests":"60","x-ratelimit-renewalperiod-tokens":"60","x-ratelimit-reset-requests":"12","x-ratelimit-reset-tokens":"20","x-request-id":"57b40c26-cdd0-4a02-acbf-9b638331b24a"}</t>
        </is>
      </c>
      <c r="N153" t="inlineStr">
        <is>
          <t>HoodiesOther Motorcycle Series White Cotton Hoodie combines comfort and style with a biker graphic symbolizing freedom and speed. Unisex loose fit with drawstring design, perfect for casual street fashion.</t>
        </is>
      </c>
      <c r="O153" t="inlineStr">
        <is>
          <t>{"choices":[{"finish_reason":"stop","index":0,"logprobs":null,"message":{"annotations":[],"content":"Aicocycle,Hoodies,kakobuy,kakebuy2026,kekobuysheet,kakobuysheet2026,2026kakobuy,kakobuyspreadsheeet,kakobuylink,kakebuylist,Kakobuy MEGA Spreadsheet,kakobuysheetfind,kakobuysheetfind2026,2026kakobuysheetfind,kakobuysheet2026","refusal":null,"role":"assistant"}}],"created":1776667374,"id":"chatcmpl-DWcdKHISm84nZTnk3vEWedZQeNuv8","model":"gpt-5-chat-latest","object":"chat.completion","service_tier":"default","system_fingerprint":"fp_ad66631dec","usage":{"completion_tokens":90,"completion_tokens_details":{"accepted_prediction_tokens":0,"audio_tokens":0,"reasoning_tokens":0,"rejected_prediction_tokens":0},"prompt_tokens":783,"prompt_tokens_details":{"audio_tokens":0,"cached_tokens":0},"total_tokens":873}}</t>
        </is>
      </c>
      <c r="P153" t="inlineStr">
        <is>
          <t>Aicocycle,Hoodies,kakobuy,kakebuy2026,kekobuysheet,kakobuysheet2026,2026kakobuy,kakobuyspreadsheeet,kakobuylink,kakebuylist,Kakobuy MEGA Spreadsheet,kakobuysheetfind,kakobuysheetfind2026,2026kakobuysheetfind,kakobuysheet2026</t>
        </is>
      </c>
      <c r="Q153" t="inlineStr">
        <is>
          <t>White, Streetwear, Unisex</t>
        </is>
      </c>
      <c r="R153" t="inlineStr">
        <is>
          <t>recvh6xFVjZCwk</t>
        </is>
      </c>
      <c r="S153" t="inlineStr">
        <is>
          <t>motorcycle-white-biker-graphic-hoodie-recvh6xFVjZCwk</t>
        </is>
      </c>
      <c r="T153"/>
      <c r="U153"/>
      <c r="V153"/>
      <c r="W153" t="inlineStr">
        <is>
          <t>{"id":"chatcmpl-DWZeURHvHRDEM0xxqV613yaJkuD1y","object":"chat.completion","created":1776655914,"model":"gpt-5-chat-latest","choices":[{"index":0,"message":{"role":"assistant","content":"摩托骑士系列白色连帽卫衣，采用柔软棉质面料，背部印有机车骑士潮流图腾，呈现自由与速度的街头精神。经典宽松版型搭配可调节抽绳设计，兼具舒适与个性，适合男女日常休闲穿搭，展现复古机车风格态度。","refusal":null,"annotations":[]},"logprobs":null,"finish_reason":"stop"}],"usage":{"prompt_tokens":1322,"completion_tokens":89,"total_tokens":1411,"prompt_tokens_details":{"cached_tokens":0,"audio_tokens":0},"completion_tokens_details":{"reasoning_tokens":0,"audio_tokens":0,"accepted_prediction_tokens":0,"rejected_prediction_tokens":0}},"service_tier":"default","system_fingerprint":"fp_ad66631dec"}</t>
        </is>
      </c>
      <c r="X153" t="inlineStr">
        <is>
          <t>摩托骑士系列白色连帽卫衣，采用柔软棉质面料，背部印有机车骑士潮流图腾，呈现自由与速度的街头精神。经典宽松版型搭配可调节抽绳设计，兼具舒适与个性，适合男女日常休闲穿搭，展现复古机车风格态度。</t>
        </is>
      </c>
    </row>
    <row r="154" ht="25.5" customHeight="1">
      <c r="A154">
        <v>1839115443</v>
      </c>
      <c r="B154">
        <v>7693082033</v>
      </c>
      <c r="C154" t="inlineStr">
        <is>
          <t>https://weidian.com/item.html?itemID=7693082033</t>
        </is>
      </c>
      <c r="D154"/>
      <c r="E154" s="2" t="str">
        <f>=HYPERLINK("https://si.geilicdn.com/open1839115443-252808396-28800000019c50bd91440a22d249_800_800.jpg?w=750&amp;h=750&amp;cp=1", "https://si.geilicdn.com/open1839115443-252808396-28800000019c50bd91440a22d249_800_800.jpg?w=750&amp;h=750&amp;cp=1")</f>
        <v>https://si.geilicdn.com/open1839115443-252808396-28800000019c50bd91440a22d249_800_800.jpg?w=750&amp;h=750&amp;cp=1</v>
      </c>
      <c r="F154" t="inlineStr">
        <is>
          <t>Hoodies</t>
        </is>
      </c>
      <c r="G154" t="inlineStr">
        <is>
          <t>Other</t>
        </is>
      </c>
      <c r="H154" t="inlineStr">
        <is>
          <t>80.00</t>
        </is>
      </c>
      <c r="I154">
        <v>11.59</v>
      </c>
      <c r="J154" t="inlineStr">
        <is>
          <t>{"choices":[{"finish_reason":"stop","index":0,"logprobs":null,"message":{"annotations":[],"content":"MAGONANIMOUS White Paisley Bear Unisex Streetwear Hoodie","refusal":null,"role":"assistant"}}],"created":1776666452,"id":"chatcmpl-DWcOSCu979kiDmpMRHL86t1KvauBy","model":"gpt-5-chat-latest","object":"chat.completion","service_tier":"default","system_fingerprint":"fp_ad66631dec","usage":{"completion_tokens":15,"completion_tokens_details":{"accepted_prediction_tokens":0,"audio_tokens":0,"reasoning_tokens":0,"rejected_prediction_tokens":0},"prompt_tokens":888,"prompt_tokens_details":{"audio_tokens":0,"cached_tokens":0},"total_tokens":903}}</t>
        </is>
      </c>
      <c r="K154" t="inlineStr">
        <is>
          <t>MAGONANIMOUS White Paisley Bear Unisex Streetwear Hoodie</t>
        </is>
      </c>
      <c r="L154" t="inlineStr">
        <is>
          <t>{"choices":[{"finish_reason":"stop","index":0,"logprobs":null,"message":{"annotations":[],"content":"MAGONANIMOUS White Streetwear Hoodie – Soft thick cotton, colorful paisley bear print on back, loose fit with drawstring hood and ribbed cuffs, unisex comfy style for casual urban fashion.","refusal":null,"role":"assistant"}}],"created":1776659028,"id":"chatcmpl-DWaSiSs02UzXYTcEl8p2U9mCQClTZ","model":"gpt-5-chat-latest","object":"chat.completion","service_tier":"default","system_fingerprint":"fp_ad66631dec","usage":{"completion_tokens":43,"completion_tokens_details":{"accepted_prediction_tokens":0,"audio_tokens":0,"reasoning_tokens":0,"rejected_prediction_tokens":0},"prompt_tokens":922,"prompt_tokens_details":{"audio_tokens":0,"cached_tokens":0},"total_tokens":965}}</t>
        </is>
      </c>
      <c r="M154" t="inlineStr">
        <is>
          <t>{"alt-svc":"h3=\":443\"; ma=2592000","apim-request-id":"1c692def-5a7d-4749-b5f0-96d36fb86f3c","azureml-model-session":"d20260405234249-f9874baf","cache-control":"no-cache","connection":"close","content-length":"778","content-security-policy":"frame-ancestors 'self'","content-type":"application/json","date":"Mon, 20 Apr 2026 04:23:49 GMT","server":"nginx","skip-error-remapping":"true","strict-transport-security":"max-age=31536000; includeSubDomains; preload","via":"1.1 Caddy, 1.1 Caddy","x-api-request-id":"2026042012234755201605330pOepmG","x-content-type-options":"nosniff","x-frame-options":"SAMEORIGIN","x-ms-client-request-id":"Not-Set","x-ms-is-spilled-over":"false","x-ms-rai-invoked":"true","x-ms-region":"East US 2","x-new-api-version":"0.4.39","x-oneapi-request-id":"202604200423474050978898268d9d6DMXbHpBW","x-ratelimit-abusepenalty-active":"False","x-ratelimit-limit-requests":"3850","x-ratelimit-limit-tokens":"3850000","x-ratelimit-remaining-requests":"3849","x-ratelimit-remaining-tokens":"3848316","x-ratelimit-renewalperiod-requests":"60","x-ratelimit-renewalperiod-tokens":"60","x-ratelimit-reset-requests":"15","x-ratelimit-reset-tokens":"26","x-request-id":"9e7e31a8-2503-406a-93be-c0a661777939"}</t>
        </is>
      </c>
      <c r="N154" t="inlineStr">
        <is>
          <t>MAGONANIMOUS White Streetwear Hoodie – Soft thick cotton, colorful paisley bear print on back, loose fit with drawstring hood and ribbed cuffs, unisex comfy style for casual urban fashion.</t>
        </is>
      </c>
      <c r="O154" t="inlineStr">
        <is>
          <t>{"id":"chatcmpl-DWca4bp1ZcYQozKFJXuL4yL6BRBRw","object":"chat.completion","created":1776667172,"model":"gpt-5-chat-latest","choices":[{"index":0,"message":{"role":"assistant","content":"Magnanimous,Hoodi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89,"total_tokens":872,"prompt_tokens_details":{"cached_tokens":0,"audio_tokens":0},"completion_tokens_details":{"reasoning_tokens":0,"audio_tokens":0,"accepted_prediction_tokens":0,"rejected_prediction_tokens":0}},"service_tier":"default","system_fingerprint":"fp_ad66631dec"}</t>
        </is>
      </c>
      <c r="P154" t="inlineStr">
        <is>
          <t>Magnanimous,Hoodies,kakobuy,kakebuy2026,kekobuysheet,kakobuysheet2026,2026kakobuy,kakobuyspreadsheeet,kakobuylink,kakebuylist,Kakobuy MEGA Spreadsheet,kakobuysheetfind,kakobuysheetfind2026,2026kakobuysheetfind,kakobuysheet2026</t>
        </is>
      </c>
      <c r="Q154" t="inlineStr">
        <is>
          <t>White, Streetwear, Unisex, Comfort</t>
        </is>
      </c>
      <c r="R154" t="inlineStr">
        <is>
          <t>recvh6xFVjOJfs</t>
        </is>
      </c>
      <c r="S154" t="inlineStr">
        <is>
          <t>magonanimoous-white-paisley-bear-hoodie-recvh6xFVjOJfs</t>
        </is>
      </c>
      <c r="T154"/>
      <c r="U154"/>
      <c r="V154"/>
      <c r="W154" t="inlineStr">
        <is>
          <t>{"choices":[{"finish_reason":"stop","index":0,"logprobs":null,"message":{"annotations":[],"content":"白色街头潮流系列连帽卫衣，柔软厚实棉质面料，背部多彩佩斯利小熊图腾印花，彰显个性设计感。宽松剪裁搭配抽绳帽兜与罗纹袖口，兼具舒适与保暖，男女皆宜，营造时尚休闲街头风格。","refusal":null,"role":"assistant"}}],"created":1776655747,"id":"chatcmpl-DWZbnsf8zLsuViLy3Nh5MiBNvKTdL","model":"gpt-5-chat-latest","object":"chat.completion","service_tier":"default","system_fingerprint":"fp_ad66631dec","usage":{"completion_tokens":85,"completion_tokens_details":{"accepted_prediction_tokens":0,"audio_tokens":0,"reasoning_tokens":0,"rejected_prediction_tokens":0},"prompt_tokens":1316,"prompt_tokens_details":{"audio_tokens":0,"cached_tokens":0},"total_tokens":1401}}</t>
        </is>
      </c>
      <c r="X154" t="inlineStr">
        <is>
          <t>白色街头潮流系列连帽卫衣，柔软厚实棉质面料，背部多彩佩斯利小熊图腾印花，彰显个性设计感。宽松剪裁搭配抽绳帽兜与罗纹袖口，兼具舒适与保暖，男女皆宜，营造时尚休闲街头风格。</t>
        </is>
      </c>
    </row>
    <row r="155" ht="25.5" customHeight="1">
      <c r="A155">
        <v>1839115443</v>
      </c>
      <c r="B155">
        <v>7695989064</v>
      </c>
      <c r="C155" t="inlineStr">
        <is>
          <t>https://weidian.com/item.html?itemID=7695989064</t>
        </is>
      </c>
      <c r="D155"/>
      <c r="E155" s="2" t="str">
        <f>=HYPERLINK("https://si.geilicdn.com/open1839115443-252808396-0f300000019c50bb86030a8133b0_800_800.jpg?w=750&amp;h=750&amp;cp=1", "https://si.geilicdn.com/open1839115443-252808396-0f300000019c50bb86030a8133b0_800_800.jpg?w=750&amp;h=750&amp;cp=1")</f>
        <v>https://si.geilicdn.com/open1839115443-252808396-0f300000019c50bb86030a8133b0_800_800.jpg?w=750&amp;h=750&amp;cp=1</v>
      </c>
      <c r="F155" t="inlineStr">
        <is>
          <t>T-Shirts</t>
        </is>
      </c>
      <c r="G155" t="inlineStr">
        <is>
          <t>Other</t>
        </is>
      </c>
      <c r="H155" t="inlineStr">
        <is>
          <t>54.00</t>
        </is>
      </c>
      <c r="I155">
        <v>7.83</v>
      </c>
      <c r="J155" t="inlineStr">
        <is>
          <t>{"choices":[{"finish_reason":"stop","index":0,"logprobs":null,"message":{"annotations":[],"content":"Minimalist Off-White Gothic Print Cotton T-Shirt","refusal":null,"role":"assistant"}}],"created":1776666802,"id":"chatcmpl-DWcU6lRcQXqxAZu5XdlK1dWjQSwre","model":"gpt-5-chat-latest","object":"chat.completion","service_tier":"default","system_fingerprint":"fp_ad66631dec","usage":{"completion_tokens":11,"completion_tokens_details":{"accepted_prediction_tokens":0,"audio_tokens":0,"reasoning_tokens":0,"rejected_prediction_tokens":0},"prompt_tokens":875,"prompt_tokens_details":{"audio_tokens":0,"cached_tokens":0},"total_tokens":886}}</t>
        </is>
      </c>
      <c r="K155" t="inlineStr">
        <is>
          <t>Minimalist Off-White Gothic Print Cotton T-Shirt</t>
        </is>
      </c>
      <c r="L155" t="inlineStr">
        <is>
          <t>{"choices":[{"finish_reason":"stop","index":0,"logprobs":null,"message":{"annotations":[],"content":"T-ShirtsOther Minimalist Series Off-White Cotton T-Shirt, soft fabric with round neck and black gothic print, unisex streetwear style, versatile and comfortable for casual fashion.","refusal":null,"role":"assistant"}}],"created":1776658235,"id":"chatcmpl-DWaFv20xKOe4LVAJKvFSNSBoOYcWp","model":"gpt-5-chat-latest","object":"chat.completion","service_tier":"default","system_fingerprint":"fp_ad66631dec","usage":{"completion_tokens":37,"completion_tokens_details":{"accepted_prediction_tokens":0,"audio_tokens":0,"reasoning_tokens":0,"rejected_prediction_tokens":0},"prompt_tokens":904,"prompt_tokens_details":{"audio_tokens":0,"cached_tokens":0},"total_tokens":941}}</t>
        </is>
      </c>
      <c r="M155" t="inlineStr">
        <is>
          <t>{"alt-svc":"h3=\":443\"; ma=2592000","apim-request-id":"1e7b1d59-8931-4b11-9643-9dc7ca59ef69","azureml-model-session":"d20260402083108-57a85543","cache-control":"no-cache","connection":"close","content-length":"768","content-security-policy":"frame-ancestors 'self'","content-type":"application/json","date":"Mon, 20 Apr 2026 04:10:37 GMT","server":"Caddy","skip-error-remapping":"true","strict-transport-security":"max-age=31536000; includeSubDomains; preload","via":"1.1 Caddy","x-api-request-id":"2026042012103547829160blWogQff","x-content-type-options":"nosniff","x-frame-options":"SAMEORIGIN","x-ms-client-request-id":"Not-Set","x-ms-is-spilled-over":"false","x-ms-rai-invoked":"true","x-ms-region":"East US 2","x-new-api-version":"0.4.39","x-oneapi-request-id":"202604200410349338176978268d9d6vNglQ5lR","x-ratelimit-abusepenalty-active":"False","x-ratelimit-limit-requests":"3850","x-ratelimit-limit-tokens":"3850000","x-ratelimit-remaining-requests":"3849","x-ratelimit-remaining-tokens":"3848334","x-ratelimit-renewalperiod-requests":"60","x-ratelimit-renewalperiod-tokens":"60","x-ratelimit-reset-requests":"15","x-ratelimit-reset-tokens":"25","x-request-id":"52b3d6ce-132c-47e9-8b57-4047019597c5"}</t>
        </is>
      </c>
      <c r="N155" t="inlineStr">
        <is>
          <t>T-ShirtsOther Minimalist Series Off-White Cotton T-Shirt, soft fabric with round neck and black gothic print, unisex streetwear style, versatile and comfortable for casual fashion.</t>
        </is>
      </c>
      <c r="O155" t="inlineStr">
        <is>
          <t>{"id":"chatcmpl-DWcf1i6SWkvv5RdSlue1h9ZqH5jiw","object":"chat.completion","created":1776667479,"model":"gpt-5-chat-latest","choices":[{"index":0,"message":{"role":"assistant","content":"The Greatest Distance, T-Shirts,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93,"total_tokens":875,"prompt_tokens_details":{"cached_tokens":0,"audio_tokens":0},"completion_tokens_details":{"reasoning_tokens":0,"audio_tokens":0,"accepted_prediction_tokens":0,"rejected_prediction_tokens":0}},"service_tier":"default","system_fingerprint":"fp_ad66631dec"}</t>
        </is>
      </c>
      <c r="P155" t="inlineStr">
        <is>
          <t>The Greatest Distance, T-Shirts, kakobuy, kakebuy2026, kekobuysheet, kakobuysheet2026, 2026kakobuy, kakobuyspreadsheeet, kakobuylink, kakebuylist, Kakobuy MEGA Spreadsheet, kakobuysheetfind, kakobuysheetfind2026, 2026kakobuysheetfind, kakobuysheet2026</t>
        </is>
      </c>
      <c r="Q155" t="inlineStr">
        <is>
          <t>Off-White, Minimalist, Black, Streetwear, Unisex</t>
        </is>
      </c>
      <c r="R155" t="inlineStr">
        <is>
          <t>recvh6xFVjDsDC</t>
        </is>
      </c>
      <c r="S155" t="inlineStr">
        <is>
          <t>minimalist-off-white-gothic-print-cotton-t-shirt-recvh6xFVjDsDC</t>
        </is>
      </c>
      <c r="T155"/>
      <c r="U155"/>
      <c r="V155"/>
      <c r="W155" t="inlineStr">
        <is>
          <t>{"id":"chatcmpl-DWZNQsZevxoqWj3bkyMHUK1r3crRt","object":"chat.completion","created":1776654856,"model":"gpt-5-chat-latest","choices":[{"index":0,"message":{"role":"assistant","content":"极简系列米白色短袖T恤，柔软纯棉面料搭配圆领设计，领口黑色哥特字体印花点缀，展现街头潮流风格，男女皆宜，舒适百搭，彰显休闲时尚态度。","refusal":null,"annotations":[]},"logprobs":null,"finish_reason":"stop"}],"usage":{"prompt_tokens":1319,"completion_tokens":66,"total_tokens":1385,"prompt_tokens_details":{"cached_tokens":0,"audio_tokens":0},"completion_tokens_details":{"reasoning_tokens":0,"audio_tokens":0,"accepted_prediction_tokens":0,"rejected_prediction_tokens":0}},"service_tier":"default","system_fingerprint":"fp_ad66631dec"}</t>
        </is>
      </c>
      <c r="X155" t="inlineStr">
        <is>
          <t>极简系列米白色短袖T恤，柔软纯棉面料搭配圆领设计，领口黑色哥特字体印花点缀，展现街头潮流风格，男女皆宜，舒适百搭，彰显休闲时尚态度。</t>
        </is>
      </c>
    </row>
    <row r="156" ht="25.5" customHeight="1">
      <c r="A156">
        <v>1839115443</v>
      </c>
      <c r="B156">
        <v>7693016601</v>
      </c>
      <c r="C156" t="inlineStr">
        <is>
          <t>https://weidian.com/item.html?itemID=7693016601</t>
        </is>
      </c>
      <c r="D156"/>
      <c r="E156" s="2" t="str">
        <f>=HYPERLINK("https://si.geilicdn.com/open1839115443-252808396-073a0000019c50ab34bc0a8133b0_800_800.jpg?w=750&amp;h=750&amp;cp=1", "https://si.geilicdn.com/open1839115443-252808396-073a0000019c50ab34bc0a8133b0_800_800.jpg?w=750&amp;h=750&amp;cp=1")</f>
        <v>https://si.geilicdn.com/open1839115443-252808396-073a0000019c50ab34bc0a8133b0_800_800.jpg?w=750&amp;h=750&amp;cp=1</v>
      </c>
      <c r="F156" t="inlineStr">
        <is>
          <t>T-Shirts</t>
        </is>
      </c>
      <c r="G156" t="inlineStr">
        <is>
          <t>Other</t>
        </is>
      </c>
      <c r="H156" t="inlineStr">
        <is>
          <t>54.00</t>
        </is>
      </c>
      <c r="I156">
        <v>7.83</v>
      </c>
      <c r="J156" t="inlineStr">
        <is>
          <t>{"id":"chatcmpl-DWcSeqazm343O4LlOvu4nPY9h3Tv8","object":"chat.completion","created":1776666712,"model":"gpt-5-chat-latest","choices":[{"index":0,"message":{"role":"assistant","content":"Qzoh Fun Series Cartoon Graffiti Off-White Cotton T-Shirt","refusal":null,"annotations":[]},"logprobs":null,"finish_reason":"stop"}],"usage":{"prompt_tokens":887,"completion_tokens":15,"total_tokens":902,"prompt_tokens_details":{"cached_tokens":0,"audio_tokens":0},"completion_tokens_details":{"reasoning_tokens":0,"audio_tokens":0,"accepted_prediction_tokens":0,"rejected_prediction_tokens":0}},"service_tier":"default","system_fingerprint":"fp_ad66631dec"}</t>
        </is>
      </c>
      <c r="K156" t="inlineStr">
        <is>
          <t>Qzoh Fun Series Cartoon Graffiti Off-White Cotton T-Shirt</t>
        </is>
      </c>
      <c r="L156" t="inlineStr">
        <is>
          <t>{"choices":[{"finish_reason":"stop","index":0,"logprobs":null,"message":{"annotations":[],"content":"Qzoh Fun Series Off-White Cotton T-Shirt, featuring a quirky cartoon graffiti design, street-style vibe, unisex loose fit, breathable and lightweight for summer casual wear, show your playful fashion attitude.","refusal":null,"role":"assistant"}}],"created":1776658273,"id":"chatcmpl-DWaGXQJTmJP5fz6cLYL2F3NDOtBzk","model":"gpt-5-chat-latest","object":"chat.completion","service_tier":"default","system_fingerprint":"fp_ad66631dec","usage":{"completion_tokens":43,"completion_tokens_details":{"accepted_prediction_tokens":0,"audio_tokens":0,"reasoning_tokens":0,"rejected_prediction_tokens":0},"prompt_tokens":917,"prompt_tokens_details":{"audio_tokens":0,"cached_tokens":0},"total_tokens":960}}</t>
        </is>
      </c>
      <c r="M156" t="inlineStr">
        <is>
          <t>{"alt-svc":"h3=\":443\"; ma=2592000","apim-request-id":"c30097e3-332b-43e8-9cf5-e2ffd46d6c5c","azureml-model-session":"d20260405225800-40f19e54","cache-control":"no-cache","connection":"close","content-length":"797","content-security-policy":"frame-ancestors 'self'","content-type":"application/json","date":"Mon, 20 Apr 2026 04:11:14 GMT","server":"nginx","skip-error-remapping":"true","strict-transport-security":"max-age=31536000; includeSubDomains; preload","via":"1.1 Caddy, 1.1 Caddy","x-api-request-id":"20260420121112136943330cQh39NHJ","x-content-type-options":"nosniff","x-frame-options":"SAMEORIGIN","x-ms-client-request-id":"Not-Set","x-ms-is-spilled-over":"false","x-ms-rai-invoked":"true","x-ms-region":"East US 2","x-new-api-version":"0.4.39","x-oneapi-request-id":"20260420041112116637528268d9d6OzpURUpR","x-ratelimit-abusepenalty-active":"False","x-ratelimit-limit-requests":"3850","x-ratelimit-limit-tokens":"3850000","x-ratelimit-remaining-requests":"3849","x-ratelimit-remaining-tokens":"3848321","x-ratelimit-renewalperiod-requests":"60","x-ratelimit-renewalperiod-tokens":"60","x-ratelimit-reset-requests":"15","x-ratelimit-reset-tokens":"26","x-request-id":"5300a2cb-41ad-452d-a426-2ecda549ef6e"}</t>
        </is>
      </c>
      <c r="N156" t="inlineStr">
        <is>
          <t>Qzoh Fun Series Off-White Cotton T-Shirt, featuring a quirky cartoon graffiti design, street-style vibe, unisex loose fit, breathable and lightweight for summer casual wear, show your playful fashion attitude.</t>
        </is>
      </c>
      <c r="O156" t="inlineStr">
        <is>
          <t>{"choices":[{"finish_reason":"stop","index":0,"logprobs":null,"message":{"annotations":[],"content":"Zoh, T-Shirts, kakobuy, kakebuy2026, kekobuysheet, kakobuysheet2026, 2026kakobuy, kakobuyspreadsheeet, kakobuylink, kakebuylist, Kakobuy MEGA Spreadsheet, kakobuysheetfind, kakobuysheetfind2026, 2026kakobuysheetfind, kakobuysheet2026","refusal":null,"role":"assistant"}}],"created":1776668311,"id":"chatcmpl-DWcsRqbD4SzgX5Q3oVQMzrtkeK3B2","model":"gpt-5-chat-latest","object":"chat.completion","service_tier":"default","system_fingerprint":"fp_ad66631dec","usage":{"completion_tokens":92,"completion_tokens_details":{"accepted_prediction_tokens":0,"audio_tokens":0,"reasoning_tokens":0,"rejected_prediction_tokens":0},"prompt_tokens":782,"prompt_tokens_details":{"audio_tokens":0,"cached_tokens":0},"total_tokens":874}}</t>
        </is>
      </c>
      <c r="P156" t="inlineStr">
        <is>
          <t>Zoh, T-Shirts, kakobuy, kakebuy2026, kekobuysheet, kakobuysheet2026, 2026kakobuy, kakobuyspreadsheeet, kakobuylink, kakebuylist, Kakobuy MEGA Spreadsheet, kakobuysheetfind, kakobuysheetfind2026, 2026kakobuysheetfind, kakobuysheet2026</t>
        </is>
      </c>
      <c r="Q156" t="inlineStr">
        <is>
          <t>Off-White, Streetwear, Unisex, Summer</t>
        </is>
      </c>
      <c r="R156" t="inlineStr">
        <is>
          <t>recvh6xFVjhUrb</t>
        </is>
      </c>
      <c r="S156" t="inlineStr">
        <is>
          <t>qzoh-fun-series-cartoon-graffiti-off-white-cotton-t-shirt-recvh6xFVjhUrb</t>
        </is>
      </c>
      <c r="T156"/>
      <c r="U156"/>
      <c r="V156"/>
      <c r="W156" t="inlineStr">
        <is>
          <t>{"id":"chatcmpl-DWZNqXBWMMBDcmZN5gCnqaFFXYTkm","object":"chat.completion","created":1776654882,"model":"gpt-5-chat-latest","choices":[{"index":0,"message":{"role":"assistant","content":"趣味系列米白色短袖T恤，柔软纯棉材质，胸前卡通涂鸦人物印花设计，展现街头潮流感；宽松版型男女皆宜，轻盈透气，适合夏季日常休闲穿搭，彰显个性与玩味时尚态度。","refusal":null,"annotations":[]},"logprobs":null,"finish_reason":"stop"}],"usage":{"prompt_tokens":1321,"completion_tokens":78,"total_tokens":1399,"prompt_tokens_details":{"cached_tokens":1280,"audio_tokens":0},"completion_tokens_details":{"reasoning_tokens":0,"audio_tokens":0,"accepted_prediction_tokens":0,"rejected_prediction_tokens":0}},"service_tier":"default","system_fingerprint":"fp_ad66631dec"}</t>
        </is>
      </c>
      <c r="X156" t="inlineStr">
        <is>
          <t>趣味系列米白色短袖T恤，柔软纯棉材质，胸前卡通涂鸦人物印花设计，展现街头潮流感；宽松版型男女皆宜，轻盈透气，适合夏季日常休闲穿搭，彰显个性与玩味时尚态度。</t>
        </is>
      </c>
    </row>
    <row r="157" ht="25.5" customHeight="1">
      <c r="A157">
        <v>1839115443</v>
      </c>
      <c r="B157">
        <v>7693040197</v>
      </c>
      <c r="C157" t="inlineStr">
        <is>
          <t>https://weidian.com/item.html?itemID=7693040197</t>
        </is>
      </c>
      <c r="D157"/>
      <c r="E157" s="2" t="str">
        <f>=HYPERLINK("https://si.geilicdn.com/open1839115443-252808396-1ca20000019c50a11d0f0a22d249_1000_1000.jpg?w=750&amp;h=750&amp;cp=1", "https://si.geilicdn.com/open1839115443-252808396-1ca20000019c50a11d0f0a22d249_1000_1000.jpg?w=750&amp;h=750&amp;cp=1")</f>
        <v>https://si.geilicdn.com/open1839115443-252808396-1ca20000019c50a11d0f0a22d249_1000_1000.jpg?w=750&amp;h=750&amp;cp=1</v>
      </c>
      <c r="F157" t="inlineStr">
        <is>
          <t>T-Shirts</t>
        </is>
      </c>
      <c r="G157" t="inlineStr">
        <is>
          <t>Other</t>
        </is>
      </c>
      <c r="H157" t="inlineStr">
        <is>
          <t>68.00</t>
        </is>
      </c>
      <c r="I157">
        <v>9.85507246376811</v>
      </c>
      <c r="J157" t="inlineStr">
        <is>
          <t>{"choices":[{"finish_reason":"stop","index":0,"logprobs":null,"message":{"annotations":[],"content":"Pollock White Cotton Headphone Graffiti Sweatshirt","refusal":null,"role":"assistant"}}],"created":1776666723,"id":"chatcmpl-DWcSpGpTPZPCAwLDgH61D2hIkAnrf","model":"gpt-5-chat-latest","object":"chat.completion","service_tier":"default","system_fingerprint":"fp_ad66631dec","usage":{"completion_tokens":11,"completion_tokens_details":{"accepted_prediction_tokens":0,"audio_tokens":0,"reasoning_tokens":0,"rejected_prediction_tokens":0},"prompt_tokens":863,"prompt_tokens_details":{"audio_tokens":0,"cached_tokens":0},"total_tokens":874}}</t>
        </is>
      </c>
      <c r="K157" t="inlineStr">
        <is>
          <t>Pollock White Cotton Headphone Graffiti Sweatshirt</t>
        </is>
      </c>
      <c r="L157" t="inlineStr">
        <is>
          <t>{"choices":[{"finish_reason":"stop","index":0,"logprobs":null,"message":{"annotations":[],"content":"Pollock White Cotton Sweatshirt – Soft unisex streetwear with bold headphone graffiti print, perfect for casual style, youth attitude, and artistic expression.","refusal":null,"role":"assistant"}}],"created":1776658698,"id":"chatcmpl-DWaNONBzFk5g7p4HcoGhVf2v6Q85i","model":"gpt-5-chat-latest","object":"chat.completion","service_tier":"default","system_fingerprint":"fp_ad66631dec","usage":{"completion_tokens":31,"completion_tokens_details":{"accepted_prediction_tokens":0,"audio_tokens":0,"reasoning_tokens":0,"rejected_prediction_tokens":0},"prompt_tokens":896,"prompt_tokens_details":{"audio_tokens":0,"cached_tokens":0},"total_tokens":927}}</t>
        </is>
      </c>
      <c r="M157" t="inlineStr">
        <is>
          <t>{"alt-svc":"h3=\":443\"; ma=2592000","apim-request-id":"43a79fd4-bce0-474e-8f91-ee7e2b645172","azureml-model-session":"d20260405234249-f9874baf","cache-control":"no-cache","connection":"close","content-length":"749","content-security-policy":"frame-ancestors 'self'","content-type":"application/json","date":"Mon, 20 Apr 2026 04:18:19 GMT","server":"nginx","skip-error-remapping":"true","strict-transport-security":"max-age=31536000; includeSubDomains; preload","via":"1.1 Caddy, 1.1 Caddy","x-api-request-id":"20260420121817910166601o8WtW8N2","x-content-type-options":"nosniff","x-frame-options":"SAMEORIGIN","x-ms-client-request-id":"Not-Set","x-ms-is-spilled-over":"false","x-ms-rai-invoked":"true","x-ms-region":"East US 2","x-new-api-version":"0.4.39","x-oneapi-request-id":"202604200418178442497838268d9d6ZrLOZpSF","x-ratelimit-abusepenalty-active":"False","x-ratelimit-limit-requests":"3850","x-ratelimit-limit-tokens":"3850000","x-ratelimit-remaining-requests":"3849","x-ratelimit-remaining-tokens":"3848342","x-ratelimit-renewalperiod-requests":"60","x-ratelimit-renewalperiod-tokens":"60","x-ratelimit-reset-requests":"15","x-ratelimit-reset-tokens":"25","x-request-id":"33fe130e-31e0-408a-afff-9eac46dadad5"}</t>
        </is>
      </c>
      <c r="N157" t="inlineStr">
        <is>
          <t>Pollock White Cotton Sweatshirt – Soft unisex streetwear with bold headphone graffiti print, perfect for casual style, youth attitude, and artistic expression.</t>
        </is>
      </c>
      <c r="O157" t="inlineStr">
        <is>
          <t>{"choices":[{"finish_reason":"stop","index":0,"logprobs":null,"message":{"annotations":[],"content":"Pollock,T-Shirts,kakobuy,kakebuy2026,kekobuysheet,kakobuysheet2026,2026kakobuy,kakobuyspreadsheeet,kakobuylink,kakebuylist,Kakobuy MEGA Spreadsheet,kakobuysheetfind,kakobuysheetfind2026,2026kakobuysheetfind,kakobuysheet2026","refusal":null,"role":"assistant"}}],"created":1776667464,"id":"chatcmpl-DWcemnnREIg2MOnss1bijvSYt5rWO","model":"gpt-5-chat-latest","object":"chat.completion","service_tier":"default","system_fingerprint":"fp_ad66631dec","usage":{"completion_tokens":87,"completion_tokens_details":{"accepted_prediction_tokens":0,"audio_tokens":0,"reasoning_tokens":0,"rejected_prediction_tokens":0},"prompt_tokens":782,"prompt_tokens_details":{"audio_tokens":0,"cached_tokens":0},"total_tokens":869}}</t>
        </is>
      </c>
      <c r="P157" t="inlineStr">
        <is>
          <t>Pollock,T-Shirts,kakobuy,kakebuy2026,kekobuysheet,kakobuysheet2026,2026kakobuy,kakobuyspreadsheeet,kakobuylink,kakebuylist,Kakobuy MEGA Spreadsheet,kakobuysheetfind,kakobuysheetfind2026,2026kakobuysheetfind,kakobuysheet2026</t>
        </is>
      </c>
      <c r="Q157" t="inlineStr">
        <is>
          <t>Unisex, Streetwear, Youth, Artistic Style</t>
        </is>
      </c>
      <c r="R157" t="inlineStr">
        <is>
          <t>recvh6xFVjJTUp</t>
        </is>
      </c>
      <c r="S157" t="inlineStr">
        <is>
          <t>pollock-white-cotton-headphone-graffiti-sweatshirt-recvh6xFVjJTUp</t>
        </is>
      </c>
      <c r="T157"/>
      <c r="U157"/>
      <c r="V157"/>
      <c r="W157" t="inlineStr">
        <is>
          <t>{"choices":[{"finish_reason":"stop","index":0,"logprobs":null,"message":{"annotations":[],"content":"白色潮流印花卫衣，采用柔软纯棉材质，背部耳机涂鸦设计彰显街头艺术风格，男女通用，休闲百搭，展现个性与青春态度。","refusal":null,"role":"assistant"}}],"created":1776655537,"id":"chatcmpl-DWZYPTFFVAioTEkBsgAXBgnJzpBYp","model":"gpt-5-chat-latest","object":"chat.completion","service_tier":"default","system_fingerprint":"fp_ad66631dec","usage":{"completion_tokens":54,"completion_tokens_details":{"accepted_prediction_tokens":0,"audio_tokens":0,"reasoning_tokens":0,"rejected_prediction_tokens":0},"prompt_tokens":1327,"prompt_tokens_details":{"audio_tokens":0,"cached_tokens":0},"total_tokens":1381}}</t>
        </is>
      </c>
      <c r="X157" t="inlineStr">
        <is>
          <t>白色潮流印花卫衣，采用柔软纯棉材质，背部耳机涂鸦设计彰显街头艺术风格，男女通用，休闲百搭，展现个性与青春态度。</t>
        </is>
      </c>
    </row>
    <row r="158" ht="25.5" customHeight="1">
      <c r="A158">
        <v>1839115443</v>
      </c>
      <c r="B158">
        <v>7696043644</v>
      </c>
      <c r="C158" t="inlineStr">
        <is>
          <t>https://weidian.com/item.html?itemID=7696043644</t>
        </is>
      </c>
      <c r="D158"/>
      <c r="E158" s="2" t="str">
        <f>=HYPERLINK("https://si.geilicdn.com/open1839115443-252808396-14460000019c509590090a23b4de_800_800.jpg?w=750&amp;h=750&amp;cp=1", "https://si.geilicdn.com/open1839115443-252808396-14460000019c509590090a23b4de_800_800.jpg?w=750&amp;h=750&amp;cp=1")</f>
        <v>https://si.geilicdn.com/open1839115443-252808396-14460000019c509590090a23b4de_800_800.jpg?w=750&amp;h=750&amp;cp=1</v>
      </c>
      <c r="F158" t="inlineStr">
        <is>
          <t>T-Shirts</t>
        </is>
      </c>
      <c r="G158" t="inlineStr">
        <is>
          <t>Other</t>
        </is>
      </c>
      <c r="H158" t="inlineStr">
        <is>
          <t>54.00</t>
        </is>
      </c>
      <c r="I158">
        <v>7.83</v>
      </c>
      <c r="J158" t="inlineStr">
        <is>
          <t>{"id":"chatcmpl-DWcOdZCuD2YsFiaUVetZcRv90uYGC","object":"chat.completion","created":1776666463,"model":"gpt-5-chat-latest","choices":[{"index":0,"message":{"role":"assistant","content":"RetroStyle Vintage Black Ship Graphic T-Shirt","refusal":null,"annotations":[]},"logprobs":null,"finish_reason":"stop"}],"usage":{"prompt_tokens":873,"completion_tokens":9,"total_tokens":882,"prompt_tokens_details":{"cached_tokens":0,"audio_tokens":0},"completion_tokens_details":{"reasoning_tokens":0,"audio_tokens":0,"accepted_prediction_tokens":0,"rejected_prediction_tokens":0}},"service_tier":"default","system_fingerprint":"fp_ad66631dec"}</t>
        </is>
      </c>
      <c r="K158" t="inlineStr">
        <is>
          <t>RetroStyle Vintage Black Ship Graphic T-Shirt</t>
        </is>
      </c>
      <c r="L158" t="inlineStr">
        <is>
          <t>{"choices":[{"finish_reason":"stop","index":0,"logprobs":null,"message":{"annotations":[],"content":"**Brand RetroStyle** Vintage Black Graphic Cotton T-Shirt with Ship and Adventure Motto Print, Unisex Loose Fit, Soft Fabric, Street Casual Design for Everyday Comfort and Personality.","refusal":null,"role":"assistant"}}],"created":1776659305,"id":"chatcmpl-DWaXBLyMt1azRGKXaCJSbzhfJXKAG","model":"gpt-5-chat-latest","object":"chat.completion","service_tier":"default","system_fingerprint":"fp_ad66631dec","usage":{"completion_tokens":36,"completion_tokens_details":{"accepted_prediction_tokens":0,"audio_tokens":0,"reasoning_tokens":0,"rejected_prediction_tokens":0},"prompt_tokens":904,"prompt_tokens_details":{"audio_tokens":0,"cached_tokens":0},"total_tokens":940}}</t>
        </is>
      </c>
      <c r="M158" t="inlineStr">
        <is>
          <t>{"alt-svc":"h3=\":443\"; ma=2592000","apim-request-id":"52e5c428-4046-4944-b093-d2e56d2a0499","azureml-model-session":"d20260405234249-f9874baf","cache-control":"no-cache","connection":"close","content-length":"772","content-security-policy":"frame-ancestors 'self'","content-type":"application/json","date":"Mon, 20 Apr 2026 04:28:27 GMT","server":"Caddy","skip-error-remapping":"true","strict-transport-security":"max-age=31536000; includeSubDomains; preload","via":"1.1 Caddy","x-api-request-id":"20260420122825142784214tCzc8GWF","x-content-type-options":"nosniff","x-frame-options":"SAMEORIGIN","x-ms-client-request-id":"Not-Set","x-ms-is-spilled-over":"false","x-ms-rai-invoked":"true","x-ms-region":"East US 2","x-new-api-version":"0.4.39","x-oneapi-request-id":"20260420042825744255928268d9d6VrGIJYZo","x-ratelimit-abusepenalty-active":"False","x-ratelimit-limit-requests":"3850","x-ratelimit-limit-tokens":"3850000","x-ratelimit-remaining-requests":"3849","x-ratelimit-remaining-tokens":"3848334","x-ratelimit-renewalperiod-requests":"60","x-ratelimit-renewalperiod-tokens":"60","x-ratelimit-reset-requests":"15","x-ratelimit-reset-tokens":"25","x-request-id":"00748296-8b39-4ebc-a561-2386ebd13504"}</t>
        </is>
      </c>
      <c r="N158" t="inlineStr">
        <is>
          <t>**Brand RetroStyle** Vintage Black Graphic Cotton T-Shirt with Ship and Adventure Motto Print, Unisex Loose Fit, Soft Fabric, Street Casual Design for Everyday Comfort and Personality.</t>
        </is>
      </c>
      <c r="O158" t="inlineStr">
        <is>
          <t>{"choices":[{"finish_reason":"stop","index":0,"logprobs":null,"message":{"annotations":[],"content":"Highly Recommended, T-Shirts, kakobuy, kakebuy2026, kekobuysheet, kakobuysheet2026, 2026kakobuy, kakobuyspreadsheeet, kakobuylink, kakebuylist, Kakobuy MEGA Spreadsheet, kakobuysheetfind, kakobuysheetfind2026, 2026kakobuysheetfind, kakobuysheet2026","refusal":null,"role":"assistant"}}],"created":1776668624,"id":"chatcmpl-DWcxUhrQDx5ZchvrHU3rKfwQ9Co7C","model":"gpt-5-chat-latest","object":"chat.completion","service_tier":"default","system_fingerprint":"fp_ad66631dec","usage":{"completion_tokens":92,"completion_tokens_details":{"accepted_prediction_tokens":0,"audio_tokens":0,"reasoning_tokens":0,"rejected_prediction_tokens":0},"prompt_tokens":782,"prompt_tokens_details":{"audio_tokens":0,"cached_tokens":0},"total_tokens":874}}</t>
        </is>
      </c>
      <c r="P158" t="inlineStr">
        <is>
          <t>Highly Recommended, T-Shirts, kakobuy, kakebuy2026, kekobuysheet, kakobuysheet2026, 2026kakobuy, kakobuyspreadsheeet, kakobuylink, kakebuylist, Kakobuy MEGA Spreadsheet, kakobuysheetfind, kakobuysheetfind2026, 2026kakobuysheetfind, kakobuysheet2026</t>
        </is>
      </c>
      <c r="Q158" t="inlineStr">
        <is>
          <t>Vintage, Black, Street, Unisex</t>
        </is>
      </c>
      <c r="R158" t="inlineStr">
        <is>
          <t>recvh6xFVj9VGK</t>
        </is>
      </c>
      <c r="S158" t="inlineStr">
        <is>
          <t>retrostyle-vintage-black-ship-graphic-tshirt-recvh6xFVj9VGK</t>
        </is>
      </c>
      <c r="T158"/>
      <c r="U158"/>
      <c r="V158"/>
      <c r="W158" t="inlineStr">
        <is>
          <t>{"choices":[{"finish_reason":"stop","index":0,"logprobs":null,"message":{"annotations":[],"content":"复古黑色印花短袖T恤，选用柔软纯棉面料，背部船帆与英文标语图腾设计，彰显探险精神。宽松剪裁男女皆宜，街头休闲风格，轻松穿搭尽显个性与品质。","refusal":null,"role":"assistant"}}],"created":1776655951,"id":"chatcmpl-DWZf5pQWektqQ5h4IvxHmx0SB8v1k","model":"gpt-5-chat-latest","object":"chat.completion","service_tier":"default","system_fingerprint":"fp_ad66631dec","usage":{"completion_tokens":68,"completion_tokens_details":{"accepted_prediction_tokens":0,"audio_tokens":0,"reasoning_tokens":0,"rejected_prediction_tokens":0},"prompt_tokens":1315,"prompt_tokens_details":{"audio_tokens":0,"cached_tokens":0},"total_tokens":1383}}</t>
        </is>
      </c>
      <c r="X158" t="inlineStr">
        <is>
          <t>复古黑色印花短袖T恤，选用柔软纯棉面料，背部船帆与英文标语图腾设计，彰显探险精神。宽松剪裁男女皆宜，街头休闲风格，轻松穿搭尽显个性与品质。</t>
        </is>
      </c>
    </row>
    <row r="159" ht="25.5" customHeight="1">
      <c r="A159">
        <v>1839115443</v>
      </c>
      <c r="B159">
        <v>7637232183</v>
      </c>
      <c r="C159" t="inlineStr">
        <is>
          <t>https://weidian.com/item.html?itemID=7637232183</t>
        </is>
      </c>
      <c r="D159"/>
      <c r="E159" s="2" t="str">
        <f>=HYPERLINK("https://si.geilicdn.com/open1839115443-252808396-2a340000019b35a1675b0a8115c2_1785_1785.jpg?w=750&amp;h=750&amp;cp=1", "https://si.geilicdn.com/open1839115443-252808396-2a340000019b35a1675b0a8115c2_1785_1785.jpg?w=750&amp;h=750&amp;cp=1")</f>
        <v>https://si.geilicdn.com/open1839115443-252808396-2a340000019b35a1675b0a8115c2_1785_1785.jpg?w=750&amp;h=750&amp;cp=1</v>
      </c>
      <c r="F159" t="inlineStr">
        <is>
          <t>T-Shirts</t>
        </is>
      </c>
      <c r="G159" t="inlineStr">
        <is>
          <t>Jack Jones</t>
        </is>
      </c>
      <c r="H159" t="inlineStr">
        <is>
          <t>63.00</t>
        </is>
      </c>
      <c r="I159">
        <v>9.13</v>
      </c>
      <c r="J159" t="inlineStr">
        <is>
          <t>{"choices":[{"finish_reason":"stop","index":0,"logprobs":null,"message":{"annotations":[],"content":"Jack &amp; Jones Urban White Camo Logo T-Shirt","refusal":null,"role":"assistant"}}],"created":1776666404,"id":"chatcmpl-DWcNggw5lVVBk2dp9CSyYou9vPjiL","model":"gpt-5-chat-latest","object":"chat.completion","service_tier":"default","system_fingerprint":"fp_ad66631dec","usage":{"completion_tokens":11,"completion_tokens_details":{"accepted_prediction_tokens":0,"audio_tokens":0,"reasoning_tokens":0,"rejected_prediction_tokens":0},"prompt_tokens":872,"prompt_tokens_details":{"audio_tokens":0,"cached_tokens":0},"total_tokens":883}}</t>
        </is>
      </c>
      <c r="K159" t="inlineStr">
        <is>
          <t>Jack &amp; Jones Urban White Camo Logo T-Shirt</t>
        </is>
      </c>
      <c r="L159" t="inlineStr">
        <is>
          <t>{"choices":[{"finish_reason":"stop","index":0,"logprobs":null,"message":{"annotations":[],"content":"Jack &amp; Jones Urban white cotton T-shirt featuring bold camo logo print, relaxed fit design for street style comfort, perfect for everyday wear with a youthful and confident vibe.","refusal":null,"role":"assistant"}}],"created":1776658390,"id":"chatcmpl-DWaIQXcOwH2q1MXA7KIQUSs7I2P82","model":"gpt-5-chat-latest","object":"chat.completion","service_tier":"default","system_fingerprint":"fp_ad66631dec","usage":{"completion_tokens":35,"completion_tokens_details":{"accepted_prediction_tokens":0,"audio_tokens":0,"reasoning_tokens":0,"rejected_prediction_tokens":0},"prompt_tokens":911,"prompt_tokens_details":{"audio_tokens":0,"cached_tokens":0},"total_tokens":946}}</t>
        </is>
      </c>
      <c r="M159" t="inlineStr">
        <is>
          <t>{"alt-svc":"h3=\":443\"; ma=2592000","apim-request-id":"4c32ba7c-5b16-41ea-a0ca-8bb058cd0009","azureml-model-session":"d20260405234249-f9874baf","cache-control":"no-cache","connection":"close","content-length":"771","content-security-policy":"frame-ancestors 'self'","content-type":"application/json","date":"Mon, 20 Apr 2026 04:13:11 GMT","server":"nginx","skip-error-remapping":"true","strict-transport-security":"max-age=31536000; includeSubDomains; preload","via":"1.1 Caddy, 1.1 Caddy","x-api-request-id":"20260420121309936595653OJNxJda","x-content-type-options":"nosniff","x-frame-options":"SAMEORIGIN","x-ms-client-request-id":"Not-Set","x-ms-is-spilled-over":"false","x-ms-rai-invoked":"true","x-ms-region":"East US 2","x-new-api-version":"0.4.39","x-oneapi-request-id":"202604200413089911272638268d9d6DwhXt1wk","x-ratelimit-abusepenalty-active":"False","x-ratelimit-limit-requests":"3850","x-ratelimit-limit-tokens":"3850000","x-ratelimit-remaining-requests":"3849","x-ratelimit-remaining-tokens":"3840397","x-ratelimit-renewalperiod-requests":"60","x-ratelimit-renewalperiod-tokens":"60","x-ratelimit-reset-requests":"15","x-ratelimit-reset-tokens":"149","x-request-id":"629556e4-b7ae-4e08-88fc-c188aff5afb2"}</t>
        </is>
      </c>
      <c r="N159" t="inlineStr">
        <is>
          <t>Jack &amp; Jones Urban white cotton T-shirt featuring bold camo logo print, relaxed fit design for street style comfort, perfect for everyday wear with a youthful and confident vibe.</t>
        </is>
      </c>
      <c r="O159" t="inlineStr">
        <is>
          <t>{"choices":[{"finish_reason":"stop","index":0,"logprobs":null,"message":{"annotations":[],"content":"Jack Jones,T-Shirts,kakobuy,kakebuy2026,kekobuysheet,kakobuysheet2026,2026kakobuy,kakobuyspreadsheeet,kakobuylink,kakebuylist,Kakobuy MEGA Spreadsheet,kakobuysheetfind,kakobuysheetfind2026,2026kakobuysheetfind,kakobuysheet2026","refusal":null,"role":"assistant"}}],"created":1776668487,"id":"chatcmpl-DWcvHkvdCSMIFgny03I9fLuiMblYj","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P159" t="inlineStr">
        <is>
          <t>Jack Jones,T-Shirts,kakobuy,kakebuy2026,kekobuysheet,kakobuysheet2026,2026kakobuy,kakobuyspreadsheeet,kakobuylink,kakebuylist,Kakobuy MEGA Spreadsheet,kakobuysheetfind,kakobuysheetfind2026,2026kakobuysheetfind,kakobuysheet2026</t>
        </is>
      </c>
      <c r="Q159" t="inlineStr">
        <is>
          <t>White, Streetwear, Youth</t>
        </is>
      </c>
      <c r="R159" t="inlineStr">
        <is>
          <t>recvh6xFVjCOfv</t>
        </is>
      </c>
      <c r="S159" t="inlineStr">
        <is>
          <t>jack-jones-urban-white-camo-logo-t-shirt-recvh6xfvjconfv</t>
        </is>
      </c>
      <c r="T159"/>
      <c r="U159"/>
      <c r="V159"/>
      <c r="W159" t="inlineStr">
        <is>
          <t>{"choices":[{"finish_reason":"stop","index":0,"logprobs":null,"message":{"annotations":[],"content":"Jack Jones：白色Urban系列印花T恤，精选柔软纯棉面料，胸前迷彩LOGO字母设计，宽松剪裁展现街头休闲风格，适合都市男性日常穿搭，简约百搭，彰显年轻自信态度。","refusal":null,"role":"assistant"}}],"created":1776655572,"id":"chatcmpl-DWZYyXWxM76Z9nP0wSAACX5ZSUHlJ","model":"gpt-5-chat-latest","object":"chat.completion","service_tier":"default","system_fingerprint":"fp_ad66631dec","usage":{"completion_tokens":68,"completion_tokens_details":{"accepted_prediction_tokens":0,"audio_tokens":0,"reasoning_tokens":0,"rejected_prediction_tokens":0},"prompt_tokens":1330,"prompt_tokens_details":{"audio_tokens":0,"cached_tokens":0},"total_tokens":1398}}</t>
        </is>
      </c>
      <c r="X159" t="inlineStr">
        <is>
          <t>Jack Jones：白色Urban系列印花T恤，精选柔软纯棉面料，胸前迷彩LOGO字母设计，宽松剪裁展现街头休闲风格，适合都市男性日常穿搭，简约百搭，彰显年轻自信态度。</t>
        </is>
      </c>
    </row>
    <row r="160" ht="25.5" customHeight="1">
      <c r="A160">
        <v>1839115443</v>
      </c>
      <c r="B160">
        <v>7637189349</v>
      </c>
      <c r="C160" t="inlineStr">
        <is>
          <t>https://weidian.com/item.html?itemID=7637189349</t>
        </is>
      </c>
      <c r="D160"/>
      <c r="E160" s="2" t="str">
        <f>=HYPERLINK("https://si.geilicdn.com/open1839115443-252808396-0e9d0000019b359057e50a8115c2_1785_1785.jpg?w=750&amp;h=750&amp;cp=1", "https://si.geilicdn.com/open1839115443-252808396-0e9d0000019b359057e50a8115c2_1785_1785.jpg?w=750&amp;h=750&amp;cp=1")</f>
        <v>https://si.geilicdn.com/open1839115443-252808396-0e9d0000019b359057e50a8115c2_1785_1785.jpg?w=750&amp;h=750&amp;cp=1</v>
      </c>
      <c r="F160" t="inlineStr">
        <is>
          <t>T-Shirts</t>
        </is>
      </c>
      <c r="G160" t="inlineStr">
        <is>
          <t>Other</t>
        </is>
      </c>
      <c r="H160" t="inlineStr">
        <is>
          <t>127.00</t>
        </is>
      </c>
      <c r="I160">
        <v>18.41</v>
      </c>
      <c r="J160" t="inlineStr">
        <is>
          <t>{"id":"chatcmpl-DWcMtF5evHzdvID3W0r982XykSxtR","object":"chat.completion","created":1776666355,"model":"gpt-5-chat-latest","choices":[{"index":0,"message":{"role":"assistant","content":"Men’s Black White Striped Cotton Polo Shirt","refusal":null,"annotations":[]},"logprobs":null,"finish_reason":"stop"}],"usage":{"prompt_tokens":873,"completion_tokens":10,"total_tokens":883,"prompt_tokens_details":{"cached_tokens":0,"audio_tokens":0},"completion_tokens_details":{"reasoning_tokens":0,"audio_tokens":0,"accepted_prediction_tokens":0,"rejected_prediction_tokens":0}},"service_tier":"default","system_fingerprint":"fp_ad66631dec"}</t>
        </is>
      </c>
      <c r="K160" t="inlineStr">
        <is>
          <t>Men’s Black White Striped Cotton Polo Shirt</t>
        </is>
      </c>
      <c r="L160" t="inlineStr">
        <is>
          <t>{"choices":[{"finish_reason":"stop","index":0,"logprobs":null,"message":{"annotations":[],"content":"T-ShirtsOther Men’s Classic Black and White Striped Polo Shirt, soft breathable cotton, contrast collar and button placket, slim fit for stylish urban casual or business wear.","refusal":null,"role":"assistant"}}],"created":1776658280,"id":"chatcmpl-DWaGe4bm4d1KX8WMlIQqb3hwgOAWE","model":"gpt-5-chat-latest","object":"chat.completion","service_tier":"default","system_fingerprint":"fp_ad66631dec","usage":{"completion_tokens":36,"completion_tokens_details":{"accepted_prediction_tokens":0,"audio_tokens":0,"reasoning_tokens":0,"rejected_prediction_tokens":0},"prompt_tokens":914,"prompt_tokens_details":{"audio_tokens":0,"cached_tokens":0},"total_tokens":950}}</t>
        </is>
      </c>
      <c r="M160" t="inlineStr">
        <is>
          <t>{"alt-svc":"h3=\":443\"; ma=2592000","apim-request-id":"a3ec8984-7a50-4a51-9f7d-52b4935cd984","azureml-model-session":"d20260402083108-57a85543","cache-control":"no-cache","connection":"close","content-length":"765","content-security-policy":"frame-ancestors 'self'","content-type":"application/json","date":"Mon, 20 Apr 2026 04:11:21 GMT","server":"nginx","skip-error-remapping":"true","strict-transport-security":"max-age=31536000; includeSubDomains; preload","via":"1.1 Caddy, 1.1 Caddy","x-api-request-id":"20260420121118999083732POeqvOau","x-content-type-options":"nosniff","x-frame-options":"SAMEORIGIN","x-ms-client-request-id":"Not-Set","x-ms-is-spilled-over":"false","x-ms-rai-invoked":"true","x-ms-region":"East US 2","x-new-api-version":"0.4.39","x-oneapi-request-id":"202604200411187649817988268d9d65xHfTzqv","x-ratelimit-abusepenalty-active":"False","x-ratelimit-limit-requests":"3850","x-ratelimit-limit-tokens":"3850000","x-ratelimit-remaining-requests":"3849","x-ratelimit-remaining-tokens":"3848324","x-ratelimit-renewalperiod-requests":"60","x-ratelimit-renewalperiod-tokens":"60","x-ratelimit-reset-requests":"15","x-ratelimit-reset-tokens":"26","x-request-id":"1e2b00a2-f024-4120-8574-939049bce0aa"}</t>
        </is>
      </c>
      <c r="N160" t="inlineStr">
        <is>
          <t>T-ShirtsOther Men’s Classic Black and White Striped Polo Shirt, soft breathable cotton, contrast collar and button placket, slim fit for stylish urban casual or business wear.</t>
        </is>
      </c>
      <c r="O160" t="inlineStr">
        <is>
          <t>{"choices":[{"finish_reason":"stop","index":0,"logprobs":null,"message":{"annotations":[],"content":"Menswear, T-Shirts, kakobuy, kakebuy2026, kekobuysheet, kakobuysheet2026, 2026kakobuy, kakobuyspreadsheeet, kakobuylink, kakebuylist, Kakobuy MEGA Spreadsheet, kakobuysheetfind, kakobuysheetfind2026, 2026kakobuysheetfind, kakobuysheet2026","refusal":null,"role":"assistant"}}],"created":1776667357,"id":"chatcmpl-DWcd3zLx8M9Qjx3Ni1bamV9winXs3","model":"gpt-5-chat-latest","object":"chat.completion","service_tier":"default","system_fingerprint":"fp_ad66631dec","usage":{"completion_tokens":92,"completion_tokens_details":{"accepted_prediction_tokens":0,"audio_tokens":0,"reasoning_tokens":0,"rejected_prediction_tokens":0},"prompt_tokens":782,"prompt_tokens_details":{"audio_tokens":0,"cached_tokens":0},"total_tokens":874}}</t>
        </is>
      </c>
      <c r="P160" t="inlineStr">
        <is>
          <t>Menswear, T-Shirts, kakobuy, kakebuy2026, kekobuysheet, kakobuysheet2026, 2026kakobuy, kakobuyspreadsheeet, kakobuylink, kakebuylist, Kakobuy MEGA Spreadsheet, kakobuysheetfind, kakobuysheetfind2026, 2026kakobuysheetfind, kakobuysheet2026</t>
        </is>
      </c>
      <c r="Q160" t="inlineStr">
        <is>
          <t>Black, White, Business Casual, Men</t>
        </is>
      </c>
      <c r="R160" t="inlineStr">
        <is>
          <t>recvh6xFVjdzqk</t>
        </is>
      </c>
      <c r="S160" t="inlineStr">
        <is>
          <t>men-black-white-striped-cotton-polo-recvh6xFVjdzqk</t>
        </is>
      </c>
      <c r="T160"/>
      <c r="U160"/>
      <c r="V160"/>
      <c r="W160" t="inlineStr">
        <is>
          <t>{"id":"chatcmpl-DWZfVdY2ikqAKROdbmLR8lVeUD5ne","object":"chat.completion","created":1776655977,"model":"gpt-5-chat-latest","choices":[{"index":0,"message":{"role":"assistant","content":"经典黑白条纹短袖Polo衫，柔软棉质面料舒适透气，撞色翻领与纽扣门襟设计彰显干练格调，修身剪裁凸显男性身形线条，简约都市风适合日常休闲或商务场合穿搭。","refusal":null,"annotations":[]},"logprobs":null,"finish_reason":"stop"}],"usage":{"prompt_tokens":1327,"completion_tokens":72,"total_tokens":1399,"prompt_tokens_details":{"cached_tokens":0,"audio_tokens":0},"completion_tokens_details":{"reasoning_tokens":0,"audio_tokens":0,"accepted_prediction_tokens":0,"rejected_prediction_tokens":0}},"service_tier":"default","system_fingerprint":"fp_ad66631dec"}</t>
        </is>
      </c>
      <c r="X160" t="inlineStr">
        <is>
          <t>经典黑白条纹短袖Polo衫，柔软棉质面料舒适透气，撞色翻领与纽扣门襟设计彰显干练格调，修身剪裁凸显男性身形线条，简约都市风适合日常休闲或商务场合穿搭。</t>
        </is>
      </c>
    </row>
    <row r="161" ht="25.5" customHeight="1">
      <c r="A161">
        <v>1839115443</v>
      </c>
      <c r="B161">
        <v>7640253812</v>
      </c>
      <c r="C161" t="inlineStr">
        <is>
          <t>https://weidian.com/item.html?itemID=7640253812</t>
        </is>
      </c>
      <c r="D161"/>
      <c r="E161" s="2" t="str">
        <f>=HYPERLINK("https://si.geilicdn.com/open1839115443-252808396-0fa90000019b3590fa2a0a8115c2_1785_1785.jpg?w=750&amp;h=750&amp;cp=1", "https://si.geilicdn.com/open1839115443-252808396-0fa90000019b3590fa2a0a8115c2_1785_1785.jpg?w=750&amp;h=750&amp;cp=1")</f>
        <v>https://si.geilicdn.com/open1839115443-252808396-0fa90000019b3590fa2a0a8115c2_1785_1785.jpg?w=750&amp;h=750&amp;cp=1</v>
      </c>
      <c r="F161" t="inlineStr">
        <is>
          <t>Hoodies</t>
        </is>
      </c>
      <c r="G161" t="inlineStr">
        <is>
          <t>Other</t>
        </is>
      </c>
      <c r="H161" t="inlineStr">
        <is>
          <t>91.00</t>
        </is>
      </c>
      <c r="I161">
        <v>13.19</v>
      </c>
      <c r="J161" t="inlineStr">
        <is>
          <t>{"id":"chatcmpl-DWcLOthXx2uGOycaxoRVwqUedbwOu","object":"chat.completion","created":1776666262,"model":"gpt-5-chat-latest","choices":[{"index":0,"message":{"role":"assistant","content":"CR7 Green Unisex Sports Hoodie Streetwear Pullover","refusal":null,"annotations":[]},"logprobs":null,"finish_reason":"stop"}],"usage":{"prompt_tokens":886,"completion_tokens":12,"total_tokens":898,"prompt_tokens_details":{"cached_tokens":0,"audio_tokens":0},"completion_tokens_details":{"reasoning_tokens":0,"audio_tokens":0,"accepted_prediction_tokens":0,"rejected_prediction_tokens":0}},"service_tier":"default","system_fingerprint":"fp_ad66631dec"}</t>
        </is>
      </c>
      <c r="K161" t="inlineStr">
        <is>
          <t>CR7 Green Unisex Sports Hoodie Streetwear Pullover</t>
        </is>
      </c>
      <c r="L161" t="inlineStr">
        <is>
          <t>{"choices":[{"finish_reason":"stop","index":0,"logprobs":null,"message":{"annotations":[],"content":"CR7 Green Sports Hoodie, made from soft cotton blend with bold white CR7 logo, features drawstring hood, loose fit, unisex design—perfect for street style, workouts, and everyday comfort.","refusal":null,"role":"assistant"}}],"created":1776659070,"id":"chatcmpl-DWaTOjkRXhuqOXp6wNjB6npCdR75v","model":"gpt-5-chat-latest","object":"chat.completion","service_tier":"default","system_fingerprint":"fp_ad66631dec","usage":{"completion_tokens":42,"completion_tokens_details":{"accepted_prediction_tokens":0,"audio_tokens":0,"reasoning_tokens":0,"rejected_prediction_tokens":0},"prompt_tokens":928,"prompt_tokens_details":{"audio_tokens":0,"cached_tokens":0},"total_tokens":970}}</t>
        </is>
      </c>
      <c r="M161" t="inlineStr">
        <is>
          <t>{"alt-svc":"h3=\":443\"; ma=2592000","apim-request-id":"24781532-05dd-41e2-b255-0e7752c68865","azureml-model-session":"d20260402083108-57a85543","cache-control":"no-cache","connection":"close","content-length":"777","content-security-policy":"frame-ancestors 'self'","content-type":"application/json","date":"Mon, 20 Apr 2026 04:24:32 GMT","server":"nginx","skip-error-remapping":"true","strict-transport-security":"max-age=31536000; includeSubDomains; preload","via":"1.1 Caddy, 1.1 Caddy","x-api-request-id":"20260420122430118128235aZ0mhfA","x-content-type-options":"nosniff","x-frame-options":"SAMEORIGIN","x-ms-client-request-id":"Not-Set","x-ms-is-spilled-over":"false","x-ms-rai-invoked":"true","x-ms-region":"East US 2","x-new-api-version":"0.4.39","x-oneapi-request-id":"202604200424299450613138268d9d6BKDqeLlm","x-ratelimit-abusepenalty-active":"False","x-ratelimit-limit-requests":"3850","x-ratelimit-limit-tokens":"3850000","x-ratelimit-remaining-requests":"3849","x-ratelimit-remaining-tokens":"3848310","x-ratelimit-renewalperiod-requests":"60","x-ratelimit-renewalperiod-tokens":"60","x-ratelimit-reset-requests":"15","x-ratelimit-reset-tokens":"26","x-request-id":"2299c0a8-3b62-4188-a38b-c9ac10254185"}</t>
        </is>
      </c>
      <c r="N161" t="inlineStr">
        <is>
          <t>CR7 Green Sports Hoodie, made from soft cotton blend with bold white CR7 logo, features drawstring hood, loose fit, unisex design—perfect for street style, workouts, and everyday comfort.</t>
        </is>
      </c>
      <c r="O161" t="inlineStr">
        <is>
          <t>{"choices":[{"finish_reason":"stop","index":0,"logprobs":null,"message":{"annotations":[],"content":"CR7,Hoodies,kakobuy,kakebuy2026,kekobuysheet,kakobuysheet2026,2026kakobuy,kakobuyspreadsheeet,kakobuylink,kakebuylist,Kakobuy MEGA Spreadsheet,kakobuysheetfind,kakobuysheetfind2026,2026kakobuysheetfind,kakobuysheet2026","refusal":null,"role":"assistant"}}],"created":1776668437,"id":"chatcmpl-DWcuTW3SLwCfJX1GEWuyihc7ZlBz3","model":"gpt-5-chat-latest","object":"chat.completion","service_tier":"default","system_fingerprint":"fp_ad66631dec","usage":{"completion_tokens":88,"completion_tokens_details":{"accepted_prediction_tokens":0,"audio_tokens":0,"reasoning_tokens":0,"rejected_prediction_tokens":0},"prompt_tokens":783,"prompt_tokens_details":{"audio_tokens":0,"cached_tokens":0},"total_tokens":871}}</t>
        </is>
      </c>
      <c r="P161" t="inlineStr">
        <is>
          <t>CR7,Hoodies,kakobuy,kakebuy2026,kekobuysheet,kakobuysheet2026,2026kakobuy,kakobuyspreadsheeet,kakobuylink,kakebuylist,Kakobuy MEGA Spreadsheet,kakobuysheetfind,kakobuysheetfind2026,2026kakobuysheetfind,kakobuysheet2026</t>
        </is>
      </c>
      <c r="Q161" t="inlineStr">
        <is>
          <t>Green, Street, Unisex, Comfort</t>
        </is>
      </c>
      <c r="R161" t="inlineStr">
        <is>
          <t>recvh6xFVjmVHr</t>
        </is>
      </c>
      <c r="S161" t="inlineStr">
        <is>
          <t>cr7-green-hoodie-recvh6xfvjmvhr</t>
        </is>
      </c>
      <c r="T161"/>
      <c r="U161"/>
      <c r="V161"/>
      <c r="W161" t="inlineStr">
        <is>
          <t>{"choices":[{"finish_reason":"stop","index":0,"logprobs":null,"message":{"annotations":[],"content":"绿色运动系列连帽卫衣，精选柔软纯棉混纺材质，胸前醒目白色“CR7”运动图腾印花，展现活力与速度。经典抽绳帽设计搭配宽松剪裁，舒适保暖，男女通用，适合街头休闲及运动穿搭，尽显现代潮流风格。","refusal":null,"role":"assistant"}}],"created":1776656237,"id":"chatcmpl-DWZjhoNYUjt2szPPQh2mr26XQX1TN","model":"gpt-5-chat-latest","object":"chat.completion","service_tier":"default","system_fingerprint":"fp_ad66631dec","usage":{"completion_tokens":85,"completion_tokens_details":{"accepted_prediction_tokens":0,"audio_tokens":0,"reasoning_tokens":0,"rejected_prediction_tokens":0},"prompt_tokens":1328,"prompt_tokens_details":{"audio_tokens":0,"cached_tokens":1280},"total_tokens":1413}}</t>
        </is>
      </c>
      <c r="X161" t="inlineStr">
        <is>
          <t>绿色运动系列连帽卫衣，精选柔软纯棉混纺材质，胸前醒目白色“CR7”运动图腾印花，展现活力与速度。经典抽绳帽设计搭配宽松剪裁，舒适保暖，男女通用，适合街头休闲及运动穿搭，尽显现代潮流风格。</t>
        </is>
      </c>
    </row>
    <row r="162" ht="25.5" customHeight="1">
      <c r="A162">
        <v>1839115443</v>
      </c>
      <c r="B162">
        <v>7637299661</v>
      </c>
      <c r="C162" t="inlineStr">
        <is>
          <t>https://weidian.com/item.html?itemID=7637299661</t>
        </is>
      </c>
      <c r="D162"/>
      <c r="E162" s="2" t="str">
        <f>=HYPERLINK("https://si.geilicdn.com/open1839115443-252808396-3e7a0000019b35a1665b0a23b4de_1785_1785.jpg?w=750&amp;h=750&amp;cp=1", "https://si.geilicdn.com/open1839115443-252808396-3e7a0000019b35a1665b0a23b4de_1785_1785.jpg?w=750&amp;h=750&amp;cp=1")</f>
        <v>https://si.geilicdn.com/open1839115443-252808396-3e7a0000019b35a1665b0a23b4de_1785_1785.jpg?w=750&amp;h=750&amp;cp=1</v>
      </c>
      <c r="F162" t="inlineStr">
        <is>
          <t>T-Shirts</t>
        </is>
      </c>
      <c r="G162" t="inlineStr">
        <is>
          <t>Jack Jones</t>
        </is>
      </c>
      <c r="H162" t="inlineStr">
        <is>
          <t>63.00</t>
        </is>
      </c>
      <c r="I162">
        <v>9.13</v>
      </c>
      <c r="J162" t="inlineStr">
        <is>
          <t>{"id":"chatcmpl-DWcGIzGri7Q3JBJUiJBkpTJXwA4SU","object":"chat.completion","created":1776665946,"model":"gpt-5-chat-latest","choices":[{"index":0,"message":{"role":"assistant","content":"Jack &amp; Jones White Cotton Logo T-Shirt","refusal":null,"annotations":[]},"logprobs":null,"finish_reason":"stop"}],"usage":{"prompt_tokens":884,"completion_tokens":9,"total_tokens":893,"prompt_tokens_details":{"cached_tokens":0,"audio_tokens":0},"completion_tokens_details":{"reasoning_tokens":0,"audio_tokens":0,"accepted_prediction_tokens":0,"rejected_prediction_tokens":0}},"service_tier":"default","system_fingerprint":"fp_ad66631dec"}</t>
        </is>
      </c>
      <c r="K162" t="inlineStr">
        <is>
          <t>Jack &amp; Jones White Cotton Logo T-Shirt</t>
        </is>
      </c>
      <c r="L162" t="inlineStr">
        <is>
          <t>{"id":"chatcmpl-DWaSMJzMae7MmSu9NJVUplpfMAuZB","object":"chat.completion","created":1776659006,"model":"gpt-5-chat-latest","choices":[{"index":0,"message":{"role":"assistant","content":"Jack &amp; Jones White Loose Fit Printed T-Shirt, made of premium cotton for breathable softness, features a blue-white logo for a clean urban look. Unisex design, perfect for casual and trendy wear.","refusal":null,"annotations":[]},"logprobs":null,"finish_reason":"stop"}],"usage":{"prompt_tokens":904,"completion_tokens":41,"total_tokens":945,"prompt_tokens_details":{"cached_tokens":0,"audio_tokens":0},"completion_tokens_details":{"reasoning_tokens":0,"audio_tokens":0,"accepted_prediction_tokens":0,"rejected_prediction_tokens":0}},"service_tier":"default","system_fingerprint":"fp_ad66631dec"}</t>
        </is>
      </c>
      <c r="M162"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ma=2592000","apim-request-id":"a24f6990-861f-49eb-91fd-fec8cdee76de","azureml-model-session":"d20260402075109-1fc5a0ec","cache-control":"no-cache, no-store, must-revalidate","connection":"close","content-length":"999","content-security-policy":"frame-ancestors 'self'","content-type":"application/json","date":"Mon, 20 Apr 2026 04:23:28 GMT","server":"Caddy","skip-error-remapping":"true","strict-transport-security":"max-age=31536000; includeSubDomains; preload","via":"1.1 Caddy","x-api-request-id":"20260420122324861731903zd35fW8N","x-content-type-options":"nosniff","x-frame-options":"SAMEORIGIN","x-ms-is-spilled-over":"false","x-ms-rai-invoked":"false","x-ms-region":"Sweden Central","x-new-api-version":"0.4.39","x-oneapi-request-id":"202604200423247964137798268d9d6iocdukFV","x-ratelimit-abusepenalty-active":"False","x-ratelimit-limit-requests":"4993","x-ratelimit-limit-tokens":"4993000","x-ratelimit-remaining-requests":"4992","x-ratelimit-remaining-tokens":"4991334","x-ratelimit-renewalperiod-requests":"60","x-ratelimit-renewalperiod-tokens":"60","x-ratelimit-reset-requests":"12","x-ratelimit-reset-tokens":"20","x-request-id":"404db15f-9bac-49c4-8335-36d88d04b3be"}</t>
        </is>
      </c>
      <c r="N162" t="inlineStr">
        <is>
          <t>Jack &amp; Jones White Loose Fit Printed T-Shirt, made of premium cotton for breathable softness, features a blue-white logo for a clean urban look. Unisex design, perfect for casual and trendy wear.</t>
        </is>
      </c>
      <c r="O162" t="inlineStr">
        <is>
          <t>{"choices":[{"finish_reason":"stop","index":0,"logprobs":null,"message":{"annotations":[],"content":"Jack Jones,T-Shirts,kakobuy,kakebuy2026,kekobuysheet,kakobuysheet2026,2026kakobuy,kakobuyspreadsheeet,kakobuylink,kakebuylist,Kakobuy MEGA Spreadsheet,kakobuysheetfind,kakobuysheetfind2026,2026kakobuysheetfind,kakobuysheet2026","refusal":null,"role":"assistant"}}],"created":1776667567,"id":"chatcmpl-DWcgRBBLILa5faiQzhWSlpKk4QJSW","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P162" t="inlineStr">
        <is>
          <t>Jack Jones,T-Shirts,kakobuy,kakebuy2026,kekobuysheet,kakobuysheet2026,2026kakobuy,kakobuyspreadsheeet,kakobuylink,kakebuylist,Kakobuy MEGA Spreadsheet,kakobuysheetfind,kakobuysheetfind2026,2026kakobuysheetfind,kakobuysheet2026</t>
        </is>
      </c>
      <c r="Q162" t="inlineStr">
        <is>
          <t>White, Breathable, Unisex</t>
        </is>
      </c>
      <c r="R162" t="inlineStr">
        <is>
          <t>recvh6xFVjkPy6</t>
        </is>
      </c>
      <c r="S162" t="inlineStr">
        <is>
          <t>jack-jones-white-cotton-logo-tshirt-recvh6xfvjkpy6</t>
        </is>
      </c>
      <c r="T162"/>
      <c r="U162"/>
      <c r="V162"/>
      <c r="W162" t="inlineStr">
        <is>
          <t>{"id":"chatcmpl-DWZU33v1mtIffvybivgM3vpxFiVqz","object":"chat.completion","created":1776655267,"model":"gpt-5-chat-latest","choices":[{"index":0,"message":{"role":"assistant","content":"Jack Jones：白色宽松版印花T恤，甄选纯棉面料，透气柔软，蓝白撞色LOGO设计展现简约都市风格，男女皆宜，休闲百搭尽释潮流态度。","refusal":null,"annotations":[]},"logprobs":null,"finish_reason":"stop"}],"usage":{"prompt_tokens":1334,"completion_tokens":59,"total_tokens":1393,"prompt_tokens_details":{"cached_tokens":0,"audio_tokens":0},"completion_tokens_details":{"reasoning_tokens":0,"audio_tokens":0,"accepted_prediction_tokens":0,"rejected_prediction_tokens":0}},"service_tier":"default","system_fingerprint":"fp_ad66631dec"}</t>
        </is>
      </c>
      <c r="X162" t="inlineStr">
        <is>
          <t>Jack Jones：白色宽松版印花T恤，甄选纯棉面料，透气柔软，蓝白撞色LOGO设计展现简约都市风格，男女皆宜，休闲百搭尽释潮流态度。</t>
        </is>
      </c>
    </row>
    <row r="163" ht="25.5" customHeight="1">
      <c r="A163">
        <v>1839115443</v>
      </c>
      <c r="B163">
        <v>7637207029</v>
      </c>
      <c r="C163" t="inlineStr">
        <is>
          <t>https://weidian.com/item.html?itemID=7637207029</t>
        </is>
      </c>
      <c r="D163"/>
      <c r="E163" s="2" t="str">
        <f>=HYPERLINK("https://si.geilicdn.com/open1839115443-252808396-2a320000019b35a166950a8115c2_1785_1785.jpg?w=750&amp;h=750&amp;cp=1", "https://si.geilicdn.com/open1839115443-252808396-2a320000019b35a166950a8115c2_1785_1785.jpg?w=750&amp;h=750&amp;cp=1")</f>
        <v>https://si.geilicdn.com/open1839115443-252808396-2a320000019b35a166950a8115c2_1785_1785.jpg?w=750&amp;h=750&amp;cp=1</v>
      </c>
      <c r="F163" t="inlineStr">
        <is>
          <t>T-Shirts</t>
        </is>
      </c>
      <c r="G163" t="inlineStr">
        <is>
          <t>Other</t>
        </is>
      </c>
      <c r="H163" t="inlineStr">
        <is>
          <t>63.00</t>
        </is>
      </c>
      <c r="I163">
        <v>9.13</v>
      </c>
      <c r="J163" t="inlineStr">
        <is>
          <t>{"choices":[{"finish_reason":"stop","index":0,"logprobs":null,"message":{"annotations":[],"content":"Paul &amp; Shark White Nautical Shark Graphic T-Shirt","refusal":null,"role":"assistant"}}],"created":1776666286,"id":"chatcmpl-DWcLmaGK1vyVFEVCRCs2AbL2u3xVU","model":"gpt-5-chat-latest","object":"chat.completion","service_tier":"default","system_fingerprint":"fp_ad66631dec","usage":{"completion_tokens":11,"completion_tokens_details":{"accepted_prediction_tokens":0,"audio_tokens":0,"reasoning_tokens":0,"rejected_prediction_tokens":0},"prompt_tokens":875,"prompt_tokens_details":{"audio_tokens":0,"cached_tokens":0},"total_tokens":886}}</t>
        </is>
      </c>
      <c r="K163" t="inlineStr">
        <is>
          <t>Paul &amp; Shark White Nautical Shark Graphic T-Shirt</t>
        </is>
      </c>
      <c r="L163" t="inlineStr">
        <is>
          <t>{"id":"chatcmpl-DWaYax1aizJiOesqxNA4pzu7OVvfl","object":"chat.completion","created":1776659392,"model":"gpt-5-chat-latest","choices":[{"index":0,"message":{"role":"assistant","content":"PAUL &amp; SHARK White Nautical Shark Graphic Cotton T-Shirt, soft and breathable fabric, retro letter print, relaxed unisex fit for daily casual or ocean-inspired street style.","refusal":null,"annotations":[]},"logprobs":null,"finish_reason":"stop"}],"usage":{"prompt_tokens":904,"completion_tokens":37,"total_tokens":941,"prompt_tokens_details":{"cached_tokens":0,"audio_tokens":0},"completion_tokens_details":{"reasoning_tokens":0,"audio_tokens":0,"accepted_prediction_tokens":0,"rejected_prediction_tokens":0}},"service_tier":"default","system_fingerprint":"fp_ad66631dec"}</t>
        </is>
      </c>
      <c r="M163"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ma=2592000","apim-request-id":"f689b5b0-e756-42af-8b2b-0ab3e65e691a","azureml-model-session":"d20260405234249-f9874baf","cache-control":"no-cache, no-store, must-revalidate","connection":"close","content-length":"977","content-security-policy":"frame-ancestors 'self'","content-type":"application/json","date":"Mon, 20 Apr 2026 04:29:54 GMT","server":"Caddy","skip-error-remapping":"true","strict-transport-security":"max-age=31536000; includeSubDomains; preload","via":"1.1 Caddy","x-api-request-id":"20260420122951758291399tLzQiHVO","x-content-type-options":"nosniff","x-frame-options":"SAMEORIGIN","x-ms-is-spilled-over":"false","x-ms-rai-invoked":"false","x-ms-region":"East US 2","x-new-api-version":"0.4.39","x-oneapi-request-id":"202604200429516756292068268d9d6He5SOnrd","x-ratelimit-abusepenalty-active":"False","x-ratelimit-limit-requests":"4994","x-ratelimit-limit-tokens":"4994000","x-ratelimit-remaining-requests":"4993","x-ratelimit-remaining-tokens":"4992334","x-ratelimit-renewalperiod-requests":"60","x-ratelimit-renewalperiod-tokens":"60","x-ratelimit-reset-requests":"12","x-ratelimit-reset-tokens":"20","x-request-id":"806f86de-75f8-4ba0-b17e-9680bc8ddb24"}</t>
        </is>
      </c>
      <c r="N163" t="inlineStr">
        <is>
          <t>PAUL &amp; SHARK White Nautical Shark Graphic Cotton T-Shirt, soft and breathable fabric, retro letter print, relaxed unisex fit for daily casual or ocean-inspired street style.</t>
        </is>
      </c>
      <c r="O163" t="inlineStr">
        <is>
          <t>{"id":"chatcmpl-DWceYVKyeiwj7oNljKNgiSxqAiFpg","object":"chat.completion","created":1776667450,"model":"gpt-5-chat-latest","choices":[{"index":0,"message":{"role":"assistant","content":"Paul &amp; Shark,T-Shirts,kakobuy,kakebuy2026,kekobuysheet,kakobuysheet2026,2026kakobuy,kakobuyspreadsheeet,kakobuylink,kakebuylist,Kakobuy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88,"total_tokens":870,"prompt_tokens_details":{"cached_tokens":0,"audio_tokens":0},"completion_tokens_details":{"reasoning_tokens":0,"audio_tokens":0,"accepted_prediction_tokens":0,"rejected_prediction_tokens":0}},"service_tier":"default","system_fingerprint":"fp_ad66631dec"}</t>
        </is>
      </c>
      <c r="P163" t="inlineStr">
        <is>
          <t>Paul &amp; Shark,T-Shirts,kakobuy,kakebuy2026,kekobuysheet,kakobuysheet2026,2026kakobuy,kakobuyspreadsheeet,kakobuylink,kakebuylist,Kakobuy MEGA Spreadsheet,kakobuysheetfind,kakobuysheetfind2026,2026kakobuysheetfind,kakobuysheet2026</t>
        </is>
      </c>
      <c r="Q163" t="inlineStr">
        <is>
          <t>White, Nautical, Retro, Unisex</t>
        </is>
      </c>
      <c r="R163" t="inlineStr">
        <is>
          <t>recvh6xFVjSIz2</t>
        </is>
      </c>
      <c r="S163" t="inlineStr">
        <is>
          <t>paul-shark-white-nautical-shark-graphic-t-shirt-recvh6xfvjsi</t>
        </is>
      </c>
      <c r="T163"/>
      <c r="U163"/>
      <c r="V163"/>
      <c r="W163" t="inlineStr">
        <is>
          <t>{"id":"chatcmpl-DWZTAWULOJ4W70ZpKND5G72Q9g0bX","object":"chat.completion","created":1776655212,"model":"gpt-5-chat-latest","choices":[{"index":0,"message":{"role":"assistant","content":"白色航海系列休闲T恤，采用柔软纯棉面料，胸前鲨鱼图腾搭配复古字母印花，彰显海洋运动精神与街头潮流感，宽松版型适合男女日常休闲穿搭。","refusal":null,"annotations":[]},"logprobs":null,"finish_reason":"stop"}],"usage":{"prompt_tokens":1323,"completion_tokens":64,"total_tokens":1387,"prompt_tokens_details":{"cached_tokens":0,"audio_tokens":0},"completion_tokens_details":{"reasoning_tokens":0,"audio_tokens":0,"accepted_prediction_tokens":0,"rejected_prediction_tokens":0}},"service_tier":"default","system_fingerprint":"fp_ad66631dec"}</t>
        </is>
      </c>
      <c r="X163" t="inlineStr">
        <is>
          <t>白色航海系列休闲T恤，采用柔软纯棉面料，胸前鲨鱼图腾搭配复古字母印花，彰显海洋运动精神与街头潮流感，宽松版型适合男女日常休闲穿搭。</t>
        </is>
      </c>
    </row>
    <row r="164" ht="25.5" customHeight="1">
      <c r="A164">
        <v>1839115443</v>
      </c>
      <c r="B164">
        <v>7637222183</v>
      </c>
      <c r="C164" t="inlineStr">
        <is>
          <t>https://weidian.com/item.html?itemID=7637222183</t>
        </is>
      </c>
      <c r="D164"/>
      <c r="E164" s="2" t="str">
        <f>=HYPERLINK("https://si.geilicdn.com/open1839115443-252808396-43ff0000019b35a16bb50a22d249_1785_1785.jpg?w=750&amp;h=750&amp;cp=1", "https://si.geilicdn.com/open1839115443-252808396-43ff0000019b35a16bb50a22d249_1785_1785.jpg?w=750&amp;h=750&amp;cp=1")</f>
        <v>https://si.geilicdn.com/open1839115443-252808396-43ff0000019b35a16bb50a22d249_1785_1785.jpg?w=750&amp;h=750&amp;cp=1</v>
      </c>
      <c r="F164" t="inlineStr">
        <is>
          <t>T-Shirts</t>
        </is>
      </c>
      <c r="G164" t="inlineStr">
        <is>
          <t>Jack Jones</t>
        </is>
      </c>
      <c r="H164" t="inlineStr">
        <is>
          <t>63.00</t>
        </is>
      </c>
      <c r="I164">
        <v>9.13</v>
      </c>
      <c r="J164" t="inlineStr">
        <is>
          <t>{"choices":[{"finish_reason":"stop","index":0,"logprobs":null,"message":{"annotations":[],"content":"Jack &amp; Jones White Cotton Logo Geometric Print T-Shirt","refusal":null,"role":"assistant"}}],"created":1776665734,"id":"chatcmpl-DWcCsGwtieDvATkbcWaUtEKlI0u4m","model":"gpt-5-chat-latest","object":"chat.completion","service_tier":"default","system_fingerprint":"fp_ad66631dec","usage":{"completion_tokens":12,"completion_tokens_details":{"accepted_prediction_tokens":0,"audio_tokens":0,"reasoning_tokens":0,"rejected_prediction_tokens":0},"prompt_tokens":874,"prompt_tokens_details":{"audio_tokens":0,"cached_tokens":0},"total_tokens":886}}</t>
        </is>
      </c>
      <c r="K164" t="inlineStr">
        <is>
          <t>Jack &amp; Jones White Cotton Logo Geometric Print T-Shirt</t>
        </is>
      </c>
      <c r="L164" t="inlineStr">
        <is>
          <t>{"id":"chatcmpl-DWaNNsVpJWQRwZyKinU53D2jyU1lV","object":"chat.completion","created":1776658697,"model":"gpt-5-chat-latest","choices":[{"index":0,"message":{"role":"assistant","content":"Jack &amp; Jones White Cotton T-Shirt with logo and geometric print, breathable loose fit for men and women, perfect for daily wear and summer outings, youthful and urban casual style.","refusal":null,"annotations":[]},"logprobs":null,"finish_reason":"stop"}],"usage":{"prompt_tokens":919,"completion_tokens":36,"total_tokens":955,"prompt_tokens_details":{"cached_tokens":0,"audio_tokens":0},"completion_tokens_details":{"reasoning_tokens":0,"audio_tokens":0,"accepted_prediction_tokens":0,"rejected_prediction_tokens":0}},"service_tier":"default","system_fingerprint":"fp_ad66631dec"}</t>
        </is>
      </c>
      <c r="M164"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ma=2592000","apim-request-id":"4beb0197-7f01-4c57-819e-ef94bdce4b6e","azureml-model-session":"d20260405212659-a9daa006","cache-control":"no-cache, no-store, must-revalidate","connection":"close","content-length":"984","content-security-policy":"frame-ancestors 'self'","content-type":"application/json","date":"Mon, 20 Apr 2026 04:18:18 GMT","server":"Caddy","skip-error-remapping":"true","strict-transport-security":"max-age=31536000; includeSubDomains; preload","via":"1.1 Caddy","x-api-request-id":"20260420121816775643977QddRDmV","x-content-type-options":"nosniff","x-frame-options":"SAMEORIGIN","x-ms-is-spilled-over":"false","x-ms-rai-invoked":"false","x-ms-region":"East US 2","x-new-api-version":"0.4.39","x-oneapi-request-id":"20260420041816101552168268d9d6jkD50X38","x-ratelimit-abusepenalty-active":"False","x-ratelimit-limit-requests":"4994","x-ratelimit-limit-tokens":"4994000","x-ratelimit-remaining-requests":"4993","x-ratelimit-remaining-tokens":"4992319","x-ratelimit-renewalperiod-requests":"60","x-ratelimit-renewalperiod-tokens":"60","x-ratelimit-reset-requests":"12","x-ratelimit-reset-tokens":"20","x-request-id":"711facd8-5685-43bb-a7cc-2c5709380b2a"}</t>
        </is>
      </c>
      <c r="N164" t="inlineStr">
        <is>
          <t>Jack &amp; Jones White Cotton T-Shirt with logo and geometric print, breathable loose fit for men and women, perfect for daily wear and summer outings, youthful and urban casual style.</t>
        </is>
      </c>
      <c r="O164" t="inlineStr">
        <is>
          <t>{"choices":[{"finish_reason":"stop","index":0,"logprobs":null,"message":{"annotations":[],"content":"Jack Jones,T-Shirts,kakobuy,kakebuy2026,kekobuysheet,kakobuysheet2026,2026kakobuy,kakobuyspreadsheeet,kakobuylink,kakebuylist,Kakobuy MEGA Spreadsheet,kakobuysheetfind,kakobuysheetfind2026,2026kakobuysheetfind,kakobuysheet2026","refusal":null,"role":"assistant"}}],"created":1776667622,"id":"chatcmpl-DWchKxHGARQCLaeP9c2svjP3Vwfi6","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P164" t="inlineStr">
        <is>
          <t>Jack Jones,T-Shirts,kakobuy,kakebuy2026,kekobuysheet,kakobuysheet2026,2026kakobuy,kakobuyspreadsheeet,kakobuylink,kakebuylist,Kakobuy MEGA Spreadsheet,kakobuysheetfind,kakobuysheetfind2026,2026kakobuysheetfind,kakobuysheet2026</t>
        </is>
      </c>
      <c r="Q164" t="inlineStr">
        <is>
          <t>White, Breathable, Summer, Unisex</t>
        </is>
      </c>
      <c r="R164" t="inlineStr">
        <is>
          <t>recvh6xFVjWbPS</t>
        </is>
      </c>
      <c r="S164" t="inlineStr">
        <is>
          <t>jack-jones-white-cotton-logo-geometric-print-tshirt-recvh6xFVjWbPS</t>
        </is>
      </c>
      <c r="T164"/>
      <c r="U164"/>
      <c r="V164"/>
      <c r="W164" t="inlineStr">
        <is>
          <t>{"choices":[{"finish_reason":"stop","index":0,"logprobs":null,"message":{"annotations":[],"content":"Jack Jones：白色休闲短袖T恤，采用高品质纯棉面料，宽松剪裁透气舒适。正面印有品牌标识与几何拼色设计，呈现简约都市风格，适合男女日常穿搭与夏季出行，尽显年轻活力与时尚态度。","refusal":null,"role":"assistant"}}],"created":1776655394,"id":"chatcmpl-DWZW6JjxCzTZWdx14CQ7AbbMOHyJN","model":"gpt-5-chat-latest","object":"chat.completion","service_tier":"default","system_fingerprint":"fp_ad66631dec","usage":{"completion_tokens":78,"completion_tokens_details":{"accepted_prediction_tokens":0,"audio_tokens":0,"reasoning_tokens":0,"rejected_prediction_tokens":0},"prompt_tokens":1326,"prompt_tokens_details":{"audio_tokens":0,"cached_tokens":0},"total_tokens":1404}}</t>
        </is>
      </c>
      <c r="X164" t="inlineStr">
        <is>
          <t>Jack Jones：白色休闲短袖T恤，采用高品质纯棉面料，宽松剪裁透气舒适。正面印有品牌标识与几何拼色设计，呈现简约都市风格，适合男女日常穿搭与夏季出行，尽显年轻活力与时尚态度。</t>
        </is>
      </c>
    </row>
    <row r="165" ht="25.5" customHeight="1">
      <c r="A165">
        <v>1839115443</v>
      </c>
      <c r="B165">
        <v>7637265895</v>
      </c>
      <c r="C165" t="inlineStr">
        <is>
          <t>https://weidian.com/item.html?itemID=7637265895</t>
        </is>
      </c>
      <c r="D165"/>
      <c r="E165" s="2" t="str">
        <f>=HYPERLINK("https://si.geilicdn.com/open1839115443-252808396-559b0000019b35a168b80aa086a7_1785_1785.jpg?w=750&amp;h=750&amp;cp=1", "https://si.geilicdn.com/open1839115443-252808396-559b0000019b35a168b80aa086a7_1785_1785.jpg?w=750&amp;h=750&amp;cp=1")</f>
        <v>https://si.geilicdn.com/open1839115443-252808396-559b0000019b35a168b80aa086a7_1785_1785.jpg?w=750&amp;h=750&amp;cp=1</v>
      </c>
      <c r="F165" t="inlineStr">
        <is>
          <t>T-Shirts</t>
        </is>
      </c>
      <c r="G165" t="inlineStr">
        <is>
          <t>Other</t>
        </is>
      </c>
      <c r="H165" t="inlineStr">
        <is>
          <t>63.00</t>
        </is>
      </c>
      <c r="I165">
        <v>9.13</v>
      </c>
      <c r="J165" t="inlineStr">
        <is>
          <t>{"choices":[{"finish_reason":"stop","index":0,"logprobs":null,"message":{"annotations":[],"content":"Paul &amp; Shark Nautical Shark Print Dark Green T-Shirt","refusal":null,"role":"assistant"}}],"created":1776666281,"id":"chatcmpl-DWcLhhPQU1byYqPbGxLRN8WhLaAiq","model":"gpt-5-chat-latest","object":"chat.completion","service_tier":"default","system_fingerprint":"fp_ad66631dec","usage":{"completion_tokens":12,"completion_tokens_details":{"accepted_prediction_tokens":0,"audio_tokens":0,"reasoning_tokens":0,"rejected_prediction_tokens":0},"prompt_tokens":867,"prompt_tokens_details":{"audio_tokens":0,"cached_tokens":0},"total_tokens":879}}</t>
        </is>
      </c>
      <c r="K165" t="inlineStr">
        <is>
          <t>Paul &amp; Shark Nautical Shark Print Dark Green T-Shirt</t>
        </is>
      </c>
      <c r="L165" t="inlineStr">
        <is>
          <t>{"id":"chatcmpl-DWaREEDrYhxAlyvOWZdeVZrsyizyI","object":"chat.completion","created":1776658936,"model":"gpt-5-chat-latest","choices":[{"index":0,"message":{"role":"assistant","content":"PAUL &amp; SHARK nautical dark gray-green cotton T-shirt with shark totem and vintage lettering, unisex loose fit for urban casual style and sporty vibes.","refusal":null,"annotations":[]},"logprobs":null,"finish_reason":"stop"}],"usage":{"prompt_tokens":911,"completion_tokens":33,"total_tokens":944,"prompt_tokens_details":{"cached_tokens":0,"audio_tokens":0},"completion_tokens_details":{"reasoning_tokens":0,"audio_tokens":0,"accepted_prediction_tokens":0,"rejected_prediction_tokens":0}},"service_tier":"default","system_fingerprint":"fp_ad66631dec"}</t>
        </is>
      </c>
      <c r="M165"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ma=2592000","apim-request-id":"2b480d05-0a8f-4b1f-8d87-3bff9c395db0","azureml-model-session":"d20260405234249-f9874baf","cache-control":"no-cache, no-store, must-revalidate","connection":"close","content-length":"954","content-security-policy":"frame-ancestors 'self'","content-type":"application/json","date":"Mon, 20 Apr 2026 04:22:18 GMT","server":"nginx","skip-error-remapping":"true","strict-transport-security":"max-age=31536000; includeSubDomains; preload","via":"1.1 Caddy, 1.1 Caddy","x-api-request-id":"20260420122215254460376cCL71xkL","x-content-type-options":"nosniff","x-frame-options":"SAMEORIGIN","x-ms-is-spilled-over":"false","x-ms-rai-invoked":"false","x-ms-region":"Sweden Central","x-new-api-version":"0.4.39","x-oneapi-request-id":"202604200422151879045458268d9d6Jtm4msqv","x-ratelimit-abusepenalty-active":"False","x-ratelimit-limit-requests":"4993","x-ratelimit-limit-tokens":"4993000","x-ratelimit-remaining-requests":"4992","x-ratelimit-remaining-tokens":"4991327","x-ratelimit-renewalperiod-requests":"60","x-ratelimit-renewalperiod-tokens":"60","x-ratelimit-reset-requests":"12","x-ratelimit-reset-tokens":"20","x-request-id":"dad58f9b-c38b-4778-83b2-dac780d70bc7"}</t>
        </is>
      </c>
      <c r="N165" t="inlineStr">
        <is>
          <t>PAUL &amp; SHARK nautical dark gray-green cotton T-shirt with shark totem and vintage lettering, unisex loose fit for urban casual style and sporty vibes.</t>
        </is>
      </c>
      <c r="O165" t="inlineStr">
        <is>
          <t>{"choices":[{"finish_reason":"stop","index":0,"logprobs":null,"message":{"annotations":[],"content":"Paul &amp; Shark,T-Shirts,kakobuy,kakebuy2026,kekobuysheet,kakobuysheet2026,2026kakobuy,kakobuyspreadsheeet,kakobuylink,kakebuylist,Kakobuy MEGA Spreadsheet,kakobuysheetfind,kakobuysheetfind2026,2026kakobuysheetfind,kakobuysheet2026","refusal":null,"role":"assistant"}}],"created":1776668074,"id":"chatcmpl-DWcocVGjEYVPeIIXfAS36BUQqhFru","model":"gpt-5-chat-latest","object":"chat.completion","service_tier":"default","system_fingerprint":"fp_ad66631dec","usage":{"completion_tokens":88,"completion_tokens_details":{"accepted_prediction_tokens":0,"audio_tokens":0,"reasoning_tokens":0,"rejected_prediction_tokens":0},"prompt_tokens":782,"prompt_tokens_details":{"audio_tokens":0,"cached_tokens":0},"total_tokens":870}}</t>
        </is>
      </c>
      <c r="P165" t="inlineStr">
        <is>
          <t>Paul &amp; Shark,T-Shirts,kakobuy,kakebuy2026,kekobuysheet,kakobuysheet2026,2026kakobuy,kakobuyspreadsheeet,kakobuylink,kakebuylist,Kakobuy MEGA Spreadsheet,kakobuysheetfind,kakobuysheetfind2026,2026kakobuysheetfind,kakobuysheet2026</t>
        </is>
      </c>
      <c r="Q165" t="inlineStr">
        <is>
          <t>Nautical, Dark Grey, Grey Green, Unisex</t>
        </is>
      </c>
      <c r="R165" t="inlineStr">
        <is>
          <t>recvh6xFVjT0gl</t>
        </is>
      </c>
      <c r="S165" t="inlineStr">
        <is>
          <t>paul-shark-nautical-shark-print-dark-green-recvh6xFVjT0gl</t>
        </is>
      </c>
      <c r="T165"/>
      <c r="U165"/>
      <c r="V165"/>
      <c r="W165" t="inlineStr">
        <is>
          <t>{"id":"chatcmpl-DWZMNIGjpyCHRN3vq4PQVXX3rfjkH","object":"chat.completion","created":1776654791,"model":"gpt-5-chat-2025-10-03","choices":[{"index":0,"message":{"role":"assistant","content":"深灰绿色航海系列短袖T恤，舒适纯棉面料，胸前鲨鱼图腾搭配复古字母印花设计，呈现浓厚海洋休闲风格，宽松版型适合男女日常穿搭，展现都市潮流与运动活力。","refusal":null,"annotations":[]},"logprobs":null,"finish_reason":"stop"}],"usage":{"prompt_tokens":1323,"completion_tokens":71,"total_tokens":1394,"prompt_tokens_details":{"cached_tokens":0,"audio_tokens":0},"completion_tokens_details":{"reasoning_tokens":0,"audio_tokens":0,"accepted_prediction_tokens":0,"rejected_prediction_tokens":0}},"service_tier":"default","system_fingerprint":"fp_ad66631dec"}</t>
        </is>
      </c>
      <c r="X165" t="inlineStr">
        <is>
          <t>深灰绿色航海系列短袖T恤，舒适纯棉面料，胸前鲨鱼图腾搭配复古字母印花设计，呈现浓厚海洋休闲风格，宽松版型适合男女日常穿搭，展现都市潮流与运动活力。</t>
        </is>
      </c>
    </row>
    <row r="166" ht="25.5" customHeight="1">
      <c r="A166">
        <v>1839115443</v>
      </c>
      <c r="B166">
        <v>7640085196</v>
      </c>
      <c r="C166" t="inlineStr">
        <is>
          <t>https://weidian.com/item.html?itemID=7640085196</t>
        </is>
      </c>
      <c r="D166"/>
      <c r="E166" s="2" t="str">
        <f>=HYPERLINK("https://si.geilicdn.com/open1839115443-252808396-28450000019b35904d300a22d249_1340_1340.jpg?w=750&amp;h=750&amp;cp=1", "https://si.geilicdn.com/open1839115443-252808396-28450000019b35904d300a22d249_1340_1340.jpg?w=750&amp;h=750&amp;cp=1")</f>
        <v>https://si.geilicdn.com/open1839115443-252808396-28450000019b35904d300a22d249_1340_1340.jpg?w=750&amp;h=750&amp;cp=1</v>
      </c>
      <c r="F166" t="inlineStr">
        <is>
          <t>T-Shirts</t>
        </is>
      </c>
      <c r="G166" t="inlineStr">
        <is>
          <t>Other</t>
        </is>
      </c>
      <c r="H166" t="inlineStr">
        <is>
          <t>127.00</t>
        </is>
      </c>
      <c r="I166">
        <v>18.41</v>
      </c>
      <c r="J166" t="inlineStr">
        <is>
          <t>{"choices":[{"finish_reason":"stop","index":0,"logprobs":null,"message":{"annotations":[],"content":"Other Men’s Dark Green Striped Cotton Polo Shirt","refusal":null,"role":"assistant"}}],"created":1776666333,"id":"chatcmpl-DWcMX3ir2RYPwAHYBPw3eRlSZY1yE","model":"gpt-5-chat-latest","object":"chat.completion","service_tier":"default","system_fingerprint":"fp_ad66631dec","usage":{"completion_tokens":11,"completion_tokens_details":{"accepted_prediction_tokens":0,"audio_tokens":0,"reasoning_tokens":0,"rejected_prediction_tokens":0},"prompt_tokens":887,"prompt_tokens_details":{"audio_tokens":0,"cached_tokens":0},"total_tokens":898}}</t>
        </is>
      </c>
      <c r="K166" t="inlineStr">
        <is>
          <t>Other Men’s Dark Green Striped Cotton Polo Shirt</t>
        </is>
      </c>
      <c r="L166" t="inlineStr">
        <is>
          <t>{"choices":[{"finish_reason":"stop","index":0,"logprobs":null,"message":{"annotations":[],"content":"T-ShirtsOther Men’s Striped Polo Shirt, dark green and white knit cotton, soft breathable fabric, slim fit with 3-button collar, vintage British style for casual or business wear, modern and stylish.","refusal":null,"role":"assistant"}}],"created":1776659007,"id":"chatcmpl-DWaSNrlQ08Kc2hPf8ITYNElWD4Ouw","model":"gpt-5-chat-latest","object":"chat.completion","service_tier":"default","system_fingerprint":"fp_ad66631dec","usage":{"completion_tokens":43,"completion_tokens_details":{"accepted_prediction_tokens":0,"audio_tokens":0,"reasoning_tokens":0,"rejected_prediction_tokens":0},"prompt_tokens":912,"prompt_tokens_details":{"audio_tokens":0,"cached_tokens":0},"total_tokens":955}}</t>
        </is>
      </c>
      <c r="M166" t="inlineStr">
        <is>
          <t>{"alt-svc":"h3=\":443\"; ma=2592000","apim-request-id":"a99197f2-8e47-40ea-afcb-769e429d5f84","azureml-model-session":"d20260402083108-57a85543","cache-control":"no-cache","connection":"close","content-length":"789","content-security-policy":"frame-ancestors 'self'","content-type":"application/json","date":"Mon, 20 Apr 2026 04:23:29 GMT","server":"nginx","skip-error-remapping":"true","strict-transport-security":"max-age=31536000; includeSubDomains; preload","via":"1.1 Caddy, 1.1 Caddy","x-api-request-id":"202604201223262562714266hEv0eS6","x-content-type-options":"nosniff","x-frame-options":"SAMEORIGIN","x-ms-client-request-id":"Not-Set","x-ms-is-spilled-over":"false","x-ms-rai-invoked":"true","x-ms-region":"East US 2","x-new-api-version":"0.4.39","x-oneapi-request-id":"202604200423261881590158268d9d68sGih0BY","x-ratelimit-abusepenalty-active":"False","x-ratelimit-limit-requests":"3850","x-ratelimit-limit-tokens":"3850000","x-ratelimit-remaining-requests":"3849","x-ratelimit-remaining-tokens":"3848326","x-ratelimit-renewalperiod-requests":"60","x-ratelimit-renewalperiod-tokens":"60","x-ratelimit-reset-requests":"15","x-ratelimit-reset-tokens":"26","x-request-id":"07de0cae-005a-4b69-8322-24b130f3f35a"}</t>
        </is>
      </c>
      <c r="N166" t="inlineStr">
        <is>
          <t>T-ShirtsOther Men’s Striped Polo Shirt, dark green and white knit cotton, soft breathable fabric, slim fit with 3-button collar, vintage British style for casual or business wear, modern and stylish.</t>
        </is>
      </c>
      <c r="O166" t="inlineStr">
        <is>
          <t>{"choices":[{"finish_reason":"stop","index":0,"logprobs":null,"message":{"annotations":[],"content":"T-Shirts,Other,kakobuy,kakebuy2026,kekobuysheet,kakobuysheet2026,2026kakobuy,kakobuyspreadsheeet,kakobuylink,kakebuylist,Kakobuy MEGA Spreadsheet,kakobuysheetfind,kakobuysheetfind2026,2026kakobuysheetfind,kakobuysheet2026","refusal":null,"role":"assistant"}}],"created":1776668269,"id":"chatcmpl-DWcrlGVUCQQWwwHaBjyZBJcKfQ4CW","model":"gpt-5-chat-latest","object":"chat.completion","service_tier":"default","system_fingerprint":"fp_ad66631dec","usage":{"completion_tokens":87,"completion_tokens_details":{"accepted_prediction_tokens":0,"audio_tokens":0,"reasoning_tokens":0,"rejected_prediction_tokens":0},"prompt_tokens":782,"prompt_tokens_details":{"audio_tokens":0,"cached_tokens":0},"total_tokens":869}}</t>
        </is>
      </c>
      <c r="P166" t="inlineStr">
        <is>
          <t>T-Shirts,Other,kakobuy,kakebuy2026,kekobuysheet,kakobuysheet2026,2026kakobuy,kakobuyspreadsheeet,kakobuylink,kakebuylist,Kakobuy MEGA Spreadsheet,kakobuysheetfind,kakobuysheetfind2026,2026kakobuysheetfind,kakobuysheet2026</t>
        </is>
      </c>
      <c r="Q166" t="inlineStr">
        <is>
          <t>Dark Green, White, Vintage, Business Casual</t>
        </is>
      </c>
      <c r="R166" t="inlineStr">
        <is>
          <t>recvh6xFVjjYyl</t>
        </is>
      </c>
      <c r="S166" t="inlineStr">
        <is>
          <t>other-mens-dark-green-striped-cotton-polo-recvh6xFVjjYyl</t>
        </is>
      </c>
      <c r="T166"/>
      <c r="U166"/>
      <c r="V166"/>
      <c r="W166" t="inlineStr">
        <is>
          <t>{"id":"chatcmpl-DWZMUI9aYlFLcvd1XOPfLbXImK3XH","object":"chat.completion","created":1776654798,"model":"gpt-5-chat-latest","choices":[{"index":0,"message":{"role":"assistant","content":"条纹系列墨绿色拼白色短袖针织Polo衫，柔软透气棉质面料，经典翻领三扣设计，修身剪裁展现利落线条，复古英伦风格，适合都市男性休闲通勤穿搭，兼具舒适与时尚气质。","refusal":null,"annotations":[]},"logprobs":null,"finish_reason":"stop"}],"usage":{"prompt_tokens":1319,"completion_tokens":74,"total_tokens":1393,"prompt_tokens_details":{"cached_tokens":0,"audio_tokens":0},"completion_tokens_details":{"reasoning_tokens":0,"audio_tokens":0,"accepted_prediction_tokens":0,"rejected_prediction_tokens":0}},"service_tier":"default","system_fingerprint":"fp_ad66631dec"}</t>
        </is>
      </c>
      <c r="X166" t="inlineStr">
        <is>
          <t>条纹系列墨绿色拼白色短袖针织Polo衫，柔软透气棉质面料，经典翻领三扣设计，修身剪裁展现利落线条，复古英伦风格，适合都市男性休闲通勤穿搭，兼具舒适与时尚气质。</t>
        </is>
      </c>
    </row>
    <row r="167" ht="25.5" customHeight="1">
      <c r="A167">
        <v>1839115443</v>
      </c>
      <c r="B167">
        <v>7637236167</v>
      </c>
      <c r="C167" t="inlineStr">
        <is>
          <t>https://weidian.com/item.html?itemID=7637236167</t>
        </is>
      </c>
      <c r="D167"/>
      <c r="E167" s="2" t="str">
        <f>=HYPERLINK("https://si.geilicdn.com/open1839115443-252808396-2a400000019b35a16b2c0a8115c2_1785_1785.jpg?w=750&amp;h=750&amp;cp=1", "https://si.geilicdn.com/open1839115443-252808396-2a400000019b35a16b2c0a8115c2_1785_1785.jpg?w=750&amp;h=750&amp;cp=1")</f>
        <v>https://si.geilicdn.com/open1839115443-252808396-2a400000019b35a16b2c0a8115c2_1785_1785.jpg?w=750&amp;h=750&amp;cp=1</v>
      </c>
      <c r="F167" t="inlineStr">
        <is>
          <t>T-Shirts</t>
        </is>
      </c>
      <c r="G167" t="inlineStr">
        <is>
          <t>Jack Jones</t>
        </is>
      </c>
      <c r="H167" t="inlineStr">
        <is>
          <t>63.00</t>
        </is>
      </c>
      <c r="I167">
        <v>9.13</v>
      </c>
      <c r="J167" t="inlineStr">
        <is>
          <t>{"id":"chatcmpl-DWcTJyqb1Z9KPGgDc7c2JoNuZu2dj","object":"chat.completion","created":1776666753,"model":"gpt-5-chat-latest","choices":[{"index":0,"message":{"role":"assistant","content":"Jack &amp; Jones Urban Explorer White Cotton T-Shirt","refusal":null,"annotations":[]},"logprobs":null,"finish_reason":"stop"}],"usage":{"prompt_tokens":870,"completion_tokens":10,"total_tokens":880,"prompt_tokens_details":{"cached_tokens":0,"audio_tokens":0},"completion_tokens_details":{"reasoning_tokens":0,"audio_tokens":0,"accepted_prediction_tokens":0,"rejected_prediction_tokens":0}},"service_tier":"default","system_fingerprint":"fp_ad66631dec"}</t>
        </is>
      </c>
      <c r="K167" t="inlineStr">
        <is>
          <t>Jack &amp; Jones Urban Explorer White Cotton T-Shirt</t>
        </is>
      </c>
      <c r="L167" t="inlineStr">
        <is>
          <t>{"choices":[{"finish_reason":"stop","index":0,"logprobs":null,"message":{"annotations":[],"content":"Jack &amp; Jones Urban Explorer White T-Shirt, made of soft cotton with a star compass and logo print, unisex streetwear style for casual fashion and everyday comfort.","refusal":null,"role":"assistant"}}],"created":1776658833,"id":"chatcmpl-DWaPZ3lAV0vkxm4Fkf7b8SuiYVig6","model":"gpt-5-chat-latest","object":"chat.completion","service_tier":"default","system_fingerprint":"fp_ad66631dec","usage":{"completion_tokens":34,"completion_tokens_details":{"accepted_prediction_tokens":0,"audio_tokens":0,"reasoning_tokens":0,"rejected_prediction_tokens":0},"prompt_tokens":905,"prompt_tokens_details":{"audio_tokens":0,"cached_tokens":0},"total_tokens":939}}</t>
        </is>
      </c>
      <c r="M167" t="inlineStr">
        <is>
          <t>{"alt-svc":"h3=\":443\"; ma=2592000","apim-request-id":"d276092b-b782-4a86-bedc-01e05888c145","azureml-model-session":"d20260402074105-51db401e","cache-control":"no-cache","connection":"close","content-length":"756","content-security-policy":"frame-ancestors 'self'","content-type":"application/json","date":"Mon, 20 Apr 2026 04:20:35 GMT","server":"Caddy","skip-error-remapping":"true","strict-transport-security":"max-age=31536000; includeSubDomains; preload","via":"1.1 Caddy","x-api-request-id":"20260420122032546821234SD1PwPT6","x-content-type-options":"nosniff","x-frame-options":"SAMEORIGIN","x-ms-client-request-id":"Not-Set","x-ms-is-spilled-over":"false","x-ms-rai-invoked":"true","x-ms-region":"East US 2","x-new-api-version":"0.4.39","x-oneapi-request-id":"202604200420324817583358268d9d6BsBlEwAD","x-ratelimit-abusepenalty-active":"False","x-ratelimit-limit-requests":"3850","x-ratelimit-limit-tokens":"3850000","x-ratelimit-remaining-requests":"3849","x-ratelimit-remaining-tokens":"3848333","x-ratelimit-renewalperiod-requests":"60","x-ratelimit-renewalperiod-tokens":"60","x-ratelimit-reset-requests":"15","x-ratelimit-reset-tokens":"25","x-request-id":"008dfc87-916d-475f-ac9e-1858227b564b"}</t>
        </is>
      </c>
      <c r="N167" t="inlineStr">
        <is>
          <t>Jack &amp; Jones Urban Explorer White T-Shirt, made of soft cotton with a star compass and logo print, unisex streetwear style for casual fashion and everyday comfort.</t>
        </is>
      </c>
      <c r="O167" t="inlineStr">
        <is>
          <t>{"choices":[{"finish_reason":"stop","index":0,"logprobs":null,"message":{"annotations":[],"content":"Jack Jones, T-Shirts, kakobuy, kakebuy2026, kekobuysheet, kakobuysheet2026, 2026kakobuy, kakobuyspreadsheeet, kakobuylink, kakebuylist, Kakobuy MEGA Spreadsheet, kakobuysheetfind, kakobuysheetfind2026, 2026kakobuysheetfind, kakobuysheet2026","refusal":null,"role":"assistant"}}],"created":1776667557,"id":"chatcmpl-DWcgH9thD3Nz0agVx7yL6udud3wEl","model":"gpt-5-chat-latest","object":"chat.completion","service_tier":"default","system_fingerprint":"fp_ad66631dec","usage":{"completion_tokens":92,"completion_tokens_details":{"accepted_prediction_tokens":0,"audio_tokens":0,"reasoning_tokens":0,"rejected_prediction_tokens":0},"prompt_tokens":783,"prompt_tokens_details":{"audio_tokens":0,"cached_tokens":0},"total_tokens":875}}</t>
        </is>
      </c>
      <c r="P167" t="inlineStr">
        <is>
          <t>Jack Jones, T-Shirts, kakobuy, kakebuy2026, kekobuysheet, kakobuysheet2026, 2026kakobuy, kakobuyspreadsheeet, kakobuylink, kakebuylist, Kakobuy MEGA Spreadsheet, kakobuysheetfind, kakobuysheetfind2026, 2026kakobuysheetfind, kakobuysheet2026</t>
        </is>
      </c>
      <c r="Q167" t="inlineStr">
        <is>
          <t>White, Unisex, Streetwear, Comfort</t>
        </is>
      </c>
      <c r="R167" t="inlineStr">
        <is>
          <t>recvh6xFVjeg8K</t>
        </is>
      </c>
      <c r="S167" t="inlineStr">
        <is>
          <t>jack-jones-urban-explorer-white-cotton-tshirt-recvh6xfvjeg8k</t>
        </is>
      </c>
      <c r="T167"/>
      <c r="U167"/>
      <c r="V167"/>
      <c r="W167" t="inlineStr">
        <is>
          <t>{"choices":[{"finish_reason":"stop","index":0,"logprobs":null,"message":{"annotations":[],"content":"Jack Jones：白色都市探索系列T恤，采用柔软纯棉面料，胸前星形罗盘印花与品牌标识叠加设计，彰显街头潮流风格，男女皆宜，休闲时尚必备单品。","refusal":null,"role":"assistant"}}],"created":1776655766,"id":"chatcmpl-DWZc6v8wPXgQQ8lpVnPtgPSjrgRtN","model":"gpt-5-chat-latest","object":"chat.completion","service_tier":"default","system_fingerprint":"fp_ad66631dec","usage":{"completion_tokens":61,"completion_tokens_details":{"accepted_prediction_tokens":0,"audio_tokens":0,"reasoning_tokens":0,"rejected_prediction_tokens":0},"prompt_tokens":1332,"prompt_tokens_details":{"audio_tokens":0,"cached_tokens":0},"total_tokens":1393}}</t>
        </is>
      </c>
      <c r="X167" t="inlineStr">
        <is>
          <t>Jack Jones：白色都市探索系列T恤，采用柔软纯棉面料，胸前星形罗盘印花与品牌标识叠加设计，彰显街头潮流风格，男女皆宜，休闲时尚必备单品。</t>
        </is>
      </c>
    </row>
    <row r="168" ht="25.5" customHeight="1">
      <c r="A168">
        <v>1839115443</v>
      </c>
      <c r="B168">
        <v>7637168861</v>
      </c>
      <c r="C168" t="inlineStr">
        <is>
          <t>https://weidian.com/item.html?itemID=7637168861</t>
        </is>
      </c>
      <c r="D168"/>
      <c r="E168" s="2" t="str">
        <f>=HYPERLINK("https://si.geilicdn.com/open1839115443-252808396-0fb30000019b359100b50a8115c2_1785_1785.jpg?w=750&amp;h=750&amp;cp=1", "https://si.geilicdn.com/open1839115443-252808396-0fb30000019b359100b50a8115c2_1785_1785.jpg?w=750&amp;h=750&amp;cp=1")</f>
        <v>https://si.geilicdn.com/open1839115443-252808396-0fb30000019b359100b50a8115c2_1785_1785.jpg?w=750&amp;h=750&amp;cp=1</v>
      </c>
      <c r="F168" t="inlineStr">
        <is>
          <t>T-Shirts</t>
        </is>
      </c>
      <c r="G168" t="inlineStr">
        <is>
          <t>Jack Jones</t>
        </is>
      </c>
      <c r="H168" t="inlineStr">
        <is>
          <t>63.00</t>
        </is>
      </c>
      <c r="I168">
        <v>9.13</v>
      </c>
      <c r="J168" t="inlineStr">
        <is>
          <t>{"choices":[{"finish_reason":"stop","index":0,"logprobs":null,"message":{"annotations":[],"content":"Jack &amp; Jones Originals 1990 Black Cotton T-Shirt","refusal":null,"role":"assistant"}}],"created":1776666252,"id":"chatcmpl-DWcLE9D7Z60yYX8Zz5vA7971GTaKy","model":"gpt-5-chat-latest","object":"chat.completion","service_tier":"default","system_fingerprint":"fp_ad66631dec","usage":{"completion_tokens":12,"completion_tokens_details":{"accepted_prediction_tokens":0,"audio_tokens":0,"reasoning_tokens":0,"rejected_prediction_tokens":0},"prompt_tokens":868,"prompt_tokens_details":{"audio_tokens":0,"cached_tokens":0},"total_tokens":880}}</t>
        </is>
      </c>
      <c r="K168" t="inlineStr">
        <is>
          <t>Jack &amp; Jones Originals 1990 Black Cotton T-Shirt</t>
        </is>
      </c>
      <c r="L168" t="inlineStr">
        <is>
          <t>{"choices":[{"finish_reason":"stop","index":0,"logprobs":null,"message":{"annotations":[],"content":"Jack &amp; Jones Originals black cotton T-shirt, soft fabric with vintage 1990 graphic print, unisex streetwear style for casual comfort and retro fashion lovers.","refusal":null,"role":"assistant"}}],"created":1776659133,"id":"chatcmpl-DWaUPubjZCVU4AOioqNsgUqUoEGHY","model":"gpt-5-chat-latest","object":"chat.completion","service_tier":"default","system_fingerprint":"fp_ad66631dec","usage":{"completion_tokens":33,"completion_tokens_details":{"accepted_prediction_tokens":0,"audio_tokens":0,"reasoning_tokens":0,"rejected_prediction_tokens":0},"prompt_tokens":905,"prompt_tokens_details":{"audio_tokens":0,"cached_tokens":0},"total_tokens":938}}</t>
        </is>
      </c>
      <c r="M168" t="inlineStr">
        <is>
          <t>{"alt-svc":"h3=\":443\"; ma=2592000","apim-request-id":"e2c40cce-a504-4129-b511-25eb3c788fe0","azureml-model-session":"d20260402083108-57a85543","cache-control":"no-cache","connection":"close","content-length":"751","content-security-policy":"frame-ancestors 'self'","content-type":"application/json","date":"Mon, 20 Apr 2026 04:25:34 GMT","server":"nginx","skip-error-remapping":"true","strict-transport-security":"max-age=31536000; includeSubDomains; preload","via":"1.1 Caddy, 1.1 Caddy","x-api-request-id":"202604201225328283299145hSPTOve","x-content-type-options":"nosniff","x-frame-options":"SAMEORIGIN","x-ms-client-request-id":"Not-Set","x-ms-is-spilled-over":"false","x-ms-rai-invoked":"true","x-ms-region":"East US 2","x-new-api-version":"0.4.39","x-oneapi-request-id":"202604200425327234748318268d9d6RbBozXuQ","x-ratelimit-abusepenalty-active":"False","x-ratelimit-limit-requests":"3850","x-ratelimit-limit-tokens":"3850000","x-ratelimit-remaining-requests":"3849","x-ratelimit-remaining-tokens":"3848333","x-ratelimit-renewalperiod-requests":"60","x-ratelimit-renewalperiod-tokens":"60","x-ratelimit-reset-requests":"15","x-ratelimit-reset-tokens":"25","x-request-id":"b43676e1-eb49-49e7-bf29-5277c02e5889"}</t>
        </is>
      </c>
      <c r="N168" t="inlineStr">
        <is>
          <t>Jack &amp; Jones Originals black cotton T-shirt, soft fabric with vintage 1990 graphic print, unisex streetwear style for casual comfort and retro fashion lovers.</t>
        </is>
      </c>
      <c r="O168" t="inlineStr">
        <is>
          <t>{"choices":[{"finish_reason":"stop","index":0,"logprobs":null,"message":{"annotations":[],"content":"Jack Jones,T-Shirts,kakobuy,kakebuy2026,kekobuysheet,kakobuysheet2026,2026kakobuy,kakobuyspreadsheeet,kakobuylink,kakebuylist,Kakobuy MEGA Spreadsheet,kakobuysheetfind,kakobuysheetfind2026,2026kakobuysheetfind,kakobuysheet2026","refusal":null,"role":"assistant"}}],"created":1776668278,"id":"chatcmpl-DWcru8wRx5nQMNvTVVoLDoruoG06m","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P168" t="inlineStr">
        <is>
          <t>Jack Jones,T-Shirts,kakobuy,kakebuy2026,kekobuysheet,kakobuysheet2026,2026kakobuy,kakobuyspreadsheeet,kakobuylink,kakebuylist,Kakobuy MEGA Spreadsheet,kakobuysheetfind,kakobuysheetfind2026,2026kakobuysheetfind,kakobuysheet2026</t>
        </is>
      </c>
      <c r="Q168" t="inlineStr">
        <is>
          <t>Black, Unisex, Streetwear, Retro</t>
        </is>
      </c>
      <c r="R168" t="inlineStr">
        <is>
          <t>recvh6xFVjWTr1</t>
        </is>
      </c>
      <c r="S168" t="inlineStr">
        <is>
          <t>jack-jones-originals-1990-black-cotton-tshirt-recvh6xfvjwtr1</t>
        </is>
      </c>
      <c r="T168"/>
      <c r="U168"/>
      <c r="V168"/>
      <c r="W168" t="inlineStr">
        <is>
          <t>{"choices":[{"finish_reason":"stop","index":0,"logprobs":null,"message":{"annotations":[],"content":"Jack Jones 黑色Originals系列短袖T恤，采用柔软纯棉面料，胸前印有复古英文字母图腾，简约街头风格设计，男女皆宜，展现1990年代复古质感与个性潮流魅力。","refusal":null,"role":"assistant"}}],"created":1776655611,"id":"chatcmpl-DWZZbWEyesSKfbIDD4Wyy9WYijaga","model":"gpt-5-chat-latest","object":"chat.completion","service_tier":"default","system_fingerprint":"fp_ad66631dec","usage":{"completion_tokens":64,"completion_tokens_details":{"accepted_prediction_tokens":0,"audio_tokens":0,"reasoning_tokens":0,"rejected_prediction_tokens":0},"prompt_tokens":1326,"prompt_tokens_details":{"audio_tokens":0,"cached_tokens":1280},"total_tokens":1390}}</t>
        </is>
      </c>
      <c r="X168" t="inlineStr">
        <is>
          <t>Jack Jones 黑色Originals系列短袖T恤，采用柔软纯棉面料，胸前印有复古英文字母图腾，简约街头风格设计，男女皆宜，展现1990年代复古质感与个性潮流魅力。</t>
        </is>
      </c>
    </row>
    <row r="169" ht="25.5" customHeight="1">
      <c r="A169">
        <v>1839115443</v>
      </c>
      <c r="B169">
        <v>7637214365</v>
      </c>
      <c r="C169" t="inlineStr">
        <is>
          <t>https://weidian.com/item.html?itemID=7637214365</t>
        </is>
      </c>
      <c r="D169"/>
      <c r="E169" s="2" t="str">
        <f>=HYPERLINK("https://si.geilicdn.com/open1839115443-252808396-400d0000019b35a1664d0a231226_1785_1785.jpg?w=750&amp;h=750&amp;cp=1", "https://si.geilicdn.com/open1839115443-252808396-400d0000019b35a1664d0a231226_1785_1785.jpg?w=750&amp;h=750&amp;cp=1")</f>
        <v>https://si.geilicdn.com/open1839115443-252808396-400d0000019b35a1664d0a231226_1785_1785.jpg?w=750&amp;h=750&amp;cp=1</v>
      </c>
      <c r="F169" t="inlineStr">
        <is>
          <t>T-Shirts</t>
        </is>
      </c>
      <c r="G169" t="inlineStr">
        <is>
          <t>Jack Jones</t>
        </is>
      </c>
      <c r="H169" t="inlineStr">
        <is>
          <t>63.00</t>
        </is>
      </c>
      <c r="I169">
        <v>9.13</v>
      </c>
      <c r="J169" t="inlineStr">
        <is>
          <t>{"id":"chatcmpl-DWcIJFkw8nG8386HYwTpTyvX3FZ4d","object":"chat.completion","created":1776666071,"model":"gpt-5-chat-latest","choices":[{"index":0,"message":{"role":"assistant","content":"Jack &amp; Jones White Tropical Leaf T-Shirt","refusal":null,"annotations":[]},"logprobs":null,"finish_reason":"stop"}],"usage":{"prompt_tokens":872,"completion_tokens":9,"total_tokens":881,"prompt_tokens_details":{"cached_tokens":0,"audio_tokens":0},"completion_tokens_details":{"reasoning_tokens":0,"audio_tokens":0,"accepted_prediction_tokens":0,"rejected_prediction_tokens":0}},"service_tier":"default","system_fingerprint":"fp_ad66631dec"}</t>
        </is>
      </c>
      <c r="K169" t="inlineStr">
        <is>
          <t>Jack &amp; Jones White Tropical Leaf T-Shirt</t>
        </is>
      </c>
      <c r="L169" t="inlineStr">
        <is>
          <t>{"choices":[{"finish_reason":"stop","index":0,"logprobs":null,"message":{"annotations":[],"content":"Jack &amp; Jones Men’s White Cotton T-Shirt with Tropical Leaf Logo Print, Soft Breathable Fabric, Casual Street Style, Summer Essential for Comfortable and Trendy Everyday Wear.","refusal":null,"role":"assistant"}}],"created":1776659048,"id":"chatcmpl-DWaT25DcCEqzYC6YrN6TrVlNXCKW5","model":"gpt-5-chat-latest","object":"chat.completion","service_tier":"default","system_fingerprint":"fp_ad66631dec","usage":{"completion_tokens":35,"completion_tokens_details":{"accepted_prediction_tokens":0,"audio_tokens":0,"reasoning_tokens":0,"rejected_prediction_tokens":0},"prompt_tokens":911,"prompt_tokens_details":{"audio_tokens":0,"cached_tokens":0},"total_tokens":946}}</t>
        </is>
      </c>
      <c r="M169" t="inlineStr">
        <is>
          <t>{"alt-svc":"h3=\":443\"; ma=2592000","apim-request-id":"50961667-5c11-4903-862e-ccd059a68a16","azureml-model-session":"d20260405234249-f9874baf","cache-control":"no-cache","connection":"close","content-length":"769","content-security-policy":"frame-ancestors 'self'","content-type":"application/json","date":"Mon, 20 Apr 2026 04:24:10 GMT","server":"Caddy","skip-error-remapping":"true","strict-transport-security":"max-age=31536000; includeSubDomains; preload","via":"1.1 Caddy","x-api-request-id":"2026042012240875330720pzED9aRq","x-content-type-options":"nosniff","x-frame-options":"SAMEORIGIN","x-ms-client-request-id":"Not-Set","x-ms-is-spilled-over":"false","x-ms-rai-invoked":"true","x-ms-region":"East US 2","x-new-api-version":"0.4.39","x-oneapi-request-id":"2026042004240896094498268d9d6YCDkIzRw","x-ratelimit-abusepenalty-active":"False","x-ratelimit-limit-requests":"3850","x-ratelimit-limit-tokens":"3850000","x-ratelimit-remaining-requests":"3849","x-ratelimit-remaining-tokens":"3848327","x-ratelimit-renewalperiod-requests":"60","x-ratelimit-renewalperiod-tokens":"60","x-ratelimit-reset-requests":"15","x-ratelimit-reset-tokens":"26","x-request-id":"646fabf9-847d-4b10-81e7-3c76e98dad42"}</t>
        </is>
      </c>
      <c r="N169" t="inlineStr">
        <is>
          <t>Jack &amp; Jones Men’s White Cotton T-Shirt with Tropical Leaf Logo Print, Soft Breathable Fabric, Casual Street Style, Summer Essential for Comfortable and Trendy Everyday Wear.</t>
        </is>
      </c>
      <c r="O169" t="inlineStr">
        <is>
          <t>{"choices":[{"finish_reason":"stop","index":0,"logprobs":null,"message":{"annotations":[],"content":"Jack Jones,T-Shirts,kakobuy,kakebuy2026,kekobuysheet,kakobuysheet2026,2026kakobuy,kakobuyspreadsheeet,kakobuylink,kakebuylist,Kakobuy MEGA Spreadsheet,kakobuysheetfind,kakobuysheetfind2026,2026kakobuysheetfind,kakobuysheet2026","refusal":null,"role":"assistant"}}],"created":1776667685,"id":"chatcmpl-DWciLk4AgnARbpTugo2qPI43MkoAy","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P169" t="inlineStr">
        <is>
          <t>Jack Jones,T-Shirts,kakobuy,kakebuy2026,kekobuysheet,kakobuysheet2026,2026kakobuy,kakobuyspreadsheeet,kakobuylink,kakebuylist,Kakobuy MEGA Spreadsheet,kakobuysheetfind,kakobuysheetfind2026,2026kakobuysheetfind,kakobuysheet2026</t>
        </is>
      </c>
      <c r="Q169" t="inlineStr">
        <is>
          <t>Men, White, Summer, Breathable</t>
        </is>
      </c>
      <c r="R169" t="inlineStr">
        <is>
          <t>recvh6xFVjZ7Oh</t>
        </is>
      </c>
      <c r="S169" t="inlineStr">
        <is>
          <t>jack-jones-white-tropical-leaf-tshirt-recvh6xfvjz7oh</t>
        </is>
      </c>
      <c r="T169"/>
      <c r="U169"/>
      <c r="V169"/>
      <c r="W169" t="inlineStr">
        <is>
          <t>{"id":"chatcmpl-DWZYR6yWmtSHqp2vhDn2ofbkfK3AK","object":"chat.completion","created":1776655539,"model":"gpt-5-chat-latest","choices":[{"index":0,"message":{"role":"assistant","content":"Jack &amp; Jones：白色印花短袖T恤，柔软纯棉材质，胸前品牌字母融入热带叶纹设计，展现轻潮街头风格，休闲百搭男士夏季单品，舒适透气，彰显个性时尚态度。","refusal":null,"annotations":[]},"logprobs":null,"finish_reason":"stop"}],"usage":{"prompt_tokens":1326,"completion_tokens":70,"total_tokens":1396,"prompt_tokens_details":{"cached_tokens":0,"audio_tokens":0},"completion_tokens_details":{"reasoning_tokens":0,"audio_tokens":0,"accepted_prediction_tokens":0,"rejected_prediction_tokens":0}},"service_tier":"default","system_fingerprint":"fp_ad66631dec"}</t>
        </is>
      </c>
      <c r="X169" t="inlineStr">
        <is>
          <t>Jack &amp; Jones：白色印花短袖T恤，柔软纯棉材质，胸前品牌字母融入热带叶纹设计，展现轻潮街头风格，休闲百搭男士夏季单品，舒适透气，彰显个性时尚态度。</t>
        </is>
      </c>
    </row>
    <row r="170" ht="25.5" customHeight="1">
      <c r="A170">
        <v>1839115443</v>
      </c>
      <c r="B170">
        <v>7637248077</v>
      </c>
      <c r="C170" t="inlineStr">
        <is>
          <t>https://weidian.com/item.html?itemID=7637248077</t>
        </is>
      </c>
      <c r="D170"/>
      <c r="E170" s="2" t="str">
        <f>=HYPERLINK("https://si.geilicdn.com/open1839115443-252808396-2d4e0000019b35a166800a8133b0_1785_1785.jpg?w=750&amp;h=750&amp;cp=1", "https://si.geilicdn.com/open1839115443-252808396-2d4e0000019b35a166800a8133b0_1785_1785.jpg?w=750&amp;h=750&amp;cp=1")</f>
        <v>https://si.geilicdn.com/open1839115443-252808396-2d4e0000019b35a166800a8133b0_1785_1785.jpg?w=750&amp;h=750&amp;cp=1</v>
      </c>
      <c r="F170" t="inlineStr">
        <is>
          <t>T-Shirts</t>
        </is>
      </c>
      <c r="G170" t="inlineStr">
        <is>
          <t>Jack Jones</t>
        </is>
      </c>
      <c r="H170" t="inlineStr">
        <is>
          <t>63.00</t>
        </is>
      </c>
      <c r="I170">
        <v>9.13</v>
      </c>
      <c r="J170" t="inlineStr">
        <is>
          <t>{"choices":[{"finish_reason":"stop","index":0,"logprobs":null,"message":{"annotations":[],"content":"Jack &amp; Jones White Oversized Unisex Cotton T-Shirt","refusal":null,"role":"assistant"}}],"created":1776666526,"id":"chatcmpl-DWcPe3AEywnhAuZau2V3t6NOHNabj","model":"gpt-5-chat-latest","object":"chat.completion","service_tier":"default","system_fingerprint":"fp_ad66631dec","usage":{"completion_tokens":12,"completion_tokens_details":{"accepted_prediction_tokens":0,"audio_tokens":0,"reasoning_tokens":0,"rejected_prediction_tokens":0},"prompt_tokens":870,"prompt_tokens_details":{"audio_tokens":0,"cached_tokens":0},"total_tokens":882}}</t>
        </is>
      </c>
      <c r="K170" t="inlineStr">
        <is>
          <t>Jack &amp; Jones White Oversized Unisex Cotton T-Shirt</t>
        </is>
      </c>
      <c r="L170" t="inlineStr">
        <is>
          <t>{"choices":[{"finish_reason":"stop","index":0,"logprobs":null,"message":{"annotations":[],"content":"Jack &amp; Jones White Oversized Cotton T-Shirt with Front Logo Print, Soft Breathable Fabric, Unisex Street Style, Perfect for Summer Casual Wear and Everyday Comfort.","refusal":null,"role":"assistant"}}],"created":1776658773,"id":"chatcmpl-DWaOb6aqdsMSypEMAzJ5ueQ3DLApg","model":"gpt-5-chat-latest","object":"chat.completion","service_tier":"default","system_fingerprint":"fp_ad66631dec","usage":{"completion_tokens":34,"completion_tokens_details":{"accepted_prediction_tokens":0,"audio_tokens":0,"reasoning_tokens":0,"rejected_prediction_tokens":0},"prompt_tokens":895,"prompt_tokens_details":{"audio_tokens":0,"cached_tokens":0},"total_tokens":929}}</t>
        </is>
      </c>
      <c r="M170" t="inlineStr">
        <is>
          <t>{"alt-svc":"h3=\":443\"; ma=2592000","apim-request-id":"897b7272-e0cd-4b68-a20d-d89e398cc17b","azureml-model-session":"d20260405221325-2e8d5e76","cache-control":"no-cache","connection":"close","content-length":"757","content-security-policy":"frame-ancestors 'self'","content-type":"application/json","date":"Mon, 20 Apr 2026 04:19:35 GMT","server":"Caddy","skip-error-remapping":"true","strict-transport-security":"max-age=31536000; includeSubDomains; preload","via":"1.1 Caddy","x-api-request-id":"20260420121932206558453Od1fQGdI","x-content-type-options":"nosniff","x-frame-options":"SAMEORIGIN","x-ms-client-request-id":"Not-Set","x-ms-is-spilled-over":"false","x-ms-rai-invoked":"true","x-ms-region":"East US 2","x-new-api-version":"0.4.39","x-oneapi-request-id":"202604200419321402816588268d9d69I0LXdpo","x-ratelimit-abusepenalty-active":"False","x-ratelimit-limit-requests":"3850","x-ratelimit-limit-tokens":"3850000","x-ratelimit-remaining-requests":"3849","x-ratelimit-remaining-tokens":"3848343","x-ratelimit-renewalperiod-requests":"60","x-ratelimit-renewalperiod-tokens":"60","x-ratelimit-reset-requests":"15","x-ratelimit-reset-tokens":"25","x-request-id":"1b7986fb-2718-4ed8-b17b-849576bf5909"}</t>
        </is>
      </c>
      <c r="N170" t="inlineStr">
        <is>
          <t>Jack &amp; Jones White Oversized Cotton T-Shirt with Front Logo Print, Soft Breathable Fabric, Unisex Street Style, Perfect for Summer Casual Wear and Everyday Comfort.</t>
        </is>
      </c>
      <c r="O170" t="inlineStr">
        <is>
          <t>{"id":"chatcmpl-DWccck6kZNEX4jnJVhYM0B03FMSGI","object":"chat.completion","created":1776667330,"model":"gpt-5-chat-latest","choices":[{"index":0,"message":{"role":"assistant","content":"Jack Jones,T-Shirts,kakobuy,kakebuy2026,kekobuysheet,kakobuysheet2026,2026kakobuy,kakobuyspreadsheeet,kakobuylink,kakebuylist,Kakobuy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ad66631dec"}</t>
        </is>
      </c>
      <c r="P170" t="inlineStr">
        <is>
          <t>Jack Jones,T-Shirts,kakobuy,kakebuy2026,kekobuysheet,kakobuysheet2026,2026kakobuy,kakobuyspreadsheeet,kakobuylink,kakebuylist,Kakobuy MEGA Spreadsheet,kakobuysheetfind,kakobuysheetfind2026,2026kakobuysheetfind,kakobuysheet2026</t>
        </is>
      </c>
      <c r="Q170" t="inlineStr">
        <is>
          <t>White, Unisex, Street, Summer</t>
        </is>
      </c>
      <c r="R170" t="inlineStr">
        <is>
          <t>recvh6xFVjlyDK</t>
        </is>
      </c>
      <c r="S170" t="inlineStr">
        <is>
          <t>jack-jones-oversized-cotton-tshirt-recvh6xfvjlydk</t>
        </is>
      </c>
      <c r="T170"/>
      <c r="U170"/>
      <c r="V170"/>
      <c r="W170" t="inlineStr">
        <is>
          <t>{"choices":[{"finish_reason":"stop","index":0,"logprobs":null,"message":{"annotations":[],"content":"Jack Jones：白色宽松版印花T恤，采用柔软纯棉面料，胸前品牌标识设计彰显简约街头风格，男女皆宜，夏日休闲必备单品。","refusal":null,"role":"assistant"}}],"created":1776655915,"id":"chatcmpl-DWZeVht0UCT2MZoER69NjBNmPoct0","model":"gpt-5-chat-latest","object":"chat.completion","service_tier":"default","system_fingerprint":"fp_ad66631dec","usage":{"completion_tokens":52,"completion_tokens_details":{"accepted_prediction_tokens":0,"audio_tokens":0,"reasoning_tokens":0,"rejected_prediction_tokens":0},"prompt_tokens":1330,"prompt_tokens_details":{"audio_tokens":0,"cached_tokens":0},"total_tokens":1382}}</t>
        </is>
      </c>
      <c r="X170" t="inlineStr">
        <is>
          <t>Jack Jones：白色宽松版印花T恤，采用柔软纯棉面料，胸前品牌标识设计彰显简约街头风格，男女皆宜，夏日休闲必备单品。</t>
        </is>
      </c>
    </row>
    <row r="171" ht="25.5" customHeight="1">
      <c r="A171">
        <v>1839115443</v>
      </c>
      <c r="B171">
        <v>7637234189</v>
      </c>
      <c r="C171" t="inlineStr">
        <is>
          <t>https://weidian.com/item.html?itemID=7637234189</t>
        </is>
      </c>
      <c r="D171"/>
      <c r="E171" s="2" t="str">
        <f>=HYPERLINK("https://si.geilicdn.com/open1839115443-252808396-43ed0000019b35a167f60a22d249_1785_1785.jpg?w=750&amp;h=750&amp;cp=1", "https://si.geilicdn.com/open1839115443-252808396-43ed0000019b35a167f60a22d249_1785_1785.jpg?w=750&amp;h=750&amp;cp=1")</f>
        <v>https://si.geilicdn.com/open1839115443-252808396-43ed0000019b35a167f60a22d249_1785_1785.jpg?w=750&amp;h=750&amp;cp=1</v>
      </c>
      <c r="F171" t="inlineStr">
        <is>
          <t>T-Shirts</t>
        </is>
      </c>
      <c r="G171" t="inlineStr">
        <is>
          <t>Other</t>
        </is>
      </c>
      <c r="H171" t="inlineStr">
        <is>
          <t>63.00</t>
        </is>
      </c>
      <c r="I171">
        <v>9.13</v>
      </c>
      <c r="J171" t="inlineStr">
        <is>
          <t>{"choices":[{"finish_reason":"stop","index":0,"logprobs":null,"message":{"annotations":[],"content":"Other Dark Gray 3D Anime Beast Face Cotton T-Shirt","refusal":null,"role":"assistant"}}],"created":1776666503,"id":"chatcmpl-DWcPHak07zsSkuM6UzODzI0MYXMRD","model":"gpt-5-chat-latest","object":"chat.completion","service_tier":"default","system_fingerprint":"fp_ad66631dec","usage":{"completion_tokens":13,"completion_tokens_details":{"accepted_prediction_tokens":0,"audio_tokens":0,"reasoning_tokens":0,"rejected_prediction_tokens":0},"prompt_tokens":865,"prompt_tokens_details":{"audio_tokens":0,"cached_tokens":0},"total_tokens":878}}</t>
        </is>
      </c>
      <c r="K171" t="inlineStr">
        <is>
          <t>Other Dark Gray 3D Anime Beast Face Cotton T-Shirt</t>
        </is>
      </c>
      <c r="L171" t="inlineStr">
        <is>
          <t>{"choices":[{"finish_reason":"stop","index":0,"logprobs":null,"message":{"annotations":[],"content":"Brand T-ShirtsOther Dark Gray Street Style Loose Cotton Tee, 3D Anime Beast Face Patch Design, Unisex Casual Fashion for Daily Wear and Parties.","refusal":null,"role":"assistant"}}],"created":1776658519,"id":"chatcmpl-DWaKVHXfj8jSiRNg2iWfABrSCfwsn","model":"gpt-5-chat-latest","object":"chat.completion","service_tier":"default","system_fingerprint":"fp_ad66631dec","usage":{"completion_tokens":32,"completion_tokens_details":{"accepted_prediction_tokens":0,"audio_tokens":0,"reasoning_tokens":0,"rejected_prediction_tokens":0},"prompt_tokens":906,"prompt_tokens_details":{"audio_tokens":0,"cached_tokens":0},"total_tokens":938}}</t>
        </is>
      </c>
      <c r="M171" t="inlineStr">
        <is>
          <t>{"alt-svc":"h3=\":443\"; ma=2592000","apim-request-id":"2553a568-ddb0-40b4-b2a1-5076affbd8be","azureml-model-session":"d20260405234249-f9874baf","cache-control":"no-cache","connection":"close","content-length":"732","content-security-policy":"frame-ancestors 'self'","content-type":"application/json","date":"Mon, 20 Apr 2026 04:15:21 GMT","server":"nginx","skip-error-remapping":"true","strict-transport-security":"max-age=31536000; includeSubDomains; preload","via":"1.1 Caddy, 1.1 Caddy","x-api-request-id":"20260420121519129624003tBVWndYk","x-content-type-options":"nosniff","x-frame-options":"SAMEORIGIN","x-ms-client-request-id":"Not-Set","x-ms-is-spilled-over":"false","x-ms-rai-invoked":"true","x-ms-region":"East US 2","x-new-api-version":"0.4.39","x-oneapi-request-id":"20260420041519628205228268d9d6QRqqhxKu","x-ratelimit-abusepenalty-active":"False","x-ratelimit-limit-requests":"3850","x-ratelimit-limit-tokens":"3850000","x-ratelimit-remaining-requests":"3849","x-ratelimit-remaining-tokens":"3848332","x-ratelimit-renewalperiod-requests":"60","x-ratelimit-renewalperiod-tokens":"60","x-ratelimit-reset-requests":"15","x-ratelimit-reset-tokens":"25","x-request-id":"c43dbac3-e4fc-4890-9a72-1878bc678aa8"}</t>
        </is>
      </c>
      <c r="N171" t="inlineStr">
        <is>
          <t>Brand T-ShirtsOther Dark Gray Street Style Loose Cotton Tee, 3D Anime Beast Face Patch Design, Unisex Casual Fashion for Daily Wear and Parties.</t>
        </is>
      </c>
      <c r="O171" t="inlineStr">
        <is>
          <t>{"choices":[{"finish_reason":"stop","index":0,"logprobs":null,"message":{"annotations":[],"content":"Kakobuy, T-Shirts, kakobuy, kakebuy2026, kekobuysheet, kakobuysheet2026, 2026kakobuy, kakobuyspreadsheeet, kakobuylink, kakebuylist, Kakobuy MEGA Spreadsheet, kakobuysheetfind, kakobuysheetfind2026, 2026kakobuysheetfind, kakobuysheet2026","refusal":null,"role":"assistant"}}],"created":1776668469,"id":"chatcmpl-DWcuzLslQdfsQbnsILrf0r7FJlE8G","model":"gpt-5-chat-latest","object":"chat.completion","service_tier":"default","system_fingerprint":"fp_ad66631dec","usage":{"completion_tokens":94,"completion_tokens_details":{"accepted_prediction_tokens":0,"audio_tokens":0,"reasoning_tokens":0,"rejected_prediction_tokens":0},"prompt_tokens":782,"prompt_tokens_details":{"audio_tokens":0,"cached_tokens":0},"total_tokens":876}}</t>
        </is>
      </c>
      <c r="P171" t="inlineStr">
        <is>
          <t>Kakobuy, T-Shirts, kakobuy, kakebuy2026, kekobuysheet, kakobuysheet2026, 2026kakobuy, kakobuyspreadsheeet, kakobuylink, kakebuylist, Kakobuy MEGA Spreadsheet, kakobuysheetfind, kakobuysheetfind2026, 2026kakobuysheetfind, kakobuysheet2026</t>
        </is>
      </c>
      <c r="Q171" t="inlineStr">
        <is>
          <t>Dark Grey, Street, Unisex, Anime Style</t>
        </is>
      </c>
      <c r="R171" t="inlineStr">
        <is>
          <t>recvh6xFVjNbf8</t>
        </is>
      </c>
      <c r="S171" t="inlineStr">
        <is>
          <t>dark-gray-3d-anime-beast-face-cotton-tshirt-recvh6xFVjNbf8</t>
        </is>
      </c>
      <c r="T171"/>
      <c r="U171"/>
      <c r="V171"/>
      <c r="W171" t="inlineStr">
        <is>
          <t>{"choices":[{"finish_reason":"stop","index":0,"logprobs":null,"message":{"annotations":[],"content":"暗灰色街头系列宽松短袖T恤，精选柔软纯棉面料，胸前立体动漫兽面拼接图腾设计，彰显个性潮流。男女通穿款，休闲街头风格，适合日常与派对穿搭。","refusal":null,"role":"assistant"}}],"created":1776655074,"id":"chatcmpl-DWZQwLsa6G2URgMCChVPTuiYU8OWb","model":"gpt-5-chat-latest","object":"chat.completion","service_tier":"default","system_fingerprint":"fp_ad66631dec","usage":{"completion_tokens":66,"completion_tokens_details":{"accepted_prediction_tokens":0,"audio_tokens":0,"reasoning_tokens":0,"rejected_prediction_tokens":0},"prompt_tokens":1323,"prompt_tokens_details":{"audio_tokens":0,"cached_tokens":0},"total_tokens":1389}}</t>
        </is>
      </c>
      <c r="X171" t="inlineStr">
        <is>
          <t>暗灰色街头系列宽松短袖T恤，精选柔软纯棉面料，胸前立体动漫兽面拼接图腾设计，彰显个性潮流。男女通穿款，休闲街头风格，适合日常与派对穿搭。</t>
        </is>
      </c>
    </row>
    <row r="172" ht="25.5" customHeight="1">
      <c r="A172">
        <v>1839115443</v>
      </c>
      <c r="B172">
        <v>7640226040</v>
      </c>
      <c r="C172" t="inlineStr">
        <is>
          <t>https://weidian.com/item.html?itemID=7640226040</t>
        </is>
      </c>
      <c r="D172"/>
      <c r="E172" s="2" t="str">
        <f>=HYPERLINK("https://si.geilicdn.com/open1839115443-252808396-285d0000019b359059850a22d249_1785_1785.jpg?w=750&amp;h=750&amp;cp=1", "https://si.geilicdn.com/open1839115443-252808396-285d0000019b359059850a22d249_1785_1785.jpg?w=750&amp;h=750&amp;cp=1")</f>
        <v>https://si.geilicdn.com/open1839115443-252808396-285d0000019b359059850a22d249_1785_1785.jpg?w=750&amp;h=750&amp;cp=1</v>
      </c>
      <c r="F172" t="inlineStr">
        <is>
          <t>T-Shirts</t>
        </is>
      </c>
      <c r="G172" t="inlineStr">
        <is>
          <t>Other</t>
        </is>
      </c>
      <c r="H172" t="inlineStr">
        <is>
          <t>127.00</t>
        </is>
      </c>
      <c r="I172">
        <v>18.41</v>
      </c>
      <c r="J172" t="inlineStr">
        <is>
          <t>{"choices":[{"finish_reason":"stop","index":0,"logprobs":null,"message":{"annotations":[],"content":"Retro Brown White Striped Cotton Short Sleeve Polo Shirt","refusal":null,"role":"assistant"}}],"created":1776666023,"id":"chatcmpl-DWcHXLZtQ2qQlyuOa4AixIIto1TRx","model":"gpt-5-chat-latest","object":"chat.completion","service_tier":"default","system_fingerprint":"fp_ad66631dec","usage":{"completion_tokens":11,"completion_tokens_details":{"accepted_prediction_tokens":0,"audio_tokens":0,"reasoning_tokens":0,"rejected_prediction_tokens":0},"prompt_tokens":877,"prompt_tokens_details":{"audio_tokens":0,"cached_tokens":0},"total_tokens":888}}</t>
        </is>
      </c>
      <c r="K172" t="inlineStr">
        <is>
          <t>Retro Brown White Striped Cotton Short Sleeve Polo Shirt</t>
        </is>
      </c>
      <c r="L172" t="inlineStr">
        <is>
          <t>{"choices":[{"finish_reason":"stop","index":0,"logprobs":null,"message":{"annotations":[],"content":"T-ShirtsOther Retro Brown White Striped Short-Sleeve Polo, soft breathable cotton knit, classic three-button collar, timeless British style meets modern minimalism for elegant urban summer wear.","refusal":null,"role":"assistant"}}],"created":1776659139,"id":"chatcmpl-DWaUVT67wzHF3lhnM7PhsJTqkGqHq","model":"gpt-5-chat-latest","object":"chat.completion","service_tier":"default","system_fingerprint":"fp_ad66631dec","usage":{"completion_tokens":38,"completion_tokens_details":{"accepted_prediction_tokens":0,"audio_tokens":0,"reasoning_tokens":0,"rejected_prediction_tokens":0},"prompt_tokens":913,"prompt_tokens_details":{"audio_tokens":0,"cached_tokens":0},"total_tokens":951}}</t>
        </is>
      </c>
      <c r="M172" t="inlineStr">
        <is>
          <t>{"alt-svc":"h3=\":443\"; ma=2592000","apim-request-id":"4a767a45-a3d1-47de-926c-40c672aa7c12","azureml-model-session":"d20260405234249-f9874baf","cache-control":"no-cache","connection":"close","content-length":"782","content-security-policy":"frame-ancestors 'self'","content-type":"application/json","date":"Mon, 20 Apr 2026 04:25:40 GMT","server":"Caddy","skip-error-remapping":"true","strict-transport-security":"max-age=31536000; includeSubDomains; preload","via":"1.1 Caddy","x-api-request-id":"20260420122538198881147Mc8yGq3U","x-content-type-options":"nosniff","x-frame-options":"SAMEORIGIN","x-ms-client-request-id":"Not-Set","x-ms-is-spilled-over":"false","x-ms-rai-invoked":"true","x-ms-region":"East US 2","x-new-api-version":"0.4.39","x-oneapi-request-id":"202604200425381332406818268d9d6Is9RGp35","x-ratelimit-abusepenalty-active":"False","x-ratelimit-limit-requests":"3850","x-ratelimit-limit-tokens":"3850000","x-ratelimit-remaining-requests":"3849","x-ratelimit-remaining-tokens":"3848325","x-ratelimit-renewalperiod-requests":"60","x-ratelimit-renewalperiod-tokens":"60","x-ratelimit-reset-requests":"15","x-ratelimit-reset-tokens":"26","x-request-id":"c4d5c52a-1706-43ae-af59-2f3c3b978d65"}</t>
        </is>
      </c>
      <c r="N172" t="inlineStr">
        <is>
          <t>T-ShirtsOther Retro Brown White Striped Short-Sleeve Polo, soft breathable cotton knit, classic three-button collar, timeless British style meets modern minimalism for elegant urban summer wear.</t>
        </is>
      </c>
      <c r="O172" t="inlineStr">
        <is>
          <t>{"choices":[{"finish_reason":"stop","index":0,"logprobs":null,"message":{"annotations":[],"content":"Menswear, T-Shirts, kakobuy, kakebuy2026, kekobuysheet, kakobuysheet2026, 2026kakobuy, kakobuyspreadsheeet, kakobuylink, kakebuylist, Kakobuy MEGA Spreadsheet, kakobuysheetfind, kakobuysheetfind2026, 2026kakobuysheetfind, kakobuysheet2026","refusal":null,"role":"assistant"}}],"created":1776667889,"id":"chatcmpl-DWcldV7WVAZmpRs7WgOrD7zvfSjME","model":"gpt-5-chat-latest","object":"chat.completion","service_tier":"default","system_fingerprint":"fp_ad66631dec","usage":{"completion_tokens":92,"completion_tokens_details":{"accepted_prediction_tokens":0,"audio_tokens":0,"reasoning_tokens":0,"rejected_prediction_tokens":0},"prompt_tokens":782,"prompt_tokens_details":{"audio_tokens":0,"cached_tokens":0},"total_tokens":874}}</t>
        </is>
      </c>
      <c r="P172" t="inlineStr">
        <is>
          <t>Menswear, T-Shirts, kakobuy, kakebuy2026, kekobuysheet, kakobuysheet2026, 2026kakobuy, kakobuyspreadsheeet, kakobuylink, kakebuylist, Kakobuy MEGA Spreadsheet, kakobuysheetfind, kakobuysheetfind2026, 2026kakobuysheetfind, kakobuysheet2026</t>
        </is>
      </c>
      <c r="Q172" t="inlineStr">
        <is>
          <t>Retro, Summer, Classic, Minimalist</t>
        </is>
      </c>
      <c r="R172" t="inlineStr">
        <is>
          <t>recvh6xFVjEndw</t>
        </is>
      </c>
      <c r="S172" t="inlineStr">
        <is>
          <t>retro-brown-white-striped-polo-recvh6xFVjEndw</t>
        </is>
      </c>
      <c r="T172"/>
      <c r="U172"/>
      <c r="V172"/>
      <c r="W172" t="inlineStr">
        <is>
          <t>{"choices":[{"finish_reason":"stop","index":0,"logprobs":null,"message":{"annotations":[],"content":"复古棕白条纹短袖POLO衫，柔软针织棉质面料，透气亲肤，经典翻领三扣设计，彰显优雅休闲格调。适合都市男士夏季穿搭，融合复古英伦与现代简约风，轻松打造成熟品味。","refusal":null,"role":"assistant"}}],"created":1776655116,"id":"chatcmpl-DWZRc82V6Eur2QhL2dyjNqGn3yxvn","model":"gpt-5-chat-latest","object":"chat.completion","service_tier":"default","system_fingerprint":"fp_ad66631dec","usage":{"completion_tokens":74,"completion_tokens_details":{"accepted_prediction_tokens":0,"audio_tokens":0,"reasoning_tokens":0,"rejected_prediction_tokens":0},"prompt_tokens":1319,"prompt_tokens_details":{"audio_tokens":0,"cached_tokens":0},"total_tokens":1393}}</t>
        </is>
      </c>
      <c r="X172" t="inlineStr">
        <is>
          <t>复古棕白条纹短袖POLO衫，柔软针织棉质面料，透气亲肤，经典翻领三扣设计，彰显优雅休闲格调。适合都市男士夏季穿搭，融合复古英伦与现代简约风，轻松打造成熟品味。</t>
        </is>
      </c>
    </row>
    <row r="173" ht="25.5" customHeight="1">
      <c r="A173">
        <v>1839115443</v>
      </c>
      <c r="B173">
        <v>7637281789</v>
      </c>
      <c r="C173" t="inlineStr">
        <is>
          <t>https://weidian.com/item.html?itemID=7637281789</t>
        </is>
      </c>
      <c r="D173"/>
      <c r="E173" s="2" t="str">
        <f>=HYPERLINK("https://si.geilicdn.com/open1839115443-252808396-3a420000019b35a168fc0a23b491_1600_1600.jpg?w=750&amp;h=750&amp;cp=1", "https://si.geilicdn.com/open1839115443-252808396-3a420000019b35a168fc0a23b491_1600_1600.jpg?w=750&amp;h=750&amp;cp=1")</f>
        <v>https://si.geilicdn.com/open1839115443-252808396-3a420000019b35a168fc0a23b491_1600_1600.jpg?w=750&amp;h=750&amp;cp=1</v>
      </c>
      <c r="F173" t="inlineStr">
        <is>
          <t>T-Shirts</t>
        </is>
      </c>
      <c r="G173" t="inlineStr">
        <is>
          <t>Jack Jones</t>
        </is>
      </c>
      <c r="H173" t="inlineStr">
        <is>
          <t>63.00</t>
        </is>
      </c>
      <c r="I173">
        <v>9.13</v>
      </c>
      <c r="J173" t="inlineStr">
        <is>
          <t>{"choices":[{"finish_reason":"stop","index":0,"logprobs":null,"message":{"annotations":[],"content":"Jack &amp; Jones Black Worldwide Cotton T-Shirt","refusal":null,"role":"assistant"}}],"created":1776666024,"id":"chatcmpl-DWcHYEhGy3FxogN1kQG7a5jtEDj3N","model":"gpt-5-chat-latest","object":"chat.completion","service_tier":"default","system_fingerprint":"fp_ad66631dec","usage":{"completion_tokens":9,"completion_tokens_details":{"accepted_prediction_tokens":0,"audio_tokens":0,"reasoning_tokens":0,"rejected_prediction_tokens":0},"prompt_tokens":894,"prompt_tokens_details":{"audio_tokens":0,"cached_tokens":0},"total_tokens":903}}</t>
        </is>
      </c>
      <c r="K173" t="inlineStr">
        <is>
          <t>Jack &amp; Jones Black Worldwide Cotton T-Shirt</t>
        </is>
      </c>
      <c r="L173" t="inlineStr">
        <is>
          <t>{"choices":[{"finish_reason":"stop","index":0,"logprobs":null,"message":{"annotations":[],"content":"Jack &amp; Jones black short sleeve T-shirt made from premium cotton blend, soft and breathable. Features bold “JACK &amp; JONES WORLDWIDE” print, relaxed fit, unisex streetwear style for modern casual looks.","refusal":null,"role":"assistant"}}],"created":1776658967,"id":"chatcmpl-DWaRjsuHWy0pqKs2fyHKZgF7SgQft","model":"gpt-5-chat-latest","object":"chat.completion","service_tier":"default","system_fingerprint":"fp_ad66631dec","usage":{"completion_tokens":46,"completion_tokens_details":{"accepted_prediction_tokens":0,"audio_tokens":0,"reasoning_tokens":0,"rejected_prediction_tokens":0},"prompt_tokens":933,"prompt_tokens_details":{"audio_tokens":0,"cached_tokens":0},"total_tokens":979}}</t>
        </is>
      </c>
      <c r="M173" t="inlineStr">
        <is>
          <t>{"alt-svc":"h3=\":443\"; ma=2592000","apim-request-id":"acddfe51-b075-4acf-af79-ec31555f00e9","azureml-model-session":"d20260402074105-51db401e","cache-control":"no-cache","connection":"close","content-length":"802","content-security-policy":"frame-ancestors 'self'","content-type":"application/json","date":"Mon, 20 Apr 2026 04:22:48 GMT","server":"nginx","skip-error-remapping":"true","strict-transport-security":"max-age=31536000; includeSubDomains; preload","via":"1.1 Caddy, 1.1 Caddy","x-api-request-id":"20260420122246373373202EzB0Sgcw","x-content-type-options":"nosniff","x-frame-options":"SAMEORIGIN","x-ms-client-request-id":"Not-Set","x-ms-is-spilled-over":"false","x-ms-rai-invoked":"true","x-ms-region":"East US 2","x-new-api-version":"0.4.39","x-oneapi-request-id":"202604200422463054267158268d9d6yBKbkt6Y","x-ratelimit-abusepenalty-active":"False","x-ratelimit-limit-requests":"3850","x-ratelimit-limit-tokens":"3850000","x-ratelimit-remaining-requests":"3849","x-ratelimit-remaining-tokens":"3848305","x-ratelimit-renewalperiod-requests":"60","x-ratelimit-renewalperiod-tokens":"60","x-ratelimit-reset-requests":"15","x-ratelimit-reset-tokens":"26","x-request-id":"881b666c-ec2a-415c-849d-c9cf2132ed25"}</t>
        </is>
      </c>
      <c r="N173" t="inlineStr">
        <is>
          <t>Jack &amp; Jones black short sleeve T-shirt made from premium cotton blend, soft and breathable. Features bold “JACK &amp; JONES WORLDWIDE” print, relaxed fit, unisex streetwear style for modern casual looks.</t>
        </is>
      </c>
      <c r="O173" t="inlineStr">
        <is>
          <t>{"choices":[{"finish_reason":"stop","index":0,"logprobs":null,"message":{"annotations":[],"content":"Jack Jones,T-Shirts,kakobuy,kakebuy2026,kekobuysheet,kakobuysheet2026,2026kakobuy,kakobuyspreadsheeet,kakobuylink,kakebuylist,Kakobuy MEGA Spreadsheet,kakobuysheetfind,kakobuysheetfind2026,2026kakobuysheetfind,kakobuysheet2026","refusal":null,"role":"assistant"}}],"created":1776668356,"id":"chatcmpl-DWctAUOxv91C3rcqp5lhSX01ylova","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P173" t="inlineStr">
        <is>
          <t>Jack Jones,T-Shirts,kakobuy,kakebuy2026,kekobuysheet,kakobuysheet2026,2026kakobuy,kakobuyspreadsheeet,kakobuylink,kakebuylist,Kakobuy MEGA Spreadsheet,kakobuysheetfind,kakobuysheetfind2026,2026kakobuysheetfind,kakobuysheet2026</t>
        </is>
      </c>
      <c r="Q173" t="inlineStr">
        <is>
          <t>Black, Streetwear, Unisex, Breathable</t>
        </is>
      </c>
      <c r="R173" t="inlineStr">
        <is>
          <t>recvh6xFVjgtRi</t>
        </is>
      </c>
      <c r="S173" t="inlineStr">
        <is>
          <t>jack-jones-black-cotton-tshirt-recvh6xfvjgtri</t>
        </is>
      </c>
      <c r="T173"/>
      <c r="U173"/>
      <c r="V173"/>
      <c r="W173" t="inlineStr">
        <is>
          <t>{"choices":[{"finish_reason":"stop","index":0,"logprobs":null,"message":{"annotations":[],"content":"Jack Jones黑色短袖T恤，采用高品质棉质混纺面料，柔软透气。胸前醒目“JACK &amp; JONES WORLDWIDE”印花设计，彰显都市街头潮流风范。经典圆领剪裁，版型宽松舒适，适合男女休闲穿搭。极简现代风格，展现时尚自信态度。","refusal":null,"role":"assistant"}}],"created":1776655842,"id":"chatcmpl-DWZdK1vgemjhz1FnyimWAafH93Uto","model":"gpt-5-chat-latest","object":"chat.completion","service_tier":"default","system_fingerprint":"fp_ad66631dec","usage":{"completion_tokens":92,"completion_tokens_details":{"accepted_prediction_tokens":0,"audio_tokens":0,"reasoning_tokens":0,"rejected_prediction_tokens":0},"prompt_tokens":1326,"prompt_tokens_details":{"audio_tokens":0,"cached_tokens":0},"total_tokens":1418}}</t>
        </is>
      </c>
      <c r="X173" t="inlineStr">
        <is>
          <t>Jack Jones黑色短袖T恤，采用高品质棉质混纺面料，柔软透气。胸前醒目“JACK &amp; JONES WORLDWIDE”印花设计，彰显都市街头潮流风范。经典圆领剪裁，版型宽松舒适，适合男女休闲穿搭。极简现代风格，展现时尚自信态度。</t>
        </is>
      </c>
    </row>
    <row r="174" ht="25.5" customHeight="1">
      <c r="A174">
        <v>1839115443</v>
      </c>
      <c r="B174">
        <v>7640150864</v>
      </c>
      <c r="C174" t="inlineStr">
        <is>
          <t>https://weidian.com/item.html?itemID=7640150864</t>
        </is>
      </c>
      <c r="D174"/>
      <c r="E174" s="2" t="str">
        <f>=HYPERLINK("https://si.geilicdn.com/open1839115443-252808396-3b140000019b35910eab0aa086a7_1340_1785.jpg?w=640&amp;h=640", "https://si.geilicdn.com/open1839115443-252808396-3b140000019b35910eab0aa086a7_1340_1785.jpg?w=640&amp;h=640")</f>
        <v>https://si.geilicdn.com/open1839115443-252808396-3b140000019b35910eab0aa086a7_1340_1785.jpg?w=640&amp;h=640</v>
      </c>
      <c r="F174" t="inlineStr">
        <is>
          <t>T-Shirts</t>
        </is>
      </c>
      <c r="G174" t="inlineStr">
        <is>
          <t>Other</t>
        </is>
      </c>
      <c r="H174" t="inlineStr">
        <is>
          <t>127.00</t>
        </is>
      </c>
      <c r="I174">
        <v>18.41</v>
      </c>
      <c r="J174" t="inlineStr">
        <is>
          <t>{"choices":[{"finish_reason":"stop","index":0,"logprobs":null,"message":{"annotations":[],"content":"Other Minimalist Coffee White Stripe Knit Polo Shirt","refusal":null,"role":"assistant"}}],"created":1776666073,"id":"chatcmpl-DWcILoFXvUR6h65ArTwhHRyvZ5wa2","model":"gpt-5-chat-latest","object":"chat.completion","service_tier":"default","system_fingerprint":"fp_ad66631dec","usage":{"completion_tokens":10,"completion_tokens_details":{"accepted_prediction_tokens":0,"audio_tokens":0,"reasoning_tokens":0,"rejected_prediction_tokens":0},"prompt_tokens":869,"prompt_tokens_details":{"audio_tokens":0,"cached_tokens":0},"total_tokens":879}}</t>
        </is>
      </c>
      <c r="K174" t="inlineStr">
        <is>
          <t>Other Minimalist Coffee White Stripe Knit Polo Shirt</t>
        </is>
      </c>
      <c r="L174" t="inlineStr">
        <is>
          <t>{"choices":[{"finish_reason":"stop","index":0,"logprobs":null,"message":{"annotations":[],"content":"Other T-Shirts Minimalist Stripe Series Coffee White Knit Polo, soft breathable cotton blend, classic 3-button collar, unisex design for smart casual and business style.","refusal":null,"role":"assistant"}}],"created":1776658893,"id":"chatcmpl-DWaQXNJCZC0VCWwdsDeK9Fgq4ahvG","model":"gpt-5-chat-latest","object":"chat.completion","service_tier":"default","system_fingerprint":"fp_ad66631dec","usage":{"completion_tokens":34,"completion_tokens_details":{"accepted_prediction_tokens":0,"audio_tokens":0,"reasoning_tokens":0,"rejected_prediction_tokens":0},"prompt_tokens":912,"prompt_tokens_details":{"audio_tokens":0,"cached_tokens":0},"total_tokens":946}}</t>
        </is>
      </c>
      <c r="M174" t="inlineStr">
        <is>
          <t>{"alt-svc":"h3=\":443\"; ma=2592000","apim-request-id":"59cefca5-b084-4b55-9b9e-0b75e5d1b7d0","azureml-model-session":"d20260402083108-57a85543","cache-control":"no-cache","connection":"close","content-length":"757","content-security-policy":"frame-ancestors 'self'","content-type":"application/json","date":"Mon, 20 Apr 2026 04:21:34 GMT","server":"nginx","skip-error-remapping":"true","strict-transport-security":"max-age=31536000; includeSubDomains; preload","via":"1.1 Caddy, 1.1 Caddy","x-api-request-id":"20260420122132401377712GI4voKWM","x-content-type-options":"nosniff","x-frame-options":"SAMEORIGIN","x-ms-client-request-id":"Not-Set","x-ms-is-spilled-over":"false","x-ms-rai-invoked":"true","x-ms-region":"East US 2","x-new-api-version":"0.4.39","x-oneapi-request-id":"202604200421322992200648268d9d6q4KJgatI","x-ratelimit-abusepenalty-active":"False","x-ratelimit-limit-requests":"3850","x-ratelimit-limit-tokens":"3850000","x-ratelimit-remaining-requests":"3849","x-ratelimit-remaining-tokens":"3848326","x-ratelimit-renewalperiod-requests":"60","x-ratelimit-renewalperiod-tokens":"60","x-ratelimit-reset-requests":"15","x-ratelimit-reset-tokens":"26","x-request-id":"6acc4490-50bb-4a89-9651-fb58685ceae3"}</t>
        </is>
      </c>
      <c r="N174" t="inlineStr">
        <is>
          <t>Other T-Shirts Minimalist Stripe Series Coffee White Knit Polo, soft breathable cotton blend, classic 3-button collar, unisex design for smart casual and business style.</t>
        </is>
      </c>
      <c r="O174" t="inlineStr">
        <is>
          <t>{"choices":[{"finish_reason":"stop","index":0,"logprobs":null,"message":{"annotations":[],"content":"T-Shirts,Other,kakobuy,kakebuy2026,kekobuysheet,kakobuysheet2026,2026kakobuy,kakobuyspreadsheeet,kakobuylink,kakebuylist,Kakobuy MEGA Spreadsheet,kakobuysheetfind,kakobuysheetfind2026,2026kakobuysheetfind,kakobuysheet2026","refusal":null,"role":"assistant"}}],"created":1776668873,"id":"chatcmpl-DWd1VPSg5AHbDqTL7VYbw7b1nFgxI","model":"gpt-5-chat-latest","object":"chat.completion","service_tier":"default","system_fingerprint":"fp_ad66631dec","usage":{"completion_tokens":87,"completion_tokens_details":{"accepted_prediction_tokens":0,"audio_tokens":0,"reasoning_tokens":0,"rejected_prediction_tokens":0},"prompt_tokens":782,"prompt_tokens_details":{"audio_tokens":0,"cached_tokens":0},"total_tokens":869}}</t>
        </is>
      </c>
      <c r="P174" t="inlineStr">
        <is>
          <t>T-Shirts,Other,kakobuy,kakebuy2026,kekobuysheet,kakobuysheet2026,2026kakobuy,kakobuyspreadsheeet,kakobuylink,kakebuylist,Kakobuy MEGA Spreadsheet,kakobuysheetfind,kakobuysheetfind2026,2026kakobuysheetfind,kakobuysheet2026</t>
        </is>
      </c>
      <c r="Q174" t="inlineStr">
        <is>
          <t>Minimalist, Coffee, White, Knit, Unisex, Business Casual</t>
        </is>
      </c>
      <c r="R174" t="inlineStr">
        <is>
          <t>recvh6xFVjUc2c</t>
        </is>
      </c>
      <c r="S174" t="inlineStr">
        <is>
          <t>other-minimalist-coffee-white-stripe-knit-polo-recvh6xfvjuc2c</t>
        </is>
      </c>
      <c r="T174"/>
      <c r="U174"/>
      <c r="V174"/>
      <c r="W174" t="inlineStr">
        <is>
          <t>{"id":"chatcmpl-DWZgu0KyTxNru4CCkUyjsuxj59L3t","object":"chat.completion","created":1776656064,"model":"gpt-5-chat-latest","choices":[{"index":0,"message":{"role":"assistant","content":"简约条纹系列咖啡白配色短袖针织POLO衫，甄选透气棉混纺材质，质感柔软不易变形。经典翻领三扣设计凸显成熟休闲风格，适合男女通用穿搭，兼具商务与日常时尚气息。","refusal":null,"annotations":[]},"logprobs":null,"finish_reason":"stop"}],"usage":{"prompt_tokens":1315,"completion_tokens":76,"total_tokens":1391,"prompt_tokens_details":{"cached_tokens":0,"audio_tokens":0},"completion_tokens_details":{"reasoning_tokens":0,"audio_tokens":0,"accepted_prediction_tokens":0,"rejected_prediction_tokens":0}},"service_tier":"default","system_fingerprint":"fp_ad66631dec"}</t>
        </is>
      </c>
      <c r="X174" t="inlineStr">
        <is>
          <t>简约条纹系列咖啡白配色短袖针织POLO衫，甄选透气棉混纺材质，质感柔软不易变形。经典翻领三扣设计凸显成熟休闲风格，适合男女通用穿搭，兼具商务与日常时尚气息。</t>
        </is>
      </c>
    </row>
    <row r="175" ht="25.5" customHeight="1">
      <c r="A175">
        <v>1839115443</v>
      </c>
      <c r="B175">
        <v>7637232181</v>
      </c>
      <c r="C175" t="inlineStr">
        <is>
          <t>https://weidian.com/item.html?itemID=7637232181</t>
        </is>
      </c>
      <c r="D175"/>
      <c r="E175" s="2" t="str">
        <f>=HYPERLINK("https://si.geilicdn.com/open1839115443-252808396-2a420000019b35a16b890a8115c2_1785_1785.jpg?w=750&amp;h=750&amp;cp=1", "https://si.geilicdn.com/open1839115443-252808396-2a420000019b35a16b890a8115c2_1785_1785.jpg?w=750&amp;h=750&amp;cp=1")</f>
        <v>https://si.geilicdn.com/open1839115443-252808396-2a420000019b35a16b890a8115c2_1785_1785.jpg?w=750&amp;h=750&amp;cp=1</v>
      </c>
      <c r="F175" t="inlineStr">
        <is>
          <t>T-Shirts</t>
        </is>
      </c>
      <c r="G175" t="inlineStr">
        <is>
          <t>Other</t>
        </is>
      </c>
      <c r="H175" t="inlineStr">
        <is>
          <t>63.00</t>
        </is>
      </c>
      <c r="I175">
        <v>9.13</v>
      </c>
      <c r="J175" t="inlineStr">
        <is>
          <t>{"id":"chatcmpl-DWcH0IauALOnggPAGqwmb3E5s4dzj","object":"chat.completion","created":1776665990,"model":"gpt-5-chat-latest","choices":[{"index":0,"message":{"role":"assistant","content":"Dark Series Demon Totem Black Oversized Cotton T-Shirt","refusal":null,"annotations":[]},"logprobs":null,"finish_reason":"stop"}],"usage":{"prompt_tokens":879,"completion_tokens":12,"total_tokens":891,"prompt_tokens_details":{"cached_tokens":0,"audio_tokens":0},"completion_tokens_details":{"reasoning_tokens":0,"audio_tokens":0,"accepted_prediction_tokens":0,"rejected_prediction_tokens":0}},"service_tier":"default","system_fingerprint":"fp_ad66631dec"}</t>
        </is>
      </c>
      <c r="K175" t="inlineStr">
        <is>
          <t>Dark Series Demon Totem Black Oversized Cotton T-Shirt</t>
        </is>
      </c>
      <c r="L175" t="inlineStr">
        <is>
          <t>{"choices":[{"finish_reason":"stop","index":0,"logprobs":null,"message":{"annotations":[],"content":"T-ShirtsOther Dark Series black oversized cotton tee with demon-human dual totem print, cyber street style, unisex crew neck short sleeves, soft breathable fabric for casual or edgy daily wear.","refusal":null,"role":"assistant"}}],"created":1776658305,"id":"chatcmpl-DWaH3J7UbixFePHcbaw89GkvjOknf","model":"gpt-5-chat-latest","object":"chat.completion","service_tier":"default","system_fingerprint":"fp_ad66631dec","usage":{"completion_tokens":39,"completion_tokens_details":{"accepted_prediction_tokens":0,"audio_tokens":0,"reasoning_tokens":0,"rejected_prediction_tokens":0},"prompt_tokens":919,"prompt_tokens_details":{"audio_tokens":0,"cached_tokens":0},"total_tokens":958}}</t>
        </is>
      </c>
      <c r="M175" t="inlineStr">
        <is>
          <t>{"alt-svc":"h3=\":443\"; ma=2592000","apim-request-id":"c136391b-08dc-4634-8010-557b80a5f96c","azureml-model-session":"d20260405234249-f9874baf","cache-control":"no-cache","connection":"close","content-length":"781","content-security-policy":"frame-ancestors 'self'","content-type":"application/json","date":"Mon, 20 Apr 2026 04:11:46 GMT","server":"nginx","skip-error-remapping":"true","strict-transport-security":"max-age=31536000; includeSubDomains; preload","via":"1.1 Caddy, 1.1 Caddy","x-api-request-id":"20260420121144668572300p4Do2thB","x-content-type-options":"nosniff","x-frame-options":"SAMEORIGIN","x-ms-client-request-id":"Not-Set","x-ms-is-spilled-over":"false","x-ms-rai-invoked":"true","x-ms-region":"East US 2","x-new-api-version":"0.4.39","x-oneapi-request-id":"202604200411445556675598268d9d6PpDOPIcB","x-ratelimit-abusepenalty-active":"False","x-ratelimit-limit-requests":"3850","x-ratelimit-limit-tokens":"3850000","x-ratelimit-remaining-requests":"3849","x-ratelimit-remaining-tokens":"3848319","x-ratelimit-renewalperiod-requests":"60","x-ratelimit-renewalperiod-tokens":"60","x-ratelimit-reset-requests":"15","x-ratelimit-reset-tokens":"26","x-request-id":"459f298e-bc5a-4269-a66a-333130f141e6"}</t>
        </is>
      </c>
      <c r="N175" t="inlineStr">
        <is>
          <t>T-ShirtsOther Dark Series black oversized cotton tee with demon-human dual totem print, cyber street style, unisex crew neck short sleeves, soft breathable fabric for casual or edgy daily wear.</t>
        </is>
      </c>
      <c r="O175" t="inlineStr">
        <is>
          <t>{"id":"chatcmpl-DWcdbXy1i3XmOU9SincgCuzHWgWLX","object":"chat.completion","created":1776667391,"model":"gpt-5-chat-latest","choices":[{"index":0,"message":{"role":"assistant","content":"Kakobuy, T-Shirts,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94,"total_tokens":876,"prompt_tokens_details":{"cached_tokens":0,"audio_tokens":0},"completion_tokens_details":{"reasoning_tokens":0,"audio_tokens":0,"accepted_prediction_tokens":0,"rejected_prediction_tokens":0}},"service_tier":"default","system_fingerprint":"fp_ad66631dec"}</t>
        </is>
      </c>
      <c r="P175" t="inlineStr">
        <is>
          <t>Kakobuy, T-Shirts, kakobuy, kakebuy2026, kekobuysheet, kakobuysheet2026, 2026kakobuy, kakobuyspreadsheeet, kakobuylink, kakebuylist, Kakobuy MEGA Spreadsheet, kakobuysheetfind, kakobuysheetfind2026, 2026kakobuysheetfind, kakobuysheet2026</t>
        </is>
      </c>
      <c r="Q175" t="inlineStr">
        <is>
          <t>Black, Streetwear, Unisex, Edgy</t>
        </is>
      </c>
      <c r="R175" t="inlineStr">
        <is>
          <t>recvh6xFVja5rI</t>
        </is>
      </c>
      <c r="S175" t="inlineStr">
        <is>
          <t>dark-series-demon-totem-recvh6xFVja5rI</t>
        </is>
      </c>
      <c r="T175"/>
      <c r="U175"/>
      <c r="V175"/>
      <c r="W175" t="inlineStr">
        <is>
          <t>{"choices":[{"finish_reason":"stop","index":0,"logprobs":null,"message":{"annotations":[],"content":"暗黑系列黑色宽松印花T恤，纯棉面料柔软透气，正面拼接恶魔与人类双面图腾设计，展现赛博街头风格；圆领短袖剪裁男女同款，适合日常休闲与街头潮搭，尽显个性与力量感。","refusal":null,"role":"assistant"}}],"created":1776655843,"id":"chatcmpl-DWZdLDUFFVKXTk7dgodwJKxHCezwc","model":"gpt-5-chat-latest","object":"chat.completion","service_tier":"default","system_fingerprint":"fp_ad66631dec","usage":{"completion_tokens":78,"completion_tokens_details":{"accepted_prediction_tokens":0,"audio_tokens":0,"reasoning_tokens":0,"rejected_prediction_tokens":0},"prompt_tokens":1325,"prompt_tokens_details":{"audio_tokens":0,"cached_tokens":0},"total_tokens":1403}}</t>
        </is>
      </c>
      <c r="X175" t="inlineStr">
        <is>
          <t>暗黑系列黑色宽松印花T恤，纯棉面料柔软透气，正面拼接恶魔与人类双面图腾设计，展现赛博街头风格；圆领短袖剪裁男女同款，适合日常休闲与街头潮搭，尽显个性与力量感。</t>
        </is>
      </c>
    </row>
    <row r="176" ht="25.5" customHeight="1">
      <c r="A176">
        <v>1839115443</v>
      </c>
      <c r="B176">
        <v>7640154874</v>
      </c>
      <c r="C176" t="inlineStr">
        <is>
          <t>https://weidian.com/item.html?itemID=7640154874</t>
        </is>
      </c>
      <c r="D176"/>
      <c r="E176" s="2" t="str">
        <f>=HYPERLINK("https://si.geilicdn.com/open1839115443-252808396-40170000019b35a169140a231226_1785_1785.jpg?w=750&amp;h=750&amp;cp=1", "https://si.geilicdn.com/open1839115443-252808396-40170000019b35a169140a231226_1785_1785.jpg?w=750&amp;h=750&amp;cp=1")</f>
        <v>https://si.geilicdn.com/open1839115443-252808396-40170000019b35a169140a231226_1785_1785.jpg?w=750&amp;h=750&amp;cp=1</v>
      </c>
      <c r="F176" t="inlineStr">
        <is>
          <t>T-Shirts</t>
        </is>
      </c>
      <c r="G176" t="inlineStr">
        <is>
          <t>Jack Jones</t>
        </is>
      </c>
      <c r="H176" t="inlineStr">
        <is>
          <t>63.00</t>
        </is>
      </c>
      <c r="I176">
        <v>9.13</v>
      </c>
      <c r="J176" t="inlineStr">
        <is>
          <t>{"choices":[{"finish_reason":"stop","index":0,"logprobs":null,"message":{"annotations":[],"content":"Jack &amp; Jones Beige Logo Cotton T-Shirt Men","refusal":null,"role":"assistant"}}],"created":1776666614,"id":"chatcmpl-DWcR46EaR5l7iEnIw29TuAAHgiS1l","model":"gpt-5-chat-latest","object":"chat.completion","service_tier":"default","system_fingerprint":"fp_ad66631dec","usage":{"completion_tokens":10,"completion_tokens_details":{"accepted_prediction_tokens":0,"audio_tokens":0,"reasoning_tokens":0,"rejected_prediction_tokens":0},"prompt_tokens":870,"prompt_tokens_details":{"audio_tokens":0,"cached_tokens":0},"total_tokens":880}}</t>
        </is>
      </c>
      <c r="K176" t="inlineStr">
        <is>
          <t>Jack &amp; Jones Beige Logo Cotton T-Shirt Men</t>
        </is>
      </c>
      <c r="L176" t="inlineStr">
        <is>
          <t>{"choices":[{"finish_reason":"stop","index":0,"logprobs":null,"message":{"annotations":[],"content":"Jack &amp; Jones beige cotton T-shirt for men, featuring bold orange and black logo print, soft breathable fabric, stylish streetwear vibe, perfect for summer casual outfits.","refusal":null,"role":"assistant"}}],"created":1776659338,"id":"chatcmpl-DWaXiqaYYiKrWqrDKy6XVQCEzJRtt","model":"gpt-5-chat-latest","object":"chat.completion","service_tier":"default","system_fingerprint":"fp_ad66631dec","usage":{"completion_tokens":34,"completion_tokens_details":{"accepted_prediction_tokens":0,"audio_tokens":0,"reasoning_tokens":0,"rejected_prediction_tokens":0},"prompt_tokens":899,"prompt_tokens_details":{"audio_tokens":0,"cached_tokens":0},"total_tokens":933}}</t>
        </is>
      </c>
      <c r="M176" t="inlineStr">
        <is>
          <t>{"alt-svc":"h3=\":443\"; ma=2592000","apim-request-id":"a18bf8f5-2560-4f14-b4e5-7bffda14f8cd","azureml-model-session":"d20260402083108-57a85543","cache-control":"no-cache","connection":"close","content-length":"763","content-security-policy":"frame-ancestors 'self'","content-type":"application/json","date":"Mon, 20 Apr 2026 04:28:59 GMT","server":"Caddy","skip-error-remapping":"true","strict-transport-security":"max-age=31536000; includeSubDomains; preload","via":"1.1 Caddy","x-api-request-id":"20260420122857829271717mFGNaCPg","x-content-type-options":"nosniff","x-frame-options":"SAMEORIGIN","x-ms-client-request-id":"Not-Set","x-ms-is-spilled-over":"false","x-ms-rai-invoked":"true","x-ms-region":"East US 2","x-new-api-version":"0.4.39","x-oneapi-request-id":"202604200428577602255788268d9d6joBDcLof","x-ratelimit-abusepenalty-active":"False","x-ratelimit-limit-requests":"3850","x-ratelimit-limit-tokens":"3850000","x-ratelimit-remaining-requests":"3849","x-ratelimit-remaining-tokens":"3848339","x-ratelimit-renewalperiod-requests":"60","x-ratelimit-renewalperiod-tokens":"60","x-ratelimit-reset-requests":"15","x-ratelimit-reset-tokens":"25","x-request-id":"c076ac57-aed8-400c-8ce3-6ab65e854f53"}</t>
        </is>
      </c>
      <c r="N176" t="inlineStr">
        <is>
          <t>Jack &amp; Jones beige cotton T-shirt for men, featuring bold orange and black logo print, soft breathable fabric, stylish streetwear vibe, perfect for summer casual outfits.</t>
        </is>
      </c>
      <c r="O176" t="inlineStr">
        <is>
          <t>{"choices":[{"finish_reason":"stop","index":0,"logprobs":null,"message":{"annotations":[],"content":"Jack Jones,T-Shirts,kakobuy,kakebuy2026,kekobuysheet,kakobuysheet2026,2026kakobuy,kakobuyspreadsheeet,kakobuylink,kakebuylist,Kakobuy MEGA Spreadsheet,kakobuysheetfind,kakobuysheetfind2026,2026kakobuysheetfind,kakobuysheet2026","refusal":null,"role":"assistant"}}],"created":1776668616,"id":"chatcmpl-DWcxMPEB4njCkaqmmiI6viWpihv9Z","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P176" t="inlineStr">
        <is>
          <t>Jack Jones,T-Shirts,kakobuy,kakebuy2026,kekobuysheet,kakobuysheet2026,2026kakobuy,kakobuyspreadsheeet,kakobuylink,kakebuylist,Kakobuy MEGA Spreadsheet,kakobuysheetfind,kakobuysheetfind2026,2026kakobuysheetfind,kakobuysheet2026</t>
        </is>
      </c>
      <c r="Q176" t="inlineStr">
        <is>
          <t>Beige, Streetwear, Summer, Breathable, Men</t>
        </is>
      </c>
      <c r="R176" t="inlineStr">
        <is>
          <t>recvh6xFVjviEv</t>
        </is>
      </c>
      <c r="S176" t="inlineStr">
        <is>
          <t>jack-jones-beige-logo-cotton-tshirt-men-recvh6xfvjvieev</t>
        </is>
      </c>
      <c r="T176"/>
      <c r="U176"/>
      <c r="V176"/>
      <c r="W176" t="inlineStr">
        <is>
          <t>{"choices":[{"finish_reason":"stop","index":0,"logprobs":null,"message":{"annotations":[],"content":"Jack Jones：米色品牌印花短袖T恤，柔软纯棉面料，透气舒适。醒目橙黑撞色LOGO设计，展现都市休闲与街头潮流风格，男士夏季百搭单品。","refusal":null,"role":"assistant"}}],"created":1776655280,"id":"chatcmpl-DWZUG9zd9unb5cCHRgUjbyPmZTwer","model":"gpt-5-chat-latest","object":"chat.completion","service_tier":"default","system_fingerprint":"fp_ad66631dec","usage":{"completion_tokens":61,"completion_tokens_details":{"accepted_prediction_tokens":0,"audio_tokens":0,"reasoning_tokens":0,"rejected_prediction_tokens":0},"prompt_tokens":1320,"prompt_tokens_details":{"audio_tokens":0,"cached_tokens":0},"total_tokens":1381}}</t>
        </is>
      </c>
      <c r="X176" t="inlineStr">
        <is>
          <t>Jack Jones：米色品牌印花短袖T恤，柔软纯棉面料，透气舒适。醒目橙黑撞色LOGO设计，展现都市休闲与街头潮流风格，男士夏季百搭单品。</t>
        </is>
      </c>
    </row>
    <row r="177" ht="25.5" customHeight="1">
      <c r="A177">
        <v>1839115443</v>
      </c>
      <c r="B177">
        <v>7693075893</v>
      </c>
      <c r="C177" t="inlineStr">
        <is>
          <t>https://weidian.com/item.html?itemID=7693075893</t>
        </is>
      </c>
      <c r="D177"/>
      <c r="E177" s="2" t="str">
        <f>=HYPERLINK("https://si.geilicdn.com/open1839115443-252808396-28340000019c50bca1d20a22d249_1440_1440.jpg?w=750&amp;h=750&amp;cp=1", "https://si.geilicdn.com/open1839115443-252808396-28340000019c50bca1d20a22d249_1440_1440.jpg?w=750&amp;h=750&amp;cp=1")</f>
        <v>https://si.geilicdn.com/open1839115443-252808396-28340000019c50bca1d20a22d249_1440_1440.jpg?w=750&amp;h=750&amp;cp=1</v>
      </c>
      <c r="F177" t="inlineStr">
        <is>
          <t>T-Shirts</t>
        </is>
      </c>
      <c r="G177" t="inlineStr">
        <is>
          <t>Other</t>
        </is>
      </c>
      <c r="H177" t="inlineStr">
        <is>
          <t>54.00</t>
        </is>
      </c>
      <c r="I177">
        <v>7.83</v>
      </c>
      <c r="J177" t="inlineStr">
        <is>
          <t>{"id":"chatcmpl-DWcMuJvfjX7SIxW9cbLZZyzS2HPeh","object":"chat.completion","created":1776666356,"model":"gpt-5-chat-latest","choices":[{"index":0,"message":{"role":"assistant","content":"Robark White Graffiti Cotton Street Style T-Shirt","refusal":null,"annotations":[]},"logprobs":null,"finish_reason":"stop"}],"usage":{"prompt_tokens":887,"completion_tokens":11,"total_tokens":898,"prompt_tokens_details":{"cached_tokens":0,"audio_tokens":0},"completion_tokens_details":{"reasoning_tokens":0,"audio_tokens":0,"accepted_prediction_tokens":0,"rejected_prediction_tokens":0}},"service_tier":"default","system_fingerprint":"fp_ad66631dec"}</t>
        </is>
      </c>
      <c r="K177" t="inlineStr">
        <is>
          <t>Robark White Graffiti Cotton Street Style T-Shirt</t>
        </is>
      </c>
      <c r="L177" t="inlineStr">
        <is>
          <t>{"choices":[{"finish_reason":"stop","index":0,"logprobs":null,"message":{"annotations":[],"content":"Robark White Graffiti T-Shirt, made of soft breathable cotton, features colorful splatter art and 3D logo on the back, showcasing street style and youthful energy; loose fit for men and women.","refusal":null,"role":"assistant"}}],"created":1776658697,"id":"chatcmpl-DWaNNSdXiJK0dO2usLOWFtt1pp5Bk","model":"gpt-5-chat-latest","object":"chat.completion","service_tier":"default","system_fingerprint":"fp_ad66631dec","usage":{"completion_tokens":43,"completion_tokens_details":{"accepted_prediction_tokens":0,"audio_tokens":0,"reasoning_tokens":0,"rejected_prediction_tokens":0},"prompt_tokens":917,"prompt_tokens_details":{"audio_tokens":0,"cached_tokens":0},"total_tokens":960}}</t>
        </is>
      </c>
      <c r="M177" t="inlineStr">
        <is>
          <t>{"alt-svc":"h3=\":443\"; ma=2592000","apim-request-id":"e6c00a46-a05b-43bb-a8c8-c3c81a2d7d92","azureml-model-session":"d20260405234249-f9874baf","cache-control":"no-cache","connection":"close","content-length":"780","content-security-policy":"frame-ancestors 'self'","content-type":"application/json","date":"Mon, 20 Apr 2026 04:18:18 GMT","server":"Caddy","skip-error-remapping":"true","strict-transport-security":"max-age=31536000; includeSubDomains; preload","via":"1.1 Caddy","x-api-request-id":"20260420121816596062200N5OeShET","x-content-type-options":"nosniff","x-frame-options":"SAMEORIGIN","x-ms-client-request-id":"Not-Set","x-ms-is-spilled-over":"false","x-ms-rai-invoked":"true","x-ms-region":"East US 2","x-new-api-version":"0.4.39","x-oneapi-request-id":"202604200418165298265328268d9d6KEgEbmVl","x-ratelimit-abusepenalty-active":"False","x-ratelimit-limit-requests":"3850","x-ratelimit-limit-tokens":"3850000","x-ratelimit-remaining-requests":"3849","x-ratelimit-remaining-tokens":"3848321","x-ratelimit-renewalperiod-requests":"60","x-ratelimit-renewalperiod-tokens":"60","x-ratelimit-reset-requests":"15","x-ratelimit-reset-tokens":"26","x-request-id":"944bc83d-dd2d-4be0-b020-fb10c2692c3a"}</t>
        </is>
      </c>
      <c r="N177" t="inlineStr">
        <is>
          <t>Robark White Graffiti T-Shirt, made of soft breathable cotton, features colorful splatter art and 3D logo on the back, showcasing street style and youthful energy; loose fit for men and women.</t>
        </is>
      </c>
      <c r="O177" t="inlineStr">
        <is>
          <t>{"id":"chatcmpl-DWcfgZylG1VpRljVmLDgtbLIV1BaG","object":"chat.completion","created":1776667520,"model":"gpt-5-chat-latest","choices":[{"index":0,"message":{"role":"assistant","content":"Robark,T-Shirt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77" t="inlineStr">
        <is>
          <t>Robark,T-Shirts,kakobuy,kakebuy2026,kekobuysheet,kakobuysheet2026,2026kakobuy,kakobuyspreadsheeet,kakobuylink,kakebuylist,Kakobuy MEGA Spreadsheet,kakobuysheetfind,kakobuysheetfind2026,2026kakobuysheetfind,kakobuysheet2026</t>
        </is>
      </c>
      <c r="Q177" t="inlineStr">
        <is>
          <t>Streetwear, Colorful, Unisex, Breathable</t>
        </is>
      </c>
      <c r="R177" t="inlineStr">
        <is>
          <t>recvh6xFVjakJz</t>
        </is>
      </c>
      <c r="S177" t="inlineStr">
        <is>
          <t>robark-white-graffiti-cotton-street-recvh6xFVjakJz</t>
        </is>
      </c>
      <c r="T177"/>
      <c r="U177"/>
      <c r="V177"/>
      <c r="W177" t="inlineStr">
        <is>
          <t>{"choices":[{"finish_reason":"stop","index":0,"logprobs":null,"message":{"annotations":[],"content":"简约白色涂鸦印花T恤，柔软纯棉面料透气舒适，背部多色泼墨艺术设计搭配立体字母标识，彰显街头个性与青春活力，宽松版型男女皆宜，休闲潮流风格演绎自在穿搭。","refusal":null,"role":"assistant"}}],"created":1776656143,"id":"chatcmpl-DWZiBKh7YX6kb8ATZaXWjZuJpKTJ2","model":"gpt-5-chat-latest","object":"chat.completion","service_tier":"default","system_fingerprint":"fp_ad66631dec","usage":{"completion_tokens":77,"completion_tokens_details":{"accepted_prediction_tokens":0,"audio_tokens":0,"reasoning_tokens":0,"rejected_prediction_tokens":0},"prompt_tokens":1323,"prompt_tokens_details":{"audio_tokens":0,"cached_tokens":0},"total_tokens":1400}}</t>
        </is>
      </c>
      <c r="X177" t="inlineStr">
        <is>
          <t>简约白色涂鸦印花T恤，柔软纯棉面料透气舒适，背部多色泼墨艺术设计搭配立体字母标识，彰显街头个性与青春活力，宽松版型男女皆宜，休闲潮流风格演绎自在穿搭。</t>
        </is>
      </c>
    </row>
    <row r="178" ht="25.5" customHeight="1">
      <c r="A178">
        <v>1839115443</v>
      </c>
      <c r="B178">
        <v>7692987339</v>
      </c>
      <c r="C178" t="inlineStr">
        <is>
          <t>https://weidian.com/item.html?itemID=7692987339</t>
        </is>
      </c>
      <c r="D178"/>
      <c r="E178" s="2" t="str">
        <f>=HYPERLINK("https://si.geilicdn.com/open1839115443-252808396-20990000019c50b29e1e0aa08239_800_800.jpg?w=750&amp;h=750&amp;cp=1", "https://si.geilicdn.com/open1839115443-252808396-20990000019c50b29e1e0aa08239_800_800.jpg?w=750&amp;h=750&amp;cp=1")</f>
        <v>https://si.geilicdn.com/open1839115443-252808396-20990000019c50b29e1e0aa08239_800_800.jpg?w=750&amp;h=750&amp;cp=1</v>
      </c>
      <c r="F178" t="inlineStr">
        <is>
          <t>T-Shirts</t>
        </is>
      </c>
      <c r="G178" t="inlineStr">
        <is>
          <t>Other</t>
        </is>
      </c>
      <c r="H178" t="inlineStr">
        <is>
          <t>54.00</t>
        </is>
      </c>
      <c r="I178">
        <v>7.83</v>
      </c>
      <c r="J178" t="inlineStr">
        <is>
          <t>{"id":"chatcmpl-DWcUFRXt8lz4fMU4TtNXLpv9VUgY3","object":"chat.completion","created":1776666811,"model":"gpt-5-chat-latest","choices":[{"index":0,"message":{"role":"assistant","content":"Other Minimalist White Planet Galaxy Print Tee","refusal":null,"annotations":[]},"logprobs":null,"finish_reason":"stop"}],"usage":{"prompt_tokens":877,"completion_tokens":9,"total_tokens":886,"prompt_tokens_details":{"cached_tokens":0,"audio_tokens":0},"completion_tokens_details":{"reasoning_tokens":0,"audio_tokens":0,"accepted_prediction_tokens":0,"rejected_prediction_tokens":0}},"service_tier":"default","system_fingerprint":"fp_ad66631dec"}</t>
        </is>
      </c>
      <c r="K178" t="inlineStr">
        <is>
          <t>Other Minimalist White Planet Galaxy Print Tee</t>
        </is>
      </c>
      <c r="L178" t="inlineStr">
        <is>
          <t>{"choices":[{"finish_reason":"stop","index":0,"logprobs":null,"message":{"annotations":[],"content":"Brand T-ShirtsOther Minimalist White Planet Print Tee in Soft Cotton, featuring cosmic galaxy totem on back, loose fit for unisex street style, blending futuristic design with everyday comfort.","refusal":null,"role":"assistant"}}],"created":1776658944,"id":"chatcmpl-DWaRM2LlShQ8eOBqu5iiNfNJwfyun","model":"gpt-5-chat-latest","object":"chat.completion","service_tier":"default","system_fingerprint":"fp_ad66631dec","usage":{"completion_tokens":38,"completion_tokens_details":{"accepted_prediction_tokens":0,"audio_tokens":0,"reasoning_tokens":0,"rejected_prediction_tokens":0},"prompt_tokens":914,"prompt_tokens_details":{"audio_tokens":0,"cached_tokens":0},"total_tokens":952}}</t>
        </is>
      </c>
      <c r="M178" t="inlineStr">
        <is>
          <t>{"alt-svc":"h3=\":443\"; ma=2592000","apim-request-id":"5fd6e242-5b0d-4935-9024-d7703617b20b","azureml-model-session":"d20260405234249-f9874baf","cache-control":"no-cache","connection":"close","content-length":"781","content-security-policy":"frame-ancestors 'self'","content-type":"application/json","date":"Mon, 20 Apr 2026 04:22:25 GMT","server":"Caddy","skip-error-remapping":"true","strict-transport-security":"max-age=31536000; includeSubDomains; preload","via":"1.1 Caddy","x-api-request-id":"20260420122223391344987M1COIvF4","x-content-type-options":"nosniff","x-frame-options":"SAMEORIGIN","x-ms-client-request-id":"Not-Set","x-ms-is-spilled-over":"false","x-ms-rai-invoked":"true","x-ms-region":"East US 2","x-new-api-version":"0.4.39","x-oneapi-request-id":"202604200422232546094058268d9d6hYeNKtCJ","x-ratelimit-abusepenalty-active":"False","x-ratelimit-limit-requests":"3850","x-ratelimit-limit-tokens":"3850000","x-ratelimit-remaining-requests":"3849","x-ratelimit-remaining-tokens":"3848324","x-ratelimit-renewalperiod-requests":"60","x-ratelimit-renewalperiod-tokens":"60","x-ratelimit-reset-requests":"15","x-ratelimit-reset-tokens":"26","x-request-id":"bbc82d35-4e48-40d4-8278-8e3bbf2e7a4b"}</t>
        </is>
      </c>
      <c r="N178" t="inlineStr">
        <is>
          <t>Brand T-ShirtsOther Minimalist White Planet Print Tee in Soft Cotton, featuring cosmic galaxy totem on back, loose fit for unisex street style, blending futuristic design with everyday comfort.</t>
        </is>
      </c>
      <c r="O178" t="inlineStr">
        <is>
          <t>{"choices":[{"finish_reason":"stop","index":0,"logprobs":null,"message":{"annotations":[],"content":"MuNsu, T-Shirts, kakobuy, kakebuy2026, kekobuysheet, kakobuysheet2026, 2026kakobuy, kakobuyspreadsheeet, kakobuylink, kakebuylist, Kakobuy MEGA Spreadsheet, kakobuysheetfind, kakobuysheetfind2026, 2026kakobuysheetfind, kakobuysheet2026","refusal":null,"role":"assistant"}}],"created":1776668042,"id":"chatcmpl-DWco6LOClCXpZqIuWaD3G3MYCzAuW","model":"gpt-5-chat-latest","object":"chat.completion","service_tier":"default","system_fingerprint":"fp_ad66631dec","usage":{"completion_tokens":93,"completion_tokens_details":{"accepted_prediction_tokens":0,"audio_tokens":0,"reasoning_tokens":0,"rejected_prediction_tokens":0},"prompt_tokens":782,"prompt_tokens_details":{"audio_tokens":0,"cached_tokens":0},"total_tokens":875}}</t>
        </is>
      </c>
      <c r="P178" t="inlineStr">
        <is>
          <t>MuNsu, T-Shirts, kakobuy, kakebuy2026, kekobuysheet, kakobuysheet2026, 2026kakobuy, kakobuyspreadsheeet, kakobuylink, kakebuylist, Kakobuy MEGA Spreadsheet, kakobuysheetfind, kakobuysheetfind2026, 2026kakobuysheetfind, kakobuysheet2026</t>
        </is>
      </c>
      <c r="Q178" t="inlineStr">
        <is>
          <t>Minimalist, White, Streetwear, Unisex</t>
        </is>
      </c>
      <c r="R178" t="inlineStr">
        <is>
          <t>recvh6xFVjOvjv</t>
        </is>
      </c>
      <c r="S178" t="inlineStr">
        <is>
          <t>other-minimalist-white-planet-galaxy-print-tee-recvh6xFVjOvjv</t>
        </is>
      </c>
      <c r="T178"/>
      <c r="U178"/>
      <c r="V178"/>
      <c r="W178" t="inlineStr">
        <is>
          <t>{"id":"chatcmpl-DWZjGaaeBskInlE7rCVy2vlKmqowJ","object":"chat.completion","created":1776656210,"model":"gpt-5-chat-latest","choices":[{"index":0,"message":{"role":"assistant","content":"极简系列白色行星印花T恤，柔软纯棉面料，背部点缀宇宙星系图腾，展现未来主义美学。宽松版型兼顾舒适与时尚，适合男女日常休闲与街头穿搭，营造独特个性态度。","refusal":null,"annotations":[]},"logprobs":null,"finish_reason":"stop"}],"usage":{"prompt_tokens":1319,"completion_tokens":76,"total_tokens":1395,"prompt_tokens_details":{"cached_tokens":0,"audio_tokens":0},"completion_tokens_details":{"reasoning_tokens":0,"audio_tokens":0,"accepted_prediction_tokens":0,"rejected_prediction_tokens":0}},"service_tier":"default","system_fingerprint":"fp_ad66631dec"}</t>
        </is>
      </c>
      <c r="X178" t="inlineStr">
        <is>
          <t>极简系列白色行星印花T恤，柔软纯棉面料，背部点缀宇宙星系图腾，展现未来主义美学。宽松版型兼顾舒适与时尚，适合男女日常休闲与街头穿搭，营造独特个性态度。</t>
        </is>
      </c>
    </row>
    <row r="179" ht="25.5" customHeight="1">
      <c r="A179">
        <v>1839115443</v>
      </c>
      <c r="B179">
        <v>7696057908</v>
      </c>
      <c r="C179" t="inlineStr">
        <is>
          <t>https://weidian.com/item.html?itemID=7696057908</t>
        </is>
      </c>
      <c r="D179"/>
      <c r="E179" s="2" t="str">
        <f>=HYPERLINK("https://si.geilicdn.com/open1839115443-252808396-12120000019c50ae5bb40aa08676_1080_1080.jpg?w=750&amp;h=750&amp;cp=1", "https://si.geilicdn.com/open1839115443-252808396-12120000019c50ae5bb40aa08676_1080_1080.jpg?w=750&amp;h=750&amp;cp=1")</f>
        <v>https://si.geilicdn.com/open1839115443-252808396-12120000019c50ae5bb40aa08676_1080_1080.jpg?w=750&amp;h=750&amp;cp=1</v>
      </c>
      <c r="F179" t="inlineStr">
        <is>
          <t>T-Shirts</t>
        </is>
      </c>
      <c r="G179" t="inlineStr">
        <is>
          <t>Other</t>
        </is>
      </c>
      <c r="H179" t="inlineStr">
        <is>
          <t>54.00</t>
        </is>
      </c>
      <c r="I179">
        <v>7.82608695652174</v>
      </c>
      <c r="J179" t="inlineStr">
        <is>
          <t>{"choices":[{"finish_reason":"stop","index":0,"logprobs":null,"message":{"annotations":[],"content":"MENGXIE YOUXUAN White Cotton Street Fashion T-Shirt","refusal":null,"role":"assistant"}}],"created":1776665884,"id":"chatcmpl-DWcFISlor6wqSM59hDbB58iZ0dYdb","model":"gpt-5-chat-latest","object":"chat.completion","service_tier":"default","system_fingerprint":"fp_ad66631dec","usage":{"completion_tokens":15,"completion_tokens_details":{"accepted_prediction_tokens":0,"audio_tokens":0,"reasoning_tokens":0,"rejected_prediction_tokens":0},"prompt_tokens":883,"prompt_tokens_details":{"audio_tokens":0,"cached_tokens":0},"total_tokens":898}}</t>
        </is>
      </c>
      <c r="K179" t="inlineStr">
        <is>
          <t>MENGXIE YOUXUAN White Cotton Street Fashion T-Shirt</t>
        </is>
      </c>
      <c r="L179" t="inlineStr">
        <is>
          <t>{"id":"chatcmpl-DWaOOLlixKHZ6oqOQNMcCjPi0HWUk","object":"chat.completion","created":1776658760,"model":"gpt-5-chat-latest","choices":[{"index":0,"message":{"role":"assistant","content":"MENGXIE YOUXUAN Urban Minimalist White Cotton T-Shirt, soft breathable fabric with gray textured letter print, street fashion style, loose fit unisex design for casual modern city wear.","refusal":null,"annotations":[]},"logprobs":null,"finish_reason":"stop"}],"usage":{"prompt_tokens":907,"completion_tokens":41,"total_tokens":948,"prompt_tokens_details":{"cached_tokens":0,"audio_tokens":0},"completion_tokens_details":{"reasoning_tokens":0,"audio_tokens":0,"accepted_prediction_tokens":0,"rejected_prediction_tokens":0}},"service_tier":"default","system_fingerprint":"fp_ad66631dec"}</t>
        </is>
      </c>
      <c r="M179"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ma=2592000","apim-request-id":"e6c9b736-7064-4d03-a397-50d0e9de79fa","azureml-model-session":"d20260402084046-4209e968","cache-control":"no-cache, no-store, must-revalidate","connection":"close","content-length":"989","content-security-policy":"frame-ancestors 'self'","content-type":"application/json","date":"Mon, 20 Apr 2026 04:19:22 GMT","server":"nginx","skip-error-remapping":"true","strict-transport-security":"max-age=31536000; includeSubDomains; preload","via":"1.1 Caddy, 1.1 Caddy","x-api-request-id":"20260420121919295920995hBkLEDy4","x-content-type-options":"nosniff","x-frame-options":"SAMEORIGIN","x-ms-is-spilled-over":"false","x-ms-rai-invoked":"false","x-ms-region":"Sweden Central","x-new-api-version":"0.4.39","x-oneapi-request-id":"202604200419192269947298268d9d6naOiLB1D","x-ratelimit-abusepenalty-active":"False","x-ratelimit-limit-requests":"4993","x-ratelimit-limit-tokens":"4993000","x-ratelimit-remaining-requests":"4992","x-ratelimit-remaining-tokens":"4991331","x-ratelimit-renewalperiod-requests":"60","x-ratelimit-renewalperiod-tokens":"60","x-ratelimit-reset-requests":"12","x-ratelimit-reset-tokens":"20","x-request-id":"e702d5fd-f12b-4dcb-9432-e57caa0df2e0"}</t>
        </is>
      </c>
      <c r="N179" t="inlineStr">
        <is>
          <t>MENGXIE YOUXUAN Urban Minimalist White Cotton T-Shirt, soft breathable fabric with gray textured letter print, street fashion style, loose fit unisex design for casual modern city wear.</t>
        </is>
      </c>
      <c r="O179" t="inlineStr">
        <is>
          <t>{"choices":[{"finish_reason":"stop","index":0,"logprobs":null,"message":{"annotations":[],"content":"MENGXIE YOUXUAN,T-Shirts,kakobuy,kakebuy2026,kekobuysheet,kakobuysheet2026,2026kakobuy,kakobuyspreadsheeet,kakobuylink,kakebuylist,Kakobuy MEGA Spreadsheet,kakobuysheetfind,kakobuysheetfind2026,2026kakobuysheetfind,kakobuysheet2026","refusal":null,"role":"assistant"}}],"created":1776667991,"id":"chatcmpl-DWcnH26F6cDWvv7iGBMXZJ1JAnwM9","model":"gpt-5-chat-latest","object":"chat.completion","service_tier":"default","system_fingerprint":"fp_ad66631dec","usage":{"completion_tokens":93,"completion_tokens_details":{"accepted_prediction_tokens":0,"audio_tokens":0,"reasoning_tokens":0,"rejected_prediction_tokens":0},"prompt_tokens":782,"prompt_tokens_details":{"audio_tokens":0,"cached_tokens":0},"total_tokens":875}}</t>
        </is>
      </c>
      <c r="P179" t="inlineStr">
        <is>
          <t>MENGXIE YOUXUAN,T-Shirts,kakobuy,kakebuy2026,kekobuysheet,kakobuysheet2026,2026kakobuy,kakobuyspreadsheeet,kakobuylink,kakebuylist,Kakobuy MEGA Spreadsheet,kakobuysheetfind,kakobuysheetfind2026,2026kakobuysheetfind,kakobuysheet2026</t>
        </is>
      </c>
      <c r="Q179" t="inlineStr">
        <is>
          <t>White, Minimalist, Streetwear, Unisex</t>
        </is>
      </c>
      <c r="R179" t="inlineStr">
        <is>
          <t>recvh6xFVjyfSD</t>
        </is>
      </c>
      <c r="S179" t="inlineStr">
        <is>
          <t>mengxie-youxuan-white-cotton-street-fashion-t-shirt-recvh6xfvjyfsd</t>
        </is>
      </c>
      <c r="T179"/>
      <c r="U179"/>
      <c r="V179"/>
      <c r="W179" t="inlineStr">
        <is>
          <t>{"choices":[{"finish_reason":"stop","index":0,"logprobs":null,"message":{"annotations":[],"content":"都市简约系列白色短袖T恤，亲肤棉质面料柔软透气，前幅灰纹理字母印花设计彰显现代艺术感，街头潮流风格，宽松剪裁男女皆宜，休闲百搭彰显都市青年时尚态度。","refusal":null,"role":"assistant"}}],"created":1776655316,"id":"chatcmpl-DWZUqIY8A98g0Rel7WMaokAO2Blfs","model":"gpt-5-chat-latest","object":"chat.completion","service_tier":"default","system_fingerprint":"fp_ad66631dec","usage":{"completion_tokens":69,"completion_tokens_details":{"accepted_prediction_tokens":0,"audio_tokens":0,"reasoning_tokens":0,"rejected_prediction_tokens":0},"prompt_tokens":1319,"prompt_tokens_details":{"audio_tokens":0,"cached_tokens":0},"total_tokens":1388}}</t>
        </is>
      </c>
      <c r="X179" t="inlineStr">
        <is>
          <t>都市简约系列白色短袖T恤，亲肤棉质面料柔软透气，前幅灰纹理字母印花设计彰显现代艺术感，街头潮流风格，宽松剪裁男女皆宜，休闲百搭彰显都市青年时尚态度。</t>
        </is>
      </c>
    </row>
    <row r="180" ht="25.5" customHeight="1">
      <c r="A180">
        <v>1839115443</v>
      </c>
      <c r="B180">
        <v>7692976977</v>
      </c>
      <c r="C180" t="inlineStr">
        <is>
          <t>https://weidian.com/item.html?itemID=7692976977</t>
        </is>
      </c>
      <c r="D180"/>
      <c r="E180" s="2" t="str">
        <f>=HYPERLINK("https://si.geilicdn.com/open1839115443-252808396-1b1f0000019c50ab8d020a231226_1440_1440.jpg?w=750&amp;h=750&amp;cp=1", "https://si.geilicdn.com/open1839115443-252808396-1b1f0000019c50ab8d020a231226_1440_1440.jpg?w=750&amp;h=750&amp;cp=1")</f>
        <v>https://si.geilicdn.com/open1839115443-252808396-1b1f0000019c50ab8d020a231226_1440_1440.jpg?w=750&amp;h=750&amp;cp=1</v>
      </c>
      <c r="F180" t="inlineStr">
        <is>
          <t>T-Shirts</t>
        </is>
      </c>
      <c r="G180" t="inlineStr">
        <is>
          <t>Other</t>
        </is>
      </c>
      <c r="H180" t="inlineStr">
        <is>
          <t>54.00</t>
        </is>
      </c>
      <c r="I180">
        <v>7.83</v>
      </c>
      <c r="J180" t="inlineStr">
        <is>
          <t>{"id":"chatcmpl-DWcDPz20Xwv1RW93OJQDKzUgNEGDB","object":"chat.completion","created":1776665767,"model":"gpt-5-chat-latest","choices":[{"index":0,"message":{"role":"assistant","content":"Sketchy White Graphic T-Shirt Unisex Streetwear Tee","refusal":null,"annotations":[]},"logprobs":null,"finish_reason":"stop"}],"usage":{"prompt_tokens":879,"completion_tokens":12,"total_tokens":891,"prompt_tokens_details":{"cached_tokens":0,"audio_tokens":0},"completion_tokens_details":{"reasoning_tokens":0,"audio_tokens":0,"accepted_prediction_tokens":0,"rejected_prediction_tokens":0}},"service_tier":"default","system_fingerprint":"fp_ad66631dec"}</t>
        </is>
      </c>
      <c r="K180" t="inlineStr">
        <is>
          <t>Sketchy White Graphic T-Shirt Unisex Streetwear Tee</t>
        </is>
      </c>
      <c r="L180" t="inlineStr">
        <is>
          <t>{"id":"chatcmpl-DWaMyJf9BXZoYb4dyEGyVKgI89g1O","object":"chat.completion","created":1776658672,"model":"gpt-5-chat-latest","choices":[{"index":0,"message":{"role":"assistant","content":"**Sketchy White Graphic T-Shirt** – Soft cotton tee featuring bold back character illustration and English lettering, loose unisex fit for casual street style, perfect daily wear to express youthful attitude.","refusal":null,"annotations":[]},"logprobs":null,"finish_reason":"stop"}],"usage":{"prompt_tokens":909,"completion_tokens":39,"total_tokens":948,"prompt_tokens_details":{"cached_tokens":0,"audio_tokens":0},"completion_tokens_details":{"reasoning_tokens":0,"audio_tokens":0,"accepted_prediction_tokens":0,"rejected_prediction_tokens":0}},"service_tier":"default","system_fingerprint":"fp_ad66631dec"}</t>
        </is>
      </c>
      <c r="M180"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ma=2592000","apim-request-id":"9ec38c59-c5ef-417a-93b4-430d22548abe","azureml-model-session":"d20260405234249-f9874baf","cache-control":"no-cache, no-store, must-revalidate","connection":"close","content-length":"1014","content-security-policy":"frame-ancestors 'self'","content-type":"application/json","date":"Mon, 20 Apr 2026 04:17:53 GMT","server":"nginx","skip-error-remapping":"true","strict-transport-security":"max-age=31536000; includeSubDomains; preload","via":"1.1 Caddy","x-api-request-id":"20260420121926777567280x3J31jCw","x-content-type-options":"nosniff","x-frame-options":"SAMEORIGIN","x-ms-is-spilled-over":"false","x-ms-rai-invoked":"false","x-ms-region":"East US 2","x-new-api-version":"0.4.25-alpha.2","x-oneapi-request-id":"2026042004175167652384gZAtsUPj","x-ratelimit-abusepenalty-active":"False","x-ratelimit-limit-requests":"4994","x-ratelimit-limit-tokens":"4994000","x-ratelimit-remaining-requests":"4993","x-ratelimit-remaining-tokens":"4992329","x-ratelimit-renewalperiod-requests":"60","x-ratelimit-renewalperiod-tokens":"60","x-ratelimit-reset-requests":"12","x-ratelimit-reset-tokens":"20","x-request-id":"2feb7e40-6f2f-4675-b80e-64afa1c05eaf"}</t>
        </is>
      </c>
      <c r="N180" t="inlineStr">
        <is>
          <t>**Sketchy White Graphic T-Shirt** – Soft cotton tee featuring bold back character illustration and English lettering, loose unisex fit for casual street style, perfect daily wear to express youthful attitude.</t>
        </is>
      </c>
      <c r="O180" t="inlineStr">
        <is>
          <t>{"id":"chatcmpl-DWcj1F3vfRgjxw7inqh9vcb0y70ou","object":"chat.completion","created":1776667727,"model":"gpt-5-chat-2025-10-03","choices":[{"index":0,"message":{"role":"assistant","content":"Sketchy,T-Shirt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80" t="inlineStr">
        <is>
          <t>Sketchy,T-Shirts,kakobuy,kakebuy2026,kekobuysheet,kakobuysheet2026,2026kakobuy,kakobuyspreadsheeet,kakobuylink,kakebuylist,Kakobuy MEGA Spreadsheet,kakobuysheetfind,kakobuysheetfind2026,2026kakobuysheetfind,kakobuysheet2026</t>
        </is>
      </c>
      <c r="Q180" t="inlineStr">
        <is>
          <t>Streetwear, Unisex, White</t>
        </is>
      </c>
      <c r="R180" t="inlineStr">
        <is>
          <t>recvh6xFVjJ0El</t>
        </is>
      </c>
      <c r="S180" t="inlineStr">
        <is>
          <t>sketchy-white-graphic-tee-recvh6xFVjJ0El</t>
        </is>
      </c>
      <c r="T180"/>
      <c r="U180"/>
      <c r="V180"/>
      <c r="W180" t="inlineStr">
        <is>
          <t>{"id":"chatcmpl-DWZPJ24aTtJFfGzHFF1IBPDGb5F5F","object":"chat.completion","created":1776654973,"model":"gpt-5-chat-latest","choices":[{"index":0,"message":{"role":"assistant","content":"休闲系列白色印花短袖T恤，柔软纯棉面料，背面个性人物插画与英文字母图腾设计，轻潮街头风格，宽松中性版型，适合日常休闲穿搭，展现年轻随性态度。","refusal":null,"annotations":[]},"logprobs":null,"finish_reason":"stop"}],"usage":{"prompt_tokens":1325,"completion_tokens":68,"total_tokens":1393,"prompt_tokens_details":{"cached_tokens":0,"audio_tokens":0},"completion_tokens_details":{"reasoning_tokens":0,"audio_tokens":0,"accepted_prediction_tokens":0,"rejected_prediction_tokens":0}},"service_tier":"default","system_fingerprint":"fp_ad66631dec"}</t>
        </is>
      </c>
      <c r="X180" t="inlineStr">
        <is>
          <t>休闲系列白色印花短袖T恤，柔软纯棉面料，背面个性人物插画与英文字母图腾设计，轻潮街头风格，宽松中性版型，适合日常休闲穿搭，展现年轻随性态度。</t>
        </is>
      </c>
    </row>
    <row r="181" ht="25.5" customHeight="1">
      <c r="A181">
        <v>1839115443</v>
      </c>
      <c r="B181">
        <v>7693015983</v>
      </c>
      <c r="C181" t="inlineStr">
        <is>
          <t>https://weidian.com/item.html?itemID=7693015983</t>
        </is>
      </c>
      <c r="D181"/>
      <c r="E181" s="2" t="str">
        <f>=HYPERLINK("https://si.geilicdn.com/open1839115443-252808396-79c50000019c508b81270a8115c2_800_800.jpg?w=750&amp;h=750&amp;cp=1", "https://si.geilicdn.com/open1839115443-252808396-79c50000019c508b81270a8115c2_800_800.jpg?w=750&amp;h=750&amp;cp=1")</f>
        <v>https://si.geilicdn.com/open1839115443-252808396-79c50000019c508b81270a8115c2_800_800.jpg?w=750&amp;h=750&amp;cp=1</v>
      </c>
      <c r="F181" t="inlineStr">
        <is>
          <t>T-Shirts</t>
        </is>
      </c>
      <c r="G181" t="inlineStr">
        <is>
          <t>Other</t>
        </is>
      </c>
      <c r="H181" t="inlineStr">
        <is>
          <t>54.00</t>
        </is>
      </c>
      <c r="I181">
        <v>7.83</v>
      </c>
      <c r="J181" t="inlineStr">
        <is>
          <t>{"choices":[{"finish_reason":"stop","index":0,"logprobs":null,"message":{"annotations":[],"content":"OtherBrand Black Star Emblem Cotton T-Shirt","refusal":null,"role":"assistant"}}],"created":1776666305,"id":"chatcmpl-DWcM56OKKFdO7FMud625IEEtf07Cr","model":"gpt-5-chat-latest","object":"chat.completion","service_tier":"default","system_fingerprint":"fp_ad66631dec","usage":{"completion_tokens":10,"completion_tokens_details":{"accepted_prediction_tokens":0,"audio_tokens":0,"reasoning_tokens":0,"rejected_prediction_tokens":0},"prompt_tokens":875,"prompt_tokens_details":{"audio_tokens":0,"cached_tokens":0},"total_tokens":885}}</t>
        </is>
      </c>
      <c r="K181" t="inlineStr">
        <is>
          <t>OtherBrand Black Star Emblem Cotton T-Shirt</t>
        </is>
      </c>
      <c r="L181" t="inlineStr">
        <is>
          <t>{"choices":[{"finish_reason":"stop","index":0,"logprobs":null,"message":{"annotations":[],"content":"Brand T-ShirtsOther Black Star Emblem Cotton Tee, soft breathable fabric, vintage geometric pentagram print, unisex loose fit, crew neck style for street fashion spring summer wear.","refusal":null,"role":"assistant"}}],"created":1776658836,"id":"chatcmpl-DWaPcQySnNolyXSJWFeiIFE5wWYWO","model":"gpt-5-chat-latest","object":"chat.completion","service_tier":"default","system_fingerprint":"fp_ad66631dec","usage":{"completion_tokens":37,"completion_tokens_details":{"accepted_prediction_tokens":0,"audio_tokens":0,"reasoning_tokens":0,"rejected_prediction_tokens":0},"prompt_tokens":939,"prompt_tokens_details":{"audio_tokens":0,"cached_tokens":0},"total_tokens":976}}</t>
        </is>
      </c>
      <c r="M181" t="inlineStr">
        <is>
          <t>{"alt-svc":"h3=\":443\"; ma=2592000","apim-request-id":"3ba98dfc-173b-4043-b387-7fd200a25e27","azureml-model-session":"d20260405234249-f9874baf","cache-control":"no-cache","connection":"close","content-length":"769","content-security-policy":"frame-ancestors 'self'","content-type":"application/json","date":"Mon, 20 Apr 2026 04:20:37 GMT","server":"nginx","skip-error-remapping":"true","strict-transport-security":"max-age=31536000; includeSubDomains; preload","via":"1.1 Caddy, 1.1 Caddy","x-api-request-id":"202604201220353750386105flPUadf","x-content-type-options":"nosniff","x-frame-options":"SAMEORIGIN","x-ms-client-request-id":"Not-Set","x-ms-is-spilled-over":"false","x-ms-rai-invoked":"true","x-ms-region":"East US 2","x-new-api-version":"0.4.39","x-oneapi-request-id":"202604200420353076259878268d9d6HGdFHuOw","x-ratelimit-abusepenalty-active":"False","x-ratelimit-limit-requests":"3850","x-ratelimit-limit-tokens":"3850000","x-ratelimit-remaining-requests":"3849","x-ratelimit-remaining-tokens":"3848299","x-ratelimit-renewalperiod-requests":"60","x-ratelimit-renewalperiod-tokens":"60","x-ratelimit-reset-requests":"15","x-ratelimit-reset-tokens":"26","x-request-id":"ab3f600e-e1d2-44db-bbad-7816f4610e0e"}</t>
        </is>
      </c>
      <c r="N181" t="inlineStr">
        <is>
          <t>Brand T-ShirtsOther Black Star Emblem Cotton Tee, soft breathable fabric, vintage geometric pentagram print, unisex loose fit, crew neck style for street fashion spring summer wear.</t>
        </is>
      </c>
      <c r="O181" t="inlineStr">
        <is>
          <t>{"choices":[{"finish_reason":"stop","index":0,"logprobs":null,"message":{"annotations":[],"content":"T-Shirts,Other,kakobuy,kakebuy2026,kekobuysheet,kakobuysheet2026,2026kakobuy,kakobuyspreadsheeet,kakobuylink,kakebuylist,Kakobuy MEGA Spreadsheet,kakobuysheetfind,kakobuysheetfind2026,2026kakobuysheetfind,kakobuysheet2026","refusal":null,"role":"assistant"}}],"created":1776668903,"id":"chatcmpl-DWd1zijJ009dlsrdeVUrsp0xf6P4v","model":"gpt-5-chat-latest","object":"chat.completion","service_tier":"default","system_fingerprint":"fp_ad66631dec","usage":{"completion_tokens":87,"completion_tokens_details":{"accepted_prediction_tokens":0,"audio_tokens":0,"reasoning_tokens":0,"rejected_prediction_tokens":0},"prompt_tokens":782,"prompt_tokens_details":{"audio_tokens":0,"cached_tokens":0},"total_tokens":869}}</t>
        </is>
      </c>
      <c r="P181" t="inlineStr">
        <is>
          <t>T-Shirts,Other,kakobuy,kakebuy2026,kekobuysheet,kakobuysheet2026,2026kakobuy,kakobuyspreadsheeet,kakobuylink,kakebuylist,Kakobuy MEGA Spreadsheet,kakobuysheetfind,kakobuysheetfind2026,2026kakobuysheetfind,kakobuysheet2026</t>
        </is>
      </c>
      <c r="Q181" t="inlineStr">
        <is>
          <t>Vintage, Geometric, Streetwear, Spring And Summer, Unisex</t>
        </is>
      </c>
      <c r="R181" t="inlineStr">
        <is>
          <t>recvh6xFVjURPq</t>
        </is>
      </c>
      <c r="S181" t="inlineStr">
        <is>
          <t>otherbrand-black-star-emblem-cotton-t-shirt-recvh6xFVjURPq</t>
        </is>
      </c>
      <c r="T181"/>
      <c r="U181"/>
      <c r="V181"/>
      <c r="W181" t="inlineStr">
        <is>
          <t>{"choices":[{"finish_reason":"stop","index":0,"logprobs":null,"message":{"annotations":[],"content":"黑色星徽图腾系列短袖T恤，优选纯棉材质，柔软透气。背面中央印有复古几何五角星与花纹设计，线条层次感强，展现街头个性美学。宽松版型男女皆宜，简约圆领剪裁兼顾舒适与时尚，适合春夏日常休闲穿搭，尽显年轻潮流态度。","refusal":null,"role":"assistant"}}],"created":1776656095,"id":"chatcmpl-DWZhPHRyuGMD3gvySkdBLWFRbZASi","model":"gpt-5-chat-latest","object":"chat.completion","service_tier":"default","system_fingerprint":"fp_ad66631dec","usage":{"completion_tokens":101,"completion_tokens_details":{"accepted_prediction_tokens":0,"audio_tokens":0,"reasoning_tokens":0,"rejected_prediction_tokens":0},"prompt_tokens":1319,"prompt_tokens_details":{"audio_tokens":0,"cached_tokens":1280},"total_tokens":1420}}</t>
        </is>
      </c>
      <c r="X181" t="inlineStr">
        <is>
          <t>黑色星徽图腾系列短袖T恤，优选纯棉材质，柔软透气。背面中央印有复古几何五角星与花纹设计，线条层次感强，展现街头个性美学。宽松版型男女皆宜，简约圆领剪裁兼顾舒适与时尚，适合春夏日常休闲穿搭，尽显年轻潮流态度。</t>
        </is>
      </c>
    </row>
    <row r="182" ht="25.5" customHeight="1">
      <c r="A182">
        <v>1839115443</v>
      </c>
      <c r="B182">
        <v>7695567578</v>
      </c>
      <c r="C182" t="inlineStr">
        <is>
          <t>https://weidian.com/item.html?itemID=7695567578</t>
        </is>
      </c>
      <c r="D182"/>
      <c r="E182" s="2" t="str">
        <f>=HYPERLINK("https://si.geilicdn.com/open1839115443-252808396-6c860000019c4fd4dec90a231226_800_800.jpg?w=750&amp;h=750&amp;cp=1", "https://si.geilicdn.com/open1839115443-252808396-6c860000019c4fd4dec90a231226_800_800.jpg?w=750&amp;h=750&amp;cp=1")</f>
        <v>https://si.geilicdn.com/open1839115443-252808396-6c860000019c4fd4dec90a231226_800_800.jpg?w=750&amp;h=750&amp;cp=1</v>
      </c>
      <c r="F182" t="inlineStr">
        <is>
          <t>T-Shirts</t>
        </is>
      </c>
      <c r="G182" t="inlineStr">
        <is>
          <t>Other</t>
        </is>
      </c>
      <c r="H182" t="inlineStr">
        <is>
          <t>54.00</t>
        </is>
      </c>
      <c r="I182">
        <v>7.83</v>
      </c>
      <c r="J182" t="inlineStr">
        <is>
          <t>{"id":"chatcmpl-DWcFgUqTk5pJWA3AviF4vV7utmqWt","object":"chat.completion","created":1776665908,"model":"gpt-5-chat-latest","choices":[{"index":0,"message":{"role":"assistant","content":"MOUNTAIN White Cotton Unisex Graphic T-Shirt","refusal":null,"annotations":[]},"logprobs":null,"finish_reason":"stop"}],"usage":{"prompt_tokens":893,"completion_tokens":11,"total_tokens":904,"prompt_tokens_details":{"cached_tokens":0,"audio_tokens":0},"completion_tokens_details":{"reasoning_tokens":0,"audio_tokens":0,"accepted_prediction_tokens":0,"rejected_prediction_tokens":0}},"service_tier":"default","system_fingerprint":"fp_ad66631dec"}</t>
        </is>
      </c>
      <c r="K182" t="inlineStr">
        <is>
          <t>MOUNTAIN White Cotton Unisex Graphic T-Shirt</t>
        </is>
      </c>
      <c r="L182" t="inlineStr">
        <is>
          <t>{"id":"chatcmpl-DWaPgiENv362YeWx2D3fsroz2oLVm","object":"chat.completion","created":1776658840,"model":"gpt-5-chat-latest","choices":[{"index":0,"message":{"role":"assistant","content":"MOUNTAIN White Graphic T-Shirt, soft cotton fabric with blue peak print and “MOUNTAIN” text, unisex loose fit, round neck design, perfect for winter sports, outdoor adventures, and casual urban style.","refusal":null,"annotations":[]},"logprobs":null,"finish_reason":"stop"}],"usage":{"prompt_tokens":914,"completion_tokens":46,"total_tokens":960,"prompt_tokens_details":{"cached_tokens":0,"audio_tokens":0},"completion_tokens_details":{"reasoning_tokens":0,"audio_tokens":0,"accepted_prediction_tokens":0,"rejected_prediction_tokens":0}},"service_tier":"default","system_fingerprint":"fp_ad66631dec"}</t>
        </is>
      </c>
      <c r="M182"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ma=2592000","apim-request-id":"dd5211e2-e37f-4fe2-b6dc-a85027de516c","azureml-model-session":"d20260402074105-51db401e","cache-control":"no-cache, no-store, must-revalidate","connection":"close","content-length":"1008","content-security-policy":"frame-ancestors 'self'","content-type":"application/json","date":"Mon, 20 Apr 2026 04:20:42 GMT","server":"Caddy","skip-error-remapping":"true","strict-transport-security":"max-age=31536000; includeSubDomains; preload","via":"1.1 Caddy","x-api-request-id":"202604201220384210806237uAi18G0","x-content-type-options":"nosniff","x-frame-options":"SAMEORIGIN","x-ms-is-spilled-over":"false","x-ms-rai-invoked":"false","x-ms-region":"Sweden Central","x-new-api-version":"0.4.39","x-oneapi-request-id":"202604200420383547522548268d9d6szGnVocr","x-ratelimit-abusepenalty-active":"False","x-ratelimit-limit-requests":"4993","x-ratelimit-limit-tokens":"4993000","x-ratelimit-remaining-requests":"4992","x-ratelimit-remaining-tokens":"4991324","x-ratelimit-renewalperiod-requests":"60","x-ratelimit-renewalperiod-tokens":"60","x-ratelimit-reset-requests":"12","x-ratelimit-reset-tokens":"20","x-request-id":"3d1f539e-fe6a-444b-b78e-32a3848dcdbe"}</t>
        </is>
      </c>
      <c r="N182" t="inlineStr">
        <is>
          <t>MOUNTAIN White Graphic T-Shirt, soft cotton fabric with blue peak print and “MOUNTAIN” text, unisex loose fit, round neck design, perfect for winter sports, outdoor adventures, and casual urban style.</t>
        </is>
      </c>
      <c r="O182" t="inlineStr">
        <is>
          <t>{"choices":[{"finish_reason":"stop","index":0,"logprobs":null,"message":{"annotations":[],"content":"Mountain,T-Shirts,kakobuy,kakebuy2026,kekobuysheet,kakobuysheet2026,2026kakobuy,kakobuyspreadsheeet,kakobuylink,kakebuylist,Kakobuy MEGA Spreadsheet,kakobuysheetfind,kakobuysheetfind2026,2026kakobuysheetfind,kakobuysheet2026","refusal":null,"role":"assistant"}}],"created":1776667187,"id":"chatcmpl-DWcaJjmX1fJ65gSrDc1IqWedptRnj","model":"gpt-5-chat-latest","object":"chat.completion","service_tier":"default","system_fingerprint":"fp_ad66631dec","usage":{"completion_tokens":86,"completion_tokens_details":{"accepted_prediction_tokens":0,"audio_tokens":0,"reasoning_tokens":0,"rejected_prediction_tokens":0},"prompt_tokens":782,"prompt_tokens_details":{"audio_tokens":0,"cached_tokens":0},"total_tokens":868}}</t>
        </is>
      </c>
      <c r="P182" t="inlineStr">
        <is>
          <t>Mountain,T-Shirts,kakobuy,kakebuy2026,kekobuysheet,kakobuysheet2026,2026kakobuy,kakobuyspreadsheeet,kakobuylink,kakebuylist,Kakobuy MEGA Spreadsheet,kakobuysheetfind,kakobuysheetfind2026,2026kakobuysheetfind,kakobuysheet2026</t>
        </is>
      </c>
      <c r="Q182" t="inlineStr">
        <is>
          <t>Unisex, Outdoor, White, Blue</t>
        </is>
      </c>
      <c r="R182" t="inlineStr">
        <is>
          <t>recvh6xFVjXUsN</t>
        </is>
      </c>
      <c r="S182" t="inlineStr">
        <is>
          <t>mountain-white-cotton-graphic-tshirt-recvh6xfvjxusn</t>
        </is>
      </c>
      <c r="T182"/>
      <c r="U182"/>
      <c r="V182"/>
      <c r="W182" t="inlineStr">
        <is>
          <t>{"choices":[{"finish_reason":"stop","index":0,"logprobs":null,"message":{"annotations":[],"content":"山系白色印花短袖T恤，柔软纯棉面料，蓝色山峰图腾搭配“MOUNTAIN”字样，展现冬季运动与自然活力，简约圆领设计，宽松剪裁，男女皆宜，都市休闲与户外风格兼具，舒适百搭。","refusal":null,"role":"assistant"}}],"created":1776654938,"id":"chatcmpl-DWZOkWEUpIinB8hRcMnotIjnqZdUS","model":"gpt-5-chat-latest","object":"chat.completion","service_tier":"default","system_fingerprint":"fp_ad66631dec","usage":{"completion_tokens":77,"completion_tokens_details":{"accepted_prediction_tokens":0,"audio_tokens":0,"reasoning_tokens":0,"rejected_prediction_tokens":0},"prompt_tokens":1317,"prompt_tokens_details":{"audio_tokens":0,"cached_tokens":0},"total_tokens":1394}}</t>
        </is>
      </c>
      <c r="X182" t="inlineStr">
        <is>
          <t>山系白色印花短袖T恤，柔软纯棉面料，蓝色山峰图腾搭配“MOUNTAIN”字样，展现冬季运动与自然活力，简约圆领设计，宽松剪裁，男女皆宜，都市休闲与户外风格兼具，舒适百搭。</t>
        </is>
      </c>
    </row>
    <row r="183" ht="25.5" customHeight="1">
      <c r="A183">
        <v>1839115443</v>
      </c>
      <c r="B183">
        <v>7599200073</v>
      </c>
      <c r="C183" t="inlineStr">
        <is>
          <t>https://weidian.com/item.html?itemID=7599200073</t>
        </is>
      </c>
      <c r="D183"/>
      <c r="E183" s="2" t="str">
        <f>=HYPERLINK("https://si.geilicdn.com/open1832946205-252808396-715f00000197f22740900aa0c791_547_547.jpg?w=640&amp;h=640", "https://si.geilicdn.com/open1832946205-252808396-715f00000197f22740900aa0c791_547_547.jpg?w=640&amp;h=640")</f>
        <v>https://si.geilicdn.com/open1832946205-252808396-715f00000197f22740900aa0c791_547_547.jpg?w=640&amp;h=640</v>
      </c>
      <c r="F183" t="inlineStr">
        <is>
          <t>Hoodies</t>
        </is>
      </c>
      <c r="G183" t="inlineStr">
        <is>
          <t>Y2K</t>
        </is>
      </c>
      <c r="H183" t="inlineStr">
        <is>
          <t>75.00</t>
        </is>
      </c>
      <c r="I183">
        <v>10.87</v>
      </c>
      <c r="J183" t="inlineStr">
        <is>
          <t>{"id":"chatcmpl-DWcFJPdpWffRFfMlfBgZZAqNhZt0o","object":"chat.completion","created":1776665885,"model":"gpt-5-chat-latest","choices":[{"index":0,"message":{"role":"assistant","content":"HoodiesY2K Brown Zip Up Star Graffiti Vintage Hoodie","refusal":null,"annotations":[]},"logprobs":null,"finish_reason":"stop"}],"usage":{"prompt_tokens":889,"completion_tokens":15,"total_tokens":904,"prompt_tokens_details":{"cached_tokens":0,"audio_tokens":0},"completion_tokens_details":{"reasoning_tokens":0,"audio_tokens":0,"accepted_prediction_tokens":0,"rejected_prediction_tokens":0}},"service_tier":"default","system_fingerprint":"fp_ad66631dec"}</t>
        </is>
      </c>
      <c r="K183" t="inlineStr">
        <is>
          <t>HoodiesY2K Brown Zip Up Star Graffiti Vintage Hoodie</t>
        </is>
      </c>
      <c r="L183" t="inlineStr">
        <is>
          <t>{"id":"chatcmpl-DWaZFdIirn9wFpffg2N8b2gYTXg5y","object":"chat.completion","created":1776659433,"model":"gpt-5-chat-latest","choices":[{"index":0,"message":{"role":"assistant","content":"HoodiesY2K Brown Zip Up Hoodie, soft cotton fabric for comfort and warmth, features white graffiti letters and star print, Y2K vintage streetwear unisex loose fit for trendy everyday style.","refusal":null,"annotations":[]},"logprobs":null,"finish_reason":"stop"}],"usage":{"prompt_tokens":910,"completion_tokens":43,"total_tokens":953,"prompt_tokens_details":{"cached_tokens":0,"audio_tokens":0},"completion_tokens_details":{"reasoning_tokens":0,"audio_tokens":0,"accepted_prediction_tokens":0,"rejected_prediction_tokens":0}},"service_tier":"default","system_fingerprint":"fp_ad66631dec"}</t>
        </is>
      </c>
      <c r="M183"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ma=2592000","apim-request-id":"919cb64c-df4a-4ef7-974e-5e97f65b1e06","azureml-model-session":"d20260402075109-1fc5a0ec","cache-control":"no-cache, no-store, must-revalidate","connection":"close","content-length":"993","content-security-policy":"frame-ancestors 'self'","content-type":"application/json","date":"Mon, 20 Apr 2026 04:30:35 GMT","server":"nginx","skip-error-remapping":"true","strict-transport-security":"max-age=31536000; includeSubDomains; preload","via":"1.1 Caddy, 1.1 Caddy","x-api-request-id":"202604201230326945354010qa0KnXi","x-content-type-options":"nosniff","x-frame-options":"SAMEORIGIN","x-ms-is-spilled-over":"false","x-ms-rai-invoked":"false","x-ms-region":"Sweden Central","x-new-api-version":"0.4.39","x-oneapi-request-id":"202604200430326054476318268d9d6dtasSR0R","x-ratelimit-abusepenalty-active":"False","x-ratelimit-limit-requests":"4993","x-ratelimit-limit-tokens":"4993000","x-ratelimit-remaining-requests":"4992","x-ratelimit-remaining-tokens":"4991328","x-ratelimit-renewalperiod-requests":"60","x-ratelimit-renewalperiod-tokens":"60","x-ratelimit-reset-requests":"12","x-ratelimit-reset-tokens":"20","x-request-id":"28301edc-f1b1-489c-8876-0c928b11974c"}</t>
        </is>
      </c>
      <c r="N183" t="inlineStr">
        <is>
          <t>HoodiesY2K Brown Zip Up Hoodie, soft cotton fabric for comfort and warmth, features white graffiti letters and star print, Y2K vintage streetwear unisex loose fit for trendy everyday style.</t>
        </is>
      </c>
      <c r="O183" t="inlineStr">
        <is>
          <t>{"choices":[{"finish_reason":"stop","index":0,"logprobs":null,"message":{"annotations":[],"content":"HoodiesY2K,hoodie,kakobuy,kakebuy2026,kekobuysheet,kakobuysheet2026,2026kakobuy,kakobuyspreadsheeet,kakobuylink,kakebuylist,Kakobuy MEGA Spreadsheet,kakobuysheetfind,kakobuysheetfind2026,2026kakobuysheetfind,kakobuysheet2026","refusal":null,"role":"assistant"}}],"created":1776668225,"id":"chatcmpl-DWcr3KeMkUrGgCNViVyvTV6EEOmHP","model":"gpt-5-chat-latest","object":"chat.completion","service_tier":"default","system_fingerprint":"fp_ad66631dec","usage":{"completion_tokens":92,"completion_tokens_details":{"accepted_prediction_tokens":0,"audio_tokens":0,"reasoning_tokens":0,"rejected_prediction_tokens":0},"prompt_tokens":785,"prompt_tokens_details":{"audio_tokens":0,"cached_tokens":0},"total_tokens":877}}</t>
        </is>
      </c>
      <c r="P183" t="inlineStr">
        <is>
          <t>HoodiesY2K,hoodie,kakobuy,kakebuy2026,kekobuysheet,kakobuysheet2026,2026kakobuy,kakobuyspreadsheeet,kakobuylink,kakebuylist,Kakobuy MEGA Spreadsheet,kakobuysheetfind,kakobuysheetfind2026,2026kakobuysheetfind,kakobuysheet2026</t>
        </is>
      </c>
      <c r="Q183" t="inlineStr">
        <is>
          <t>Brown, Vintage, Streetwear, Unisex</t>
        </is>
      </c>
      <c r="R183" t="inlineStr">
        <is>
          <t>recvh6xFVj7pXO</t>
        </is>
      </c>
      <c r="S183" t="inlineStr">
        <is>
          <t>hoodiesy2k-brown-zip-star-graffiti-vintage-recvh6xFVj7pXO</t>
        </is>
      </c>
      <c r="T183"/>
      <c r="U183"/>
      <c r="V183"/>
      <c r="W183" t="inlineStr">
        <is>
          <t>{"id":"chatcmpl-DWZU9Xejp9GS3BKPG8ve5ZTzkCQvo","object":"chat.completion","created":1776655273,"model":"gpt-5-chat-latest","choices":[{"index":0,"message":{"role":"assistant","content":"复古Y2K棕色拉链连帽卫衣，柔软棉质面料舒适保暖，胸前白色涂鸦字母与帽顶星形印花设计，展现千禧街头潮流风格，宽松剪裁男女皆宜，兼具时尚与实穿性。","refusal":null,"annotations":[]},"logprobs":null,"finish_reason":"stop"}],"usage":{"prompt_tokens":1314,"completion_tokens":75,"total_tokens":1389,"prompt_tokens_details":{"cached_tokens":0,"audio_tokens":0},"completion_tokens_details":{"reasoning_tokens":0,"audio_tokens":0,"accepted_prediction_tokens":0,"rejected_prediction_tokens":0}},"service_tier":"default","system_fingerprint":"fp_ad66631dec"}</t>
        </is>
      </c>
      <c r="X183" t="inlineStr">
        <is>
          <t>复古Y2K棕色拉链连帽卫衣，柔软棉质面料舒适保暖，胸前白色涂鸦字母与帽顶星形印花设计，展现千禧街头潮流风格，宽松剪裁男女皆宜，兼具时尚与实穿性。</t>
        </is>
      </c>
    </row>
    <row r="184" ht="25.5" customHeight="1">
      <c r="A184">
        <v>1839115443</v>
      </c>
      <c r="B184">
        <v>7599162691</v>
      </c>
      <c r="C184" t="inlineStr">
        <is>
          <t>https://weidian.com/item.html?itemID=7599162691</t>
        </is>
      </c>
      <c r="D184"/>
      <c r="E184" s="2" t="str">
        <f>=HYPERLINK("https://si.geilicdn.com/open1832946205-252808396-086300000197534469c70aa0834c_911_1253.jpg?w=640&amp;h=640", "https://si.geilicdn.com/open1832946205-252808396-086300000197534469c70aa0834c_911_1253.jpg?w=640&amp;h=640")</f>
        <v>https://si.geilicdn.com/open1832946205-252808396-086300000197534469c70aa0834c_911_1253.jpg?w=640&amp;h=640</v>
      </c>
      <c r="F184" t="inlineStr">
        <is>
          <t>Sweaters</t>
        </is>
      </c>
      <c r="G184" t="inlineStr">
        <is>
          <t>Ralph Lauren</t>
        </is>
      </c>
      <c r="H184" t="inlineStr">
        <is>
          <t>172.00</t>
        </is>
      </c>
      <c r="I184">
        <v>24.93</v>
      </c>
      <c r="J184" t="inlineStr">
        <is>
          <t>{"id":"chatcmpl-DWcJAjO0wXLyplFv3btVxgxIn0S1q","object":"chat.completion","created":1776666124,"model":"gpt-5-chat-latest","choices":[{"index":0,"message":{"role":"assistant","content":"Ralph Lauren Lake Blue Cotton Cable Knit Sweater Unisex","refusal":null,"annotations":[]},"logprobs":null,"finish_reason":"stop"}],"usage":{"prompt_tokens":877,"completion_tokens":13,"total_tokens":890,"prompt_tokens_details":{"cached_tokens":0,"audio_tokens":0},"completion_tokens_details":{"reasoning_tokens":0,"audio_tokens":0,"accepted_prediction_tokens":0,"rejected_prediction_tokens":0}},"service_tier":"default","system_fingerprint":"fp_ad66631dec"}</t>
        </is>
      </c>
      <c r="K184" t="inlineStr">
        <is>
          <t>Ralph Lauren Lake Blue Cotton Cable Knit Sweater Unisex</t>
        </is>
      </c>
      <c r="L184" t="inlineStr">
        <is>
          <t>{"choices":[{"finish_reason":"stop","index":0,"logprobs":null,"message":{"annotations":[],"content":"Ralph Lauren Lake Blue Classic Cable Knit Sweater, soft cotton, crew neck, signature embroidered polo logo, unisex, American casual preppy style, perfect for all seasons.","refusal":null,"role":"assistant"}}],"created":1776658561,"id":"chatcmpl-DWaLBp6flKBCMjRQ76PnEzypDUdXz","model":"gpt-5-chat-latest","object":"chat.completion","service_tier":"default","system_fingerprint":"fp_ad66631dec","usage":{"completion_tokens":37,"completion_tokens_details":{"accepted_prediction_tokens":0,"audio_tokens":0,"reasoning_tokens":0,"rejected_prediction_tokens":0},"prompt_tokens":897,"prompt_tokens_details":{"audio_tokens":0,"cached_tokens":0},"total_tokens":934}}</t>
        </is>
      </c>
      <c r="M184" t="inlineStr">
        <is>
          <t>{"alt-svc":"h3=\":443\"; ma=2592000","apim-request-id":"81b58aed-7421-43e3-bf59-6a9ff0136168","azureml-model-session":"d20260405234249-f9874baf","cache-control":"no-cache","connection":"close","content-length":"758","content-security-policy":"frame-ancestors 'self'","content-type":"application/json","date":"Mon, 20 Apr 2026 04:16:02 GMT","server":"nginx","skip-error-remapping":"true","strict-transport-security":"max-age=31536000; includeSubDomains; preload","via":"1.1 Caddy, 1.1 Caddy","x-api-request-id":"20260420121600477267017qyvJYnZI","x-content-type-options":"nosniff","x-frame-options":"SAMEORIGIN","x-ms-client-request-id":"Not-Set","x-ms-is-spilled-over":"false","x-ms-rai-invoked":"true","x-ms-region":"East US 2","x-new-api-version":"0.4.39","x-oneapi-request-id":"202604200416004086003918268d9d6agYDYd1f","x-ratelimit-abusepenalty-active":"False","x-ratelimit-limit-requests":"3850","x-ratelimit-limit-tokens":"3850000","x-ratelimit-remaining-requests":"3849","x-ratelimit-remaining-tokens":"3848341","x-ratelimit-renewalperiod-requests":"60","x-ratelimit-renewalperiod-tokens":"60","x-ratelimit-reset-requests":"15","x-ratelimit-reset-tokens":"25","x-request-id":"2f17945d-5ff1-48c1-a8b3-531c330a276d"}</t>
        </is>
      </c>
      <c r="N184" t="inlineStr">
        <is>
          <t>Ralph Lauren Lake Blue Classic Cable Knit Sweater, soft cotton, crew neck, signature embroidered polo logo, unisex, American casual preppy style, perfect for all seasons.</t>
        </is>
      </c>
      <c r="O184" t="inlineStr">
        <is>
          <t>{"choices":[{"finish_reason":"stop","index":0,"logprobs":null,"message":{"annotations":[],"content":"Ralph Lauren, Sweaters, kakobuy, kakebuy2026, kekobuysheet, kakobuysheet2026, 2026kakobuy, kakobuyspreadsheeet, kakobuylink, kakebuylist, Kakobuy MEGA Spreadsheet, kakobuysheetfind, kakobuysheetfind2026, 2026kakobuysheetfind, kakobuysheet2026","refusal":null,"role":"assistant"}}],"created":1776667289,"id":"chatcmpl-DWcbxrLNRvPIshH5yETznpyVdqwfN","model":"gpt-5-chat-latest","object":"chat.completion","service_tier":"default","system_fingerprint":"fp_ad66631dec","usage":{"completion_tokens":93,"completion_tokens_details":{"accepted_prediction_tokens":0,"audio_tokens":0,"reasoning_tokens":0,"rejected_prediction_tokens":0},"prompt_tokens":784,"prompt_tokens_details":{"audio_tokens":0,"cached_tokens":0},"total_tokens":877}}</t>
        </is>
      </c>
      <c r="P184" t="inlineStr">
        <is>
          <t>Ralph Lauren, Sweaters, kakobuy, kakebuy2026, kekobuysheet, kakobuysheet2026, 2026kakobuy, kakobuyspreadsheeet, kakobuylink, kakebuylist, Kakobuy MEGA Spreadsheet, kakobuysheetfind, kakobuysheetfind2026, 2026kakobuysheetfind, kakobuysheet2026</t>
        </is>
      </c>
      <c r="Q184" t="inlineStr">
        <is>
          <t>Unisex, Preppy, All Seasons</t>
        </is>
      </c>
      <c r="R184" t="inlineStr">
        <is>
          <t>recvh6xFVjGKC1</t>
        </is>
      </c>
      <c r="S184" t="inlineStr">
        <is>
          <t>ralph-lauren-lake-blue-cotton-cable-knit-sweater-recvh6xfvjgkc1</t>
        </is>
      </c>
      <c r="T184"/>
      <c r="U184"/>
      <c r="V184"/>
      <c r="W184" t="inlineStr">
        <is>
          <t>{"id":"chatcmpl-DWZfzSzx0e3TbUZJsB1WDuBXbZ0pu","object":"chat.completion","created":1776656007,"model":"gpt-5-chat-latest","choices":[{"index":0,"message":{"role":"assistant","content":"Ralph Lauren：湖蓝色经典麻花针织衫，柔软纯棉材质，简约圆领设计，标志刺绣马球图腾彰显品牌格调，男女皆宜，休闲美式学院风，四季皆可穿搭。","refusal":null,"annotations":[]},"logprobs":null,"finish_reason":"stop"}],"usage":{"prompt_tokens":1313,"completion_tokens":63,"total_tokens":1376,"prompt_tokens_details":{"cached_tokens":0,"audio_tokens":0},"completion_tokens_details":{"reasoning_tokens":0,"audio_tokens":0,"accepted_prediction_tokens":0,"rejected_prediction_tokens":0}},"service_tier":"default","system_fingerprint":"fp_ad66631dec"}</t>
        </is>
      </c>
      <c r="X184" t="inlineStr">
        <is>
          <t>Ralph Lauren：湖蓝色经典麻花针织衫，柔软纯棉材质，简约圆领设计，标志刺绣马球图腾彰显品牌格调，男女皆宜，休闲美式学院风，四季皆可穿搭。</t>
        </is>
      </c>
    </row>
    <row r="185" ht="25.5" customHeight="1">
      <c r="A185">
        <v>1839115443</v>
      </c>
      <c r="B185">
        <v>7601125798</v>
      </c>
      <c r="C185" t="inlineStr">
        <is>
          <t>https://weidian.com/item.html?itemID=7601125798</t>
        </is>
      </c>
      <c r="D185"/>
      <c r="E185" s="2" t="str">
        <f>=HYPERLINK("https://si.geilicdn.com/open1832946205-252808396-04ef00000197f29e02d40a23b491_1193_1591.jpg?w=640&amp;h=640", "https://si.geilicdn.com/open1832946205-252808396-04ef00000197f29e02d40a23b491_1193_1591.jpg?w=640&amp;h=640")</f>
        <v>https://si.geilicdn.com/open1832946205-252808396-04ef00000197f29e02d40a23b491_1193_1591.jpg?w=640&amp;h=640</v>
      </c>
      <c r="F185" t="inlineStr">
        <is>
          <t>T-Shirts</t>
        </is>
      </c>
      <c r="G185" t="inlineStr">
        <is>
          <t>Arc teryx</t>
        </is>
      </c>
      <c r="H185" t="inlineStr">
        <is>
          <t>185.00</t>
        </is>
      </c>
      <c r="I185">
        <v>26.81</v>
      </c>
      <c r="J185" t="inlineStr">
        <is>
          <t>{"choices":[{"finish_reason":"stop","index":0,"logprobs":null,"message":{"annotations":[],"content":"Arc'teryx Black Dinosaur Print Unisex Cotton T-Shirt","refusal":null,"role":"assistant"}}],"created":1776666120,"id":"chatcmpl-DWcJ6OAjsgqJZpKSEZBT4HreIboi3","model":"gpt-5-chat-latest","object":"chat.completion","service_tier":"default","system_fingerprint":"fp_ad66631dec","usage":{"completion_tokens":13,"completion_tokens_details":{"accepted_prediction_tokens":0,"audio_tokens":0,"reasoning_tokens":0,"rejected_prediction_tokens":0},"prompt_tokens":876,"prompt_tokens_details":{"audio_tokens":0,"cached_tokens":0},"total_tokens":889}}</t>
        </is>
      </c>
      <c r="K185" t="inlineStr">
        <is>
          <t>Arc'teryx Black Dinosaur Print Unisex Cotton T-Shirt</t>
        </is>
      </c>
      <c r="L185" t="inlineStr">
        <is>
          <t>{"choices":[{"finish_reason":"stop","index":0,"logprobs":null,"message":{"annotations":[],"content":"Arc'teryx Black Cotton T-Shirt with Iconic Dinosaur Skeleton Print, Soft and Breathable, Unisex Casual Street Style, Perfect Blend of Outdoor Heritage and Urban Fashion.","refusal":null,"role":"assistant"}}],"created":1776658849,"id":"chatcmpl-DWaPpgU19PtORCiWE9d2q7PRIkQmN","model":"gpt-5-chat-latest","object":"chat.completion","service_tier":"default","system_fingerprint":"fp_ad66631dec","usage":{"completion_tokens":36,"completion_tokens_details":{"accepted_prediction_tokens":0,"audio_tokens":0,"reasoning_tokens":0,"rejected_prediction_tokens":0},"prompt_tokens":902,"prompt_tokens_details":{"audio_tokens":0,"cached_tokens":0},"total_tokens":938}}</t>
        </is>
      </c>
      <c r="M185" t="inlineStr">
        <is>
          <t>{"alt-svc":"h3=\":443\"; ma=2592000","apim-request-id":"692a4598-37ae-4ddc-902f-2233bc2e1bb0","azureml-model-session":"d20260402074105-51db401e","cache-control":"no-cache","connection":"close","content-length":"757","content-security-policy":"frame-ancestors 'self'","content-type":"application/json","date":"Mon, 20 Apr 2026 04:20:51 GMT","server":"Caddy","skip-error-remapping":"true","strict-transport-security":"max-age=31536000; includeSubDomains; preload","via":"1.1 Caddy","x-api-request-id":"2026042012204952688131KqZM1FvX","x-content-type-options":"nosniff","x-frame-options":"SAMEORIGIN","x-ms-client-request-id":"Not-Set","x-ms-is-spilled-over":"false","x-ms-rai-invoked":"true","x-ms-region":"East US 2","x-new-api-version":"0.4.39","x-oneapi-request-id":"202604200420489861530228268d9d6X9zZ94ib","x-ratelimit-abusepenalty-active":"False","x-ratelimit-limit-requests":"3850","x-ratelimit-limit-tokens":"3850000","x-ratelimit-remaining-requests":"3849","x-ratelimit-remaining-tokens":"3848336","x-ratelimit-renewalperiod-requests":"60","x-ratelimit-renewalperiod-tokens":"60","x-ratelimit-reset-requests":"15","x-ratelimit-reset-tokens":"25","x-request-id":"3214845a-abc9-4f7f-a0a6-ddfe46b45c0e"}</t>
        </is>
      </c>
      <c r="N185" t="inlineStr">
        <is>
          <t>Arc'teryx Black Cotton T-Shirt with Iconic Dinosaur Skeleton Print, Soft and Breathable, Unisex Casual Street Style, Perfect Blend of Outdoor Heritage and Urban Fashion.</t>
        </is>
      </c>
      <c r="O185" t="inlineStr">
        <is>
          <t>{"choices":[{"finish_reason":"stop","index":0,"logprobs":null,"message":{"annotations":[],"content":"Arc'teryx,T-Shirts,kakobuy,kakebuy2026,kekobuysheet,kakobuysheet2026,2026kakobuy,kakobuyspreadsheeet,kakobuylink,kakebuylist,Kakobuy MEGA Spreadsheet,kakobuysheetfind,kakobuysheetfind2026,2026kakobuysheetfind,kakobuysheet2026","refusal":null,"role":"assistant"}}],"created":1776667263,"id":"chatcmpl-DWcbXQKQvSUeBzxo7gfpKpIwhBDZf","model":"gpt-5-chat-latest","object":"chat.completion","service_tier":"default","system_fingerprint":"fp_ad66631dec","usage":{"completion_tokens":89,"completion_tokens_details":{"accepted_prediction_tokens":0,"audio_tokens":0,"reasoning_tokens":0,"rejected_prediction_tokens":0},"prompt_tokens":785,"prompt_tokens_details":{"audio_tokens":0,"cached_tokens":0},"total_tokens":874}}</t>
        </is>
      </c>
      <c r="P185" t="inlineStr">
        <is>
          <t>Arc'teryx,T-Shirts,kakobuy,kakebuy2026,kekobuysheet,kakobuysheet2026,2026kakobuy,kakobuyspreadsheeet,kakobuylink,kakebuylist,Kakobuy MEGA Spreadsheet,kakobuysheetfind,kakobuysheetfind2026,2026kakobuysheetfind,kakobuysheet2026</t>
        </is>
      </c>
      <c r="Q185" t="inlineStr">
        <is>
          <t>Unisex, Streetwear, Breathable, Black</t>
        </is>
      </c>
      <c r="R185" t="inlineStr">
        <is>
          <t>recvh6xFVjbOPI</t>
        </is>
      </c>
      <c r="S185" t="inlineStr">
        <is>
          <t>arcteryx-black-dinosaur-print-cotton-tshirt-recvh6xfvjbo</t>
        </is>
      </c>
      <c r="T185"/>
      <c r="U185"/>
      <c r="V185"/>
      <c r="W185" t="inlineStr">
        <is>
          <t>{"id":"chatcmpl-DWZYF9aWX5iOSK0bpo3zlv8DJRGFp","object":"chat.completion","created":1776655527,"model":"gpt-5-chat-latest","choices":[{"index":0,"message":{"role":"assistant","content":"Arc'teryx 黑色休闲短袖T恤，经典恐龙骨骼图腾印花，优质纯棉材质柔软透气，简约街头风格，男女皆宜，展现户外品牌的先锋设计与都市时尚融合。","refusal":null,"annotations":[]},"logprobs":null,"finish_reason":"stop"}],"usage":{"prompt_tokens":1324,"completion_tokens":63,"total_tokens":1387,"prompt_tokens_details":{"cached_tokens":0,"audio_tokens":0},"completion_tokens_details":{"reasoning_tokens":0,"audio_tokens":0,"accepted_prediction_tokens":0,"rejected_prediction_tokens":0}},"service_tier":"default","system_fingerprint":"fp_ad66631dec"}</t>
        </is>
      </c>
      <c r="X185" t="inlineStr">
        <is>
          <t>Arc'teryx 黑色休闲短袖T恤，经典恐龙骨骼图腾印花，优质纯棉材质柔软透气，简约街头风格，男女皆宜，展现户外品牌的先锋设计与都市时尚融合。</t>
        </is>
      </c>
    </row>
    <row r="186" ht="25.5" customHeight="1">
      <c r="A186">
        <v>1839115443</v>
      </c>
      <c r="B186">
        <v>7601068338</v>
      </c>
      <c r="C186" t="inlineStr">
        <is>
          <t>https://weidian.com/item.html?itemID=7601068338</t>
        </is>
      </c>
      <c r="D186"/>
      <c r="E186" s="2" t="str">
        <f>=HYPERLINK("https://si.geilicdn.com/open1832946205-252808396-0a6700000197e97dbb9c0a23b491_800_800.jpg?w=640&amp;h=640", "https://si.geilicdn.com/open1832946205-252808396-0a6700000197e97dbb9c0a23b491_800_800.jpg?w=640&amp;h=640")</f>
        <v>https://si.geilicdn.com/open1832946205-252808396-0a6700000197e97dbb9c0a23b491_800_800.jpg?w=640&amp;h=640</v>
      </c>
      <c r="F186" t="inlineStr">
        <is>
          <t>Hoodies</t>
        </is>
      </c>
      <c r="G186" t="inlineStr">
        <is>
          <t>Maison Margiela</t>
        </is>
      </c>
      <c r="H186" t="inlineStr">
        <is>
          <t>134.00</t>
        </is>
      </c>
      <c r="I186">
        <v>19.42</v>
      </c>
      <c r="J186" t="inlineStr">
        <is>
          <t>{"id":"chatcmpl-DWcPJFHFW6Z73IwLAEEfO8hG5aX45","object":"chat.completion","created":1776666505,"model":"gpt-5-chat-latest","choices":[{"index":0,"message":{"role":"assistant","content":"Maison Margiela Black Vintage Logo Cotton Hoodie","refusal":null,"annotations":[]},"logprobs":null,"finish_reason":"stop"}],"usage":{"prompt_tokens":870,"completion_tokens":9,"total_tokens":879,"prompt_tokens_details":{"cached_tokens":0,"audio_tokens":0},"completion_tokens_details":{"reasoning_tokens":0,"audio_tokens":0,"accepted_prediction_tokens":0,"rejected_prediction_tokens":0}},"service_tier":"default","system_fingerprint":"fp_ad66631dec"}</t>
        </is>
      </c>
      <c r="K186" t="inlineStr">
        <is>
          <t>Maison Margiela Black Vintage Logo Cotton Hoodie</t>
        </is>
      </c>
      <c r="L186" t="inlineStr">
        <is>
          <t>{"choices":[{"finish_reason":"stop","index":0,"logprobs":null,"message":{"annotations":[],"content":"Maison Margiela Vintage Washed Cotton Hoodie in Black, featuring reversed logo print, oversized unisex fit, blending street style with minimalist luxury for modern urban wear.","refusal":null,"role":"assistant"}}],"created":1776658406,"id":"chatcmpl-DWaIg0nPgrbce1fbimBUp30k5msEj","model":"gpt-5-chat-latest","object":"chat.completion","service_tier":"default","system_fingerprint":"fp_ad66631dec","usage":{"completion_tokens":33,"completion_tokens_details":{"accepted_prediction_tokens":0,"audio_tokens":0,"reasoning_tokens":0,"rejected_prediction_tokens":0},"prompt_tokens":901,"prompt_tokens_details":{"audio_tokens":0,"cached_tokens":0},"total_tokens":934}}</t>
        </is>
      </c>
      <c r="M186" t="inlineStr">
        <is>
          <t>{"alt-svc":"h3=\":443\"; ma=2592000","apim-request-id":"d930f27e-bf17-41b5-a1a6-898e1ac200b7","azureml-model-session":"d20260405234249-f9874baf","cache-control":"no-cache","connection":"close","content-length":"763","content-security-policy":"frame-ancestors 'self'","content-type":"application/json","date":"Mon, 20 Apr 2026 04:13:28 GMT","server":"nginx","skip-error-remapping":"true","strict-transport-security":"max-age=31536000; includeSubDomains; preload","via":"1.1 Caddy, 1.1 Caddy","x-api-request-id":"20260420121326367267623NbcIJ9Q0","x-content-type-options":"nosniff","x-frame-options":"SAMEORIGIN","x-ms-client-request-id":"Not-Set","x-ms-is-spilled-over":"false","x-ms-rai-invoked":"true","x-ms-region":"East US 2","x-new-api-version":"0.4.39","x-oneapi-request-id":"202604200413262737190478268d9d6bcOh8wTJ","x-ratelimit-abusepenalty-active":"False","x-ratelimit-limit-requests":"3850","x-ratelimit-limit-tokens":"3850000","x-ratelimit-remaining-requests":"3849","x-ratelimit-remaining-tokens":"3848337","x-ratelimit-renewalperiod-requests":"60","x-ratelimit-renewalperiod-tokens":"60","x-ratelimit-reset-requests":"15","x-ratelimit-reset-tokens":"25","x-request-id":"8a243bc9-b9ad-441d-b58d-962681bb1226"}</t>
        </is>
      </c>
      <c r="N186" t="inlineStr">
        <is>
          <t>Maison Margiela Vintage Washed Cotton Hoodie in Black, featuring reversed logo print, oversized unisex fit, blending street style with minimalist luxury for modern urban wear.</t>
        </is>
      </c>
      <c r="O186" t="inlineStr">
        <is>
          <t>{"choices":[{"finish_reason":"stop","index":0,"logprobs":null,"message":{"annotations":[],"content":"Maison Margiela,Hoodies,kakobuy,kakebuy2026,kekobuysheet,kakobuysheet2026,2026kakobuy,kakobuyspreadsheeet,kakobuylink,kakebuylist,Kakobuy MEGA Spreadsheet,kakobuysheetfind,kakobuysheetfind2026,2026kakobuysheetfind,kakobuysheet2026","refusal":null,"role":"assistant"}}],"created":1776668061,"id":"chatcmpl-DWcoPgbx9OPX3t3YeOvxMRMyOt60b","model":"gpt-5-chat-latest","object":"chat.completion","service_tier":"default","system_fingerprint":"fp_ad66631dec","usage":{"completion_tokens":89,"completion_tokens_details":{"accepted_prediction_tokens":0,"audio_tokens":0,"reasoning_tokens":0,"rejected_prediction_tokens":0},"prompt_tokens":785,"prompt_tokens_details":{"audio_tokens":0,"cached_tokens":0},"total_tokens":874}}</t>
        </is>
      </c>
      <c r="P186" t="inlineStr">
        <is>
          <t>Maison Margiela,Hoodies,kakobuy,kakebuy2026,kekobuysheet,kakobuysheet2026,2026kakobuy,kakobuyspreadsheeet,kakobuylink,kakebuylist,Kakobuy MEGA Spreadsheet,kakobuysheetfind,kakobuysheetfind2026,2026kakobuysheetfind,kakobuysheet2026</t>
        </is>
      </c>
      <c r="Q186" t="inlineStr">
        <is>
          <t>Black, Unisex, Streetwear, Minimalist</t>
        </is>
      </c>
      <c r="R186" t="inlineStr">
        <is>
          <t>recvh6xFVjUvnm</t>
        </is>
      </c>
      <c r="S186" t="inlineStr">
        <is>
          <t>maison-margiela-black-vintage-logo-cotton-hoodie-recvh6xFVjUvnm</t>
        </is>
      </c>
      <c r="T186"/>
      <c r="U186"/>
      <c r="V186"/>
      <c r="W186" t="inlineStr">
        <is>
          <t>{"choices":[{"finish_reason":"stop","index":0,"logprobs":null,"message":{"annotations":[],"content":"Maison Margiela：黑色复古洗水连帽卫衣，柔软纯棉质地，胸前反向品牌Logo印花设计，宽松中性版型，兼具街头与高级简约风格，适合现代都市男女休闲穿搭。","refusal":null,"role":"assistant"}}],"created":1776655864,"id":"chatcmpl-DWZdgimGdDwEwPAQV82Tr83G8gN4s","model":"gpt-5-chat-latest","object":"chat.completion","service_tier":"default","system_fingerprint":"fp_ad66631dec","usage":{"completion_tokens":62,"completion_tokens_details":{"accepted_prediction_tokens":0,"audio_tokens":0,"reasoning_tokens":0,"rejected_prediction_tokens":0},"prompt_tokens":1322,"prompt_tokens_details":{"audio_tokens":0,"cached_tokens":1280},"total_tokens":1384}}</t>
        </is>
      </c>
      <c r="X186" t="inlineStr">
        <is>
          <t>Maison Margiela：黑色复古洗水连帽卫衣，柔软纯棉质地，胸前反向品牌Logo印花设计，宽松中性版型，兼具街头与高级简约风格，适合现代都市男女休闲穿搭。</t>
        </is>
      </c>
    </row>
    <row r="187" ht="25.5" customHeight="1">
      <c r="A187">
        <v>1839115443</v>
      </c>
      <c r="B187">
        <v>7599101535</v>
      </c>
      <c r="C187" t="inlineStr">
        <is>
          <t>https://weidian.com/item.html?itemID=7599101535</t>
        </is>
      </c>
      <c r="D187"/>
      <c r="E187" s="2" t="str">
        <f>=HYPERLINK("https://si.geilicdn.com/open1832946205-252808396-18b900000197eeac7a8f0a8115c2_750_750.jpg?w=640&amp;h=640", "https://si.geilicdn.com/open1832946205-252808396-18b900000197eeac7a8f0a8115c2_750_750.jpg?w=640&amp;h=640")</f>
        <v>https://si.geilicdn.com/open1832946205-252808396-18b900000197eeac7a8f0a8115c2_750_750.jpg?w=640&amp;h=640</v>
      </c>
      <c r="F187" t="inlineStr">
        <is>
          <t>Hoodies</t>
        </is>
      </c>
      <c r="G187" t="inlineStr">
        <is>
          <t>Carhartt</t>
        </is>
      </c>
      <c r="H187" t="inlineStr">
        <is>
          <t>151.00</t>
        </is>
      </c>
      <c r="I187">
        <v>21.88</v>
      </c>
      <c r="J187" t="inlineStr">
        <is>
          <t>{"id":"chatcmpl-DWcFWORQnapDtnXwyskfjvqOFutPv","object":"chat.completion","created":1776665898,"model":"gpt-5-chat-latest","choices":[{"index":0,"message":{"role":"assistant","content":"Carhartt Classic Heavy Cotton Crewneck Sweatshirt Men","refusal":null,"annotations":[]},"logprobs":null,"finish_reason":"stop"}],"usage":{"prompt_tokens":888,"completion_tokens":12,"total_tokens":900,"prompt_tokens_details":{"cached_tokens":0,"audio_tokens":0},"completion_tokens_details":{"reasoning_tokens":0,"audio_tokens":0,"accepted_prediction_tokens":0,"rejected_prediction_tokens":0}},"service_tier":"default","system_fingerprint":"fp_ad66631dec"}</t>
        </is>
      </c>
      <c r="K187" t="inlineStr">
        <is>
          <t>Carhartt Classic Heavy Cotton Crewneck Sweatshirt Men</t>
        </is>
      </c>
      <c r="L187" t="inlineStr">
        <is>
          <t>{"choices":[{"finish_reason":"stop","index":0,"logprobs":null,"message":{"annotations":[],"content":"Carhartt Classic Crewneck Sweatshirt – made of heavy cotton with iconic square logo, relaxed fit for all-day comfort. Perfect for streetwear or outdoor work, warm and durable for fall and winter.","refusal":null,"role":"assistant"}}],"created":1776658966,"id":"chatcmpl-DWaRic5IENbhPKO7Z3IrnMj38DeRL","model":"gpt-5-chat-latest","object":"chat.completion","service_tier":"default","system_fingerprint":"fp_ad66631dec","usage":{"completion_tokens":42,"completion_tokens_details":{"accepted_prediction_tokens":0,"audio_tokens":0,"reasoning_tokens":0,"rejected_prediction_tokens":0},"prompt_tokens":925,"prompt_tokens_details":{"audio_tokens":0,"cached_tokens":0},"total_tokens":967}}</t>
        </is>
      </c>
      <c r="M187" t="inlineStr">
        <is>
          <t>{"alt-svc":"h3=\":443\"; ma=2592000","apim-request-id":"d81ab9ef-bf73-42ab-976b-05fb1536ed00","azureml-model-session":"d20260402083108-57a85543","cache-control":"no-cache","connection":"close","content-length":"785","content-security-policy":"frame-ancestors 'self'","content-type":"application/json","date":"Mon, 20 Apr 2026 04:22:47 GMT","server":"Caddy","skip-error-remapping":"true","strict-transport-security":"max-age=31536000; includeSubDomains; preload","via":"1.1 Caddy","x-api-request-id":"20260420122245656628857lAjvId9g","x-content-type-options":"nosniff","x-frame-options":"SAMEORIGIN","x-ms-client-request-id":"Not-Set","x-ms-is-spilled-over":"false","x-ms-rai-invoked":"true","x-ms-region":"East US 2","x-new-api-version":"0.4.39","x-oneapi-request-id":"202604200422455900821998268d9d6dtluc9IQ","x-ratelimit-abusepenalty-active":"False","x-ratelimit-limit-requests":"3850","x-ratelimit-limit-tokens":"3850000","x-ratelimit-remaining-requests":"3849","x-ratelimit-remaining-tokens":"3848313","x-ratelimit-renewalperiod-requests":"60","x-ratelimit-renewalperiod-tokens":"60","x-ratelimit-reset-requests":"15","x-ratelimit-reset-tokens":"26","x-request-id":"a83f9d65-10c2-4854-8a3e-9978acf6b3f8"}</t>
        </is>
      </c>
      <c r="N187" t="inlineStr">
        <is>
          <t>Carhartt Classic Crewneck Sweatshirt – made of heavy cotton with iconic square logo, relaxed fit for all-day comfort. Perfect for streetwear or outdoor work, warm and durable for fall and winter.</t>
        </is>
      </c>
      <c r="O187" t="inlineStr">
        <is>
          <t>{"choices":[{"finish_reason":"stop","index":0,"logprobs":null,"message":{"annotations":[],"content":"Carhartt,Hoodies,kakobuy,kakebuy2026,kekobuysheet,kakobuysheet2026,2026kakobuy,kakobuyspreadsheeet,kakobuylink,kakebuylist,Kakobuy MEGA Spreadsheet,kakobuysheetfind,kakobuysheetfind2026,2026kakobuysheetfind,kakobuysheet2026","refusal":null,"role":"assistant"}}],"created":1776668646,"id":"chatcmpl-DWcxqsGNmC5eE1ngcqtZsxPaondKt","model":"gpt-5-chat-latest","object":"chat.completion","service_tier":"default","system_fingerprint":"fp_ad66631dec","usage":{"completion_tokens":89,"completion_tokens_details":{"accepted_prediction_tokens":0,"audio_tokens":0,"reasoning_tokens":0,"rejected_prediction_tokens":0},"prompt_tokens":785,"prompt_tokens_details":{"audio_tokens":0,"cached_tokens":0},"total_tokens":874}}</t>
        </is>
      </c>
      <c r="P187" t="inlineStr">
        <is>
          <t>Carhartt,Hoodies,kakobuy,kakebuy2026,kekobuysheet,kakobuysheet2026,2026kakobuy,kakobuyspreadsheeet,kakobuylink,kakebuylist,Kakobuy MEGA Spreadsheet,kakobuysheetfind,kakobuysheetfind2026,2026kakobuysheetfind,kakobuysheet2026</t>
        </is>
      </c>
      <c r="Q187" t="inlineStr">
        <is>
          <t>Streetwear, Outdoor, Autumn And Winter, Men's And Women's, Unisex</t>
        </is>
      </c>
      <c r="R187" t="inlineStr">
        <is>
          <t>recvh6xFVjp5E8</t>
        </is>
      </c>
      <c r="S187" t="inlineStr">
        <is>
          <t>carhartt-classic-heavy-cotton-crewneck-sweatshirt-men-recvh6xFVjp5E8</t>
        </is>
      </c>
      <c r="T187"/>
      <c r="U187"/>
      <c r="V187"/>
      <c r="W187" t="inlineStr">
        <is>
          <t>{"id":"chatcmpl-DWZjrHvcQSR9IlLnj2kKIqh2VGXOx","object":"chat.completion","created":1776656247,"model":"gpt-5-chat-latest","choices":[{"index":0,"message":{"role":"assistant","content":"Carhartt：经典黑色圆领卫衣，采用厚实纯棉材质，胸前方形Logo织标简约醒目，呈现美式工装风格。宽松剪裁舒适百搭，秋冬保暖性能优异，适合男女休闲街头穿搭，彰显复古坚韧质感与都市机能魅力。","refusal":null,"annotations":[]},"logprobs":null,"finish_reason":"stop"}],"usage":{"prompt_tokens":1322,"completion_tokens":86,"total_tokens":1408,"prompt_tokens_details":{"cached_tokens":0,"audio_tokens":0},"completion_tokens_details":{"reasoning_tokens":0,"audio_tokens":0,"accepted_prediction_tokens":0,"rejected_prediction_tokens":0}},"service_tier":"default","system_fingerprint":"fp_ad66631dec"}</t>
        </is>
      </c>
      <c r="X187" t="inlineStr">
        <is>
          <t>Carhartt：经典黑色圆领卫衣，采用厚实纯棉材质，胸前方形Logo织标简约醒目，呈现美式工装风格。宽松剪裁舒适百搭，秋冬保暖性能优异，适合男女休闲街头穿搭，彰显复古坚韧质感与都市机能魅力。</t>
        </is>
      </c>
    </row>
    <row r="188" ht="25.5" customHeight="1">
      <c r="A188">
        <v>1839115443</v>
      </c>
      <c r="B188">
        <v>7692636885</v>
      </c>
      <c r="C188" t="inlineStr">
        <is>
          <t>https://weidian.com/item.html?itemID=7692636885</t>
        </is>
      </c>
      <c r="D188"/>
      <c r="E188" s="2" t="str">
        <f>=HYPERLINK("https://si.geilicdn.com/open1839115443-252808396-71830000019c4fdba32b0a22d249_800_800.jpg?w=750&amp;h=750&amp;cp=1", "https://si.geilicdn.com/open1839115443-252808396-71830000019c4fdba32b0a22d249_800_800.jpg?w=750&amp;h=750&amp;cp=1")</f>
        <v>https://si.geilicdn.com/open1839115443-252808396-71830000019c4fdba32b0a22d249_800_800.jpg?w=750&amp;h=750&amp;cp=1</v>
      </c>
      <c r="F188" t="inlineStr">
        <is>
          <t>T-Shirts</t>
        </is>
      </c>
      <c r="G188" t="inlineStr">
        <is>
          <t>MLB</t>
        </is>
      </c>
      <c r="H188" t="inlineStr">
        <is>
          <t>54.00</t>
        </is>
      </c>
      <c r="I188">
        <v>7.83</v>
      </c>
      <c r="J188" t="inlineStr">
        <is>
          <t>{"choices":[{"finish_reason":"stop","index":0,"logprobs":null,"message":{"annotations":[],"content":"MLB White Paisley M Never Give Up T-Shirt","refusal":null,"role":"assistant"}}],"created":1776666737,"id":"chatcmpl-DWcT3SzrJMaaIy2bwxl7qmyEfbPET","model":"gpt-5-chat-latest","object":"chat.completion","service_tier":"default","system_fingerprint":"fp_ad66631dec","usage":{"completion_tokens":12,"completion_tokens_details":{"accepted_prediction_tokens":0,"audio_tokens":0,"reasoning_tokens":0,"rejected_prediction_tokens":0},"prompt_tokens":892,"prompt_tokens_details":{"audio_tokens":0,"cached_tokens":0},"total_tokens":904}}</t>
        </is>
      </c>
      <c r="K188" t="inlineStr">
        <is>
          <t>MLB White Paisley M Never Give Up T-Shirt</t>
        </is>
      </c>
      <c r="L188" t="inlineStr">
        <is>
          <t>{"id":"chatcmpl-DWaXnfFYw9uiVmFm32FwxaRWlkLmy","object":"chat.completion","created":1776659343,"model":"gpt-5-chat-latest","choices":[{"index":0,"message":{"role":"assistant","content":"MLB White Printed Cotton T-Shirt featuring a bold black &amp; white Paisley “M” and “NEVER GIVE UP” design. Unisex loose fit for casual everyday wear, highlighting street sports style and youthful energy.","refusal":null,"annotations":[]},"logprobs":null,"finish_reason":"stop"}],"usage":{"prompt_tokens":925,"completion_tokens":45,"total_tokens":970,"prompt_tokens_details":{"cached_tokens":0,"audio_tokens":0},"completion_tokens_details":{"reasoning_tokens":0,"audio_tokens":0,"accepted_prediction_tokens":0,"rejected_prediction_tokens":0}},"service_tier":"default","system_fingerprint":"fp_ad66631dec"}</t>
        </is>
      </c>
      <c r="M188"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ma=2592000","apim-request-id":"fc8d40ac-a676-4032-b73d-609f26734a8f","azureml-model-session":"d20260402084046-4209e968","cache-control":"no-cache, no-store, must-revalidate","connection":"close","content-length":"1012","content-security-policy":"frame-ancestors 'self'","content-type":"application/json","date":"Mon, 20 Apr 2026 04:29:04 GMT","server":"nginx","skip-error-remapping":"true","strict-transport-security":"max-age=31536000; includeSubDomains; preload","via":"1.1 Caddy, 1.1 Caddy","x-api-request-id":"20260420122901933339067N3qh2I9h","x-content-type-options":"nosniff","x-frame-options":"SAMEORIGIN","x-ms-is-spilled-over":"false","x-ms-rai-invoked":"false","x-ms-region":"East US 2","x-new-api-version":"0.4.39","x-oneapi-request-id":"202604200429018647435658268d9d69vbITRtG","x-ratelimit-abusepenalty-active":"False","x-ratelimit-limit-requests":"4994","x-ratelimit-limit-tokens":"4994000","x-ratelimit-remaining-requests":"4993","x-ratelimit-remaining-tokens":"4992313","x-ratelimit-renewalperiod-requests":"60","x-ratelimit-renewalperiod-tokens":"60","x-ratelimit-reset-requests":"12","x-ratelimit-reset-tokens":"20","x-request-id":"7c5b5ef0-f666-44ed-bde5-cdf8714e8f5a"}</t>
        </is>
      </c>
      <c r="N188" t="inlineStr">
        <is>
          <t>MLB White Printed Cotton T-Shirt featuring a bold black &amp; white Paisley “M” and “NEVER GIVE UP” design. Unisex loose fit for casual everyday wear, highlighting street sports style and youthful energy.</t>
        </is>
      </c>
      <c r="O188" t="inlineStr">
        <is>
          <t>{"choices":[{"finish_reason":"stop","index":0,"logprobs":null,"message":{"annotations":[],"content":"MLB,T-Shirt,kakobuy,kakebuy2026,kekobuysheet,kakobuysheet2026,2026kakobuy,kakobuyspreadsheeet,kakobuylink,kakebuylist,Kakobuy MEGA Spreadsheet,kakobuysheetfind,kakobuysheetfind2026,2026kakobuysheetfind,kakobuysheet2026","refusal":null,"role":"assistant"}}],"created":1776667705,"id":"chatcmpl-DWcifEEvyCKvQ7fTqRMZVWv34Y6pw","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P188" t="inlineStr">
        <is>
          <t>MLB,T-Shirt,kakobuy,kakebuy2026,kekobuysheet,kakobuysheet2026,2026kakobuy,kakobuyspreadsheeet,kakobuylink,kakebuylist,Kakobuy MEGA Spreadsheet,kakobuysheetfind,kakobuysheetfind2026,2026kakobuysheetfind,kakobuysheet2026</t>
        </is>
      </c>
      <c r="Q188" t="inlineStr">
        <is>
          <t>Unisex, Streetwear, White</t>
        </is>
      </c>
      <c r="R188" t="inlineStr">
        <is>
          <t>recvh6xFVjrAY9</t>
        </is>
      </c>
      <c r="S188" t="inlineStr">
        <is>
          <t>mlb-white-paisley-m-recvh6xfvjr</t>
        </is>
      </c>
      <c r="T188"/>
      <c r="U188"/>
      <c r="V188"/>
      <c r="W188" t="inlineStr">
        <is>
          <t>{"choices":[{"finish_reason":"stop","index":0,"logprobs":null,"message":{"annotations":[],"content":"MLB白色印花短袖T恤，甄选柔软纯棉材质，背部以黑白Paisley花纹“M”字母与“NEVER GIVE UP”字样呼应，彰显街头运动风格。休闲宽松版型，男女皆宜，适合日常穿搭，展现青春活力与潮流态度。","refusal":null,"role":"assistant"}}],"created":1776656201,"id":"chatcmpl-DWZj7tYa6Xd5rvonxqnwfG7z4Hh9H","model":"gpt-5-chat-latest","object":"chat.completion","service_tier":"default","system_fingerprint":"fp_ad66631dec","usage":{"completion_tokens":86,"completion_tokens_details":{"accepted_prediction_tokens":0,"audio_tokens":0,"reasoning_tokens":0,"rejected_prediction_tokens":0},"prompt_tokens":1322,"prompt_tokens_details":{"audio_tokens":0,"cached_tokens":0},"total_tokens":1408}}</t>
        </is>
      </c>
      <c r="X188" t="inlineStr">
        <is>
          <t>MLB白色印花短袖T恤，甄选柔软纯棉材质，背部以黑白Paisley花纹“M”字母与“NEVER GIVE UP”字样呼应，彰显街头运动风格。休闲宽松版型，男女皆宜，适合日常穿搭，展现青春活力与潮流态度。</t>
        </is>
      </c>
    </row>
    <row r="189" ht="25.5" customHeight="1">
      <c r="A189">
        <v>1839115443</v>
      </c>
      <c r="B189">
        <v>7599215845</v>
      </c>
      <c r="C189" t="inlineStr">
        <is>
          <t>https://weidian.com/item.html?itemID=7599215845</t>
        </is>
      </c>
      <c r="D189"/>
      <c r="E189" s="2" t="str">
        <f>=HYPERLINK("https://si.geilicdn.com/open1832946205-252808396-71f200000196d30aa55a0a23b491_790_790.jpg?w=640&amp;h=640", "https://si.geilicdn.com/open1832946205-252808396-71f200000196d30aa55a0a23b491_790_790.jpg?w=640&amp;h=640")</f>
        <v>https://si.geilicdn.com/open1832946205-252808396-71f200000196d30aa55a0a23b491_790_790.jpg?w=640&amp;h=640</v>
      </c>
      <c r="F189" t="inlineStr">
        <is>
          <t>T-Shirts</t>
        </is>
      </c>
      <c r="G189" t="inlineStr">
        <is>
          <t>Other</t>
        </is>
      </c>
      <c r="H189" t="inlineStr">
        <is>
          <t>62.00</t>
        </is>
      </c>
      <c r="I189">
        <v>8.99</v>
      </c>
      <c r="J189" t="inlineStr">
        <is>
          <t>{"id":"chatcmpl-DWcKsX91BbWwbHRNPnQ7gcpTM4i4Z","object":"chat.completion","created":1776666230,"model":"gpt-5-chat-latest","choices":[{"index":0,"message":{"role":"assistant","content":"[Brand Name] Black Abstract Lips Eye Print Street T-Shirt","refusal":null,"annotations":[]},"logprobs":null,"finish_reason":"stop"}],"usage":{"prompt_tokens":877,"completion_tokens":13,"total_tokens":890,"prompt_tokens_details":{"cached_tokens":0,"audio_tokens":0},"completion_tokens_details":{"reasoning_tokens":0,"audio_tokens":0,"accepted_prediction_tokens":0,"rejected_prediction_tokens":0}},"service_tier":"default","system_fingerprint":"fp_ad66631dec"}</t>
        </is>
      </c>
      <c r="K189" t="inlineStr">
        <is>
          <t>[Brand Name] Black Abstract Lips Eye Print Street T-Shirt</t>
        </is>
      </c>
      <c r="L189" t="inlineStr">
        <is>
          <t>{"id":"chatcmpl-DWabPK6DlrLPQiCsDVuFGyvAfcuYO","object":"chat.completion","created":1776659567,"model":"gpt-5-chat-latest","choices":[{"index":0,"message":{"role":"assistant","content":"[Brand Name] Black Street Style Loose Cotton T-Shirt with abstract lips and eye print design, soft breathable fabric, unisex fit, perfect for casual wear and trendy urban fashion looks.","refusal":null,"annotations":[]},"logprobs":null,"finish_reason":"stop"}],"usage":{"prompt_tokens":919,"completion_tokens":38,"total_tokens":957,"prompt_tokens_details":{"cached_tokens":0,"audio_tokens":0},"completion_tokens_details":{"reasoning_tokens":0,"audio_tokens":0,"accepted_prediction_tokens":0,"rejected_prediction_tokens":0}},"service_tier":"default","system_fingerprint":"fp_ad66631dec"}</t>
        </is>
      </c>
      <c r="M189"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ma=2592000","apim-request-id":"7f329b75-6582-437c-a2a9-2600dead0dbd","azureml-model-session":"d20260402075109-1fc5a0ec","cache-control":"no-cache, no-store, must-revalidate","connection":"close","content-length":"989","content-security-policy":"frame-ancestors 'self'","content-type":"application/json","date":"Mon, 20 Apr 2026 04:32:48 GMT","server":"Caddy","skip-error-remapping":"true","strict-transport-security":"max-age=31536000; includeSubDomains; preload","via":"1.1 Caddy","x-api-request-id":"20260420123246546886726QFPoPDw4","x-content-type-options":"nosniff","x-frame-options":"SAMEORIGIN","x-ms-is-spilled-over":"false","x-ms-rai-invoked":"false","x-ms-region":"East US 2","x-new-api-version":"0.4.39","x-oneapi-request-id":"202604200432464805000118268d9d6XDcnGCA8","x-ratelimit-abusepenalty-active":"False","x-ratelimit-limit-requests":"4994","x-ratelimit-limit-tokens":"4994000","x-ratelimit-remaining-requests":"4993","x-ratelimit-remaining-tokens":"4992319","x-ratelimit-renewalperiod-requests":"60","x-ratelimit-renewalperiod-tokens":"60","x-ratelimit-reset-requests":"12","x-ratelimit-reset-tokens":"20","x-request-id":"e8ae73dc-958a-44ca-8261-73a0bb1bb07d"}</t>
        </is>
      </c>
      <c r="N189" t="inlineStr">
        <is>
          <t>[Brand Name] Black Street Style Loose Cotton T-Shirt with abstract lips and eye print design, soft breathable fabric, unisex fit, perfect for casual wear and trendy urban fashion looks.</t>
        </is>
      </c>
      <c r="O189" t="inlineStr">
        <is>
          <t>{"choices":[{"finish_reason":"stop","index":0,"logprobs":null,"message":{"annotations":[],"content":"Trapstar,T-Shirts,kakobuy,kakebuy2026,kekobuysheet,kakobuysheet2026,2026kakobuy,kakobuyspreadsheeet,kakobuylink,kakebuylist,Kakobuy MEGA Spreadsheet,kakobuysheetfind,kakobuysheetfind2026,2026kakobuysheetfind,kakobuysheet2026","refusal":null,"role":"assistant"}}],"created":1776668400,"id":"chatcmpl-DWctsWHRQkMrqPBRCldPuv4E7thyh","model":"gpt-5-chat-latest","object":"chat.completion","service_tier":"default","system_fingerprint":"fp_ad66631dec","usage":{"completion_tokens":87,"completion_tokens_details":{"accepted_prediction_tokens":0,"audio_tokens":0,"reasoning_tokens":0,"rejected_prediction_tokens":0},"prompt_tokens":782,"prompt_tokens_details":{"audio_tokens":0,"cached_tokens":0},"total_tokens":869}}</t>
        </is>
      </c>
      <c r="P189" t="inlineStr">
        <is>
          <t>Trapstar,T-Shirts,kakobuy,kakebuy2026,kekobuysheet,kakobuysheet2026,2026kakobuy,kakobuyspreadsheeet,kakobuylink,kakebuylist,Kakobuy MEGA Spreadsheet,kakobuysheetfind,kakobuysheetfind2026,2026kakobuysheetfind,kakobuysheet2026</t>
        </is>
      </c>
      <c r="Q189" t="inlineStr">
        <is>
          <t>Abstract, Unisex, Breathable, Street</t>
        </is>
      </c>
      <c r="R189" t="inlineStr">
        <is>
          <t>recvh6xFVjJHbo</t>
        </is>
      </c>
      <c r="S189" t="inlineStr">
        <is>
          <t>brand-name-black-abstract-lips-eye-print-street-t-shirt-recvh6xFVjJHbo</t>
        </is>
      </c>
      <c r="T189"/>
      <c r="U189"/>
      <c r="V189"/>
      <c r="W189" t="inlineStr">
        <is>
          <t>{"choices":[{"finish_reason":"stop","index":0,"logprobs":null,"message":{"annotations":[],"content":"黑色街头系列宽松短袖T恤，采用优质纯棉材质，柔软透气。正面印有抽象唇形与眼睛黑白图腾，视觉冲击强烈，展现个性艺术风格。简约圆领设计，男女皆可穿搭，适合日常休闲与街头潮流造型。","refusal":null,"role":"assistant"}}],"created":1776655186,"id":"chatcmpl-DWZSkSI0GZ5a4Oea7ySequIvg92eX","model":"gpt-5-chat-latest","object":"chat.completion","service_tier":"default","system_fingerprint":"fp_ad66631dec","usage":{"completion_tokens":85,"completion_tokens_details":{"accepted_prediction_tokens":0,"audio_tokens":0,"reasoning_tokens":0,"rejected_prediction_tokens":0},"prompt_tokens":1311,"prompt_tokens_details":{"audio_tokens":0,"cached_tokens":0},"total_tokens":1396}}</t>
        </is>
      </c>
      <c r="X189" t="inlineStr">
        <is>
          <t>黑色街头系列宽松短袖T恤，采用优质纯棉材质，柔软透气。正面印有抽象唇形与眼睛黑白图腾，视觉冲击强烈，展现个性艺术风格。简约圆领设计，男女皆可穿搭，适合日常休闲与街头潮流造型。</t>
        </is>
      </c>
    </row>
    <row r="190" ht="25.5" customHeight="1">
      <c r="A190">
        <v>1839115443</v>
      </c>
      <c r="B190">
        <v>7601062512</v>
      </c>
      <c r="C190" t="inlineStr">
        <is>
          <t>https://weidian.com/item.html?itemID=7601062512</t>
        </is>
      </c>
      <c r="D190"/>
      <c r="E190" s="2" t="str">
        <f>=HYPERLINK("https://si.geilicdn.com/open1832946205-252808396-780500000197ea007d5c0aa043f9_290_305.jpg?w=640&amp;h=640", "https://si.geilicdn.com/open1832946205-252808396-780500000197ea007d5c0aa043f9_290_305.jpg?w=640&amp;h=640")</f>
        <v>https://si.geilicdn.com/open1832946205-252808396-780500000197ea007d5c0aa043f9_290_305.jpg?w=640&amp;h=640</v>
      </c>
      <c r="F190" t="inlineStr">
        <is>
          <t>Hoodies</t>
        </is>
      </c>
      <c r="G190" t="inlineStr">
        <is>
          <t>Other</t>
        </is>
      </c>
      <c r="H190" t="inlineStr">
        <is>
          <t>130.00</t>
        </is>
      </c>
      <c r="I190">
        <v>18.84</v>
      </c>
      <c r="J190" t="inlineStr">
        <is>
          <t>{"choices":[{"finish_reason":"stop","index":0,"logprobs":null,"message":{"annotations":[],"content":"HoodiesOther Black Street Graphic Print Cotton Hoodie","refusal":null,"role":"assistant"}}],"created":1776666062,"id":"chatcmpl-DWcIAJpV9stFIKoW0zr0bhR5zh7wj","model":"gpt-5-chat-latest","object":"chat.completion","service_tier":"default","system_fingerprint":"fp_ad66631dec","usage":{"completion_tokens":11,"completion_tokens_details":{"accepted_prediction_tokens":0,"audio_tokens":0,"reasoning_tokens":0,"rejected_prediction_tokens":0},"prompt_tokens":464,"prompt_tokens_details":{"audio_tokens":0,"cached_tokens":0},"total_tokens":475}}</t>
        </is>
      </c>
      <c r="K190" t="inlineStr">
        <is>
          <t>HoodiesOther Black Street Graphic Print Cotton Hoodie</t>
        </is>
      </c>
      <c r="L190" t="inlineStr">
        <is>
          <t>{"choices":[{"finish_reason":"stop","index":0,"logprobs":null,"message":{"annotations":[],"content":"HoodiesOther Black Street Style Hoodie features bold yellow and white graphic letters, cotton fabric, drawstring hood, kangaroo pocket, unisex loose fit—perfect for daily wear and urban fashion.","refusal":null,"role":"assistant"}}],"created":1776659374,"id":"chatcmpl-DWaYIwuI6RzEv1HKMLi9S7oBqv5Jq","model":"gpt-5-chat-latest","object":"chat.completion","service_tier":"default","system_fingerprint":"fp_ad66631dec","usage":{"completion_tokens":41,"completion_tokens_details":{"accepted_prediction_tokens":0,"audio_tokens":0,"reasoning_tokens":0,"rejected_prediction_tokens":0},"prompt_tokens":515,"prompt_tokens_details":{"audio_tokens":0,"cached_tokens":0},"total_tokens":556}}</t>
        </is>
      </c>
      <c r="M190" t="inlineStr">
        <is>
          <t>{"alt-svc":"h3=\":443\"; ma=2592000","apim-request-id":"69c60ad1-675d-456b-be57-f14f0bbed8dc","azureml-model-session":"d20260402074105-51db401e","cache-control":"no-cache","connection":"close","content-length":"784","content-security-policy":"frame-ancestors 'self'","content-type":"application/json","date":"Mon, 20 Apr 2026 04:29:35 GMT","server":"nginx","skip-error-remapping":"true","strict-transport-security":"max-age=31536000; includeSubDomains; preload","via":"1.1 Caddy, 1.1 Caddy","x-api-request-id":"20260420122934123853838po5nuxeu","x-content-type-options":"nosniff","x-frame-options":"SAMEORIGIN","x-ms-client-request-id":"Not-Set","x-ms-is-spilled-over":"false","x-ms-rai-invoked":"true","x-ms-region":"East US 2","x-new-api-version":"0.4.39","x-oneapi-request-id":"20260420042934568074308268d9d6WkqdlNAh","x-ratelimit-abusepenalty-active":"False","x-ratelimit-limit-requests":"3850","x-ratelimit-limit-tokens":"3850000","x-ratelimit-remaining-requests":"3849","x-ratelimit-remaining-tokens":"3847796","x-ratelimit-renewalperiod-requests":"60","x-ratelimit-renewalperiod-tokens":"60","x-ratelimit-reset-requests":"15","x-ratelimit-reset-tokens":"34","x-request-id":"2b7b1a4e-105f-4e59-9b9c-9390fb3ee1a4"}</t>
        </is>
      </c>
      <c r="N190" t="inlineStr">
        <is>
          <t>HoodiesOther Black Street Style Hoodie features bold yellow and white graphic letters, cotton fabric, drawstring hood, kangaroo pocket, unisex loose fit—perfect for daily wear and urban fashion.</t>
        </is>
      </c>
      <c r="O190" t="inlineStr">
        <is>
          <t>{"choices":[{"finish_reason":"stop","index":0,"logprobs":null,"message":{"annotations":[],"content":"Yuansu, Hoodies, kakobuy, kakebuy2026, kekobuysheet, kakobuysheet2026, 2026kakobuy, kakobuyspreadsheeet, kakobuylink, kakebuylist, Kakobuy MEGA Spreadsheet, kakobuysheetfind, kakobuysheetfind2026, 2026kakobuysheetfind, kakobuysheet2026","refusal":null,"role":"assistant"}}],"created":1776667263,"id":"chatcmpl-DWcbX1ofCtuj9ngjkcFVNRdRWryMp","model":"gpt-5-chat-latest","object":"chat.completion","service_tier":"default","system_fingerprint":"fp_ad66631dec","usage":{"completion_tokens":92,"completion_tokens_details":{"accepted_prediction_tokens":0,"audio_tokens":0,"reasoning_tokens":0,"rejected_prediction_tokens":0},"prompt_tokens":363,"prompt_tokens_details":{"audio_tokens":0,"cached_tokens":0},"total_tokens":455}}</t>
        </is>
      </c>
      <c r="P190" t="inlineStr">
        <is>
          <t>Yuansu, Hoodies, kakobuy, kakebuy2026, kekobuysheet, kakobuysheet2026, 2026kakobuy, kakobuyspreadsheeet, kakobuylink, kakebuylist, Kakobuy MEGA Spreadsheet, kakobuysheetfind, kakobuysheetfind2026, 2026kakobuysheetfind, kakobuysheet2026</t>
        </is>
      </c>
      <c r="Q190" t="inlineStr">
        <is>
          <t>Black, Streetwear, Unisex</t>
        </is>
      </c>
      <c r="R190" t="inlineStr">
        <is>
          <t>recvh6xFVjOWkZ</t>
        </is>
      </c>
      <c r="S190" t="inlineStr">
        <is>
          <t>hoodiesother-black-street-graphic-print-cotton-hoodie-recvh6xFVjOWkZ</t>
        </is>
      </c>
      <c r="T190"/>
      <c r="U190"/>
      <c r="V190"/>
      <c r="W190" t="inlineStr">
        <is>
          <t>{"choices":[{"finish_reason":"stop","index":0,"logprobs":null,"message":{"annotations":[],"content":"黑色街头系列连帽卫衣，采用柔软棉质面料，正面印有大胆黄色与白色字母图腾，英文标识与工业元素融合，彰显机能风格。宽松剪裁搭配抽绳帽设计与前袋鼠兜，兼具实穿与潮流感。男女通用款，适合日常休闲及街头穿搭，展现年轻个性态度。","refusal":null,"role":"assistant"}}],"created":1776656192,"id":"chatcmpl-DWZiypxfcSd8SkZOlq4Si5l0LWgag","model":"gpt-5-chat-latest","object":"chat.completion","service_tier":"default","system_fingerprint":"fp_ad66631dec","usage":{"completion_tokens":101,"completion_tokens_details":{"accepted_prediction_tokens":0,"audio_tokens":0,"reasoning_tokens":0,"rejected_prediction_tokens":0},"prompt_tokens":890,"prompt_tokens_details":{"audio_tokens":0,"cached_tokens":0},"total_tokens":991}}</t>
        </is>
      </c>
      <c r="X190" t="inlineStr">
        <is>
          <t>黑色街头系列连帽卫衣，采用柔软棉质面料，正面印有大胆黄色与白色字母图腾，英文标识与工业元素融合，彰显机能风格。宽松剪裁搭配抽绳帽设计与前袋鼠兜，兼具实穿与潮流感。男女通用款，适合日常休闲及街头穿搭，展现年轻个性态度。</t>
        </is>
      </c>
    </row>
    <row r="191" ht="25.5" customHeight="1">
      <c r="A191">
        <v>1839115443</v>
      </c>
      <c r="B191">
        <v>7601047108</v>
      </c>
      <c r="C191" t="inlineStr">
        <is>
          <t>https://weidian.com/item.html?itemID=7601047108</t>
        </is>
      </c>
      <c r="D191"/>
      <c r="E191" s="2" t="str">
        <f>=HYPERLINK("https://si.geilicdn.com/open1832946205-252808396-5c9e000001988ddeffe30a8133b0_800_800.jpg?w=640&amp;h=640", "https://si.geilicdn.com/open1832946205-252808396-5c9e000001988ddeffe30a8133b0_800_800.jpg?w=640&amp;h=640")</f>
        <v>https://si.geilicdn.com/open1832946205-252808396-5c9e000001988ddeffe30a8133b0_800_800.jpg?w=640&amp;h=640</v>
      </c>
      <c r="F191" t="inlineStr">
        <is>
          <t>Pants</t>
        </is>
      </c>
      <c r="G191" t="inlineStr">
        <is>
          <t>Gallery Dept</t>
        </is>
      </c>
      <c r="H191" t="inlineStr">
        <is>
          <t>207.00</t>
        </is>
      </c>
      <c r="I191">
        <v>30</v>
      </c>
      <c r="J191" t="inlineStr">
        <is>
          <t>{"choices":[{"finish_reason":"stop","index":0,"logprobs":null,"message":{"annotations":[],"content":"Gallery Dept Black Paint Splatter Graffiti Cotton Pants","refusal":null,"role":"assistant"}}],"created":1776666550,"id":"chatcmpl-DWcQ25JToPACY19832LED3VE5Csw3","model":"gpt-5-chat-latest","object":"chat.completion","service_tier":"default","system_fingerprint":"fp_ad66631dec","usage":{"completion_tokens":11,"completion_tokens_details":{"accepted_prediction_tokens":0,"audio_tokens":0,"reasoning_tokens":0,"rejected_prediction_tokens":0},"prompt_tokens":886,"prompt_tokens_details":{"audio_tokens":0,"cached_tokens":0},"total_tokens":897}}</t>
        </is>
      </c>
      <c r="K191" t="inlineStr">
        <is>
          <t>Gallery Dept Black Paint Splatter Graffiti Cotton Pants</t>
        </is>
      </c>
      <c r="L191" t="inlineStr">
        <is>
          <t>{"id":"chatcmpl-DWaYmJz3o1C5KAq151tOqxCpPSzsp","object":"chat.completion","created":1776659404,"model":"gpt-5-chat-latest","choices":[{"index":0,"message":{"role":"assistant","content":"Gallery Dept Black Paint-Splatter Pants crafted from soft cotton with hand-painted graffiti and “DEPT DE LA GALERIE” logo, unisex loose straight fit for artistic street style and everyday comfort.","refusal":null,"annotations":[]},"logprobs":null,"finish_reason":"stop"}],"usage":{"prompt_tokens":920,"completion_tokens":42,"total_tokens":962,"prompt_tokens_details":{"cached_tokens":0,"audio_tokens":0},"completion_tokens_details":{"reasoning_tokens":0,"audio_tokens":0,"accepted_prediction_tokens":0,"rejected_prediction_tokens":0}},"service_tier":"default","system_fingerprint":"fp_ad66631dec"}</t>
        </is>
      </c>
      <c r="M191"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ma=2592000","apim-request-id":"000de299-55da-46b9-83c0-cccd79a65e4f","azureml-model-session":"d20260405234249-f9874baf","cache-control":"no-cache, no-store, must-revalidate","connection":"close","content-length":"1004","content-security-policy":"frame-ancestors 'self'","content-type":"application/json","date":"Mon, 20 Apr 2026 04:30:06 GMT","server":"nginx","skip-error-remapping":"true","strict-transport-security":"max-age=31536000; includeSubDomains; preload","via":"1.1 Caddy, 1.1 Caddy","x-api-request-id":"20260420123003212938212UGX1PZdW","x-content-type-options":"nosniff","x-frame-options":"SAMEORIGIN","x-ms-is-spilled-over":"false","x-ms-rai-invoked":"false","x-ms-region":"Sweden Central","x-new-api-version":"0.4.39","x-oneapi-request-id":"202604200430031444754238268d9d6qrTptLEL","x-ratelimit-abusepenalty-active":"False","x-ratelimit-limit-requests":"4993","x-ratelimit-limit-tokens":"4993000","x-ratelimit-remaining-requests":"4992","x-ratelimit-remaining-tokens":"4991318","x-ratelimit-renewalperiod-requests":"60","x-ratelimit-renewalperiod-tokens":"60","x-ratelimit-reset-requests":"12","x-ratelimit-reset-tokens":"20","x-request-id":"fabac72a-8771-48ad-87ec-0937c7ebeae8"}</t>
        </is>
      </c>
      <c r="N191" t="inlineStr">
        <is>
          <t>Gallery Dept Black Paint-Splatter Pants crafted from soft cotton with hand-painted graffiti and “DEPT DE LA GALERIE” logo, unisex loose straight fit for artistic street style and everyday comfort.</t>
        </is>
      </c>
      <c r="O191" t="inlineStr">
        <is>
          <t>{"choices":[{"finish_reason":"stop","index":0,"logprobs":null,"message":{"annotations":[],"content":"Gallery Dept,Pants,kakobuy,kakebuy2026,kekobuysheet,kakobuysheet2026,2026kakobuy,kakobuyspreadsheeet,kakobuylink,kakebuylist,Kakobuy MEGA Spreadsheet,kakobuysheetfind,kakobuysheetfind2026,2026kakobuysheetfind,kakobusheet2026","refusal":null,"role":"assistant"}}],"created":1776668283,"id":"chatcmpl-DWcrz02Nvys1ApPHHHjJAMf1JT4aD","model":"gpt-5-chat-latest","object":"chat.completion","service_tier":"default","system_fingerprint":"fp_ad66631dec","usage":{"completion_tokens":86,"completion_tokens_details":{"accepted_prediction_tokens":0,"audio_tokens":0,"reasoning_tokens":0,"rejected_prediction_tokens":0},"prompt_tokens":783,"prompt_tokens_details":{"audio_tokens":0,"cached_tokens":0},"total_tokens":869}}</t>
        </is>
      </c>
      <c r="P191" t="inlineStr">
        <is>
          <t>Gallery Dept,Pants,kakobuy,kakebuy2026,kekobuysheet,kakobuysheet2026,2026kakobuy,kakobuyspreadsheeet,kakobuylink,kakebuylist,Kakobuy MEGA Spreadsheet,kakobuysheetfind,kakobuysheetfind2026,2026kakobuysheetfind,kakobusheet2026</t>
        </is>
      </c>
      <c r="Q191" t="inlineStr">
        <is>
          <t>Black, Artistic Style, Streetwear, Unisex, Comfort</t>
        </is>
      </c>
      <c r="R191" t="inlineStr">
        <is>
          <t>recvh6xFVjxNNN</t>
        </is>
      </c>
      <c r="S191" t="inlineStr">
        <is>
          <t>gallery-dept-black-paint-splatter-graffiti-cotton-pants-recvh6xFVjxNNN</t>
        </is>
      </c>
      <c r="T191"/>
      <c r="U191"/>
      <c r="V191"/>
      <c r="W191" t="inlineStr">
        <is>
          <t>{"id":"chatcmpl-DWZcSyIE4hbnBj1ITEMoehyjS3L01","object":"chat.completion","created":1776655788,"model":"gpt-5-chat-latest","choices":[{"index":0,"message":{"role":"assistant","content":"Gallery Dept：黑色泼墨休闲长裤，选用柔软纯棉材质，搭配手工艺术涂鸦与标志性“DEPT DE LA GALERIE”印花，宽松直筒剪裁展现街头复古风格，男女同款设计，舒适百搭，彰显独立个性与艺术感。","refusal":null,"annotations":[]},"logprobs":null,"finish_reason":"stop"}],"usage":{"prompt_tokens":1314,"completion_tokens":85,"total_tokens":1399,"prompt_tokens_details":{"cached_tokens":0,"audio_tokens":0},"completion_tokens_details":{"reasoning_tokens":0,"audio_tokens":0,"accepted_prediction_tokens":0,"rejected_prediction_tokens":0}},"service_tier":"default","system_fingerprint":"fp_ad66631dec"}</t>
        </is>
      </c>
      <c r="X191" t="inlineStr">
        <is>
          <t>Gallery Dept：黑色泼墨休闲长裤，选用柔软纯棉材质，搭配手工艺术涂鸦与标志性“DEPT DE LA GALERIE”印花，宽松直筒剪裁展现街头复古风格，男女同款设计，舒适百搭，彰显独立个性与艺术感。</t>
        </is>
      </c>
    </row>
    <row r="192" ht="25.5" customHeight="1">
      <c r="A192">
        <v>1839115443</v>
      </c>
      <c r="B192">
        <v>7601113864</v>
      </c>
      <c r="C192" t="inlineStr">
        <is>
          <t>https://weidian.com/item.html?itemID=7601113864</t>
        </is>
      </c>
      <c r="D192"/>
      <c r="E192" s="2" t="str">
        <f>=HYPERLINK("https://si.geilicdn.com/open1832946205-252808396-31cd00000197ea7bbc7f0aa043f9_1920_1280.jpg?w=640&amp;h=640", "https://si.geilicdn.com/open1832946205-252808396-31cd00000197ea7bbc7f0aa043f9_1920_1280.jpg?w=640&amp;h=640")</f>
        <v>https://si.geilicdn.com/open1832946205-252808396-31cd00000197ea7bbc7f0aa043f9_1920_1280.jpg?w=640&amp;h=640</v>
      </c>
      <c r="F192" t="inlineStr">
        <is>
          <t>Hoodies</t>
        </is>
      </c>
      <c r="G192" t="inlineStr">
        <is>
          <t>Chrome Hearts</t>
        </is>
      </c>
      <c r="H192" t="inlineStr">
        <is>
          <t>217.00</t>
        </is>
      </c>
      <c r="I192">
        <v>31.45</v>
      </c>
      <c r="J192" t="inlineStr">
        <is>
          <t>{"id":"chatcmpl-DWcIwEdXvo6pNAxPIV91io25ZaLPT","object":"chat.completion","created":1776666110,"model":"gpt-5-chat-latest","choices":[{"index":0,"message":{"role":"assistant","content":"Chrome Hearts Gray Graffiti Flame Unisex Hoodie","refusal":null,"annotations":[]},"logprobs":null,"finish_reason":"stop"}],"usage":{"prompt_tokens":595,"completion_tokens":10,"total_tokens":605,"prompt_tokens_details":{"cached_tokens":0,"audio_tokens":0},"completion_tokens_details":{"reasoning_tokens":0,"audio_tokens":0,"accepted_prediction_tokens":0,"rejected_prediction_tokens":0}},"service_tier":"default","system_fingerprint":"fp_ad66631dec"}</t>
        </is>
      </c>
      <c r="K192" t="inlineStr">
        <is>
          <t>Chrome Hearts Gray Graffiti Flame Unisex Hoodie</t>
        </is>
      </c>
      <c r="L192" t="inlineStr">
        <is>
          <t>{"choices":[{"finish_reason":"stop","index":0,"logprobs":null,"message":{"annotations":[],"content":"Chrome Hearts Gray Graffiti Flame Hoodie, premium cotton, hand-drawn lettering and sleeve flames fuse street art style, loose fit for men and women, bold American rebellious fashion.","refusal":null,"role":"assistant"}}],"created":1776658279,"id":"chatcmpl-DWaGdoz1eORdEhcJ3sebObqKMYSxa","model":"gpt-5-chat-latest","object":"chat.completion","service_tier":"default","system_fingerprint":"fp_ad66631dec","usage":{"completion_tokens":36,"completion_tokens_details":{"accepted_prediction_tokens":0,"audio_tokens":0,"reasoning_tokens":0,"rejected_prediction_tokens":0},"prompt_tokens":633,"prompt_tokens_details":{"audio_tokens":0,"cached_tokens":0},"total_tokens":669}}</t>
        </is>
      </c>
      <c r="M192" t="inlineStr">
        <is>
          <t>{"alt-svc":"h3=\":443\"; ma=2592000","apim-request-id":"96162d7a-5f33-4112-bf67-24946eaff58e","azureml-model-session":"d20260405234249-f9874baf","cache-control":"no-cache","connection":"close","content-length":"770","content-security-policy":"frame-ancestors 'self'","content-type":"application/json","date":"Mon, 20 Apr 2026 04:11:20 GMT","server":"nginx","skip-error-remapping":"true","strict-transport-security":"max-age=31536000; includeSubDomains; preload","via":"1.1 Caddy, 1.1 Caddy","x-api-request-id":"20260420121118885734800zw7JOrGs","x-content-type-options":"nosniff","x-frame-options":"SAMEORIGIN","x-ms-client-request-id":"Not-Set","x-ms-is-spilled-over":"false","x-ms-rai-invoked":"true","x-ms-region":"East US 2","x-new-api-version":"0.4.39","x-oneapi-request-id":"202604200411187656535868268d9d6OLI2a5nI","x-ratelimit-abusepenalty-active":"False","x-ratelimit-limit-requests":"3850","x-ratelimit-limit-tokens":"3850000","x-ratelimit-remaining-requests":"3849","x-ratelimit-remaining-tokens":"3848603","x-ratelimit-renewalperiod-requests":"60","x-ratelimit-renewalperiod-tokens":"60","x-ratelimit-reset-requests":"15","x-ratelimit-reset-tokens":"21","x-request-id":"e5c307df-5477-4e63-a79d-7dbb706d1192"}</t>
        </is>
      </c>
      <c r="N192" t="inlineStr">
        <is>
          <t>Chrome Hearts Gray Graffiti Flame Hoodie, premium cotton, hand-drawn lettering and sleeve flames fuse street art style, loose fit for men and women, bold American rebellious fashion.</t>
        </is>
      </c>
      <c r="O192" t="inlineStr">
        <is>
          <t>{"choices":[{"finish_reason":"stop","index":0,"logprobs":null,"message":{"annotations":[],"content":"Chrome Hearts, Hoodies, kakobuy, kakebuy2026, kekobuysheet, kakobuysheet2026, 2026kakobuy, kakobuyspreadsheeet, kakobuylink, kakebuylist, Kakobuy MEGA Spreadsheet, kakobuysheetfind, kakobuysheetfind2026, 2026kakobuysheetfind, kakobuysheet2026","refusal":null,"role":"assistant"}}],"created":1776668006,"id":"chatcmpl-DWcnWole7m9r3pHHMBvuBA0rSe0y4","model":"gpt-5-chat-latest","object":"chat.completion","service_tier":"default","system_fingerprint":"fp_ad66631dec","usage":{"completion_tokens":92,"completion_tokens_details":{"accepted_prediction_tokens":0,"audio_tokens":0,"reasoning_tokens":0,"rejected_prediction_tokens":0},"prompt_tokens":504,"prompt_tokens_details":{"audio_tokens":0,"cached_tokens":0},"total_tokens":596}}</t>
        </is>
      </c>
      <c r="P192" t="inlineStr">
        <is>
          <t>Chrome Hearts, Hoodies, kakobuy, kakebuy2026, kekobuysheet, kakobuysheet2026, 2026kakobuy, kakobuyspreadsheeet, kakobuylink, kakebuylist, Kakobuy MEGA Spreadsheet, kakobuysheetfind, kakobuysheetfind2026, 2026kakobuysheetfind, kakobuysheet2026</t>
        </is>
      </c>
      <c r="Q192" t="inlineStr">
        <is>
          <t>Streetwear, Gray, Unisex</t>
        </is>
      </c>
      <c r="R192" t="inlineStr">
        <is>
          <t>recvh6xFVjMmz0</t>
        </is>
      </c>
      <c r="S192" t="inlineStr">
        <is>
          <t>chrome-hearts-gray-graffiti-flame-hoodie-recvh6xfvjmmz0</t>
        </is>
      </c>
      <c r="T192"/>
      <c r="U192"/>
      <c r="V192"/>
      <c r="W192" t="inlineStr">
        <is>
          <t>{"id":"chatcmpl-DWZV4K3tN5ktZKojzFBZh0ab0GgPl","object":"chat.completion","created":1776655330,"model":"gpt-5-chat-latest","choices":[{"index":0,"message":{"role":"assistant","content":"Chrome Hearts：灰色涂鸦火焰连帽卫衣，优选纯棉材质，袖部火焰与手绘字母图腾融合街头艺术风，宽松版型兼具舒适与个性，男女皆宜，展现独立叛逆的美式潮流态度。","refusal":null,"annotations":[]},"logprobs":null,"finish_reason":"stop"}],"usage":{"prompt_tokens":1039,"completion_tokens":75,"total_tokens":1114,"prompt_tokens_details":{"cached_tokens":0,"audio_tokens":0},"completion_tokens_details":{"reasoning_tokens":0,"audio_tokens":0,"accepted_prediction_tokens":0,"rejected_prediction_tokens":0}},"service_tier":"default","system_fingerprint":"fp_ad66631dec"}</t>
        </is>
      </c>
      <c r="X192" t="inlineStr">
        <is>
          <t>Chrome Hearts：灰色涂鸦火焰连帽卫衣，优选纯棉材质，袖部火焰与手绘字母图腾融合街头艺术风，宽松版型兼具舒适与个性，男女皆宜，展现独立叛逆的美式潮流态度。</t>
        </is>
      </c>
    </row>
    <row r="193" ht="25.5" customHeight="1">
      <c r="A193">
        <v>1839115443</v>
      </c>
      <c r="B193">
        <v>7599132847</v>
      </c>
      <c r="C193" t="inlineStr">
        <is>
          <t>https://weidian.com/item.html?itemID=7599132847</t>
        </is>
      </c>
      <c r="D193"/>
      <c r="E193" s="2" t="str">
        <f>=HYPERLINK("https://si.geilicdn.com/open1832946205-252808396-5f0b000001975977ab4c0a23b4de_1278_1278.jpg?w=640&amp;h=640", "https://si.geilicdn.com/open1832946205-252808396-5f0b000001975977ab4c0a23b4de_1278_1278.jpg?w=640&amp;h=640")</f>
        <v>https://si.geilicdn.com/open1832946205-252808396-5f0b000001975977ab4c0a23b4de_1278_1278.jpg?w=640&amp;h=640</v>
      </c>
      <c r="F193" t="inlineStr">
        <is>
          <t>T-Shirts</t>
        </is>
      </c>
      <c r="G193" t="inlineStr">
        <is>
          <t>Louis Vuitton</t>
        </is>
      </c>
      <c r="H193" t="inlineStr">
        <is>
          <t>141.00</t>
        </is>
      </c>
      <c r="I193">
        <v>20.43</v>
      </c>
      <c r="J193" t="inlineStr">
        <is>
          <t>{"choices":[{"finish_reason":"stop","index":0,"logprobs":null,"message":{"annotations":[],"content":"Louis Vuitton White Graffiti Logo Cotton T-Shirt","refusal":null,"role":"assistant"}}],"created":1776666545,"id":"chatcmpl-DWcPxWIg6PMSgGHPIHHo6hkOmL23z","model":"gpt-5-chat-latest","object":"chat.completion","service_tier":"default","system_fingerprint":"fp_ad66631dec","usage":{"completion_tokens":10,"completion_tokens_details":{"accepted_prediction_tokens":0,"audio_tokens":0,"reasoning_tokens":0,"rejected_prediction_tokens":0},"prompt_tokens":876,"prompt_tokens_details":{"audio_tokens":0,"cached_tokens":0},"total_tokens":886}}</t>
        </is>
      </c>
      <c r="K193" t="inlineStr">
        <is>
          <t>Louis Vuitton White Graffiti Logo Cotton T-Shirt</t>
        </is>
      </c>
      <c r="L193" t="inlineStr">
        <is>
          <t>{"choices":[{"finish_reason":"stop","index":0,"logprobs":null,"message":{"annotations":[],"content":"Louis Vuitton white graffiti logo T-shirt made from premium cotton. Features LV print front and back with artistic brushstroke design. Unisex fit, breathable comfort for casual or street style.","refusal":null,"role":"assistant"}}],"created":1776658561,"id":"chatcmpl-DWaLBdZlujHelJ52mwAoRKnkN4Huk","model":"gpt-5-chat-latest","object":"chat.completion","service_tier":"default","system_fingerprint":"fp_ad66631dec","usage":{"completion_tokens":37,"completion_tokens_details":{"accepted_prediction_tokens":0,"audio_tokens":0,"reasoning_tokens":0,"rejected_prediction_tokens":0},"prompt_tokens":930,"prompt_tokens_details":{"audio_tokens":0,"cached_tokens":0},"total_tokens":967}}</t>
        </is>
      </c>
      <c r="M193" t="inlineStr">
        <is>
          <t>{"alt-svc":"h3=\":443\"; ma=2592000","apim-request-id":"88e5e262-2b5e-4ec3-9648-a100cfc6dd8d","azureml-model-session":"d20260402083108-57a85543","cache-control":"no-cache","connection":"close","content-length":"781","content-security-policy":"frame-ancestors 'self'","content-type":"application/json","date":"Mon, 20 Apr 2026 04:16:03 GMT","server":"nginx","skip-error-remapping":"true","strict-transport-security":"max-age=31536000; includeSubDomains; preload","via":"1.1 Caddy, 1.1 Caddy","x-api-request-id":"20260420121601419933647BHcdx9UU","x-content-type-options":"nosniff","x-frame-options":"SAMEORIGIN","x-ms-client-request-id":"Not-Set","x-ms-is-spilled-over":"false","x-ms-rai-invoked":"true","x-ms-region":"East US 2","x-new-api-version":"0.4.39","x-oneapi-request-id":"202604200416013300295818268d9d6VQ5PB20C","x-ratelimit-abusepenalty-active":"False","x-ratelimit-limit-requests":"3850","x-ratelimit-limit-tokens":"3850000","x-ratelimit-remaining-requests":"3849","x-ratelimit-remaining-tokens":"3848308","x-ratelimit-renewalperiod-requests":"60","x-ratelimit-renewalperiod-tokens":"60","x-ratelimit-reset-requests":"15","x-ratelimit-reset-tokens":"26","x-request-id":"e4caa165-502e-407e-a7d9-84c96bd402ce"}</t>
        </is>
      </c>
      <c r="N193" t="inlineStr">
        <is>
          <t>Louis Vuitton white graffiti logo T-shirt made from premium cotton. Features LV print front and back with artistic brushstroke design. Unisex fit, breathable comfort for casual or street style.</t>
        </is>
      </c>
      <c r="O193" t="inlineStr">
        <is>
          <t>{"choices":[{"finish_reason":"stop","index":0,"logprobs":null,"message":{"annotations":[],"content":"Louis Vuitton, T-Shirts, kakobuy, kakebuy2026, kekobuysheet, kakobuysheet2026, 2026kakobuy, kakobuyspreadsheeet, kakobuylink, kakebuylist, Kakobuy MEGA Spreadsheet, kakobuysheetfind, kakobuysheetfind2026, 2026kakobuysheetfind, kakobuysheet2026","refusal":null,"role":"assistant"}}],"created":1776667636,"id":"chatcmpl-DWchYwF09ysKg5lPWMtgV5FIPolH0","model":"gpt-5-chat-latest","object":"chat.completion","service_tier":"default","system_fingerprint":"fp_ad66631dec","usage":{"completion_tokens":92,"completion_tokens_details":{"accepted_prediction_tokens":0,"audio_tokens":0,"reasoning_tokens":0,"rejected_prediction_tokens":0},"prompt_tokens":783,"prompt_tokens_details":{"audio_tokens":0,"cached_tokens":0},"total_tokens":875}}</t>
        </is>
      </c>
      <c r="P193" t="inlineStr">
        <is>
          <t>Louis Vuitton, T-Shirts, kakobuy, kakebuy2026, kekobuysheet, kakobuysheet2026, 2026kakobuy, kakobuyspreadsheeet, kakobuylink, kakebuylist, Kakobuy MEGA Spreadsheet, kakobuysheetfind, kakobuysheetfind2026, 2026kakobuysheetfind, kakobuysheet2026</t>
        </is>
      </c>
      <c r="Q193" t="inlineStr">
        <is>
          <t>LV, White, Unisex, Streetwear</t>
        </is>
      </c>
      <c r="R193" t="inlineStr">
        <is>
          <t>recvh6xFVjb93T</t>
        </is>
      </c>
      <c r="S193" t="inlineStr">
        <is>
          <t>louis-vuitton-white-graffiti-logo-cotton-t-shirt-recvh6xfvjb93t</t>
        </is>
      </c>
      <c r="T193"/>
      <c r="U193"/>
      <c r="V193"/>
      <c r="W193" t="inlineStr">
        <is>
          <t>{"choices":[{"finish_reason":"stop","index":0,"logprobs":null,"message":{"annotations":[],"content":"Louis Vuitton：白色涂鸦标志短袖T恤，甄选高支纯棉面料，胸前与背后印有LV标志与艺术笔触设计，简约中彰显先锋艺术气质。中性版型，舒适透气，适合日常休闲与街头穿搭，展现奢侈品牌的现代摩登风格。","refusal":null,"role":"assistant"}}],"created":1776655319,"id":"chatcmpl-DWZUtQgG6iHHbnmTKUY7vxLI3NFrF","model":"gpt-5-chat-latest","object":"chat.completion","service_tier":"default","system_fingerprint":"fp_ad66631dec","usage":{"completion_tokens":91,"completion_tokens_details":{"accepted_prediction_tokens":0,"audio_tokens":0,"reasoning_tokens":0,"rejected_prediction_tokens":0},"prompt_tokens":1322,"prompt_tokens_details":{"audio_tokens":0,"cached_tokens":0},"total_tokens":1413}}</t>
        </is>
      </c>
      <c r="X193" t="inlineStr">
        <is>
          <t>Louis Vuitton：白色涂鸦标志短袖T恤，甄选高支纯棉面料，胸前与背后印有LV标志与艺术笔触设计，简约中彰显先锋艺术气质。中性版型，舒适透气，适合日常休闲与街头穿搭，展现奢侈品牌的现代摩登风格。</t>
        </is>
      </c>
    </row>
    <row r="194" ht="25.5" customHeight="1">
      <c r="A194">
        <v>1839115443</v>
      </c>
      <c r="B194">
        <v>7599156569</v>
      </c>
      <c r="C194" t="inlineStr">
        <is>
          <t>https://weidian.com/item.html?itemID=7599156569</t>
        </is>
      </c>
      <c r="D194"/>
      <c r="E194" s="2" t="str">
        <f>=HYPERLINK("https://si.geilicdn.com/open1832946205-252808396-5a9600000197e7f083170a23b4de_1920_1920.jpg?w=640&amp;h=640", "https://si.geilicdn.com/open1832946205-252808396-5a9600000197e7f083170a23b4de_1920_1920.jpg?w=640&amp;h=640")</f>
        <v>https://si.geilicdn.com/open1832946205-252808396-5a9600000197e7f083170a23b4de_1920_1920.jpg?w=640&amp;h=640</v>
      </c>
      <c r="F194" t="inlineStr">
        <is>
          <t>T-Shirts</t>
        </is>
      </c>
      <c r="G194" t="inlineStr">
        <is>
          <t>Ralph Lauren</t>
        </is>
      </c>
      <c r="H194" t="inlineStr">
        <is>
          <t>172.00</t>
        </is>
      </c>
      <c r="I194">
        <v>24.93</v>
      </c>
      <c r="J194" t="inlineStr">
        <is>
          <t>{"choices":[{"finish_reason":"stop","index":0,"logprobs":null,"message":{"annotations":[],"content":"Ralph Lauren Black Half Zip Cotton Sweatshirt Unisex","refusal":null,"role":"assistant"}}],"created":1776666639,"id":"chatcmpl-DWcRTKShBTIimqXBFSKiEe1kjQTso","model":"gpt-5-chat-latest","object":"chat.completion","service_tier":"default","system_fingerprint":"fp_ad66631dec","usage":{"completion_tokens":12,"completion_tokens_details":{"accepted_prediction_tokens":0,"audio_tokens":0,"reasoning_tokens":0,"rejected_prediction_tokens":0},"prompt_tokens":879,"prompt_tokens_details":{"audio_tokens":0,"cached_tokens":0},"total_tokens":891}}</t>
        </is>
      </c>
      <c r="K194" t="inlineStr">
        <is>
          <t>Ralph Lauren Black Half Zip Cotton Sweatshirt Unisex</t>
        </is>
      </c>
      <c r="L194" t="inlineStr">
        <is>
          <t>{"choices":[{"finish_reason":"stop","index":0,"logprobs":null,"message":{"annotations":[],"content":"Ralph Lauren classic black half-zip pullover sweatshirt made from soft cotton knit, featuring iconic red pony embroidery, stand collar, unisex design for cozy everyday and urban casual style.","refusal":null,"role":"assistant"}}],"created":1776658742,"id":"chatcmpl-DWaO61W1AZOdo55zoIS3J1N2Z1ck5","model":"gpt-5-chat-latest","object":"chat.completion","service_tier":"default","system_fingerprint":"fp_ad66631dec","usage":{"completion_tokens":38,"completion_tokens_details":{"accepted_prediction_tokens":0,"audio_tokens":0,"reasoning_tokens":0,"rejected_prediction_tokens":0},"prompt_tokens":918,"prompt_tokens_details":{"audio_tokens":0,"cached_tokens":0},"total_tokens":956}}</t>
        </is>
      </c>
      <c r="M194" t="inlineStr">
        <is>
          <t>{"alt-svc":"h3=\":443\"; ma=2592000","apim-request-id":"f8aabc2c-bae1-4fcd-ba1b-a396f748784d","azureml-model-session":"d20260405212659-a9daa006","cache-control":"no-cache","connection":"close","content-length":"779","content-security-policy":"frame-ancestors 'self'","content-type":"application/json","date":"Mon, 20 Apr 2026 04:19:03 GMT","server":"Caddy","skip-error-remapping":"true","strict-transport-security":"max-age=31536000; includeSubDomains; preload","via":"1.1 Caddy","x-api-request-id":"20260420121902158125462iCgHAs4Z","x-content-type-options":"nosniff","x-frame-options":"SAMEORIGIN","x-ms-client-request-id":"Not-Set","x-ms-is-spilled-over":"false","x-ms-rai-invoked":"true","x-ms-region":"East US 2","x-new-api-version":"0.4.39","x-oneapi-request-id":"20260420041902105437488268d9d6DPAye9ZP","x-ratelimit-abusepenalty-active":"False","x-ratelimit-limit-requests":"3850","x-ratelimit-limit-tokens":"3850000","x-ratelimit-remaining-requests":"3849","x-ratelimit-remaining-tokens":"3848320","x-ratelimit-renewalperiod-requests":"60","x-ratelimit-renewalperiod-tokens":"60","x-ratelimit-reset-requests":"15","x-ratelimit-reset-tokens":"26","x-request-id":"06b7991e-cfae-418b-a8e4-83ecbb019a27"}</t>
        </is>
      </c>
      <c r="N194" t="inlineStr">
        <is>
          <t>Ralph Lauren classic black half-zip pullover sweatshirt made from soft cotton knit, featuring iconic red pony embroidery, stand collar, unisex design for cozy everyday and urban casual style.</t>
        </is>
      </c>
      <c r="O194" t="inlineStr">
        <is>
          <t>{"choices":[{"finish_reason":"stop","index":0,"logprobs":null,"message":{"annotations":[],"content":"Ralph Lauren, Sweatshirt, kakobuy, kakebuy2026, kekobuysheet, kakobuysheet2026, 2026kakobuy, kakobuyspreadsheeet, kakobuylink, kakebuylist, Kakobuy MEGA Spreadsheet, kakobuysheetfind, kakobuysheetfind2026, 2026kakobuysheetfind, kakobuysheet2026","refusal":null,"role":"assistant"}}],"created":1776667662,"id":"chatcmpl-DWchyG2wjv2CKLeKAmrquSvh4ohzI","model":"gpt-5-chat-latest","object":"chat.completion","service_tier":"default","system_fingerprint":"fp_ad66631dec","usage":{"completion_tokens":93,"completion_tokens_details":{"accepted_prediction_tokens":0,"audio_tokens":0,"reasoning_tokens":0,"rejected_prediction_tokens":0},"prompt_tokens":784,"prompt_tokens_details":{"audio_tokens":0,"cached_tokens":0},"total_tokens":877}}</t>
        </is>
      </c>
      <c r="P194" t="inlineStr">
        <is>
          <t>Ralph Lauren, Sweatshirt, kakobuy, kakebuy2026, kekobuysheet, kakobuysheet2026, 2026kakobuy, kakobuyspreadsheeet, kakobuylink, kakebuylist, Kakobuy MEGA Spreadsheet, kakobuysheetfind, kakobuysheetfind2026, 2026kakobuysheetfind, kakobuysheet2026</t>
        </is>
      </c>
      <c r="Q194" t="inlineStr">
        <is>
          <t>Black, Knit, Unisex</t>
        </is>
      </c>
      <c r="R194" t="inlineStr">
        <is>
          <t>recvh6xFVjGKNv</t>
        </is>
      </c>
      <c r="S194" t="inlineStr">
        <is>
          <t>ralph-lauren-black-half-zip-cotton-sweatshirt-unisex-recvh6xfvjgknv</t>
        </is>
      </c>
      <c r="T194"/>
      <c r="U194"/>
      <c r="V194"/>
      <c r="W194" t="inlineStr">
        <is>
          <t>{"choices":[{"finish_reason":"stop","index":0,"logprobs":null,"message":{"annotations":[],"content":"Ralph Lauren：经典黑色半拉链套头卫衣，甄选柔软棉质针织面料，胸前红色骑士标刺绣彰显品牌格调，简约立领设计展现美式学院休闲风，男女皆宜，舒适保暖，适合日常休闲与都市穿搭。","refusal":null,"role":"assistant"}}],"created":1776655983,"id":"chatcmpl-DWZfbNzqmRweJ4sYmYQlvaGnuxuqy","model":"gpt-5-chat-latest","object":"chat.completion","service_tier":"default","system_fingerprint":"fp_ad66631dec","usage":{"completion_tokens":79,"completion_tokens_details":{"accepted_prediction_tokens":0,"audio_tokens":0,"reasoning_tokens":0,"rejected_prediction_tokens":0},"prompt_tokens":1323,"prompt_tokens_details":{"audio_tokens":0,"cached_tokens":0},"total_tokens":1402}}</t>
        </is>
      </c>
      <c r="X194" t="inlineStr">
        <is>
          <t>Ralph Lauren：经典黑色半拉链套头卫衣，甄选柔软棉质针织面料，胸前红色骑士标刺绣彰显品牌格调，简约立领设计展现美式学院休闲风，男女皆宜，舒适保暖，适合日常休闲与都市穿搭。</t>
        </is>
      </c>
    </row>
    <row r="195" ht="25.5" customHeight="1">
      <c r="A195">
        <v>1839115443</v>
      </c>
      <c r="B195">
        <v>7601086206</v>
      </c>
      <c r="C195" t="inlineStr">
        <is>
          <t>https://weidian.com/item.html?itemID=7601086206</t>
        </is>
      </c>
      <c r="D195"/>
      <c r="E195" s="2" t="str">
        <f>=HYPERLINK("https://si.geilicdn.com/open1832946205-252808396-7f8500000197ef06eb4e0a23b4de_800_800.jpg?w=640&amp;h=640", "https://si.geilicdn.com/open1832946205-252808396-7f8500000197ef06eb4e0a23b4de_800_800.jpg?w=640&amp;h=640")</f>
        <v>https://si.geilicdn.com/open1832946205-252808396-7f8500000197ef06eb4e0a23b4de_800_800.jpg?w=640&amp;h=640</v>
      </c>
      <c r="F195" t="inlineStr">
        <is>
          <t>Hoodies</t>
        </is>
      </c>
      <c r="G195" t="inlineStr">
        <is>
          <t>Thug Club</t>
        </is>
      </c>
      <c r="H195" t="inlineStr">
        <is>
          <t>295.00</t>
        </is>
      </c>
      <c r="I195">
        <v>42.75</v>
      </c>
      <c r="J195" t="inlineStr">
        <is>
          <t>{"id":"chatcmpl-DWcR5vuzFW4KN39A2ZY66AOY9FKz8","object":"chat.completion","created":1776666615,"model":"gpt-5-chat-latest","choices":[{"index":0,"message":{"role":"assistant","content":"Thug Club 3D Tech Heavy Cotton Zip Hoodie","refusal":null,"annotations":[]},"logprobs":null,"finish_reason":"stop"}],"usage":{"prompt_tokens":892,"completion_tokens":12,"total_tokens":904,"prompt_tokens_details":{"cached_tokens":0,"audio_tokens":0},"completion_tokens_details":{"reasoning_tokens":0,"audio_tokens":0,"accepted_prediction_tokens":0,"rejected_prediction_tokens":0}},"service_tier":"default","system_fingerprint":"fp_ad66631dec"}</t>
        </is>
      </c>
      <c r="K195" t="inlineStr">
        <is>
          <t>Thug Club 3D Tech Heavy Cotton Zip Hoodie</t>
        </is>
      </c>
      <c r="L195" t="inlineStr">
        <is>
          <t>{"id":"chatcmpl-DWaGYQS8Re9QcmhxedU3dhhkPBIEV","object":"chat.completion","created":1776658274,"model":"gpt-5-chat-latest","choices":[{"index":0,"message":{"role":"assistant","content":"Thug Club black zip hoodie made of heavy cotton with soft breathable feel, 3D tech-cut design, metal eyelet hood, TC logo, unisex streetwear for autumn winter urban style and futuristic comfort.","refusal":null,"annotations":[]},"logprobs":null,"finish_reason":"stop"}],"usage":{"prompt_tokens":963,"completion_tokens":44,"total_tokens":1007,"prompt_tokens_details":{"cached_tokens":0,"audio_tokens":0},"completion_tokens_details":{"reasoning_tokens":0,"audio_tokens":0,"accepted_prediction_tokens":0,"rejected_prediction_tokens":0}},"service_tier":"default","system_fingerprint":"fp_ad66631dec"}</t>
        </is>
      </c>
      <c r="M195"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ma=2592000","apim-request-id":"002cb777-7759-466f-9269-cf6a7d48e855","azureml-model-session":"d20260402083108-57a85543","cache-control":"no-cache, no-store, must-revalidate","connection":"close","content-length":"999","content-security-policy":"frame-ancestors 'self'","content-type":"application/json","date":"Mon, 20 Apr 2026 04:11:16 GMT","server":"nginx","skip-error-remapping":"true","strict-transport-security":"max-age=31536000; includeSubDomains; preload","via":"1.1 Caddy, 1.1 Caddy","x-api-request-id":"20260420121112967687319cnM1Uj2k","x-content-type-options":"nosniff","x-frame-options":"SAMEORIGIN","x-ms-is-spilled-over":"false","x-ms-rai-invoked":"false","x-ms-region":"Sweden Central","x-new-api-version":"0.4.39","x-oneapi-request-id":"202604200411127262666178268d9d6d4Ntlk9f","x-ratelimit-abusepenalty-active":"False","x-ratelimit-limit-requests":"4993","x-ratelimit-limit-tokens":"4993000","x-ratelimit-remaining-requests":"4992","x-ratelimit-remaining-tokens":"4991275","x-ratelimit-renewalperiod-requests":"60","x-ratelimit-renewalperiod-tokens":"60","x-ratelimit-reset-requests":"12","x-ratelimit-reset-tokens":"20","x-request-id":"a926f79b-e707-4e74-8f6b-ae70fb6e25bc"}</t>
        </is>
      </c>
      <c r="N195" t="inlineStr">
        <is>
          <t>Thug Club black zip hoodie made of heavy cotton with soft breathable feel, 3D tech-cut design, metal eyelet hood, TC logo, unisex streetwear for autumn winter urban style and futuristic comfort.</t>
        </is>
      </c>
      <c r="O195" t="inlineStr">
        <is>
          <t>{"choices":[{"finish_reason":"stop","index":0,"logprobs":null,"message":{"annotations":[],"content":"HoodiesThug Club,Hoodies,kakobuy,kakebuy2026,kekobuysheet,kakobuysheet2026,2026kakobuy,kakobuyspreadsheeet,kakobuylink,kakebuylist,Kakobuy MEGA Spreadsheet,kakobuysheetfind,kakobuysheetfind2026,2026kakobuysheetfind,kakobuysheet2026","refusal":null,"role":"assistant"}}],"created":1776668026,"id":"chatcmpl-DWcnqvspHqOiDRL97xG1lC4lrwRUs","model":"gpt-5-chat-latest","object":"chat.completion","service_tier":"default","system_fingerprint":"fp_ad66631dec","usage":{"completion_tokens":92,"completion_tokens_details":{"accepted_prediction_tokens":0,"audio_tokens":0,"reasoning_tokens":0,"rejected_prediction_tokens":0},"prompt_tokens":785,"prompt_tokens_details":{"audio_tokens":0,"cached_tokens":0},"total_tokens":877}}</t>
        </is>
      </c>
      <c r="P195" t="inlineStr">
        <is>
          <t>HoodiesThug Club,Hoodies,kakobuy,kakebuy2026,kekobuysheet,kakobuysheet2026,2026kakobuy,kakobuyspreadsheeet,kakobuylink,kakebuylist,Kakobuy MEGA Spreadsheet,kakobuysheetfind,kakobuysheetfind2026,2026kakobuysheetfind,kakobuysheet2026</t>
        </is>
      </c>
      <c r="Q195" t="inlineStr">
        <is>
          <t>Black, Unisex, Streetwear, Autumn And Winter, Breathable</t>
        </is>
      </c>
      <c r="R195" t="inlineStr">
        <is>
          <t>recvh6xFVjnTnw</t>
        </is>
      </c>
      <c r="S195" t="inlineStr">
        <is>
          <t>thug-club-3d-tech-hoodie-recvh6xfvjntnw</t>
        </is>
      </c>
      <c r="T195"/>
      <c r="U195"/>
      <c r="V195"/>
      <c r="W195" t="inlineStr">
        <is>
          <t>{"id":"chatcmpl-DWZk7twLQFu6l2Z2pYSNsWzF2gi2p","object":"chat.completion","created":1776656263,"model":"gpt-5-chat-latest","choices":[{"index":0,"message":{"role":"assistant","content":"Thug Club：黑色拉链连帽卫衣，采用高克重纯棉面料，触感柔软透气。整体呈机能剪裁，立体拼接线条展现未来感廓形，帽部配有金属透气孔设计，兼具造型与功能。胸前“TC”字母标识低调彰显品牌个性，男女皆宜。街头机能风格与都市潮流完美融合，适合秋冬日常穿搭，展现独立与前卫态度。","refusal":null,"annotations":[]},"logprobs":null,"finish_reason":"stop"}],"usage":{"prompt_tokens":1322,"completion_tokens":124,"total_tokens":1446,"prompt_tokens_details":{"cached_tokens":1280,"audio_tokens":0},"completion_tokens_details":{"reasoning_tokens":0,"audio_tokens":0,"accepted_prediction_tokens":0,"rejected_prediction_tokens":0}},"service_tier":"default","system_fingerprint":"fp_ad66631dec"}</t>
        </is>
      </c>
      <c r="X195" t="inlineStr">
        <is>
          <t>Thug Club：黑色拉链连帽卫衣，采用高克重纯棉面料，触感柔软透气。整体呈机能剪裁，立体拼接线条展现未来感廓形，帽部配有金属透气孔设计，兼具造型与功能。胸前“TC”字母标识低调彰显品牌个性，男女皆宜。街头机能风格与都市潮流完美融合，适合秋冬日常穿搭，展现独立与前卫态度。</t>
        </is>
      </c>
    </row>
    <row r="196" ht="25.5" customHeight="1">
      <c r="A196">
        <v>1839115443</v>
      </c>
      <c r="B196">
        <v>7692701981</v>
      </c>
      <c r="C196" t="inlineStr">
        <is>
          <t>https://weidian.com/item.html?itemID=7692701981</t>
        </is>
      </c>
      <c r="D196"/>
      <c r="E196" s="2" t="str">
        <f>=HYPERLINK("https://si.geilicdn.com/open1839115443-252808396-6cb80000019c4fdc0d4b0a231226_1284_1284.jpg?w=750&amp;h=750&amp;cp=1", "https://si.geilicdn.com/open1839115443-252808396-6cb80000019c4fdc0d4b0a231226_1284_1284.jpg?w=750&amp;h=750&amp;cp=1")</f>
        <v>https://si.geilicdn.com/open1839115443-252808396-6cb80000019c4fdc0d4b0a231226_1284_1284.jpg?w=750&amp;h=750&amp;cp=1</v>
      </c>
      <c r="F196" t="inlineStr">
        <is>
          <t>T-Shirts</t>
        </is>
      </c>
      <c r="G196" t="inlineStr">
        <is>
          <t>Other</t>
        </is>
      </c>
      <c r="H196" t="inlineStr">
        <is>
          <t>54.00</t>
        </is>
      </c>
      <c r="I196">
        <v>7.83</v>
      </c>
      <c r="J196" t="inlineStr">
        <is>
          <t>{"id":"chatcmpl-DWcPeB0VlSFDDUwK8mkESIe6752S6","object":"chat.completion","created":1776666526,"model":"gpt-5-chat-latest","choices":[{"index":0,"message":{"role":"assistant","content":"POHCK White Music Headphone Cotton T-Shirt","refusal":null,"annotations":[]},"logprobs":null,"finish_reason":"stop"}],"usage":{"prompt_tokens":865,"completion_tokens":11,"total_tokens":876,"prompt_tokens_details":{"cached_tokens":0,"audio_tokens":0},"completion_tokens_details":{"reasoning_tokens":0,"audio_tokens":0,"accepted_prediction_tokens":0,"rejected_prediction_tokens":0}},"service_tier":"default","system_fingerprint":"fp_ad66631dec"}</t>
        </is>
      </c>
      <c r="K196" t="inlineStr">
        <is>
          <t>POHCK White Music Headphone Cotton T-Shirt</t>
        </is>
      </c>
      <c r="L196" t="inlineStr">
        <is>
          <t>{"id":"chatcmpl-DWaV6OVnNJma1JVSA0MaSRT4Tk1Di","object":"chat.completion","created":1776659176,"model":"gpt-5-chat-latest","choices":[{"index":0,"message":{"role":"assistant","content":"POHCK White Street Style Printed T-Shirt, soft pure cotton with headphone and signature art design, unisex casual wear for music lovers and daily outfits.","refusal":null,"annotations":[]},"logprobs":null,"finish_reason":"stop"}],"usage":{"prompt_tokens":901,"completion_tokens":32,"total_tokens":933,"prompt_tokens_details":{"cached_tokens":0,"audio_tokens":0},"completion_tokens_details":{"reasoning_tokens":0,"audio_tokens":0,"accepted_prediction_tokens":0,"rejected_prediction_tokens":0}},"service_tier":"default","system_fingerprint":"fp_ad66631dec"}</t>
        </is>
      </c>
      <c r="M196"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ma=2592000","apim-request-id":"617c094f-e567-43c1-8ec0-9b784a4758ac","azureml-model-session":"d20260402075109-1fc5a0ec","cache-control":"no-cache, no-store, must-revalidate","connection":"close","content-length":"958","content-security-policy":"frame-ancestors 'self'","content-type":"application/json","date":"Mon, 20 Apr 2026 04:26:17 GMT","server":"Caddy","skip-error-remapping":"true","strict-transport-security":"max-age=31536000; includeSubDomains; preload","via":"1.1 Caddy","x-api-request-id":"20260420122615685869362l9eyaHoA","x-content-type-options":"nosniff","x-frame-options":"SAMEORIGIN","x-ms-is-spilled-over":"false","x-ms-rai-invoked":"false","x-ms-region":"East US 2","x-new-api-version":"0.4.39","x-oneapi-request-id":"202604200426156174623388268d9d6ZRcb8isA","x-ratelimit-abusepenalty-active":"False","x-ratelimit-limit-requests":"4994","x-ratelimit-limit-tokens":"4994000","x-ratelimit-remaining-requests":"4993","x-ratelimit-remaining-tokens":"4992337","x-ratelimit-renewalperiod-requests":"60","x-ratelimit-renewalperiod-tokens":"60","x-ratelimit-reset-requests":"12","x-ratelimit-reset-tokens":"19","x-request-id":"87841f86-f2e4-419c-a293-f4c19ad4a70c"}</t>
        </is>
      </c>
      <c r="N196" t="inlineStr">
        <is>
          <t>POHCK White Street Style Printed T-Shirt, soft pure cotton with headphone and signature art design, unisex casual wear for music lovers and daily outfits.</t>
        </is>
      </c>
      <c r="O196" t="inlineStr">
        <is>
          <t>{"choices":[{"finish_reason":"stop","index":0,"logprobs":null,"message":{"annotations":[],"content":"Pollock,T-Shirts,kakobuy,kakebuy2026,kekobuysheet,kakobuysheet2026,2026kakobuy,kakobuyspreadsheeet,kakobuylink,kakebuylist,Kakobuy MEGA Spreadsheet,kakobuysheetfind,kakobuysheetfind2026,2026kakobuysheetfind,kakobuysheet2026","refusal":null,"role":"assistant"}}],"created":1776667286,"id":"chatcmpl-DWcbuzP9AHAm8M4ZnUYR5768HOfOK","model":"gpt-5-chat-latest","object":"chat.completion","service_tier":"default","system_fingerprint":"fp_ad66631dec","usage":{"completion_tokens":87,"completion_tokens_details":{"accepted_prediction_tokens":0,"audio_tokens":0,"reasoning_tokens":0,"rejected_prediction_tokens":0},"prompt_tokens":782,"prompt_tokens_details":{"audio_tokens":0,"cached_tokens":0},"total_tokens":869}}</t>
        </is>
      </c>
      <c r="P196" t="inlineStr">
        <is>
          <t>Pollock,T-Shirts,kakobuy,kakebuy2026,kekobuysheet,kakobuysheet2026,2026kakobuy,kakobuyspreadsheeet,kakobuylink,kakebuylist,Kakobuy MEGA Spreadsheet,kakobuysheetfind,kakobuysheetfind2026,2026kakobuysheetfind,kakobuysheet2026</t>
        </is>
      </c>
      <c r="Q196" t="inlineStr">
        <is>
          <t>White, Unisex, Street, Streetwear</t>
        </is>
      </c>
      <c r="R196" t="inlineStr">
        <is>
          <t>recvh6xFVjynvk</t>
        </is>
      </c>
      <c r="S196" t="inlineStr">
        <is>
          <t>pohck-white-music-headphone-cotton-t-shirt-recvh6xfvjynvk</t>
        </is>
      </c>
      <c r="T196"/>
      <c r="U196"/>
      <c r="V196"/>
      <c r="W196" t="inlineStr">
        <is>
          <t>{"id":"chatcmpl-DWZaUepCdozmJdTaYYce8YYkZyCgl","object":"chat.completion","created":1776655666,"model":"gpt-5-chat-latest","choices":[{"index":0,"message":{"role":"assistant","content":"白色街头系列印花T恤，柔软纯棉面料打造，背部耳机与手绘签名图腾设计，潮流艺术风格，男女皆宜，适合日常休闲与音乐文化爱好者穿搭。","refusal":null,"annotations":[]},"logprobs":null,"finish_reason":"stop"}],"usage":{"prompt_tokens":1327,"completion_tokens":59,"total_tokens":1386,"prompt_tokens_details":{"cached_tokens":0,"audio_tokens":0},"completion_tokens_details":{"reasoning_tokens":0,"audio_tokens":0,"accepted_prediction_tokens":0,"rejected_prediction_tokens":0}},"service_tier":"default","system_fingerprint":"fp_ad66631dec"}</t>
        </is>
      </c>
      <c r="X196" t="inlineStr">
        <is>
          <t>白色街头系列印花T恤，柔软纯棉面料打造，背部耳机与手绘签名图腾设计，潮流艺术风格，男女皆宜，适合日常休闲与音乐文化爱好者穿搭。</t>
        </is>
      </c>
    </row>
    <row r="197" ht="25.5" customHeight="1">
      <c r="A197">
        <v>1839115443</v>
      </c>
      <c r="B197">
        <v>7599231765</v>
      </c>
      <c r="C197" t="inlineStr">
        <is>
          <t>https://weidian.com/item.html?itemID=7599231765</t>
        </is>
      </c>
      <c r="D197"/>
      <c r="E197" s="2" t="str">
        <f>=HYPERLINK("https://si.geilicdn.com/open1832946205-252808396-365100000197f3a898c20a231226_1200_1200.jpg?w=750&amp;h=750&amp;cp=1", "https://si.geilicdn.com/open1832946205-252808396-365100000197f3a898c20a231226_1200_1200.jpg?w=750&amp;h=750&amp;cp=1")</f>
        <v>https://si.geilicdn.com/open1832946205-252808396-365100000197f3a898c20a231226_1200_1200.jpg?w=750&amp;h=750&amp;cp=1</v>
      </c>
      <c r="F197" t="inlineStr">
        <is>
          <t>Jackets</t>
        </is>
      </c>
      <c r="G197" t="inlineStr">
        <is>
          <t>Stone Island</t>
        </is>
      </c>
      <c r="H197" t="inlineStr">
        <is>
          <t>392.00</t>
        </is>
      </c>
      <c r="I197">
        <v>56.81</v>
      </c>
      <c r="J197" t="inlineStr">
        <is>
          <t>{"id":"chatcmpl-DWcFD72zChmDDErj5Sx2329soIXmc","object":"chat.completion","created":1776665879,"model":"gpt-5-chat-latest","choices":[{"index":0,"message":{"role":"assistant","content":"Stone Island Black Waterproof Tech Hooded Jacket","refusal":null,"annotations":[]},"logprobs":null,"finish_reason":"stop"}],"usage":{"prompt_tokens":886,"completion_tokens":9,"total_tokens":895,"prompt_tokens_details":{"cached_tokens":0,"audio_tokens":0},"completion_tokens_details":{"reasoning_tokens":0,"audio_tokens":0,"accepted_prediction_tokens":0,"rejected_prediction_tokens":0}},"service_tier":"default","system_fingerprint":"fp_ad66631dec"}</t>
        </is>
      </c>
      <c r="K197" t="inlineStr">
        <is>
          <t>Stone Island Black Waterproof Tech Hooded Jacket</t>
        </is>
      </c>
      <c r="L197" t="inlineStr">
        <is>
          <t>{"choices":[{"finish_reason":"stop","index":0,"logprobs":null,"message":{"annotations":[],"content":"Stone Island Black Tech Windproof Jacket – high-density nylon fabric, waterproof and structured feel. Iconic compass badge, hooded stand collar, adjustable drawstring, multi-pocket design. Unisex urban style.","refusal":null,"role":"assistant"}}],"created":1776659350,"id":"chatcmpl-DWaXuNVnTAXNZa2CbsP6B8QXNxinw","model":"gpt-5-chat-latest","object":"chat.completion","service_tier":"default","system_fingerprint":"fp_ad66631dec","usage":{"completion_tokens":42,"completion_tokens_details":{"accepted_prediction_tokens":0,"audio_tokens":0,"reasoning_tokens":0,"rejected_prediction_tokens":0},"prompt_tokens":931,"prompt_tokens_details":{"audio_tokens":0,"cached_tokens":0},"total_tokens":973}}</t>
        </is>
      </c>
      <c r="M197" t="inlineStr">
        <is>
          <t>{"alt-svc":"h3=\":443\"; ma=2592000","apim-request-id":"2c067e20-3975-413b-a838-b5a940d7220f","azureml-model-session":"d20260405212659-a9daa006","cache-control":"no-cache","connection":"close","content-length":"798","content-security-policy":"frame-ancestors 'self'","content-type":"application/json","date":"Mon, 20 Apr 2026 04:29:11 GMT","server":"nginx","skip-error-remapping":"true","strict-transport-security":"max-age=31536000; includeSubDomains; preload","via":"1.1 Caddy, 1.1 Caddy","x-api-request-id":"20260420122908824696179J7v8RYWg","x-content-type-options":"nosniff","x-frame-options":"SAMEORIGIN","x-ms-client-request-id":"Not-Set","x-ms-is-spilled-over":"false","x-ms-rai-invoked":"true","x-ms-region":"East US 2","x-new-api-version":"0.4.39","x-oneapi-request-id":"202604200429087571834768268d9d62rBfWI8b","x-ratelimit-abusepenalty-active":"False","x-ratelimit-limit-requests":"3850","x-ratelimit-limit-tokens":"3850000","x-ratelimit-remaining-requests":"3849","x-ratelimit-remaining-tokens":"3848307","x-ratelimit-renewalperiod-requests":"60","x-ratelimit-renewalperiod-tokens":"60","x-ratelimit-reset-requests":"15","x-ratelimit-reset-tokens":"26","x-request-id":"ddd68d5c-25c6-4916-88eb-7008e7d0ac51"}</t>
        </is>
      </c>
      <c r="N197" t="inlineStr">
        <is>
          <t>Stone Island Black Tech Windproof Jacket – high-density nylon fabric, waterproof and structured feel. Iconic compass badge, hooded stand collar, adjustable drawstring, multi-pocket design. Unisex urban style.</t>
        </is>
      </c>
      <c r="O197" t="inlineStr">
        <is>
          <t>{"choices":[{"finish_reason":"stop","index":0,"logprobs":null,"message":{"annotations":[],"content":"Stone Island, Jackets, kakobuy, kakebuy2026, kekobuysheet, kakobuysheet2026, 2026kakobuy, kakobuyspreadsheeet, kakobuylink, kakebuylist, Kakobuy MEGA Spreadsheet, kakobuysheetfind, kakobuysheetfind2026, 2026kakobuysheetfind, kakobuysheet2026","refusal":null,"role":"assistant"}}],"created":1776668498,"id":"chatcmpl-DWcvSGGnsWeG3P6bBZjHWsFIDTXor","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is>
      </c>
      <c r="P197" t="inlineStr">
        <is>
          <t>Stone Island, Jackets, kakobuy, kakebuy2026, kekobuysheet, kakobuysheet2026, 2026kakobuy, kakobuyspreadsheeet, kakobuylink, kakebuylist, Kakobuy MEGA Spreadsheet, kakobuysheetfind, kakobuysheetfind2026, 2026kakobuysheetfind, kakobuysheet2026</t>
        </is>
      </c>
      <c r="Q197" t="inlineStr">
        <is>
          <t>Unisex, Windproof, Waterproof, Nylon, Black</t>
        </is>
      </c>
      <c r="R197" t="inlineStr">
        <is>
          <t>recvh6xFVj0ncW</t>
        </is>
      </c>
      <c r="S197" t="inlineStr">
        <is>
          <t>stone-island-black-waterproof-tech-hooded-jacket-recvh6xFVj0ncW</t>
        </is>
      </c>
      <c r="T197"/>
      <c r="U197"/>
      <c r="V197"/>
      <c r="W197" t="inlineStr">
        <is>
          <t>{"id":"chatcmpl-DWZRNW6HKIYwruo9rCkQZqCuMh2QF","object":"chat.completion","created":1776655101,"model":"gpt-5-chat-latest","choices":[{"index":0,"message":{"role":"assistant","content":"Stone Island：黑色科技防风夹克，采用高密度尼龙面料，质感挺括防水。左臂标志性罗盘徽章彰显品牌辨识度，立领连帽设计结合可调抽绳与多口袋结构，实用与时尚兼具。都市机能风格，男女皆宜，适合秋冬出行与休闲穿搭。","refusal":null,"annotations":[]},"logprobs":null,"finish_reason":"stop"}],"usage":{"prompt_tokens":1322,"completion_tokens":92,"total_tokens":1414,"prompt_tokens_details":{"cached_tokens":0,"audio_tokens":0},"completion_tokens_details":{"reasoning_tokens":0,"audio_tokens":0,"accepted_prediction_tokens":0,"rejected_prediction_tokens":0}},"service_tier":"default","system_fingerprint":"fp_ad66631dec"}</t>
        </is>
      </c>
      <c r="X197" t="inlineStr">
        <is>
          <t>Stone Island：黑色科技防风夹克，采用高密度尼龙面料，质感挺括防水。左臂标志性罗盘徽章彰显品牌辨识度，立领连帽设计结合可调抽绳与多口袋结构，实用与时尚兼具。都市机能风格，男女皆宜，适合秋冬出行与休闲穿搭。</t>
        </is>
      </c>
    </row>
    <row r="198" ht="25.5" customHeight="1">
      <c r="A198">
        <v>1839115443</v>
      </c>
      <c r="B198">
        <v>7599162629</v>
      </c>
      <c r="C198" t="inlineStr">
        <is>
          <t>https://weidian.com/item.html?itemID=7599162629</t>
        </is>
      </c>
      <c r="D198"/>
      <c r="E198" s="2" t="str">
        <f>=HYPERLINK("https://si.geilicdn.com/open1832946205-252808396-38ab000001988e85d5e80a231226_800_800.jpg?w=640&amp;h=640", "https://si.geilicdn.com/open1832946205-252808396-38ab000001988e85d5e80a231226_800_800.jpg?w=640&amp;h=640")</f>
        <v>https://si.geilicdn.com/open1832946205-252808396-38ab000001988e85d5e80a231226_800_800.jpg?w=640&amp;h=640</v>
      </c>
      <c r="F198" t="inlineStr">
        <is>
          <t>Pants</t>
        </is>
      </c>
      <c r="G198" t="inlineStr">
        <is>
          <t>Essentials</t>
        </is>
      </c>
      <c r="H198" t="inlineStr">
        <is>
          <t>131.00</t>
        </is>
      </c>
      <c r="I198">
        <v>18.99</v>
      </c>
      <c r="J198" t="inlineStr">
        <is>
          <t>{"choices":[{"finish_reason":"stop","index":0,"logprobs":null,"message":{"annotations":[],"content":"Essentials Beige Cotton Blend Sweatpants Unisex","refusal":null,"role":"assistant"}}],"created":1776666218,"id":"chatcmpl-DWcKgrvhbOPqSbGDn6HBIiNgK8fLz","model":"gpt-5-chat-latest","object":"chat.completion","service_tier":"default","system_fingerprint":"fp_ad66631dec","usage":{"completion_tokens":10,"completion_tokens_details":{"accepted_prediction_tokens":0,"audio_tokens":0,"reasoning_tokens":0,"rejected_prediction_tokens":0},"prompt_tokens":882,"prompt_tokens_details":{"audio_tokens":0,"cached_tokens":0},"total_tokens":892}}</t>
        </is>
      </c>
      <c r="K198" t="inlineStr">
        <is>
          <t>Essentials Beige Cotton Blend Sweatpants Unisex</t>
        </is>
      </c>
      <c r="L198" t="inlineStr">
        <is>
          <t>{"choices":[{"finish_reason":"stop","index":0,"logprobs":null,"message":{"annotations":[],"content":"Essentials Beige Sweatpants – crafted from soft cotton-blend fabric, featuring minimalist logo print, relaxed fit, elastic drawstring waist and cuffs, breathable unisex design for effortless modern street style.","refusal":null,"role":"assistant"}}],"created":1776659000,"id":"chatcmpl-DWaSGcOn9xpM7a4e7uz7EkWAFxdUf","model":"gpt-5-chat-latest","object":"chat.completion","service_tier":"default","system_fingerprint":"fp_ad66631dec","usage":{"completion_tokens":40,"completion_tokens_details":{"accepted_prediction_tokens":0,"audio_tokens":0,"reasoning_tokens":0,"rejected_prediction_tokens":0},"prompt_tokens":917,"prompt_tokens_details":{"audio_tokens":0,"cached_tokens":0},"total_tokens":957}}</t>
        </is>
      </c>
      <c r="M198" t="inlineStr">
        <is>
          <t>{"alt-svc":"h3=\":443\"; ma=2592000","apim-request-id":"25eb627d-cfea-412f-a820-37a28ac10eaa","azureml-model-session":"d20260405234249-f9874baf","cache-control":"no-cache","connection":"close","content-length":"801","content-security-policy":"frame-ancestors 'self'","content-type":"application/json","date":"Mon, 20 Apr 2026 04:23:22 GMT","server":"nginx","skip-error-remapping":"true","strict-transport-security":"max-age=31536000; includeSubDomains; preload","via":"1.1 Caddy, 1.1 Caddy","x-api-request-id":"20260420122320256680959gertC5kU","x-content-type-options":"nosniff","x-frame-options":"SAMEORIGIN","x-ms-client-request-id":"Not-Set","x-ms-is-spilled-over":"false","x-ms-rai-invoked":"true","x-ms-region":"East US 2","x-new-api-version":"0.4.39","x-oneapi-request-id":"202604200423201898311408268d9d62Wdg9WTE","x-ratelimit-abusepenalty-active":"False","x-ratelimit-limit-requests":"3850","x-ratelimit-limit-tokens":"3850000","x-ratelimit-remaining-requests":"3849","x-ratelimit-remaining-tokens":"3848321","x-ratelimit-renewalperiod-requests":"60","x-ratelimit-renewalperiod-tokens":"60","x-ratelimit-reset-requests":"15","x-ratelimit-reset-tokens":"26","x-request-id":"18806bba-8349-479e-8517-f8f74703674b"}</t>
        </is>
      </c>
      <c r="N198" t="inlineStr">
        <is>
          <t>Essentials Beige Sweatpants – crafted from soft cotton-blend fabric, featuring minimalist logo print, relaxed fit, elastic drawstring waist and cuffs, breathable unisex design for effortless modern street style.</t>
        </is>
      </c>
      <c r="O198" t="inlineStr">
        <is>
          <t>{"choices":[{"finish_reason":"stop","index":0,"logprobs":null,"message":{"annotations":[],"content":"Essentials,Pants,kakobuy,kakebuy2026,kekobuysheet,kakobuysheet2026,2026kakobuy,kakobuyspreadsheeet,kakobuylink,kakebuylist,Kakobuy MEGA Spreadsheet,kakobuysheetfind,kakobuysheetfind2026,2026kakobuysheetfind,kakobuysheet2026","refusal":null,"role":"assistant"}}],"created":1776667915,"id":"chatcmpl-DWcm3RVnsPM3d4NvYUzh2SXqDv1Uo","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P198" t="inlineStr">
        <is>
          <t>Essentials,Pants,kakobuy,kakebuy2026,kekobuysheet,kakobuysheet2026,2026kakobuy,kakobuyspreadsheeet,kakobuylink,kakebuylist,Kakobuy MEGA Spreadsheet,kakobuysheetfind,kakobuysheetfind2026,2026kakobuysheetfind,kakobuysheet2026</t>
        </is>
      </c>
      <c r="Q198" t="inlineStr">
        <is>
          <t>Beige, Minimalist, Streetwear, Unisex</t>
        </is>
      </c>
      <c r="R198" t="inlineStr">
        <is>
          <t>recvh6xFVjuXaQ</t>
        </is>
      </c>
      <c r="S198" t="inlineStr">
        <is>
          <t>essentials-beige-cotton-blend-sweatpants-unisex-recvh6xFVjuXaQ</t>
        </is>
      </c>
      <c r="T198"/>
      <c r="U198"/>
      <c r="V198"/>
      <c r="W198" t="inlineStr">
        <is>
          <t>{"id":"chatcmpl-DWZYYSDuJwZfGx0LckYBIs4halPCe","object":"chat.completion","created":1776655546,"model":"gpt-5-chat-latest","choices":[{"index":0,"message":{"role":"assistant","content":"Essentials：米色休闲运动卫裤，甄选柔软纯棉混纺面料，标志性简约Logo印花设计，宽松剪裁搭配松紧抽绳腰头与束脚裤脚，舒适透气兼具街头潮流感，男女通用，轻松打造现代极简风日常穿搭。","refusal":null,"annotations":[]},"logprobs":null,"finish_reason":"stop"}],"usage":{"prompt_tokens":1312,"completion_tokens":83,"total_tokens":1395,"prompt_tokens_details":{"cached_tokens":0,"audio_tokens":0},"completion_tokens_details":{"reasoning_tokens":0,"audio_tokens":0,"accepted_prediction_tokens":0,"rejected_prediction_tokens":0}},"service_tier":"default","system_fingerprint":"fp_ad66631dec"}</t>
        </is>
      </c>
      <c r="X198" t="inlineStr">
        <is>
          <t>Essentials：米色休闲运动卫裤，甄选柔软纯棉混纺面料，标志性简约Logo印花设计，宽松剪裁搭配松紧抽绳腰头与束脚裤脚，舒适透气兼具街头潮流感，男女通用，轻松打造现代极简风日常穿搭。</t>
        </is>
      </c>
    </row>
    <row r="199" ht="25.5" customHeight="1">
      <c r="A199">
        <v>1839115443</v>
      </c>
      <c r="B199">
        <v>7601029398</v>
      </c>
      <c r="C199" t="inlineStr">
        <is>
          <t>https://weidian.com/item.html?itemID=7601029398</t>
        </is>
      </c>
      <c r="D199"/>
      <c r="E199" s="2" t="str">
        <f>=HYPERLINK("https://si.geilicdn.com/open1832946205-252808396-18fd00000196d6e94e960aa08290_1125_1307.jpg?w=640&amp;h=640", "https://si.geilicdn.com/open1832946205-252808396-18fd00000196d6e94e960aa08290_1125_1307.jpg?w=640&amp;h=640")</f>
        <v>https://si.geilicdn.com/open1832946205-252808396-18fd00000196d6e94e960aa08290_1125_1307.jpg?w=640&amp;h=640</v>
      </c>
      <c r="F199" t="inlineStr">
        <is>
          <t>T-Shirts</t>
        </is>
      </c>
      <c r="G199" t="inlineStr">
        <is>
          <t>Cole Buxton</t>
        </is>
      </c>
      <c r="H199" t="inlineStr">
        <is>
          <t>89.00</t>
        </is>
      </c>
      <c r="I199">
        <v>12.9</v>
      </c>
      <c r="J199" t="inlineStr">
        <is>
          <t>{"choices":[{"finish_reason":"stop","index":0,"logprobs":null,"message":{"annotations":[],"content":"Cole Buxton White Star Gothic Cotton T-Shirt","refusal":null,"role":"assistant"}}],"created":1776666414,"id":"chatcmpl-DWcNqEznnY3cR7tPdtWQC9h9JTxpk","model":"gpt-5-chat-latest","object":"chat.completion","service_tier":"default","system_fingerprint":"fp_ad66631dec","usage":{"completion_tokens":10,"completion_tokens_details":{"accepted_prediction_tokens":0,"audio_tokens":0,"reasoning_tokens":0,"rejected_prediction_tokens":0},"prompt_tokens":877,"prompt_tokens_details":{"audio_tokens":0,"cached_tokens":0},"total_tokens":887}}</t>
        </is>
      </c>
      <c r="K199" t="inlineStr">
        <is>
          <t>Cole Buxton White Star Gothic Cotton T-Shirt</t>
        </is>
      </c>
      <c r="L199" t="inlineStr">
        <is>
          <t>{"id":"chatcmpl-DWaNALOr8z4DVKPUU6OhEHumfk7qB","object":"chat.completion","created":1776658684,"model":"gpt-5-chat-latest","choices":[{"index":0,"message":{"role":"assistant","content":"Cole Buxton White Limited Edition Cotton T-Shirt with Black Star Gothic Print, Loose Unisex Fit, British Minimalist Streetwear Style, Perfect for Daily Casual and Sporty Looks.","refusal":null,"annotations":[]},"logprobs":null,"finish_reason":"stop"}],"usage":{"prompt_tokens":903,"completion_tokens":37,"total_tokens":940,"prompt_tokens_details":{"cached_tokens":0,"audio_tokens":0},"completion_tokens_details":{"reasoning_tokens":0,"audio_tokens":0,"accepted_prediction_tokens":0,"rejected_prediction_tokens":0}},"service_tier":"default","system_fingerprint":"fp_ad66631dec"}</t>
        </is>
      </c>
      <c r="M199"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ma=2592000","apim-request-id":"52eebb9f-70d5-4464-a7bd-4dfdf2f02ac6","azureml-model-session":"d20260402075109-1fc5a0ec","cache-control":"no-cache, no-store, must-revalidate","connection":"close","content-length":"980","content-security-policy":"frame-ancestors 'self'","content-type":"application/json","date":"Mon, 20 Apr 2026 04:18:06 GMT","server":"nginx","skip-error-remapping":"true","strict-transport-security":"max-age=31536000; includeSubDomains; preload","via":"1.1 Caddy, 1.1 Caddy","x-api-request-id":"20260420121803190698262EmWk5fvR","x-content-type-options":"nosniff","x-frame-options":"SAMEORIGIN","x-ms-is-spilled-over":"false","x-ms-rai-invoked":"false","x-ms-region":"Sweden Central","x-new-api-version":"0.4.39","x-oneapi-request-id":"202604200418031244984048268d9d6pwL8cdp9","x-ratelimit-abusepenalty-active":"False","x-ratelimit-limit-requests":"4993","x-ratelimit-limit-tokens":"4993000","x-ratelimit-remaining-requests":"4992","x-ratelimit-remaining-tokens":"4991335","x-ratelimit-renewalperiod-requests":"60","x-ratelimit-renewalperiod-tokens":"60","x-ratelimit-reset-requests":"12","x-ratelimit-reset-tokens":"20","x-request-id":"b8bd4352-8307-445f-9f92-f020ee0400a1"}</t>
        </is>
      </c>
      <c r="N199" t="inlineStr">
        <is>
          <t>Cole Buxton White Limited Edition Cotton T-Shirt with Black Star Gothic Print, Loose Unisex Fit, British Minimalist Streetwear Style, Perfect for Daily Casual and Sporty Looks.</t>
        </is>
      </c>
      <c r="O199" t="inlineStr">
        <is>
          <t>{"choices":[{"finish_reason":"stop","index":0,"logprobs":null,"message":{"annotations":[],"content":"Cole Buxton,T-Shirts,kakobuy,kakebuy2026,kekobuysheet,kakobuysheet2026,2026kakobuy,kakobuyspreadsheeet,kakobuylink,kakebuylist,Kakobuy MEGA Spreadsheet,kakobuysheetfind,kakobuysheetfind2026,2026kakobuysheetfind,kakobuysheet2026","refusal":null,"role":"assistant"}}],"created":1776668823,"id":"chatcmpl-DWd0h1t6Rw6LoKvryLUKnAReSSKlN","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is>
      </c>
      <c r="P199" t="inlineStr">
        <is>
          <t>Cole Buxton,T-Shirts,kakobuy,kakebuy2026,kekobuysheet,kakobuysheet2026,2026kakobuy,kakobuyspreadsheeet,kakobuylink,kakebuylist,Kakobuy MEGA Spreadsheet,kakobuysheetfind,kakobuysheetfind2026,2026kakobuysheetfind,kakobuysheet2026</t>
        </is>
      </c>
      <c r="Q199" t="inlineStr">
        <is>
          <t>White, Minimalist, Streetwear, Unisex</t>
        </is>
      </c>
      <c r="R199" t="inlineStr">
        <is>
          <t>recvh6xFVjuTNU</t>
        </is>
      </c>
      <c r="S199" t="inlineStr">
        <is>
          <t>cole-buxton-white-star-gothic-cotton-t-shirt-recvh6xfvjutnu</t>
        </is>
      </c>
      <c r="T199"/>
      <c r="U199"/>
      <c r="V199"/>
      <c r="W199" t="inlineStr">
        <is>
          <t>{"id":"chatcmpl-DWZRtxYBlG0diS5rf1306u1BMWHMW","object":"chat.completion","created":1776655133,"model":"gpt-5-chat-latest","choices":[{"index":0,"message":{"role":"assistant","content":"Cole Buxton：白色限量系列纯棉短袖T恤，背部黑色星徽与复古哥特字体印花设计，宽松街头剪裁，男女通用款，英伦极简与运动风格融合，日常休闲百搭首选。","refusal":null,"annotations":[]},"logprobs":null,"finish_reason":"stop"}],"usage":{"prompt_tokens":1319,"completion_tokens":66,"total_tokens":1385,"prompt_tokens_details":{"cached_tokens":0,"audio_tokens":0},"completion_tokens_details":{"reasoning_tokens":0,"audio_tokens":0,"accepted_prediction_tokens":0,"rejected_prediction_tokens":0}},"service_tier":"default","system_fingerprint":"fp_ad66631dec"}</t>
        </is>
      </c>
      <c r="X199" t="inlineStr">
        <is>
          <t>Cole Buxton：白色限量系列纯棉短袖T恤，背部黑色星徽与复古哥特字体印花设计，宽松街头剪裁，男女通用款，英伦极简与运动风格融合，日常休闲百搭首选。</t>
        </is>
      </c>
    </row>
    <row r="200" ht="25.5" customHeight="1">
      <c r="A200">
        <v>1839115443</v>
      </c>
      <c r="B200">
        <v>7601072696</v>
      </c>
      <c r="C200" t="inlineStr">
        <is>
          <t>https://weidian.com/item.html?itemID=7601072696</t>
        </is>
      </c>
      <c r="D200"/>
      <c r="E200" s="2" t="str">
        <f>=HYPERLINK("https://si.geilicdn.com/open1832946205-252808396-01b800000196d6c1fe170a8133b0_1280_1280.jpg?w=640&amp;h=640", "https://si.geilicdn.com/open1832946205-252808396-01b800000196d6c1fe170a8133b0_1280_1280.jpg?w=640&amp;h=640")</f>
        <v>https://si.geilicdn.com/open1832946205-252808396-01b800000196d6c1fe170a8133b0_1280_1280.jpg?w=640&amp;h=640</v>
      </c>
      <c r="F200" t="inlineStr">
        <is>
          <t>T-Shirts</t>
        </is>
      </c>
      <c r="G200" t="inlineStr">
        <is>
          <t>Dior</t>
        </is>
      </c>
      <c r="H200" t="inlineStr">
        <is>
          <t>179.00</t>
        </is>
      </c>
      <c r="I200">
        <v>25.94</v>
      </c>
      <c r="J200" t="inlineStr">
        <is>
          <t>{"id":"chatcmpl-DWcKK05P9zZFwiymE3Y6c3QdJJilB","object":"chat.completion","created":1776666196,"model":"gpt-5-chat-latest","choices":[{"index":0,"message":{"role":"assistant","content":"Dior Black Jacquard Unisex Logo Cotton T-Shirt","refusal":null,"annotations":[]},"logprobs":null,"finish_reason":"stop"}],"usage":{"prompt_tokens":882,"completion_tokens":13,"total_tokens":895,"prompt_tokens_details":{"cached_tokens":0,"audio_tokens":0},"completion_tokens_details":{"reasoning_tokens":0,"audio_tokens":0,"accepted_prediction_tokens":0,"rejected_prediction_tokens":0}},"service_tier":"default","system_fingerprint":"fp_ad66631dec"}</t>
        </is>
      </c>
      <c r="K200" t="inlineStr">
        <is>
          <t>Dior Black Jacquard Unisex Logo Cotton T-Shirt</t>
        </is>
      </c>
      <c r="L200" t="inlineStr">
        <is>
          <t>{"id":"chatcmpl-DWaOeukX29xnjf3ga242fKJ9BJUkK","object":"chat.completion","created":1776658776,"model":"gpt-5-chat-latest","choices":[{"index":0,"message":{"role":"assistant","content":"Dior Black Jacquard T-Shirt crafted from luxurious cotton blend, featuring signature logo pattern, soft texture, sleek round neck, unisex fit, blending modern urban style with timeless French elegance.","refusal":null,"annotations":[]},"logprobs":null,"finish_reason":"stop"}],"usage":{"prompt_tokens":936,"completion_tokens":40,"total_tokens":976,"prompt_tokens_details":{"cached_tokens":0,"audio_tokens":0},"completion_tokens_details":{"reasoning_tokens":0,"audio_tokens":0,"accepted_prediction_tokens":0,"rejected_prediction_tokens":0}},"service_tier":"default","system_fingerprint":"fp_ad66631dec"}</t>
        </is>
      </c>
      <c r="M200"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ma=2592000","apim-request-id":"81151a2d-a9e4-48dc-a3d0-a2671838a295","azureml-model-session":"d20260402075109-1fc5a0ec","cache-control":"no-cache, no-store, must-revalidate","connection":"close","content-length":"1005","content-security-policy":"frame-ancestors 'self'","content-type":"application/json","date":"Mon, 20 Apr 2026 04:19:39 GMT","server":"Caddy","skip-error-remapping":"true","strict-transport-security":"max-age=31536000; includeSubDomains; preload","via":"1.1 Caddy","x-api-request-id":"202604201219355937560007FJg44Nu","x-content-type-options":"nosniff","x-frame-options":"SAMEORIGIN","x-ms-is-spilled-over":"false","x-ms-rai-invoked":"false","x-ms-region":"Sweden Central","x-new-api-version":"0.4.39","x-oneapi-request-id":"202604200419354822423968268d9d69j8j73Gc","x-ratelimit-abusepenalty-active":"False","x-ratelimit-limit-requests":"4993","x-ratelimit-limit-tokens":"4993000","x-ratelimit-remaining-requests":"4992","x-ratelimit-remaining-tokens":"4991302","x-ratelimit-renewalperiod-requests":"60","x-ratelimit-renewalperiod-tokens":"60","x-ratelimit-reset-requests":"12","x-ratelimit-reset-tokens":"20","x-request-id":"22f23e5c-b8be-406b-9344-de8fe99afd20"}</t>
        </is>
      </c>
      <c r="N200" t="inlineStr">
        <is>
          <t>Dior Black Jacquard T-Shirt crafted from luxurious cotton blend, featuring signature logo pattern, soft texture, sleek round neck, unisex fit, blending modern urban style with timeless French elegance.</t>
        </is>
      </c>
      <c r="O200" t="inlineStr">
        <is>
          <t>{"choices":[{"finish_reason":"stop","index":0,"logprobs":null,"message":{"annotations":[],"content":"Dior,T-Shirts,kakobuy,kakebuy2026,kekobuysheet,kakobuysheet2026,2026kakobuy,kakobuyspreadsheeet,kakobuylink,kakebuylist,Kakobuy MEGA Spreadsheet,kakobuysheetfind,kakobuysheetfind2026,2026kakobuysheetfind,kakobuysheet2026","refusal":null,"role":"assistant"}}],"created":1776667864,"id":"chatcmpl-DWclERCStlrXoIlCEa56scxrA7bt9","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P200" t="inlineStr">
        <is>
          <t>Dior,T-Shirts,kakobuy,kakebuy2026,kekobuysheet,kakobuysheet2026,2026kakobuy,kakobuyspreadsheeet,kakobuylink,kakebuylist,Kakobuy MEGA Spreadsheet,kakobuysheetfind,kakobuysheetfind2026,2026kakobuysheetfind,kakobuysheet2026</t>
        </is>
      </c>
      <c r="Q200" t="inlineStr">
        <is>
          <t>Dior, Unisex, Modern, Elegant, Black</t>
        </is>
      </c>
      <c r="R200" t="inlineStr">
        <is>
          <t>recvh6xFVjVb3W</t>
        </is>
      </c>
      <c r="S200" t="inlineStr">
        <is>
          <t>dior-black-jacquard-logo-cotton-tshirt-recvh6xfvjv3wb</t>
        </is>
      </c>
      <c r="T200"/>
      <c r="U200"/>
      <c r="V200"/>
      <c r="W200" t="inlineStr">
        <is>
          <t>{"choices":[{"finish_reason":"stop","index":0,"logprobs":null,"message":{"annotations":[],"content":"Dior：黑色提花短袖T恤，精选奢华棉质混纺面料，质地柔软细腻。整体以品牌标志性字母图腾织纹装饰，呈现低调奢华质感。简约圆领设计，剪裁挺括利落，男女皆宜。融合现代都市风格与经典法式优雅，诠释高级休闲时尚。","refusal":null,"role":"assistant"}}],"created":1776655537,"id":"chatcmpl-DWZYPioHpMcR8FVMp8Pe8VKSP4YGY","model":"gpt-5-chat-latest","object":"chat.completion","service_tier":"default","system_fingerprint":"fp_ad66631dec","usage":{"completion_tokens":98,"completion_tokens_details":{"accepted_prediction_tokens":0,"audio_tokens":0,"reasoning_tokens":0,"rejected_prediction_tokens":0},"prompt_tokens":1320,"prompt_tokens_details":{"audio_tokens":0,"cached_tokens":1280},"total_tokens":1418}}</t>
        </is>
      </c>
      <c r="X200" t="inlineStr">
        <is>
          <t>Dior：黑色提花短袖T恤，精选奢华棉质混纺面料，质地柔软细腻。整体以品牌标志性字母图腾织纹装饰，呈现低调奢华质感。简约圆领设计，剪裁挺括利落，男女皆宜。融合现代都市风格与经典法式优雅，诠释高级休闲时尚。</t>
        </is>
      </c>
    </row>
    <row r="201" ht="25.5" customHeight="1">
      <c r="A201">
        <v>1839115443</v>
      </c>
      <c r="B201">
        <v>7599119579</v>
      </c>
      <c r="C201" t="inlineStr">
        <is>
          <t>https://weidian.com/item.html?itemID=7599119579</t>
        </is>
      </c>
      <c r="D201"/>
      <c r="E201" s="2" t="str">
        <f>=HYPERLINK("https://si.geilicdn.com/open1832946205-252808396-1ce400000197ea618c4c0a8115c2_800_800.jpg?w=640&amp;h=640", "https://si.geilicdn.com/open1832946205-252808396-1ce400000197ea618c4c0a8115c2_800_800.jpg?w=640&amp;h=640")</f>
        <v>https://si.geilicdn.com/open1832946205-252808396-1ce400000197ea618c4c0a8115c2_800_800.jpg?w=640&amp;h=640</v>
      </c>
      <c r="F201" t="inlineStr">
        <is>
          <t>Hoodies</t>
        </is>
      </c>
      <c r="G201" t="inlineStr">
        <is>
          <t xml:space="preserve"> Mastermind JAPAN</t>
        </is>
      </c>
      <c r="H201" t="inlineStr">
        <is>
          <t>141.00</t>
        </is>
      </c>
      <c r="I201">
        <v>20.43</v>
      </c>
      <c r="J201" t="inlineStr">
        <is>
          <t>{"choices":[{"finish_reason":"stop","index":0,"logprobs":null,"message":{"annotations":[],"content":"Mastermind Japan Burgundy Skull Zip Hoodie","refusal":null,"role":"assistant"}}],"created":1776666083,"id":"chatcmpl-DWcIVPb8GF708EDv18wrCCvO1oH3f","model":"gpt-5-chat-latest","object":"chat.completion","service_tier":"default","system_fingerprint":"fp_ad66631dec","usage":{"completion_tokens":8,"completion_tokens_details":{"accepted_prediction_tokens":0,"audio_tokens":0,"reasoning_tokens":0,"rejected_prediction_tokens":0},"prompt_tokens":881,"prompt_tokens_details":{"audio_tokens":0,"cached_tokens":0},"total_tokens":889}}</t>
        </is>
      </c>
      <c r="K201" t="inlineStr">
        <is>
          <t>Mastermind Japan Burgundy Skull Zip Hoodie</t>
        </is>
      </c>
      <c r="L201" t="inlineStr">
        <is>
          <t>{"id":"chatcmpl-DWabGYChhqfMoMZU79M7dwFMwvKWq","object":"chat.completion","created":1776659558,"model":"gpt-5-chat-latest","choices":[{"index":0,"message":{"role":"assistant","content":"Mastermind JAPAN burgundy zip hoodie in thick cotton with embroidered logo and skull motif, bold black-white skull on back, unisex oversized fit, blends Japanese street and gothic fashion.","refusal":null,"annotations":[]},"logprobs":null,"finish_reason":"stop"}],"usage":{"prompt_tokens":928,"completion_tokens":38,"total_tokens":966,"prompt_tokens_details":{"cached_tokens":0,"audio_tokens":0},"completion_tokens_details":{"reasoning_tokens":0,"audio_tokens":0,"accepted_prediction_tokens":0,"rejected_prediction_tokens":0}},"service_tier":"default","system_fingerprint":"fp_ad66631dec"}</t>
        </is>
      </c>
      <c r="M201"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ma=2592000","apim-request-id":"c24aee66-885f-4c26-ac29-201c26be92e2","azureml-model-session":"d20260402075109-1fc5a0ec","cache-control":"no-cache, no-store, must-revalidate","connection":"close","content-length":"992","content-security-policy":"frame-ancestors 'self'","content-type":"application/json","date":"Mon, 20 Apr 2026 04:32:40 GMT","server":"Caddy","skip-error-remapping":"true","strict-transport-security":"max-age=31536000; includeSubDomains; preload","via":"1.1 Caddy","x-api-request-id":"20260420123237837282343MwrT02vh","x-content-type-options":"nosniff","x-frame-options":"SAMEORIGIN","x-ms-is-spilled-over":"false","x-ms-rai-invoked":"false","x-ms-region":"East US 2","x-new-api-version":"0.4.39","x-oneapi-request-id":"202604200432377702129768268d9d6nSScZ9O5","x-ratelimit-abusepenalty-active":"False","x-ratelimit-limit-requests":"4994","x-ratelimit-limit-tokens":"4994000","x-ratelimit-remaining-requests":"4993","x-ratelimit-remaining-tokens":"4992310","x-ratelimit-renewalperiod-requests":"60","x-ratelimit-renewalperiod-tokens":"60","x-ratelimit-reset-requests":"12","x-ratelimit-reset-tokens":"20","x-request-id":"eb029a9e-8322-4786-a263-7866d02e97bd"}</t>
        </is>
      </c>
      <c r="N201" t="inlineStr">
        <is>
          <t>Mastermind JAPAN burgundy zip hoodie in thick cotton with embroidered logo and skull motif, bold black-white skull on back, unisex oversized fit, blends Japanese street and gothic fashion.</t>
        </is>
      </c>
      <c r="O201" t="inlineStr">
        <is>
          <t>{"choices":[{"finish_reason":"stop","index":0,"logprobs":null,"message":{"annotations":[],"content":"Mastermind JAPAN, Hoodies, kakobuy, kakebuy2026, kekobuysheet, kakobuysheet2026, 2026kakobuy, kakobuyspreadsheeet, kakobuylink, kakebuylist, Kakobuy MEGA Spreadsheet, kakobuysheetfind, kakobuysheetfind2026, 2026kakobuysheetfind, kakobuysheet2026","refusal":null,"role":"assistant"}}],"created":1776667754,"id":"chatcmpl-DWcjSuILMLBJictQbAOBQHi64djfc","model":"gpt-5-chat-latest","object":"chat.completion","service_tier":"default","system_fingerprint":"fp_ad66631dec","usage":{"completion_tokens":94,"completion_tokens_details":{"accepted_prediction_tokens":0,"audio_tokens":0,"reasoning_tokens":0,"rejected_prediction_tokens":0},"prompt_tokens":786,"prompt_tokens_details":{"audio_tokens":0,"cached_tokens":0},"total_tokens":880}}</t>
        </is>
      </c>
      <c r="P201" t="inlineStr">
        <is>
          <t>Mastermind JAPAN, Hoodies, kakobuy, kakebuy2026, kekobuysheet, kakobuysheet2026, 2026kakobuy, kakobuyspreadsheeet, kakobuylink, kakebuylist, Kakobuy MEGA Spreadsheet, kakobuysheetfind, kakobuysheetfind2026, 2026kakobuysheetfind, kakobuysheet2026</t>
        </is>
      </c>
      <c r="Q201" t="inlineStr">
        <is>
          <t>Burgundy, Streetwear, Gothic, Unisex</t>
        </is>
      </c>
      <c r="R201" t="inlineStr">
        <is>
          <t>recvh6xFVjEaXk</t>
        </is>
      </c>
      <c r="S201" t="inlineStr">
        <is>
          <t>mastermind-japan-burgundy-skull-zip-hoodie-recvh6xfvjeaxk</t>
        </is>
      </c>
      <c r="T201"/>
      <c r="U201"/>
      <c r="V201"/>
      <c r="W201" t="inlineStr">
        <is>
          <t>{"choices":[{"finish_reason":"stop","index":0,"logprobs":null,"message":{"annotations":[],"content":"Mastermind JAPAN：酒红色拉链连帽卫衣，甄选厚实棉质面料，前胸刺绣品牌手写LOGO与骷髅花饰设计，背部黑白骷髅图腾极具辨识度，融合日系街头与哥特元素，宽松剪裁男女皆宜，展现前卫潮流态度。","refusal":null,"role":"assistant"}}],"created":1776655969,"id":"chatcmpl-DWZfNCRyGtSWXbw444HIFvVnOYQ6j","model":"gpt-5-chat-latest","object":"chat.completion","service_tier":"default","system_fingerprint":"fp_ad66631dec","usage":{"completion_tokens":89,"completion_tokens_details":{"accepted_prediction_tokens":0,"audio_tokens":0,"reasoning_tokens":0,"rejected_prediction_tokens":0},"prompt_tokens":1323,"prompt_tokens_details":{"audio_tokens":0,"cached_tokens":0},"total_tokens":1412}}</t>
        </is>
      </c>
      <c r="X201" t="inlineStr">
        <is>
          <t>Mastermind JAPAN：酒红色拉链连帽卫衣，甄选厚实棉质面料，前胸刺绣品牌手写LOGO与骷髅花饰设计，背部黑白骷髅图腾极具辨识度，融合日系街头与哥特元素，宽松剪裁男女皆宜，展现前卫潮流态度。</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