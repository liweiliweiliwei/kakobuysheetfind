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fansbuy 上品 06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DengXian"/>
      <family val="2"/>
    </font>
    <font>
      <sz val="10"/>
      <color/>
      <name val="Calibri"/>
      <family val="2"/>
    </font>
    <font>
      <u val="single"/>
      <sz val="11"/>
      <color rgb="FF0000FF"/>
      <name val="DengXian"/>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0" fontId="2"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s>
  <sheetData>
    <row r="1" ht="13" customHeight="1">
      <c r="A1" s="1" t="inlineStr">
        <is>
          <t>微店 ID</t>
        </is>
      </c>
      <c r="B1" s="1" t="inlineStr">
        <is>
          <t>微店商品 ID</t>
        </is>
      </c>
      <c r="C1" s="1" t="inlineStr">
        <is>
          <t>微店商品链接</t>
        </is>
      </c>
      <c r="D1" s="1" t="inlineStr">
        <is>
          <t>共享货源URL</t>
        </is>
      </c>
      <c r="E1" s="1" t="inlineStr">
        <is>
          <t>SKU图片地址</t>
        </is>
      </c>
      <c r="F1" s="1" t="inlineStr">
        <is>
          <t>品类</t>
        </is>
      </c>
      <c r="G1" s="1" t="inlineStr">
        <is>
          <t>品牌</t>
        </is>
      </c>
      <c r="H1" s="1" t="inlineStr">
        <is>
          <t>人民币</t>
        </is>
      </c>
      <c r="I1" s="1" t="inlineStr">
        <is>
          <t>美元</t>
        </is>
      </c>
      <c r="J1" s="1" t="inlineStr">
        <is>
          <t>跑Tittle 的 ai</t>
        </is>
      </c>
      <c r="K1" s="1" t="inlineStr">
        <is>
          <t>Tittle</t>
        </is>
      </c>
      <c r="L1" s="1" t="inlineStr">
        <is>
          <t>跑Description 的 ai</t>
        </is>
      </c>
      <c r="M1" s="1" t="inlineStr">
        <is>
          <t>Description.响应头</t>
        </is>
      </c>
      <c r="N1" s="1" t="inlineStr">
        <is>
          <t>Description</t>
        </is>
      </c>
      <c r="O1" s="1" t="inlineStr">
        <is>
          <t>Keyword 跑 ai</t>
        </is>
      </c>
      <c r="P1" s="1" t="inlineStr">
        <is>
          <t>Keyword</t>
        </is>
      </c>
      <c r="Q1" s="1" t="inlineStr">
        <is>
          <t>TAG</t>
        </is>
      </c>
      <c r="R1" s="1" t="inlineStr">
        <is>
          <t>文本</t>
        </is>
      </c>
      <c r="S1" s="1" t="inlineStr">
        <is>
          <t>SLUG</t>
        </is>
      </c>
      <c r="T1" s="1" t="inlineStr">
        <is>
          <t>共享货源微信</t>
        </is>
      </c>
      <c r="U1" s="1" t="inlineStr">
        <is>
          <t>1688商品编码</t>
        </is>
      </c>
      <c r="V1" s="1" t="inlineStr">
        <is>
          <t>1688型号编码</t>
        </is>
      </c>
      <c r="W1" s="1" t="inlineStr">
        <is>
          <t>中文描述</t>
        </is>
      </c>
      <c r="X1" s="1" t="inlineStr">
        <is>
          <t>中文描述.提取值1</t>
        </is>
      </c>
    </row>
    <row r="2" ht="25.5" customHeight="1">
      <c r="A2">
        <v>1839115443</v>
      </c>
      <c r="B2">
        <v>7781514660</v>
      </c>
      <c r="C2" s="2" t="str">
        <f>=HYPERLINK("https://weidian.com/item.html?itemID=7781514660", "https://weidian.com/item.html?itemID=7781514660")</f>
        <v>https://weidian.com/item.html?itemID=7781514660</v>
      </c>
      <c r="D2"/>
      <c r="E2" s="2" t="str">
        <f>=HYPERLINK("https://si.geilicdn.com/open1839115443-252808396-2ece0000019e87d89ecf0a8115c2_1200_1200.jpg?w=640&amp;h=640", "https://si.geilicdn.com/open1839115443-252808396-2ece0000019e87d89ecf0a8115c2_1200_1200.jpg?w=640&amp;h=640")</f>
        <v>https://si.geilicdn.com/open1839115443-252808396-2ece0000019e87d89ecf0a8115c2_1200_1200.jpg?w=640&amp;h=640</v>
      </c>
      <c r="F2" t="inlineStr">
        <is>
          <t>Hoodies</t>
        </is>
      </c>
      <c r="G2" t="inlineStr">
        <is>
          <t>Sp5der</t>
        </is>
      </c>
      <c r="H2" t="inlineStr">
        <is>
          <t>142.5</t>
        </is>
      </c>
      <c r="I2">
        <v>20.65</v>
      </c>
      <c r="J2" t="inlineStr">
        <is>
          <t>{"id":"resp_0ac4c2f562cd9d4b016a224ba311188199940592585adb2003","object":"chat.completion","created":1780632486,"model":"gpt-5.5","choices":[{"index":0,"message":{"role":"assistant","content":"Sp5der Sky Blue Spider Web Pullover Hoodie"},"finish_reason":"stop"}],"usage":{"prompt_tokens":982,"completion_tokens":14,"total_tokens":996}}</t>
        </is>
      </c>
      <c r="K2" t="inlineStr">
        <is>
          <t>Sp5der Sky Blue Spider Web Pullover Hoodie</t>
        </is>
      </c>
      <c r="L2" t="inlineStr">
        <is>
          <t>{"id":"resp_0236895523dae6e0016a2249a4a4048199a4b00683978265e1","object":"chat.completion","created":1780631975,"model":"gpt-5.5","choices":[{"index":0,"message":{"role":"assistant","content":"Sp5der Sky Blue Spider Web Print Hoodie, soft cotton-blend pullover with drawstring hood and kangaroo pocket, unisex streetwear casual sweatshirt"},"finish_reason":"stop"}],"usage":{"prompt_tokens":1001,"completion_tokens":115,"total_tokens":1116}}</t>
        </is>
      </c>
      <c r="M2" t="inlineStr">
        <is>
          <t>{"alt-svc":"h3=\":443\"; ma=2592000","connection":"close","content-length":"441","content-type":"application/json; charset=utf-8","date":"Fri, 05 Jun 2026 03:59:35 GMT","referrer-policy":"strict-origin-when-cross-origin","server":"nginx/1.24.0 (Ubuntu)","strict-transport-security":"max-age=31536000; includeSubDomains; preload","vary":"Accept-Encoding","via":"1.1 Caddy","x-content-type-options":"nosniff","x-frame-options":"DENY","x-new-api-version":"v1.0.0-rc.10","x-oneapi-request-id":"202606050359323586129788268d9d6qCpVSCa2","x-request-id":"bd160f9d2029c39efb26acb4e41e2243"}</t>
        </is>
      </c>
      <c r="N2" t="inlineStr">
        <is>
          <t>Sp5der Sky Blue Spider Web Print Hoodie, soft cotton-blend pullover with drawstring hood and kangaroo pocket, unisex streetwear casual sweatshirt</t>
        </is>
      </c>
      <c r="O2" t="inlineStr">
        <is>
          <t>{"id":"resp_0da89f57d6659d4e016a226a0752fc819aa9a87c5b873c75c6","object":"chat.completion","created":1780640265,"model":"gpt-5.5","choices":[{"index":0,"message":{"role":"assistant","content":"Sp5der Sky Blue Hoodie, Sp5der Spider Web Print Hoodie, Sp5der Cotton Blend Pullover Hoodie, Sp5der Unisex Streetwear Sweatshirt, Sp5der Drawstring Kangaroo Pocket Hoodie, Sp5der Casual Graphic Hoodie"},"finish_reason":"stop"}],"usage":{"prompt_tokens":863,"completion_tokens":54,"total_tokens":917}}</t>
        </is>
      </c>
      <c r="P2" t="inlineStr">
        <is>
          <t>Sp5der Sky Blue Hoodie, Sp5der Spider Web Print Hoodie, Sp5der Cotton Blend Pullover Hoodie, Sp5der Unisex Streetwear Sweatshirt, Sp5der Drawstring Kangaroo Pocket Hoodie, Sp5der Casual Graphic Hoodie</t>
        </is>
      </c>
      <c r="Q2" t="inlineStr">
        <is>
          <t>Streetwear, Unisex</t>
        </is>
      </c>
      <c r="R2" t="inlineStr">
        <is>
          <t>recvltrrbujdT5</t>
        </is>
      </c>
      <c r="S2" t="inlineStr">
        <is>
          <t>sp5der-sky-blue-spider-web-pullover-hoodie-recvltrrbujdT5</t>
        </is>
      </c>
      <c r="T2"/>
      <c r="U2"/>
      <c r="V2"/>
      <c r="W2" t="inlineStr">
        <is>
          <t>{"id":"resp_0bc2b60fc8aec461016a224887eccc819981d89114bc9db55b","object":"chat.completion","created":1780631690,"model":"gpt-5.5","choices":[{"index":0,"message":{"role":"assistant","content":"Sp5der 天蓝色蜘蛛网印花连帽卫衣，柔软棉混纺面料，抽绳帽袋鼠兜设计，街头潮流男女同款休闲帽衫"},"finish_reason":"stop"}],"usage":{"prompt_tokens":1300,"completion_tokens":51,"total_tokens":1351}}</t>
        </is>
      </c>
      <c r="X2" t="inlineStr">
        <is>
          <t>Sp5der 天蓝色蜘蛛网印花连帽卫衣，柔软棉混纺面料，抽绳帽袋鼠兜设计，街头潮流男女同款休闲帽衫</t>
        </is>
      </c>
    </row>
    <row r="3" ht="25.5" customHeight="1">
      <c r="A3">
        <v>1839115443</v>
      </c>
      <c r="B3">
        <v>7778583667</v>
      </c>
      <c r="C3" s="2" t="str">
        <f>=HYPERLINK("https://weidian.com/item.html?itemID=7778583667", "https://weidian.com/item.html?itemID=7778583667")</f>
        <v>https://weidian.com/item.html?itemID=7778583667</v>
      </c>
      <c r="D3"/>
      <c r="E3" s="2" t="str">
        <f>=HYPERLINK("https://si.geilicdn.com/open1839115443-252808396-2e790000019e87d7c5c10a8115c2_1002_1002.jpg?w=750&amp;h=750&amp;cp=1", "https://si.geilicdn.com/open1839115443-252808396-2e790000019e87d7c5c10a8115c2_1002_1002.jpg?w=750&amp;h=750&amp;cp=1")</f>
        <v>https://si.geilicdn.com/open1839115443-252808396-2e790000019e87d7c5c10a8115c2_1002_1002.jpg?w=750&amp;h=750&amp;cp=1</v>
      </c>
      <c r="F3" t="inlineStr">
        <is>
          <t>T-Shirts</t>
        </is>
      </c>
      <c r="G3" t="inlineStr">
        <is>
          <t>Sp5der</t>
        </is>
      </c>
      <c r="H3" t="inlineStr">
        <is>
          <t>77</t>
        </is>
      </c>
      <c r="I3">
        <v>11.16</v>
      </c>
      <c r="J3" t="inlineStr">
        <is>
          <t>{"id":"resp_029a36c67cde543c016a224c277490819b8d650a31c96dd01f","object":"chat.completion","created":1780632619,"model":"gpt-5.5","choices":[{"index":0,"message":{"role":"assistant","content":"Sp5der White Spider Web Graphic Cotton Streetwear T-Shirt"},"finish_reason":"stop"}],"usage":{"prompt_tokens":1183,"completion_tokens":154,"total_tokens":1337}}</t>
        </is>
      </c>
      <c r="K3" t="inlineStr">
        <is>
          <t>Sp5der White Spider Web Graphic Cotton Streetwear T-Shirt</t>
        </is>
      </c>
      <c r="L3" t="inlineStr">
        <is>
          <t>{"id":"resp_0e79469b6d5aa2d3016a224a10f3d4819894dd414f8f64ec6e","object":"chat.completion","created":1780632082,"model":"gpt-5.5","choices":[{"index":0,"message":{"role":"assistant","content":"Sp5der white spider web print T-shirt, breathable cotton streetwear tee with web logo graphic, unisex casual short sleeve top."},"finish_reason":"stop"}],"usage":{"prompt_tokens":1201,"completion_tokens":31,"total_tokens":1232}}</t>
        </is>
      </c>
      <c r="M3" t="inlineStr">
        <is>
          <t>{"alt-svc":"h3=\":443\"; ma=2592000","connection":"close","content-length":"421","content-type":"application/json; charset=utf-8","date":"Fri, 05 Jun 2026 04:01:22 GMT","referrer-policy":"strict-origin-when-cross-origin","server":"nginx/1.24.0 (Ubuntu)","strict-transport-security":"max-age=31536000; includeSubDomains; preload","vary":"Accept-Encoding","via":"1.1 Caddy","x-content-type-options":"nosniff","x-frame-options":"DENY","x-new-api-version":"v1.0.0-rc.10","x-oneapi-request-id":"202606050401206875637698268d9d6stLw4UjX","x-request-id":"cb6ad424b76ea015f2042115d0e787ce"}</t>
        </is>
      </c>
      <c r="N3" t="inlineStr">
        <is>
          <t>Sp5der white spider web print T-shirt, breathable cotton streetwear tee with web logo graphic, unisex casual short sleeve top.</t>
        </is>
      </c>
      <c r="O3" t="inlineStr">
        <is>
          <t>{"id":"resp_0d321ce998ab5fc6016a226980b1d881988bcc304219690085","object":"chat.completion","created":1780640131,"model":"gpt-5.5","choices":[{"index":0,"message":{"role":"assistant","content":"Sp5der T-Shirts, Sp5der spider web print T-shirt, Sp5der cotton streetwear tee, unisex Sp5der short sleeve top, Sp5der web logo graphic shirt, breathable Sp5der casual T-shirt"},"finish_reason":"stop"}],"usage":{"prompt_tokens":1069,"completion_tokens":51,"total_tokens":1120}}</t>
        </is>
      </c>
      <c r="P3" t="inlineStr">
        <is>
          <t>Sp5der T-Shirts, Sp5der spider web print T-shirt, Sp5der cotton streetwear tee, unisex Sp5der short sleeve top, Sp5der web logo graphic shirt, breathable Sp5der casual T-shirt</t>
        </is>
      </c>
      <c r="Q3" t="inlineStr">
        <is>
          <t>White, Streetwear, Unisex, Breathable</t>
        </is>
      </c>
      <c r="R3" t="inlineStr">
        <is>
          <t>recvlts3M1mIVW</t>
        </is>
      </c>
      <c r="S3" t="inlineStr">
        <is>
          <t>sp5der-white-spider-web-graphic-cotton-streetwear-tshirt-recvlts3M1mIVW</t>
        </is>
      </c>
      <c r="T3"/>
      <c r="U3"/>
      <c r="V3"/>
      <c r="W3" t="inlineStr">
        <is>
          <t>{"id":"resp_0191d9ab5f12c749016a2248394194819aae3b9eba86fcfe51","object":"chat.completion","created":1780631611,"model":"gpt-5.5","choices":[{"index":0,"message":{"role":"assistant","content":"Sp5der 白色蛛网印花短袖T恤，棉质透气面料，街头潮流设计，蜘蛛网Logo图腾，男女同款休闲上衣"},"finish_reason":"stop"}],"usage":{"prompt_tokens":1520,"completion_tokens":46,"total_tokens":1566,"prompt_tokens_details":{"cached_tokens":1024}}}</t>
        </is>
      </c>
      <c r="X3" t="inlineStr">
        <is>
          <t>Sp5der 白色蛛网印花短袖T恤，棉质透气面料，街头潮流设计，蜘蛛网Logo图腾，男女同款休闲上衣</t>
        </is>
      </c>
    </row>
    <row r="4" ht="25.5" customHeight="1">
      <c r="A4">
        <v>1839115443</v>
      </c>
      <c r="B4">
        <v>7781487400</v>
      </c>
      <c r="C4" s="2" t="str">
        <f>=HYPERLINK("https://weidian.com/item.html?itemID=7781487400", "https://weidian.com/item.html?itemID=7781487400")</f>
        <v>https://weidian.com/item.html?itemID=7781487400</v>
      </c>
      <c r="D4"/>
      <c r="E4" s="2" t="str">
        <f>=HYPERLINK("https://si.geilicdn.com/open1839115443-252808396-28030000019e87ded2480a8133b0_1200_1200.jpg?w=640&amp;h=640", "https://si.geilicdn.com/open1839115443-252808396-28030000019e87ded2480a8133b0_1200_1200.jpg?w=640&amp;h=640")</f>
        <v>https://si.geilicdn.com/open1839115443-252808396-28030000019e87ded2480a8133b0_1200_1200.jpg?w=640&amp;h=640</v>
      </c>
      <c r="F4" t="inlineStr">
        <is>
          <t>Hoodies</t>
        </is>
      </c>
      <c r="G4" t="inlineStr">
        <is>
          <t>Sp5der</t>
        </is>
      </c>
      <c r="H4" t="inlineStr">
        <is>
          <t>132</t>
        </is>
      </c>
      <c r="I4">
        <v>19.13</v>
      </c>
      <c r="J4" t="inlineStr">
        <is>
          <t>{"id":"resp_0dcbec3031e03195016a224b963a8c8198813599a805c79262","object":"chat.completion","created":1780632472,"model":"gpt-5.5","choices":[{"index":0,"message":{"role":"assistant","content":"Sp5der Pink Hoodie Tracksuit Web Logo Streetwear Set"},"finish_reason":"stop"}],"usage":{"prompt_tokens":981,"completion_tokens":16,"total_tokens":997}}</t>
        </is>
      </c>
      <c r="K4" t="inlineStr">
        <is>
          <t>Sp5der Pink Hoodie Tracksuit Web Logo Streetwear Set</t>
        </is>
      </c>
      <c r="L4" t="inlineStr">
        <is>
          <t>{"id":"resp_0ae970d8f3dea06a016a2249c8d36c819bbaeacabbd0ee0d9e","object":"chat.completion","created":1780632011,"model":"gpt-5.5","choices":[{"index":0,"message":{"role":"assistant","content":"Sp5der pink hoodie set, cotton fleece tracksuit with spider web graffiti logo print, oversized Y2K streetwear, unisex casual sportswear."},"finish_reason":"stop"}],"usage":{"prompt_tokens":1009,"completion_tokens":64,"total_tokens":1073}}</t>
        </is>
      </c>
      <c r="M4" t="inlineStr">
        <is>
          <t>{"alt-svc":"h3=\":443\"; ma=2592000","connection":"close","content-length":"431","content-type":"application/json; charset=utf-8","date":"Fri, 05 Jun 2026 04:00:11 GMT","referrer-policy":"strict-origin-when-cross-origin","server":"nginx/1.24.0 (Ubuntu)","strict-transport-security":"max-age=31536000; includeSubDomains; preload","vary":"Accept-Encoding","via":"1.1 Caddy","x-content-type-options":"nosniff","x-frame-options":"DENY","x-new-api-version":"v1.0.0-rc.10","x-oneapi-request-id":"202606050400085650285318268d9d690VkO9xY","x-request-id":"fa05174f52eea8e8f5cbcfe4561fdcbc"}</t>
        </is>
      </c>
      <c r="N4" t="inlineStr">
        <is>
          <t>Sp5der pink hoodie set, cotton fleece tracksuit with spider web graffiti logo print, oversized Y2K streetwear, unisex casual sportswear.</t>
        </is>
      </c>
      <c r="O4" t="inlineStr">
        <is>
          <t>{"id":"resp_066ce7674dd84ac2016a22699f7854819baef15fd17cb4672e","object":"chat.completion","created":1780640161,"model":"gpt-5.5","choices":[{"index":0,"message":{"role":"assistant","content":"Sp5der pink hoodie set, Sp5der cotton fleece tracksuit, Sp5der spider web graffiti hoodie, Sp5der oversized Y2K streetwear, Sp5der unisex casual sportswear, Sp5der hoodie and sweatpants set"},"finish_reason":"stop"}],"usage":{"prompt_tokens":863,"completion_tokens":54,"total_tokens":917}}</t>
        </is>
      </c>
      <c r="P4" t="inlineStr">
        <is>
          <t>Sp5der pink hoodie set, Sp5der cotton fleece tracksuit, Sp5der spider web graffiti hoodie, Sp5der oversized Y2K streetwear, Sp5der unisex casual sportswear, Sp5der hoodie and sweatpants set</t>
        </is>
      </c>
      <c r="Q4" t="inlineStr">
        <is>
          <t>Pink, Streetwear, Unisex</t>
        </is>
      </c>
      <c r="R4" t="inlineStr">
        <is>
          <t>recvlts3M1f3NT</t>
        </is>
      </c>
      <c r="S4" t="inlineStr">
        <is>
          <t>sp5der-pink-hoodie-tracksuit-web-logo-recvlts3M1f3NT</t>
        </is>
      </c>
      <c r="T4"/>
      <c r="U4"/>
      <c r="V4"/>
      <c r="W4" t="inlineStr">
        <is>
          <t>{"id":"resp_063b537973667d46016a224836f4a08199a4fcc0bd0a103697","object":"chat.completion","created":1780631611,"model":"gpt-5.5","choices":[{"index":0,"message":{"role":"assistant","content":"粉色 Sp5der 连帽卫衣套装，棉质抓绒面料，蛛网涂鸦Logo印花，宽松街头Y2K潮流风格，男女同款休闲运动品类"},"finish_reason":"stop"}],"usage":{"prompt_tokens":1294,"completion_tokens":143,"total_tokens":1437,"prompt_tokens_details":{"cached_tokens":1024}}}</t>
        </is>
      </c>
      <c r="X4" t="inlineStr">
        <is>
          <t>粉色 Sp5der 连帽卫衣套装，棉质抓绒面料，蛛网涂鸦Logo印花，宽松街头Y2K潮流风格，男女同款休闲运动品类</t>
        </is>
      </c>
    </row>
    <row r="5" ht="25.5" customHeight="1">
      <c r="A5">
        <v>1839115443</v>
      </c>
      <c r="B5">
        <v>7778211127</v>
      </c>
      <c r="C5" s="2" t="str">
        <f>=HYPERLINK("https://weidian.com/item.html?itemID=7778211127", "https://weidian.com/item.html?itemID=7778211127")</f>
        <v>https://weidian.com/item.html?itemID=7778211127</v>
      </c>
      <c r="D5"/>
      <c r="E5" s="2" t="str">
        <f>=HYPERLINK("https://si.geilicdn.com/open1839115443-252808396-50520000019e87deae920a22d249_800_800.jpg?w=640&amp;h=640", "https://si.geilicdn.com/open1839115443-252808396-50520000019e87deae920a22d249_800_800.jpg?w=640&amp;h=640")</f>
        <v>https://si.geilicdn.com/open1839115443-252808396-50520000019e87deae920a22d249_800_800.jpg?w=640&amp;h=640</v>
      </c>
      <c r="F5" t="inlineStr">
        <is>
          <t>Hoodies</t>
        </is>
      </c>
      <c r="G5" t="inlineStr">
        <is>
          <t>Sp5der</t>
        </is>
      </c>
      <c r="H5" t="inlineStr">
        <is>
          <t>157.5</t>
        </is>
      </c>
      <c r="I5">
        <v>22.83</v>
      </c>
      <c r="J5" t="inlineStr">
        <is>
          <t>{"id":"resp_0c6a0875a10a71f8016a224bd55848819bba97c8cc8e7c7cc9","object":"chat.completion","created":1780632536,"model":"gpt-5.5","choices":[{"index":0,"message":{"role":"assistant","content":"Sp5der Gray Fleece Hoodie Spider Logo Pullover Sweatshirt"},"finish_reason":"stop"}],"usage":{"prompt_tokens":975,"completion_tokens":130,"total_tokens":1105}}</t>
        </is>
      </c>
      <c r="K5" t="inlineStr">
        <is>
          <t>Sp5der Gray Fleece Hoodie Spider Logo Pullover Sweatshirt</t>
        </is>
      </c>
      <c r="L5" t="inlineStr">
        <is>
          <t>{"id":"resp_0fd2ecec1d27606a016a2249d51ad4819b88f20bb67a6fbcdd","object":"chat.completion","created":1780632023,"model":"gpt-5.5","choices":[{"index":0,"message":{"role":"assistant","content":"Sp5der gray hoodie, soft cotton fleece pullover with spider-style logo print, kangaroo pocket, unisex streetwear casual sweatshirt."},"finish_reason":"stop"}],"usage":{"prompt_tokens":1005,"completion_tokens":64,"total_tokens":1069}}</t>
        </is>
      </c>
      <c r="M5" t="inlineStr">
        <is>
          <t>{"alt-svc":"h3=\":443\"; ma=2592000","connection":"close","content-length":"426","content-type":"application/json; charset=utf-8","date":"Fri, 05 Jun 2026 04:00:23 GMT","referrer-policy":"strict-origin-when-cross-origin","server":"nginx/1.24.0 (Ubuntu)","strict-transport-security":"max-age=31536000; includeSubDomains; preload","vary":"Accept-Encoding","via":"1.1 Caddy","x-content-type-options":"nosniff","x-frame-options":"DENY","x-new-api-version":"v1.0.0-rc.10","x-oneapi-request-id":"202606050400203110889998268d9d66339tHn0","x-request-id":"b43695dae6a96882cad2ca2afbdfd391"}</t>
        </is>
      </c>
      <c r="N5" t="inlineStr">
        <is>
          <t>Sp5der gray hoodie, soft cotton fleece pullover with spider-style logo print, kangaroo pocket, unisex streetwear casual sweatshirt.</t>
        </is>
      </c>
      <c r="O5" t="inlineStr">
        <is>
          <t>{"id":"resp_0907fb679a80a609016a22694342ac819b8f34a547dea6d80b","object":"chat.completion","created":1780640069,"model":"gpt-5.5","choices":[{"index":0,"message":{"role":"assistant","content":"Sp5der gray hoodie, Sp5der cotton fleece pullover, Sp5der spider logo sweatshirt, unisex Sp5der streetwear hoodie, Sp5der kangaroo pocket hoodie, Sp5der casual fleece hoodie"},"finish_reason":"stop"}],"usage":{"prompt_tokens":860,"completion_tokens":48,"total_tokens":908}}</t>
        </is>
      </c>
      <c r="P5" t="inlineStr">
        <is>
          <t>Sp5der gray hoodie, Sp5der cotton fleece pullover, Sp5der spider logo sweatshirt, unisex Sp5der streetwear hoodie, Sp5der kangaroo pocket hoodie, Sp5der casual fleece hoodie</t>
        </is>
      </c>
      <c r="Q5" t="inlineStr">
        <is>
          <t>Gray, Streetwear, Unisex</t>
        </is>
      </c>
      <c r="R5" t="inlineStr">
        <is>
          <t>recvlts3M1ddre</t>
        </is>
      </c>
      <c r="S5" t="inlineStr">
        <is>
          <t>sp5der-gray-fleece-hoodie-spider-logo-recvlts3m1ddre</t>
        </is>
      </c>
      <c r="T5"/>
      <c r="U5"/>
      <c r="V5"/>
      <c r="W5" t="inlineStr">
        <is>
          <t>{"id":"resp_0fd05822101d07b4016a2248e0e16c8199a48fb5d2dd01e2da","object":"chat.completion","created":1780631781,"model":"gpt-5.5","choices":[{"index":0,"message":{"role":"assistant","content":"Sp5der灰色连帽卫衣，柔软棉质抓绒面料，胸前蜘蛛风字母Logo印花，袋鼠兜设计，男女同款街头休闲潮牌帽衫"},"finish_reason":"stop"}],"usage":{"prompt_tokens":1288,"completion_tokens":153,"total_tokens":1441,"prompt_tokens_details":{"cached_tokens":1024}}}</t>
        </is>
      </c>
      <c r="X5" t="inlineStr">
        <is>
          <t>Sp5der灰色连帽卫衣，柔软棉质抓绒面料，胸前蜘蛛风字母Logo印花，袋鼠兜设计，男女同款街头休闲潮牌帽衫</t>
        </is>
      </c>
    </row>
    <row r="6" ht="25.5" customHeight="1">
      <c r="A6">
        <v>1839115443</v>
      </c>
      <c r="B6">
        <v>7778507183</v>
      </c>
      <c r="C6" s="2" t="str">
        <f>=HYPERLINK("https://weidian.com/item.html?itemID=7778507183", "https://weidian.com/item.html?itemID=7778507183")</f>
        <v>https://weidian.com/item.html?itemID=7778507183</v>
      </c>
      <c r="D6"/>
      <c r="E6" s="2" t="str">
        <f>=HYPERLINK("https://si.geilicdn.com/open1839115443-252808396-31bc0000019e87de9e180a8115c2_1200_1200.jpg?w=640&amp;h=640", "https://si.geilicdn.com/open1839115443-252808396-31bc0000019e87de9e180a8115c2_1200_1200.jpg?w=640&amp;h=640")</f>
        <v>https://si.geilicdn.com/open1839115443-252808396-31bc0000019e87de9e180a8115c2_1200_1200.jpg?w=640&amp;h=640</v>
      </c>
      <c r="F6" t="inlineStr">
        <is>
          <t>Hoodies</t>
        </is>
      </c>
      <c r="G6" t="inlineStr">
        <is>
          <t>Sp5der</t>
        </is>
      </c>
      <c r="H6" t="inlineStr">
        <is>
          <t>127.5</t>
        </is>
      </c>
      <c r="I6">
        <v>18.48</v>
      </c>
      <c r="J6" t="inlineStr">
        <is>
          <t>{"id":"resp_00325613fe9d111b016a224b919f9c8199b15975628d1eb92e","object":"chat.completion","created":1780632467,"model":"gpt-5.5","choices":[{"index":0,"message":{"role":"assistant","content":"Sp5der Brown Rodeo Print Hoodie Unisex Streetwear Sweatshirt"},"finish_reason":"stop"}],"usage":{"prompt_tokens":974,"completion_tokens":18,"total_tokens":992}}</t>
        </is>
      </c>
      <c r="K6" t="inlineStr">
        <is>
          <t>Sp5der Brown Rodeo Print Hoodie Unisex Streetwear Sweatshirt</t>
        </is>
      </c>
      <c r="L6" t="inlineStr">
        <is>
          <t>{"id":"resp_0286a539d517bc81016a224a7101708198a85b239fc96b078f","object":"chat.completion","created":1780632179,"model":"gpt-5.5","choices":[{"index":0,"message":{"role":"assistant","content":"Sp5der Brown Rodeo Print Hoodie, cotton casual streetwear pullover, unisex American vintage style fashion sweatshirt for men and women"},"finish_reason":"stop"}],"usage":{"prompt_tokens":981,"completion_tokens":69,"total_tokens":1050}}</t>
        </is>
      </c>
      <c r="M6" t="inlineStr">
        <is>
          <t>{"alt-svc":"h3=\":443\"; ma=2592000","connection":"close","content-length":"428","content-type":"application/json; charset=utf-8","date":"Fri, 05 Jun 2026 04:02:59 GMT","referrer-policy":"strict-origin-when-cross-origin","server":"nginx/1.24.0 (Ubuntu)","strict-transport-security":"max-age=31536000; includeSubDomains; preload","vary":"Accept-Encoding","via":"1.1 Caddy","x-content-type-options":"nosniff","x-frame-options":"DENY","x-new-api-version":"v1.0.0-rc.10","x-oneapi-request-id":"202606050402563162921768268d9d6U5r1SqYP","x-request-id":"9e1beb71d80f67c668bfebc0ef6a2954"}</t>
        </is>
      </c>
      <c r="N6" t="inlineStr">
        <is>
          <t>Sp5der Brown Rodeo Print Hoodie, cotton casual streetwear pullover, unisex American vintage style fashion sweatshirt for men and women</t>
        </is>
      </c>
      <c r="O6" t="inlineStr">
        <is>
          <t>{"id":"resp_024181be2632ee5b016a22697c1aa8819a85476781e3f7e91d","object":"chat.completion","created":1780640125,"model":"gpt-5.5","choices":[{"index":0,"message":{"role":"assistant","content":"Sp5der hoodie, Sp5der Brown Rodeo Print Hoodie, cotton streetwear pullover, unisex vintage sweatshirt, American fashion hoodie, men women casual hoodie"},"finish_reason":"stop"}],"usage":{"prompt_tokens":859,"completion_tokens":37,"total_tokens":896}}</t>
        </is>
      </c>
      <c r="P6" t="inlineStr">
        <is>
          <t>Sp5der hoodie, Sp5der Brown Rodeo Print Hoodie, cotton streetwear pullover, unisex vintage sweatshirt, American fashion hoodie, men women casual hoodie</t>
        </is>
      </c>
      <c r="Q6" t="inlineStr">
        <is>
          <t>Brown, Streetwear, Vintage, Unisex</t>
        </is>
      </c>
      <c r="R6" t="inlineStr">
        <is>
          <t>recvlts3M1nVUj</t>
        </is>
      </c>
      <c r="S6" t="inlineStr">
        <is>
          <t>sp5der-brown-rodeo-print-hoodie-recvlts3m1nvu</t>
        </is>
      </c>
      <c r="T6"/>
      <c r="U6"/>
      <c r="V6"/>
      <c r="W6" t="inlineStr">
        <is>
          <t>{"id":"resp_03ffac1176b73cc3016a2248686f0c8198807ad2882a1d6483","object":"chat.completion","created":1780631658,"model":"gpt-5.5","choices":[{"index":0,"message":{"role":"assistant","content":"Sp5der 棕色Rodeo印花连帽卫衣，棉质休闲街头风，男女通用美式复古潮牌帽衫"},"finish_reason":"stop"}],"usage":{"prompt_tokens":1298,"completion_tokens":41,"total_tokens":1339}}</t>
        </is>
      </c>
      <c r="X6" t="inlineStr">
        <is>
          <t>Sp5der 棕色Rodeo印花连帽卫衣，棉质休闲街头风，男女通用美式复古潮牌帽衫</t>
        </is>
      </c>
    </row>
    <row r="7" ht="25.5" customHeight="1">
      <c r="A7">
        <v>1839115443</v>
      </c>
      <c r="B7">
        <v>7781483078</v>
      </c>
      <c r="C7" s="2" t="str">
        <f>=HYPERLINK("https://weidian.com/item.html?itemID=7781483078", "https://weidian.com/item.html?itemID=7781483078")</f>
        <v>https://weidian.com/item.html?itemID=7781483078</v>
      </c>
      <c r="D7"/>
      <c r="E7" s="2" t="str">
        <f>=HYPERLINK("https://si.geilicdn.com/open1839115443-252808396-28630000019e87e0a4850a8133b0_1000_1000.jpg?w=640&amp;h=640", "https://si.geilicdn.com/open1839115443-252808396-28630000019e87e0a4850a8133b0_1000_1000.jpg?w=640&amp;h=640")</f>
        <v>https://si.geilicdn.com/open1839115443-252808396-28630000019e87e0a4850a8133b0_1000_1000.jpg?w=640&amp;h=640</v>
      </c>
      <c r="F7" t="inlineStr">
        <is>
          <t>Pants</t>
        </is>
      </c>
      <c r="G7" t="inlineStr">
        <is>
          <t>Sp5der</t>
        </is>
      </c>
      <c r="H7" t="inlineStr">
        <is>
          <t>79.5</t>
        </is>
      </c>
      <c r="I7">
        <v>11.52</v>
      </c>
      <c r="J7" t="inlineStr">
        <is>
          <t>{"id":"resp_01a88cb600e15fe3016a224bfb4db4819ba4e2b24a158f257b","object":"chat.completion","created":1780632572,"model":"gpt-5.5","choices":[{"index":0,"message":{"role":"assistant","content":"Sp5der Black Cotton Spiderweb Graffiti Streetwear Shorts"},"finish_reason":"stop"}],"usage":{"prompt_tokens":972,"completion_tokens":16,"total_tokens":988}}</t>
        </is>
      </c>
      <c r="K7" t="inlineStr">
        <is>
          <t>Sp5der Black Cotton Spiderweb Graffiti Streetwear Shorts</t>
        </is>
      </c>
      <c r="L7" t="inlineStr">
        <is>
          <t>{"id":"resp_097a72801054dfb4016a224a69cfdc819b96e4ce9e93620d95","object":"chat.completion","created":1780632171,"model":"gpt-5.5","choices":[{"index":0,"message":{"role":"assistant","content":"Sp5der black cotton shorts with spiderweb graffiti logo print, elastic drawstring waist, unisex streetwear casual knee-length pants."},"finish_reason":"stop"}],"usage":{"prompt_tokens":988,"completion_tokens":31,"total_tokens":1019}}</t>
        </is>
      </c>
      <c r="M7" t="inlineStr">
        <is>
          <t>{"alt-svc":"h3=\":443\"; ma=2592000","connection":"close","content-length":"426","content-type":"application/json; charset=utf-8","date":"Fri, 05 Jun 2026 04:02:51 GMT","referrer-policy":"strict-origin-when-cross-origin","server":"nginx/1.24.0 (Ubuntu)","strict-transport-security":"max-age=31536000; includeSubDomains; preload","vary":"Accept-Encoding","via":"1.1 Caddy","x-content-type-options":"nosniff","x-frame-options":"DENY","x-new-api-version":"v1.0.0-rc.10","x-oneapi-request-id":"202606050402493356041668268d9d6NQQqKDxL","x-request-id":"9abcbfad4761a53cf044c2660df06d40"}</t>
        </is>
      </c>
      <c r="N7" t="inlineStr">
        <is>
          <t>Sp5der black cotton shorts with spiderweb graffiti logo print, elastic drawstring waist, unisex streetwear casual knee-length pants.</t>
        </is>
      </c>
      <c r="O7" t="inlineStr">
        <is>
          <t>{"id":"resp_0da2e13c0b3f1c8b016a22693bc4c0819a860003ca849dd90a","object":"chat.completion","created":1780640065,"model":"gpt-5.5","choices":[{"index":0,"message":{"role":"assistant","content":"Sp5der black cotton shorts, Sp5der spiderweb graffiti logo shorts, unisex streetwear knee length pants, elastic drawstring waist shorts, Sp5der casual cotton pants, Sp5der graffiti streetwear shorts"},"finish_reason":"stop"}],"usage":{"prompt_tokens":858,"completion_tokens":48,"total_tokens":906}}</t>
        </is>
      </c>
      <c r="P7" t="inlineStr">
        <is>
          <t>Sp5der black cotton shorts, Sp5der spiderweb graffiti logo shorts, unisex streetwear knee length pants, elastic drawstring waist shorts, Sp5der casual cotton pants, Sp5der graffiti streetwear shorts</t>
        </is>
      </c>
      <c r="Q7" t="inlineStr">
        <is>
          <t>Streetwear, Black, Unisex</t>
        </is>
      </c>
      <c r="R7" t="inlineStr">
        <is>
          <t>recvlts3M1igFm</t>
        </is>
      </c>
      <c r="S7" t="inlineStr">
        <is>
          <t>sp5der-black-cotton-spiderweb-graffiti-shorts-recvlts3M1igFm</t>
        </is>
      </c>
      <c r="T7"/>
      <c r="U7"/>
      <c r="V7"/>
      <c r="W7" t="inlineStr">
        <is>
          <t>{"id":"resp_0aeb05e4f7a2f2d4016a224805e77081999d4301191cc70390","object":"chat.completion","created":1780631559,"model":"gpt-5.5","choices":[{"index":0,"message":{"role":"assistant","content":"Sp5der 黑色棉质休闲短裤，蜘蛛网涂鸦Logo印花，弹力腰抽绳设计，男女同款街头潮流五分裤"},"finish_reason":"stop"}],"usage":{"prompt_tokens":1297,"completion_tokens":45,"total_tokens":1342}}</t>
        </is>
      </c>
      <c r="X7" t="inlineStr">
        <is>
          <t>Sp5der 黑色棉质休闲短裤，蜘蛛网涂鸦Logo印花，弹力腰抽绳设计，男女同款街头潮流五分裤</t>
        </is>
      </c>
    </row>
    <row r="8" ht="25.5" customHeight="1">
      <c r="A8">
        <v>1839115443</v>
      </c>
      <c r="B8">
        <v>7778465239</v>
      </c>
      <c r="C8" s="2" t="str">
        <f>=HYPERLINK("https://weidian.com/item.html?itemID=7778465239", "https://weidian.com/item.html?itemID=7778465239")</f>
        <v>https://weidian.com/item.html?itemID=7778465239</v>
      </c>
      <c r="D8"/>
      <c r="E8" s="2" t="str">
        <f>=HYPERLINK("https://si.geilicdn.com/open1839115443-252808396-46bc0000019e87e1000a0aa08239_1200_1200.jpg?w=640&amp;h=640", "https://si.geilicdn.com/open1839115443-252808396-46bc0000019e87e1000a0aa08239_1200_1200.jpg?w=640&amp;h=640")</f>
        <v>https://si.geilicdn.com/open1839115443-252808396-46bc0000019e87e1000a0aa08239_1200_1200.jpg?w=640&amp;h=640</v>
      </c>
      <c r="F8" t="inlineStr">
        <is>
          <t>T-Shirts</t>
        </is>
      </c>
      <c r="G8" t="inlineStr">
        <is>
          <t>Rhude</t>
        </is>
      </c>
      <c r="H8" t="inlineStr">
        <is>
          <t>63</t>
        </is>
      </c>
      <c r="I8">
        <v>9.13</v>
      </c>
      <c r="J8" t="inlineStr">
        <is>
          <t>{"id":"resp_0d536706ad4b475c016a224b95e830819a8aad0aeb65b0f737","object":"chat.completion","created":1780632472,"model":"gpt-5.5","choices":[{"index":0,"message":{"role":"assistant","content":"Rhude Blue Bird Logo Cotton T-Shirt Unisex Streetwear"},"finish_reason":"stop"}],"usage":{"prompt_tokens":974,"completion_tokens":16,"total_tokens":990}}</t>
        </is>
      </c>
      <c r="K8" t="inlineStr">
        <is>
          <t>Rhude Blue Bird Logo Cotton T-Shirt Unisex Streetwear</t>
        </is>
      </c>
      <c r="L8" t="inlineStr">
        <is>
          <t>{"id":"resp_07d481bc5b05820c016a2249f169bc819b842a6a9a5bdeedbf","object":"chat.completion","created":1780632052,"model":"gpt-5.5","choices":[{"index":0,"message":{"role":"assistant","content":"Rhude black short sleeve T-shirt, cotton crew neck, blue bird logo print, unisex vintage streetwear casual top for men and women"},"finish_reason":"stop"}],"usage":{"prompt_tokens":983,"completion_tokens":67,"total_tokens":1050}}</t>
        </is>
      </c>
      <c r="M8" t="inlineStr">
        <is>
          <t>{"alt-svc":"h3=\":443\"; ma=2592000","connection":"close","content-length":"422","content-type":"application/json; charset=utf-8","date":"Fri, 05 Jun 2026 04:00:52 GMT","referrer-policy":"strict-origin-when-cross-origin","server":"nginx/1.24.0 (Ubuntu)","strict-transport-security":"max-age=31536000; includeSubDomains; preload","vary":"Accept-Encoding","via":"1.1 Caddy","x-content-type-options":"nosniff","x-frame-options":"DENY","x-new-api-version":"v1.0.0-rc.10","x-oneapi-request-id":"20260605040049841950978268d9d6TRRKiA91","x-request-id":"157d6df44b0cab4c409a8fe712742a50"}</t>
        </is>
      </c>
      <c r="N8" t="inlineStr">
        <is>
          <t>Rhude black short sleeve T-shirt, cotton crew neck, blue bird logo print, unisex vintage streetwear casual top for men and women</t>
        </is>
      </c>
      <c r="O8" t="inlineStr">
        <is>
          <t>{"id":"resp_048246e47cfc0aa7016a22696fc694819b8e2f323bee57ae8f","object":"chat.completion","created":1780640113,"model":"gpt-5.5","choices":[{"index":0,"message":{"role":"assistant","content":"Rhude black short sleeve T-shirt, Rhude cotton crew neck tee, Rhude blue bird logo print shirt, Rhude unisex vintage streetwear top, Rhude casual T-shirt men women, Rhude graphic cotton T-shirt"},"finish_reason":"stop"}],"usage":{"prompt_tokens":858,"completion_tokens":50,"total_tokens":908}}</t>
        </is>
      </c>
      <c r="P8" t="inlineStr">
        <is>
          <t>Rhude black short sleeve T-shirt, Rhude cotton crew neck tee, Rhude blue bird logo print shirt, Rhude unisex vintage streetwear top, Rhude casual T-shirt men women, Rhude graphic cotton T-shirt</t>
        </is>
      </c>
      <c r="Q8" t="inlineStr">
        <is>
          <t>Black, Vintage, Streetwear, Unisex</t>
        </is>
      </c>
      <c r="R8" t="inlineStr">
        <is>
          <t>recvlts3M1ZimS</t>
        </is>
      </c>
      <c r="S8" t="inlineStr">
        <is>
          <t>rhude-blue-bird-logo-cotton-t-shirt-recvlts3m1zims</t>
        </is>
      </c>
      <c r="T8"/>
      <c r="U8"/>
      <c r="V8"/>
      <c r="W8" t="inlineStr">
        <is>
          <t>{"id":"resp_01c5e5aa9c835c30016a22487b644c81988c334fe6f2ff83f5","object":"chat.completion","created":1780631677,"model":"gpt-5.5","choices":[{"index":0,"message":{"role":"assistant","content":"Rhude 黑色短袖T恤，棉质圆领版型，蓝色飞鸟Logo印花，男女同款街头复古休闲潮牌上衣"},"finish_reason":"stop"}],"usage":{"prompt_tokens":1293,"completion_tokens":43,"total_tokens":1336}}</t>
        </is>
      </c>
      <c r="X8" t="inlineStr">
        <is>
          <t>Rhude 黑色短袖T恤，棉质圆领版型，蓝色飞鸟Logo印花，男女同款街头复古休闲潮牌上衣</t>
        </is>
      </c>
    </row>
    <row r="9" ht="25.5" customHeight="1">
      <c r="A9">
        <v>1839115443</v>
      </c>
      <c r="B9">
        <v>7781560258</v>
      </c>
      <c r="C9" s="2" t="str">
        <f>=HYPERLINK("https://weidian.com/item.html?itemID=7781560258", "https://weidian.com/item.html?itemID=7781560258")</f>
        <v>https://weidian.com/item.html?itemID=7781560258</v>
      </c>
      <c r="D9"/>
      <c r="E9" s="2" t="str">
        <f>=HYPERLINK("https://si.geilicdn.com/open1839115443-252808396-46780000019e87e0b59b0aa08239_800_800.jpg?w=640&amp;h=640", "https://si.geilicdn.com/open1839115443-252808396-46780000019e87e0b59b0aa08239_800_800.jpg?w=640&amp;h=640")</f>
        <v>https://si.geilicdn.com/open1839115443-252808396-46780000019e87e0b59b0aa08239_800_800.jpg?w=640&amp;h=640</v>
      </c>
      <c r="F9" t="inlineStr">
        <is>
          <t>Pants</t>
        </is>
      </c>
      <c r="G9" t="inlineStr">
        <is>
          <t>Sp5der</t>
        </is>
      </c>
      <c r="H9" t="inlineStr">
        <is>
          <t>117</t>
        </is>
      </c>
      <c r="I9">
        <v>16.96</v>
      </c>
      <c r="J9" t="inlineStr">
        <is>
          <t>{"id":"resp_00f7862290dcf84d016a224be1fb3c819bbdfcdacab209c5e6","object":"chat.completion","created":1780632547,"model":"gpt-5.5","choices":[{"index":0,"message":{"role":"assistant","content":"Sp5der Gray Spiderweb Logo Mesh Shorts Unisex Streetwear"},"finish_reason":"stop"}],"usage":{"prompt_tokens":973,"completion_tokens":17,"total_tokens":990}}</t>
        </is>
      </c>
      <c r="K9" t="inlineStr">
        <is>
          <t>Sp5der Gray Spiderweb Logo Mesh Shorts Unisex Streetwear</t>
        </is>
      </c>
      <c r="L9" t="inlineStr">
        <is>
          <t>{"id":"resp_00982109260dc794016a224a0bb90c819aa0bc96317475bc9e","object":"chat.completion","created":1780632078,"model":"gpt-5.5","choices":[{"index":0,"message":{"role":"assistant","content":"PantsSp5der Sp5der gray spiderweb logo mesh shorts, breathable elastic waist unisex streetwear athletic casual knee-length shorts"},"finish_reason":"stop"}],"usage":{"prompt_tokens":984,"completion_tokens":120,"total_tokens":1104}}</t>
        </is>
      </c>
      <c r="M9" t="inlineStr">
        <is>
          <t>{"alt-svc":"h3=\":443\"; ma=2592000","connection":"close","content-length":"424","content-type":"application/json; charset=utf-8","date":"Fri, 05 Jun 2026 04:01:18 GMT","referrer-policy":"strict-origin-when-cross-origin","server":"nginx/1.24.0 (Ubuntu)","strict-transport-security":"max-age=31536000; includeSubDomains; preload","vary":"Accept-Encoding","via":"1.1 Caddy","x-content-type-options":"nosniff","x-frame-options":"DENY","x-new-api-version":"v1.0.0-rc.10","x-oneapi-request-id":"202606050401154624912698268d9d6UdZYsLjU","x-request-id":"ae7ceb97b68050a1790151b69a32675e"}</t>
        </is>
      </c>
      <c r="N9" t="inlineStr">
        <is>
          <t>PantsSp5der Sp5der gray spiderweb logo mesh shorts, breathable elastic waist unisex streetwear athletic casual knee-length shorts</t>
        </is>
      </c>
      <c r="O9" t="inlineStr">
        <is>
          <t>{"id":"resp_0a95f4275b76af98016a2269b2f764819b918bc312948ee9bc","object":"chat.completion","created":1780640182,"model":"gpt-5.5","choices":[{"index":0,"message":{"role":"assistant","content":"PantsSp5der spiderweb mesh shorts, Sp5der gray logo athletic shorts, breathable elastic waist streetwear shorts, unisex knee length mesh shorts, PantsSp5der casual sports shorts, Sp5der logo summer shorts"},"finish_reason":"stop"}],"usage":{"prompt_tokens":858,"completion_tokens":50,"total_tokens":908}}</t>
        </is>
      </c>
      <c r="P9" t="inlineStr">
        <is>
          <t>PantsSp5der spiderweb mesh shorts, Sp5der gray logo athletic shorts, breathable elastic waist streetwear shorts, unisex knee length mesh shorts, PantsSp5der casual sports shorts, Sp5der logo summer shorts</t>
        </is>
      </c>
      <c r="Q9" t="inlineStr">
        <is>
          <t>Mesh, Breathable, Elastic, Unisex, Streetwear, Athletic</t>
        </is>
      </c>
      <c r="R9" t="inlineStr">
        <is>
          <t>recvlts3M1VuQO</t>
        </is>
      </c>
      <c r="S9" t="inlineStr">
        <is>
          <t>sp5der-gray-spiderweb-logo-mesh-shorts-recvlts3M1VuQO</t>
        </is>
      </c>
      <c r="T9"/>
      <c r="U9"/>
      <c r="V9"/>
      <c r="W9" t="inlineStr">
        <is>
          <t>{"id":"resp_07e964e41a27e21b016a224899d1908199b655260c495da713","object":"chat.completion","created":1780631709,"model":"gpt-5.5","choices":[{"index":0,"message":{"role":"assistant","content":"Sp5der 灰色蛛网Logo印花运动短裤，透气网眼面料，松紧腰休闲街头风，男女通用潮牌五分裤"},"finish_reason":"stop"}],"usage":{"prompt_tokens":1291,"completion_tokens":43,"total_tokens":1334,"prompt_tokens_details":{"cached_tokens":1024}}}</t>
        </is>
      </c>
      <c r="X9" t="inlineStr">
        <is>
          <t>Sp5der 灰色蛛网Logo印花运动短裤，透气网眼面料，松紧腰休闲街头风，男女通用潮牌五分裤</t>
        </is>
      </c>
    </row>
    <row r="10" ht="25.5" customHeight="1">
      <c r="A10">
        <v>1839115443</v>
      </c>
      <c r="B10">
        <v>7781515062</v>
      </c>
      <c r="C10" s="2" t="str">
        <f>=HYPERLINK("https://weidian.com/item.html?itemID=7781515062", "https://weidian.com/item.html?itemID=7781515062")</f>
        <v>https://weidian.com/item.html?itemID=7781515062</v>
      </c>
      <c r="D10"/>
      <c r="E10" s="2" t="str">
        <f>=HYPERLINK("https://si.geilicdn.com/open1839115443-252808396-29350000019e87e1cb120a8133b0_1920_1920.jpg?w=750&amp;h=750&amp;cp=1", "https://si.geilicdn.com/open1839115443-252808396-29350000019e87e1cb120a8133b0_1920_1920.jpg?w=750&amp;h=750&amp;cp=1")</f>
        <v>https://si.geilicdn.com/open1839115443-252808396-29350000019e87e1cb120a8133b0_1920_1920.jpg?w=750&amp;h=750&amp;cp=1</v>
      </c>
      <c r="F10" t="inlineStr">
        <is>
          <t>Hoodies</t>
        </is>
      </c>
      <c r="G10" t="inlineStr">
        <is>
          <t>Sp5der</t>
        </is>
      </c>
      <c r="H10" t="inlineStr">
        <is>
          <t>165</t>
        </is>
      </c>
      <c r="I10">
        <v>23.91</v>
      </c>
      <c r="J10" t="inlineStr">
        <is>
          <t>{"id":"resp_083e944ce98326d8016a224b92b404819aa0305fd67f23d445","object":"chat.completion","created":1780632470,"model":"gpt-5.5","choices":[{"index":0,"message":{"role":"assistant","content":"Sp5der Red Hoodie Set Fleece Pullover Jogger Tracksuit"},"finish_reason":"stop"}],"usage":{"prompt_tokens":1195,"completion_tokens":164,"total_tokens":1359}}</t>
        </is>
      </c>
      <c r="K10" t="inlineStr">
        <is>
          <t>Sp5der Red Hoodie Set Fleece Pullover Jogger Tracksuit</t>
        </is>
      </c>
      <c r="L10" t="inlineStr">
        <is>
          <t>{"id":"resp_0f3429e7e09d38b0016a224a240fe481999f177166ada0e47e","object":"chat.completion","created":1780632103,"model":"gpt-5.5","choices":[{"index":0,"message":{"role":"assistant","content":"Sp5der Red Hoodie Set, cotton fleece pullover with curved logo print, kangaroo pocket and jogger sweatpants, unisex streetwear sports tracksuit"},"finish_reason":"stop"}],"usage":{"prompt_tokens":1210,"completion_tokens":136,"total_tokens":1346}}</t>
        </is>
      </c>
      <c r="M10" t="inlineStr">
        <is>
          <t>{"alt-svc":"h3=\":443\"; ma=2592000","connection":"close","content-length":"439","content-type":"application/json; charset=utf-8","date":"Fri, 05 Jun 2026 04:01:43 GMT","referrer-policy":"strict-origin-when-cross-origin","server":"nginx/1.24.0 (Ubuntu)","strict-transport-security":"max-age=31536000; includeSubDomains; preload","vary":"Accept-Encoding","via":"1.1 Caddy","x-content-type-options":"nosniff","x-frame-options":"DENY","x-new-api-version":"v1.0.0-rc.10","x-oneapi-request-id":"202606050401398389638088268d9d6HwywtkI9","x-request-id":"19b7ab0d6f28caad3708c4e6752c48be"}</t>
        </is>
      </c>
      <c r="N10" t="inlineStr">
        <is>
          <t>Sp5der Red Hoodie Set, cotton fleece pullover with curved logo print, kangaroo pocket and jogger sweatpants, unisex streetwear sports tracksuit</t>
        </is>
      </c>
      <c r="O10" t="inlineStr">
        <is>
          <t>{"id":"resp_056fb13e9b18b9a3016a2269a540a0819191ad16053f900436","object":"chat.completion","created":1780640167,"model":"gpt-5.5","choices":[{"index":0,"message":{"role":"assistant","content":"Sp5der Red Hoodie Set, Sp5der cotton fleece tracksuit, Sp5der curved logo hoodie joggers, unisex Sp5der streetwear set, Sp5der kangaroo pocket pullover, Sp5der sports sweatpants set"},"finish_reason":"stop"}],"usage":{"prompt_tokens":1075,"completion_tokens":53,"total_tokens":1128}}</t>
        </is>
      </c>
      <c r="P10" t="inlineStr">
        <is>
          <t>Sp5der Red Hoodie Set, Sp5der cotton fleece tracksuit, Sp5der curved logo hoodie joggers, unisex Sp5der streetwear set, Sp5der kangaroo pocket pullover, Sp5der sports sweatpants set</t>
        </is>
      </c>
      <c r="Q10" t="inlineStr">
        <is>
          <t>Unisex, Streetwear, Fleece-Lined, Joggers</t>
        </is>
      </c>
      <c r="R10" t="inlineStr">
        <is>
          <t>recvlts3M1FIhM</t>
        </is>
      </c>
      <c r="S10" t="inlineStr">
        <is>
          <t>sp5der-red-hoodie-fleece-pullover-jogger-tracksuit-recvlts3M1FIhM</t>
        </is>
      </c>
      <c r="T10"/>
      <c r="U10"/>
      <c r="V10"/>
      <c r="W10" t="inlineStr">
        <is>
          <t>{"id":"resp_0a70ae408450a59b016a2248067b78819b8eccc7d0e3213082","object":"chat.completion","created":1780631561,"model":"gpt-5.5","choices":[{"index":0,"message":{"role":"assistant","content":"Sp5der 红色连帽卫衣套装，棉质抓绒面料，弧形Logo印花，袋鼠兜束脚裤，男女同款街头休闲运动套装"},"finish_reason":"stop"}],"usage":{"prompt_tokens":1515,"completion_tokens":50,"total_tokens":1565,"prompt_tokens_details":{"cached_tokens":1024}}}</t>
        </is>
      </c>
      <c r="X10" t="inlineStr">
        <is>
          <t>Sp5der 红色连帽卫衣套装，棉质抓绒面料，弧形Logo印花，袋鼠兜束脚裤，男女同款街头休闲运动套装</t>
        </is>
      </c>
    </row>
    <row r="11" ht="25.5" customHeight="1">
      <c r="A11">
        <v>1839115443</v>
      </c>
      <c r="B11">
        <v>7781497364</v>
      </c>
      <c r="C11" s="2" t="str">
        <f>=HYPERLINK("https://weidian.com/item.html?itemID=7781497364", "https://weidian.com/item.html?itemID=7781497364")</f>
        <v>https://weidian.com/item.html?itemID=7781497364</v>
      </c>
      <c r="D11"/>
      <c r="E11" s="2" t="str">
        <f>=HYPERLINK("https://si.geilicdn.com/open1839115443-252808396-29e50000019e87e3321f0a8133b0_1920_1920.jpg?w=640&amp;h=640", "https://si.geilicdn.com/open1839115443-252808396-29e50000019e87e3321f0a8133b0_1920_1920.jpg?w=640&amp;h=640")</f>
        <v>https://si.geilicdn.com/open1839115443-252808396-29e50000019e87e3321f0a8133b0_1920_1920.jpg?w=640&amp;h=640</v>
      </c>
      <c r="F11" t="inlineStr">
        <is>
          <t>Hoodies</t>
        </is>
      </c>
      <c r="G11" t="inlineStr">
        <is>
          <t>Sp5der</t>
        </is>
      </c>
      <c r="H11" t="inlineStr">
        <is>
          <t>178.5</t>
        </is>
      </c>
      <c r="I11">
        <v>25.87</v>
      </c>
      <c r="J11" t="inlineStr">
        <is>
          <t>{"id":"resp_075a52fe52c1ccbd016a224b7c46a0819b958384629ff391aa","object":"chat.completion","created":1780632448,"model":"gpt-5.5","choices":[{"index":0,"message":{"role":"assistant","content":"Sp5der Light Blue Hoodie Sweatpants Set Unisex Tracksuit"},"finish_reason":"stop"}],"usage":{"prompt_tokens":980,"completion_tokens":135,"total_tokens":1115}}</t>
        </is>
      </c>
      <c r="K11" t="inlineStr">
        <is>
          <t>Sp5der Light Blue Hoodie Sweatpants Set Unisex Tracksuit</t>
        </is>
      </c>
      <c r="L11" t="inlineStr">
        <is>
          <t>{"id":"resp_068088d9ec29c9b8016a2249e12960819b8e552e9a1fcfcc90","object":"chat.completion","created":1780632037,"model":"gpt-5.5","choices":[{"index":0,"message":{"role":"assistant","content":"Sp5der light blue hoodie and sweatpants set, soft knit cotton blend, curved logo print, unisex streetwear tracksuit for casual sports style"},"finish_reason":"stop"}],"usage":{"prompt_tokens":1003,"completion_tokens":125,"total_tokens":1128}}</t>
        </is>
      </c>
      <c r="M11" t="inlineStr">
        <is>
          <t>{"alt-svc":"h3=\":443\"; ma=2592000","connection":"close","content-length":"435","content-type":"application/json; charset=utf-8","date":"Fri, 05 Jun 2026 04:00:37 GMT","referrer-policy":"strict-origin-when-cross-origin","server":"nginx/1.24.0 (Ubuntu)","strict-transport-security":"max-age=31536000; includeSubDomains; preload","vary":"Accept-Encoding","via":"1.1 Caddy","x-content-type-options":"nosniff","x-frame-options":"DENY","x-new-api-version":"v1.0.0-rc.10","x-oneapi-request-id":"202606050400329142885008268d9d6g4sZnIfd","x-request-id":"ff803f8edf1982ddc0fab21c4fb68318"}</t>
        </is>
      </c>
      <c r="N11" t="inlineStr">
        <is>
          <t>Sp5der light blue hoodie and sweatpants set, soft knit cotton blend, curved logo print, unisex streetwear tracksuit for casual sports style</t>
        </is>
      </c>
      <c r="O11" t="inlineStr">
        <is>
          <t>{"id":"resp_0d1818451875dd66016a2269cf3d00819ab422f405a656e1a2","object":"chat.completion","created":1780640209,"model":"gpt-5.5","choices":[{"index":0,"message":{"role":"assistant","content":"Sp5der light blue hoodie sweatpants set, Sp5der unisex streetwear tracksuit, Sp5der cotton blend knit hoodie, Sp5der curved logo print set, Sp5der casual sports hoodie pants, Sp5der soft knit tracksuit"},"finish_reason":"stop"}],"usage":{"prompt_tokens":862,"completion_tokens":55,"total_tokens":917}}</t>
        </is>
      </c>
      <c r="P11" t="inlineStr">
        <is>
          <t>Sp5der light blue hoodie sweatpants set, Sp5der unisex streetwear tracksuit, Sp5der cotton blend knit hoodie, Sp5der curved logo print set, Sp5der casual sports hoodie pants, Sp5der soft knit tracksuit</t>
        </is>
      </c>
      <c r="Q11" t="inlineStr">
        <is>
          <t>Lightweight, Knit, Streetwear, Unisex, Blue</t>
        </is>
      </c>
      <c r="R11" t="inlineStr">
        <is>
          <t>recvlts3M1I8QI</t>
        </is>
      </c>
      <c r="S11" t="inlineStr">
        <is>
          <t>sp5der-light-blue-hoodie-sweatpants-set-recvlts3m1i8qi</t>
        </is>
      </c>
      <c r="T11"/>
      <c r="U11"/>
      <c r="V11"/>
      <c r="W11" t="inlineStr">
        <is>
          <t>{"id":"resp_024b5ca19be55587016a2248c8efc4819b9c7efd329dd3a024","object":"chat.completion","created":1780631757,"model":"gpt-5.5","choices":[{"index":0,"message":{"role":"assistant","content":"浅蓝色Sp5der连帽卫衣套装，柔软针织棉混纺面料，胸前弧形Logo印花，休闲街头风男女同款运动长裤两件套"},"finish_reason":"stop"}],"usage":{"prompt_tokens":1300,"completion_tokens":160,"total_tokens":1460,"prompt_tokens_details":{"cached_tokens":1024}}}</t>
        </is>
      </c>
      <c r="X11" t="inlineStr">
        <is>
          <t>浅蓝色Sp5der连帽卫衣套装，柔软针织棉混纺面料，胸前弧形Logo印花，休闲街头风男女同款运动长裤两件套</t>
        </is>
      </c>
    </row>
    <row r="12" ht="25.5" customHeight="1">
      <c r="A12">
        <v>1839115443</v>
      </c>
      <c r="B12">
        <v>7778513329</v>
      </c>
      <c r="C12" s="2" t="str">
        <f>=HYPERLINK("https://weidian.com/item.html?itemID=7778513329", "https://weidian.com/item.html?itemID=7778513329")</f>
        <v>https://weidian.com/item.html?itemID=7778513329</v>
      </c>
      <c r="D12"/>
      <c r="E12" s="2" t="str">
        <f>=HYPERLINK("https://si.geilicdn.com/open1839115443-252808396-57c20000019e87e729e80a22d249_800_800.jpg?w=640&amp;h=640", "https://si.geilicdn.com/open1839115443-252808396-57c20000019e87e729e80a22d249_800_800.jpg?w=640&amp;h=640")</f>
        <v>https://si.geilicdn.com/open1839115443-252808396-57c20000019e87e729e80a22d249_800_800.jpg?w=640&amp;h=640</v>
      </c>
      <c r="F12" t="inlineStr">
        <is>
          <t>T-Shirts</t>
        </is>
      </c>
      <c r="G12" t="inlineStr">
        <is>
          <t>Sp5der</t>
        </is>
      </c>
      <c r="H12" t="inlineStr">
        <is>
          <t>67.5</t>
        </is>
      </c>
      <c r="I12">
        <v>9.78</v>
      </c>
      <c r="J12" t="inlineStr">
        <is>
          <t>{"id":"resp_02afe084021887e7016a224b97c2c4819ba6e89989e44efd1c","object":"chat.completion","created":1780632476,"model":"gpt-5.5","choices":[{"index":0,"message":{"role":"assistant","content":"Sp5der Pink Spider Web Logo Oversized Cotton T-Shirt"},"finish_reason":"stop"}],"usage":{"prompt_tokens":973,"completion_tokens":140,"total_tokens":1113}}</t>
        </is>
      </c>
      <c r="K12" t="inlineStr">
        <is>
          <t>Sp5der Pink Spider Web Logo Oversized Cotton T-Shirt</t>
        </is>
      </c>
      <c r="L12" t="inlineStr">
        <is>
          <t>{"id":"resp_057806d97aa1fa31016a224a62b744819985b58e488ed89702","object":"chat.completion","created":1780632169,"model":"gpt-5.5","choices":[{"index":0,"message":{"role":"assistant","content":"Sp5der pink cotton short sleeve T-shirt with spider web logo print, star graphics, oversized streetwear fit, unisex casual top"},"finish_reason":"stop"}],"usage":{"prompt_tokens":992,"completion_tokens":31,"total_tokens":1023}}</t>
        </is>
      </c>
      <c r="M12" t="inlineStr">
        <is>
          <t>{"alt-svc":"h3=\":443\"; ma=2592000","connection":"close","content-length":"420","content-type":"application/json; charset=utf-8","date":"Fri, 05 Jun 2026 04:02:49 GMT","referrer-policy":"strict-origin-when-cross-origin","server":"nginx/1.24.0 (Ubuntu)","strict-transport-security":"max-age=31536000; includeSubDomains; preload","vary":"Accept-Encoding","via":"1.1 Caddy","x-content-type-options":"nosniff","x-frame-options":"DENY","x-new-api-version":"v1.0.0-rc.10","x-oneapi-request-id":"202606050402424076652018268d9d6vAJa0NKV","x-request-id":"fbc06ee2d4f44a6289bb787239457268"}</t>
        </is>
      </c>
      <c r="N12" t="inlineStr">
        <is>
          <t>Sp5der pink cotton short sleeve T-shirt with spider web logo print, star graphics, oversized streetwear fit, unisex casual top</t>
        </is>
      </c>
      <c r="O12" t="inlineStr">
        <is>
          <t>{"id":"resp_0f830121d91e4be7016a2269f2a540819998cd8312a77b78cf","object":"chat.completion","created":1780640245,"model":"gpt-5.5","choices":[{"index":0,"message":{"role":"assistant","content":"Sp5der pink cotton T-shirt, Sp5der spider web logo tee, Sp5der oversized streetwear T-shirt, Sp5der unisex short sleeve top, Sp5der star graphic cotton tee, Sp5der casual streetwear shirt"},"finish_reason":"stop"}],"usage":{"prompt_tokens":858,"completion_tokens":53,"total_tokens":911}}</t>
        </is>
      </c>
      <c r="P12" t="inlineStr">
        <is>
          <t>Sp5der pink cotton T-shirt, Sp5der spider web logo tee, Sp5der oversized streetwear T-shirt, Sp5der unisex short sleeve top, Sp5der star graphic cotton tee, Sp5der casual streetwear shirt</t>
        </is>
      </c>
      <c r="Q12" t="inlineStr">
        <is>
          <t>Pink, Streetwear, Unisex</t>
        </is>
      </c>
      <c r="R12" t="inlineStr">
        <is>
          <t>recvlts3M1OTbJ</t>
        </is>
      </c>
      <c r="S12" t="inlineStr">
        <is>
          <t>sp5der-pink-spider-web-logo-oversized-cotton-t-shirt-recvlts3M1OTbJ</t>
        </is>
      </c>
      <c r="T12"/>
      <c r="U12"/>
      <c r="V12"/>
      <c r="W12" t="inlineStr">
        <is>
          <t>{"id":"resp_0ab82f510773a3e6016a2248996ce081988f1b31554fccd1d7","object":"chat.completion","created":1780631707,"model":"gpt-5.5","choices":[{"index":0,"message":{"role":"assistant","content":"Sp5der 粉红色棉质短袖T恤，蛛网Logo印花与星星图腾，街头潮流宽松版型，男女同款休闲上衣"},"finish_reason":"stop"}],"usage":{"prompt_tokens":1291,"completion_tokens":47,"total_tokens":1338}}</t>
        </is>
      </c>
      <c r="X12" t="inlineStr">
        <is>
          <t>Sp5der 粉红色棉质短袖T恤，蛛网Logo印花与星星图腾，街头潮流宽松版型，男女同款休闲上衣</t>
        </is>
      </c>
    </row>
    <row r="13" ht="25.5" customHeight="1">
      <c r="A13">
        <v>1839115443</v>
      </c>
      <c r="B13">
        <v>7778505073</v>
      </c>
      <c r="C13" s="2" t="str">
        <f>=HYPERLINK("https://weidian.com/item.html?itemID=7778505073", "https://weidian.com/item.html?itemID=7778505073")</f>
        <v>https://weidian.com/item.html?itemID=7778505073</v>
      </c>
      <c r="D13"/>
      <c r="E13" s="2" t="str">
        <f>=HYPERLINK("https://si.geilicdn.com/open1839115443-252808396-52b40000019e87e7068b0a23b4de_1200_1200.jpg?w=640&amp;h=640", "https://si.geilicdn.com/open1839115443-252808396-52b40000019e87e7068b0a23b4de_1200_1200.jpg?w=640&amp;h=640")</f>
        <v>https://si.geilicdn.com/open1839115443-252808396-52b40000019e87e7068b0a23b4de_1200_1200.jpg?w=640&amp;h=640</v>
      </c>
      <c r="F13" t="inlineStr">
        <is>
          <t>Hoodies</t>
        </is>
      </c>
      <c r="G13" t="inlineStr">
        <is>
          <t>Sp5der</t>
        </is>
      </c>
      <c r="H13" t="inlineStr">
        <is>
          <t>142.5</t>
        </is>
      </c>
      <c r="I13">
        <v>20.65</v>
      </c>
      <c r="J13" t="inlineStr">
        <is>
          <t>{"id":"resp_001d3977da093393016a224c3ecb50819bbf9bea1ce3cda3eb","object":"chat.completion","created":1780632642,"model":"gpt-5.5","choices":[{"index":0,"message":{"role":"assistant","content":"Sp5der Blue Spider Web Graphic Cotton Pullover Hoodie"},"finish_reason":"stop"}],"usage":{"prompt_tokens":971,"completion_tokens":119,"total_tokens":1090}}</t>
        </is>
      </c>
      <c r="K13" t="inlineStr">
        <is>
          <t>Sp5der Blue Spider Web Graphic Cotton Pullover Hoodie</t>
        </is>
      </c>
      <c r="L13" t="inlineStr">
        <is>
          <t>{"id":"resp_078ef9517f4b3280016a224a4fdc8481999264fbd42a77410c","object":"chat.completion","created":1780632149,"model":"gpt-5.5","choices":[{"index":0,"message":{"role":"assistant","content":"Sp5der Blue Hoodie, cotton warm pullover with spider web graphic, relaxed streetwear fit, unisex casual fashion sweatshirt."},"finish_reason":"stop"}],"usage":{"prompt_tokens":981,"completion_tokens":68,"total_tokens":1049}}</t>
        </is>
      </c>
      <c r="M13" t="inlineStr">
        <is>
          <t>{"alt-svc":"h3=\":443\"; ma=2592000","connection":"close","content-length":"417","content-type":"application/json; charset=utf-8","date":"Fri, 05 Jun 2026 04:02:29 GMT","referrer-policy":"strict-origin-when-cross-origin","server":"nginx/1.24.0 (Ubuntu)","strict-transport-security":"max-age=31536000; includeSubDomains; preload","vary":"Accept-Encoding","via":"1.1 Caddy","x-content-type-options":"nosniff","x-frame-options":"DENY","x-new-api-version":"v1.0.0-rc.10","x-oneapi-request-id":"202606050402215535538468268d9d69UCSO38u","x-request-id":"dcb257e0a5664a68b1a4c70f0bbcce28"}</t>
        </is>
      </c>
      <c r="N13" t="inlineStr">
        <is>
          <t>Sp5der Blue Hoodie, cotton warm pullover with spider web graphic, relaxed streetwear fit, unisex casual fashion sweatshirt.</t>
        </is>
      </c>
      <c r="O13" t="inlineStr">
        <is>
          <t>{"id":"resp_0559a59a629524bd016a2269e424988198a83545eaa450b167","object":"chat.completion","created":1780640229,"model":"gpt-5.5","choices":[{"index":0,"message":{"role":"assistant","content":"Sp5der blue hoodie, Sp5der cotton pullover hoodie, Sp5der spider web graphic sweatshirt, Sp5der relaxed fit streetwear hoodie, Sp5der unisex casual hoodie, Sp5der warm cotton sweatshirt"},"finish_reason":"stop"}],"usage":{"prompt_tokens":858,"completion_tokens":49,"total_tokens":907}}</t>
        </is>
      </c>
      <c r="P13" t="inlineStr">
        <is>
          <t>Sp5der blue hoodie, Sp5der cotton pullover hoodie, Sp5der spider web graphic sweatshirt, Sp5der relaxed fit streetwear hoodie, Sp5der unisex casual hoodie, Sp5der warm cotton sweatshirt</t>
        </is>
      </c>
      <c r="Q13" t="inlineStr">
        <is>
          <t>Streetwear, Unisex, Blue, Fashion</t>
        </is>
      </c>
      <c r="R13" t="inlineStr">
        <is>
          <t>recvlts3M1Mrc1</t>
        </is>
      </c>
      <c r="S13" t="inlineStr">
        <is>
          <t>sp5der-blue-spider-web-graphic-cotton-pullover-hoodie-recvlts3m1mrc1</t>
        </is>
      </c>
      <c r="T13"/>
      <c r="U13"/>
      <c r="V13"/>
      <c r="W13" t="inlineStr">
        <is>
          <t>{"id":"resp_06f27f52237cca43016a2248037f20819bbf8fe2a356dae47c","object":"chat.completion","created":1780631557,"model":"gpt-5.5","choices":[{"index":0,"message":{"role":"assistant","content":"Sp5der 蓝色连帽卫衣，棉质休闲保暖，蜘蛛网印花图腾，宽松街头潮流男女同款帽衫"},"finish_reason":"stop"}],"usage":{"prompt_tokens":1300,"completion_tokens":41,"total_tokens":1341,"prompt_tokens_details":{"cached_tokens":1024}}}</t>
        </is>
      </c>
      <c r="X13" t="inlineStr">
        <is>
          <t>Sp5der 蓝色连帽卫衣，棉质休闲保暖，蜘蛛网印花图腾，宽松街头潮流男女同款帽衫</t>
        </is>
      </c>
    </row>
    <row r="14" ht="25.5" customHeight="1">
      <c r="A14">
        <v>1839115443</v>
      </c>
      <c r="B14">
        <v>7778537027</v>
      </c>
      <c r="C14" s="2" t="str">
        <f>=HYPERLINK("https://weidian.com/item.html?itemID=7778537027", "https://weidian.com/item.html?itemID=7778537027")</f>
        <v>https://weidian.com/item.html?itemID=7778537027</v>
      </c>
      <c r="D14"/>
      <c r="E14" s="2" t="str">
        <f>=HYPERLINK("https://si.geilicdn.com/open1839115443-252808396-47060000019e87e7c20f0aa08269_750_750.jpg?w=640&amp;h=640", "https://si.geilicdn.com/open1839115443-252808396-47060000019e87e7c20f0aa08269_750_750.jpg?w=640&amp;h=640")</f>
        <v>https://si.geilicdn.com/open1839115443-252808396-47060000019e87e7c20f0aa08269_750_750.jpg?w=640&amp;h=640</v>
      </c>
      <c r="F14" t="inlineStr">
        <is>
          <t>Hoodies</t>
        </is>
      </c>
      <c r="G14" t="inlineStr">
        <is>
          <t>Sp5der</t>
        </is>
      </c>
      <c r="H14" t="inlineStr">
        <is>
          <t>148.5</t>
        </is>
      </c>
      <c r="I14">
        <v>21.52</v>
      </c>
      <c r="J14" t="inlineStr">
        <is>
          <t>{"id":"resp_0730d1308f71ddf7016a224baf5728819895f765a72fc07ae9","object":"chat.completion","created":1780632497,"model":"gpt-5.5","choices":[{"index":0,"message":{"role":"assistant","content":"Sp5der Black Spider Web Logo Cotton Hoodie"},"finish_reason":"stop"}],"usage":{"prompt_tokens":976,"completion_tokens":13,"total_tokens":989}}</t>
        </is>
      </c>
      <c r="K14" t="inlineStr">
        <is>
          <t>Sp5der Black Spider Web Logo Cotton Hoodie</t>
        </is>
      </c>
      <c r="L14" t="inlineStr">
        <is>
          <t>{"id":"resp_0faf6f3af95b9f8e016a224a811988819b886977456fa39859","object":"chat.completion","created":1780632194,"model":"gpt-5.5","choices":[{"index":0,"message":{"role":"assistant","content":"Sp5der black cotton hoodie with spider web graphic, pink logo print, kangaroo pocket, comfy streetwear pullover for men and women"},"finish_reason":"stop"}],"usage":{"prompt_tokens":989,"completion_tokens":32,"total_tokens":1021}}</t>
        </is>
      </c>
      <c r="M14" t="inlineStr">
        <is>
          <t>{"alt-svc":"h3=\":443\"; ma=2592000","connection":"close","content-length":"423","content-type":"application/json; charset=utf-8","date":"Fri, 05 Jun 2026 04:03:14 GMT","referrer-policy":"strict-origin-when-cross-origin","server":"nginx/1.24.0 (Ubuntu)","strict-transport-security":"max-age=31536000; includeSubDomains; preload","vary":"Accept-Encoding","via":"1.1 Caddy","x-content-type-options":"nosniff","x-frame-options":"DENY","x-new-api-version":"v1.0.0-rc.10","x-oneapi-request-id":"202606050403123324229498268d9d6pEh8PLJX","x-request-id":"2dee542428ae234a5ffb4eafbf59b48e"}</t>
        </is>
      </c>
      <c r="N14" t="inlineStr">
        <is>
          <t>Sp5der black cotton hoodie with spider web graphic, pink logo print, kangaroo pocket, comfy streetwear pullover for men and women</t>
        </is>
      </c>
      <c r="O14" t="inlineStr">
        <is>
          <t>{"id":"resp_0b04509535ed3146016a2269cd230c819a9ff57e3387aa72a9","object":"chat.completion","created":1780640207,"model":"gpt-5.5","choices":[{"index":0,"message":{"role":"assistant","content":"Sp5der black cotton hoodie, Sp5der spider web graphic hoodie, Sp5der pink logo pullover, unisex streetwear hoodie, cotton kangaroo pocket hoodie, Sp5der men women hoodie"},"finish_reason":"stop"}],"usage":{"prompt_tokens":860,"completion_tokens":80,"total_tokens":940}}</t>
        </is>
      </c>
      <c r="P14" t="inlineStr">
        <is>
          <t>Sp5der black cotton hoodie, Sp5der spider web graphic hoodie, Sp5der pink logo pullover, unisex streetwear hoodie, cotton kangaroo pocket hoodie, Sp5der men women hoodie</t>
        </is>
      </c>
      <c r="Q14" t="inlineStr">
        <is>
          <t>Streetwear, Black, Men's And Women's, Comfort</t>
        </is>
      </c>
      <c r="R14" t="inlineStr">
        <is>
          <t>recvlts3M1zwGm</t>
        </is>
      </c>
      <c r="S14" t="inlineStr">
        <is>
          <t>sp5der-black-spider-web-logo-hoodie-recvlts3m1zwgm</t>
        </is>
      </c>
      <c r="T14"/>
      <c r="U14"/>
      <c r="V14"/>
      <c r="W14" t="inlineStr">
        <is>
          <t>{"id":"resp_0839d6c3676e063e016a22486735dc819aa2ce288dc76ffb66","object":"chat.completion","created":1780631657,"model":"gpt-5.5","choices":[{"index":0,"message":{"role":"assistant","content":"Sp5der 黑色连帽卫衣，棉质舒适面料，蛛网图腾与粉色Logo印花，袋鼠兜街头潮流男女款上衣"},"finish_reason":"stop"}],"usage":{"prompt_tokens":1292,"completion_tokens":45,"total_tokens":1337}}</t>
        </is>
      </c>
      <c r="X14" t="inlineStr">
        <is>
          <t>Sp5der 黑色连帽卫衣，棉质舒适面料，蛛网图腾与粉色Logo印花，袋鼠兜街头潮流男女款上衣</t>
        </is>
      </c>
    </row>
    <row r="15" ht="25.5" customHeight="1">
      <c r="A15">
        <v>1839115443</v>
      </c>
      <c r="B15">
        <v>7781313088</v>
      </c>
      <c r="C15" s="2" t="str">
        <f>=HYPERLINK("https://weidian.com/item.html?itemID=7781313088", "https://weidian.com/item.html?itemID=7781313088")</f>
        <v>https://weidian.com/item.html?itemID=7781313088</v>
      </c>
      <c r="D15"/>
      <c r="E15" s="2" t="str">
        <f>=HYPERLINK("https://si.geilicdn.com/open1839115443-252808396-25780000019e44550f2b0a8133b0_1080_1080.jpg?w=640&amp;h=640", "https://si.geilicdn.com/open1839115443-252808396-25780000019e44550f2b0a8133b0_1080_1080.jpg?w=640&amp;h=640")</f>
        <v>https://si.geilicdn.com/open1839115443-252808396-25780000019e44550f2b0a8133b0_1080_1080.jpg?w=640&amp;h=640</v>
      </c>
      <c r="F15" t="inlineStr">
        <is>
          <t>T-Shirts</t>
        </is>
      </c>
      <c r="G15" t="inlineStr">
        <is>
          <t>Stussy</t>
        </is>
      </c>
      <c r="H15" t="inlineStr">
        <is>
          <t>87</t>
        </is>
      </c>
      <c r="I15">
        <v>12.61</v>
      </c>
      <c r="J15" t="inlineStr">
        <is>
          <t>{"id":"resp_0edce5ec5f9aa5dd016a224bf8f19c8199987a651956efdddc","object":"chat.completion","created":1780632572,"model":"gpt-5.5","choices":[{"index":0,"message":{"role":"assistant","content":"Stussy White Spider Graphic Cotton T-Shirt Unisex Streetwear"},"finish_reason":"stop"}],"usage":{"prompt_tokens":968,"completion_tokens":145,"total_tokens":1113}}</t>
        </is>
      </c>
      <c r="K15" t="inlineStr">
        <is>
          <t>Stussy White Spider Graphic Cotton T-Shirt Unisex Streetwear</t>
        </is>
      </c>
      <c r="L15" t="inlineStr">
        <is>
          <t>{"id":"resp_027a1debb67c6eff016a2249f0a8cc819b98ae070c2c0506eb","object":"chat.completion","created":1780632050,"model":"gpt-5.5","choices":[{"index":0,"message":{"role":"assistant","content":"Stussy white cotton short sleeve T-shirt with black spider graphic and graffiti logo back print, breathable unisex streetwear casual tee"},"finish_reason":"stop"}],"usage":{"prompt_tokens":995,"completion_tokens":29,"total_tokens":1024}}</t>
        </is>
      </c>
      <c r="M15" t="inlineStr">
        <is>
          <t>{"alt-svc":"h3=\":443\"; ma=2592000","connection":"close","content-length":"430","content-type":"application/json; charset=utf-8","date":"Fri, 05 Jun 2026 04:00:50 GMT","referrer-policy":"strict-origin-when-cross-origin","server":"nginx/1.24.0 (Ubuntu)","strict-transport-security":"max-age=31536000; includeSubDomains; preload","vary":"Accept-Encoding","via":"1.1 Caddy","x-content-type-options":"nosniff","x-frame-options":"DENY","x-new-api-version":"v1.0.0-rc.10","x-oneapi-request-id":"202606050400483182543518268d9d6nFm5HKuk","x-request-id":"96adfd60c638565f0f626165b5ed78d3"}</t>
        </is>
      </c>
      <c r="N15" t="inlineStr">
        <is>
          <t>Stussy white cotton short sleeve T-shirt with black spider graphic and graffiti logo back print, breathable unisex streetwear casual tee</t>
        </is>
      </c>
      <c r="O15" t="inlineStr">
        <is>
          <t>{"id":"resp_001c0befdac1f627016a22692400f4819b94b8a9e52fa10a21","object":"chat.completion","created":1780640037,"model":"gpt-5.5","choices":[{"index":0,"message":{"role":"assistant","content":"Stussy white cotton T-shirt, Stussy spider graphic tee, Stussy graffiti logo back print, unisex streetwear T-shirt, breathable short sleeve tee, casual cotton crew neck T-shirt"},"finish_reason":"stop"}],"usage":{"prompt_tokens":855,"completion_tokens":42,"total_tokens":897}}</t>
        </is>
      </c>
      <c r="P15" t="inlineStr">
        <is>
          <t>Stussy white cotton T-shirt, Stussy spider graphic tee, Stussy graffiti logo back print, unisex streetwear T-shirt, breathable short sleeve tee, casual cotton crew neck T-shirt</t>
        </is>
      </c>
      <c r="Q15" t="inlineStr">
        <is>
          <t>Stussy, White, Breathable, Unisex, Streetwear</t>
        </is>
      </c>
      <c r="R15" t="inlineStr">
        <is>
          <t>recvlts3M1JTsN</t>
        </is>
      </c>
      <c r="S15" t="inlineStr">
        <is>
          <t>stussy-white-spider-graphic-cotton-tshirt-recvlts3m1jtsn</t>
        </is>
      </c>
      <c r="T15"/>
      <c r="U15"/>
      <c r="V15"/>
      <c r="W15" t="inlineStr">
        <is>
          <t>{"id":"resp_0194817d48ae5199016a22489ab838819bb20f30f82d69670f","object":"chat.completion","created":1780631708,"model":"gpt-5.5","choices":[{"index":0,"message":{"role":"assistant","content":"Stussy 白色短袖T恤，棉质透气面料，背面黑色蜘蛛图腾与涂鸦Logo印花，街头潮流男女同款休闲上衣"},"finish_reason":"stop"}],"usage":{"prompt_tokens":1295,"completion_tokens":49,"total_tokens":1344,"prompt_tokens_details":{"cached_tokens":1024}}}</t>
        </is>
      </c>
      <c r="X15" t="inlineStr">
        <is>
          <t>Stussy 白色短袖T恤，棉质透气面料，背面黑色蜘蛛图腾与涂鸦Logo印花，街头潮流男女同款休闲上衣</t>
        </is>
      </c>
    </row>
    <row r="16" ht="25.5" customHeight="1">
      <c r="A16">
        <v>1839115443</v>
      </c>
      <c r="B16">
        <v>7770102667</v>
      </c>
      <c r="C16" s="2" t="str">
        <f>=HYPERLINK("https://weidian.com/item.html?itemID=7770102667", "https://weidian.com/item.html?itemID=7770102667")</f>
        <v>https://weidian.com/item.html?itemID=7770102667</v>
      </c>
      <c r="D16"/>
      <c r="E16" s="2" t="str">
        <f>=HYPERLINK("https://si.geilicdn.com/open1839115443-252808396-08a30000019e4eab80210aa08269_800_799.jpg?w=640&amp;h=640", "https://si.geilicdn.com/open1839115443-252808396-08a30000019e4eab80210aa08269_800_799.jpg?w=640&amp;h=640")</f>
        <v>https://si.geilicdn.com/open1839115443-252808396-08a30000019e4eab80210aa08269_800_799.jpg?w=640&amp;h=640</v>
      </c>
      <c r="F16" t="inlineStr">
        <is>
          <t>Hoodies</t>
        </is>
      </c>
      <c r="G16" t="inlineStr">
        <is>
          <t>Chrome Hearts</t>
        </is>
      </c>
      <c r="H16" t="inlineStr">
        <is>
          <t>170</t>
        </is>
      </c>
      <c r="I16">
        <v>24.64</v>
      </c>
      <c r="J16" t="inlineStr">
        <is>
          <t>{"id":"resp_00d5575dc9f3cc22016a224bda79e0819ba74ab77b0ee8e933","object":"chat.completion","created":1780632541,"model":"gpt-5.5","choices":[{"index":0,"message":{"role":"assistant","content":"Chrome Hearts x BAPE White Fleece Horseshoe Ape Hoodie"},"finish_reason":"stop"}],"usage":{"prompt_tokens":977,"completion_tokens":139,"total_tokens":1116}}</t>
        </is>
      </c>
      <c r="K16" t="inlineStr">
        <is>
          <t>Chrome Hearts x BAPE White Fleece Horseshoe Ape Hoodie</t>
        </is>
      </c>
      <c r="L16" t="inlineStr">
        <is>
          <t>{"id":"resp_0eae918e38ae0684016a2249f68858819a976ba0783f2b1481","object":"chat.completion","created":1780632058,"model":"gpt-5.5","choices":[{"index":0,"message":{"role":"assistant","content":"Chrome Hearts x BAPE white fleece hoodie, cotton pullover with horseshoe logo and ape totem print, unisex streetwear hooded sweatshirt"},"finish_reason":"stop"}],"usage":{"prompt_tokens":1000,"completion_tokens":130,"total_tokens":1130}}</t>
        </is>
      </c>
      <c r="M16" t="inlineStr">
        <is>
          <t>{"alt-svc":"h3=\":443\"; ma=2592000","connection":"close","content-length":"430","content-type":"application/json; charset=utf-8","date":"Fri, 05 Jun 2026 04:00:58 GMT","referrer-policy":"strict-origin-when-cross-origin","server":"nginx/1.24.0 (Ubuntu)","strict-transport-security":"max-age=31536000; includeSubDomains; preload","vary":"Accept-Encoding","via":"1.1 Caddy","x-content-type-options":"nosniff","x-frame-options":"DENY","x-new-api-version":"v1.0.0-rc.10","x-oneapi-request-id":"202606050400542533234478268d9d63NsOatQs","x-request-id":"388a163998aedb3cdf67f42f7355984b"}</t>
        </is>
      </c>
      <c r="N16" t="inlineStr">
        <is>
          <t>Chrome Hearts x BAPE white fleece hoodie, cotton pullover with horseshoe logo and ape totem print, unisex streetwear hooded sweatshirt</t>
        </is>
      </c>
      <c r="O16" t="inlineStr">
        <is>
          <t>{"id":"resp_05b82f31fc4aeeee016a2269eebed881988f72152502e369aa","object":"chat.completion","created":1780640240,"model":"gpt-5.5","choices":[{"index":0,"message":{"role":"assistant","content":"Chrome Hearts BAPE hoodie, white fleece pullover hoodie, cotton streetwear sweatshirt, horseshoe logo hoodie, ape totem print hoodie, unisex Chrome Hearts hoodie"},"finish_reason":"stop"}],"usage":{"prompt_tokens":860,"completion_tokens":37,"total_tokens":897}}</t>
        </is>
      </c>
      <c r="P16" t="inlineStr">
        <is>
          <t>Chrome Hearts BAPE hoodie, white fleece pullover hoodie, cotton streetwear sweatshirt, horseshoe logo hoodie, ape totem print hoodie, unisex Chrome Hearts hoodie</t>
        </is>
      </c>
      <c r="Q16" t="inlineStr">
        <is>
          <t>BAPE, White, Streetwear, Unisex, Fleece-Lined</t>
        </is>
      </c>
      <c r="R16" t="inlineStr">
        <is>
          <t>recvlts3M1FDZh</t>
        </is>
      </c>
      <c r="S16" t="inlineStr">
        <is>
          <t>chrome-hearts-bape-white-fleece-horseshoe-ape-hoodie-recvlts3m1fdzh</t>
        </is>
      </c>
      <c r="T16"/>
      <c r="U16"/>
      <c r="V16"/>
      <c r="W16" t="inlineStr">
        <is>
          <t>{"id":"resp_0b9be23e4b2ac473016a22487b99a48199aa1247065fe17c01","object":"chat.completion","created":1780631681,"model":"gpt-5.5","choices":[{"index":0,"message":{"role":"assistant","content":"克罗心Chrome Hearts联名BAPE白色连帽卫衣，棉质抓绒面料，马蹄Logo与猿人图腾印花，街头潮流男女款帽衫"},"finish_reason":"stop"}],"usage":{"prompt_tokens":1288,"completion_tokens":187,"total_tokens":1475,"prompt_tokens_details":{"cached_tokens":1024}}}</t>
        </is>
      </c>
      <c r="X16" t="inlineStr">
        <is>
          <t>克罗心Chrome Hearts联名BAPE白色连帽卫衣，棉质抓绒面料，马蹄Logo与猿人图腾印花，街头潮流男女款帽衫</t>
        </is>
      </c>
    </row>
    <row r="17" ht="25.5" customHeight="1">
      <c r="A17">
        <v>1839115443</v>
      </c>
      <c r="B17">
        <v>7781447436</v>
      </c>
      <c r="C17" s="2" t="str">
        <f>=HYPERLINK("https://weidian.com/item.html?itemID=7781447436", "https://weidian.com/item.html?itemID=7781447436")</f>
        <v>https://weidian.com/item.html?itemID=7781447436</v>
      </c>
      <c r="D17"/>
      <c r="E17" s="2" t="str">
        <f>=HYPERLINK("https://si.geilicdn.com/open1839115443-252808396-3f720000019e87d3ca030aa08239_1440_1920.jpg?w=640&amp;h=640", "https://si.geilicdn.com/open1839115443-252808396-3f720000019e87d3ca030aa08239_1440_1920.jpg?w=640&amp;h=640")</f>
        <v>https://si.geilicdn.com/open1839115443-252808396-3f720000019e87d3ca030aa08239_1440_1920.jpg?w=640&amp;h=640</v>
      </c>
      <c r="F17" t="inlineStr">
        <is>
          <t>Hoodies</t>
        </is>
      </c>
      <c r="G17" t="inlineStr">
        <is>
          <t>Alo</t>
        </is>
      </c>
      <c r="H17" t="inlineStr">
        <is>
          <t>131</t>
        </is>
      </c>
      <c r="I17">
        <v>18.99</v>
      </c>
      <c r="J17" t="inlineStr">
        <is>
          <t>{"id":"resp_0db5c84e9e234bce016a224b7734a4819a9f9a5055a90da887","object":"chat.completion","created":1780632440,"model":"gpt-5.5","choices":[{"index":0,"message":{"role":"assistant","content":"Alo Dark Coffee Crewneck Sweatshirt Women Pullover"},"finish_reason":"stop"}],"usage":{"prompt_tokens":1150,"completion_tokens":15,"total_tokens":1165}}</t>
        </is>
      </c>
      <c r="K17" t="inlineStr">
        <is>
          <t>Alo Dark Coffee Crewneck Sweatshirt Women Pullover</t>
        </is>
      </c>
      <c r="L17" t="inlineStr">
        <is>
          <t>{"id":"resp_0a481ff33178ffc0016a224a568c70819a92d267d14856db40","object":"chat.completion","created":1780632153,"model":"gpt-5.5","choices":[{"index":0,"message":{"role":"assistant","content":"HoodiesAloAlo dark coffee crewneck sweatshirt, soft cotton blend, ab chest embroidery, relaxed drop-shoulder sporty pullover for women."},"finish_reason":"stop"}],"usage":{"prompt_tokens":1166,"completion_tokens":85,"total_tokens":1251}}</t>
        </is>
      </c>
      <c r="M17" t="inlineStr">
        <is>
          <t>{"alt-svc":"h3=\":443\"; ma=2592000","connection":"close","content-length":"430","content-type":"application/json; charset=utf-8","date":"Fri, 05 Jun 2026 04:02:33 GMT","referrer-policy":"strict-origin-when-cross-origin","server":"nginx/1.24.0 (Ubuntu)","strict-transport-security":"max-age=31536000; includeSubDomains; preload","vary":"Accept-Encoding","via":"1.1 Caddy","x-content-type-options":"nosniff","x-frame-options":"DENY","x-new-api-version":"v1.0.0-rc.10","x-oneapi-request-id":"202606050402302842340028268d9d6piDZqL4t","x-request-id":"c7bca6848669057fba2d02f34988f1ef"}</t>
        </is>
      </c>
      <c r="N17" t="inlineStr">
        <is>
          <t>HoodiesAloAlo dark coffee crewneck sweatshirt, soft cotton blend, ab chest embroidery, relaxed drop-shoulder sporty pullover for women.</t>
        </is>
      </c>
      <c r="O17" t="inlineStr">
        <is>
          <t>{"id":"resp_0eccaf1e1b8512e8016a2269a70118819b8007802bf73dc79b","object":"chat.completion","created":1780640171,"model":"gpt-5.5","choices":[{"index":0,"message":{"role":"assistant","content":"Alo dark coffee crewneck sweatshirt, Alo women soft cotton pullover, Alo ab chest embroidery hoodie, women relaxed drop shoulder sweatshirt, Alo sporty crewneck sweater, dark coffee cotton blend sweatshirt"},"finish_reason":"stop"}],"usage":{"prompt_tokens":1031,"completion_tokens":42,"total_tokens":1073}}</t>
        </is>
      </c>
      <c r="P17" t="inlineStr">
        <is>
          <t>Alo dark coffee crewneck sweatshirt, Alo women soft cotton pullover, Alo ab chest embroidery hoodie, women relaxed drop shoulder sweatshirt, Alo sporty crewneck sweater, dark coffee cotton blend sweatshirt</t>
        </is>
      </c>
      <c r="Q17" t="inlineStr">
        <is>
          <t>Coffee, Women, Sporty</t>
        </is>
      </c>
      <c r="R17" t="inlineStr">
        <is>
          <t>recvlts3M1dvHU</t>
        </is>
      </c>
      <c r="S17" t="inlineStr">
        <is>
          <t>alo-dark-coffee-crewneck-women-pullover-recvlts3m1dvh</t>
        </is>
      </c>
      <c r="T17"/>
      <c r="U17"/>
      <c r="V17"/>
      <c r="W17" t="inlineStr">
        <is>
          <t>{"id":"resp_00ae34af2e365526016a22486d00f0819bb2448b1ba5ff225c","object":"chat.completion","created":1780631663,"model":"gpt-5.5","choices":[{"index":0,"message":{"role":"assistant","content":"Alo 深咖色圆领卫衣，柔软棉混纺面料，胸前ab小标刺绣，宽松落肩休闲运动风，女款日常套头上衣"},"finish_reason":"stop"}],"usage":{"prompt_tokens":1460,"completion_tokens":50,"total_tokens":1510}}</t>
        </is>
      </c>
      <c r="X17" t="inlineStr">
        <is>
          <t>Alo 深咖色圆领卫衣，柔软棉混纺面料，胸前ab小标刺绣，宽松落肩休闲运动风，女款日常套头上衣</t>
        </is>
      </c>
    </row>
    <row r="18" ht="25.5" customHeight="1">
      <c r="A18">
        <v>1839115443</v>
      </c>
      <c r="B18">
        <v>7778532257</v>
      </c>
      <c r="C18" s="2" t="str">
        <f>=HYPERLINK("https://weidian.com/item.html?itemID=7778532257", "https://weidian.com/item.html?itemID=7778532257")</f>
        <v>https://weidian.com/item.html?itemID=7778532257</v>
      </c>
      <c r="D18"/>
      <c r="E18" s="2" t="str">
        <f>=HYPERLINK("https://si.geilicdn.com/open1839115443-252808396-21710000019e87d3dc000a8133b0_750_750.jpg?w=640&amp;h=640", "https://si.geilicdn.com/open1839115443-252808396-21710000019e87d3dc000a8133b0_750_750.jpg?w=640&amp;h=640")</f>
        <v>https://si.geilicdn.com/open1839115443-252808396-21710000019e87d3dc000a8133b0_750_750.jpg?w=640&amp;h=640</v>
      </c>
      <c r="F18" t="inlineStr">
        <is>
          <t>Hoodies</t>
        </is>
      </c>
      <c r="G18" t="inlineStr">
        <is>
          <t>Sp5der</t>
        </is>
      </c>
      <c r="H18" t="inlineStr">
        <is>
          <t>117</t>
        </is>
      </c>
      <c r="I18">
        <v>16.96</v>
      </c>
      <c r="J18" t="inlineStr">
        <is>
          <t>{"id":"resp_0e141a8eb3027988016a224b8fedf8819baabc9d7d8212575d","object":"chat.completion","created":1780632465,"model":"gpt-5.5","choices":[{"index":0,"message":{"role":"assistant","content":"Sp5der Black Fleece Hoodie Pink Web Graphic Sweatshirt"},"finish_reason":"stop"}],"usage":{"prompt_tokens":969,"completion_tokens":16,"total_tokens":985}}</t>
        </is>
      </c>
      <c r="K18" t="inlineStr">
        <is>
          <t>Sp5der Black Fleece Hoodie Pink Web Graphic Sweatshirt</t>
        </is>
      </c>
      <c r="L18" t="inlineStr">
        <is>
          <t>{"id":"resp_03b7490fe0772e0b016a224a530574819bba46cb6d4f1cc49e","object":"chat.completion","created":1780632149,"model":"gpt-5.5","choices":[{"index":0,"message":{"role":"assistant","content":"Sp5der black fleece cotton hoodie with pink logo spider web graphic, unisex streetwear pullover sweatshirt for casual fashion."},"finish_reason":"stop"}],"usage":{"prompt_tokens":985,"completion_tokens":83,"total_tokens":1068}}</t>
        </is>
      </c>
      <c r="M18" t="inlineStr">
        <is>
          <t>{"alt-svc":"h3=\":443\"; ma=2592000","connection":"close","content-length":"420","content-type":"application/json; charset=utf-8","date":"Fri, 05 Jun 2026 04:02:29 GMT","referrer-policy":"strict-origin-when-cross-origin","server":"nginx/1.24.0 (Ubuntu)","strict-transport-security":"max-age=31536000; includeSubDomains; preload","vary":"Accept-Encoding","via":"1.1 Caddy","x-content-type-options":"nosniff","x-frame-options":"DENY","x-new-api-version":"v1.0.0-rc.10","x-oneapi-request-id":"202606050402267283028188268d9d6rh5KOGcw","x-request-id":"dc02e9a76a8dc3b7032ab1a6fc72833a"}</t>
        </is>
      </c>
      <c r="N18" t="inlineStr">
        <is>
          <t>Sp5der black fleece cotton hoodie with pink logo spider web graphic, unisex streetwear pullover sweatshirt for casual fashion.</t>
        </is>
      </c>
      <c r="O18" t="inlineStr">
        <is>
          <t>{"id":"resp_0b787203a495fc21016a2269edba20819996227411e3173e80","object":"chat.completion","created":1780640241,"model":"gpt-5.5","choices":[{"index":0,"message":{"role":"assistant","content":"Sp5der black fleece cotton hoodie, Sp5der pink logo spider web sweatshirt, unisex Sp5der streetwear pullover, Sp5der casual fashion hoodie, cotton fleece graphic hoodie, Sp5der spider web hoodie"},"finish_reason":"stop"}],"usage":{"prompt_tokens":857,"completion_tokens":49,"total_tokens":906}}</t>
        </is>
      </c>
      <c r="P18" t="inlineStr">
        <is>
          <t>Sp5der black fleece cotton hoodie, Sp5der pink logo spider web sweatshirt, unisex Sp5der streetwear pullover, Sp5der casual fashion hoodie, cotton fleece graphic hoodie, Sp5der spider web hoodie</t>
        </is>
      </c>
      <c r="Q18" t="inlineStr">
        <is>
          <t>Black, Pink, Streetwear, Unisex</t>
        </is>
      </c>
      <c r="R18" t="inlineStr">
        <is>
          <t>recvlts3M1Rtzr</t>
        </is>
      </c>
      <c r="S18" t="inlineStr">
        <is>
          <t>sp5der-black-fleece-hoodie-pink-web-recvlts3m1rtzr</t>
        </is>
      </c>
      <c r="T18"/>
      <c r="U18"/>
      <c r="V18"/>
      <c r="W18" t="inlineStr">
        <is>
          <t>{"id":"resp_0540cfa79c971b50016a2248ac00688198aa18754044632116","object":"chat.completion","created":1780631726,"model":"gpt-5.5","choices":[{"index":0,"message":{"role":"assistant","content":"Sp5der 黑色连帽卫衣，棉质抓绒面料，粉色Logo蛛网图腾，街头潮流男女同款休闲帽衫"},"finish_reason":"stop"}],"usage":{"prompt_tokens":1292,"completion_tokens":43,"total_tokens":1335,"prompt_tokens_details":{"cached_tokens":1024}}}</t>
        </is>
      </c>
      <c r="X18" t="inlineStr">
        <is>
          <t>Sp5der 黑色连帽卫衣，棉质抓绒面料，粉色Logo蛛网图腾，街头潮流男女同款休闲帽衫</t>
        </is>
      </c>
    </row>
    <row r="19" ht="25.5" customHeight="1">
      <c r="A19">
        <v>1839115443</v>
      </c>
      <c r="B19">
        <v>7781451416</v>
      </c>
      <c r="C19" s="2" t="str">
        <f>=HYPERLINK("https://weidian.com/item.html?itemID=7781451416", "https://weidian.com/item.html?itemID=7781451416")</f>
        <v>https://weidian.com/item.html?itemID=7781451416</v>
      </c>
      <c r="D19"/>
      <c r="E19" s="2" t="str">
        <f>=HYPERLINK("https://si.geilicdn.com/open1839115443-252808396-388e0000019e87d3ffe60aa08269_800_800.jpg?w=640&amp;h=640", "https://si.geilicdn.com/open1839115443-252808396-388e0000019e87d3ffe60aa08269_800_800.jpg?w=640&amp;h=640")</f>
        <v>https://si.geilicdn.com/open1839115443-252808396-388e0000019e87d3ffe60aa08269_800_800.jpg?w=640&amp;h=640</v>
      </c>
      <c r="F19" t="inlineStr">
        <is>
          <t>T-Shirts</t>
        </is>
      </c>
      <c r="G19" t="inlineStr">
        <is>
          <t>Bape</t>
        </is>
      </c>
      <c r="H19" t="inlineStr">
        <is>
          <t>78</t>
        </is>
      </c>
      <c r="I19">
        <v>11.3</v>
      </c>
      <c r="J19" t="inlineStr">
        <is>
          <t>{"id":"resp_0ad193873a339282016a224bccc0588199b92bac0ee482035c","object":"chat.completion","created":1780632529,"model":"gpt-5.5","choices":[{"index":0,"message":{"role":"assistant","content":"Bape White T-Shirt Red Ape Camo Logo Cotton Tee"},"finish_reason":"stop"}],"usage":{"prompt_tokens":975,"completion_tokens":169,"total_tokens":1144}}</t>
        </is>
      </c>
      <c r="K19" t="inlineStr">
        <is>
          <t>Bape White T-Shirt Red Ape Camo Logo Cotton Tee</t>
        </is>
      </c>
      <c r="L19" t="inlineStr">
        <is>
          <t>{"id":"resp_027b45b7beb15d74016a224a7571a4819b83be7bd98d28a31f","object":"chat.completion","created":1780632184,"model":"gpt-5.5","choices":[{"index":0,"message":{"role":"assistant","content":"Bape white cotton short sleeve T-shirt with red ape camo logo and BY BATHING APE print, unisex streetwear top."},"finish_reason":"stop"}],"usage":{"prompt_tokens":999,"completion_tokens":88,"total_tokens":1087}}</t>
        </is>
      </c>
      <c r="M19" t="inlineStr">
        <is>
          <t>{"alt-svc":"h3=\":443\"; ma=2592000","connection":"close","content-length":"404","content-type":"application/json; charset=utf-8","date":"Fri, 05 Jun 2026 04:03:04 GMT","referrer-policy":"strict-origin-when-cross-origin","server":"nginx/1.24.0 (Ubuntu)","strict-transport-security":"max-age=31536000; includeSubDomains; preload","vary":"Accept-Encoding","via":"1.1 Caddy","x-content-type-options":"nosniff","x-frame-options":"DENY","x-new-api-version":"v1.0.0-rc.10","x-oneapi-request-id":"202606050403011207507348268d9d67wa1oyto","x-request-id":"d1e026d6ba19f0552a58ddc46dae2d80"}</t>
        </is>
      </c>
      <c r="N19" t="inlineStr">
        <is>
          <t>Bape white cotton short sleeve T-shirt with red ape camo logo and BY BATHING APE print, unisex streetwear top.</t>
        </is>
      </c>
      <c r="O19" t="inlineStr">
        <is>
          <t>{"id":"resp_07a60536643c231b016a2269561778819aaa8a10f82f3332d0","object":"chat.completion","created":1780640089,"model":"gpt-5.5","choices":[{"index":0,"message":{"role":"assistant","content":"Bape white cotton T-shirt, Bape red ape camo logo tee, Bape short sleeve streetwear top, unisex Bape graphic T-shirt, By Bathing Ape print tee, Bape cotton crew neck shirt"},"finish_reason":"stop"}],"usage":{"prompt_tokens":859,"completion_tokens":49,"total_tokens":908}}</t>
        </is>
      </c>
      <c r="P19" t="inlineStr">
        <is>
          <t>Bape white cotton T-shirt, Bape red ape camo logo tee, Bape short sleeve streetwear top, unisex Bape graphic T-shirt, By Bathing Ape print tee, Bape cotton crew neck shirt</t>
        </is>
      </c>
      <c r="Q19" t="inlineStr">
        <is>
          <t>BAPE, White, Streetwear, Unisex, Summer</t>
        </is>
      </c>
      <c r="R19" t="inlineStr">
        <is>
          <t>recvlts3M19glB</t>
        </is>
      </c>
      <c r="S19" t="inlineStr">
        <is>
          <t>bape-white-red-ape-camo-logo-recvlts3m19glb</t>
        </is>
      </c>
      <c r="T19"/>
      <c r="U19"/>
      <c r="V19"/>
      <c r="W19" t="inlineStr">
        <is>
          <t>{"id":"resp_0e703adaaadb1e8a016a22487e5dd88199b7299f13ee0d801d","object":"chat.completion","created":1780631681,"model":"gpt-5.5","choices":[{"index":0,"message":{"role":"assistant","content":"Bape 白色短袖T恤，纯棉舒适面料，红色猿人迷彩图腾与BY BATHING APE字母印花，男女同款街头潮牌上衣"},"finish_reason":"stop"}],"usage":{"prompt_tokens":1287,"completion_tokens":51,"total_tokens":1338}}</t>
        </is>
      </c>
      <c r="X19" t="inlineStr">
        <is>
          <t>Bape 白色短袖T恤，纯棉舒适面料，红色猿人迷彩图腾与BY BATHING APE字母印花，男女同款街头潮牌上衣</t>
        </is>
      </c>
    </row>
    <row r="20" ht="25.5" customHeight="1">
      <c r="A20">
        <v>1839115443</v>
      </c>
      <c r="B20">
        <v>7778445187</v>
      </c>
      <c r="C20" s="2" t="str">
        <f>=HYPERLINK("https://weidian.com/item.html?itemID=7778445187", "https://weidian.com/item.html?itemID=7778445187")</f>
        <v>https://weidian.com/item.html?itemID=7778445187</v>
      </c>
      <c r="D20"/>
      <c r="E20" s="2" t="str">
        <f>=HYPERLINK("https://si.geilicdn.com/open1839115443-252808396-4d040000019e87d7a81c0a22d249_1000_1000.jpg?w=640&amp;h=640", "https://si.geilicdn.com/open1839115443-252808396-4d040000019e87d7a81c0a22d249_1000_1000.jpg?w=640&amp;h=640")</f>
        <v>https://si.geilicdn.com/open1839115443-252808396-4d040000019e87d7a81c0a22d249_1000_1000.jpg?w=640&amp;h=640</v>
      </c>
      <c r="F20" t="inlineStr">
        <is>
          <t>Hoodies</t>
        </is>
      </c>
      <c r="G20" t="inlineStr">
        <is>
          <t>Sp5der</t>
        </is>
      </c>
      <c r="H20" t="inlineStr">
        <is>
          <t>142.5</t>
        </is>
      </c>
      <c r="I20">
        <v>20.65</v>
      </c>
      <c r="J20" t="inlineStr">
        <is>
          <t>{"id":"resp_026e36d00ef9d07a016a224b60c550819baaf5784aec9bbe85","object":"chat.completion","created":1780632418,"model":"gpt-5.5","choices":[{"index":0,"message":{"role":"assistant","content":"Sp5der Pink Web Star Logo Cotton Hoodie Unisex"},"finish_reason":"stop"}],"usage":{"prompt_tokens":969,"completion_tokens":15,"total_tokens":984}}</t>
        </is>
      </c>
      <c r="K20" t="inlineStr">
        <is>
          <t>Sp5der Pink Web Star Logo Cotton Hoodie Unisex</t>
        </is>
      </c>
      <c r="L20" t="inlineStr">
        <is>
          <t>{"id":"resp_0a11c28204788a03016a224a1494ec819aad3529aef74b6b67","object":"chat.completion","created":1780632086,"model":"gpt-5.5","choices":[{"index":0,"message":{"role":"assistant","content":"Sp5der pink cotton hoodie with front web, star and logo print, casual streetwear pullover for men and women."},"finish_reason":"stop"}],"usage":{"prompt_tokens":991,"completion_tokens":29,"total_tokens":1020}}</t>
        </is>
      </c>
      <c r="M20" t="inlineStr">
        <is>
          <t>{"alt-svc":"h3=\":443\"; ma=2592000","connection":"close","content-length":"402","content-type":"application/json; charset=utf-8","date":"Fri, 05 Jun 2026 04:01:26 GMT","referrer-policy":"strict-origin-when-cross-origin","server":"nginx/1.24.0 (Ubuntu)","strict-transport-security":"max-age=31536000; includeSubDomains; preload","vary":"Accept-Encoding","via":"1.1 Caddy","x-content-type-options":"nosniff","x-frame-options":"DENY","x-new-api-version":"v1.0.0-rc.10","x-oneapi-request-id":"202606050401243601078628268d9d6IyU8r2T9","x-request-id":"e46ce03c9700a4833b34ddfe19acd6e9"}</t>
        </is>
      </c>
      <c r="N20" t="inlineStr">
        <is>
          <t>Sp5der pink cotton hoodie with front web, star and logo print, casual streetwear pullover for men and women.</t>
        </is>
      </c>
      <c r="O20" t="inlineStr">
        <is>
          <t>{"id":"resp_0b43c51ec87a9e0c016a2269229fa08199a49d2972cfd9645e","object":"chat.completion","created":1780640037,"model":"gpt-5.5","choices":[{"index":0,"message":{"role":"assistant","content":"Sp5der pink cotton hoodie, Sp5der web print pullover, Sp5der logo star hoodie, unisex streetwear hoodie, pink cotton casual hoodie, Sp5der men women hoodie"},"finish_reason":"stop"}],"usage":{"prompt_tokens":857,"completion_tokens":43,"total_tokens":900}}</t>
        </is>
      </c>
      <c r="P20" t="inlineStr">
        <is>
          <t>Sp5der pink cotton hoodie, Sp5der web print pullover, Sp5der logo star hoodie, unisex streetwear hoodie, pink cotton casual hoodie, Sp5der men women hoodie</t>
        </is>
      </c>
      <c r="Q20" t="inlineStr">
        <is>
          <t>Pink, Streetwear, Unisex</t>
        </is>
      </c>
      <c r="R20" t="inlineStr">
        <is>
          <t>recvlts3M1lxHk</t>
        </is>
      </c>
      <c r="S20" t="inlineStr">
        <is>
          <t>sp5der-pink-web-star-logo-hoodie-recvlts3m1lxhk</t>
        </is>
      </c>
      <c r="T20"/>
      <c r="U20"/>
      <c r="V20"/>
      <c r="W20" t="inlineStr">
        <is>
          <t>{"id":"resp_0d3fde0bb9db123c016a2248d0f6d0819985c125cd424a6929","object":"chat.completion","created":1780631771,"model":"gpt-5.5","choices":[{"index":0,"message":{"role":"assistant","content":"Sp5der 玫红色连帽卫衣，棉质休闲面料，正面蛛网星点与Logo印花设计，街头潮流男女通用上衣"},"finish_reason":"stop"}],"usage":{"prompt_tokens":1300,"completion_tokens":46,"total_tokens":1346,"prompt_tokens_details":{"cached_tokens":1024}}}</t>
        </is>
      </c>
      <c r="X20" t="inlineStr">
        <is>
          <t>Sp5der 玫红色连帽卫衣，棉质休闲面料，正面蛛网星点与Logo印花设计，街头潮流男女通用上衣</t>
        </is>
      </c>
    </row>
    <row r="21" ht="25.5" customHeight="1">
      <c r="A21">
        <v>1839115443</v>
      </c>
      <c r="B21">
        <v>7781560100</v>
      </c>
      <c r="C21" s="2" t="str">
        <f>=HYPERLINK("https://weidian.com/item.html?itemID=7781560100", "https://weidian.com/item.html?itemID=7781560100")</f>
        <v>https://weidian.com/item.html?itemID=7781560100</v>
      </c>
      <c r="D21"/>
      <c r="E21" s="2" t="str">
        <f>=HYPERLINK("https://si.geilicdn.com/open1839115443-252808396-4b900000019e87dde70d0a23b4de_800_800.jpg?w=640&amp;h=640", "https://si.geilicdn.com/open1839115443-252808396-4b900000019e87dde70d0a23b4de_800_800.jpg?w=640&amp;h=640")</f>
        <v>https://si.geilicdn.com/open1839115443-252808396-4b900000019e87dde70d0a23b4de_800_800.jpg?w=640&amp;h=640</v>
      </c>
      <c r="F21" t="inlineStr">
        <is>
          <t>T-Shirts</t>
        </is>
      </c>
      <c r="G21" t="inlineStr">
        <is>
          <t>Sp5der</t>
        </is>
      </c>
      <c r="H21" t="inlineStr">
        <is>
          <t>73.5</t>
        </is>
      </c>
      <c r="I21">
        <v>10.65</v>
      </c>
      <c r="J21" t="inlineStr">
        <is>
          <t>{"id":"resp_09ee6f75eb6833d9016a224ba98adc819a8050b93127f6adf8","object":"chat.completion","created":1780632490,"model":"gpt-5.5","choices":[{"index":0,"message":{"role":"assistant","content":"Sp5der Yellow Spider Web Logo Cotton T-Shirt"},"finish_reason":"stop"}],"usage":{"prompt_tokens":969,"completion_tokens":14,"total_tokens":983}}</t>
        </is>
      </c>
      <c r="K21" t="inlineStr">
        <is>
          <t>Sp5der Yellow Spider Web Logo Cotton T-Shirt</t>
        </is>
      </c>
      <c r="L21" t="inlineStr">
        <is>
          <t>{"id":"resp_0bbc26f02e90b4c3016a224a207d94819ba9745cecd32a45b0","object":"chat.completion","created":1780632098,"model":"gpt-5.5","choices":[{"index":0,"message":{"role":"assistant","content":"Sp5der yellow cotton short sleeve T-shirt with black logo and white spider web print, breathable unisex streetwear casual top"},"finish_reason":"stop"}],"usage":{"prompt_tokens":986,"completion_tokens":29,"total_tokens":1015}}</t>
        </is>
      </c>
      <c r="M21" t="inlineStr">
        <is>
          <t>{"alt-svc":"h3=\":443\"; ma=2592000","connection":"close","content-length":"419","content-type":"application/json; charset=utf-8","date":"Fri, 05 Jun 2026 04:01:38 GMT","referrer-policy":"strict-origin-when-cross-origin","server":"nginx/1.24.0 (Ubuntu)","strict-transport-security":"max-age=31536000; includeSubDomains; preload","vary":"Accept-Encoding","via":"1.1 Caddy","x-content-type-options":"nosniff","x-frame-options":"DENY","x-new-api-version":"v1.0.0-rc.10","x-oneapi-request-id":"202606050401362416840278268d9d6d2o8I4L4","x-request-id":"276dfc54e95d44e601c726a9c335698a"}</t>
        </is>
      </c>
      <c r="N21" t="inlineStr">
        <is>
          <t>Sp5der yellow cotton short sleeve T-shirt with black logo and white spider web print, breathable unisex streetwear casual top</t>
        </is>
      </c>
      <c r="O21" t="inlineStr">
        <is>
          <t>{"id":"resp_03c4d2ed301244e5016a2269d0f828819ab390814926edda85","object":"chat.completion","created":1780640211,"model":"gpt-5.5","choices":[{"index":0,"message":{"role":"assistant","content":"Sp5der yellow cotton T-shirt, Sp5der spider web logo tee, Sp5der unisex streetwear top, Sp5der short sleeve cotton shirt, Sp5der breathable casual T-shirt, Sp5der yellow graphic tee"},"finish_reason":"stop"}],"usage":{"prompt_tokens":856,"completion_tokens":51,"total_tokens":907}}</t>
        </is>
      </c>
      <c r="P21" t="inlineStr">
        <is>
          <t>Sp5der yellow cotton T-shirt, Sp5der spider web logo tee, Sp5der unisex streetwear top, Sp5der short sleeve cotton shirt, Sp5der breathable casual T-shirt, Sp5der yellow graphic tee</t>
        </is>
      </c>
      <c r="Q21" t="inlineStr">
        <is>
          <t>Yellow, Breathable, Unisex, Streetwear</t>
        </is>
      </c>
      <c r="R21" t="inlineStr">
        <is>
          <t>recvlts3M1du63</t>
        </is>
      </c>
      <c r="S21" t="inlineStr">
        <is>
          <t>sp5der-yellow-spider-web-logo-cotton-t-shirt-recvlts3m1du63</t>
        </is>
      </c>
      <c r="T21"/>
      <c r="U21"/>
      <c r="V21"/>
      <c r="W21" t="inlineStr">
        <is>
          <t>{"id":"resp_0e081ce599db8819016a224837c578819aa8f9af93b5e85769","object":"chat.completion","created":1780631610,"model":"gpt-5.5","choices":[{"index":0,"message":{"role":"assistant","content":"Sp5der 黄色短袖T恤，棉质透气面料，黑色Logo与白色蜘蛛网印花，男女同款街头潮流休闲上衣"},"finish_reason":"stop"}],"usage":{"prompt_tokens":1293,"completion_tokens":44,"total_tokens":1337,"prompt_tokens_details":{"cached_tokens":1024}}}</t>
        </is>
      </c>
      <c r="X21" t="inlineStr">
        <is>
          <t>Sp5der 黄色短袖T恤，棉质透气面料，黑色Logo与白色蜘蛛网印花，男女同款街头潮流休闲上衣</t>
        </is>
      </c>
    </row>
    <row r="22" ht="25.5" customHeight="1">
      <c r="A22">
        <v>1839115443</v>
      </c>
      <c r="B22">
        <v>7781526702</v>
      </c>
      <c r="C22" s="2" t="str">
        <f>=HYPERLINK("https://weidian.com/item.html?itemID=7781526702", "https://weidian.com/item.html?itemID=7781526702")</f>
        <v>https://weidian.com/item.html?itemID=7781526702</v>
      </c>
      <c r="D22"/>
      <c r="E22" s="2" t="str">
        <f>=HYPERLINK("https://si.geilicdn.com/open1839115443-252808396-4f5e0000019e87dd73f40a22d249_750_750.jpg?w=640&amp;h=640", "https://si.geilicdn.com/open1839115443-252808396-4f5e0000019e87dd73f40a22d249_750_750.jpg?w=640&amp;h=640")</f>
        <v>https://si.geilicdn.com/open1839115443-252808396-4f5e0000019e87dd73f40a22d249_750_750.jpg?w=640&amp;h=640</v>
      </c>
      <c r="F22" t="inlineStr">
        <is>
          <t>Hoodies</t>
        </is>
      </c>
      <c r="G22" t="inlineStr">
        <is>
          <t>Sp5der</t>
        </is>
      </c>
      <c r="H22" t="inlineStr">
        <is>
          <t>142.5</t>
        </is>
      </c>
      <c r="I22">
        <v>20.65</v>
      </c>
      <c r="J22" t="inlineStr">
        <is>
          <t>{"id":"resp_0a10d1de411433c2016a224bc73648819bb6cec79e87444196","object":"chat.completion","created":1780632523,"model":"gpt-5.5","choices":[{"index":0,"message":{"role":"assistant","content":"Sp5der Black Spider Web Graphic Unisex Pullover Hoodie"},"finish_reason":"stop"}],"usage":{"prompt_tokens":972,"completion_tokens":157,"total_tokens":1129}}</t>
        </is>
      </c>
      <c r="K22" t="inlineStr">
        <is>
          <t>Sp5der Black Spider Web Graphic Unisex Pullover Hoodie</t>
        </is>
      </c>
      <c r="L22" t="inlineStr">
        <is>
          <t>{"id":"resp_091bb90c607f0238016a2249bf43508198933f6b1489604f39","object":"chat.completion","created":1780632002,"model":"gpt-5.5","choices":[{"index":0,"message":{"role":"assistant","content":"Sp5der black hoodie, soft cotton comfort, spider web graphic print, kangaroo pocket, unisex streetwear pullover sweatshirt"},"finish_reason":"stop"}],"usage":{"prompt_tokens":987,"completion_tokens":79,"total_tokens":1066}}</t>
        </is>
      </c>
      <c r="M22" t="inlineStr">
        <is>
          <t>{"alt-svc":"h3=\":443\"; ma=2592000","connection":"close","content-length":"416","content-type":"application/json; charset=utf-8","date":"Fri, 05 Jun 2026 04:00:02 GMT","referrer-policy":"strict-origin-when-cross-origin","server":"nginx/1.24.0 (Ubuntu)","strict-transport-security":"max-age=31536000; includeSubDomains; preload","vary":"Accept-Encoding","via":"1.1 Caddy","x-content-type-options":"nosniff","x-frame-options":"DENY","x-new-api-version":"v1.0.0-rc.10","x-oneapi-request-id":"202606050359587011272408268d9d6Kpi2ERHx","x-request-id":"a41cba44ee94f274a15af385b8a11b59"}</t>
        </is>
      </c>
      <c r="N22" t="inlineStr">
        <is>
          <t>Sp5der black hoodie, soft cotton comfort, spider web graphic print, kangaroo pocket, unisex streetwear pullover sweatshirt</t>
        </is>
      </c>
      <c r="O22" t="inlineStr">
        <is>
          <t>{"id":"resp_0a0ccc0703ecf50e016a226984e914819998cbfea2bb9a7800","object":"chat.completion","created":1780640134,"model":"gpt-5.5","choices":[{"index":0,"message":{"role":"assistant","content":"Sp5der black hoodie, Sp5der cotton pullover hoodie, Sp5der spider web graphic sweatshirt, Sp5der unisex streetwear hoodie, Sp5der kangaroo pocket hoodie, Sp5der soft cotton hoodie"},"finish_reason":"stop"}],"usage":{"prompt_tokens":858,"completion_tokens":49,"total_tokens":907}}</t>
        </is>
      </c>
      <c r="P22" t="inlineStr">
        <is>
          <t>Sp5der black hoodie, Sp5der cotton pullover hoodie, Sp5der spider web graphic sweatshirt, Sp5der unisex streetwear hoodie, Sp5der kangaroo pocket hoodie, Sp5der soft cotton hoodie</t>
        </is>
      </c>
      <c r="Q22" t="inlineStr">
        <is>
          <t>Black, Streetwear, Unisex, Comfort, Style</t>
        </is>
      </c>
      <c r="R22" t="inlineStr">
        <is>
          <t>recvlts3M1xzjW</t>
        </is>
      </c>
      <c r="S22" t="inlineStr">
        <is>
          <t>sp5der-black-spider-web-graphic-hoodie-recvlts3m1xzjw</t>
        </is>
      </c>
      <c r="T22"/>
      <c r="U22"/>
      <c r="V22"/>
      <c r="W22" t="inlineStr">
        <is>
          <t>{"id":"resp_08b97f1d1efa06d4016a22480c97b481988975fbdfb1341ecc","object":"chat.completion","created":1780631567,"model":"gpt-5.5","choices":[{"index":0,"message":{"role":"assistant","content":"Sp5der 黑色连帽卫衣，棉质舒适面料，蜘蛛网图腾印花，袋鼠兜设计，街头潮流男女同款卫衣"},"finish_reason":"stop"}],"usage":{"prompt_tokens":1296,"completion_tokens":44,"total_tokens":1340,"prompt_tokens_details":{"cached_tokens":1024}}}</t>
        </is>
      </c>
      <c r="X22" t="inlineStr">
        <is>
          <t>Sp5der 黑色连帽卫衣，棉质舒适面料，蜘蛛网图腾印花，袋鼠兜设计，街头潮流男女同款卫衣</t>
        </is>
      </c>
    </row>
    <row r="23" ht="25.5" customHeight="1">
      <c r="A23">
        <v>1839115443</v>
      </c>
      <c r="B23">
        <v>7778576225</v>
      </c>
      <c r="C23" s="2" t="str">
        <f>=HYPERLINK("https://weidian.com/item.html?itemID=7778576225", "https://weidian.com/item.html?itemID=7778576225")</f>
        <v>https://weidian.com/item.html?itemID=7778576225</v>
      </c>
      <c r="D23"/>
      <c r="E23" s="2" t="str">
        <f>=HYPERLINK("https://si.geilicdn.com/open1839115443-252808396-4b7f0000019e87e01a460a23b491_750_750.jpg?w=640&amp;h=640", "https://si.geilicdn.com/open1839115443-252808396-4b7f0000019e87e01a460a23b491_750_750.jpg?w=640&amp;h=640")</f>
        <v>https://si.geilicdn.com/open1839115443-252808396-4b7f0000019e87e01a460a23b491_750_750.jpg?w=640&amp;h=640</v>
      </c>
      <c r="F23" t="inlineStr">
        <is>
          <t>Hoodies</t>
        </is>
      </c>
      <c r="G23" t="inlineStr">
        <is>
          <t>Sp5der</t>
        </is>
      </c>
      <c r="H23" t="inlineStr">
        <is>
          <t>72</t>
        </is>
      </c>
      <c r="I23">
        <v>10.43</v>
      </c>
      <c r="J23" t="inlineStr">
        <is>
          <t>{"id":"resp_0c47cea9a6576347016a224c10417c8199b2c029b0ddc41223","object":"chat.completion","created":1780632594,"model":"gpt-5.5","choices":[{"index":0,"message":{"role":"assistant","content":"Sp5der Multicolor Spider Web Cotton Pullover Hoodie"},"finish_reason":"stop"}],"usage":{"prompt_tokens":973,"completion_tokens":67,"total_tokens":1040}}</t>
        </is>
      </c>
      <c r="K23" t="inlineStr">
        <is>
          <t>Sp5der Multicolor Spider Web Cotton Pullover Hoodie</t>
        </is>
      </c>
      <c r="L23" t="inlineStr">
        <is>
          <t>{"id":"resp_031ca17f6b47d2f9016a224a464ca4819a8be57715a9cc3e5d","object":"chat.completion","created":1780632136,"model":"gpt-5.5","choices":[{"index":0,"message":{"role":"assistant","content":"Sp5der multicolor spider web print cotton hoodie, loose unisex streetwear pullover with kangaroo pocket and drawstring hood."},"finish_reason":"stop"}],"usage":{"prompt_tokens":991,"completion_tokens":31,"total_tokens":1022}}</t>
        </is>
      </c>
      <c r="M23" t="inlineStr">
        <is>
          <t>{"alt-svc":"h3=\":443\"; ma=2592000","connection":"close","content-length":"418","content-type":"application/json; charset=utf-8","date":"Fri, 05 Jun 2026 04:02:16 GMT","referrer-policy":"strict-origin-when-cross-origin","server":"nginx/1.24.0 (Ubuntu)","strict-transport-security":"max-age=31536000; includeSubDomains; preload","vary":"Accept-Encoding","via":"1.1 Caddy","x-content-type-options":"nosniff","x-frame-options":"DENY","x-new-api-version":"v1.0.0-rc.10","x-oneapi-request-id":"20260605040214250805048268d9d6qL7Cx872","x-request-id":"7b1b56bc9185287e2fad50c2583b2177"}</t>
        </is>
      </c>
      <c r="N23" t="inlineStr">
        <is>
          <t>Sp5der multicolor spider web print cotton hoodie, loose unisex streetwear pullover with kangaroo pocket and drawstring hood.</t>
        </is>
      </c>
      <c r="O23" t="inlineStr">
        <is>
          <t>{"id":"resp_04522dca1069d5c2016a22697902e48199815060efb2b8a3cf","object":"chat.completion","created":1780640124,"model":"gpt-5.5","choices":[{"index":0,"message":{"role":"assistant","content":"Sp5der multicolor spider web hoodie, Sp5der cotton pullover hoodie, Sp5der unisex streetwear hoodie, loose fit kangaroo pocket hoodie, drawstring hood spider print sweatshirt, Sp5der graphic cotton hoodie"},"finish_reason":"stop"}],"usage":{"prompt_tokens":859,"completion_tokens":50,"total_tokens":909}}</t>
        </is>
      </c>
      <c r="P23" t="inlineStr">
        <is>
          <t>Sp5der multicolor spider web hoodie, Sp5der cotton pullover hoodie, Sp5der unisex streetwear hoodie, loose fit kangaroo pocket hoodie, drawstring hood spider print sweatshirt, Sp5der graphic cotton hoodie</t>
        </is>
      </c>
      <c r="Q23" t="inlineStr">
        <is>
          <t>Colorful, Streetwear, Unisex</t>
        </is>
      </c>
      <c r="R23" t="inlineStr">
        <is>
          <t>recvlts3M1Xx90</t>
        </is>
      </c>
      <c r="S23" t="inlineStr">
        <is>
          <t>sp5der-multicolor-spider-web-cotton-pullover-hoodie-recvlts3m1xx90</t>
        </is>
      </c>
      <c r="T23"/>
      <c r="U23"/>
      <c r="V23"/>
      <c r="W23" t="inlineStr">
        <is>
          <t>{"id":"resp_0f1ee72a71a11e74016a2247eb5f588198b0440a233a367d35","object":"chat.completion","created":1780631534,"model":"gpt-5.5","choices":[{"index":0,"message":{"role":"assistant","content":"Sp5der 多色蛛网印花连帽卫衣，棉质休闲街头风，宽松男女同款，袋鼠兜抽绳设计潮流帽衫"},"finish_reason":"stop"}],"usage":{"prompt_tokens":1296,"completion_tokens":46,"total_tokens":1342,"prompt_tokens_details":{"cached_tokens":1024}}}</t>
        </is>
      </c>
      <c r="X23" t="inlineStr">
        <is>
          <t>Sp5der 多色蛛网印花连帽卫衣，棉质休闲街头风，宽松男女同款，袋鼠兜抽绳设计潮流帽衫</t>
        </is>
      </c>
    </row>
    <row r="24" ht="25.5" customHeight="1">
      <c r="A24">
        <v>1839115443</v>
      </c>
      <c r="B24">
        <v>7778320957</v>
      </c>
      <c r="C24" s="2" t="str">
        <f>=HYPERLINK("https://weidian.com/item.html?itemID=7778320957", "https://weidian.com/item.html?itemID=7778320957")</f>
        <v>https://weidian.com/item.html?itemID=7778320957</v>
      </c>
      <c r="D24"/>
      <c r="E24" s="2" t="str">
        <f>=HYPERLINK("https://si.geilicdn.com/open1839115443-252808396-429e0000019e87e661df0aa08269_1919_1919.jpg?w=640&amp;h=640", "https://si.geilicdn.com/open1839115443-252808396-429e0000019e87e661df0aa08269_1919_1919.jpg?w=640&amp;h=640")</f>
        <v>https://si.geilicdn.com/open1839115443-252808396-429e0000019e87e661df0aa08269_1919_1919.jpg?w=640&amp;h=640</v>
      </c>
      <c r="F24" t="inlineStr">
        <is>
          <t>Hoodies</t>
        </is>
      </c>
      <c r="G24" t="inlineStr">
        <is>
          <t>Sp5der</t>
        </is>
      </c>
      <c r="H24" t="inlineStr">
        <is>
          <t>147.5</t>
        </is>
      </c>
      <c r="I24">
        <v>21.38</v>
      </c>
      <c r="J24" t="inlineStr">
        <is>
          <t>{"id":"resp_0e72dd6e802101ef016a224bdf6cc0819a8fab524eeecb8d8f","object":"chat.completion","created":1780632545,"model":"gpt-5.5","choices":[{"index":0,"message":{"role":"assistant","content":"Sp5der Hot Pink Web Star Hoodie Tracksuit Set"},"finish_reason":"stop"}],"usage":{"prompt_tokens":976,"completion_tokens":15,"total_tokens":991}}</t>
        </is>
      </c>
      <c r="K24" t="inlineStr">
        <is>
          <t>Sp5der Hot Pink Web Star Hoodie Tracksuit Set</t>
        </is>
      </c>
      <c r="L24" t="inlineStr">
        <is>
          <t>{"id":"resp_028c6fe6cc12d77f016a2249db9dc8819892809b6b841b2e80","object":"chat.completion","created":1780632031,"model":"gpt-5.5","choices":[{"index":0,"message":{"role":"assistant","content":"Sp5der hot pink hoodie tracksuit, soft cotton blend, spider web star print and logo graphics, unisex streetwear sports casual set"},"finish_reason":"stop"}],"usage":{"prompt_tokens":997,"completion_tokens":65,"total_tokens":1062}}</t>
        </is>
      </c>
      <c r="M24" t="inlineStr">
        <is>
          <t>{"alt-svc":"h3=\":443\"; ma=2592000","connection":"close","content-length":"423","content-type":"application/json; charset=utf-8","date":"Fri, 05 Jun 2026 04:00:31 GMT","referrer-policy":"strict-origin-when-cross-origin","server":"nginx/1.24.0 (Ubuntu)","strict-transport-security":"max-age=31536000; includeSubDomains; preload","vary":"Accept-Encoding","via":"1.1 Caddy","x-content-type-options":"nosniff","x-frame-options":"DENY","x-new-api-version":"v1.0.0-rc.10","x-oneapi-request-id":"202606050400273689947548268d9d6ZJlyEoyu","x-request-id":"17a1ae273fb75f02618b2fa3ede0c568"}</t>
        </is>
      </c>
      <c r="N24" t="inlineStr">
        <is>
          <t>Sp5der hot pink hoodie tracksuit, soft cotton blend, spider web star print and logo graphics, unisex streetwear sports casual set</t>
        </is>
      </c>
      <c r="O24" t="inlineStr">
        <is>
          <t>{"id":"resp_076de585d058e5b5016a2269c065488199ba479d8ebe1f255a","object":"chat.completion","created":1780640195,"model":"gpt-5.5","choices":[{"index":0,"message":{"role":"assistant","content":"Sp5der hot pink hoodie tracksuit, Sp5der unisex streetwear set, Sp5der cotton blend hoodie pants, Sp5der spider web star print tracksuit, Sp5der logo graphic sports casual set, Sp5der hot pink sweatsuit"},"finish_reason":"stop"}],"usage":{"prompt_tokens":860,"completion_tokens":57,"total_tokens":917}}</t>
        </is>
      </c>
      <c r="P24" t="inlineStr">
        <is>
          <t>Sp5der hot pink hoodie tracksuit, Sp5der unisex streetwear set, Sp5der cotton blend hoodie pants, Sp5der spider web star print tracksuit, Sp5der logo graphic sports casual set, Sp5der hot pink sweatsuit</t>
        </is>
      </c>
      <c r="Q24" t="inlineStr">
        <is>
          <t>Unisex, Streetwear, Pink</t>
        </is>
      </c>
      <c r="R24" t="inlineStr">
        <is>
          <t>recvlts3M1a4Mg</t>
        </is>
      </c>
      <c r="S24" t="inlineStr">
        <is>
          <t>sp5der-pink-web-star-hoodie-tracksuit-recvlts3m1a4mg</t>
        </is>
      </c>
      <c r="T24"/>
      <c r="U24"/>
      <c r="V24"/>
      <c r="W24" t="inlineStr">
        <is>
          <t>{"id":"resp_02ee12d1a875925d016a2248312fc88198a067fee166c7ca7f","object":"chat.completion","created":1780631604,"model":"gpt-5.5","choices":[{"index":0,"message":{"role":"assistant","content":"Sp5der 玫红色连帽卫衣套装，棉质舒适面料，蛛网星星印花与Logo图腾，男女同款街头潮流运动休闲款"},"finish_reason":"stop"}],"usage":{"prompt_tokens":1294,"completion_tokens":49,"total_tokens":1343,"prompt_tokens_details":{"cached_tokens":1024}}}</t>
        </is>
      </c>
      <c r="X24" t="inlineStr">
        <is>
          <t>Sp5der 玫红色连帽卫衣套装，棉质舒适面料，蛛网星星印花与Logo图腾，男女同款街头潮流运动休闲款</t>
        </is>
      </c>
    </row>
    <row r="25" ht="25.5" customHeight="1">
      <c r="A25">
        <v>1839115443</v>
      </c>
      <c r="B25">
        <v>7778533035</v>
      </c>
      <c r="C25" s="2" t="str">
        <f>=HYPERLINK("https://weidian.com/item.html?itemID=7778533035", "https://weidian.com/item.html?itemID=7778533035")</f>
        <v>https://weidian.com/item.html?itemID=7778533035</v>
      </c>
      <c r="D25"/>
      <c r="E25" s="2" t="str">
        <f>=HYPERLINK("https://si.geilicdn.com/open1839115443-252808396-38760000019e87e708310a8115c2_1920_1920.jpg?w=640&amp;h=640", "https://si.geilicdn.com/open1839115443-252808396-38760000019e87e708310a8115c2_1920_1920.jpg?w=640&amp;h=640")</f>
        <v>https://si.geilicdn.com/open1839115443-252808396-38760000019e87e708310a8115c2_1920_1920.jpg?w=640&amp;h=640</v>
      </c>
      <c r="F25" t="inlineStr">
        <is>
          <t>Pants</t>
        </is>
      </c>
      <c r="G25" t="inlineStr">
        <is>
          <t>Sp5der</t>
        </is>
      </c>
      <c r="H25" t="inlineStr">
        <is>
          <t>115.5</t>
        </is>
      </c>
      <c r="I25">
        <v>16.74</v>
      </c>
      <c r="J25" t="inlineStr">
        <is>
          <t>{"id":"resp_076f890e767118c2016a224bfc7b28819a88356013869a683f","object":"chat.completion","created":1780632573,"model":"gpt-5.5","choices":[{"index":0,"message":{"role":"assistant","content":"Sp5der Spider Web Logo Quick Dry Unisex Shorts"},"finish_reason":"stop"}],"usage":{"prompt_tokens":981,"completion_tokens":15,"total_tokens":996}}</t>
        </is>
      </c>
      <c r="K25" t="inlineStr">
        <is>
          <t>Sp5der Spider Web Logo Quick Dry Unisex Shorts</t>
        </is>
      </c>
      <c r="L25" t="inlineStr">
        <is>
          <t>{"id":"resp_044ecedac5c6aab2016a2249ecbd88819a86473cf340d28771","object":"chat.completion","created":1780632051,"model":"gpt-5.5","choices":[{"index":0,"message":{"role":"assistant","content":"PantsSp5der Sp5der red spider web logo shorts, lightweight quick-dry fabric, elastic drawstring waist, unisex streetwear casual shorts"},"finish_reason":"stop"}],"usage":{"prompt_tokens":980,"completion_tokens":111,"total_tokens":1091}}</t>
        </is>
      </c>
      <c r="M25" t="inlineStr">
        <is>
          <t>{"alt-svc":"h3=\":443\"; ma=2592000","connection":"close","content-length":"429","content-type":"application/json; charset=utf-8","date":"Fri, 05 Jun 2026 04:00:51 GMT","referrer-policy":"strict-origin-when-cross-origin","server":"nginx/1.24.0 (Ubuntu)","strict-transport-security":"max-age=31536000; includeSubDomains; preload","vary":"Accept-Encoding","via":"1.1 Caddy","x-content-type-options":"nosniff","x-frame-options":"DENY","x-new-api-version":"v1.0.0-rc.10","x-oneapi-request-id":"202606050400444323204388268d9d64AakVgKb","x-request-id":"9aa93bbcbfe6355fe34a6bb595b87e1e"}</t>
        </is>
      </c>
      <c r="N25" t="inlineStr">
        <is>
          <t>PantsSp5der Sp5der red spider web logo shorts, lightweight quick-dry fabric, elastic drawstring waist, unisex streetwear casual shorts</t>
        </is>
      </c>
      <c r="O25" t="inlineStr">
        <is>
          <t>{"id":"resp_0799649f76a22beb016a226943b7448198bba5c1a10d8a9871","object":"chat.completion","created":1780640070,"model":"gpt-5.5","choices":[{"index":0,"message":{"role":"assistant","content":"Sp5der red spider web shorts, Sp5der quick dry streetwear shorts, Sp5der elastic waist casual shorts, Sp5der lightweight unisex shorts, Sp5der logo drawstring shorts, Sp5der summer nylon shorts"},"finish_reason":"stop"}],"usage":{"prompt_tokens":862,"completion_tokens":51,"total_tokens":913}}</t>
        </is>
      </c>
      <c r="P25" t="inlineStr">
        <is>
          <t>Sp5der red spider web shorts, Sp5der quick dry streetwear shorts, Sp5der elastic waist casual shorts, Sp5der lightweight unisex shorts, Sp5der logo drawstring shorts, Sp5der summer nylon shorts</t>
        </is>
      </c>
      <c r="Q25" t="inlineStr">
        <is>
          <t>Unisex, Streetwear, Lightweight, Quick Dry, Summer</t>
        </is>
      </c>
      <c r="R25" t="inlineStr">
        <is>
          <t>recvlts3M1wian</t>
        </is>
      </c>
      <c r="S25" t="inlineStr">
        <is>
          <t>sp5der-spider-web-logo-quick-dry-shorts-recvlts3M1wian</t>
        </is>
      </c>
      <c r="T25"/>
      <c r="U25"/>
      <c r="V25"/>
      <c r="W25" t="inlineStr">
        <is>
          <t>{"id":"resp_0bdc961b4d0c3dac016a2248c6a328819b802ce10a36bbd1bc","object":"chat.completion","created":1780631752,"model":"gpt-5.5","choices":[{"index":0,"message":{"role":"assistant","content":"Sp5der 红色蛛网Logo短裤，轻薄速干面料，弹力抽绳腰设计，男女通用街头潮流休闲裤子"},"finish_reason":"stop"}],"usage":{"prompt_tokens":1293,"completion_tokens":41,"total_tokens":1334,"prompt_tokens_details":{"cached_tokens":1024}}}</t>
        </is>
      </c>
      <c r="X25" t="inlineStr">
        <is>
          <t>Sp5der 红色蛛网Logo短裤，轻薄速干面料，弹力抽绳腰设计，男女通用街头潮流休闲裤子</t>
        </is>
      </c>
    </row>
    <row r="26" ht="25.5" customHeight="1">
      <c r="A26">
        <v>1839115443</v>
      </c>
      <c r="B26">
        <v>7781510820</v>
      </c>
      <c r="C26" s="2" t="str">
        <f>=HYPERLINK("https://weidian.com/item.html?itemID=7781510820", "https://weidian.com/item.html?itemID=7781510820")</f>
        <v>https://weidian.com/item.html?itemID=7781510820</v>
      </c>
      <c r="D26"/>
      <c r="E26" s="2" t="str">
        <f>=HYPERLINK("https://si.geilicdn.com/open1839115443-252808396-49a00000019e87d9b0b20a23b4de_750_750.jpg?w=640&amp;h=640", "https://si.geilicdn.com/open1839115443-252808396-49a00000019e87d9b0b20a23b4de_750_750.jpg?w=640&amp;h=640")</f>
        <v>https://si.geilicdn.com/open1839115443-252808396-49a00000019e87d9b0b20a23b4de_750_750.jpg?w=640&amp;h=640</v>
      </c>
      <c r="F26" t="inlineStr">
        <is>
          <t>T-Shirts</t>
        </is>
      </c>
      <c r="G26" t="inlineStr">
        <is>
          <t>Sp5der</t>
        </is>
      </c>
      <c r="H26" t="inlineStr">
        <is>
          <t>78.5</t>
        </is>
      </c>
      <c r="I26">
        <v>11.38</v>
      </c>
      <c r="J26" t="inlineStr">
        <is>
          <t>{"id":"resp_0652cab5383f3366016a224bd518cc8198ab0c96e2dcf2edf8","object":"chat.completion","created":1780632535,"model":"gpt-5.5","choices":[{"index":0,"message":{"role":"assistant","content":"Sp5der Black Spider Web Graphic Cotton T-Shirt"},"finish_reason":"stop"}],"usage":{"prompt_tokens":969,"completion_tokens":61,"total_tokens":1030}}</t>
        </is>
      </c>
      <c r="K26" t="inlineStr">
        <is>
          <t>Sp5der Black Spider Web Graphic Cotton T-Shirt</t>
        </is>
      </c>
      <c r="L26" t="inlineStr">
        <is>
          <t>{"id":"resp_0e4591d101c9450c016a2249fbaa7881918b2230ed3f272a2c","object":"chat.completion","created":1780632062,"model":"gpt-5.5","choices":[{"index":0,"message":{"role":"assistant","content":"Sp5der black spider web letter print short sleeve T-shirt, soft cotton, loose streetwear style, unisex casual top"},"finish_reason":"stop"}],"usage":{"prompt_tokens":988,"completion_tokens":29,"total_tokens":1017}}</t>
        </is>
      </c>
      <c r="M26" t="inlineStr">
        <is>
          <t>{"alt-svc":"h3=\":443\"; ma=2592000","connection":"close","content-length":"407","content-type":"application/json; charset=utf-8","date":"Fri, 05 Jun 2026 04:01:02 GMT","referrer-policy":"strict-origin-when-cross-origin","server":"nginx/1.24.0 (Ubuntu)","strict-transport-security":"max-age=31536000; includeSubDomains; preload","vary":"Accept-Encoding","via":"1.1 Caddy","x-content-type-options":"nosniff","x-frame-options":"DENY","x-new-api-version":"v1.0.0-rc.10","x-oneapi-request-id":"202606050400592815237008268d9d6a6xDVXTy","x-request-id":"ebf9519b28eed58ac794717b6a96e2d3"}</t>
        </is>
      </c>
      <c r="N26" t="inlineStr">
        <is>
          <t>Sp5der black spider web letter print short sleeve T-shirt, soft cotton, loose streetwear style, unisex casual top</t>
        </is>
      </c>
      <c r="O26" t="inlineStr">
        <is>
          <t>{"id":"resp_04eae4ef25c1e3fb016a22695b5610819aa3507928c85bf3b9","object":"chat.completion","created":1780640094,"model":"gpt-5.5","choices":[{"index":0,"message":{"role":"assistant","content":"Sp5der black spider web T-shirt, Sp5der letter print short sleeve tee, Sp5der cotton loose streetwear top, Sp5der unisex casual T-shirt, Sp5der graphic cotton tee, Sp5der black streetwear T-shirt"},"finish_reason":"stop"}],"usage":{"prompt_tokens":856,"completion_tokens":55,"total_tokens":911}}</t>
        </is>
      </c>
      <c r="P26" t="inlineStr">
        <is>
          <t>Sp5der black spider web T-shirt, Sp5der letter print short sleeve tee, Sp5der cotton loose streetwear top, Sp5der unisex casual T-shirt, Sp5der graphic cotton tee, Sp5der black streetwear T-shirt</t>
        </is>
      </c>
      <c r="Q26" t="inlineStr">
        <is>
          <t>Black, Streetwear, Unisex, Summer</t>
        </is>
      </c>
      <c r="R26" t="inlineStr">
        <is>
          <t>recvlts3M18DPV</t>
        </is>
      </c>
      <c r="S26" t="inlineStr">
        <is>
          <t>sp5der-black-spider-web-graphic-cotton-t-shirt-recvlts3m18dpv</t>
        </is>
      </c>
      <c r="T26"/>
      <c r="U26"/>
      <c r="V26"/>
      <c r="W26" t="inlineStr">
        <is>
          <t>{"id":"resp_076009b96b45fa67016a2248081390819a9d56e505529587db","object":"chat.completion","created":1780631562,"model":"gpt-5.5","choices":[{"index":0,"message":{"role":"assistant","content":"Sp5der 黑色蛛网字母印花短袖T恤，柔软棉质面料，宽松街头潮流风格，男女同款休闲上衣"},"finish_reason":"stop"}],"usage":{"prompt_tokens":1297,"completion_tokens":45,"total_tokens":1342,"prompt_tokens_details":{"cached_tokens":1024}}}</t>
        </is>
      </c>
      <c r="X26" t="inlineStr">
        <is>
          <t>Sp5der 黑色蛛网字母印花短袖T恤，柔软棉质面料，宽松街头潮流风格，男女同款休闲上衣</t>
        </is>
      </c>
    </row>
    <row r="27" ht="25.5" customHeight="1">
      <c r="A27">
        <v>1839115443</v>
      </c>
      <c r="B27">
        <v>7778497281</v>
      </c>
      <c r="C27" s="2" t="str">
        <f>=HYPERLINK("https://weidian.com/item.html?itemID=7778497281", "https://weidian.com/item.html?itemID=7778497281")</f>
        <v>https://weidian.com/item.html?itemID=7778497281</v>
      </c>
      <c r="D27"/>
      <c r="E27" s="2" t="str">
        <f>=HYPERLINK("https://si.geilicdn.com/open1839115443-252808396-49790000019e87dc47330a23b491_1200_1200.jpg?w=750&amp;h=750&amp;cp=1", "https://si.geilicdn.com/open1839115443-252808396-49790000019e87dc47330a23b491_1200_1200.jpg?w=750&amp;h=750&amp;cp=1")</f>
        <v>https://si.geilicdn.com/open1839115443-252808396-49790000019e87dc47330a23b491_1200_1200.jpg?w=750&amp;h=750&amp;cp=1</v>
      </c>
      <c r="F27" t="inlineStr">
        <is>
          <t>Hoodies</t>
        </is>
      </c>
      <c r="G27" t="inlineStr">
        <is>
          <t>Sp5der</t>
        </is>
      </c>
      <c r="H27" t="inlineStr">
        <is>
          <t>135</t>
        </is>
      </c>
      <c r="I27">
        <v>19.57</v>
      </c>
      <c r="J27" t="inlineStr">
        <is>
          <t>{"id":"resp_01aa0581f5c2e766016a224bc8f92c8191a217494c826e3b4f","object":"chat.completion","created":1780632523,"model":"gpt-5.5","choices":[{"index":0,"message":{"role":"assistant","content":"Sp5der Black Atlanta Spider Web Star Fleece Hoodie"},"finish_reason":"stop"}],"usage":{"prompt_tokens":1182,"completion_tokens":72,"total_tokens":1254}}</t>
        </is>
      </c>
      <c r="K27" t="inlineStr">
        <is>
          <t>Sp5der Black Atlanta Spider Web Star Fleece Hoodie</t>
        </is>
      </c>
      <c r="L27" t="inlineStr">
        <is>
          <t>{"id":"resp_04f3a1f84217c3b9016a2249a78c6c8198ad1e9e7486896376","object":"chat.completion","created":1780631981,"model":"gpt-5.5","choices":[{"index":0,"message":{"role":"assistant","content":"Sp5der Black Atlanta Series Hoodie, cotton fleece pullover with spider web star print, streetwear unisex hooded sweatshirt."},"finish_reason":"stop"}],"usage":{"prompt_tokens":1194,"completion_tokens":99,"total_tokens":1293}}</t>
        </is>
      </c>
      <c r="M27" t="inlineStr">
        <is>
          <t>{"alt-svc":"h3=\":443\"; ma=2592000","connection":"close","content-length":"418","content-type":"application/json; charset=utf-8","date":"Fri, 05 Jun 2026 03:59:41 GMT","referrer-policy":"strict-origin-when-cross-origin","server":"nginx/1.24.0 (Ubuntu)","strict-transport-security":"max-age=31536000; includeSubDomains; preload","vary":"Accept-Encoding","via":"1.1 Caddy","x-content-type-options":"nosniff","x-frame-options":"DENY","x-new-api-version":"v1.0.0-rc.10","x-oneapi-request-id":"202606050359353023256878268d9d6hDWgdLIn","x-request-id":"95cf72dec76759ff84ec619e9ac86b97"}</t>
        </is>
      </c>
      <c r="N27" t="inlineStr">
        <is>
          <t>Sp5der Black Atlanta Series Hoodie, cotton fleece pullover with spider web star print, streetwear unisex hooded sweatshirt.</t>
        </is>
      </c>
      <c r="O27" t="inlineStr">
        <is>
          <t>{"id":"resp_05a699db85d1cbab016a226999e024819abdb7676e1168f972","object":"chat.completion","created":1780640156,"model":"gpt-5.5","choices":[{"index":0,"message":{"role":"assistant","content":"Sp5der Black Atlanta Series Hoodie, Sp5der cotton fleece pullover hoodie, Sp5der spider web star print sweatshirt, Sp5der unisex streetwear hoodie, Sp5der Atlanta hooded sweatshirt, Sp5der black graphic hoodie"},"finish_reason":"stop"}],"usage":{"prompt_tokens":1069,"completion_tokens":53,"total_tokens":1122}}</t>
        </is>
      </c>
      <c r="P27" t="inlineStr">
        <is>
          <t>Sp5der Black Atlanta Series Hoodie, Sp5der cotton fleece pullover hoodie, Sp5der spider web star print sweatshirt, Sp5der unisex streetwear hoodie, Sp5der Atlanta hooded sweatshirt, Sp5der black graphic hoodie</t>
        </is>
      </c>
      <c r="Q27" t="inlineStr">
        <is>
          <t>Streetwear, Unisex, Black</t>
        </is>
      </c>
      <c r="R27" t="inlineStr">
        <is>
          <t>recvlts3M1kfN8</t>
        </is>
      </c>
      <c r="S27" t="inlineStr">
        <is>
          <t>sp5der-black-atlanta-spider-web-star-fleece-hoodie-recvlts3M1kfN8</t>
        </is>
      </c>
      <c r="T27"/>
      <c r="U27"/>
      <c r="V27"/>
      <c r="W27" t="inlineStr">
        <is>
          <t>{"id":"resp_060ca6600de95049016a2247ed17608198b9832861abfe6b63","object":"chat.completion","created":1780631536,"model":"gpt-5.5","choices":[{"index":0,"message":{"role":"assistant","content":"Sp5der 黑色Atlanta系列连帽卫衣，棉质抓绒面料，蜘蛛网星点印花，街头潮流男女通用帽衫"},"finish_reason":"stop"}],"usage":{"prompt_tokens":1511,"completion_tokens":42,"total_tokens":1553}}</t>
        </is>
      </c>
      <c r="X27" t="inlineStr">
        <is>
          <t>Sp5der 黑色Atlanta系列连帽卫衣，棉质抓绒面料，蜘蛛网星点印花，街头潮流男女通用帽衫</t>
        </is>
      </c>
    </row>
    <row r="28" ht="25.5" customHeight="1">
      <c r="A28">
        <v>1839115443</v>
      </c>
      <c r="B28">
        <v>7778544415</v>
      </c>
      <c r="C28" s="2" t="str">
        <f>=HYPERLINK("https://weidian.com/item.html?itemID=7778544415", "https://weidian.com/item.html?itemID=7778544415")</f>
        <v>https://weidian.com/item.html?itemID=7778544415</v>
      </c>
      <c r="D28"/>
      <c r="E28" s="2" t="str">
        <f>=HYPERLINK("https://si.geilicdn.com/open1839115443-252808396-4eb80000019e87dca3f70a22d249_1024_1024.jpg?w=640&amp;h=640", "https://si.geilicdn.com/open1839115443-252808396-4eb80000019e87dca3f70a22d249_1024_1024.jpg?w=640&amp;h=640")</f>
        <v>https://si.geilicdn.com/open1839115443-252808396-4eb80000019e87dca3f70a22d249_1024_1024.jpg?w=640&amp;h=640</v>
      </c>
      <c r="F28" t="inlineStr">
        <is>
          <t>T-Shirts</t>
        </is>
      </c>
      <c r="G28" t="inlineStr">
        <is>
          <t>Sp5der</t>
        </is>
      </c>
      <c r="H28" t="inlineStr">
        <is>
          <t>72</t>
        </is>
      </c>
      <c r="I28">
        <v>10.43</v>
      </c>
      <c r="J28" t="inlineStr">
        <is>
          <t>{"id":"resp_0bffa6f66623e8f2016a224c14598c819b8c20954fbb4517ea","object":"chat.completion","created":1780632598,"model":"gpt-5.5","choices":[{"index":0,"message":{"role":"assistant","content":"Sp5der Brown Spider Web Star Logo Cotton T-Shirt"},"finish_reason":"stop"}],"usage":{"prompt_tokens":969,"completion_tokens":15,"total_tokens":984}}</t>
        </is>
      </c>
      <c r="K28" t="inlineStr">
        <is>
          <t>Sp5der Brown Spider Web Star Logo Cotton T-Shirt</t>
        </is>
      </c>
      <c r="L28" t="inlineStr">
        <is>
          <t>{"id":"resp_0d1a878731077a3f016a2249eecf3c819b8e211af541542c7a","object":"chat.completion","created":1780632051,"model":"gpt-5.5","choices":[{"index":0,"message":{"role":"assistant","content":"Sp5der brown short sleeve T-shirt, soft cotton, pink logo spider web star print, unisex streetwear casual top"},"finish_reason":"stop"}],"usage":{"prompt_tokens":988,"completion_tokens":29,"total_tokens":1017}}</t>
        </is>
      </c>
      <c r="M28" t="inlineStr">
        <is>
          <t>{"alt-svc":"h3=\":443\"; ma=2592000","connection":"close","content-length":"403","content-type":"application/json; charset=utf-8","date":"Fri, 05 Jun 2026 04:00:51 GMT","referrer-policy":"strict-origin-when-cross-origin","server":"nginx/1.24.0 (Ubuntu)","strict-transport-security":"max-age=31536000; includeSubDomains; preload","vary":"Accept-Encoding","via":"1.1 Caddy","x-content-type-options":"nosniff","x-frame-options":"DENY","x-new-api-version":"v1.0.0-rc.10","x-oneapi-request-id":"202606050400453474874458268d9d6gpqeazBQ","x-request-id":"7131bdbd4c2911f47ccaf9f80ff04630"}</t>
        </is>
      </c>
      <c r="N28" t="inlineStr">
        <is>
          <t>Sp5der brown short sleeve T-shirt, soft cotton, pink logo spider web star print, unisex streetwear casual top</t>
        </is>
      </c>
      <c r="O28" t="inlineStr">
        <is>
          <t>{"id":"resp_0d27e4512e716074016a22692690b8819891d18b1d15f8899a","object":"chat.completion","created":1780640040,"model":"gpt-5.5","choices":[{"index":0,"message":{"role":"assistant","content":"Sp5der brown short sleeve T-shirt, Sp5der cotton graphic tee, Sp5der spider web star print shirt, Sp5der pink logo streetwear top, unisex Sp5der casual T-shirt, Sp5der brown cotton streetwear tee"},"finish_reason":"stop"}],"usage":{"prompt_tokens":856,"completion_tokens":55,"total_tokens":911}}</t>
        </is>
      </c>
      <c r="P28" t="inlineStr">
        <is>
          <t>Sp5der brown short sleeve T-shirt, Sp5der cotton graphic tee, Sp5der spider web star print shirt, Sp5der pink logo streetwear top, unisex Sp5der casual T-shirt, Sp5der brown cotton streetwear tee</t>
        </is>
      </c>
      <c r="Q28" t="inlineStr">
        <is>
          <t>Brown, Unisex, Streetwear, Sneakers</t>
        </is>
      </c>
      <c r="R28" t="inlineStr">
        <is>
          <t>recvlts3M1yXzz</t>
        </is>
      </c>
      <c r="S28" t="inlineStr">
        <is>
          <t>sp5der-brown-spider-web-star-logo-cotton-t-shirt-recvlts3m1yxzz</t>
        </is>
      </c>
      <c r="T28"/>
      <c r="U28"/>
      <c r="V28"/>
      <c r="W28" t="inlineStr">
        <is>
          <t>{"id":"resp_0982be197af15317016a224818ad2c819ba119596cdb1ed424","object":"chat.completion","created":1780631578,"model":"gpt-5.5","choices":[{"index":0,"message":{"role":"assistant","content":"Sp5der 棕色短袖T恤，纯棉舒适面料，粉色Logo蛛网星星印花，男女同款街头潮流休闲上衣"},"finish_reason":"stop"}],"usage":{"prompt_tokens":1297,"completion_tokens":45,"total_tokens":1342,"prompt_tokens_details":{"cached_tokens":1024}}}</t>
        </is>
      </c>
      <c r="X28" t="inlineStr">
        <is>
          <t>Sp5der 棕色短袖T恤，纯棉舒适面料，粉色Logo蛛网星星印花，男女同款街头潮流休闲上衣</t>
        </is>
      </c>
    </row>
    <row r="29" ht="25.5" customHeight="1">
      <c r="A29">
        <v>1839115443</v>
      </c>
      <c r="B29">
        <v>7778521009</v>
      </c>
      <c r="C29" s="2" t="str">
        <f>=HYPERLINK("https://weidian.com/item.html?itemID=7778521009", "https://weidian.com/item.html?itemID=7778521009")</f>
        <v>https://weidian.com/item.html?itemID=7778521009</v>
      </c>
      <c r="D29"/>
      <c r="E29" s="2" t="str">
        <f>=HYPERLINK("https://si.geilicdn.com/open1839115443-252808396-3df60000019e87dd7a150aa08269_736_736.jpg?w=640&amp;h=640", "https://si.geilicdn.com/open1839115443-252808396-3df60000019e87dd7a150aa08269_736_736.jpg?w=640&amp;h=640")</f>
        <v>https://si.geilicdn.com/open1839115443-252808396-3df60000019e87dd7a150aa08269_736_736.jpg?w=640&amp;h=640</v>
      </c>
      <c r="F29" t="inlineStr">
        <is>
          <t>Hoodies</t>
        </is>
      </c>
      <c r="G29" t="inlineStr">
        <is>
          <t>Sp5der</t>
        </is>
      </c>
      <c r="H29" t="inlineStr">
        <is>
          <t>147.5</t>
        </is>
      </c>
      <c r="I29">
        <v>21.38</v>
      </c>
      <c r="J29" t="inlineStr">
        <is>
          <t>{"id":"resp_0ea6753dae3ef67a016a224c42c9c08199bee07e9c1fb9f7fe","object":"chat.completion","created":1780632646,"model":"gpt-5.5","choices":[{"index":0,"message":{"role":"assistant","content":"Sp5der Sky Blue Spider Web Hoodie Unisex Cotton Pullover"},"finish_reason":"stop"}],"usage":{"prompt_tokens":971,"completion_tokens":148,"total_tokens":1119}}</t>
        </is>
      </c>
      <c r="K29" t="inlineStr">
        <is>
          <t>Sp5der Sky Blue Spider Web Hoodie Unisex Cotton Pullover</t>
        </is>
      </c>
      <c r="L29" t="inlineStr">
        <is>
          <t>{"id":"resp_00d94821193ef6ab016a224a712c308199a7e0a51eb5b5048b","object":"chat.completion","created":1780632179,"model":"gpt-5.5","choices":[{"index":0,"message":{"role":"assistant","content":"Sp5der Sky Blue Spider Web Print Hoodie, cotton fleece pullover, unisex streetwear casual sweatshirt for men and women."},"finish_reason":"stop"}],"usage":{"prompt_tokens":979,"completion_tokens":84,"total_tokens":1063}}</t>
        </is>
      </c>
      <c r="M29" t="inlineStr">
        <is>
          <t>{"alt-svc":"h3=\":443\"; ma=2592000","connection":"close","content-length":"413","content-type":"application/json; charset=utf-8","date":"Fri, 05 Jun 2026 04:02:59 GMT","referrer-policy":"strict-origin-when-cross-origin","server":"nginx/1.24.0 (Ubuntu)","strict-transport-security":"max-age=31536000; includeSubDomains; preload","vary":"Accept-Encoding","via":"1.1 Caddy","x-content-type-options":"nosniff","x-frame-options":"DENY","x-new-api-version":"v1.0.0-rc.10","x-oneapi-request-id":"202606050402567972968028268d9d6VMsMxtTB","x-request-id":"2bd1ad7c56f4be80be791ac8fb0fb9ce"}</t>
        </is>
      </c>
      <c r="N29" t="inlineStr">
        <is>
          <t>Sp5der Sky Blue Spider Web Print Hoodie, cotton fleece pullover, unisex streetwear casual sweatshirt for men and women.</t>
        </is>
      </c>
      <c r="O29" t="inlineStr">
        <is>
          <t>{"id":"resp_071cfe52648efffd016a2269736e30819b853cdcf0cb18935d","object":"chat.completion","created":1780640117,"model":"gpt-5.5","choices":[{"index":0,"message":{"role":"assistant","content":"Sp5der sky blue spider web hoodie, Sp5der cotton fleece pullover hoodie, unisex Sp5der streetwear sweatshirt, Sp5der casual hoodie for men women, Sp5der graphic print hoodie, Sp5der streetwear cotton hoodie"},"finish_reason":"stop"}],"usage":{"prompt_tokens":858,"completion_tokens":54,"total_tokens":912}}</t>
        </is>
      </c>
      <c r="P29" t="inlineStr">
        <is>
          <t>Sp5der sky blue spider web hoodie, Sp5der cotton fleece pullover hoodie, unisex Sp5der streetwear sweatshirt, Sp5der casual hoodie for men women, Sp5der graphic print hoodie, Sp5der streetwear cotton hoodie</t>
        </is>
      </c>
      <c r="Q29" t="inlineStr">
        <is>
          <t>Unisex, Streetwear, Fleece-Lined</t>
        </is>
      </c>
      <c r="R29" t="inlineStr">
        <is>
          <t>recvlts3M1Cn0r</t>
        </is>
      </c>
      <c r="S29" t="inlineStr">
        <is>
          <t>sp5der-sky-blue-spider-web-hoodie-recvlts3m1cn0r</t>
        </is>
      </c>
      <c r="T29"/>
      <c r="U29"/>
      <c r="V29"/>
      <c r="W29" t="inlineStr">
        <is>
          <t>{"id":"resp_0316d9ab74e87bdb016a2248a30a64819a891fd9fafb955382","object":"chat.completion","created":1780631717,"model":"gpt-5.5","choices":[{"index":0,"message":{"role":"assistant","content":"Sp5der 天蓝色蛛网印花连帽卫衣，棉质抓绒面料，街头潮流男女同款休闲帽衫"},"finish_reason":"stop"}],"usage":{"prompt_tokens":1290,"completion_tokens":40,"total_tokens":1330}}</t>
        </is>
      </c>
      <c r="X29" t="inlineStr">
        <is>
          <t>Sp5der 天蓝色蛛网印花连帽卫衣，棉质抓绒面料，街头潮流男女同款休闲帽衫</t>
        </is>
      </c>
    </row>
    <row r="30" ht="25.5" customHeight="1">
      <c r="A30">
        <v>1839115443</v>
      </c>
      <c r="B30">
        <v>7781597824</v>
      </c>
      <c r="C30" s="2" t="str">
        <f>=HYPERLINK("https://weidian.com/item.html?itemID=7781597824", "https://weidian.com/item.html?itemID=7781597824")</f>
        <v>https://weidian.com/item.html?itemID=7781597824</v>
      </c>
      <c r="D30"/>
      <c r="E30" s="2" t="str">
        <f>=HYPERLINK("https://si.geilicdn.com/open1839115443-252808396-44d70000019e87e597620a231226_1920_1920.jpg?w=640&amp;h=640", "https://si.geilicdn.com/open1839115443-252808396-44d70000019e87e597620a231226_1920_1920.jpg?w=640&amp;h=640")</f>
        <v>https://si.geilicdn.com/open1839115443-252808396-44d70000019e87e597620a231226_1920_1920.jpg?w=640&amp;h=640</v>
      </c>
      <c r="F30" t="inlineStr">
        <is>
          <t>Pants</t>
        </is>
      </c>
      <c r="G30" t="inlineStr">
        <is>
          <t>Sp5der</t>
        </is>
      </c>
      <c r="H30" t="inlineStr">
        <is>
          <t>147.5</t>
        </is>
      </c>
      <c r="I30">
        <v>21.38</v>
      </c>
      <c r="J30" t="inlineStr">
        <is>
          <t>{"id":"resp_0f9a037f93ceb7bd016a224c3852648199abc4507bc49f0ded","object":"chat.completion","created":1780632633,"model":"gpt-5.5","choices":[{"index":0,"message":{"role":"assistant","content":"Sp5der Red Spider Web Hoodie Pants Tracksuit Set"},"finish_reason":"stop"}],"usage":{"prompt_tokens":970,"completion_tokens":15,"total_tokens":985}}</t>
        </is>
      </c>
      <c r="K30" t="inlineStr">
        <is>
          <t>Sp5der Red Spider Web Hoodie Pants Tracksuit Set</t>
        </is>
      </c>
      <c r="L30" t="inlineStr">
        <is>
          <t>{"id":"resp_07832f39483c3fd9016a2249a7f3088199951f544c33933b06","object":"chat.completion","created":1780631977,"model":"gpt-5.5","choices":[{"index":0,"message":{"role":"assistant","content":"Sp5der red spider web print hoodie and pants set, cotton casual tracksuit, unisex streetwear two-piece sports outfit."},"finish_reason":"stop"}],"usage":{"prompt_tokens":974,"completion_tokens":30,"total_tokens":1004}}</t>
        </is>
      </c>
      <c r="M30" t="inlineStr">
        <is>
          <t>{"alt-svc":"h3=\":443\"; ma=2592000","connection":"close","content-length":"411","content-type":"application/json; charset=utf-8","date":"Fri, 05 Jun 2026 03:59:37 GMT","referrer-policy":"strict-origin-when-cross-origin","server":"nginx/1.24.0 (Ubuntu)","strict-transport-security":"max-age=31536000; includeSubDomains; preload","vary":"Accept-Encoding","via":"1.1 Caddy","x-content-type-options":"nosniff","x-frame-options":"DENY","x-new-api-version":"v1.0.0-rc.10","x-oneapi-request-id":"202606050359356822690308268d9d62vw0MCQf","x-request-id":"80909bbfeef978c88b5885461c396d34"}</t>
        </is>
      </c>
      <c r="N30" t="inlineStr">
        <is>
          <t>Sp5der red spider web print hoodie and pants set, cotton casual tracksuit, unisex streetwear two-piece sports outfit.</t>
        </is>
      </c>
      <c r="O30" t="inlineStr">
        <is>
          <t>{"id":"resp_0dadf2ed2ed6ef2c016a2269259274819b9780fc90289500b9","object":"chat.completion","created":1780640040,"model":"gpt-5.5","choices":[{"index":0,"message":{"role":"assistant","content":"Sp5der red spider web hoodie pants set, Sp5der cotton casual tracksuit, Sp5der unisex streetwear outfit, Sp5der two piece sports outfit, Sp5der red hoodie sweatpants set, Sp5der spider web print tracksuit"},"finish_reason":"stop"}],"usage":{"prompt_tokens":857,"completion_tokens":56,"total_tokens":913}}</t>
        </is>
      </c>
      <c r="P30" t="inlineStr">
        <is>
          <t>Sp5der red spider web hoodie pants set, Sp5der cotton casual tracksuit, Sp5der unisex streetwear outfit, Sp5der two piece sports outfit, Sp5der red hoodie sweatpants set, Sp5der spider web print tracksuit</t>
        </is>
      </c>
      <c r="Q30" t="inlineStr">
        <is>
          <t>Streetwear, Unisex, Red</t>
        </is>
      </c>
      <c r="R30" t="inlineStr">
        <is>
          <t>recvlts3M1Ew5c</t>
        </is>
      </c>
      <c r="S30" t="inlineStr">
        <is>
          <t>sp5der-red-spider-web-hoodie-pants-tracksuit-recvlts3M1Ew5c</t>
        </is>
      </c>
      <c r="T30"/>
      <c r="U30"/>
      <c r="V30"/>
      <c r="W30" t="inlineStr">
        <is>
          <t>{"id":"resp_001c1bc678fae9aa016a224831323c8198a94fe257a5a9c9b7","object":"chat.completion","created":1780631604,"model":"gpt-5.5","choices":[{"index":0,"message":{"role":"assistant","content":"Sp5der 红色蜘蛛网印花连帽卫衣套装，棉质休闲运动风，男女同款潮流长裤两件套"},"finish_reason":"stop"}],"usage":{"prompt_tokens":1291,"completion_tokens":38,"total_tokens":1329}}</t>
        </is>
      </c>
      <c r="X30" t="inlineStr">
        <is>
          <t>Sp5der 红色蜘蛛网印花连帽卫衣套装，棉质休闲运动风，男女同款潮流长裤两件套</t>
        </is>
      </c>
    </row>
    <row r="31" ht="25.5" customHeight="1">
      <c r="A31">
        <v>1839115443</v>
      </c>
      <c r="B31">
        <v>7781519116</v>
      </c>
      <c r="C31" s="2" t="str">
        <f>=HYPERLINK("https://weidian.com/item.html?itemID=7781519116", "https://weidian.com/item.html?itemID=7781519116")</f>
        <v>https://weidian.com/item.html?itemID=7781519116</v>
      </c>
      <c r="D31"/>
      <c r="E31" s="2" t="str">
        <f>=HYPERLINK("https://si.geilicdn.com/open1839115443-252808396-355c0000019e87e65e560a8115c2_1920_1920.jpg?w=640&amp;h=640", "https://si.geilicdn.com/open1839115443-252808396-355c0000019e87e65e560a8115c2_1920_1920.jpg?w=640&amp;h=640")</f>
        <v>https://si.geilicdn.com/open1839115443-252808396-355c0000019e87e65e560a8115c2_1920_1920.jpg?w=640&amp;h=640</v>
      </c>
      <c r="F31" t="inlineStr">
        <is>
          <t>Pants</t>
        </is>
      </c>
      <c r="G31" t="inlineStr">
        <is>
          <t>Sp5der</t>
        </is>
      </c>
      <c r="H31" t="inlineStr">
        <is>
          <t>150</t>
        </is>
      </c>
      <c r="I31">
        <v>21.74</v>
      </c>
      <c r="J31" t="inlineStr">
        <is>
          <t>{"id":"resp_02d9072f1d2a39d1016a224bd9533c8199b2794b01eacda023","object":"chat.completion","created":1780632542,"model":"gpt-5.5","choices":[{"index":0,"message":{"role":"assistant","content":"Sp5der Black I Love Sp5der Heart Star Jogger Sweatpants"},"finish_reason":"stop"}],"usage":{"prompt_tokens":983,"completion_tokens":175,"total_tokens":1158}}</t>
        </is>
      </c>
      <c r="K31" t="inlineStr">
        <is>
          <t>Sp5der Black I Love Sp5der Heart Star Jogger Sweatpants</t>
        </is>
      </c>
      <c r="L31" t="inlineStr">
        <is>
          <t>{"id":"resp_0a4c0279eed0397f016a224a5b1f38819bbcb0f113dfbdffa8","object":"chat.completion","created":1780632157,"model":"gpt-5.5","choices":[{"index":0,"message":{"role":"assistant","content":"Sp5der black jogger sweatpants with I Love Sp5der red heart letter print, star pattern, drawstring waist, unisex streetwear casual pants"},"finish_reason":"stop"}],"usage":{"prompt_tokens":990,"completion_tokens":36,"total_tokens":1026}}</t>
        </is>
      </c>
      <c r="M31" t="inlineStr">
        <is>
          <t>{"alt-svc":"h3=\":443\"; ma=2592000","connection":"close","content-length":"430","content-type":"application/json; charset=utf-8","date":"Fri, 05 Jun 2026 04:02:37 GMT","referrer-policy":"strict-origin-when-cross-origin","server":"nginx/1.24.0 (Ubuntu)","strict-transport-security":"max-age=31536000; includeSubDomains; preload","vary":"Accept-Encoding","via":"1.1 Caddy","x-content-type-options":"nosniff","x-frame-options":"DENY","x-new-api-version":"v1.0.0-rc.10","x-oneapi-request-id":"202606050402348027443198268d9d6KT7XOcHn","x-request-id":"e3a56a61695e95243fde63c5ca9401a0"}</t>
        </is>
      </c>
      <c r="N31" t="inlineStr">
        <is>
          <t>Sp5der black jogger sweatpants with I Love Sp5der red heart letter print, star pattern, drawstring waist, unisex streetwear casual pants</t>
        </is>
      </c>
      <c r="O31" t="inlineStr">
        <is>
          <t>{"id":"resp_0b390ce5af4a5552016a2269881824819891b37fcdab1b9f77","object":"chat.completion","created":1780640138,"model":"gpt-5.5","choices":[{"index":0,"message":{"role":"assistant","content":"Sp5der black jogger sweatpants, Sp5der I Love Sp5der pants, Sp5der red heart print joggers, Sp5der star pattern sweatpants, Sp5der drawstring waist casual pants, Sp5der unisex streetwear pants"},"finish_reason":"stop"}],"usage":{"prompt_tokens":863,"completion_tokens":57,"total_tokens":920}}</t>
        </is>
      </c>
      <c r="P31" t="inlineStr">
        <is>
          <t>Sp5der black jogger sweatpants, Sp5der I Love Sp5der pants, Sp5der red heart print joggers, Sp5der star pattern sweatpants, Sp5der drawstring waist casual pants, Sp5der unisex streetwear pants</t>
        </is>
      </c>
      <c r="Q31" t="inlineStr">
        <is>
          <t>Joggers, Black, Red, Streetwear, Unisex</t>
        </is>
      </c>
      <c r="R31" t="inlineStr">
        <is>
          <t>recvlts3M1aEUU</t>
        </is>
      </c>
      <c r="S31" t="inlineStr">
        <is>
          <t>sp5der-black-heart-star-jogger-sweatpants-recvlts3m1aeuu</t>
        </is>
      </c>
      <c r="T31"/>
      <c r="U31"/>
      <c r="V31"/>
      <c r="W31" t="inlineStr">
        <is>
          <t>{"id":"resp_0bab0d3dc7720bba016a22485203b88198a0e09f1d4df1e4b5","object":"chat.completion","created":1780631635,"model":"gpt-5.5","choices":[{"index":0,"message":{"role":"assistant","content":"Sp5der 黑色束脚运动裤，I Love Sp5der红心字母印花，星点图腾，抽绳腰头，休闲街头男女同款长裤"},"finish_reason":"stop"}],"usage":{"prompt_tokens":1297,"completion_tokens":46,"total_tokens":1343,"prompt_tokens_details":{"cached_tokens":1024}}}</t>
        </is>
      </c>
      <c r="X31" t="inlineStr">
        <is>
          <t>Sp5der 黑色束脚运动裤，I Love Sp5der红心字母印花，星点图腾，抽绳腰头，休闲街头男女同款长裤</t>
        </is>
      </c>
    </row>
    <row r="32" ht="25.5" customHeight="1">
      <c r="A32">
        <v>1839115443</v>
      </c>
      <c r="B32">
        <v>7781554496</v>
      </c>
      <c r="C32" s="2" t="str">
        <f>=HYPERLINK("https://weidian.com/item.html?itemID=7781554496", "https://weidian.com/item.html?itemID=7781554496")</f>
        <v>https://weidian.com/item.html?itemID=7781554496</v>
      </c>
      <c r="D32"/>
      <c r="E32" s="2" t="str">
        <f>=HYPERLINK("https://si.geilicdn.com/open1839115443-252808396-35560000019e87e653500a8115c2_1920_1920.jpg?w=640&amp;h=640", "https://si.geilicdn.com/open1839115443-252808396-35560000019e87e653500a8115c2_1920_1920.jpg?w=640&amp;h=640")</f>
        <v>https://si.geilicdn.com/open1839115443-252808396-35560000019e87e653500a8115c2_1920_1920.jpg?w=640&amp;h=640</v>
      </c>
      <c r="F32" t="inlineStr">
        <is>
          <t>Hoodies</t>
        </is>
      </c>
      <c r="G32" t="inlineStr">
        <is>
          <t>Sp5der</t>
        </is>
      </c>
      <c r="H32" t="inlineStr">
        <is>
          <t>147</t>
        </is>
      </c>
      <c r="I32">
        <v>21.3</v>
      </c>
      <c r="J32" t="inlineStr">
        <is>
          <t>{"id":"resp_038ad88de348056f016a224c20f7d4819ba698f65eb01c8f83","object":"chat.completion","created":1780632611,"model":"gpt-5.5","choices":[{"index":0,"message":{"role":"assistant","content":"Sp5der Black Red Web Logo Cotton Hoodie"},"finish_reason":"stop"}],"usage":{"prompt_tokens":970,"completion_tokens":77,"total_tokens":1047}}</t>
        </is>
      </c>
      <c r="K32" t="inlineStr">
        <is>
          <t>Sp5der Black Red Web Logo Cotton Hoodie</t>
        </is>
      </c>
      <c r="L32" t="inlineStr">
        <is>
          <t>{"id":"resp_01054099de0da20e016a224a8b585481989d1c68b967ec0db1","object":"chat.completion","created":1780632206,"model":"gpt-5.5","choices":[{"index":0,"message":{"role":"assistant","content":"Sp5der black cotton hoodie, red spider web graphic and silver logo print, comfortable streetwear pullover for men and women"},"finish_reason":"stop"}],"usage":{"prompt_tokens":991,"completion_tokens":29,"total_tokens":1020}}</t>
        </is>
      </c>
      <c r="M32" t="inlineStr">
        <is>
          <t>{"alt-svc":"h3=\":443\"; ma=2592000","connection":"close","content-length":"417","content-type":"application/json; charset=utf-8","date":"Fri, 05 Jun 2026 04:03:26 GMT","referrer-policy":"strict-origin-when-cross-origin","server":"nginx/1.24.0 (Ubuntu)","strict-transport-security":"max-age=31536000; includeSubDomains; preload","vary":"Accept-Encoding","via":"1.1 Caddy","x-content-type-options":"nosniff","x-frame-options":"DENY","x-new-api-version":"v1.0.0-rc.10","x-oneapi-request-id":"202606050403226885544958268d9d656qRtzR8","x-request-id":"1d9c4829293f45acecfa454a50c7adb3"}</t>
        </is>
      </c>
      <c r="N32" t="inlineStr">
        <is>
          <t>Sp5der black cotton hoodie, red spider web graphic and silver logo print, comfortable streetwear pullover for men and women</t>
        </is>
      </c>
      <c r="O32" t="inlineStr">
        <is>
          <t>{"id":"resp_02f94cc0d045234b016a22693bc638819b99e7a99921292140","object":"chat.completion","created":1780640063,"model":"gpt-5.5","choices":[{"index":0,"message":{"role":"assistant","content":"Sp5der black cotton hoodie, Sp5der spider web graphic hoodie, Sp5der silver logo print pullover, Sp5der streetwear hoodie unisex, Sp5der men women cotton hoodie, Sp5der comfortable pullover hoodie"},"finish_reason":"stop"}],"usage":{"prompt_tokens":857,"completion_tokens":52,"total_tokens":909}}</t>
        </is>
      </c>
      <c r="P32" t="inlineStr">
        <is>
          <t>Sp5der black cotton hoodie, Sp5der spider web graphic hoodie, Sp5der silver logo print pullover, Sp5der streetwear hoodie unisex, Sp5der men women cotton hoodie, Sp5der comfortable pullover hoodie</t>
        </is>
      </c>
      <c r="Q32" t="inlineStr">
        <is>
          <t>Black, Red, Silver, Streetwear, Unisex</t>
        </is>
      </c>
      <c r="R32" t="inlineStr">
        <is>
          <t>recvlts3M16Mc7</t>
        </is>
      </c>
      <c r="S32" t="inlineStr">
        <is>
          <t>sp5der-black-red-web-logo-hoodie-recvlts3M16Mc7</t>
        </is>
      </c>
      <c r="T32"/>
      <c r="U32"/>
      <c r="V32"/>
      <c r="W32" t="inlineStr">
        <is>
          <t>{"id":"resp_08a62f5a831821f9016a22486b18808198bc706e013b709fe3","object":"chat.completion","created":1780631663,"model":"gpt-5.5","choices":[{"index":0,"message":{"role":"assistant","content":"蜘蛛Sp5der 黑色连帽卫衣，棉质舒适面料，红色蜘蛛网图腾与银色Logo印花，街头潮流男女同款帽衫"},"finish_reason":"stop"}],"usage":{"prompt_tokens":1294,"completion_tokens":124,"total_tokens":1418}}</t>
        </is>
      </c>
      <c r="X32" t="inlineStr">
        <is>
          <t>蜘蛛Sp5der 黑色连帽卫衣，棉质舒适面料，红色蜘蛛网图腾与银色Logo印花，街头潮流男女同款帽衫</t>
        </is>
      </c>
    </row>
    <row r="33" ht="25.5" customHeight="1">
      <c r="A33">
        <v>1839115443</v>
      </c>
      <c r="B33">
        <v>7781569888</v>
      </c>
      <c r="C33" s="2" t="str">
        <f>=HYPERLINK("https://weidian.com/item.html?itemID=7781569888", "https://weidian.com/item.html?itemID=7781569888")</f>
        <v>https://weidian.com/item.html?itemID=7781569888</v>
      </c>
      <c r="D33"/>
      <c r="E33" s="2" t="str">
        <f>=HYPERLINK("https://si.geilicdn.com/open1839115443-252808396-48c70000019e87d9e60c0a23b491_1280_1280.jpg?w=750&amp;h=750&amp;cp=1", "https://si.geilicdn.com/open1839115443-252808396-48c70000019e87d9e60c0a23b491_1280_1280.jpg?w=750&amp;h=750&amp;cp=1")</f>
        <v>https://si.geilicdn.com/open1839115443-252808396-48c70000019e87d9e60c0a23b491_1280_1280.jpg?w=750&amp;h=750&amp;cp=1</v>
      </c>
      <c r="F33" t="inlineStr">
        <is>
          <t>Hoodies</t>
        </is>
      </c>
      <c r="G33" t="inlineStr">
        <is>
          <t>ALOCS</t>
        </is>
      </c>
      <c r="H33" t="inlineStr">
        <is>
          <t>132</t>
        </is>
      </c>
      <c r="I33">
        <v>19.13</v>
      </c>
      <c r="J33" t="inlineStr">
        <is>
          <t>{"id":"resp_099c113d19d7ac9f016a224c214dcc81999f67c9368d9d0081","object":"chat.completion","created":1780632614,"model":"gpt-5.5","choices":[{"index":0,"message":{"role":"assistant","content":"ALOCS Black Red Character Graffiti Hoodie Tracksuit Set"},"finish_reason":"stop"}],"usage":{"prompt_tokens":1192,"completion_tokens":196,"total_tokens":1388}}</t>
        </is>
      </c>
      <c r="K33" t="inlineStr">
        <is>
          <t>ALOCS Black Red Character Graffiti Hoodie Tracksuit Set</t>
        </is>
      </c>
      <c r="L33" t="inlineStr">
        <is>
          <t>{"id":"resp_05b6738fa498016a016a2249f973dc81989e4ce56765129d61","object":"chat.completion","created":1780632061,"model":"gpt-5.5","choices":[{"index":0,"message":{"role":"assistant","content":"ALOCS Black Red Character Graffiti Allover Print Hoodie Set, soft cotton blend zip jacket with wide-leg pants, unisex street hip hop tracksuit"},"finish_reason":"stop"}],"usage":{"prompt_tokens":1219,"completion_tokens":149,"total_tokens":1368}}</t>
        </is>
      </c>
      <c r="M33" t="inlineStr">
        <is>
          <t>{"alt-svc":"h3=\":443\"; ma=2592000","connection":"close","content-length":"438","content-type":"application/json; charset=utf-8","date":"Fri, 05 Jun 2026 04:01:01 GMT","referrer-policy":"strict-origin-when-cross-origin","server":"nginx/1.24.0 (Ubuntu)","strict-transport-security":"max-age=31536000; includeSubDomains; preload","vary":"Accept-Encoding","via":"1.1 Caddy","x-content-type-options":"nosniff","x-frame-options":"DENY","x-new-api-version":"v1.0.0-rc.10","x-oneapi-request-id":"202606050400572199188868268d9d648oB6z13","x-request-id":"470c5abb4b3663a20660c78e7357aadc"}</t>
        </is>
      </c>
      <c r="N33" t="inlineStr">
        <is>
          <t>ALOCS Black Red Character Graffiti Allover Print Hoodie Set, soft cotton blend zip jacket with wide-leg pants, unisex street hip hop tracksuit</t>
        </is>
      </c>
      <c r="O33" t="inlineStr">
        <is>
          <t>{"id":"resp_0eb1c596feea3728016a2269e45130819ba4b0455f2b7795aa","object":"chat.completion","created":1780640234,"model":"gpt-5.5","choices":[{"index":0,"message":{"role":"assistant","content":"ALOCS hoodie set, ALOCS graffiti print tracksuit, unisex zip hoodie wide leg pants, cotton blend streetwear set, black red hip hop hoodie outfit, ALOCS allover print hoodie pants"},"finish_reason":"stop"}],"usage":{"prompt_tokens":1074,"completion_tokens":47,"total_tokens":1121}}</t>
        </is>
      </c>
      <c r="P33" t="inlineStr">
        <is>
          <t>ALOCS hoodie set, ALOCS graffiti print tracksuit, unisex zip hoodie wide leg pants, cotton blend streetwear set, black red hip hop hoodie outfit, ALOCS allover print hoodie pants</t>
        </is>
      </c>
      <c r="Q33" t="inlineStr">
        <is>
          <t>Black Red, Street, Hip Hop, Unisex, All Seasons</t>
        </is>
      </c>
      <c r="R33" t="inlineStr">
        <is>
          <t>recvlts3M1TVoZ</t>
        </is>
      </c>
      <c r="S33" t="inlineStr">
        <is>
          <t>alocs-black-red-character-graffiti-hoodie-tracksuit-recvlts3m1tvoz</t>
        </is>
      </c>
      <c r="T33"/>
      <c r="U33"/>
      <c r="V33"/>
      <c r="W33" t="inlineStr">
        <is>
          <t>{"id":"resp_0806785228a79089016a22489460d8819985f1642aa9b9f657","object":"chat.completion","created":1780631702,"model":"gpt-5.5","choices":[{"index":0,"message":{"role":"assistant","content":"ALOCS 黑红人物涂鸦满印连帽卫衣套装，柔软棉混纺拉链开衫配阔腿长裤，街头嘻哈男女同款休闲运动套装"},"finish_reason":"stop"}],"usage":{"prompt_tokens":1519,"completion_tokens":55,"total_tokens":1574,"prompt_tokens_details":{"cached_tokens":1024}}}</t>
        </is>
      </c>
      <c r="X33" t="inlineStr">
        <is>
          <t>ALOCS 黑红人物涂鸦满印连帽卫衣套装，柔软棉混纺拉链开衫配阔腿长裤，街头嘻哈男女同款休闲运动套装</t>
        </is>
      </c>
    </row>
    <row r="34" ht="25.5" customHeight="1">
      <c r="A34">
        <v>1839115443</v>
      </c>
      <c r="B34">
        <v>7781485186</v>
      </c>
      <c r="C34" s="2" t="str">
        <f>=HYPERLINK("https://weidian.com/item.html?itemID=7781485186", "https://weidian.com/item.html?itemID=7781485186")</f>
        <v>https://weidian.com/item.html?itemID=7781485186</v>
      </c>
      <c r="D34"/>
      <c r="E34" s="2" t="str">
        <f>=HYPERLINK("https://si.geilicdn.com/open1839115443-252808396-2f8c0000019e87da74b10a8115c2_760_760.jpg?w=640&amp;h=640", "https://si.geilicdn.com/open1839115443-252808396-2f8c0000019e87da74b10a8115c2_760_760.jpg?w=640&amp;h=640")</f>
        <v>https://si.geilicdn.com/open1839115443-252808396-2f8c0000019e87da74b10a8115c2_760_760.jpg?w=640&amp;h=640</v>
      </c>
      <c r="F34" t="inlineStr">
        <is>
          <t>Hoodies</t>
        </is>
      </c>
      <c r="G34" t="inlineStr">
        <is>
          <t>Sp5der</t>
        </is>
      </c>
      <c r="H34" t="inlineStr">
        <is>
          <t>147.5</t>
        </is>
      </c>
      <c r="I34">
        <v>21.38</v>
      </c>
      <c r="J34" t="inlineStr">
        <is>
          <t>{"id":"resp_0b658d2636106464016a224c36c794819b8560f6fc23cdf9a3","object":"chat.completion","created":1780632638,"model":"gpt-5.5","choices":[{"index":0,"message":{"role":"assistant","content":"Sp5der Black Hoodie White Curved Logo Fleece Pullover"},"finish_reason":"stop"}],"usage":{"prompt_tokens":980,"completion_tokens":260,"total_tokens":1240}}</t>
        </is>
      </c>
      <c r="K34" t="inlineStr">
        <is>
          <t>Sp5der Black Hoodie White Curved Logo Fleece Pullover</t>
        </is>
      </c>
      <c r="L34" t="inlineStr">
        <is>
          <t>{"id":"resp_0446f9fec9717085016a224a6d97488198a93bac2d7868a9ad","object":"chat.completion","created":1780632175,"model":"gpt-5.5","choices":[{"index":0,"message":{"role":"assistant","content":"Sp5der black hoodie, cotton fleece pullover with white curved logo print, drawstring hood, kangaroo pocket, unisex vintage streetwear sweatshirt"},"finish_reason":"stop"}],"usage":{"prompt_tokens":1007,"completion_tokens":34,"total_tokens":1041}}</t>
        </is>
      </c>
      <c r="M34" t="inlineStr">
        <is>
          <t>{"alt-svc":"h3=\":443\"; ma=2592000","connection":"close","content-length":"439","content-type":"application/json; charset=utf-8","date":"Fri, 05 Jun 2026 04:02:55 GMT","referrer-policy":"strict-origin-when-cross-origin","server":"nginx/1.24.0 (Ubuntu)","strict-transport-security":"max-age=31536000; includeSubDomains; preload","vary":"Accept-Encoding","via":"1.1 Caddy","x-content-type-options":"nosniff","x-frame-options":"DENY","x-new-api-version":"v1.0.0-rc.10","x-oneapi-request-id":"202606050402533450249498268d9d6HQoZCw60","x-request-id":"50d1eafe8011b74df9488c84c635abe5"}</t>
        </is>
      </c>
      <c r="N34" t="inlineStr">
        <is>
          <t>Sp5der black hoodie, cotton fleece pullover with white curved logo print, drawstring hood, kangaroo pocket, unisex vintage streetwear sweatshirt</t>
        </is>
      </c>
      <c r="O34" t="inlineStr">
        <is>
          <t>{"id":"resp_0250562b19d9d415016a2269fdbbb0819b9ff8551d5eb1d80c","object":"chat.completion","created":1780640256,"model":"gpt-5.5","choices":[{"index":0,"message":{"role":"assistant","content":"Sp5der black hoodie, Sp5der cotton fleece pullover, Sp5der white logo hoodie, Sp5der drawstring hood sweatshirt, Sp5der kangaroo pocket hoodie, Sp5der unisex vintage streetwear"},"finish_reason":"stop"}],"usage":{"prompt_tokens":862,"completion_tokens":49,"total_tokens":911}}</t>
        </is>
      </c>
      <c r="P34" t="inlineStr">
        <is>
          <t>Sp5der black hoodie, Sp5der cotton fleece pullover, Sp5der white logo hoodie, Sp5der drawstring hood sweatshirt, Sp5der kangaroo pocket hoodie, Sp5der unisex vintage streetwear</t>
        </is>
      </c>
      <c r="Q34" t="inlineStr">
        <is>
          <t>Unisex, Vintage, Streetwear, Black</t>
        </is>
      </c>
      <c r="R34" t="inlineStr">
        <is>
          <t>recvlts3M1bZcR</t>
        </is>
      </c>
      <c r="S34" t="inlineStr">
        <is>
          <t>sp5der-black-hoodie-white-curved-logo-fleece-pullover-recvlts3m1bzc</t>
        </is>
      </c>
      <c r="T34"/>
      <c r="U34"/>
      <c r="V34"/>
      <c r="W34" t="inlineStr">
        <is>
          <t>{"id":"resp_0c00ce3d7c5081e1016a2247e7f3dc8199a40525920557432a","object":"chat.completion","created":1780631532,"model":"gpt-5.5","choices":[{"index":0,"message":{"role":"assistant","content":"蜘蛛Sp5der黑色连帽卫衣，棉质抓绒面料，白色弧形Logo印花，袋鼠兜抽绳设计，男女同款复古街头潮牌帽衫"},"finish_reason":"stop"}],"usage":{"prompt_tokens":1298,"completion_tokens":147,"total_tokens":1445}}</t>
        </is>
      </c>
      <c r="X34" t="inlineStr">
        <is>
          <t>蜘蛛Sp5der黑色连帽卫衣，棉质抓绒面料，白色弧形Logo印花，袋鼠兜抽绳设计，男女同款复古街头潮牌帽衫</t>
        </is>
      </c>
    </row>
    <row r="35" ht="25.5" customHeight="1">
      <c r="A35">
        <v>1839115443</v>
      </c>
      <c r="B35">
        <v>7781473292</v>
      </c>
      <c r="C35" s="2" t="str">
        <f>=HYPERLINK("https://weidian.com/item.html?itemID=7781473292", "https://weidian.com/item.html?itemID=7781473292")</f>
        <v>https://weidian.com/item.html?itemID=7781473292</v>
      </c>
      <c r="D35"/>
      <c r="E35" s="2" t="str">
        <f>=HYPERLINK("https://si.geilicdn.com/open1839115443-252808396-49d20000019e87da44ed0a23b4de_750_750.jpg?w=640&amp;h=640", "https://si.geilicdn.com/open1839115443-252808396-49d20000019e87da44ed0a23b4de_750_750.jpg?w=640&amp;h=640")</f>
        <v>https://si.geilicdn.com/open1839115443-252808396-49d20000019e87da44ed0a23b4de_750_750.jpg?w=640&amp;h=640</v>
      </c>
      <c r="F35" t="inlineStr">
        <is>
          <t>Pants</t>
        </is>
      </c>
      <c r="G35" t="inlineStr">
        <is>
          <t>Sp5der</t>
        </is>
      </c>
      <c r="H35" t="inlineStr">
        <is>
          <t>107</t>
        </is>
      </c>
      <c r="I35">
        <v>15.51</v>
      </c>
      <c r="J35" t="inlineStr">
        <is>
          <t>{"id":"resp_0327c2921b06c755016a224b591d28819a8b0471e1ffeb28e0","object":"chat.completion","created":1780632410,"model":"gpt-5.5","choices":[{"index":0,"message":{"role":"assistant","content":"Sp5der Light Blue Spiderweb Athletic Shorts"},"finish_reason":"stop"}],"usage":{"prompt_tokens":989,"completion_tokens":13,"total_tokens":1002}}</t>
        </is>
      </c>
      <c r="K35" t="inlineStr">
        <is>
          <t>Sp5der Light Blue Spiderweb Athletic Shorts</t>
        </is>
      </c>
      <c r="L35" t="inlineStr">
        <is>
          <t>{"id":"resp_0d2d0926c05340df016a2249e475108199abf9bbb1b08b7883","object":"chat.completion","created":1780632039,"model":"gpt-5.5","choices":[{"index":0,"message":{"role":"assistant","content":"Sp5der light blue athletic shorts, breathable cotton-blend, elastic drawstring waist, 3D spiderweb logo print, unisex American streetwear casual knee-length shorts"},"finish_reason":"stop"}],"usage":{"prompt_tokens":1004,"completion_tokens":108,"total_tokens":1112}}</t>
        </is>
      </c>
      <c r="M35" t="inlineStr">
        <is>
          <t>{"alt-svc":"h3=\":443\"; ma=2592000","connection":"close","content-length":"459","content-type":"application/json; charset=utf-8","date":"Fri, 05 Jun 2026 04:00:39 GMT","referrer-policy":"strict-origin-when-cross-origin","server":"nginx/1.24.0 (Ubuntu)","strict-transport-security":"max-age=31536000; includeSubDomains; preload","vary":"Accept-Encoding","via":"1.1 Caddy","x-content-type-options":"nosniff","x-frame-options":"DENY","x-new-api-version":"v1.0.0-rc.10","x-oneapi-request-id":"202606050400361564391328268d9d6puDz9bab","x-request-id":"c4caeb0f47b6ee83e96fbe5251fc0e0c"}</t>
        </is>
      </c>
      <c r="N35" t="inlineStr">
        <is>
          <t>Sp5der light blue athletic shorts, breathable cotton-blend, elastic drawstring waist, 3D spiderweb logo print, unisex American streetwear casual knee-length shorts</t>
        </is>
      </c>
      <c r="O35" t="inlineStr">
        <is>
          <t>{"id":"resp_0cc45d997c31a649016a2269aa94388198910ae9f566e11e3b","object":"chat.completion","created":1780640172,"model":"gpt-5.5","choices":[{"index":0,"message":{"role":"assistant","content":"Sp5der light blue athletic shorts, Sp5der breathable cotton blend shorts, Sp5der drawstring waist streetwear shorts, Sp5der 3D spiderweb logo shorts, Sp5der unisex knee length shorts, Sp5der American casual shorts"},"finish_reason":"stop"}],"usage":{"prompt_tokens":866,"completion_tokens":56,"total_tokens":922}}</t>
        </is>
      </c>
      <c r="P35" t="inlineStr">
        <is>
          <t>Sp5der light blue athletic shorts, Sp5der breathable cotton blend shorts, Sp5der drawstring waist streetwear shorts, Sp5der 3D spiderweb logo shorts, Sp5der unisex knee length shorts, Sp5der American casual shorts</t>
        </is>
      </c>
      <c r="Q35" t="inlineStr">
        <is>
          <t>Streetwear, Unisex, Breathable, Elastic, Blue</t>
        </is>
      </c>
      <c r="R35" t="inlineStr">
        <is>
          <t>recvlts3M13UGp</t>
        </is>
      </c>
      <c r="S35" t="inlineStr">
        <is>
          <t>sp5der-light-blue-spiderweb-athletic-shorts-recvlts3M13UGp</t>
        </is>
      </c>
      <c r="T35"/>
      <c r="U35"/>
      <c r="V35"/>
      <c r="W35" t="inlineStr">
        <is>
          <t>{"id":"resp_07ee44a2d1b5f6b7016a2248b8bdd8819abb8e8564f4ab04a2","object":"chat.completion","created":1780631742,"model":"gpt-5.5","choices":[{"index":0,"message":{"role":"assistant","content":"Sp5der：浅蓝色运动短裤，棉混纺透气面料，弹力腰抽绳设计，立体蛛网Logo印花，男女同款美式街头休闲五分裤"},"finish_reason":"stop"}],"usage":{"prompt_tokens":1293,"completion_tokens":200,"total_tokens":1493,"prompt_tokens_details":{"cached_tokens":1024}}}</t>
        </is>
      </c>
      <c r="X35" t="inlineStr">
        <is>
          <t>Sp5der：浅蓝色运动短裤，棉混纺透气面料，弹力腰抽绳设计，立体蛛网Logo印花，男女同款美式街头休闲五分裤</t>
        </is>
      </c>
    </row>
    <row r="36" ht="25.5" customHeight="1">
      <c r="A36">
        <v>1839115443</v>
      </c>
      <c r="B36">
        <v>7778566371</v>
      </c>
      <c r="C36" s="2" t="str">
        <f>=HYPERLINK("https://weidian.com/item.html?itemID=7778566371", "https://weidian.com/item.html?itemID=7778566371")</f>
        <v>https://weidian.com/item.html?itemID=7778566371</v>
      </c>
      <c r="D36"/>
      <c r="E36" s="2" t="str">
        <f>=HYPERLINK("https://si.geilicdn.com/open1839115443-252808396-4d7c0000019e87e212be0a23b4de_1920_1920.jpg?w=640&amp;h=640", "https://si.geilicdn.com/open1839115443-252808396-4d7c0000019e87e212be0a23b4de_1920_1920.jpg?w=640&amp;h=640")</f>
        <v>https://si.geilicdn.com/open1839115443-252808396-4d7c0000019e87e212be0a23b4de_1920_1920.jpg?w=640&amp;h=640</v>
      </c>
      <c r="F36" t="inlineStr">
        <is>
          <t>Hoodies</t>
        </is>
      </c>
      <c r="G36" t="inlineStr">
        <is>
          <t>Sp5der</t>
        </is>
      </c>
      <c r="H36" t="inlineStr">
        <is>
          <t>142.5</t>
        </is>
      </c>
      <c r="I36">
        <v>20.65</v>
      </c>
      <c r="J36" t="inlineStr">
        <is>
          <t>{"id":"resp_076b471053120860016a224c1f2d9c819ba8e01d2f98914819","object":"chat.completion","created":1780632611,"model":"gpt-5.5","choices":[{"index":0,"message":{"role":"assistant","content":"Sp5der Grey Spider Web Print Unisex Pullover Hoodie"},"finish_reason":"stop"}],"usage":{"prompt_tokens":976,"completion_tokens":159,"total_tokens":1135}}</t>
        </is>
      </c>
      <c r="K36" t="inlineStr">
        <is>
          <t>Sp5der Grey Spider Web Print Unisex Pullover Hoodie</t>
        </is>
      </c>
      <c r="L36" t="inlineStr">
        <is>
          <t>{"id":"resp_04333bbc3195b64f016a224a434bd081999cac424df1202906","object":"chat.completion","created":1780632134,"model":"gpt-5.5","choices":[{"index":0,"message":{"role":"assistant","content":"Sp5der grey spider web print hoodie, soft cotton warm pullover with letter logo, streetwear casual unisex sweatshirt for men and women"},"finish_reason":"stop"}],"usage":{"prompt_tokens":987,"completion_tokens":106,"total_tokens":1093}}</t>
        </is>
      </c>
      <c r="M36" t="inlineStr">
        <is>
          <t>{"alt-svc":"h3=\":443\"; ma=2592000","connection":"close","content-length":"429","content-type":"application/json; charset=utf-8","date":"Fri, 05 Jun 2026 04:02:14 GMT","referrer-policy":"strict-origin-when-cross-origin","server":"nginx/1.24.0 (Ubuntu)","strict-transport-security":"max-age=31536000; includeSubDomains; preload","vary":"Accept-Encoding","via":"1.1 Caddy","x-content-type-options":"nosniff","x-frame-options":"DENY","x-new-api-version":"v1.0.0-rc.10","x-oneapi-request-id":"202606050402109958732388268d9d6p1IUyfCD","x-request-id":"fb3c74199b0619895632b6c9c8c91be8"}</t>
        </is>
      </c>
      <c r="N36" t="inlineStr">
        <is>
          <t>Sp5der grey spider web print hoodie, soft cotton warm pullover with letter logo, streetwear casual unisex sweatshirt for men and women</t>
        </is>
      </c>
      <c r="O36" t="inlineStr">
        <is>
          <t>{"id":"resp_0424e5f240ec7109016a2269f3878c819aaa23904109764920","object":"chat.completion","created":1780640245,"model":"gpt-5.5","choices":[{"index":0,"message":{"role":"assistant","content":"Sp5der grey spider web print hoodie, Sp5der cotton pullover hoodie, Sp5der letter logo sweatshirt, unisex streetwear hoodie, warm casual hooded sweatshirt, men women Sp5der hoodie"},"finish_reason":"stop"}],"usage":{"prompt_tokens":860,"completion_tokens":46,"total_tokens":906}}</t>
        </is>
      </c>
      <c r="P36" t="inlineStr">
        <is>
          <t>Sp5der grey spider web print hoodie, Sp5der cotton pullover hoodie, Sp5der letter logo sweatshirt, unisex streetwear hoodie, warm casual hooded sweatshirt, men women Sp5der hoodie</t>
        </is>
      </c>
      <c r="Q36" t="inlineStr">
        <is>
          <t>Streetwear, Unisex, Grey, Men's And Women's</t>
        </is>
      </c>
      <c r="R36" t="inlineStr">
        <is>
          <t>recvlts3M1Uwnh</t>
        </is>
      </c>
      <c r="S36" t="inlineStr">
        <is>
          <t>sp5der-grey-spider-web-print-hoodie-recvlts3M1Uwnh</t>
        </is>
      </c>
      <c r="T36"/>
      <c r="U36"/>
      <c r="V36"/>
      <c r="W36" t="inlineStr">
        <is>
          <t>{"id":"resp_0d313817cd84ce89016a22487e5614819a8795541a8ccfe583","object":"chat.completion","created":1780631680,"model":"gpt-5.5","choices":[{"index":0,"message":{"role":"assistant","content":"Sp5der 灰色蛛网印花连帽卫衣，棉质舒适保暖，字母Logo街头潮流设计，男女通用休闲帽衫"},"finish_reason":"stop"}],"usage":{"prompt_tokens":1302,"completion_tokens":44,"total_tokens":1346,"prompt_tokens_details":{"cached_tokens":1024}}}</t>
        </is>
      </c>
      <c r="X36" t="inlineStr">
        <is>
          <t>Sp5der 灰色蛛网印花连帽卫衣，棉质舒适保暖，字母Logo街头潮流设计，男女通用休闲帽衫</t>
        </is>
      </c>
    </row>
    <row r="37" ht="25.5" customHeight="1">
      <c r="A37">
        <v>1839115443</v>
      </c>
      <c r="B37">
        <v>7781540610</v>
      </c>
      <c r="C37" s="2" t="str">
        <f>=HYPERLINK("https://weidian.com/item.html?itemID=7781540610", "https://weidian.com/item.html?itemID=7781540610")</f>
        <v>https://weidian.com/item.html?itemID=7781540610</v>
      </c>
      <c r="D37"/>
      <c r="E37" s="2" t="str">
        <f>=HYPERLINK("https://si.geilicdn.com/open1839115443-252808396-4d230000019e87e32ad30a23b491_1000_1000.jpg?w=750&amp;h=750&amp;cp=1", "https://si.geilicdn.com/open1839115443-252808396-4d230000019e87e32ad30a23b491_1000_1000.jpg?w=750&amp;h=750&amp;cp=1")</f>
        <v>https://si.geilicdn.com/open1839115443-252808396-4d230000019e87e32ad30a23b491_1000_1000.jpg?w=750&amp;h=750&amp;cp=1</v>
      </c>
      <c r="F37" t="inlineStr">
        <is>
          <t>Hoodies</t>
        </is>
      </c>
      <c r="G37" t="inlineStr">
        <is>
          <t>Sp5der</t>
        </is>
      </c>
      <c r="H37" t="inlineStr">
        <is>
          <t>134.98</t>
        </is>
      </c>
      <c r="I37">
        <v>19.56</v>
      </c>
      <c r="J37" t="inlineStr">
        <is>
          <t>{"id":"resp_0fc7e69235b794d2016a224b77b544819bb0323caab4311b51","object":"chat.completion","created":1780632443,"model":"gpt-5.5","choices":[{"index":0,"message":{"role":"assistant","content":"Sp5der Black Spider Web Fleece Pullover Hoodie Unisex"},"finish_reason":"stop"}],"usage":{"prompt_tokens":1185,"completion_tokens":136,"total_tokens":1321}}</t>
        </is>
      </c>
      <c r="K37" t="inlineStr">
        <is>
          <t>Sp5der Black Spider Web Fleece Pullover Hoodie Unisex</t>
        </is>
      </c>
      <c r="L37" t="inlineStr">
        <is>
          <t>{"id":"resp_0da15a080b22eb1b016a2249bca5e4819ab54792b81bac19ce","object":"chat.completion","created":1780631998,"model":"gpt-5.5","choices":[{"index":0,"message":{"role":"assistant","content":"Sp5der black spider web print hoodie, cotton fleece pullover sweatshirt, unisex streetwear casual hooded top for men and women"},"finish_reason":"stop"}],"usage":{"prompt_tokens":1198,"completion_tokens":31,"total_tokens":1229,"prompt_tokens_details":{"cached_tokens":1024}}}</t>
        </is>
      </c>
      <c r="M37" t="inlineStr">
        <is>
          <t>{"alt-svc":"h3=\":443\"; ma=2592000","connection":"close","content-length":"468","content-type":"application/json; charset=utf-8","date":"Fri, 05 Jun 2026 03:59:58 GMT","referrer-policy":"strict-origin-when-cross-origin","server":"nginx/1.24.0 (Ubuntu)","strict-transport-security":"max-age=31536000; includeSubDomains; preload","vary":"Accept-Encoding","via":"1.1 Caddy","x-content-type-options":"nosniff","x-frame-options":"DENY","x-new-api-version":"v1.0.0-rc.10","x-oneapi-request-id":"202606050359563488545148268d9d6kgsq0lGY","x-request-id":"d69023f86b9efe27f647b8b8a1cff0eb"}</t>
        </is>
      </c>
      <c r="N37" t="inlineStr">
        <is>
          <t>Sp5der black spider web print hoodie, cotton fleece pullover sweatshirt, unisex streetwear casual hooded top for men and women</t>
        </is>
      </c>
      <c r="O37" t="inlineStr">
        <is>
          <t>{"id":"resp_0374d8d6f788ed98016a2269fece4881999e12a1ebf3c038ed","object":"chat.completion","created":1780640258,"model":"gpt-5.5","choices":[{"index":0,"message":{"role":"assistant","content":"Sp5der black spider web print hoodie, Sp5der cotton fleece pullover sweatshirt, Sp5der unisex streetwear hoodie, Sp5der casual hooded top men women, Sp5der graphic fleece hoodie, Sp5der spider web pullover hoodie"},"finish_reason":"stop"}],"usage":{"prompt_tokens":1070,"completion_tokens":56,"total_tokens":1126}}</t>
        </is>
      </c>
      <c r="P37" t="inlineStr">
        <is>
          <t>Sp5der black spider web print hoodie, Sp5der cotton fleece pullover sweatshirt, Sp5der unisex streetwear hoodie, Sp5der casual hooded top men women, Sp5der graphic fleece hoodie, Sp5der spider web pullover hoodie</t>
        </is>
      </c>
      <c r="Q37" t="inlineStr">
        <is>
          <t>Unisex, Streetwear, Fleece-Lined</t>
        </is>
      </c>
      <c r="R37" t="inlineStr">
        <is>
          <t>recvlts3M13ycu</t>
        </is>
      </c>
      <c r="S37" t="inlineStr">
        <is>
          <t>sp5der-black-spider-web-fleece-pullover-hoodie-recvlts3M13ycu</t>
        </is>
      </c>
      <c r="T37"/>
      <c r="U37"/>
      <c r="V37"/>
      <c r="W37" t="inlineStr">
        <is>
          <t>{"id":"resp_05afcc45d315dc98016a2248bae568819aa9d50c0cba785564","object":"chat.completion","created":1780631740,"model":"gpt-5.5","choices":[{"index":0,"message":{"role":"assistant","content":"Sp5der 黑色蜘蛛网印花连帽卫衣，棉质抓绒面料，街头潮流风格，男女同款休闲套头帽衫"},"finish_reason":"stop"}],"usage":{"prompt_tokens":1515,"completion_tokens":44,"total_tokens":1559,"prompt_tokens_details":{"cached_tokens":1024}}}</t>
        </is>
      </c>
      <c r="X37" t="inlineStr">
        <is>
          <t>Sp5der 黑色蜘蛛网印花连帽卫衣，棉质抓绒面料，街头潮流风格，男女同款休闲套头帽衫</t>
        </is>
      </c>
    </row>
    <row r="38" ht="25.5" customHeight="1">
      <c r="A38">
        <v>1839115443</v>
      </c>
      <c r="B38">
        <v>7778607789</v>
      </c>
      <c r="C38" s="2" t="str">
        <f>=HYPERLINK("https://weidian.com/item.html?itemID=7778607789", "https://weidian.com/item.html?itemID=7778607789")</f>
        <v>https://weidian.com/item.html?itemID=7778607789</v>
      </c>
      <c r="D38"/>
      <c r="E38" s="2" t="str">
        <f>=HYPERLINK("https://si.geilicdn.com/open1839115443-252808396-4dcf0000019e87e479870a23b491_1000_1000.jpg?w=640&amp;h=640", "https://si.geilicdn.com/open1839115443-252808396-4dcf0000019e87e479870a23b491_1000_1000.jpg?w=640&amp;h=640")</f>
        <v>https://si.geilicdn.com/open1839115443-252808396-4dcf0000019e87e479870a23b491_1000_1000.jpg?w=640&amp;h=640</v>
      </c>
      <c r="F38" t="inlineStr">
        <is>
          <t>Hoodies</t>
        </is>
      </c>
      <c r="G38" t="inlineStr">
        <is>
          <t>Amiri</t>
        </is>
      </c>
      <c r="H38" t="inlineStr">
        <is>
          <t>151.5</t>
        </is>
      </c>
      <c r="I38">
        <v>21.96</v>
      </c>
      <c r="J38" t="inlineStr">
        <is>
          <t>{"id":"resp_0a8a7e620a80df74016a224c43f1f8819b9e0910d71cc33c87","object":"chat.completion","created":1780632647,"model":"gpt-5.5","choices":[{"index":0,"message":{"role":"assistant","content":"Amiri Bone Sleeve Wool-Blend Cardigan Hoodie Jacket"},"finish_reason":"stop"}],"usage":{"prompt_tokens":972,"completion_tokens":140,"total_tokens":1112}}</t>
        </is>
      </c>
      <c r="K38" t="inlineStr">
        <is>
          <t>Amiri Bone Sleeve Wool-Blend Cardigan Hoodie Jacket</t>
        </is>
      </c>
      <c r="L38" t="inlineStr">
        <is>
          <t>{"id":"resp_08ce7571683b2216016a224a803e7481989a9b27daf6aacaf2","object":"chat.completion","created":1780632195,"model":"gpt-5.5","choices":[{"index":0,"message":{"role":"assistant","content":"Amiri black wool-blend knit cardigan hoodie with sleeve bone motif, baseball collar, button front, streetwear unisex sweater jacket."},"finish_reason":"stop"}],"usage":{"prompt_tokens":992,"completion_tokens":85,"total_tokens":1077}}</t>
        </is>
      </c>
      <c r="M38" t="inlineStr">
        <is>
          <t>{"alt-svc":"h3=\":443\"; ma=2592000","connection":"close","content-length":"426","content-type":"application/json; charset=utf-8","date":"Fri, 05 Jun 2026 04:03:15 GMT","referrer-policy":"strict-origin-when-cross-origin","server":"nginx/1.24.0 (Ubuntu)","strict-transport-security":"max-age=31536000; includeSubDomains; preload","vary":"Accept-Encoding","via":"1.1 Caddy","x-content-type-options":"nosniff","x-frame-options":"DENY","x-new-api-version":"v1.0.0-rc.10","x-oneapi-request-id":"202606050403119987842848268d9d6vwJKm5d7","x-request-id":"a0ce0dc0d6ce622b18bb22ef80744247"}</t>
        </is>
      </c>
      <c r="N38" t="inlineStr">
        <is>
          <t>Amiri black wool-blend knit cardigan hoodie with sleeve bone motif, baseball collar, button front, streetwear unisex sweater jacket.</t>
        </is>
      </c>
      <c r="O38" t="inlineStr">
        <is>
          <t>{"id":"resp_0251e56d36ce18c8016a2269267df0819ba330c77c1cfc5102","object":"chat.completion","created":1780640040,"model":"gpt-5.5","choices":[{"index":0,"message":{"role":"assistant","content":"Amiri cardigan hoodie, Amiri wool blend knit hoodie, Amiri bone motif sweater jacket, Amiri baseball collar cardigan, Amiri button front streetwear hoodie, Amiri unisex knit cardigan"},"finish_reason":"stop"}],"usage":{"prompt_tokens":858,"completion_tokens":43,"total_tokens":901}}</t>
        </is>
      </c>
      <c r="P38" t="inlineStr">
        <is>
          <t>Amiri cardigan hoodie, Amiri wool blend knit hoodie, Amiri bone motif sweater jacket, Amiri baseball collar cardigan, Amiri button front streetwear hoodie, Amiri unisex knit cardigan</t>
        </is>
      </c>
      <c r="Q38" t="inlineStr">
        <is>
          <t>AMIRI, Black, Wool, Knit, Streetwear, Unisex</t>
        </is>
      </c>
      <c r="R38" t="inlineStr">
        <is>
          <t>recvlts3M1aYwk</t>
        </is>
      </c>
      <c r="S38" t="inlineStr">
        <is>
          <t>amiri-bone-sleeve-wool-blend-cardigan-hoodie-jacket-recvlts3m1aywk</t>
        </is>
      </c>
      <c r="T38"/>
      <c r="U38"/>
      <c r="V38"/>
      <c r="W38" t="inlineStr">
        <is>
          <t>{"id":"resp_0dc34d3985b0e17e016a224851a1dc819badc36726af881f8a","object":"chat.completion","created":1780631635,"model":"gpt-5.5","choices":[{"index":0,"message":{"role":"assistant","content":"Amiri 黑色针织开衫卫衣，羊毛混纺材质，袖侧骨骼图腾，棒球领纽扣设计，街头潮流男女款上衣"},"finish_reason":"stop"}],"usage":{"prompt_tokens":1294,"completion_tokens":47,"total_tokens":1341}}</t>
        </is>
      </c>
      <c r="X38" t="inlineStr">
        <is>
          <t>Amiri 黑色针织开衫卫衣，羊毛混纺材质，袖侧骨骼图腾，棒球领纽扣设计，街头潮流男女款上衣</t>
        </is>
      </c>
    </row>
    <row r="39" ht="25.5" customHeight="1">
      <c r="A39">
        <v>1839115443</v>
      </c>
      <c r="B39">
        <v>7781601764</v>
      </c>
      <c r="C39" s="2" t="str">
        <f>=HYPERLINK("https://weidian.com/item.html?itemID=7781601764", "https://weidian.com/item.html?itemID=7781601764")</f>
        <v>https://weidian.com/item.html?itemID=7781601764</v>
      </c>
      <c r="D39"/>
      <c r="E39" s="2" t="str">
        <f>=HYPERLINK("https://si.geilicdn.com/open1839115443-252808396-33f40000019e87e39efd0a8115c2_750_750.jpg?w=640&amp;h=640", "https://si.geilicdn.com/open1839115443-252808396-33f40000019e87e39efd0a8115c2_750_750.jpg?w=640&amp;h=640")</f>
        <v>https://si.geilicdn.com/open1839115443-252808396-33f40000019e87e39efd0a8115c2_750_750.jpg?w=640&amp;h=640</v>
      </c>
      <c r="F39" t="inlineStr">
        <is>
          <t>Hoodies</t>
        </is>
      </c>
      <c r="G39" t="inlineStr">
        <is>
          <t>Sp5der</t>
        </is>
      </c>
      <c r="H39" t="inlineStr">
        <is>
          <t>182</t>
        </is>
      </c>
      <c r="I39">
        <v>26.38</v>
      </c>
      <c r="J39" t="inlineStr">
        <is>
          <t>{"id":"resp_0cd89ed1650a63a4016a224b93cbb4819aab7462d8a69924d9","object":"chat.completion","created":1780632469,"model":"gpt-5.5","choices":[{"index":0,"message":{"role":"assistant","content":"Sp5der Black Curved Logo Pullover Hoodie Streetwear Unisex"},"finish_reason":"stop"}],"usage":{"prompt_tokens":982,"completion_tokens":18,"total_tokens":1000}}</t>
        </is>
      </c>
      <c r="K39" t="inlineStr">
        <is>
          <t>Sp5der Black Curved Logo Pullover Hoodie Streetwear Unisex</t>
        </is>
      </c>
      <c r="L39" t="inlineStr">
        <is>
          <t>{"id":"resp_04385aa7671e3132016a2249bd5fac819abb8b3395ba575a4c","object":"chat.completion","created":1780632001,"model":"gpt-5.5","choices":[{"index":0,"message":{"role":"assistant","content":"Sp5der Black Hoodie, cotton-blend pullover with curved logo print, relaxed streetwear fit, kangaroo pocket, unisex casual hooded sweatshirt"},"finish_reason":"stop"}],"usage":{"prompt_tokens":1009,"completion_tokens":97,"total_tokens":1106}}</t>
        </is>
      </c>
      <c r="M39" t="inlineStr">
        <is>
          <t>{"alt-svc":"h3=\":443\"; ma=2592000","connection":"close","content-length":"434","content-type":"application/json; charset=utf-8","date":"Fri, 05 Jun 2026 04:00:01 GMT","referrer-policy":"strict-origin-when-cross-origin","server":"nginx/1.24.0 (Ubuntu)","strict-transport-security":"max-age=31536000; includeSubDomains; preload","vary":"Accept-Encoding","via":"1.1 Caddy","x-content-type-options":"nosniff","x-frame-options":"DENY","x-new-api-version":"v1.0.0-rc.10","x-oneapi-request-id":"20260605035957643313248268d9d6A6jkaoJP","x-request-id":"f17ca0e534681640d433a67883aabbf7"}</t>
        </is>
      </c>
      <c r="N39" t="inlineStr">
        <is>
          <t>Sp5der Black Hoodie, cotton-blend pullover with curved logo print, relaxed streetwear fit, kangaroo pocket, unisex casual hooded sweatshirt</t>
        </is>
      </c>
      <c r="O39" t="inlineStr">
        <is>
          <t>{"id":"resp_0afcf20bf26d18aa016a22699f4ef8819b96ec72f24405afb7","object":"chat.completion","created":1780640161,"model":"gpt-5.5","choices":[{"index":0,"message":{"role":"assistant","content":"Sp5der Black Hoodie, Sp5der cotton-blend pullover hoodie, Sp5der curved logo sweatshirt, unisex Sp5der streetwear hoodie, relaxed fit kangaroo pocket hoodie, Sp5der casual hooded sweatshirt"},"finish_reason":"stop"}],"usage":{"prompt_tokens":863,"completion_tokens":50,"total_tokens":913}}</t>
        </is>
      </c>
      <c r="P39" t="inlineStr">
        <is>
          <t>Sp5der Black Hoodie, Sp5der cotton-blend pullover hoodie, Sp5der curved logo sweatshirt, unisex Sp5der streetwear hoodie, relaxed fit kangaroo pocket hoodie, Sp5der casual hooded sweatshirt</t>
        </is>
      </c>
      <c r="Q39" t="inlineStr">
        <is>
          <t>Streetwear, Unisex, Black</t>
        </is>
      </c>
      <c r="R39" t="inlineStr">
        <is>
          <t>recvlts3M15y8d</t>
        </is>
      </c>
      <c r="S39" t="inlineStr">
        <is>
          <t>sp5der-black-curved-logo-pullover-hoodie-recvlts3M15y8d</t>
        </is>
      </c>
      <c r="T39"/>
      <c r="U39"/>
      <c r="V39"/>
      <c r="W39" t="inlineStr">
        <is>
          <t>{"id":"resp_08569060680e08f1016a224862ac8c819ab3dc6e83b8099646","object":"chat.completion","created":1780631654,"model":"gpt-5.5","choices":[{"index":0,"message":{"role":"assistant","content":"潮牌Sp5der 黑色连帽卫衣，棉混纺材质，弧形字母Logo印花，宽松街头风，袋鼠兜设计，男女同款休闲套头帽衫"},"finish_reason":"stop"}],"usage":{"prompt_tokens":1294,"completion_tokens":138,"total_tokens":1432}}</t>
        </is>
      </c>
      <c r="X39" t="inlineStr">
        <is>
          <t>潮牌Sp5der 黑色连帽卫衣，棉混纺材质，弧形字母Logo印花，宽松街头风，袋鼠兜设计，男女同款休闲套头帽衫</t>
        </is>
      </c>
    </row>
    <row r="40" ht="25.5" customHeight="1">
      <c r="A40">
        <v>1839115443</v>
      </c>
      <c r="B40">
        <v>7781231148</v>
      </c>
      <c r="C40" s="2" t="str">
        <f>=HYPERLINK("https://weidian.com/item.html?itemID=7781231148", "https://weidian.com/item.html?itemID=7781231148")</f>
        <v>https://weidian.com/item.html?itemID=7781231148</v>
      </c>
      <c r="D40"/>
      <c r="E40" s="2" t="str">
        <f>=HYPERLINK("https://si.geilicdn.com/open1839115443-252808396-442b0000019e87e463ac0a231226_1200_1200.jpg?w=640&amp;h=640", "https://si.geilicdn.com/open1839115443-252808396-442b0000019e87e463ac0a231226_1200_1200.jpg?w=640&amp;h=640")</f>
        <v>https://si.geilicdn.com/open1839115443-252808396-442b0000019e87e463ac0a231226_1200_1200.jpg?w=640&amp;h=640</v>
      </c>
      <c r="F40" t="inlineStr">
        <is>
          <t>Hoodies</t>
        </is>
      </c>
      <c r="G40" t="inlineStr">
        <is>
          <t>Sp5der</t>
        </is>
      </c>
      <c r="H40" t="inlineStr">
        <is>
          <t>138.5</t>
        </is>
      </c>
      <c r="I40">
        <v>20.07</v>
      </c>
      <c r="J40" t="inlineStr">
        <is>
          <t>{"id":"resp_06a45be28a11ec52016a224c1212948199a2908b5ef525b6c9","object":"chat.completion","created":1780632596,"model":"gpt-5.5","choices":[{"index":0,"message":{"role":"assistant","content":"Sp5der Green Spider Web Hoodie Jogger Set Unisex"},"finish_reason":"stop"}],"usage":{"prompt_tokens":974,"completion_tokens":16,"total_tokens":990}}</t>
        </is>
      </c>
      <c r="K40" t="inlineStr">
        <is>
          <t>Sp5der Green Spider Web Hoodie Jogger Set Unisex</t>
        </is>
      </c>
      <c r="L40" t="inlineStr">
        <is>
          <t>{"id":"resp_0c2bcb58f1f5e3f5016a224a66ff88819b89db6fd3eace5a4f","object":"chat.completion","created":1780632170,"model":"gpt-5.5","choices":[{"index":0,"message":{"role":"assistant","content":"Sp5der green spider web print hoodie set, cotton comfort drawstring sweatshirt and jogger pants, unisex streetwear casual sports outfit"},"finish_reason":"stop"}],"usage":{"prompt_tokens":1001,"completion_tokens":31,"total_tokens":1032}}</t>
        </is>
      </c>
      <c r="M40" t="inlineStr">
        <is>
          <t>{"alt-svc":"h3=\":443\"; ma=2592000","connection":"close","content-length":"430","content-type":"application/json; charset=utf-8","date":"Fri, 05 Jun 2026 04:02:50 GMT","referrer-policy":"strict-origin-when-cross-origin","server":"nginx/1.24.0 (Ubuntu)","strict-transport-security":"max-age=31536000; includeSubDomains; preload","vary":"Accept-Encoding","via":"1.1 Caddy","x-content-type-options":"nosniff","x-frame-options":"DENY","x-new-api-version":"v1.0.0-rc.10","x-oneapi-request-id":"202606050402467624125098268d9d6CUdULUyy","x-request-id":"8d26fe841cd783bbf2970c326533ab4a"}</t>
        </is>
      </c>
      <c r="N40" t="inlineStr">
        <is>
          <t>Sp5der green spider web print hoodie set, cotton comfort drawstring sweatshirt and jogger pants, unisex streetwear casual sports outfit</t>
        </is>
      </c>
      <c r="O40" t="inlineStr">
        <is>
          <t>{"id":"resp_0e6b29469bdda247016a22693f515c819ab67fba140108fcc7","object":"chat.completion","created":1780640070,"model":"gpt-5.5","choices":[{"index":0,"message":{"role":"assistant","content":"Sp5der green spider web hoodie set, Sp5der cotton sweatshirt and jogger pants, unisex Sp5der streetwear tracksuit, Sp5der drawstring hoodie pants outfit, casual sports hoodie jogger set, HoodiesSp5der spider print sweatsuit"},"finish_reason":"stop"}],"usage":{"prompt_tokens":859,"completion_tokens":118,"total_tokens":977}}</t>
        </is>
      </c>
      <c r="P40" t="inlineStr">
        <is>
          <t>Sp5der green spider web hoodie set, Sp5der cotton sweatshirt and jogger pants, unisex Sp5der streetwear tracksuit, Sp5der drawstring hoodie pants outfit, casual sports hoodie jogger set, HoodiesSp5der spider print sweatsuit</t>
        </is>
      </c>
      <c r="Q40" t="inlineStr">
        <is>
          <t>Joggers, Unisex, Streetwear</t>
        </is>
      </c>
      <c r="R40" t="inlineStr">
        <is>
          <t>recvlts3M1lEiT</t>
        </is>
      </c>
      <c r="S40" t="inlineStr">
        <is>
          <t>sp5der-green-spider-web-hoodie-jogger-set-recvlts3M1lEiT</t>
        </is>
      </c>
      <c r="T40"/>
      <c r="U40"/>
      <c r="V40"/>
      <c r="W40" t="inlineStr">
        <is>
          <t>{"id":"resp_08c10432f6bcef50016a22489191f8819a96b0241e87ca7bac","object":"chat.completion","created":1780631703,"model":"gpt-5.5","choices":[{"index":0,"message":{"role":"assistant","content":"绿色Sp5der蛛网印花连帽卫衣套装，棉质舒适面料，抽绳帽衫配束脚长裤，街头潮流男女同款休闲运动套装"},"finish_reason":"stop"}],"usage":{"prompt_tokens":1294,"completion_tokens":144,"total_tokens":1438}}</t>
        </is>
      </c>
      <c r="X40" t="inlineStr">
        <is>
          <t>绿色Sp5der蛛网印花连帽卫衣套装，棉质舒适面料，抽绳帽衫配束脚长裤，街头潮流男女同款休闲运动套装</t>
        </is>
      </c>
    </row>
    <row r="41" ht="25.5" customHeight="1">
      <c r="A41">
        <v>1839115443</v>
      </c>
      <c r="B41">
        <v>7781527016</v>
      </c>
      <c r="C41" s="2" t="str">
        <f>=HYPERLINK("https://weidian.com/item.html?itemID=7781527016", "https://weidian.com/item.html?itemID=7781527016")</f>
        <v>https://weidian.com/item.html?itemID=7781527016</v>
      </c>
      <c r="D41"/>
      <c r="E41" s="2" t="str">
        <f>=HYPERLINK("https://si.geilicdn.com/open1839115443-252808396-4e6b0000019e87e592450a23b491_1920_1920.jpg?w=640&amp;h=640", "https://si.geilicdn.com/open1839115443-252808396-4e6b0000019e87e592450a23b491_1920_1920.jpg?w=640&amp;h=640")</f>
        <v>https://si.geilicdn.com/open1839115443-252808396-4e6b0000019e87e592450a23b491_1920_1920.jpg?w=640&amp;h=640</v>
      </c>
      <c r="F41" t="inlineStr">
        <is>
          <t>Hoodies</t>
        </is>
      </c>
      <c r="G41" t="inlineStr">
        <is>
          <t>Sp5der</t>
        </is>
      </c>
      <c r="H41" t="inlineStr">
        <is>
          <t>147</t>
        </is>
      </c>
      <c r="I41">
        <v>21.3</v>
      </c>
      <c r="J41" t="inlineStr">
        <is>
          <t>{"id":"resp_0a3f6d82639255e2016a224bbfb4f8819ba7094e965530762f","object":"chat.completion","created":1780632517,"model":"gpt-5.5","choices":[{"index":0,"message":{"role":"assistant","content":"Sp5der Black Spider Web Print Fleece Pullover Hoodie"},"finish_reason":"stop"}],"usage":{"prompt_tokens":975,"completion_tokens":121,"total_tokens":1096}}</t>
        </is>
      </c>
      <c r="K41" t="inlineStr">
        <is>
          <t>Sp5der Black Spider Web Print Fleece Pullover Hoodie</t>
        </is>
      </c>
      <c r="L41" t="inlineStr">
        <is>
          <t>{"id":"resp_03febba3638b65b3016a224a79e8c8819993457d3d6c28eb44","object":"chat.completion","created":1780632190,"model":"gpt-5.5","choices":[{"index":0,"message":{"role":"assistant","content":"Sp5der black spider web print hoodie, cotton fleece pullover with drawstring hood and kangaroo pocket, unisex streetwear sweatshirt."},"finish_reason":"stop"}],"usage":{"prompt_tokens":993,"completion_tokens":119,"total_tokens":1112}}</t>
        </is>
      </c>
      <c r="M41" t="inlineStr">
        <is>
          <t>{"alt-svc":"h3=\":443\"; ma=2592000","connection":"close","content-length":"427","content-type":"application/json; charset=utf-8","date":"Fri, 05 Jun 2026 04:03:10 GMT","referrer-policy":"strict-origin-when-cross-origin","server":"nginx/1.24.0 (Ubuntu)","strict-transport-security":"max-age=31536000; includeSubDomains; preload","vary":"Accept-Encoding","via":"1.1 Caddy","x-content-type-options":"nosniff","x-frame-options":"DENY","x-new-api-version":"v1.0.0-rc.10","x-oneapi-request-id":"202606050403055361734928268d9d6Q8mlrfyH","x-request-id":"aec5358a65058fceb40117dc8114e0ab"}</t>
        </is>
      </c>
      <c r="N41" t="inlineStr">
        <is>
          <t>Sp5der black spider web print hoodie, cotton fleece pullover with drawstring hood and kangaroo pocket, unisex streetwear sweatshirt.</t>
        </is>
      </c>
      <c r="O41" t="inlineStr">
        <is>
          <t>{"id":"resp_01007390d0212daa016a22695af998819baf7a0cb0e06005d0","object":"chat.completion","created":1780640095,"model":"gpt-5.5","choices":[{"index":0,"message":{"role":"assistant","content":"Sp5der black spider web hoodie, Sp5der cotton fleece pullover hoodie, Sp5der unisex streetwear sweatshirt, Sp5der drawstring hood kangaroo pocket hoodie, Sp5der graphic print hoodies, Sp5der black cotton hoodie"},"finish_reason":"stop"}],"usage":{"prompt_tokens":860,"completion_tokens":55,"total_tokens":915}}</t>
        </is>
      </c>
      <c r="P41" t="inlineStr">
        <is>
          <t>Sp5der black spider web hoodie, Sp5der cotton fleece pullover hoodie, Sp5der unisex streetwear sweatshirt, Sp5der drawstring hood kangaroo pocket hoodie, Sp5der graphic print hoodies, Sp5der black cotton hoodie</t>
        </is>
      </c>
      <c r="Q41" t="inlineStr">
        <is>
          <t>Streetwear, Unisex, Black, Fleece-Lined</t>
        </is>
      </c>
      <c r="R41" t="inlineStr">
        <is>
          <t>recvlts3M1S2Lx</t>
        </is>
      </c>
      <c r="S41" t="inlineStr">
        <is>
          <t>sp5der-black-spider-web-print-fleece-pullover-hoodie-recvlts3M1S2Lx</t>
        </is>
      </c>
      <c r="T41"/>
      <c r="U41"/>
      <c r="V41"/>
      <c r="W41" t="inlineStr">
        <is>
          <t>{"id":"resp_06174b33c88d7975016a224838671c8198b747334638a03a87","object":"chat.completion","created":1780631610,"model":"gpt-5.5","choices":[{"index":0,"message":{"role":"assistant","content":"Sp5der 黑色蜘蛛网印花连帽卫衣，棉质抓绒面料，袋鼠兜抽绳帽设计，街头潮流男女同款帽衫"},"finish_reason":"stop"}],"usage":{"prompt_tokens":1298,"completion_tokens":47,"total_tokens":1345}}</t>
        </is>
      </c>
      <c r="X41" t="inlineStr">
        <is>
          <t>Sp5der 黑色蜘蛛网印花连帽卫衣，棉质抓绒面料，袋鼠兜抽绳帽设计，街头潮流男女同款帽衫</t>
        </is>
      </c>
    </row>
    <row r="42" ht="25.5" customHeight="1">
      <c r="A42">
        <v>1839115443</v>
      </c>
      <c r="B42">
        <v>7781542998</v>
      </c>
      <c r="C42" s="2" t="str">
        <f>=HYPERLINK("https://weidian.com/item.html?itemID=7781542998", "https://weidian.com/item.html?itemID=7781542998")</f>
        <v>https://weidian.com/item.html?itemID=7781542998</v>
      </c>
      <c r="D42"/>
      <c r="E42" s="2" t="str">
        <f>=HYPERLINK("https://si.geilicdn.com/open1839115443-252808396-58520000019e87f30ce50a23b4de_900_900.jpg?w=750&amp;h=750&amp;cp=1", "https://si.geilicdn.com/open1839115443-252808396-58520000019e87f30ce50a23b4de_900_900.jpg?w=750&amp;h=750&amp;cp=1")</f>
        <v>https://si.geilicdn.com/open1839115443-252808396-58520000019e87f30ce50a23b4de_900_900.jpg?w=750&amp;h=750&amp;cp=1</v>
      </c>
      <c r="F42" t="inlineStr">
        <is>
          <t>T-Shirts</t>
        </is>
      </c>
      <c r="G42" t="inlineStr">
        <is>
          <t>Gallery Dept</t>
        </is>
      </c>
      <c r="H42" t="inlineStr">
        <is>
          <t>87</t>
        </is>
      </c>
      <c r="I42">
        <v>12.61</v>
      </c>
      <c r="J42" t="inlineStr">
        <is>
          <t>{"id":"resp_060ebe6b893fc281016a224c30204081989488c514f0d15b23","object":"chat.completion","created":1780632627,"model":"gpt-5.5","choices":[{"index":0,"message":{"role":"assistant","content":"Gallery Dept Olive Logo Print T-Shirt Unisex Streetwear"},"finish_reason":"stop"}],"usage":{"prompt_tokens":1177,"completion_tokens":112,"total_tokens":1289}}</t>
        </is>
      </c>
      <c r="K42" t="inlineStr">
        <is>
          <t>Gallery Dept Olive Logo Print T-Shirt Unisex Streetwear</t>
        </is>
      </c>
      <c r="L42" t="inlineStr">
        <is>
          <t>{"id":"resp_0a67f263850d96c1016a224a370e3081988d159c75f9a95d18","object":"chat.completion","created":1780632123,"model":"gpt-5.5","choices":[{"index":0,"message":{"role":"assistant","content":"Gallery Dept Olive Green Logo Print T-Shirt, cotton short sleeve unisex vintage American streetwear casual top for men and women"},"finish_reason":"stop"}],"usage":{"prompt_tokens":1186,"completion_tokens":59,"total_tokens":1245}}</t>
        </is>
      </c>
      <c r="M42" t="inlineStr">
        <is>
          <t>{"alt-svc":"h3=\":443\"; ma=2592000","connection":"close","content-length":"423","content-type":"application/json; charset=utf-8","date":"Fri, 05 Jun 2026 04:02:03 GMT","referrer-policy":"strict-origin-when-cross-origin","server":"nginx/1.24.0 (Ubuntu)","strict-transport-security":"max-age=31536000; includeSubDomains; preload","vary":"Accept-Encoding","via":"1.1 Caddy","x-content-type-options":"nosniff","x-frame-options":"DENY","x-new-api-version":"v1.0.0-rc.10","x-oneapi-request-id":"202606050401588178465658268d9d6iGhFzReJ","x-request-id":"8eff681f3a97ffa2b0c106570e4ad4b9"}</t>
        </is>
      </c>
      <c r="N42" t="inlineStr">
        <is>
          <t>Gallery Dept Olive Green Logo Print T-Shirt, cotton short sleeve unisex vintage American streetwear casual top for men and women</t>
        </is>
      </c>
      <c r="O42" t="inlineStr">
        <is>
          <t>{"id":"resp_0d68eca81d7f862d016a2269b93378819a8964a014c0bc5587","object":"chat.completion","created":1780640187,"model":"gpt-5.5","choices":[{"index":0,"message":{"role":"assistant","content":"Gallery Dept T-Shirt, Gallery Dept Logo Print Tee, Olive Green Cotton T-Shirt, Unisex Streetwear T-Shirt, Vintage American Casual Top, Short Sleeve Gallery Dept Tee"},"finish_reason":"stop"}],"usage":{"prompt_tokens":1065,"completion_tokens":38,"total_tokens":1103}}</t>
        </is>
      </c>
      <c r="P42" t="inlineStr">
        <is>
          <t>Gallery Dept T-Shirt, Gallery Dept Logo Print Tee, Olive Green Cotton T-Shirt, Unisex Streetwear T-Shirt, Vintage American Casual Top, Short Sleeve Gallery Dept Tee</t>
        </is>
      </c>
      <c r="Q42" t="inlineStr">
        <is>
          <t>Olive Green, Vintage, Streetwear, Unisex</t>
        </is>
      </c>
      <c r="R42" t="inlineStr">
        <is>
          <t>recvlts3M1rKYR</t>
        </is>
      </c>
      <c r="S42" t="inlineStr">
        <is>
          <t>gallery-dept-olive-logo-print-tshirt-recvlts3m1rkyr</t>
        </is>
      </c>
      <c r="T42"/>
      <c r="U42"/>
      <c r="V42"/>
      <c r="W42" t="inlineStr">
        <is>
          <t>{"id":"resp_087bb1b5635f0c0a016a2248227be0819abc4e6b558487f0f1","object":"chat.completion","created":1780631588,"model":"gpt-5.5","choices":[{"index":0,"message":{"role":"assistant","content":"Gallery Dept 橄榄绿Logo印花短袖T恤，纯棉休闲街头风，男女同款美式复古上衣"},"finish_reason":"stop"}],"usage":{"prompt_tokens":1508,"completion_tokens":39,"total_tokens":1547,"prompt_tokens_details":{"cached_tokens":1024}}}</t>
        </is>
      </c>
      <c r="X42" t="inlineStr">
        <is>
          <t>Gallery Dept 橄榄绿Logo印花短袖T恤，纯棉休闲街头风，男女同款美式复古上衣</t>
        </is>
      </c>
    </row>
    <row r="43" ht="25.5" customHeight="1">
      <c r="A43">
        <v>1839115443</v>
      </c>
      <c r="B43">
        <v>7781483506</v>
      </c>
      <c r="C43" s="2" t="str">
        <f>=HYPERLINK("https://weidian.com/item.html?itemID=7781483506", "https://weidian.com/item.html?itemID=7781483506")</f>
        <v>https://weidian.com/item.html?itemID=7781483506</v>
      </c>
      <c r="D43"/>
      <c r="E43" s="2" t="str">
        <f>=HYPERLINK("https://si.geilicdn.com/open1839115443-252808396-5d460000019e87f463210a22d249_1500_1500.jpg?w=640&amp;h=640", "https://si.geilicdn.com/open1839115443-252808396-5d460000019e87f463210a22d249_1500_1500.jpg?w=640&amp;h=640")</f>
        <v>https://si.geilicdn.com/open1839115443-252808396-5d460000019e87f463210a22d249_1500_1500.jpg?w=640&amp;h=640</v>
      </c>
      <c r="F43" t="inlineStr">
        <is>
          <t>T-Shirts</t>
        </is>
      </c>
      <c r="G43" t="inlineStr">
        <is>
          <t>Rhude</t>
        </is>
      </c>
      <c r="H43" t="inlineStr">
        <is>
          <t>69</t>
        </is>
      </c>
      <c r="I43">
        <v>10</v>
      </c>
      <c r="J43" t="inlineStr">
        <is>
          <t>{"id":"resp_0e768a84260a49ac016a224b801ca4819ab1f3370faffb9673","object":"chat.completion","created":1780632449,"model":"gpt-5.5","choices":[{"index":0,"message":{"role":"assistant","content":"Rhude Black Eagle Flag Graphic Cotton T-Shirt Unisex"},"finish_reason":"stop"}],"usage":{"prompt_tokens":977,"completion_tokens":15,"total_tokens":992}}</t>
        </is>
      </c>
      <c r="K43" t="inlineStr">
        <is>
          <t>Rhude Black Eagle Flag Graphic Cotton T-Shirt Unisex</t>
        </is>
      </c>
      <c r="L43" t="inlineStr">
        <is>
          <t>{"id":"resp_0762c1c822a48cc5016a2249d4c4dc8198aa8eaa69ab1ec038","object":"chat.completion","created":1780632023,"model":"gpt-5.5","choices":[{"index":0,"message":{"role":"assistant","content":"Rhude Black Short Sleeve T-Shirt, cotton crew neck, breathable comfort, eagle flag graphic and orange logo print, unisex streetwear casual top."},"finish_reason":"stop"}],"usage":{"prompt_tokens":995,"completion_tokens":95,"total_tokens":1090}}</t>
        </is>
      </c>
      <c r="M43" t="inlineStr">
        <is>
          <t>{"alt-svc":"h3=\":443\"; ma=2592000","connection":"close","content-length":"437","content-type":"application/json; charset=utf-8","date":"Fri, 05 Jun 2026 04:00:23 GMT","referrer-policy":"strict-origin-when-cross-origin","server":"nginx/1.24.0 (Ubuntu)","strict-transport-security":"max-age=31536000; includeSubDomains; preload","vary":"Accept-Encoding","via":"1.1 Caddy","x-content-type-options":"nosniff","x-frame-options":"DENY","x-new-api-version":"v1.0.0-rc.10","x-oneapi-request-id":"202606050400205233707908268d9d6PyiaFegW","x-request-id":"db67672ae5d0afaac5b4c52e016294ad"}</t>
        </is>
      </c>
      <c r="N43" t="inlineStr">
        <is>
          <t>Rhude Black Short Sleeve T-Shirt, cotton crew neck, breathable comfort, eagle flag graphic and orange logo print, unisex streetwear casual top.</t>
        </is>
      </c>
      <c r="O43" t="inlineStr">
        <is>
          <t>{"id":"resp_0326eb015f4c8228016a226a062560819b9a245fdfcd245faf","object":"chat.completion","created":1780640263,"model":"gpt-5.5","choices":[{"index":0,"message":{"role":"assistant","content":"Rhude Black Short Sleeve T-Shirt, Rhude cotton crew neck tee, Rhude eagle flag graphic shirt, Rhude orange logo print top, unisex Rhude streetwear T-shirt, breathable casual Rhude tee"},"finish_reason":"stop"}],"usage":{"prompt_tokens":860,"completion_tokens":47,"total_tokens":907}}</t>
        </is>
      </c>
      <c r="P43" t="inlineStr">
        <is>
          <t>Rhude Black Short Sleeve T-Shirt, Rhude cotton crew neck tee, Rhude eagle flag graphic shirt, Rhude orange logo print top, unisex Rhude streetwear T-shirt, breathable casual Rhude tee</t>
        </is>
      </c>
      <c r="Q43" t="inlineStr">
        <is>
          <t>Black, Unisex, Streetwear, Breathable</t>
        </is>
      </c>
      <c r="R43" t="inlineStr">
        <is>
          <t>recvlts3M1YV4f</t>
        </is>
      </c>
      <c r="S43" t="inlineStr">
        <is>
          <t>rhude-black-eagle-flag-graphic-cotton-tshirt-recvlts3m1yv4f</t>
        </is>
      </c>
      <c r="T43"/>
      <c r="U43"/>
      <c r="V43"/>
      <c r="W43" t="inlineStr">
        <is>
          <t>{"id":"resp_0ebb8529a872feea016a2248623a7081989f72dc6149b3a0f4","object":"chat.completion","created":1780631653,"model":"gpt-5.5","choices":[{"index":0,"message":{"role":"assistant","content":"黑色Rhude短袖T恤，棉质圆领舒适透气，前胸鹰旗图腾与橙色Logo印花，男女同款街头潮流休闲上衣。"},"finish_reason":"stop"}],"usage":{"prompt_tokens":1291,"completion_tokens":132,"total_tokens":1423}}</t>
        </is>
      </c>
      <c r="X43" t="inlineStr">
        <is>
          <t>黑色Rhude短袖T恤，棉质圆领舒适透气，前胸鹰旗图腾与橙色Logo印花，男女同款街头潮流休闲上衣。</t>
        </is>
      </c>
    </row>
    <row r="44" ht="25.5" customHeight="1">
      <c r="A44">
        <v>1839115443</v>
      </c>
      <c r="B44">
        <v>7778556759</v>
      </c>
      <c r="C44" s="2" t="str">
        <f>=HYPERLINK("https://weidian.com/item.html?itemID=7778556759", "https://weidian.com/item.html?itemID=7778556759")</f>
        <v>https://weidian.com/item.html?itemID=7778556759</v>
      </c>
      <c r="D44"/>
      <c r="E44" s="2" t="str">
        <f>=HYPERLINK("https://si.geilicdn.com/open1839115443-252808396-372d0000019e87f835c40a8133b0_1000_1000.jpg?w=640&amp;h=640", "https://si.geilicdn.com/open1839115443-252808396-372d0000019e87f835c40a8133b0_1000_1000.jpg?w=640&amp;h=640")</f>
        <v>https://si.geilicdn.com/open1839115443-252808396-372d0000019e87f835c40a8133b0_1000_1000.jpg?w=640&amp;h=640</v>
      </c>
      <c r="F44" t="inlineStr">
        <is>
          <t>T-Shirts</t>
        </is>
      </c>
      <c r="G44" t="inlineStr">
        <is>
          <t>Rhude</t>
        </is>
      </c>
      <c r="H44" t="inlineStr">
        <is>
          <t>61.5</t>
        </is>
      </c>
      <c r="I44">
        <v>8.91</v>
      </c>
      <c r="J44" t="inlineStr">
        <is>
          <t>{"id":"resp_0e19f453bafa311d016a224c25eb84819aa132c14f0489dff6","object":"chat.completion","created":1780632615,"model":"gpt-5.5","choices":[{"index":0,"message":{"role":"assistant","content":"Rhude Saint Barts Badge Print Cotton T-Shirt"},"finish_reason":"stop"}],"usage":{"prompt_tokens":972,"completion_tokens":14,"total_tokens":986}}</t>
        </is>
      </c>
      <c r="K44" t="inlineStr">
        <is>
          <t>Rhude Saint Barts Badge Print Cotton T-Shirt</t>
        </is>
      </c>
      <c r="L44" t="inlineStr">
        <is>
          <t>{"id":"resp_04c669c3942fea01016a2249c1cba0819abbdcd76fb2cf34c1","object":"chat.completion","created":1780632006,"model":"gpt-5.5","choices":[{"index":0,"message":{"role":"assistant","content":"Rhude black Saint Barts island badge print T-shirt, cotton crew neck, relaxed fit, vintage streetwear unisex short sleeve top"},"finish_reason":"stop"}],"usage":{"prompt_tokens":985,"completion_tokens":31,"total_tokens":1016}}</t>
        </is>
      </c>
      <c r="M44" t="inlineStr">
        <is>
          <t>{"alt-svc":"h3=\":443\"; ma=2592000","connection":"close","content-length":"419","content-type":"application/json; charset=utf-8","date":"Fri, 05 Jun 2026 04:00:06 GMT","referrer-policy":"strict-origin-when-cross-origin","server":"nginx/1.24.0 (Ubuntu)","strict-transport-security":"max-age=31536000; includeSubDomains; preload","vary":"Accept-Encoding","via":"1.1 Caddy","x-content-type-options":"nosniff","x-frame-options":"DENY","x-new-api-version":"v1.0.0-rc.10","x-oneapi-request-id":"202606050359593464233848268d9d6XTq9Rz3r","x-request-id":"717d13976f6874be76d367600a63fad3"}</t>
        </is>
      </c>
      <c r="N44" t="inlineStr">
        <is>
          <t>Rhude black Saint Barts island badge print T-shirt, cotton crew neck, relaxed fit, vintage streetwear unisex short sleeve top</t>
        </is>
      </c>
      <c r="O44" t="inlineStr">
        <is>
          <t>{"id":"resp_0cbb661fd60c2e1c016a2269b3e8448198943a0936a656da12","object":"chat.completion","created":1780640183,"model":"gpt-5.5","choices":[{"index":0,"message":{"role":"assistant","content":"Rhude Saint Barts T-shirt, Rhude black island badge tee, Rhude cotton crew neck shirt, Rhude relaxed fit streetwear T-shirt, Rhude unisex short sleeve top, Rhude vintage graphic T-shirt"},"finish_reason":"stop"}],"usage":{"prompt_tokens":857,"completion_tokens":49,"total_tokens":906}}</t>
        </is>
      </c>
      <c r="P44" t="inlineStr">
        <is>
          <t>Rhude Saint Barts T-shirt, Rhude black island badge tee, Rhude cotton crew neck shirt, Rhude relaxed fit streetwear T-shirt, Rhude unisex short sleeve top, Rhude vintage graphic T-shirt</t>
        </is>
      </c>
      <c r="Q44" t="inlineStr">
        <is>
          <t>Black, Vintage, Streetwear, Unisex, Summer</t>
        </is>
      </c>
      <c r="R44" t="inlineStr">
        <is>
          <t>recvlts3M1iDS4</t>
        </is>
      </c>
      <c r="S44" t="inlineStr">
        <is>
          <t>rhude-saint-barts-badge-print-recvlts3m1ids4</t>
        </is>
      </c>
      <c r="T44"/>
      <c r="U44"/>
      <c r="V44"/>
      <c r="W44" t="inlineStr">
        <is>
          <t>{"id":"resp_0e164f513c008608016a2248d5223c8199972e49bace697686","object":"chat.completion","created":1780631767,"model":"gpt-5.5","choices":[{"index":0,"message":{"role":"assistant","content":"Rhude 黑色Saint Barts海岛徽章印花短袖T恤，棉质圆领宽松版型，复古街头潮流男女同款上衣"},"finish_reason":"stop"}],"usage":{"prompt_tokens":1295,"completion_tokens":44,"total_tokens":1339}}</t>
        </is>
      </c>
      <c r="X44" t="inlineStr">
        <is>
          <t>Rhude 黑色Saint Barts海岛徽章印花短袖T恤，棉质圆领宽松版型，复古街头潮流男女同款上衣</t>
        </is>
      </c>
    </row>
    <row r="45" ht="25.5" customHeight="1">
      <c r="A45">
        <v>1839115443</v>
      </c>
      <c r="B45">
        <v>7778655693</v>
      </c>
      <c r="C45" s="2" t="str">
        <f>=HYPERLINK("https://weidian.com/item.html?itemID=7778655693", "https://weidian.com/item.html?itemID=7778655693")</f>
        <v>https://weidian.com/item.html?itemID=7778655693</v>
      </c>
      <c r="D45"/>
      <c r="E45" s="2" t="str">
        <f>=HYPERLINK("https://si.geilicdn.com/open1839115443-252808396-50f10000019e87f8a2d30a231226_1000_1000.jpg?w=640&amp;h=640", "https://si.geilicdn.com/open1839115443-252808396-50f10000019e87f8a2d30a231226_1000_1000.jpg?w=640&amp;h=640")</f>
        <v>https://si.geilicdn.com/open1839115443-252808396-50f10000019e87f8a2d30a231226_1000_1000.jpg?w=640&amp;h=640</v>
      </c>
      <c r="F45" t="inlineStr">
        <is>
          <t>T-Shirts</t>
        </is>
      </c>
      <c r="G45" t="inlineStr">
        <is>
          <t>Rhude</t>
        </is>
      </c>
      <c r="H45" t="inlineStr">
        <is>
          <t>64.5</t>
        </is>
      </c>
      <c r="I45">
        <v>9.35</v>
      </c>
      <c r="J45" t="inlineStr">
        <is>
          <t>{"id":"resp_0cc36ed2243127a4016a224bb857a08199b81ca1a62d0d0d0a","object":"chat.completion","created":1780632506,"model":"gpt-5.5","choices":[{"index":0,"message":{"role":"assistant","content":"Rhude Beige Cotton Sunset Logo Crew Neck T-Shirt"},"finish_reason":"stop"}],"usage":{"prompt_tokens":976,"completion_tokens":14,"total_tokens":990}}</t>
        </is>
      </c>
      <c r="K45" t="inlineStr">
        <is>
          <t>Rhude Beige Cotton Sunset Logo Crew Neck T-Shirt</t>
        </is>
      </c>
      <c r="L45" t="inlineStr">
        <is>
          <t>{"id":"resp_0c68cde60ad150c2016a2249f31ad08198bf4b5326d7e4e7db","object":"chat.completion","created":1780632053,"model":"gpt-5.5","choices":[{"index":0,"message":{"role":"assistant","content":"Rhude beige cotton T-shirt, breathable crew neck, blue RHude logo and sunset print, unisex vintage streetwear tee for men and women"},"finish_reason":"stop"}],"usage":{"prompt_tokens":999,"completion_tokens":67,"total_tokens":1066}}</t>
        </is>
      </c>
      <c r="M45" t="inlineStr">
        <is>
          <t>{"alt-svc":"h3=\":443\"; ma=2592000","connection":"close","content-length":"425","content-type":"application/json; charset=utf-8","date":"Fri, 05 Jun 2026 04:00:53 GMT","referrer-policy":"strict-origin-when-cross-origin","server":"nginx/1.24.0 (Ubuntu)","strict-transport-security":"max-age=31536000; includeSubDomains; preload","vary":"Accept-Encoding","via":"1.1 Caddy","x-content-type-options":"nosniff","x-frame-options":"DENY","x-new-api-version":"v1.0.0-rc.10","x-oneapi-request-id":"202606050400508392548528268d9d6go2s6pfR","x-request-id":"6f9b0dba458567b6b451530acf13e9e3"}</t>
        </is>
      </c>
      <c r="N45" t="inlineStr">
        <is>
          <t>Rhude beige cotton T-shirt, breathable crew neck, blue RHude logo and sunset print, unisex vintage streetwear tee for men and women</t>
        </is>
      </c>
      <c r="O45" t="inlineStr">
        <is>
          <t>{"id":"resp_0128ae78da1dda8f016a22699204fc8198addad069920e7bc2","object":"chat.completion","created":1780640147,"model":"gpt-5.5","choices":[{"index":0,"message":{"role":"assistant","content":"Rhude beige cotton T-shirt, Rhude sunset logo tee, breathable crew neck T-shirt, unisex vintage streetwear tee, Rhude men women cotton tee, blue Rhude logo T-shirt"},"finish_reason":"stop"}],"usage":{"prompt_tokens":859,"completion_tokens":43,"total_tokens":902}}</t>
        </is>
      </c>
      <c r="P45" t="inlineStr">
        <is>
          <t>Rhude beige cotton T-shirt, Rhude sunset logo tee, breathable crew neck T-shirt, unisex vintage streetwear tee, Rhude men women cotton tee, blue Rhude logo T-shirt</t>
        </is>
      </c>
      <c r="Q45" t="inlineStr">
        <is>
          <t>Beige, Blue, Unisex, Vintage, Streetwear, Breathable</t>
        </is>
      </c>
      <c r="R45" t="inlineStr">
        <is>
          <t>recvlts3M1eBtD</t>
        </is>
      </c>
      <c r="S45" t="inlineStr">
        <is>
          <t>rhude-beige-cotton-sunset-logo-crew-neck-t-shirt-recvlts3m1ebtd</t>
        </is>
      </c>
      <c r="T45"/>
      <c r="U45"/>
      <c r="V45"/>
      <c r="W45" t="inlineStr">
        <is>
          <t>{"id":"resp_0fe9c200fd34341b016a22483270d8819b976a96d104ea342b","object":"chat.completion","created":1780631607,"model":"gpt-5.5","choices":[{"index":0,"message":{"role":"assistant","content":"Rhude 米黄色短袖T恤，棉质圆领透气舒适，胸前蓝色RHude字母与夕阳图案印花，男女同款复古街头潮牌上衣"},"finish_reason":"stop"}],"usage":{"prompt_tokens":1295,"completion_tokens":51,"total_tokens":1346,"prompt_tokens_details":{"cached_tokens":1024}}}</t>
        </is>
      </c>
      <c r="X45" t="inlineStr">
        <is>
          <t>Rhude 米黄色短袖T恤，棉质圆领透气舒适，胸前蓝色RHude字母与夕阳图案印花，男女同款复古街头潮牌上衣</t>
        </is>
      </c>
    </row>
    <row r="46" ht="25.5" customHeight="1">
      <c r="A46">
        <v>1839115443</v>
      </c>
      <c r="B46">
        <v>7778616347</v>
      </c>
      <c r="C46" s="2" t="str">
        <f>=HYPERLINK("https://weidian.com/item.html?itemID=7778616347", "https://weidian.com/item.html?itemID=7778616347")</f>
        <v>https://weidian.com/item.html?itemID=7778616347</v>
      </c>
      <c r="D46"/>
      <c r="E46" s="2" t="str">
        <f>=HYPERLINK("https://si.geilicdn.com/open1839115443-252808396-55460000019e87f86f410aa08239_1000_1000.jpg?w=640&amp;h=640", "https://si.geilicdn.com/open1839115443-252808396-55460000019e87f86f410aa08239_1000_1000.jpg?w=640&amp;h=640")</f>
        <v>https://si.geilicdn.com/open1839115443-252808396-55460000019e87f86f410aa08239_1000_1000.jpg?w=640&amp;h=640</v>
      </c>
      <c r="F46" t="inlineStr">
        <is>
          <t>T-Shirts</t>
        </is>
      </c>
      <c r="G46" t="inlineStr">
        <is>
          <t>Rhude</t>
        </is>
      </c>
      <c r="H46" t="inlineStr">
        <is>
          <t>55.5</t>
        </is>
      </c>
      <c r="I46">
        <v>8.04</v>
      </c>
      <c r="J46" t="inlineStr">
        <is>
          <t>{"id":"resp_023fff62584b1fe1016a224c446c20819bb20d36bd87aeef80","object":"chat.completion","created":1780632649,"model":"gpt-5.5","choices":[{"index":0,"message":{"role":"assistant","content":"Rhude Black Logo Crest Cotton T-Shirt Vintage Streetwear"},"finish_reason":"stop"}],"usage":{"prompt_tokens":971,"completion_tokens":132,"total_tokens":1103}}</t>
        </is>
      </c>
      <c r="K46" t="inlineStr">
        <is>
          <t>Rhude Black Logo Crest Cotton T-Shirt Vintage Streetwear</t>
        </is>
      </c>
      <c r="L46" t="inlineStr">
        <is>
          <t>{"id":"resp_073ed055db955bc2016a224a59ea2081988d393780a6d6887f","object":"chat.completion","created":1780632160,"model":"gpt-5.5","choices":[{"index":0,"message":{"role":"assistant","content":"Rhude black cotton short sleeve T-shirt with front big logo and crest graphic, vintage streetwear style, unisex casual designer tee."},"finish_reason":"stop"}],"usage":{"prompt_tokens":995,"completion_tokens":31,"total_tokens":1026}}</t>
        </is>
      </c>
      <c r="M46" t="inlineStr">
        <is>
          <t>{"alt-svc":"h3=\":443\"; ma=2592000","connection":"close","content-length":"426","content-type":"application/json; charset=utf-8","date":"Fri, 05 Jun 2026 04:02:40 GMT","referrer-policy":"strict-origin-when-cross-origin","server":"nginx/1.24.0 (Ubuntu)","strict-transport-security":"max-age=31536000; includeSubDomains; preload","vary":"Accept-Encoding","via":"1.1 Caddy","x-content-type-options":"nosniff","x-frame-options":"DENY","x-new-api-version":"v1.0.0-rc.10","x-oneapi-request-id":"202606050402327664138698268d9d6hrBaeHTk","x-request-id":"f33e30a45667c1cea500221ad1195849"}</t>
        </is>
      </c>
      <c r="N46" t="inlineStr">
        <is>
          <t>Rhude black cotton short sleeve T-shirt with front big logo and crest graphic, vintage streetwear style, unisex casual designer tee.</t>
        </is>
      </c>
      <c r="O46" t="inlineStr">
        <is>
          <t>{"id":"resp_0909f2ba6b27550f016a2269217954819a973eb00a7e49e902","object":"chat.completion","created":1780640037,"model":"gpt-5.5","choices":[{"index":0,"message":{"role":"assistant","content":"Rhude T-Shirts, Rhude black cotton T-shirt, Rhude short sleeve logo tee, Rhude crest graphic T-shirt, Rhude vintage streetwear tee, Rhude unisex designer T-shirt"},"finish_reason":"stop"}],"usage":{"prompt_tokens":857,"completion_tokens":44,"total_tokens":901}}</t>
        </is>
      </c>
      <c r="P46" t="inlineStr">
        <is>
          <t>Rhude T-Shirts, Rhude black cotton T-shirt, Rhude short sleeve logo tee, Rhude crest graphic T-shirt, Rhude vintage streetwear tee, Rhude unisex designer T-shirt</t>
        </is>
      </c>
      <c r="Q46" t="inlineStr">
        <is>
          <t>Black, Vintage, Streetwear, Unisex</t>
        </is>
      </c>
      <c r="R46" t="inlineStr">
        <is>
          <t>recvlts3M1SiUz</t>
        </is>
      </c>
      <c r="S46" t="inlineStr">
        <is>
          <t>rhude-black-logo-crest-cotton-t-shirt-vintage-streetwear-recvlts3M1SiUz</t>
        </is>
      </c>
      <c r="T46"/>
      <c r="U46"/>
      <c r="V46"/>
      <c r="W46" t="inlineStr">
        <is>
          <t>{"id":"resp_0765dd929ee92193016a2248a2171081999213e785249ae4cd","object":"chat.completion","created":1780631717,"model":"gpt-5.5","choices":[{"index":0,"message":{"role":"assistant","content":"黑色Rhude短袖T恤，纯棉舒适面料，正面大Logo与徽章图腾印花，复古街头休闲风，男女同款潮牌上衣。"},"finish_reason":"stop"}],"usage":{"prompt_tokens":1289,"completion_tokens":120,"total_tokens":1409,"prompt_tokens_details":{"cached_tokens":1024}}}</t>
        </is>
      </c>
      <c r="X46" t="inlineStr">
        <is>
          <t>黑色Rhude短袖T恤，纯棉舒适面料，正面大Logo与徽章图腾印花，复古街头休闲风，男女同款潮牌上衣。</t>
        </is>
      </c>
    </row>
    <row r="47" ht="25.5" customHeight="1">
      <c r="A47">
        <v>1839115443</v>
      </c>
      <c r="B47">
        <v>7778592709</v>
      </c>
      <c r="C47" s="2" t="str">
        <f>=HYPERLINK("https://weidian.com/item.html?itemID=7778592709", "https://weidian.com/item.html?itemID=7778592709")</f>
        <v>https://weidian.com/item.html?itemID=7778592709</v>
      </c>
      <c r="D47"/>
      <c r="E47" s="2" t="str">
        <f>=HYPERLINK("https://si.geilicdn.com/open1839115443-252808396-60b40000019e88050ce00a23b4de_1500_1500.jpg?w=640&amp;h=640", "https://si.geilicdn.com/open1839115443-252808396-60b40000019e88050ce00a23b4de_1500_1500.jpg?w=640&amp;h=640")</f>
        <v>https://si.geilicdn.com/open1839115443-252808396-60b40000019e88050ce00a23b4de_1500_1500.jpg?w=640&amp;h=640</v>
      </c>
      <c r="F47" t="inlineStr">
        <is>
          <t>T-Shirts</t>
        </is>
      </c>
      <c r="G47" t="inlineStr">
        <is>
          <t>Gallery Dept</t>
        </is>
      </c>
      <c r="H47" t="inlineStr">
        <is>
          <t>69</t>
        </is>
      </c>
      <c r="I47">
        <v>10</v>
      </c>
      <c r="J47" t="inlineStr">
        <is>
          <t>{"id":"resp_0d61185aadc38476016a224c2c2d54819a85444f2f98dc8f02","object":"chat.completion","created":1780632621,"model":"gpt-5.5","choices":[{"index":0,"message":{"role":"assistant","content":"Gallery Dept Art That Kills Black Red Print T-Shirt"},"finish_reason":"stop"}],"usage":{"prompt_tokens":969,"completion_tokens":15,"total_tokens":984}}</t>
        </is>
      </c>
      <c r="K47" t="inlineStr">
        <is>
          <t>Gallery Dept Art That Kills Black Red Print T-Shirt</t>
        </is>
      </c>
      <c r="L47" t="inlineStr">
        <is>
          <t>{"id":"resp_08b6542d6ea33dba016a2249cec988819b8a5c822fcfe40646","object":"chat.completion","created":1780632016,"model":"gpt-5.5","choices":[{"index":0,"message":{"role":"assistant","content":"Gallery Dept black ART THAT KILLS red print T-shirt, cotton crew neck unisex short sleeve, vintage streetwear casual top."},"finish_reason":"stop"}],"usage":{"prompt_tokens":979,"completion_tokens":30,"total_tokens":1009}}</t>
        </is>
      </c>
      <c r="M47" t="inlineStr">
        <is>
          <t>{"alt-svc":"h3=\":443\"; ma=2592000","connection":"close","content-length":"415","content-type":"application/json; charset=utf-8","date":"Fri, 05 Jun 2026 04:00:16 GMT","referrer-policy":"strict-origin-when-cross-origin","server":"nginx/1.24.0 (Ubuntu)","strict-transport-security":"max-age=31536000; includeSubDomains; preload","vary":"Accept-Encoding","via":"1.1 Caddy","x-content-type-options":"nosniff","x-frame-options":"DENY","x-new-api-version":"v1.0.0-rc.10","x-oneapi-request-id":"202606050400144520683618268d9d67sivrLqX","x-request-id":"e7540a0900c24b51ac8c83eebb778c79"}</t>
        </is>
      </c>
      <c r="N47" t="inlineStr">
        <is>
          <t>Gallery Dept black ART THAT KILLS red print T-shirt, cotton crew neck unisex short sleeve, vintage streetwear casual top.</t>
        </is>
      </c>
      <c r="O47" t="inlineStr">
        <is>
          <t>{"id":"resp_0391b4dc2060daaa016a22699eae74819984903891d64bdf48","object":"chat.completion","created":1780640161,"model":"gpt-5.5","choices":[{"index":0,"message":{"role":"assistant","content":"Gallery Dept T-shirt, Gallery Dept ART THAT KILLS tee, black red print cotton T-shirt, unisex crew neck short sleeve top, vintage streetwear casual T-shirt"},"finish_reason":"stop"}],"usage":{"prompt_tokens":856,"completion_tokens":38,"total_tokens":894}}</t>
        </is>
      </c>
      <c r="P47" t="inlineStr">
        <is>
          <t>Gallery Dept T-shirt, Gallery Dept ART THAT KILLS tee, black red print cotton T-shirt, unisex crew neck short sleeve top, vintage streetwear casual T-shirt</t>
        </is>
      </c>
      <c r="Q47" t="inlineStr">
        <is>
          <t>Black, Red, Vintage, Streetwear, Unisex</t>
        </is>
      </c>
      <c r="R47" t="inlineStr">
        <is>
          <t>recvlts3M16KAY</t>
        </is>
      </c>
      <c r="S47" t="inlineStr">
        <is>
          <t>gallery-dept-art-kills-black-red-print-recvlts3m16kay</t>
        </is>
      </c>
      <c r="T47"/>
      <c r="U47"/>
      <c r="V47"/>
      <c r="W47" t="inlineStr">
        <is>
          <t>{"id":"resp_0d52936ff599de71016a22484f1d688198aa0b31927c1040ae","object":"chat.completion","created":1780631634,"model":"gpt-5.5","choices":[{"index":0,"message":{"role":"assistant","content":"黑色ART THAT KILLS红字印花短袖T恤，Gallery Dept纯棉圆领男女同款，街头复古休闲潮牌上衣"},"finish_reason":"stop"}],"usage":{"prompt_tokens":1293,"completion_tokens":139,"total_tokens":1432,"prompt_tokens_details":{"cached_tokens":1024}}}</t>
        </is>
      </c>
      <c r="X47" t="inlineStr">
        <is>
          <t>黑色ART THAT KILLS红字印花短袖T恤，Gallery Dept纯棉圆领男女同款，街头复古休闲潮牌上衣</t>
        </is>
      </c>
    </row>
    <row r="48" ht="25.5" customHeight="1">
      <c r="A48">
        <v>1839115443</v>
      </c>
      <c r="B48">
        <v>7781440666</v>
      </c>
      <c r="C48" s="2" t="str">
        <f>=HYPERLINK("https://weidian.com/item.html?itemID=7781440666", "https://weidian.com/item.html?itemID=7781440666")</f>
        <v>https://weidian.com/item.html?itemID=7781440666</v>
      </c>
      <c r="D48"/>
      <c r="E48" s="2" t="str">
        <f>=HYPERLINK("https://si.geilicdn.com/open1839115443-252808396-64ec0000019e8804fcf00a22d249_800_800.jpg?w=640&amp;h=640", "https://si.geilicdn.com/open1839115443-252808396-64ec0000019e8804fcf00a22d249_800_800.jpg?w=640&amp;h=640")</f>
        <v>https://si.geilicdn.com/open1839115443-252808396-64ec0000019e8804fcf00a22d249_800_800.jpg?w=640&amp;h=640</v>
      </c>
      <c r="F48" t="inlineStr">
        <is>
          <t>Hoodies</t>
        </is>
      </c>
      <c r="G48" t="inlineStr">
        <is>
          <t>Trapstar</t>
        </is>
      </c>
      <c r="H48" t="inlineStr">
        <is>
          <t>110</t>
        </is>
      </c>
      <c r="I48">
        <v>15.94</v>
      </c>
      <c r="J48" t="inlineStr">
        <is>
          <t>{"id":"resp_0920fe98086c5117016a224bf7fb84819aa988b3b7b7148d90","object":"chat.completion","created":1780632570,"model":"gpt-5.5","choices":[{"index":0,"message":{"role":"assistant","content":"Trapstar Panther Print Grey Hoodie Tracksuit Set"},"finish_reason":"stop"}],"usage":{"prompt_tokens":972,"completion_tokens":13,"total_tokens":985}}</t>
        </is>
      </c>
      <c r="K48" t="inlineStr">
        <is>
          <t>Trapstar Panther Print Grey Hoodie Tracksuit Set</t>
        </is>
      </c>
      <c r="L48" t="inlineStr">
        <is>
          <t>{"id":"resp_0ea5083563895008016a224a2693e48198ac10687f3a99739a","object":"chat.completion","created":1780632105,"model":"gpt-5.5","choices":[{"index":0,"message":{"role":"assistant","content":"Trapstar grey hoodie set, cotton fleece tracksuit with panther letter print, kangaroo pocket, unisex streetwear sportswear."},"finish_reason":"stop"}],"usage":{"prompt_tokens":994,"completion_tokens":112,"total_tokens":1106}}</t>
        </is>
      </c>
      <c r="M48" t="inlineStr">
        <is>
          <t>{"alt-svc":"h3=\":443\"; ma=2592000","connection":"close","content-length":"418","content-type":"application/json; charset=utf-8","date":"Fri, 05 Jun 2026 04:01:45 GMT","referrer-policy":"strict-origin-when-cross-origin","server":"nginx/1.24.0 (Ubuntu)","strict-transport-security":"max-age=31536000; includeSubDomains; preload","vary":"Accept-Encoding","via":"1.1 Caddy","x-content-type-options":"nosniff","x-frame-options":"DENY","x-new-api-version":"v1.0.0-rc.10","x-oneapi-request-id":"202606050401423358497428268d9d6b0BjlOfX","x-request-id":"67987f159fd82711332bc499d96a3419"}</t>
        </is>
      </c>
      <c r="N48" t="inlineStr">
        <is>
          <t>Trapstar grey hoodie set, cotton fleece tracksuit with panther letter print, kangaroo pocket, unisex streetwear sportswear.</t>
        </is>
      </c>
      <c r="O48" t="inlineStr">
        <is>
          <t>{"id":"resp_011788e6f53d46fd016a2269569e048199b2dcaacc04b67fc5","object":"chat.completion","created":1780640089,"model":"gpt-5.5","choices":[{"index":0,"message":{"role":"assistant","content":"Trapstar grey hoodie set, Trapstar cotton fleece tracksuit, Trapstar panther letter print hoodie, unisex Trapstar streetwear set, Trapstar kangaroo pocket hoodie, Trapstar sportswear tracksuit"},"finish_reason":"stop"}],"usage":{"prompt_tokens":858,"completion_tokens":46,"total_tokens":904}}</t>
        </is>
      </c>
      <c r="P48" t="inlineStr">
        <is>
          <t>Trapstar grey hoodie set, Trapstar cotton fleece tracksuit, Trapstar panther letter print hoodie, unisex Trapstar streetwear set, Trapstar kangaroo pocket hoodie, Trapstar sportswear tracksuit</t>
        </is>
      </c>
      <c r="Q48" t="inlineStr">
        <is>
          <t>Unisex, Streetwear, Grey, Fleece-Lined, All Seasons</t>
        </is>
      </c>
      <c r="R48" t="inlineStr">
        <is>
          <t>recvlts3M17TZ3</t>
        </is>
      </c>
      <c r="S48" t="inlineStr">
        <is>
          <t>trapstar-panther-print-grey-hoodie-recvlts3M17TZ3</t>
        </is>
      </c>
      <c r="T48"/>
      <c r="U48"/>
      <c r="V48"/>
      <c r="W48" t="inlineStr">
        <is>
          <t>{"id":"resp_07813201dd3f6af4016a2248328f94819ba2566d2e57860c98","object":"chat.completion","created":1780631604,"model":"gpt-5.5","choices":[{"index":0,"message":{"role":"assistant","content":"Trapstar 灰色连帽卫衣套装，棉质抓绒面料，胸前黑豹字母印花，袋鼠兜休闲街头男女同款运动套装"},"finish_reason":"stop"}],"usage":{"prompt_tokens":1290,"completion_tokens":48,"total_tokens":1338,"prompt_tokens_details":{"cached_tokens":1024}}}</t>
        </is>
      </c>
      <c r="X48" t="inlineStr">
        <is>
          <t>Trapstar 灰色连帽卫衣套装，棉质抓绒面料，胸前黑豹字母印花，袋鼠兜休闲街头男女同款运动套装</t>
        </is>
      </c>
    </row>
    <row r="49" ht="25.5" customHeight="1">
      <c r="A49">
        <v>1839115443</v>
      </c>
      <c r="B49">
        <v>7778588721</v>
      </c>
      <c r="C49" s="2" t="str">
        <f>=HYPERLINK("https://weidian.com/item.html?itemID=7778588721", "https://weidian.com/item.html?itemID=7778588721")</f>
        <v>https://weidian.com/item.html?itemID=7778588721</v>
      </c>
      <c r="D49"/>
      <c r="E49" s="2" t="str">
        <f>=HYPERLINK("https://si.geilicdn.com/open1839115443-252808396-55fd0000019e88048cbe0a231226_800_800.jpg?w=640&amp;h=640", "https://si.geilicdn.com/open1839115443-252808396-55fd0000019e88048cbe0a231226_800_800.jpg?w=640&amp;h=640")</f>
        <v>https://si.geilicdn.com/open1839115443-252808396-55fd0000019e88048cbe0a231226_800_800.jpg?w=640&amp;h=640</v>
      </c>
      <c r="F49" t="inlineStr">
        <is>
          <t>Hoodies</t>
        </is>
      </c>
      <c r="G49" t="inlineStr">
        <is>
          <t>Trapstar</t>
        </is>
      </c>
      <c r="H49" t="inlineStr">
        <is>
          <t>102</t>
        </is>
      </c>
      <c r="I49">
        <v>14.78</v>
      </c>
      <c r="J49" t="inlineStr">
        <is>
          <t>{"id":"resp_0db9235be22041ff016a224b887b548199a717d6dfbf526cc0","object":"chat.completion","created":1780632464,"model":"gpt-5.5","choices":[{"index":0,"message":{"role":"assistant","content":"Trapstar Grey Hoodie Tracksuit Orange Blue Logo Set"},"finish_reason":"stop"}],"usage":{"prompt_tokens":981,"completion_tokens":185,"total_tokens":1166}}</t>
        </is>
      </c>
      <c r="K49" t="inlineStr">
        <is>
          <t>Trapstar Grey Hoodie Tracksuit Orange Blue Logo Set</t>
        </is>
      </c>
      <c r="L49" t="inlineStr">
        <is>
          <t>{"id":"resp_0cb73d25a4916f22016a2249c184a8819bb30bff60d24f5ccb","object":"chat.completion","created":1780632004,"model":"gpt-5.5","choices":[{"index":0,"message":{"role":"assistant","content":"Trapstar grey hoodie tracksuit, soft cotton blend, orange-blue chest logo print, drawstring hood, kangaroo pocket, unisex streetwear sports set"},"finish_reason":"stop"}],"usage":{"prompt_tokens":1010,"completion_tokens":90,"total_tokens":1100}}</t>
        </is>
      </c>
      <c r="M49" t="inlineStr">
        <is>
          <t>{"alt-svc":"h3=\":443\"; ma=2592000","connection":"close","content-length":"438","content-type":"application/json; charset=utf-8","date":"Fri, 05 Jun 2026 04:00:04 GMT","referrer-policy":"strict-origin-when-cross-origin","server":"nginx/1.24.0 (Ubuntu)","strict-transport-security":"max-age=31536000; includeSubDomains; preload","vary":"Accept-Encoding","via":"1.1 Caddy","x-content-type-options":"nosniff","x-frame-options":"DENY","x-new-api-version":"v1.0.0-rc.10","x-oneapi-request-id":"202606050400012700937468268d9d6WjkNqQoH","x-request-id":"cf6e8cf5ed0faf2035b329c647d40eed"}</t>
        </is>
      </c>
      <c r="N49" t="inlineStr">
        <is>
          <t>Trapstar grey hoodie tracksuit, soft cotton blend, orange-blue chest logo print, drawstring hood, kangaroo pocket, unisex streetwear sports set</t>
        </is>
      </c>
      <c r="O49" t="inlineStr">
        <is>
          <t>{"id":"resp_010b8a61285fbb69016a22696d07b48199b111c4540851dabb","object":"chat.completion","created":1780640111,"model":"gpt-5.5","choices":[{"index":0,"message":{"role":"assistant","content":"Trapstar grey hoodie tracksuit, Trapstar unisex streetwear set, Trapstar cotton blend hoodie, Trapstar drawstring hood tracksuit, Trapstar kangaroo pocket hoodie, Trapstar orange blue logo sports set"},"finish_reason":"stop"}],"usage":{"prompt_tokens":862,"completion_tokens":47,"total_tokens":909}}</t>
        </is>
      </c>
      <c r="P49" t="inlineStr">
        <is>
          <t>Trapstar grey hoodie tracksuit, Trapstar unisex streetwear set, Trapstar cotton blend hoodie, Trapstar drawstring hood tracksuit, Trapstar kangaroo pocket hoodie, Trapstar orange blue logo sports set</t>
        </is>
      </c>
      <c r="Q49" t="inlineStr">
        <is>
          <t>Streetwear, Unisex, Hip Hop</t>
        </is>
      </c>
      <c r="R49" t="inlineStr">
        <is>
          <t>recvlts3M1KCgz</t>
        </is>
      </c>
      <c r="S49" t="inlineStr">
        <is>
          <t>trapstar-grey-hoodie-tracksuit-orange-blue-logo-recvlts3M1KCgz</t>
        </is>
      </c>
      <c r="T49"/>
      <c r="U49"/>
      <c r="V49"/>
      <c r="W49" t="inlineStr">
        <is>
          <t>{"id":"resp_07452ad3cd4c7c76016a2247ebebf0819a94f96125b3c41ddc","object":"chat.completion","created":1780631533,"model":"gpt-5.5","choices":[{"index":0,"message":{"role":"assistant","content":"Trapstar 灰色连帽卫衣套装，棉质舒适面料，胸前橙蓝字母图腾印花，抽绳帽袋鼠兜设计，男女同款街头休闲运动套装"},"finish_reason":"stop"}],"usage":{"prompt_tokens":1288,"completion_tokens":56,"total_tokens":1344}}</t>
        </is>
      </c>
      <c r="X49" t="inlineStr">
        <is>
          <t>Trapstar 灰色连帽卫衣套装，棉质舒适面料，胸前橙蓝字母图腾印花，抽绳帽袋鼠兜设计，男女同款街头休闲运动套装</t>
        </is>
      </c>
    </row>
    <row r="50" ht="25.5" customHeight="1">
      <c r="A50">
        <v>1839115443</v>
      </c>
      <c r="B50">
        <v>7781564638</v>
      </c>
      <c r="C50" s="2" t="str">
        <f>=HYPERLINK("https://weidian.com/item.html?itemID=7781564638", "https://weidian.com/item.html?itemID=7781564638")</f>
        <v>https://weidian.com/item.html?itemID=7781564638</v>
      </c>
      <c r="D50"/>
      <c r="E50" s="2" t="str">
        <f>=HYPERLINK("https://si.geilicdn.com/open1839115443-252808396-4d050000019e87f1b4800a231226_1500_1500.jpg?w=640&amp;h=640", "https://si.geilicdn.com/open1839115443-252808396-4d050000019e87f1b4800a231226_1500_1500.jpg?w=640&amp;h=640")</f>
        <v>https://si.geilicdn.com/open1839115443-252808396-4d050000019e87f1b4800a231226_1500_1500.jpg?w=640&amp;h=640</v>
      </c>
      <c r="F50" t="inlineStr">
        <is>
          <t>Pants</t>
        </is>
      </c>
      <c r="G50" t="inlineStr">
        <is>
          <t>Gallery Dept</t>
        </is>
      </c>
      <c r="H50" t="inlineStr">
        <is>
          <t>157.5</t>
        </is>
      </c>
      <c r="I50">
        <v>22.83</v>
      </c>
      <c r="J50" t="inlineStr">
        <is>
          <t>{"id":"resp_0a0e35bc37e73baa016a224c3924688198b26f1fd3786931b0","object":"chat.completion","created":1780632634,"model":"gpt-5.5","choices":[{"index":0,"message":{"role":"assistant","content":"Gallery Dept Orange Paint Splatter Sweatpants"},"finish_reason":"stop"}],"usage":{"prompt_tokens":962,"completion_tokens":12,"total_tokens":974}}</t>
        </is>
      </c>
      <c r="K50" t="inlineStr">
        <is>
          <t>Gallery Dept Orange Paint Splatter Sweatpants</t>
        </is>
      </c>
      <c r="L50" t="inlineStr">
        <is>
          <t>{"id":"resp_049cb835d5b40a2a016a224a07e724819aa262d0715649f968","object":"chat.completion","created":1780632073,"model":"gpt-5.5","choices":[{"index":0,"message":{"role":"assistant","content":"Gallery Dept Orange Paint Splatter Sweatpants, cotton elastic waist straight-leg unisex streetwear vintage casual track pants"},"finish_reason":"stop"}],"usage":{"prompt_tokens":981,"completion_tokens":26,"total_tokens":1007}}</t>
        </is>
      </c>
      <c r="M50" t="inlineStr">
        <is>
          <t>{"alt-svc":"h3=\":443\"; ma=2592000","connection":"close","content-length":"419","content-type":"application/json; charset=utf-8","date":"Fri, 05 Jun 2026 04:01:13 GMT","referrer-policy":"strict-origin-when-cross-origin","server":"nginx/1.24.0 (Ubuntu)","strict-transport-security":"max-age=31536000; includeSubDomains; preload","vary":"Accept-Encoding","via":"1.1 Caddy","x-content-type-options":"nosniff","x-frame-options":"DENY","x-new-api-version":"v1.0.0-rc.10","x-oneapi-request-id":"202606050401116231644588268d9d6fP3Ry2Cy","x-request-id":"55057fc7a5437292a12e16d6492aff69"}</t>
        </is>
      </c>
      <c r="N50" t="inlineStr">
        <is>
          <t>Gallery Dept Orange Paint Splatter Sweatpants, cotton elastic waist straight-leg unisex streetwear vintage casual track pants</t>
        </is>
      </c>
      <c r="O50" t="inlineStr">
        <is>
          <t>{"id":"resp_0066b4445a06faab016a22698c89908198b2dc0a51688fb027","object":"chat.completion","created":1780640142,"model":"gpt-5.5","choices":[{"index":0,"message":{"role":"assistant","content":"Gallery Dept paint splatter sweatpants, Gallery Dept orange cotton track pants, Gallery Dept elastic waist straight leg pants, Gallery Dept unisex streetwear pants, Gallery Dept vintage casual sweatpants, Gallery Dept cotton paint splatter joggers"},"finish_reason":"stop"}],"usage":{"prompt_tokens":852,"completion_tokens":50,"total_tokens":902}}</t>
        </is>
      </c>
      <c r="P50" t="inlineStr">
        <is>
          <t>Gallery Dept paint splatter sweatpants, Gallery Dept orange cotton track pants, Gallery Dept elastic waist straight leg pants, Gallery Dept unisex streetwear pants, Gallery Dept vintage casual sweatpants, Gallery Dept cotton paint splatter joggers</t>
        </is>
      </c>
      <c r="Q50" t="inlineStr">
        <is>
          <t>Orange, Streetwear, Vintage, Unisex</t>
        </is>
      </c>
      <c r="R50" t="inlineStr">
        <is>
          <t>recvlts3M1GXOu</t>
        </is>
      </c>
      <c r="S50" t="inlineStr">
        <is>
          <t>gallery-dept-orange-paint-sweatpants-recvlts3m1gxou</t>
        </is>
      </c>
      <c r="T50"/>
      <c r="U50"/>
      <c r="V50"/>
      <c r="W50" t="inlineStr">
        <is>
          <t>{"id":"resp_0c7e75c63bf35f9e016a22484ba35c819aa3b7536f07325eb4","object":"chat.completion","created":1780631631,"model":"gpt-5.5","choices":[{"index":0,"message":{"role":"assistant","content":"Gallery Dept 橙色泼墨印花休闲长裤，棉质松紧腰直筒设计，街头复古潮流男女同款运动裤"},"finish_reason":"stop"}],"usage":{"prompt_tokens":1293,"completion_tokens":42,"total_tokens":1335,"prompt_tokens_details":{"cached_tokens":1024}}}</t>
        </is>
      </c>
      <c r="X50" t="inlineStr">
        <is>
          <t>Gallery Dept 橙色泼墨印花休闲长裤，棉质松紧腰直筒设计，街头复古潮流男女同款运动裤</t>
        </is>
      </c>
    </row>
    <row r="51" ht="25.5" customHeight="1">
      <c r="A51">
        <v>1839115443</v>
      </c>
      <c r="B51">
        <v>7781604096</v>
      </c>
      <c r="C51" s="2" t="str">
        <f>=HYPERLINK("https://weidian.com/item.html?itemID=7781604096", "https://weidian.com/item.html?itemID=7781604096")</f>
        <v>https://weidian.com/item.html?itemID=7781604096</v>
      </c>
      <c r="D51"/>
      <c r="E51" s="2" t="str">
        <f>=HYPERLINK("https://si.geilicdn.com/open1839115443-252808396-4aba0000019e87f26f990aa08269_1000_1000.jpg?w=640&amp;h=640", "https://si.geilicdn.com/open1839115443-252808396-4aba0000019e87f26f990aa08269_1000_1000.jpg?w=640&amp;h=640")</f>
        <v>https://si.geilicdn.com/open1839115443-252808396-4aba0000019e87f26f990aa08269_1000_1000.jpg?w=640&amp;h=640</v>
      </c>
      <c r="F51" t="inlineStr">
        <is>
          <t>Hoodies</t>
        </is>
      </c>
      <c r="G51" t="inlineStr">
        <is>
          <t>Gallery Dept</t>
        </is>
      </c>
      <c r="H51" t="inlineStr">
        <is>
          <t>145.5</t>
        </is>
      </c>
      <c r="I51">
        <v>21.09</v>
      </c>
      <c r="J51" t="inlineStr">
        <is>
          <t>{"id":"resp_0b98907c2a102db6016a224ba87f848199806b3ad91177826a","object":"chat.completion","created":1780632490,"model":"gpt-5.5","choices":[{"index":0,"message":{"role":"assistant","content":"Gallery Dept Brown Inverted Logo Pullover Hoodie"},"finish_reason":"stop"}],"usage":{"prompt_tokens":969,"completion_tokens":13,"total_tokens":982}}</t>
        </is>
      </c>
      <c r="K51" t="inlineStr">
        <is>
          <t>Gallery Dept Brown Inverted Logo Pullover Hoodie</t>
        </is>
      </c>
      <c r="L51" t="inlineStr">
        <is>
          <t>{"id":"resp_0b8c3ea1109bb582016a224a2d702c819baf09929092bcd385","object":"chat.completion","created":1780632112,"model":"gpt-5.5","choices":[{"index":0,"message":{"role":"assistant","content":"Gallery Dept brown pullover hoodie, cotton fleece, inverted logo print, vintage streetwear style, unisex casual hooded sweatshirt"},"finish_reason":"stop"}],"usage":{"prompt_tokens":982,"completion_tokens":29,"total_tokens":1011}}</t>
        </is>
      </c>
      <c r="M51" t="inlineStr">
        <is>
          <t>{"alt-svc":"h3=\":443\"; ma=2592000","connection":"close","content-length":"423","content-type":"application/json; charset=utf-8","date":"Fri, 05 Jun 2026 04:01:52 GMT","referrer-policy":"strict-origin-when-cross-origin","server":"nginx/1.24.0 (Ubuntu)","strict-transport-security":"max-age=31536000; includeSubDomains; preload","vary":"Accept-Encoding","via":"1.1 Caddy","x-content-type-options":"nosniff","x-frame-options":"DENY","x-new-api-version":"v1.0.0-rc.10","x-oneapi-request-id":"20260605040149492737328268d9d6j7mdghDL","x-request-id":"891d1ce372803452b84e0b1b6a5d5dd3"}</t>
        </is>
      </c>
      <c r="N51" t="inlineStr">
        <is>
          <t>Gallery Dept brown pullover hoodie, cotton fleece, inverted logo print, vintage streetwear style, unisex casual hooded sweatshirt</t>
        </is>
      </c>
      <c r="O51" t="inlineStr">
        <is>
          <t>{"id":"resp_07771adae495fce2016a22692a7aa88199843cf834775a58a0","object":"chat.completion","created":1780640044,"model":"gpt-5.5","choices":[{"index":0,"message":{"role":"assistant","content":"Gallery Dept brown pullover hoodie, Gallery Dept cotton fleece hoodie, inverted logo print sweatshirt, vintage streetwear hoodie, unisex casual hooded sweatshirt, Gallery Dept pullover sweatshirt"},"finish_reason":"stop"}],"usage":{"prompt_tokens":856,"completion_tokens":39,"total_tokens":895}}</t>
        </is>
      </c>
      <c r="P51" t="inlineStr">
        <is>
          <t>Gallery Dept brown pullover hoodie, Gallery Dept cotton fleece hoodie, inverted logo print sweatshirt, vintage streetwear hoodie, unisex casual hooded sweatshirt, Gallery Dept pullover sweatshirt</t>
        </is>
      </c>
      <c r="Q51" t="inlineStr">
        <is>
          <t>Brown, Vintage, Streetwear, Unisex</t>
        </is>
      </c>
      <c r="R51" t="inlineStr">
        <is>
          <t>recvlts3M1Cnst</t>
        </is>
      </c>
      <c r="S51" t="inlineStr">
        <is>
          <t>gallery-dept-brown-inverted-logo-pullover-hoodie-recvlts3m1cnst</t>
        </is>
      </c>
      <c r="T51"/>
      <c r="U51"/>
      <c r="V51"/>
      <c r="W51" t="inlineStr">
        <is>
          <t>{"id":"resp_081e65e932695fe4016a2248afe6dc819bbacea1147b8cd5db","object":"chat.completion","created":1780631731,"model":"gpt-5.5","choices":[{"index":0,"message":{"role":"assistant","content":"Gallery Dept 棕色连帽卫衣，棉质抓绒面料，倒置Logo印花，街头复古风男女同款套头帽衫"},"finish_reason":"stop"}],"usage":{"prompt_tokens":1292,"completion_tokens":42,"total_tokens":1334,"prompt_tokens_details":{"cached_tokens":1024}}}</t>
        </is>
      </c>
      <c r="X51" t="inlineStr">
        <is>
          <t>Gallery Dept 棕色连帽卫衣，棉质抓绒面料，倒置Logo印花，街头复古风男女同款套头帽衫</t>
        </is>
      </c>
    </row>
    <row r="52" ht="25.5" customHeight="1">
      <c r="A52">
        <v>1839115443</v>
      </c>
      <c r="B52">
        <v>7778531489</v>
      </c>
      <c r="C52" s="2" t="str">
        <f>=HYPERLINK("https://weidian.com/item.html?itemID=7778531489", "https://weidian.com/item.html?itemID=7778531489")</f>
        <v>https://weidian.com/item.html?itemID=7778531489</v>
      </c>
      <c r="D52"/>
      <c r="E52" s="2" t="str">
        <f>=HYPERLINK("https://si.geilicdn.com/open1839115443-252808396-57940000019e87f1d75c0a23b4de_1000_1000.jpg?w=640&amp;h=640", "https://si.geilicdn.com/open1839115443-252808396-57940000019e87f1d75c0a23b4de_1000_1000.jpg?w=640&amp;h=640")</f>
        <v>https://si.geilicdn.com/open1839115443-252808396-57940000019e87f1d75c0a23b4de_1000_1000.jpg?w=640&amp;h=640</v>
      </c>
      <c r="F52" t="inlineStr">
        <is>
          <t>Hoodies</t>
        </is>
      </c>
      <c r="G52" t="inlineStr">
        <is>
          <t>Gallery Dept</t>
        </is>
      </c>
      <c r="H52" t="inlineStr">
        <is>
          <t>117</t>
        </is>
      </c>
      <c r="I52">
        <v>16.96</v>
      </c>
      <c r="J52" t="inlineStr">
        <is>
          <t>{"id":"resp_0857f42750cbd83a016a224c26ff88819ba6724b6b8a542936","object":"chat.completion","created":1780632617,"model":"gpt-5.5","choices":[{"index":0,"message":{"role":"assistant","content":"Gallery Dept Black Skull Hand Print Crewneck Sweatshirt"},"finish_reason":"stop"}],"usage":{"prompt_tokens":969,"completion_tokens":108,"total_tokens":1077}}</t>
        </is>
      </c>
      <c r="K52" t="inlineStr">
        <is>
          <t>Gallery Dept Black Skull Hand Print Crewneck Sweatshirt</t>
        </is>
      </c>
      <c r="L52" t="inlineStr">
        <is>
          <t>{"id":"resp_02eb906943d18428016a224a4aa670819abd694d0ca873c313","object":"chat.completion","created":1780632141,"model":"gpt-5.5","choices":[{"index":0,"message":{"role":"assistant","content":"Gallery Dept black skull hand print crewneck sweatshirt, cotton unisex streetwear hoodie, vintage casual pullover for men and women"},"finish_reason":"stop"}],"usage":{"prompt_tokens":974,"completion_tokens":29,"total_tokens":1003}}</t>
        </is>
      </c>
      <c r="M52" t="inlineStr">
        <is>
          <t>{"alt-svc":"h3=\":443\"; ma=2592000","connection":"close","content-length":"425","content-type":"application/json; charset=utf-8","date":"Fri, 05 Jun 2026 04:02:21 GMT","referrer-policy":"strict-origin-when-cross-origin","server":"nginx/1.24.0 (Ubuntu)","strict-transport-security":"max-age=31536000; includeSubDomains; preload","vary":"Accept-Encoding","via":"1.1 Caddy","x-content-type-options":"nosniff","x-frame-options":"DENY","x-new-api-version":"v1.0.0-rc.10","x-oneapi-request-id":"202606050402184006141278268d9d6ZS44Y40h","x-request-id":"67433bbd1e9fc8babd133dc7e0ff5516"}</t>
        </is>
      </c>
      <c r="N52" t="inlineStr">
        <is>
          <t>Gallery Dept black skull hand print crewneck sweatshirt, cotton unisex streetwear hoodie, vintage casual pullover for men and women</t>
        </is>
      </c>
      <c r="O52" t="inlineStr">
        <is>
          <t>{"id":"resp_0f65fb464bca5120016a2269f1df4c8198afa157741c93f3ec","object":"chat.completion","created":1780640244,"model":"gpt-5.5","choices":[{"index":0,"message":{"role":"assistant","content":"Gallery Dept hoodie, Gallery Dept sweatshirt, black skull print crewneck, cotton unisex pullover, vintage streetwear hoodie, men women casual sweatshirt"},"finish_reason":"stop"}],"usage":{"prompt_tokens":856,"completion_tokens":67,"total_tokens":923}}</t>
        </is>
      </c>
      <c r="P52" t="inlineStr">
        <is>
          <t>Gallery Dept hoodie, Gallery Dept sweatshirt, black skull print crewneck, cotton unisex pullover, vintage streetwear hoodie, men women casual sweatshirt</t>
        </is>
      </c>
      <c r="Q52" t="inlineStr">
        <is>
          <t>Black, Streetwear, Vintage, Unisex</t>
        </is>
      </c>
      <c r="R52" t="inlineStr">
        <is>
          <t>recvlts3M1U9Vo</t>
        </is>
      </c>
      <c r="S52" t="inlineStr">
        <is>
          <t>gallery-dept-black-skull-hand-print-recvlts3m1u9vo</t>
        </is>
      </c>
      <c r="T52"/>
      <c r="U52"/>
      <c r="V52"/>
      <c r="W52" t="inlineStr">
        <is>
          <t>{"id":"resp_0c812c6b1890057b016a2248c2062c81998b233821e7cf1dbc","object":"chat.completion","created":1780631748,"model":"gpt-5.5","choices":[{"index":0,"message":{"role":"assistant","content":"Gallery Dept 黑色骷髅手势印花圆领卫衣，棉质休闲街头风男女同款复古潮牌上衣"},"finish_reason":"stop"}],"usage":{"prompt_tokens":1298,"completion_tokens":38,"total_tokens":1336}}</t>
        </is>
      </c>
      <c r="X52" t="inlineStr">
        <is>
          <t>Gallery Dept 黑色骷髅手势印花圆领卫衣，棉质休闲街头风男女同款复古潮牌上衣</t>
        </is>
      </c>
    </row>
    <row r="53" ht="25.5" customHeight="1">
      <c r="A53">
        <v>1839115443</v>
      </c>
      <c r="B53">
        <v>7778462595</v>
      </c>
      <c r="C53" s="2" t="str">
        <f>=HYPERLINK("https://weidian.com/item.html?itemID=7778462595", "https://weidian.com/item.html?itemID=7778462595")</f>
        <v>https://weidian.com/item.html?itemID=7778462595</v>
      </c>
      <c r="D53"/>
      <c r="E53" s="2" t="str">
        <f>=HYPERLINK("https://si.geilicdn.com/open1839115443-252808396-3dc80000019e87f2b01d0a8115c2_1000_1000.jpg?w=640&amp;h=640", "https://si.geilicdn.com/open1839115443-252808396-3dc80000019e87f2b01d0a8115c2_1000_1000.jpg?w=640&amp;h=640")</f>
        <v>https://si.geilicdn.com/open1839115443-252808396-3dc80000019e87f2b01d0a8115c2_1000_1000.jpg?w=640&amp;h=640</v>
      </c>
      <c r="F53" t="inlineStr">
        <is>
          <t>Hoodies</t>
        </is>
      </c>
      <c r="G53" t="inlineStr">
        <is>
          <t>Gallery Dept</t>
        </is>
      </c>
      <c r="H53" t="inlineStr">
        <is>
          <t>145.5</t>
        </is>
      </c>
      <c r="I53">
        <v>21.09</v>
      </c>
      <c r="J53" t="inlineStr">
        <is>
          <t>{"id":"resp_0a84bf69a68a3837016a224bbd9bb88199aabcc60c8f2445c7","object":"chat.completion","created":1780632510,"model":"gpt-5.5","choices":[{"index":0,"message":{"role":"assistant","content":"Gallery Dept Black Vintage Car Print Hoodie"},"finish_reason":"stop"}],"usage":{"prompt_tokens":969,"completion_tokens":11,"total_tokens":980}}</t>
        </is>
      </c>
      <c r="K53" t="inlineStr">
        <is>
          <t>Gallery Dept Black Vintage Car Print Hoodie</t>
        </is>
      </c>
      <c r="L53" t="inlineStr">
        <is>
          <t>{"id":"resp_08660c3c7f2c95b0016a2249e8a020819aa4563edd9f7554ee","object":"chat.completion","created":1780632042,"model":"gpt-5.5","choices":[{"index":0,"message":{"role":"assistant","content":"Gallery Dept black cotton hoodie, streetwear pullover with small chest logo and vintage car back print, unisex casual designer sweatshirt"},"finish_reason":"stop"}],"usage":{"prompt_tokens":986,"completion_tokens":29,"total_tokens":1015}}</t>
        </is>
      </c>
      <c r="M53" t="inlineStr">
        <is>
          <t>{"alt-svc":"h3=\":443\"; ma=2592000","connection":"close","content-length":"431","content-type":"application/json; charset=utf-8","date":"Fri, 05 Jun 2026 04:00:42 GMT","referrer-policy":"strict-origin-when-cross-origin","server":"nginx/1.24.0 (Ubuntu)","strict-transport-security":"max-age=31536000; includeSubDomains; preload","vary":"Accept-Encoding","via":"1.1 Caddy","x-content-type-options":"nosniff","x-frame-options":"DENY","x-new-api-version":"v1.0.0-rc.10","x-oneapi-request-id":"202606050400403638117078268d9d6ct9hLKXd","x-request-id":"c80c2be5887e596413a1f2309f1766eb"}</t>
        </is>
      </c>
      <c r="N53" t="inlineStr">
        <is>
          <t>Gallery Dept black cotton hoodie, streetwear pullover with small chest logo and vintage car back print, unisex casual designer sweatshirt</t>
        </is>
      </c>
      <c r="O53" t="inlineStr">
        <is>
          <t>{"id":"resp_0427079815946b0e016a2269c2b8248198b86f0cd6bceb39e3","object":"chat.completion","created":1780640198,"model":"gpt-5.5","choices":[{"index":0,"message":{"role":"assistant","content":"Gallery Dept hoodie, Gallery Dept black cotton hoodie, Gallery Dept streetwear pullover, unisex designer sweatshirt, vintage car back print hoodie, small chest logo cotton hoodie"},"finish_reason":"stop"}],"usage":{"prompt_tokens":856,"completion_tokens":37,"total_tokens":893}}</t>
        </is>
      </c>
      <c r="P53" t="inlineStr">
        <is>
          <t>Gallery Dept hoodie, Gallery Dept black cotton hoodie, Gallery Dept streetwear pullover, unisex designer sweatshirt, vintage car back print hoodie, small chest logo cotton hoodie</t>
        </is>
      </c>
      <c r="Q53" t="inlineStr">
        <is>
          <t>Black, Streetwear, Unisex</t>
        </is>
      </c>
      <c r="R53" t="inlineStr">
        <is>
          <t>recvlts3M1Onw6</t>
        </is>
      </c>
      <c r="S53" t="inlineStr">
        <is>
          <t>gallery-dept-black-vintage-car-print-hoodie-recvlts3M1Onw6</t>
        </is>
      </c>
      <c r="T53"/>
      <c r="U53"/>
      <c r="V53"/>
      <c r="W53" t="inlineStr">
        <is>
          <t>{"id":"resp_0761add02c0c1915016a22481e687c819b9c995039ed9eb777","object":"chat.completion","created":1780631586,"model":"gpt-5.5","choices":[{"index":0,"message":{"role":"assistant","content":"Gallery Dept 黑色连帽卫衣，棉质街头休闲风，胸前小Logo与背部复古汽车图案印花，男女同款潮牌上衣"},"finish_reason":"stop"}],"usage":{"prompt_tokens":1300,"completion_tokens":44,"total_tokens":1344}}</t>
        </is>
      </c>
      <c r="X53" t="inlineStr">
        <is>
          <t>Gallery Dept 黑色连帽卫衣，棉质街头休闲风，胸前小Logo与背部复古汽车图案印花，男女同款潮牌上衣</t>
        </is>
      </c>
    </row>
    <row r="54" ht="25.5" customHeight="1">
      <c r="A54">
        <v>1839115443</v>
      </c>
      <c r="B54">
        <v>7778610325</v>
      </c>
      <c r="C54" s="2" t="str">
        <f>=HYPERLINK("https://weidian.com/item.html?itemID=7778610325", "https://weidian.com/item.html?itemID=7778610325")</f>
        <v>https://weidian.com/item.html?itemID=7778610325</v>
      </c>
      <c r="D54"/>
      <c r="E54" s="2" t="str">
        <f>=HYPERLINK("https://si.geilicdn.com/open1839115443-252808396-52b30000019e87fbd7660a231226_800_800.jpg?w=640&amp;h=640", "https://si.geilicdn.com/open1839115443-252808396-52b30000019e87fbd7660a231226_800_800.jpg?w=640&amp;h=640")</f>
        <v>https://si.geilicdn.com/open1839115443-252808396-52b30000019e87fbd7660a231226_800_800.jpg?w=640&amp;h=640</v>
      </c>
      <c r="F54" t="inlineStr">
        <is>
          <t>T-Shirts</t>
        </is>
      </c>
      <c r="G54" t="inlineStr">
        <is>
          <t>Trapstar</t>
        </is>
      </c>
      <c r="H54" t="inlineStr">
        <is>
          <t>72</t>
        </is>
      </c>
      <c r="I54">
        <v>10.43</v>
      </c>
      <c r="J54" t="inlineStr">
        <is>
          <t>{"id":"resp_0fe3f54915f9eab7016a224b7c4a288198a969789934aa7267","object":"chat.completion","created":1780632447,"model":"gpt-5.5","choices":[{"index":0,"message":{"role":"assistant","content":"Trapstar Black Cotton Gothic Logo Unisex T-Shirt"},"finish_reason":"stop"}],"usage":{"prompt_tokens":962,"completion_tokens":122,"total_tokens":1084}}</t>
        </is>
      </c>
      <c r="K54" t="inlineStr">
        <is>
          <t>Trapstar Black Cotton Gothic Logo Unisex T-Shirt</t>
        </is>
      </c>
      <c r="L54" t="inlineStr">
        <is>
          <t>{"id":"resp_060475d595a04ac3016a2249a634bc819aab47989f1802c14e","object":"chat.completion","created":1780631975,"model":"gpt-5.5","choices":[{"index":0,"message":{"role":"assistant","content":"Trapstar black cotton T-shirt, breathable casual tee with colorful Gothic logo print, unisex streetwear summer top"},"finish_reason":"stop"}],"usage":{"prompt_tokens":987,"completion_tokens":26,"total_tokens":1013}}</t>
        </is>
      </c>
      <c r="M54" t="inlineStr">
        <is>
          <t>{"alt-svc":"h3=\":443\"; ma=2592000","connection":"close","content-length":"408","content-type":"application/json; charset=utf-8","date":"Fri, 05 Jun 2026 03:59:35 GMT","referrer-policy":"strict-origin-when-cross-origin","server":"nginx/1.24.0 (Ubuntu)","strict-transport-security":"max-age=31536000; includeSubDomains; preload","vary":"Accept-Encoding","via":"1.1 Caddy","x-content-type-options":"nosniff","x-frame-options":"DENY","x-new-api-version":"v1.0.0-rc.10","x-oneapi-request-id":"202606050359339544849158268d9d6dB1INVr2","x-request-id":"30d4a6c3ac538dca9a7c8f3923a8cb97"}</t>
        </is>
      </c>
      <c r="N54" t="inlineStr">
        <is>
          <t>Trapstar black cotton T-shirt, breathable casual tee with colorful Gothic logo print, unisex streetwear summer top</t>
        </is>
      </c>
      <c r="O54" t="inlineStr">
        <is>
          <t>{"id":"resp_0eedc982f48c9cf2016a2269aca27c8198a45a077051a24285","object":"chat.completion","created":1780640175,"model":"gpt-5.5","choices":[{"index":0,"message":{"role":"assistant","content":"Trapstar T-shirt, Trapstar black cotton tee, breathable casual T-shirt, colorful Gothic logo tee, unisex streetwear top, summer cotton T-shirt"},"finish_reason":"stop"}],"usage":{"prompt_tokens":852,"completion_tokens":35,"total_tokens":887}}</t>
        </is>
      </c>
      <c r="P54" t="inlineStr">
        <is>
          <t>Trapstar T-shirt, Trapstar black cotton tee, breathable casual T-shirt, colorful Gothic logo tee, unisex streetwear top, summer cotton T-shirt</t>
        </is>
      </c>
      <c r="Q54" t="inlineStr">
        <is>
          <t>Black, Breathable, Streetwear, Summer, Unisex</t>
        </is>
      </c>
      <c r="R54" t="inlineStr">
        <is>
          <t>recvlts3M18tLh</t>
        </is>
      </c>
      <c r="S54" t="inlineStr">
        <is>
          <t>trapstar-black-cotton-gothic-logo-unisex-tshirt-recvlts3m18tlh</t>
        </is>
      </c>
      <c r="T54"/>
      <c r="U54"/>
      <c r="V54"/>
      <c r="W54" t="inlineStr">
        <is>
          <t>{"id":"resp_0b2810dd6fda9293016a22487f64cc819abab1c8ef646d956c","object":"chat.completion","created":1780631681,"model":"gpt-5.5","choices":[{"index":0,"message":{"role":"assistant","content":"Trapstar 黑色短袖T恤，纯棉休闲透气面料，彩色哥特字母Logo印花，街头潮流男女同款夏季上衣"},"finish_reason":"stop"}],"usage":{"prompt_tokens":1287,"completion_tokens":45,"total_tokens":1332}}</t>
        </is>
      </c>
      <c r="X54" t="inlineStr">
        <is>
          <t>Trapstar 黑色短袖T恤，纯棉休闲透气面料，彩色哥特字母Logo印花，街头潮流男女同款夏季上衣</t>
        </is>
      </c>
    </row>
    <row r="55" ht="25.5" customHeight="1">
      <c r="A55">
        <v>1839115443</v>
      </c>
      <c r="B55">
        <v>7778541029</v>
      </c>
      <c r="C55" s="2" t="str">
        <f>=HYPERLINK("https://weidian.com/item.html?itemID=7778541029", "https://weidian.com/item.html?itemID=7778541029")</f>
        <v>https://weidian.com/item.html?itemID=7778541029</v>
      </c>
      <c r="D55"/>
      <c r="E55" s="2" t="str">
        <f>=HYPERLINK("https://si.geilicdn.com/open1839115443-252808396-5d340000019e87fbd2220a23b4de_1000_1000.jpg?w=750&amp;h=750&amp;cp=1", "https://si.geilicdn.com/open1839115443-252808396-5d340000019e87fbd2220a23b4de_1000_1000.jpg?w=750&amp;h=750&amp;cp=1")</f>
        <v>https://si.geilicdn.com/open1839115443-252808396-5d340000019e87fbd2220a23b4de_1000_1000.jpg?w=750&amp;h=750&amp;cp=1</v>
      </c>
      <c r="F55" t="inlineStr">
        <is>
          <t>T-Shirts</t>
        </is>
      </c>
      <c r="G55" t="inlineStr">
        <is>
          <t>Trapstar</t>
        </is>
      </c>
      <c r="H55" t="inlineStr">
        <is>
          <t>58.5</t>
        </is>
      </c>
      <c r="I55">
        <v>8.48</v>
      </c>
      <c r="J55" t="inlineStr">
        <is>
          <t>{"id":"resp_0ad74fef4f20cabd016a224bafd9408198bed99af95ccfa24b","object":"chat.completion","created":1780632499,"model":"gpt-5.5","choices":[{"index":0,"message":{"role":"assistant","content":"Trapstar Black White Key Graphic Cotton T-Shirt"},"finish_reason":"stop"}],"usage":{"prompt_tokens":1176,"completion_tokens":78,"total_tokens":1254}}</t>
        </is>
      </c>
      <c r="K55" t="inlineStr">
        <is>
          <t>Trapstar Black White Key Graphic Cotton T-Shirt</t>
        </is>
      </c>
      <c r="L55" t="inlineStr">
        <is>
          <t>{"id":"resp_0d252e8f87fd4b2d016a224a83a104819997c059d744550620","object":"chat.completion","created":1780632198,"model":"gpt-5.5","choices":[{"index":0,"message":{"role":"assistant","content":"Trapstar Black White Key Graphic T-Shirt, cotton breathable crew neck streetwear tee, unisex casual short sleeve top."},"finish_reason":"stop"}],"usage":{"prompt_tokens":1190,"completion_tokens":28,"total_tokens":1218}}</t>
        </is>
      </c>
      <c r="M55" t="inlineStr">
        <is>
          <t>{"alt-svc":"h3=\":443\"; ma=2592000","connection":"close","content-length":"412","content-type":"application/json; charset=utf-8","date":"Fri, 05 Jun 2026 04:03:18 GMT","referrer-policy":"strict-origin-when-cross-origin","server":"nginx/1.24.0 (Ubuntu)","strict-transport-security":"max-age=31536000; includeSubDomains; preload","vary":"Accept-Encoding","via":"1.1 Caddy","x-content-type-options":"nosniff","x-frame-options":"DENY","x-new-api-version":"v1.0.0-rc.10","x-oneapi-request-id":"202606050403152834312628268d9d65qwj7QgD","x-request-id":"6b86f68b95b81e74ee7127992e78f08c"}</t>
        </is>
      </c>
      <c r="N55" t="inlineStr">
        <is>
          <t>Trapstar Black White Key Graphic T-Shirt, cotton breathable crew neck streetwear tee, unisex casual short sleeve top.</t>
        </is>
      </c>
      <c r="O55" t="inlineStr">
        <is>
          <t>{"id":"resp_0687042fcbe0b0b9016a226992500481988018e889d15ac38c","object":"chat.completion","created":1780640148,"model":"gpt-5.5","choices":[{"index":0,"message":{"role":"assistant","content":"Trapstar Black White Key Graphic T-Shirt, Trapstar cotton crew neck tee, unisex streetwear short sleeve top, breathable casual graphic T-shirt, Trapstar key print oversized tee, black white urban fashion shirt"},"finish_reason":"stop"}],"usage":{"prompt_tokens":1065,"completion_tokens":46,"total_tokens":1111}}</t>
        </is>
      </c>
      <c r="P55" t="inlineStr">
        <is>
          <t>Trapstar Black White Key Graphic T-Shirt, Trapstar cotton crew neck tee, unisex streetwear short sleeve top, breathable casual graphic T-shirt, Trapstar key print oversized tee, black white urban fashion shirt</t>
        </is>
      </c>
      <c r="Q55" t="inlineStr">
        <is>
          <t>Black, White, Breathable, Streetwear, Unisex</t>
        </is>
      </c>
      <c r="R55" t="inlineStr">
        <is>
          <t>recvlts3M14qaX</t>
        </is>
      </c>
      <c r="S55" t="inlineStr">
        <is>
          <t>trapstar-black-white-key-graphic-cotton-tshirt-recvlts3m14qax</t>
        </is>
      </c>
      <c r="T55"/>
      <c r="U55"/>
      <c r="V55"/>
      <c r="W55" t="inlineStr">
        <is>
          <t>{"id":"resp_0113c275fd1dd079016a22484a2a80819ba9ec2578e18ced56","object":"chat.completion","created":1780631629,"model":"gpt-5.5","choices":[{"index":0,"message":{"role":"assistant","content":"Trapstar 黑白钥匙图腾短袖T恤，纯棉舒适透气，圆领街头潮流设计，男女通用休闲上衣"},"finish_reason":"stop"}],"usage":{"prompt_tokens":1514,"completion_tokens":41,"total_tokens":1555}}</t>
        </is>
      </c>
      <c r="X55" t="inlineStr">
        <is>
          <t>Trapstar 黑白钥匙图腾短袖T恤，纯棉舒适透气，圆领街头潮流设计，男女通用休闲上衣</t>
        </is>
      </c>
    </row>
    <row r="56" ht="25.5" customHeight="1">
      <c r="A56">
        <v>1839115443</v>
      </c>
      <c r="B56">
        <v>7781619726</v>
      </c>
      <c r="C56" s="2" t="str">
        <f>=HYPERLINK("https://weidian.com/item.html?itemID=7781619726", "https://weidian.com/item.html?itemID=7781619726")</f>
        <v>https://weidian.com/item.html?itemID=7781619726</v>
      </c>
      <c r="D56"/>
      <c r="E56" s="2" t="str">
        <f>=HYPERLINK("https://si.geilicdn.com/open1839115443-252808396-4cd50000019e87f158aa0a231226_800_800.jpg?w=640&amp;h=640", "https://si.geilicdn.com/open1839115443-252808396-4cd50000019e87f158aa0a231226_800_800.jpg?w=640&amp;h=640")</f>
        <v>https://si.geilicdn.com/open1839115443-252808396-4cd50000019e87f158aa0a231226_800_800.jpg?w=640&amp;h=640</v>
      </c>
      <c r="F56" t="inlineStr">
        <is>
          <t>T-Shirts</t>
        </is>
      </c>
      <c r="G56" t="inlineStr">
        <is>
          <t>Gallery Dept</t>
        </is>
      </c>
      <c r="H56" t="inlineStr">
        <is>
          <t>63</t>
        </is>
      </c>
      <c r="I56">
        <v>9.13</v>
      </c>
      <c r="J56" t="inlineStr">
        <is>
          <t>{"id":"resp_0276a126a822c0ad016a224bdfffc0819aada44c13b45a6532","object":"chat.completion","created":1780632546,"model":"gpt-5.5","choices":[{"index":0,"message":{"role":"assistant","content":"Gallery Dept White Hollywood Logo Cotton T-Shirt"},"finish_reason":"stop"}],"usage":{"prompt_tokens":965,"completion_tokens":60,"total_tokens":1025}}</t>
        </is>
      </c>
      <c r="K56" t="inlineStr">
        <is>
          <t>Gallery Dept White Hollywood Logo Cotton T-Shirt</t>
        </is>
      </c>
      <c r="L56" t="inlineStr">
        <is>
          <t>{"id":"resp_0ced9f6d0fc3fdf3016a224a28f1248198a29defc62d195d5b","object":"chat.completion","created":1780632107,"model":"gpt-5.5","choices":[{"index":0,"message":{"role":"assistant","content":"Gallery Dept White Hollywood Logo T-Shirt, cotton breathable short sleeve tee with back print, unisex streetwear casual top."},"finish_reason":"stop"}],"usage":{"prompt_tokens":983,"completion_tokens":62,"total_tokens":1045}}</t>
        </is>
      </c>
      <c r="M56" t="inlineStr">
        <is>
          <t>{"alt-svc":"h3=\":443\"; ma=2592000","connection":"close","content-length":"418","content-type":"application/json; charset=utf-8","date":"Fri, 05 Jun 2026 04:01:47 GMT","referrer-policy":"strict-origin-when-cross-origin","server":"nginx/1.24.0 (Ubuntu)","strict-transport-security":"max-age=31536000; includeSubDomains; preload","vary":"Accept-Encoding","via":"1.1 Caddy","x-content-type-options":"nosniff","x-frame-options":"DENY","x-new-api-version":"v1.0.0-rc.10","x-oneapi-request-id":"202606050401443820441788268d9d6yLbuzrXA","x-request-id":"0083a92c3d622002d2fba8f831a85c36"}</t>
        </is>
      </c>
      <c r="N56" t="inlineStr">
        <is>
          <t>Gallery Dept White Hollywood Logo T-Shirt, cotton breathable short sleeve tee with back print, unisex streetwear casual top.</t>
        </is>
      </c>
      <c r="O56" t="inlineStr">
        <is>
          <t>{"id":"resp_04ce6df6fd222427016a2269d7667c8199afdce65b63821394","object":"chat.completion","created":1780640217,"model":"gpt-5.5","choices":[{"index":0,"message":{"role":"assistant","content":"Gallery Dept T-Shirt, Gallery Dept White Hollywood Logo Tee, Gallery Dept Cotton Short Sleeve Shirt, Unisex Streetwear T-Shirt, Breathable Casual Graphic Tee, Gallery Dept Back Print Top"},"finish_reason":"stop"}],"usage":{"prompt_tokens":854,"completion_tokens":41,"total_tokens":895}}</t>
        </is>
      </c>
      <c r="P56" t="inlineStr">
        <is>
          <t>Gallery Dept T-Shirt, Gallery Dept White Hollywood Logo Tee, Gallery Dept Cotton Short Sleeve Shirt, Unisex Streetwear T-Shirt, Breathable Casual Graphic Tee, Gallery Dept Back Print Top</t>
        </is>
      </c>
      <c r="Q56" t="inlineStr">
        <is>
          <t>White, Unisex, Streetwear, Breathable</t>
        </is>
      </c>
      <c r="R56" t="inlineStr">
        <is>
          <t>recvlts3M1roFy</t>
        </is>
      </c>
      <c r="S56" t="inlineStr">
        <is>
          <t>gallery-dept-white-hollywood-logo-tee-recvlts3m1rofy</t>
        </is>
      </c>
      <c r="T56"/>
      <c r="U56"/>
      <c r="V56"/>
      <c r="W56" t="inlineStr">
        <is>
          <t>{"id":"resp_06815e77b0796fe6016a2248916e788198a0022d8c9659e173","object":"chat.completion","created":1780631701,"model":"gpt-5.5","choices":[{"index":0,"message":{"role":"assistant","content":"Gallery Dept 白色Hollywood标语短袖T恤，纯棉舒适透气，背部大Logo印花，街头休闲男女同款潮牌上衣"},"finish_reason":"stop"}],"usage":{"prompt_tokens":1287,"completion_tokens":43,"total_tokens":1330,"prompt_tokens_details":{"cached_tokens":1024}}}</t>
        </is>
      </c>
      <c r="X56" t="inlineStr">
        <is>
          <t>Gallery Dept 白色Hollywood标语短袖T恤，纯棉舒适透气，背部大Logo印花，街头休闲男女同款潮牌上衣</t>
        </is>
      </c>
    </row>
    <row r="57" ht="25.5" customHeight="1">
      <c r="A57">
        <v>1839115443</v>
      </c>
      <c r="B57">
        <v>7778635677</v>
      </c>
      <c r="C57" s="2" t="str">
        <f>=HYPERLINK("https://weidian.com/item.html?itemID=7778635677", "https://weidian.com/item.html?itemID=7778635677")</f>
        <v>https://weidian.com/item.html?itemID=7778635677</v>
      </c>
      <c r="D57"/>
      <c r="E57" s="2" t="str">
        <f>=HYPERLINK("https://si.geilicdn.com/open1839115443-252808396-4a220000019e87f14d2a0aa08269_800_800.jpg?w=640&amp;h=640", "https://si.geilicdn.com/open1839115443-252808396-4a220000019e87f14d2a0aa08269_800_800.jpg?w=640&amp;h=640")</f>
        <v>https://si.geilicdn.com/open1839115443-252808396-4a220000019e87f14d2a0aa08269_800_800.jpg?w=640&amp;h=640</v>
      </c>
      <c r="F57" t="inlineStr">
        <is>
          <t>T-Shirts</t>
        </is>
      </c>
      <c r="G57" t="inlineStr">
        <is>
          <t>Gallery Dept</t>
        </is>
      </c>
      <c r="H57" t="inlineStr">
        <is>
          <t>64.5</t>
        </is>
      </c>
      <c r="I57">
        <v>9.35</v>
      </c>
      <c r="J57" t="inlineStr">
        <is>
          <t>{"id":"resp_003b434a275177f3016a224be4a6d08198ba51360a99a73077","object":"chat.completion","created":1780632551,"model":"gpt-5.5","choices":[{"index":0,"message":{"role":"assistant","content":"Gallery Dept Stop Being Racist Off-White Cotton T-Shirt"},"finish_reason":"stop"}],"usage":{"prompt_tokens":974,"completion_tokens":114,"total_tokens":1088}}</t>
        </is>
      </c>
      <c r="K57" t="inlineStr">
        <is>
          <t>Gallery Dept Stop Being Racist Off-White Cotton T-Shirt</t>
        </is>
      </c>
      <c r="L57" t="inlineStr">
        <is>
          <t>{"id":"resp_069349c47ef3a8e4016a2249fe6a78819bb5ff98c44333b26d","object":"chat.completion","created":1780632064,"model":"gpt-5.5","choices":[{"index":0,"message":{"role":"assistant","content":"Gallery Dept off-white cotton short sleeve T-shirt, Stop Being Racist circle print, vintage streetwear unisex designer tee for men and women"},"finish_reason":"stop"}],"usage":{"prompt_tokens":987,"completion_tokens":32,"total_tokens":1019}}</t>
        </is>
      </c>
      <c r="M57" t="inlineStr">
        <is>
          <t>{"alt-svc":"h3=\":443\"; ma=2592000","connection":"close","content-length":"434","content-type":"application/json; charset=utf-8","date":"Fri, 05 Jun 2026 04:01:04 GMT","referrer-policy":"strict-origin-when-cross-origin","server":"nginx/1.24.0 (Ubuntu)","strict-transport-security":"max-age=31536000; includeSubDomains; preload","vary":"Accept-Encoding","via":"1.1 Caddy","x-content-type-options":"nosniff","x-frame-options":"DENY","x-new-api-version":"v1.0.0-rc.10","x-oneapi-request-id":"202606050401019819705078268d9d66rSxnicM","x-request-id":"7bda8f0a637b3e3d9b26faee741f8900"}</t>
        </is>
      </c>
      <c r="N57" t="inlineStr">
        <is>
          <t>Gallery Dept off-white cotton short sleeve T-shirt, Stop Being Racist circle print, vintage streetwear unisex designer tee for men and women</t>
        </is>
      </c>
      <c r="O57" t="inlineStr">
        <is>
          <t>{"id":"resp_09d7a9bfb5f2f3e9016a2269428050819987b57e4795ec4b8a","object":"chat.completion","created":1780640068,"model":"gpt-5.5","choices":[{"index":0,"message":{"role":"assistant","content":"Gallery Dept T-Shirt, Gallery Dept cotton tee, Gallery Dept Stop Being Racist shirt, off-white short sleeve T-shirt, unisex vintage streetwear tee, designer graphic T-shirt"},"finish_reason":"stop"}],"usage":{"prompt_tokens":858,"completion_tokens":40,"total_tokens":898}}</t>
        </is>
      </c>
      <c r="P57" t="inlineStr">
        <is>
          <t>Gallery Dept T-Shirt, Gallery Dept cotton tee, Gallery Dept Stop Being Racist shirt, off-white short sleeve T-shirt, unisex vintage streetwear tee, designer graphic T-shirt</t>
        </is>
      </c>
      <c r="Q57" t="inlineStr">
        <is>
          <t>Off-White, Unisex, Vintage, Streetwear, Summer</t>
        </is>
      </c>
      <c r="R57" t="inlineStr">
        <is>
          <t>recvlts3M1XIa1</t>
        </is>
      </c>
      <c r="S57" t="inlineStr">
        <is>
          <t>gallery-dept-stop-racist-off-white-cotton-tshirt-recvlts3m1xia1</t>
        </is>
      </c>
      <c r="T57"/>
      <c r="U57"/>
      <c r="V57"/>
      <c r="W57" t="inlineStr">
        <is>
          <t>{"id":"resp_022cf00f707774ff016a22487d89b4819996a30eb8a86eddc5","object":"chat.completion","created":1780631679,"model":"gpt-5.5","choices":[{"index":0,"message":{"role":"assistant","content":"Gallery Dept 米白色短袖T恤，纯棉舒适面料，Stop Being Racist圆形标语印花，复古街头男女同款潮牌上衣"},"finish_reason":"stop"}],"usage":{"prompt_tokens":1291,"completion_tokens":45,"total_tokens":1336}}</t>
        </is>
      </c>
      <c r="X57" t="inlineStr">
        <is>
          <t>Gallery Dept 米白色短袖T恤，纯棉舒适面料，Stop Being Racist圆形标语印花，复古街头男女同款潮牌上衣</t>
        </is>
      </c>
    </row>
    <row r="58" ht="25.5" customHeight="1">
      <c r="A58">
        <v>1839115443</v>
      </c>
      <c r="B58">
        <v>7778657733</v>
      </c>
      <c r="C58" s="2" t="str">
        <f>=HYPERLINK("https://weidian.com/item.html?itemID=7778657733", "https://weidian.com/item.html?itemID=7778657733")</f>
        <v>https://weidian.com/item.html?itemID=7778657733</v>
      </c>
      <c r="D58"/>
      <c r="E58" s="2" t="str">
        <f>=HYPERLINK("https://si.geilicdn.com/open1839115443-252808396-5b080000019e88061abc0aa08239_1500_1500.jpg?w=640&amp;h=640", "https://si.geilicdn.com/open1839115443-252808396-5b080000019e88061abc0aa08239_1500_1500.jpg?w=640&amp;h=640")</f>
        <v>https://si.geilicdn.com/open1839115443-252808396-5b080000019e88061abc0aa08239_1500_1500.jpg?w=640&amp;h=640</v>
      </c>
      <c r="F58" t="inlineStr">
        <is>
          <t>T-Shirts</t>
        </is>
      </c>
      <c r="G58" t="inlineStr">
        <is>
          <t>Rhude</t>
        </is>
      </c>
      <c r="H58" t="inlineStr">
        <is>
          <t>69</t>
        </is>
      </c>
      <c r="I58">
        <v>10</v>
      </c>
      <c r="J58" t="inlineStr">
        <is>
          <t>{"id":"resp_05b7c1690091ab21016a224c10b36c8199afb06cbcf6790170","object":"chat.completion","created":1780632594,"model":"gpt-5.5","choices":[{"index":0,"message":{"role":"assistant","content":"Rhude Black Logo Cotton Vintage Streetwear T-Shirt"},"finish_reason":"stop"}],"usage":{"prompt_tokens":965,"completion_tokens":14,"total_tokens":979}}</t>
        </is>
      </c>
      <c r="K58" t="inlineStr">
        <is>
          <t>Rhude Black Logo Cotton Vintage Streetwear T-Shirt</t>
        </is>
      </c>
      <c r="L58" t="inlineStr">
        <is>
          <t>{"id":"resp_0deef0f9b2ac7a9c016a2249a573c0819aa2291d0a6955db15","object":"chat.completion","created":1780631975,"model":"gpt-5.5","choices":[{"index":0,"message":{"role":"assistant","content":"Rhude black short sleeve T-shirt, breathable cotton, front big logo print, vintage streetwear unisex casual top."},"finish_reason":"stop"}],"usage":{"prompt_tokens":979,"completion_tokens":28,"total_tokens":1007}}</t>
        </is>
      </c>
      <c r="M58" t="inlineStr">
        <is>
          <t>{"alt-svc":"h3=\":443\"; ma=2592000","connection":"close","content-length":"406","content-type":"application/json; charset=utf-8","date":"Fri, 05 Jun 2026 03:59:35 GMT","referrer-policy":"strict-origin-when-cross-origin","server":"nginx/1.24.0 (Ubuntu)","strict-transport-security":"max-age=31536000; includeSubDomains; preload","vary":"Accept-Encoding","via":"1.1 Caddy","x-content-type-options":"nosniff","x-frame-options":"DENY","x-new-api-version":"v1.0.0-rc.10","x-oneapi-request-id":"202606050359331493856708268d9d6bb29A5v4","x-request-id":"943884f982917af1b06414ed2f999644"}</t>
        </is>
      </c>
      <c r="N58" t="inlineStr">
        <is>
          <t>Rhude black short sleeve T-shirt, breathable cotton, front big logo print, vintage streetwear unisex casual top.</t>
        </is>
      </c>
      <c r="O58" t="inlineStr">
        <is>
          <t>{"id":"resp_02ba5c26743495c2016a226a15c0c88199905e372ba5524aac","object":"chat.completion","created":1780640282,"model":"gpt-5.5","choices":[{"index":0,"message":{"role":"assistant","content":"Rhude black short sleeve T-shirt, Rhude cotton logo tee, Rhude vintage streetwear T-shirt, Rhude unisex casual top, Rhude breathable cotton shirt, Rhude front logo print T-shirt"},"finish_reason":"stop"}],"usage":{"prompt_tokens":854,"completion_tokens":46,"total_tokens":900}}</t>
        </is>
      </c>
      <c r="P58" t="inlineStr">
        <is>
          <t>Rhude black short sleeve T-shirt, Rhude cotton logo tee, Rhude vintage streetwear T-shirt, Rhude unisex casual top, Rhude breathable cotton shirt, Rhude front logo print T-shirt</t>
        </is>
      </c>
      <c r="Q58" t="inlineStr">
        <is>
          <t>Black, Vintage, Streetwear, Unisex, Breathable</t>
        </is>
      </c>
      <c r="R58" t="inlineStr">
        <is>
          <t>recvlts3M14jV2</t>
        </is>
      </c>
      <c r="S58" t="inlineStr">
        <is>
          <t>rhude-black-logo-cotton-vintage-streetwear-tshirt-recvlts3M14jV2</t>
        </is>
      </c>
      <c r="T58"/>
      <c r="U58"/>
      <c r="V58"/>
      <c r="W58" t="inlineStr">
        <is>
          <t>{"id":"resp_0b18e310442be56c016a22486536188198bbfc5631b60c86f5","object":"chat.completion","created":1780631655,"model":"gpt-5.5","choices":[{"index":0,"message":{"role":"assistant","content":"Rhude 黑色短袖T恤，棉质透气面料，前胸大Logo印花，复古街头风男女同款休闲上衣"},"finish_reason":"stop"}],"usage":{"prompt_tokens":1289,"completion_tokens":41,"total_tokens":1330}}</t>
        </is>
      </c>
      <c r="X58" t="inlineStr">
        <is>
          <t>Rhude 黑色短袖T恤，棉质透气面料，前胸大Logo印花，复古街头风男女同款休闲上衣</t>
        </is>
      </c>
    </row>
    <row r="59" ht="25.5" customHeight="1">
      <c r="A59">
        <v>1839115443</v>
      </c>
      <c r="B59">
        <v>7778643837</v>
      </c>
      <c r="C59" s="2" t="str">
        <f>=HYPERLINK("https://weidian.com/item.html?itemID=7778643837", "https://weidian.com/item.html?itemID=7778643837")</f>
        <v>https://weidian.com/item.html?itemID=7778643837</v>
      </c>
      <c r="D59"/>
      <c r="E59" s="2" t="str">
        <f>=HYPERLINK("https://si.geilicdn.com/open1839115443-252808396-61020000019e8805e72f0a23b4de_1500_1500.jpg?w=640&amp;h=640", "https://si.geilicdn.com/open1839115443-252808396-61020000019e8805e72f0a23b4de_1500_1500.jpg?w=640&amp;h=640")</f>
        <v>https://si.geilicdn.com/open1839115443-252808396-61020000019e8805e72f0a23b4de_1500_1500.jpg?w=640&amp;h=640</v>
      </c>
      <c r="F59" t="inlineStr">
        <is>
          <t>T-Shirts</t>
        </is>
      </c>
      <c r="G59" t="inlineStr">
        <is>
          <t>Gallery Dept</t>
        </is>
      </c>
      <c r="H59" t="inlineStr">
        <is>
          <t>79.5</t>
        </is>
      </c>
      <c r="I59">
        <v>11.52</v>
      </c>
      <c r="J59" t="inlineStr">
        <is>
          <t>{"id":"resp_0907a725b5d95edb016a224c27910c81918e7e15041d940a9e","object":"chat.completion","created":1780632618,"model":"gpt-5.5","choices":[{"index":0,"message":{"role":"assistant","content":"Gallery Dept Vintage Black Wing Logo Cotton T-Shirt"},"finish_reason":"stop"}],"usage":{"prompt_tokens":968,"completion_tokens":53,"total_tokens":1021}}</t>
        </is>
      </c>
      <c r="K59" t="inlineStr">
        <is>
          <t>Gallery Dept Vintage Black Wing Logo Cotton T-Shirt</t>
        </is>
      </c>
      <c r="L59" t="inlineStr">
        <is>
          <t>{"id":"resp_084ae0ff9aa6cabd016a224a31f1d4819a8a4b8b05ab0c17d7","object":"chat.completion","created":1780632117,"model":"gpt-5.5","choices":[{"index":0,"message":{"role":"assistant","content":"Gallery Dept black vintage washed cotton T-shirt, red chest logo, wing sleeve graphic, unisex streetwear casual short sleeve top"},"finish_reason":"stop"}],"usage":{"prompt_tokens":991,"completion_tokens":67,"total_tokens":1058}}</t>
        </is>
      </c>
      <c r="M59" t="inlineStr">
        <is>
          <t>{"alt-svc":"h3=\":443\"; ma=2592000","connection":"close","content-length":"422","content-type":"application/json; charset=utf-8","date":"Fri, 05 Jun 2026 04:01:57 GMT","referrer-policy":"strict-origin-when-cross-origin","server":"nginx/1.24.0 (Ubuntu)","strict-transport-security":"max-age=31536000; includeSubDomains; preload","vary":"Accept-Encoding","via":"1.1 Caddy","x-content-type-options":"nosniff","x-frame-options":"DENY","x-new-api-version":"v1.0.0-rc.10","x-oneapi-request-id":"202606050401536788168098268d9d6bYvPcrKd","x-request-id":"a5858f28f949c5613dd3f980542e7b6b"}</t>
        </is>
      </c>
      <c r="N59" t="inlineStr">
        <is>
          <t>Gallery Dept black vintage washed cotton T-shirt, red chest logo, wing sleeve graphic, unisex streetwear casual short sleeve top</t>
        </is>
      </c>
      <c r="O59" t="inlineStr">
        <is>
          <t>{"id":"resp_02497faa58cc5364016a22695b6e0481998b6af26c811c76af","object":"chat.completion","created":1780640094,"model":"gpt-5.5","choices":[{"index":0,"message":{"role":"assistant","content":"Gallery Dept black vintage washed cotton T-shirt, Gallery Dept red logo streetwear tee, Gallery Dept wing sleeve graphic T-shirt, unisex casual short sleeve cotton top, vintage washed black streetwear T-shirt, Gallery Dept casual cotton tee"},"finish_reason":"stop"}],"usage":{"prompt_tokens":855,"completion_tokens":50,"total_tokens":905}}</t>
        </is>
      </c>
      <c r="P59" t="inlineStr">
        <is>
          <t>Gallery Dept black vintage washed cotton T-shirt, Gallery Dept red logo streetwear tee, Gallery Dept wing sleeve graphic T-shirt, unisex casual short sleeve cotton top, vintage washed black streetwear T-shirt, Gallery Dept casual cotton tee</t>
        </is>
      </c>
      <c r="Q59" t="inlineStr">
        <is>
          <t>Black, Vintage, Streetwear, Unisex</t>
        </is>
      </c>
      <c r="R59" t="inlineStr">
        <is>
          <t>recvlts3M1mCpY</t>
        </is>
      </c>
      <c r="S59" t="inlineStr">
        <is>
          <t>gallery-dept-vintage-black-wing-logo-cotton-t-shirt-recvlts3m1mcpy</t>
        </is>
      </c>
      <c r="T59"/>
      <c r="U59"/>
      <c r="V59"/>
      <c r="W59" t="inlineStr">
        <is>
          <t>{"id":"resp_038824bc1a19bdf8016a2248073cd8819ba3701a7135c23983","object":"chat.completion","created":1780631561,"model":"gpt-5.5","choices":[{"index":0,"message":{"role":"assistant","content":"Gallery Dept 黑色复古水洗棉质短袖T恤，红色胸前Logo与袖口翅膀图腾，街头休闲男女同款潮牌上衣"},"finish_reason":"stop"}],"usage":{"prompt_tokens":1295,"completion_tokens":47,"total_tokens":1342}}</t>
        </is>
      </c>
      <c r="X59" t="inlineStr">
        <is>
          <t>Gallery Dept 黑色复古水洗棉质短袖T恤，红色胸前Logo与袖口翅膀图腾，街头休闲男女同款潮牌上衣</t>
        </is>
      </c>
    </row>
    <row r="60" ht="25.5" customHeight="1">
      <c r="A60">
        <v>1839115443</v>
      </c>
      <c r="B60">
        <v>7778576921</v>
      </c>
      <c r="C60" s="2" t="str">
        <f>=HYPERLINK("https://weidian.com/item.html?itemID=7778576921", "https://weidian.com/item.html?itemID=7778576921")</f>
        <v>https://weidian.com/item.html?itemID=7778576921</v>
      </c>
      <c r="D60"/>
      <c r="E60" s="2" t="str">
        <f>=HYPERLINK("https://si.geilicdn.com/open1839115443-252808396-55f40000019e87f975050aa08239_1000_1000.jpg?w=640&amp;h=640", "https://si.geilicdn.com/open1839115443-252808396-55f40000019e87f975050aa08239_1000_1000.jpg?w=640&amp;h=640")</f>
        <v>https://si.geilicdn.com/open1839115443-252808396-55f40000019e87f975050aa08239_1000_1000.jpg?w=640&amp;h=640</v>
      </c>
      <c r="F60" t="inlineStr">
        <is>
          <t>T-Shirts</t>
        </is>
      </c>
      <c r="G60" t="inlineStr">
        <is>
          <t>Rhude</t>
        </is>
      </c>
      <c r="H60" t="inlineStr">
        <is>
          <t>64.5</t>
        </is>
      </c>
      <c r="I60">
        <v>9.35</v>
      </c>
      <c r="J60" t="inlineStr">
        <is>
          <t>{"id":"resp_07e923612980a8a5016a224b60f36c819b8642b3fe981a46c3","object":"chat.completion","created":1780632420,"model":"gpt-5.5","choices":[{"index":0,"message":{"role":"assistant","content":"Rhude Off White Fruit Floral Logo Loose Fit T-Shirt"},"finish_reason":"stop"}],"usage":{"prompt_tokens":974,"completion_tokens":165,"total_tokens":1139}}</t>
        </is>
      </c>
      <c r="K60" t="inlineStr">
        <is>
          <t>Rhude Off White Fruit Floral Logo Loose Fit T-Shirt</t>
        </is>
      </c>
      <c r="L60" t="inlineStr">
        <is>
          <t>{"id":"resp_04cfb6214c5225ef016a2249c08b8881988ede179d54ba5c21","object":"chat.completion","created":1780632002,"model":"gpt-5.5","choices":[{"index":0,"message":{"role":"assistant","content":"Rhude off-white fruit floral logo print T-shirt, cotton crew neck loose fit, vintage streetwear style, unisex casual short sleeve top"},"finish_reason":"stop"}],"usage":{"prompt_tokens":993,"completion_tokens":32,"total_tokens":1025}}</t>
        </is>
      </c>
      <c r="M60" t="inlineStr">
        <is>
          <t>{"alt-svc":"h3=\":443\"; ma=2592000","connection":"close","content-length":"427","content-type":"application/json; charset=utf-8","date":"Fri, 05 Jun 2026 04:00:02 GMT","referrer-policy":"strict-origin-when-cross-origin","server":"nginx/1.24.0 (Ubuntu)","strict-transport-security":"max-age=31536000; includeSubDomains; preload","vary":"Accept-Encoding","via":"1.1 Caddy","x-content-type-options":"nosniff","x-frame-options":"DENY","x-new-api-version":"v1.0.0-rc.10","x-oneapi-request-id":"202606050400001775687908268d9d6MP1EABjz","x-request-id":"760408c0e748dc446eb84ee8eaa5558b"}</t>
        </is>
      </c>
      <c r="N60" t="inlineStr">
        <is>
          <t>Rhude off-white fruit floral logo print T-shirt, cotton crew neck loose fit, vintage streetwear style, unisex casual short sleeve top</t>
        </is>
      </c>
      <c r="O60" t="inlineStr">
        <is>
          <t>{"id":"resp_0686b03b061da265016a22698ba2808198945e7c41fc5ce840","object":"chat.completion","created":1780640147,"model":"gpt-5.5","choices":[{"index":0,"message":{"role":"assistant","content":"Rhude fruit floral logo print T-shirt, Rhude cotton crew neck T-shirt, Rhude loose fit short sleeve top, Rhude vintage streetwear T-shirt, Rhude unisex casual T-shirt, Rhude off-white graphic tee"},"finish_reason":"stop"}],"usage":{"prompt_tokens":858,"completion_tokens":51,"total_tokens":909}}</t>
        </is>
      </c>
      <c r="P60" t="inlineStr">
        <is>
          <t>Rhude fruit floral logo print T-shirt, Rhude cotton crew neck T-shirt, Rhude loose fit short sleeve top, Rhude vintage streetwear T-shirt, Rhude unisex casual T-shirt, Rhude off-white graphic tee</t>
        </is>
      </c>
      <c r="Q60" t="inlineStr">
        <is>
          <t>Vintage, Streetwear, Unisex</t>
        </is>
      </c>
      <c r="R60" t="inlineStr">
        <is>
          <t>recvlts3M19Hk0</t>
        </is>
      </c>
      <c r="S60" t="inlineStr">
        <is>
          <t>rhude-off-white-fruit-floral-logo-tee-recvlts3M19Hk0</t>
        </is>
      </c>
      <c r="T60"/>
      <c r="U60"/>
      <c r="V60"/>
      <c r="W60" t="inlineStr">
        <is>
          <t>{"id":"resp_08a3e4fbb541bf7c016a224819f6388199a87f4aa44f54044f","object":"chat.completion","created":1780631581,"model":"gpt-5.5","choices":[{"index":0,"message":{"role":"assistant","content":"Rhude 米白色水果花卉Logo印花短袖T恤，棉质圆领宽松版型，复古街头潮流风格，男女同款休闲上衣"},"finish_reason":"stop"}],"usage":{"prompt_tokens":1289,"completion_tokens":48,"total_tokens":1337,"prompt_tokens_details":{"cached_tokens":1024}}}</t>
        </is>
      </c>
      <c r="X60" t="inlineStr">
        <is>
          <t>Rhude 米白色水果花卉Logo印花短袖T恤，棉质圆领宽松版型，复古街头潮流风格，男女同款休闲上衣</t>
        </is>
      </c>
    </row>
    <row r="61" ht="25.5" customHeight="1">
      <c r="A61">
        <v>1839115443</v>
      </c>
      <c r="B61">
        <v>7781541284</v>
      </c>
      <c r="C61" s="2" t="str">
        <f>=HYPERLINK("https://weidian.com/item.html?itemID=7781541284", "https://weidian.com/item.html?itemID=7781541284")</f>
        <v>https://weidian.com/item.html?itemID=7781541284</v>
      </c>
      <c r="D61"/>
      <c r="E61" s="2" t="str">
        <f>=HYPERLINK("https://si.geilicdn.com/open1839115443-252808396-60480000019e87f97e460a22d249_1500_1500.jpg?w=640&amp;h=640", "https://si.geilicdn.com/open1839115443-252808396-60480000019e87f97e460a22d249_1500_1500.jpg?w=640&amp;h=640")</f>
        <v>https://si.geilicdn.com/open1839115443-252808396-60480000019e87f97e460a22d249_1500_1500.jpg?w=640&amp;h=640</v>
      </c>
      <c r="F61" t="inlineStr">
        <is>
          <t>T-Shirts</t>
        </is>
      </c>
      <c r="G61" t="inlineStr">
        <is>
          <t>Gallery Dept</t>
        </is>
      </c>
      <c r="H61" t="inlineStr">
        <is>
          <t>78</t>
        </is>
      </c>
      <c r="I61">
        <v>11.3</v>
      </c>
      <c r="J61" t="inlineStr">
        <is>
          <t>{"id":"resp_00fcfb80b2ede103016a224b6b9318819a8424cd52da99d280","object":"chat.completion","created":1780632428,"model":"gpt-5.5","choices":[{"index":0,"message":{"role":"assistant","content":"Gallery Dept Black Scratch Logo Hollywood T-Shirt"},"finish_reason":"stop"}],"usage":{"prompt_tokens":968,"completion_tokens":12,"total_tokens":980}}</t>
        </is>
      </c>
      <c r="K61" t="inlineStr">
        <is>
          <t>Gallery Dept Black Scratch Logo Hollywood T-Shirt</t>
        </is>
      </c>
      <c r="L61" t="inlineStr">
        <is>
          <t>{"id":"resp_0b340ffd36de190b016a2249c064e8819a80601e20963a689b","object":"chat.completion","created":1780632003,"model":"gpt-5.5","choices":[{"index":0,"message":{"role":"assistant","content":"Gallery Dept black cotton T-shirt with colorful scratch logo print, Hollywood CA vintage streetwear style, unisex casual short sleeve top"},"finish_reason":"stop"}],"usage":{"prompt_tokens":987,"completion_tokens":50,"total_tokens":1037}}</t>
        </is>
      </c>
      <c r="M61" t="inlineStr">
        <is>
          <t>{"alt-svc":"h3=\":443\"; ma=2592000","connection":"close","content-length":"431","content-type":"application/json; charset=utf-8","date":"Fri, 05 Jun 2026 04:00:03 GMT","referrer-policy":"strict-origin-when-cross-origin","server":"nginx/1.24.0 (Ubuntu)","strict-transport-security":"max-age=31536000; includeSubDomains; preload","vary":"Accept-Encoding","via":"1.1 Caddy","x-content-type-options":"nosniff","x-frame-options":"DENY","x-new-api-version":"v1.0.0-rc.10","x-oneapi-request-id":"202606050400001779514838268d9d61RCWII8w","x-request-id":"5293cda0a8ad834fb5b81d306fb3938a"}</t>
        </is>
      </c>
      <c r="N61" t="inlineStr">
        <is>
          <t>Gallery Dept black cotton T-shirt with colorful scratch logo print, Hollywood CA vintage streetwear style, unisex casual short sleeve top</t>
        </is>
      </c>
      <c r="O61" t="inlineStr">
        <is>
          <t>{"id":"resp_09fe28db02995ba6016a2269f07260819bbf2071395112a04c","object":"chat.completion","created":1780640242,"model":"gpt-5.5","choices":[{"index":0,"message":{"role":"assistant","content":"Gallery Dept T-Shirt, Gallery Dept black cotton tee, colorful scratch logo T-shirt, Hollywood CA streetwear tee, unisex short sleeve top, vintage casual cotton T-shirt"},"finish_reason":"stop"}],"usage":{"prompt_tokens":855,"completion_tokens":38,"total_tokens":893}}</t>
        </is>
      </c>
      <c r="P61" t="inlineStr">
        <is>
          <t>Gallery Dept T-Shirt, Gallery Dept black cotton tee, colorful scratch logo T-shirt, Hollywood CA streetwear tee, unisex short sleeve top, vintage casual cotton T-shirt</t>
        </is>
      </c>
      <c r="Q61" t="inlineStr">
        <is>
          <t>Black, Colorful, Vintage, Streetwear, Unisex</t>
        </is>
      </c>
      <c r="R61" t="inlineStr">
        <is>
          <t>recvlts3M1Kw2U</t>
        </is>
      </c>
      <c r="S61" t="inlineStr">
        <is>
          <t>gallery-dept-black-scratch-logo-hollywood-recvlts3m1kw2u</t>
        </is>
      </c>
      <c r="T61"/>
      <c r="U61"/>
      <c r="V61"/>
      <c r="W61" t="inlineStr">
        <is>
          <t>{"id":"resp_08b67dfb1ae9b010016a2247ea10108199a370e4223d430c66","object":"chat.completion","created":1780631531,"model":"gpt-5.5","choices":[{"index":0,"message":{"role":"assistant","content":"Gallery Dept 黑色短袖T恤，纯棉面料，彩色刮痕Logo印花，Hollywood CA街头复古风，男女同款休闲上衣"},"finish_reason":"stop"}],"usage":{"prompt_tokens":1291,"completion_tokens":45,"total_tokens":1336,"prompt_tokens_details":{"cached_tokens":1024}}}</t>
        </is>
      </c>
      <c r="X61" t="inlineStr">
        <is>
          <t>Gallery Dept 黑色短袖T恤，纯棉面料，彩色刮痕Logo印花，Hollywood CA街头复古风，男女同款休闲上衣</t>
        </is>
      </c>
    </row>
    <row r="62" ht="25.5" customHeight="1">
      <c r="A62">
        <v>1839115443</v>
      </c>
      <c r="B62">
        <v>7781627606</v>
      </c>
      <c r="C62" s="2" t="str">
        <f>=HYPERLINK("https://weidian.com/item.html?itemID=7781627606", "https://weidian.com/item.html?itemID=7781627606")</f>
        <v>https://weidian.com/item.html?itemID=7781627606</v>
      </c>
      <c r="D62"/>
      <c r="E62" s="2" t="str">
        <f>=HYPERLINK("https://si.geilicdn.com/open1839115443-252808396-56840000019e87ef07700a23b4de_800_800.jpg?w=750&amp;h=750&amp;cp=1", "https://si.geilicdn.com/open1839115443-252808396-56840000019e87ef07700a23b4de_800_800.jpg?w=750&amp;h=750&amp;cp=1")</f>
        <v>https://si.geilicdn.com/open1839115443-252808396-56840000019e87ef07700a23b4de_800_800.jpg?w=750&amp;h=750&amp;cp=1</v>
      </c>
      <c r="F62" t="inlineStr">
        <is>
          <t>Hoodies</t>
        </is>
      </c>
      <c r="G62" t="inlineStr">
        <is>
          <t xml:space="preserve"> Kanye</t>
        </is>
      </c>
      <c r="H62" t="inlineStr">
        <is>
          <t>108.5</t>
        </is>
      </c>
      <c r="I62">
        <v>15.72</v>
      </c>
      <c r="J62" t="inlineStr">
        <is>
          <t>{"id":"resp_0da54ecaf817332a016a224baad9ec81998ce6bc683f652b19","object":"chat.completion","created":1780632494,"model":"gpt-5.5","choices":[{"index":0,"message":{"role":"assistant","content":"Kanye Rick and Morty Beige Graffiti Oversized Hoodie"},"finish_reason":"stop"}],"usage":{"prompt_tokens":1177,"completion_tokens":110,"total_tokens":1287}}</t>
        </is>
      </c>
      <c r="K62" t="inlineStr">
        <is>
          <t>Kanye Rick and Morty Beige Graffiti Oversized Hoodie</t>
        </is>
      </c>
      <c r="L62" t="inlineStr">
        <is>
          <t>{"id":"resp_04ec4d1d0801ff64016a224a2ab1a08199876567339a2d969d","object":"chat.completion","created":1780632110,"model":"gpt-5.5","choices":[{"index":0,"message":{"role":"assistant","content":"Kanye Rick and Morty beige graffiti hoodie, fleece cotton oversized streetwear pullover, unisex casual hooded sweatshirt"},"finish_reason":"stop"}],"usage":{"prompt_tokens":1198,"completion_tokens":91,"total_tokens":1289}}</t>
        </is>
      </c>
      <c r="M62" t="inlineStr">
        <is>
          <t>{"alt-svc":"h3=\":443\"; ma=2592000","connection":"close","content-length":"415","content-type":"application/json; charset=utf-8","date":"Fri, 05 Jun 2026 04:01:50 GMT","referrer-policy":"strict-origin-when-cross-origin","server":"nginx/1.24.0 (Ubuntu)","strict-transport-security":"max-age=31536000; includeSubDomains; preload","vary":"Accept-Encoding","via":"1.1 Caddy","x-content-type-options":"nosniff","x-frame-options":"DENY","x-new-api-version":"v1.0.0-rc.10","x-oneapi-request-id":"202606050401464381597768268d9d6BCJ5sXMm","x-request-id":"8fff214c43cfb72df551c28cf34d2d1c"}</t>
        </is>
      </c>
      <c r="N62" t="inlineStr">
        <is>
          <t>Kanye Rick and Morty beige graffiti hoodie, fleece cotton oversized streetwear pullover, unisex casual hooded sweatshirt</t>
        </is>
      </c>
      <c r="O62" t="inlineStr">
        <is>
          <t>{"id":"resp_05d77718ef0bac94016a2269b31380819b90e75f945ca5336b","object":"chat.completion","created":1780640182,"model":"gpt-5.5","choices":[{"index":0,"message":{"role":"assistant","content":"Kanye Rick and Morty beige graffiti hoodie, Kanye oversized fleece cotton pullover hoodie, unisex streetwear hooded sweatshirt, beige Rick and Morty graphic hoodie, Kanye casual cotton fleece hoodie, oversized graffiti hoodies unisex"},"finish_reason":"stop"}],"usage":{"prompt_tokens":1065,"completion_tokens":50,"total_tokens":1115}}</t>
        </is>
      </c>
      <c r="P62" t="inlineStr">
        <is>
          <t>Kanye Rick and Morty beige graffiti hoodie, Kanye oversized fleece cotton pullover hoodie, unisex streetwear hooded sweatshirt, beige Rick and Morty graphic hoodie, Kanye casual cotton fleece hoodie, oversized graffiti hoodies unisex</t>
        </is>
      </c>
      <c r="Q62" t="inlineStr">
        <is>
          <t>Beige, Streetwear, Unisex, Fleece-Lined</t>
        </is>
      </c>
      <c r="R62" t="inlineStr">
        <is>
          <t>recvlts3M1wYZz</t>
        </is>
      </c>
      <c r="S62" t="inlineStr">
        <is>
          <t>kanye-rick-morty-beige-graffiti-oversized-hoodie-recvlts3M1wYZz</t>
        </is>
      </c>
      <c r="T62"/>
      <c r="U62"/>
      <c r="V62"/>
      <c r="W62" t="inlineStr">
        <is>
          <t>{"id":"resp_0de5961f3adc0923016a2248859a1081989d1c06492c79042b","object":"chat.completion","created":1780631691,"model":"gpt-5.5","choices":[{"index":0,"message":{"role":"assistant","content":"侃爷Kanye 米白色Rick and Morty涂鸦连帽卫衣，抓绒棉质，宽松街头风男女同款休闲帽衫"},"finish_reason":"stop"}],"usage":{"prompt_tokens":1505,"completion_tokens":162,"total_tokens":1667,"prompt_tokens_details":{"cached_tokens":1024}}}</t>
        </is>
      </c>
      <c r="X62" t="inlineStr">
        <is>
          <t>侃爷Kanye 米白色Rick and Morty涂鸦连帽卫衣，抓绒棉质，宽松街头风男女同款休闲帽衫</t>
        </is>
      </c>
    </row>
    <row r="63" ht="25.5" customHeight="1">
      <c r="A63">
        <v>1839115443</v>
      </c>
      <c r="B63">
        <v>7778544959</v>
      </c>
      <c r="C63" s="2" t="str">
        <f>=HYPERLINK("https://weidian.com/item.html?itemID=7778544959", "https://weidian.com/item.html?itemID=7778544959")</f>
        <v>https://weidian.com/item.html?itemID=7778544959</v>
      </c>
      <c r="D63"/>
      <c r="E63" s="2" t="str">
        <f>=HYPERLINK("https://si.geilicdn.com/open1839115443-252808396-5b040000019e87efdca70a22d249_800_800.jpg?w=640&amp;h=640", "https://si.geilicdn.com/open1839115443-252808396-5b040000019e87efdca70a22d249_800_800.jpg?w=640&amp;h=640")</f>
        <v>https://si.geilicdn.com/open1839115443-252808396-5b040000019e87efdca70a22d249_800_800.jpg?w=640&amp;h=640</v>
      </c>
      <c r="F63" t="inlineStr">
        <is>
          <t>T-Shirts</t>
        </is>
      </c>
      <c r="G63" t="inlineStr">
        <is>
          <t>Gallery Dept</t>
        </is>
      </c>
      <c r="H63" t="inlineStr">
        <is>
          <t>63</t>
        </is>
      </c>
      <c r="I63">
        <v>9.13</v>
      </c>
      <c r="J63" t="inlineStr">
        <is>
          <t>{"id":"resp_02725f468d27c1a6016a224b653d808198bae2b9f4be271f7d","object":"chat.completion","created":1780632423,"model":"gpt-5.5","choices":[{"index":0,"message":{"role":"assistant","content":"Gallery Dept Beverly Blvd Palm Print White T-Shirt"},"finish_reason":"stop"}],"usage":{"prompt_tokens":964,"completion_tokens":65,"total_tokens":1029}}</t>
        </is>
      </c>
      <c r="K63" t="inlineStr">
        <is>
          <t>Gallery Dept Beverly Blvd Palm Print White T-Shirt</t>
        </is>
      </c>
      <c r="L63" t="inlineStr">
        <is>
          <t>{"id":"resp_0056e99931f155a0016a224a2bb2a0819b9cc74a4c5bcd6621","object":"chat.completion","created":1780632111,"model":"gpt-5.5","choices":[{"index":0,"message":{"role":"assistant","content":"Gallery Dept Color Letter White T-Shirt, cotton Beverly Blvd palm print, vintage streetwear oversized unisex short sleeve top"},"finish_reason":"stop"}],"usage":{"prompt_tokens":1002,"completion_tokens":27,"total_tokens":1029}}</t>
        </is>
      </c>
      <c r="M63" t="inlineStr">
        <is>
          <t>{"alt-svc":"h3=\":443\"; ma=2592000","connection":"close","content-length":"420","content-type":"application/json; charset=utf-8","date":"Fri, 05 Jun 2026 04:01:51 GMT","referrer-policy":"strict-origin-when-cross-origin","server":"nginx/1.24.0 (Ubuntu)","strict-transport-security":"max-age=31536000; includeSubDomains; preload","vary":"Accept-Encoding","via":"1.1 Caddy","x-content-type-options":"nosniff","x-frame-options":"DENY","x-new-api-version":"v1.0.0-rc.10","x-oneapi-request-id":"202606050401474601029468268d9d6y1y1v4Uh","x-request-id":"51547acacca0c0ac0e52fe932f231966"}</t>
        </is>
      </c>
      <c r="N63" t="inlineStr">
        <is>
          <t>Gallery Dept Color Letter White T-Shirt, cotton Beverly Blvd palm print, vintage streetwear oversized unisex short sleeve top</t>
        </is>
      </c>
      <c r="O63" t="inlineStr">
        <is>
          <t>{"id":"resp_0ab9e047c786f40c016a226a073a24819baffa4533a8254c9f","object":"chat.completion","created":1780640270,"model":"gpt-5.5","choices":[{"index":0,"message":{"role":"assistant","content":"Gallery Dept Color Letter T-Shirt, Gallery Dept White Cotton Tee, Gallery Dept Beverly Blvd Palm Print Shirt, Gallery Dept Vintage Streetwear T-Shirt, Gallery Dept Oversized Unisex Top, Gallery Dept Short Sleeve Cotton T-Shirt"},"finish_reason":"stop"}],"usage":{"prompt_tokens":853,"completion_tokens":48,"total_tokens":901}}</t>
        </is>
      </c>
      <c r="P63" t="inlineStr">
        <is>
          <t>Gallery Dept Color Letter T-Shirt, Gallery Dept White Cotton Tee, Gallery Dept Beverly Blvd Palm Print Shirt, Gallery Dept Vintage Streetwear T-Shirt, Gallery Dept Oversized Unisex Top, Gallery Dept Short Sleeve Cotton T-Shirt</t>
        </is>
      </c>
      <c r="Q63" t="inlineStr">
        <is>
          <t>White, Vintage, Streetwear, Unisex</t>
        </is>
      </c>
      <c r="R63" t="inlineStr">
        <is>
          <t>recvlts3M1GkJY</t>
        </is>
      </c>
      <c r="S63" t="inlineStr">
        <is>
          <t>gallery-dept-beverly-blvd-palm-print-white-tshirt-recvlts3M1GkJY</t>
        </is>
      </c>
      <c r="T63"/>
      <c r="U63"/>
      <c r="V63"/>
      <c r="W63" t="inlineStr">
        <is>
          <t>{"id":"resp_06a42f7179807db1016a2248dc62148199b98e1a596b2f8684","object":"chat.completion","created":1780631776,"model":"gpt-5.5","choices":[{"index":0,"message":{"role":"assistant","content":"彩色字母系列白色短袖T恤，Gallery Dept棉质休闲面料，Beverly Blvd印花棕榈图案，街头复古宽松男女同款潮牌上衣"},"finish_reason":"stop"}],"usage":{"prompt_tokens":1287,"completion_tokens":149,"total_tokens":1436,"prompt_tokens_details":{"cached_tokens":1024}}}</t>
        </is>
      </c>
      <c r="X63" t="inlineStr">
        <is>
          <t>彩色字母系列白色短袖T恤，Gallery Dept棉质休闲面料，Beverly Blvd印花棕榈图案，街头复古宽松男女同款潮牌上衣</t>
        </is>
      </c>
    </row>
    <row r="64" ht="25.5" customHeight="1">
      <c r="A64">
        <v>1839115443</v>
      </c>
      <c r="B64">
        <v>7781550686</v>
      </c>
      <c r="C64" s="2" t="str">
        <f>=HYPERLINK("https://weidian.com/item.html?itemID=7781550686", "https://weidian.com/item.html?itemID=7781550686")</f>
        <v>https://weidian.com/item.html?itemID=7781550686</v>
      </c>
      <c r="D64"/>
      <c r="E64" s="2" t="str">
        <f>=HYPERLINK("https://si.geilicdn.com/open1839115443-252808396-55400000019e87f85cea0aa08239_1500_1500.jpg?w=640&amp;h=640", "https://si.geilicdn.com/open1839115443-252808396-55400000019e87f85cea0aa08239_1500_1500.jpg?w=640&amp;h=640")</f>
        <v>https://si.geilicdn.com/open1839115443-252808396-55400000019e87f85cea0aa08239_1500_1500.jpg?w=640&amp;h=640</v>
      </c>
      <c r="F64" t="inlineStr">
        <is>
          <t>T-Shirts</t>
        </is>
      </c>
      <c r="G64" t="inlineStr">
        <is>
          <t>Gallery Dept</t>
        </is>
      </c>
      <c r="H64" t="inlineStr">
        <is>
          <t>72</t>
        </is>
      </c>
      <c r="I64">
        <v>10.43</v>
      </c>
      <c r="J64" t="inlineStr">
        <is>
          <t>{"id":"resp_079d4dccb3ed0039016a224b7b3adc819bbe1ec5bb83ae1ae4","object":"chat.completion","created":1780632446,"model":"gpt-5.5","choices":[{"index":0,"message":{"role":"assistant","content":"Gallery Dept White Dépt de la Galerie Print T-Shirt"},"finish_reason":"stop"}],"usage":{"prompt_tokens":974,"completion_tokens":122,"total_tokens":1096}}</t>
        </is>
      </c>
      <c r="K64" t="inlineStr">
        <is>
          <t>Gallery Dept White Dépt de la Galerie Print T-Shirt</t>
        </is>
      </c>
      <c r="L64" t="inlineStr">
        <is>
          <t>{"id":"resp_01d3b9890c5401f4016a224a1298cc8199bb568d554a4fab24","object":"chat.completion","created":1780632084,"model":"gpt-5.5","choices":[{"index":0,"message":{"role":"assistant","content":"Gallery Dept white Dépt de la Galerie print T-shirt, cotton short sleeve streetwear tee, unisex casual designer top for men and women"},"finish_reason":"stop"}],"usage":{"prompt_tokens":969,"completion_tokens":32,"total_tokens":1001}}</t>
        </is>
      </c>
      <c r="M64" t="inlineStr">
        <is>
          <t>{"alt-svc":"h3=\":443\"; ma=2592000","connection":"close","content-length":"428","content-type":"application/json; charset=utf-8","date":"Fri, 05 Jun 2026 04:01:24 GMT","referrer-policy":"strict-origin-when-cross-origin","server":"nginx/1.24.0 (Ubuntu)","strict-transport-security":"max-age=31536000; includeSubDomains; preload","vary":"Accept-Encoding","via":"1.1 Caddy","x-content-type-options":"nosniff","x-frame-options":"DENY","x-new-api-version":"v1.0.0-rc.10","x-oneapi-request-id":"202606050401222981808118268d9d6NIPE4UGf","x-request-id":"0d21f7665995569d062112d6d59cfa26"}</t>
        </is>
      </c>
      <c r="N64" t="inlineStr">
        <is>
          <t>Gallery Dept white Dépt de la Galerie print T-shirt, cotton short sleeve streetwear tee, unisex casual designer top for men and women</t>
        </is>
      </c>
      <c r="O64" t="inlineStr">
        <is>
          <t>{"id":"resp_09ab5df34a246d20016a2269b2227c819b8b3d44be56ec29f3","object":"chat.completion","created":1780640181,"model":"gpt-5.5","choices":[{"index":0,"message":{"role":"assistant","content":"Gallery Dept T-Shirt, Gallery Dept white print tee, Dépt de la Galerie cotton T-shirt, Gallery Dept short sleeve streetwear, unisex designer casual top, Gallery Dept men women tee"},"finish_reason":"stop"}],"usage":{"prompt_tokens":858,"completion_tokens":42,"total_tokens":900}}</t>
        </is>
      </c>
      <c r="P64" t="inlineStr">
        <is>
          <t>Gallery Dept T-Shirt, Gallery Dept white print tee, Dépt de la Galerie cotton T-shirt, Gallery Dept short sleeve streetwear, unisex designer casual top, Gallery Dept men women tee</t>
        </is>
      </c>
      <c r="Q64" t="inlineStr">
        <is>
          <t>White, Streetwear, Unisex</t>
        </is>
      </c>
      <c r="R64" t="inlineStr">
        <is>
          <t>recvlts3M1hERw</t>
        </is>
      </c>
      <c r="S64" t="inlineStr">
        <is>
          <t>gallery-dept-white-print-tshirt-recvlts3M1hERw</t>
        </is>
      </c>
      <c r="T64"/>
      <c r="U64"/>
      <c r="V64"/>
      <c r="W64" t="inlineStr">
        <is>
          <t>{"id":"resp_05136b63b717e892016a2248028c84819a998ca47a20994f8e","object":"chat.completion","created":1780631557,"model":"gpt-5.5","choices":[{"index":0,"message":{"role":"assistant","content":"Gallery Dept 白色Dépt de la Galerie印花短袖T恤，纯棉休闲街头风男女同款潮牌上衣"},"finish_reason":"stop"}],"usage":{"prompt_tokens":1289,"completion_tokens":36,"total_tokens":1325,"prompt_tokens_details":{"cached_tokens":1024}}}</t>
        </is>
      </c>
      <c r="X64" t="inlineStr">
        <is>
          <t>Gallery Dept 白色Dépt de la Galerie印花短袖T恤，纯棉休闲街头风男女同款潮牌上衣</t>
        </is>
      </c>
    </row>
    <row r="65" ht="25.5" customHeight="1">
      <c r="A65">
        <v>1839115443</v>
      </c>
      <c r="B65">
        <v>7781564884</v>
      </c>
      <c r="C65" s="2" t="str">
        <f>=HYPERLINK("https://weidian.com/item.html?itemID=7781564884", "https://weidian.com/item.html?itemID=7781564884")</f>
        <v>https://weidian.com/item.html?itemID=7781564884</v>
      </c>
      <c r="D65"/>
      <c r="E65" s="2" t="str">
        <f>=HYPERLINK("https://si.geilicdn.com/open1839115443-252808396-5f980000019e87f86d9a0a22d249_1000_1000.jpg?w=640&amp;h=640", "https://si.geilicdn.com/open1839115443-252808396-5f980000019e87f86d9a0a22d249_1000_1000.jpg?w=640&amp;h=640")</f>
        <v>https://si.geilicdn.com/open1839115443-252808396-5f980000019e87f86d9a0a22d249_1000_1000.jpg?w=640&amp;h=640</v>
      </c>
      <c r="F65" t="inlineStr">
        <is>
          <t>T-Shirts</t>
        </is>
      </c>
      <c r="G65" t="inlineStr">
        <is>
          <t>Rhude</t>
        </is>
      </c>
      <c r="H65" t="inlineStr">
        <is>
          <t>69</t>
        </is>
      </c>
      <c r="I65">
        <v>10</v>
      </c>
      <c r="J65" t="inlineStr">
        <is>
          <t>{"id":"resp_0035dd806fedab7b016a224bb088708198ba9c535e714ac0c8","object":"chat.completion","created":1780632497,"model":"gpt-5.5","choices":[{"index":0,"message":{"role":"assistant","content":"Rhude Hotel de Rhude Monte-Carlo Cotton T-Shirt"},"finish_reason":"stop"}],"usage":{"prompt_tokens":972,"completion_tokens":16,"total_tokens":988}}</t>
        </is>
      </c>
      <c r="K65" t="inlineStr">
        <is>
          <t>Rhude Hotel de Rhude Monte-Carlo Cotton T-Shirt</t>
        </is>
      </c>
      <c r="L65" t="inlineStr">
        <is>
          <t>{"id":"resp_0ef3dddd7effad48016a224a5389ec8198b4fed9355b419106","object":"chat.completion","created":1780632149,"model":"gpt-5.5","choices":[{"index":0,"message":{"role":"assistant","content":"Rhude Black Hotel de Rhude Monte-Carlo cotton short sleeve T-shirt, vintage streetwear unisex casual tee for men and women"},"finish_reason":"stop"}],"usage":{"prompt_tokens":973,"completion_tokens":31,"total_tokens":1004}}</t>
        </is>
      </c>
      <c r="M65" t="inlineStr">
        <is>
          <t>{"alt-svc":"h3=\":443\"; ma=2592000","connection":"close","content-length":"416","content-type":"application/json; charset=utf-8","date":"Fri, 05 Jun 2026 04:02:29 GMT","referrer-policy":"strict-origin-when-cross-origin","server":"nginx/1.24.0 (Ubuntu)","strict-transport-security":"max-age=31536000; includeSubDomains; preload","vary":"Accept-Encoding","via":"1.1 Caddy","x-content-type-options":"nosniff","x-frame-options":"DENY","x-new-api-version":"v1.0.0-rc.10","x-oneapi-request-id":"202606050402273112823108268d9d6KKKnVvUF","x-request-id":"dd1488aaf37afd9acc998d0c92aae57e"}</t>
        </is>
      </c>
      <c r="N65" t="inlineStr">
        <is>
          <t>Rhude Black Hotel de Rhude Monte-Carlo cotton short sleeve T-shirt, vintage streetwear unisex casual tee for men and women</t>
        </is>
      </c>
      <c r="O65" t="inlineStr">
        <is>
          <t>{"id":"resp_094a36760bf69669016a22695d2ff4819b8f335ba586313b5e","object":"chat.completion","created":1780640096,"model":"gpt-5.5","choices":[{"index":0,"message":{"role":"assistant","content":"Rhude Hotel de Rhude T-Shirt, Rhude cotton short sleeve tee, Rhude Monte-Carlo graphic T-shirt, Rhude vintage streetwear tee, Rhude unisex casual T-shirt, Rhude black cotton tee"},"finish_reason":"stop"}],"usage":{"prompt_tokens":857,"completion_tokens":49,"total_tokens":906}}</t>
        </is>
      </c>
      <c r="P65" t="inlineStr">
        <is>
          <t>Rhude Hotel de Rhude T-Shirt, Rhude cotton short sleeve tee, Rhude Monte-Carlo graphic T-shirt, Rhude vintage streetwear tee, Rhude unisex casual T-shirt, Rhude black cotton tee</t>
        </is>
      </c>
      <c r="Q65" t="inlineStr">
        <is>
          <t>Vintage, Streetwear, Unisex</t>
        </is>
      </c>
      <c r="R65" t="inlineStr">
        <is>
          <t>recvlts3M1wmhP</t>
        </is>
      </c>
      <c r="S65" t="inlineStr">
        <is>
          <t>rhude-hotel-de-rhude-monte-carlo-cotton-t-shirt-recvlts3m1wmhp</t>
        </is>
      </c>
      <c r="T65"/>
      <c r="U65"/>
      <c r="V65"/>
      <c r="W65" t="inlineStr">
        <is>
          <t>{"id":"resp_0bc95e24a50e094d016a22481af5d08199baa46af57afbcd21","object":"chat.completion","created":1780631581,"model":"gpt-5.5","choices":[{"index":0,"message":{"role":"assistant","content":"Rhude 黑色Hotel de Rhude Monte-Carlo印花棉质短袖T恤，复古街头风男女同款休闲上衣"},"finish_reason":"stop"}],"usage":{"prompt_tokens":1297,"completion_tokens":38,"total_tokens":1335,"prompt_tokens_details":{"cached_tokens":1024}}}</t>
        </is>
      </c>
      <c r="X65" t="inlineStr">
        <is>
          <t>Rhude 黑色Hotel de Rhude Monte-Carlo印花棉质短袖T恤，复古街头风男女同款休闲上衣</t>
        </is>
      </c>
    </row>
    <row r="66" ht="25.5" customHeight="1">
      <c r="A66">
        <v>1839115443</v>
      </c>
      <c r="B66">
        <v>7778584583</v>
      </c>
      <c r="C66" s="2" t="str">
        <f>=HYPERLINK("https://weidian.com/item.html?itemID=7778584583", "https://weidian.com/item.html?itemID=7778584583")</f>
        <v>https://weidian.com/item.html?itemID=7778584583</v>
      </c>
      <c r="D66"/>
      <c r="E66" s="2" t="str">
        <f>=HYPERLINK("https://si.geilicdn.com/open1839115443-252808396-359d0000019e87f533a50a8133b0_750_750.jpg?w=750&amp;h=750&amp;cp=1", "https://si.geilicdn.com/open1839115443-252808396-359d0000019e87f533a50a8133b0_750_750.jpg?w=750&amp;h=750&amp;cp=1")</f>
        <v>https://si.geilicdn.com/open1839115443-252808396-359d0000019e87f533a50a8133b0_750_750.jpg?w=750&amp;h=750&amp;cp=1</v>
      </c>
      <c r="F66" t="inlineStr">
        <is>
          <t>T-Shirts</t>
        </is>
      </c>
      <c r="G66" t="inlineStr">
        <is>
          <t>Gallery Dept</t>
        </is>
      </c>
      <c r="H66" t="inlineStr">
        <is>
          <t>57</t>
        </is>
      </c>
      <c r="I66">
        <v>8.26</v>
      </c>
      <c r="J66" t="inlineStr">
        <is>
          <t>{"id":"resp_01212fb877c31812016a224bf0f63081988a3f2b07c508436b","object":"chat.completion","created":1780632565,"model":"gpt-5.5","choices":[{"index":0,"message":{"role":"assistant","content":"Gallery Dept White Skull Graffiti Peace Patch T-Shirt"},"finish_reason":"stop"}],"usage":{"prompt_tokens":1185,"completion_tokens":122,"total_tokens":1307}}</t>
        </is>
      </c>
      <c r="K66" t="inlineStr">
        <is>
          <t>Gallery Dept White Skull Graffiti Peace Patch T-Shirt</t>
        </is>
      </c>
      <c r="L66" t="inlineStr">
        <is>
          <t>{"id":"resp_0ff9a1c21ebae383016a224a70079c819b884d435d5ab9595f","object":"chat.completion","created":1780632178,"model":"gpt-5.5","choices":[{"index":0,"message":{"role":"assistant","content":"Gallery Dept white cotton crew neck T-shirt with graffiti skull, peace sign and anti-racism patch prints, unisex vintage streetwear top"},"finish_reason":"stop"}],"usage":{"prompt_tokens":1218,"completion_tokens":87,"total_tokens":1305}}</t>
        </is>
      </c>
      <c r="M66" t="inlineStr">
        <is>
          <t>{"alt-svc":"h3=\":443\"; ma=2592000","connection":"close","content-length":"430","content-type":"application/json; charset=utf-8","date":"Fri, 05 Jun 2026 04:02:58 GMT","referrer-policy":"strict-origin-when-cross-origin","server":"nginx/1.24.0 (Ubuntu)","strict-transport-security":"max-age=31536000; includeSubDomains; preload","vary":"Accept-Encoding","via":"1.1 Caddy","x-content-type-options":"nosniff","x-frame-options":"DENY","x-new-api-version":"v1.0.0-rc.10","x-oneapi-request-id":"202606050402557925897978268d9d6EFx7eUBi","x-request-id":"ab713c795368d231eb54daee6866aaac"}</t>
        </is>
      </c>
      <c r="N66" t="inlineStr">
        <is>
          <t>Gallery Dept white cotton crew neck T-shirt with graffiti skull, peace sign and anti-racism patch prints, unisex vintage streetwear top</t>
        </is>
      </c>
      <c r="O66" t="inlineStr">
        <is>
          <t>{"id":"resp_0cba78ea70f8706c016a22693f1204819891182ea8cca7e7d4","object":"chat.completion","created":1780640064,"model":"gpt-5.5","choices":[{"index":0,"message":{"role":"assistant","content":"Gallery Dept white cotton T-shirt, Gallery Dept graffiti skull tee, Gallery Dept unisex streetwear top, Gallery Dept crew neck T-shirt, Gallery Dept anti racism patch shirt, Gallery Dept vintage cotton tee"},"finish_reason":"stop"}],"usage":{"prompt_tokens":1069,"completion_tokens":44,"total_tokens":1113}}</t>
        </is>
      </c>
      <c r="P66" t="inlineStr">
        <is>
          <t>Gallery Dept white cotton T-shirt, Gallery Dept graffiti skull tee, Gallery Dept unisex streetwear top, Gallery Dept crew neck T-shirt, Gallery Dept anti racism patch shirt, Gallery Dept vintage cotton tee</t>
        </is>
      </c>
      <c r="Q66" t="inlineStr">
        <is>
          <t>White, Vintage, Streetwear, Unisex</t>
        </is>
      </c>
      <c r="R66" t="inlineStr">
        <is>
          <t>recvlts3M1pm2F</t>
        </is>
      </c>
      <c r="S66" t="inlineStr">
        <is>
          <t>gallery-dept-white-skull-graffiti-peace-patch-t-shirt-recvlts3m1pm2f</t>
        </is>
      </c>
      <c r="T66"/>
      <c r="U66"/>
      <c r="V66"/>
      <c r="W66" t="inlineStr">
        <is>
          <t>{"id":"resp_0a00a9d4ae36509a016a2248d1c868819a97d37606d6d35422","object":"chat.completion","created":1780631765,"model":"gpt-5.5","choices":[{"index":0,"message":{"role":"assistant","content":"Gallery Dept白色短袖T恤，纯棉圆领设计，街头涂鸦骷髅、和平标与反种族歧视贴布印花，男女同款复古潮流上衣"},"finish_reason":"stop"}],"usage":{"prompt_tokens":1510,"completion_tokens":125,"total_tokens":1635,"prompt_tokens_details":{"cached_tokens":1024}}}</t>
        </is>
      </c>
      <c r="X66" t="inlineStr">
        <is>
          <t>Gallery Dept白色短袖T恤，纯棉圆领设计，街头涂鸦骷髅、和平标与反种族歧视贴布印花，男女同款复古潮流上衣</t>
        </is>
      </c>
    </row>
    <row r="67" ht="25.5" customHeight="1">
      <c r="A67">
        <v>1839115443</v>
      </c>
      <c r="B67">
        <v>7778592711</v>
      </c>
      <c r="C67" s="2" t="str">
        <f>=HYPERLINK("https://weidian.com/item.html?itemID=7778592711", "https://weidian.com/item.html?itemID=7778592711")</f>
        <v>https://weidian.com/item.html?itemID=7778592711</v>
      </c>
      <c r="D67"/>
      <c r="E67" s="2" t="str">
        <f>=HYPERLINK("https://si.geilicdn.com/open1839115443-252808396-5ad80000019e880584c70aa08239_1500_1500.jpg?w=640&amp;h=640", "https://si.geilicdn.com/open1839115443-252808396-5ad80000019e880584c70aa08239_1500_1500.jpg?w=640&amp;h=640")</f>
        <v>https://si.geilicdn.com/open1839115443-252808396-5ad80000019e880584c70aa08239_1500_1500.jpg?w=640&amp;h=640</v>
      </c>
      <c r="F67" t="inlineStr">
        <is>
          <t>T-Shirts</t>
        </is>
      </c>
      <c r="G67" t="inlineStr">
        <is>
          <t>Gallery Dept</t>
        </is>
      </c>
      <c r="H67" t="inlineStr">
        <is>
          <t>69</t>
        </is>
      </c>
      <c r="I67">
        <v>10</v>
      </c>
      <c r="J67" t="inlineStr">
        <is>
          <t>{"id":"resp_08826ac7a4a98ee1016a224b8713a8819987c138be9b1f5103","object":"chat.completion","created":1780632457,"model":"gpt-5.5","choices":[{"index":0,"message":{"role":"assistant","content":"Gallery Dept Black Logo Cotton T-Shirt Vintage Streetwear"},"finish_reason":"stop"}],"usage":{"prompt_tokens":964,"completion_tokens":14,"total_tokens":978}}</t>
        </is>
      </c>
      <c r="K67" t="inlineStr">
        <is>
          <t>Gallery Dept Black Logo Cotton T-Shirt Vintage Streetwear</t>
        </is>
      </c>
      <c r="L67" t="inlineStr">
        <is>
          <t>{"id":"resp_070b8c3a215b8adb016a224a89bf24819abe5caa69b5012598","object":"chat.completion","created":1780632204,"model":"gpt-5.5","choices":[{"index":0,"message":{"role":"assistant","content":"Gallery Dept black cotton short sleeve T-shirt with red yellow big letter logo print, vintage streetwear unisex casual top"},"finish_reason":"stop"}],"usage":{"prompt_tokens":975,"completion_tokens":90,"total_tokens":1065}}</t>
        </is>
      </c>
      <c r="M67" t="inlineStr">
        <is>
          <t>{"alt-svc":"h3=\":443\"; ma=2592000","connection":"close","content-length":"416","content-type":"application/json; charset=utf-8","date":"Fri, 05 Jun 2026 04:03:24 GMT","referrer-policy":"strict-origin-when-cross-origin","server":"nginx/1.24.0 (Ubuntu)","strict-transport-security":"max-age=31536000; includeSubDomains; preload","vary":"Accept-Encoding","via":"1.1 Caddy","x-content-type-options":"nosniff","x-frame-options":"DENY","x-new-api-version":"v1.0.0-rc.10","x-oneapi-request-id":"202606050403214584028708268d9d6clfqdXLu","x-request-id":"4c357b6ca267f9c313db4766b78e170b"}</t>
        </is>
      </c>
      <c r="N67" t="inlineStr">
        <is>
          <t>Gallery Dept black cotton short sleeve T-shirt with red yellow big letter logo print, vintage streetwear unisex casual top</t>
        </is>
      </c>
      <c r="O67" t="inlineStr">
        <is>
          <t>{"id":"resp_0ae073a505d9746c016a2269ca33a4819ab7e0e0af9b3cd4d9","object":"chat.completion","created":1780640206,"model":"gpt-5.5","choices":[{"index":0,"message":{"role":"assistant","content":"Gallery Dept T-Shirt, Gallery Dept black cotton T-shirt, Gallery Dept logo print tee, vintage streetwear T-shirt, unisex casual short sleeve top, Gallery Dept graphic T-shirt"},"finish_reason":"stop"}],"usage":{"prompt_tokens":853,"completion_tokens":40,"total_tokens":893}}</t>
        </is>
      </c>
      <c r="P67" t="inlineStr">
        <is>
          <t>Gallery Dept T-Shirt, Gallery Dept black cotton T-shirt, Gallery Dept logo print tee, vintage streetwear T-shirt, unisex casual short sleeve top, Gallery Dept graphic T-shirt</t>
        </is>
      </c>
      <c r="Q67" t="inlineStr">
        <is>
          <t>Black, Vintage, Streetwear, Unisex</t>
        </is>
      </c>
      <c r="R67" t="inlineStr">
        <is>
          <t>recvlts3M1pcZz</t>
        </is>
      </c>
      <c r="S67" t="inlineStr">
        <is>
          <t>gallery-dept-black-logo-cotton-tshirt-vintage-streetwear-recvlts3M1pcZz</t>
        </is>
      </c>
      <c r="T67"/>
      <c r="U67"/>
      <c r="V67"/>
      <c r="W67" t="inlineStr">
        <is>
          <t>{"id":"resp_0eacb7a20c96c418016a2248841e108199910d8f7f4ac77605","object":"chat.completion","created":1780631690,"model":"gpt-5.5","choices":[{"index":0,"message":{"role":"assistant","content":"Gallery Dept 黑色纯棉短袖T恤，红黄大字母Logo印花，街头复古潮流男女同款休闲上衣"},"finish_reason":"stop"}],"usage":{"prompt_tokens":1289,"completion_tokens":39,"total_tokens":1328}}</t>
        </is>
      </c>
      <c r="X67" t="inlineStr">
        <is>
          <t>Gallery Dept 黑色纯棉短袖T恤，红黄大字母Logo印花，街头复古潮流男女同款休闲上衣</t>
        </is>
      </c>
    </row>
    <row r="68" ht="25.5" customHeight="1">
      <c r="A68">
        <v>1839115443</v>
      </c>
      <c r="B68">
        <v>7781555098</v>
      </c>
      <c r="C68" s="2" t="str">
        <f>=HYPERLINK("https://weidian.com/item.html?itemID=7781555098", "https://weidian.com/item.html?itemID=7781555098")</f>
        <v>https://weidian.com/item.html?itemID=7781555098</v>
      </c>
      <c r="D68"/>
      <c r="E68" s="2" t="str">
        <f>=HYPERLINK("https://si.geilicdn.com/open1839115443-252808396-56690000019e8805b1310a231226_1500_1500.jpg?w=640&amp;h=640", "https://si.geilicdn.com/open1839115443-252808396-56690000019e8805b1310a231226_1500_1500.jpg?w=640&amp;h=640")</f>
        <v>https://si.geilicdn.com/open1839115443-252808396-56690000019e8805b1310a231226_1500_1500.jpg?w=640&amp;h=640</v>
      </c>
      <c r="F68" t="inlineStr">
        <is>
          <t>T-Shirts</t>
        </is>
      </c>
      <c r="G68" t="inlineStr">
        <is>
          <t>Rhude</t>
        </is>
      </c>
      <c r="H68" t="inlineStr">
        <is>
          <t>69</t>
        </is>
      </c>
      <c r="I68">
        <v>10</v>
      </c>
      <c r="J68" t="inlineStr">
        <is>
          <t>{"id":"resp_0732b17c50874132016a224ba8bf48819a923e9ca55c51dc28","object":"chat.completion","created":1780632494,"model":"gpt-5.5","choices":[{"index":0,"message":{"role":"assistant","content":"Rhude Black Cotton Tee Green Collegiate Logo Streetwear"},"finish_reason":"stop"}],"usage":{"prompt_tokens":966,"completion_tokens":239,"total_tokens":1205}}</t>
        </is>
      </c>
      <c r="K68" t="inlineStr">
        <is>
          <t>Rhude Black Cotton Tee Green Collegiate Logo Streetwear</t>
        </is>
      </c>
      <c r="L68" t="inlineStr">
        <is>
          <t>{"id":"resp_0da38499da3d52f6016a2249a3559c819b8bd949420582c87d","object":"chat.completion","created":1780631973,"model":"gpt-5.5","choices":[{"index":0,"message":{"role":"assistant","content":"Rhude black cotton short sleeve T-shirt with green collegiate logo print, vintage streetwear style, unisex casual designer tee"},"finish_reason":"stop"}],"usage":{"prompt_tokens":979,"completion_tokens":64,"total_tokens":1043}}</t>
        </is>
      </c>
      <c r="M68" t="inlineStr">
        <is>
          <t>{"alt-svc":"h3=\":443\"; ma=2592000","connection":"close","content-length":"420","content-type":"application/json; charset=utf-8","date":"Fri, 05 Jun 2026 03:59:33 GMT","referrer-policy":"strict-origin-when-cross-origin","server":"nginx/1.24.0 (Ubuntu)","strict-transport-security":"max-age=31536000; includeSubDomains; preload","vary":"Accept-Encoding","via":"1.1 Caddy","x-content-type-options":"nosniff","x-frame-options":"DENY","x-new-api-version":"v1.0.0-rc.10","x-oneapi-request-id":"202606050359311193284768268d9d6VRjJS7Na","x-request-id":"4aa7dfe87cf6ea56fde0b806fc1cac89"}</t>
        </is>
      </c>
      <c r="N68" t="inlineStr">
        <is>
          <t>Rhude black cotton short sleeve T-shirt with green collegiate logo print, vintage streetwear style, unisex casual designer tee</t>
        </is>
      </c>
      <c r="O68" t="inlineStr">
        <is>
          <t>{"id":"resp_08f004ff76c5e40b016a22699af02481989e83edcb47280be1","object":"chat.completion","created":1780640157,"model":"gpt-5.5","choices":[{"index":0,"message":{"role":"assistant","content":"Rhude black cotton T-shirt, Rhude collegiate logo tee, Rhude short sleeve designer T-shirt, Rhude vintage streetwear tee, Rhude unisex casual cotton tee, Rhude green logo graphic T-shirt"},"finish_reason":"stop"}],"usage":{"prompt_tokens":854,"completion_tokens":47,"total_tokens":901}}</t>
        </is>
      </c>
      <c r="P68" t="inlineStr">
        <is>
          <t>Rhude black cotton T-shirt, Rhude collegiate logo tee, Rhude short sleeve designer T-shirt, Rhude vintage streetwear tee, Rhude unisex casual cotton tee, Rhude green logo graphic T-shirt</t>
        </is>
      </c>
      <c r="Q68" t="inlineStr">
        <is>
          <t>Black, Vintage, Streetwear, Unisex</t>
        </is>
      </c>
      <c r="R68" t="inlineStr">
        <is>
          <t>recvlts3M19qW9</t>
        </is>
      </c>
      <c r="S68" t="inlineStr">
        <is>
          <t>rhude-black-cotton-tee-green-collegiate-logo-recvlts3M19qW9</t>
        </is>
      </c>
      <c r="T68"/>
      <c r="U68"/>
      <c r="V68"/>
      <c r="W68" t="inlineStr">
        <is>
          <t>{"id":"resp_034913fd26bec174016a22481de020819b890de503b682f810","object":"chat.completion","created":1780631583,"model":"gpt-5.5","choices":[{"index":0,"message":{"role":"assistant","content":"Rhude 黑色棉质短袖T恤，绿色学院字母徽章印花，复古街头休闲风，男女同款潮牌上衣"},"finish_reason":"stop"}],"usage":{"prompt_tokens":1289,"completion_tokens":41,"total_tokens":1330}}</t>
        </is>
      </c>
      <c r="X68" t="inlineStr">
        <is>
          <t>Rhude 黑色棉质短袖T恤，绿色学院字母徽章印花，复古街头休闲风，男女同款潮牌上衣</t>
        </is>
      </c>
    </row>
    <row r="69" ht="25.5" customHeight="1">
      <c r="A69">
        <v>1839115443</v>
      </c>
      <c r="B69">
        <v>7781527244</v>
      </c>
      <c r="C69" s="2" t="str">
        <f>=HYPERLINK("https://weidian.com/item.html?itemID=7781527244", "https://weidian.com/item.html?itemID=7781527244")</f>
        <v>https://weidian.com/item.html?itemID=7781527244</v>
      </c>
      <c r="D69"/>
      <c r="E69" s="2" t="str">
        <f>=HYPERLINK("https://si.geilicdn.com/open1839115443-252808396-56430000019e87f0ea670a23b491_800_800.jpg?w=640&amp;h=640", "https://si.geilicdn.com/open1839115443-252808396-56430000019e87f0ea670a23b491_800_800.jpg?w=640&amp;h=640")</f>
        <v>https://si.geilicdn.com/open1839115443-252808396-56430000019e87f0ea670a23b491_800_800.jpg?w=640&amp;h=640</v>
      </c>
      <c r="F69" t="inlineStr">
        <is>
          <t>T-Shirts</t>
        </is>
      </c>
      <c r="G69" t="inlineStr">
        <is>
          <t>Gallery Dept</t>
        </is>
      </c>
      <c r="H69" t="inlineStr">
        <is>
          <t>72</t>
        </is>
      </c>
      <c r="I69">
        <v>10.43</v>
      </c>
      <c r="J69" t="inlineStr">
        <is>
          <t>{"id":"resp_0b868be00962166d016a224c0fa5d4819ab4cc0553f10f8d20","object":"chat.completion","created":1780632594,"model":"gpt-5.5","choices":[{"index":0,"message":{"role":"assistant","content":"Gallery Dept Dépt de la Galerie Black Cotton T-Shirt"},"finish_reason":"stop"}],"usage":{"prompt_tokens":964,"completion_tokens":115,"total_tokens":1079}}</t>
        </is>
      </c>
      <c r="K69" t="inlineStr">
        <is>
          <t>Gallery Dept Dépt de la Galerie Black Cotton T-Shirt</t>
        </is>
      </c>
      <c r="L69" t="inlineStr">
        <is>
          <t>{"id":"resp_0416ca6f5144ba50016a224a440f78819b8315cf1866292c80","object":"chat.completion","created":1780632135,"model":"gpt-5.5","choices":[{"index":0,"message":{"role":"assistant","content":"Gallery Dept black Dépt de la Galerie letter print cotton short sleeve T-shirt, unisex streetwear casual designer top"},"finish_reason":"stop"}],"usage":{"prompt_tokens":971,"completion_tokens":27,"total_tokens":998}}</t>
        </is>
      </c>
      <c r="M69" t="inlineStr">
        <is>
          <t>{"alt-svc":"h3=\":443\"; ma=2592000","connection":"close","content-length":"411","content-type":"application/json; charset=utf-8","date":"Fri, 05 Jun 2026 04:02:15 GMT","referrer-policy":"strict-origin-when-cross-origin","server":"nginx/1.24.0 (Ubuntu)","strict-transport-security":"max-age=31536000; includeSubDomains; preload","vary":"Accept-Encoding","via":"1.1 Caddy","x-content-type-options":"nosniff","x-frame-options":"DENY","x-new-api-version":"v1.0.0-rc.10","x-oneapi-request-id":"202606050402118107326828268d9d6wD6ulsCA","x-request-id":"ceecc0c6a34eebeb159414984e79150a"}</t>
        </is>
      </c>
      <c r="N69" t="inlineStr">
        <is>
          <t>Gallery Dept black Dépt de la Galerie letter print cotton short sleeve T-shirt, unisex streetwear casual designer top</t>
        </is>
      </c>
      <c r="O69" t="inlineStr">
        <is>
          <t>{"id":"resp_0c6874da17b1c062016a226a04f7b48199bde05cddbe06f747","object":"chat.completion","created":1780640262,"model":"gpt-5.5","choices":[{"index":0,"message":{"role":"assistant","content":"Gallery Dept T-Shirt, Gallery Dept Dépt de la Galerie T-Shirt, Gallery Dept Cotton Short Sleeve Tee, Gallery Dept Unisex Streetwear Top, Gallery Dept Letter Print T-Shirt, Gallery Dept Casual Designer T-Shirt"},"finish_reason":"stop"}],"usage":{"prompt_tokens":853,"completion_tokens":47,"total_tokens":900}}</t>
        </is>
      </c>
      <c r="P69" t="inlineStr">
        <is>
          <t>Gallery Dept T-Shirt, Gallery Dept Dépt de la Galerie T-Shirt, Gallery Dept Cotton Short Sleeve Tee, Gallery Dept Unisex Streetwear Top, Gallery Dept Letter Print T-Shirt, Gallery Dept Casual Designer T-Shirt</t>
        </is>
      </c>
      <c r="Q69" t="inlineStr">
        <is>
          <t>Black, Streetwear, Unisex</t>
        </is>
      </c>
      <c r="R69" t="inlineStr">
        <is>
          <t>recvlts3M1nC0K</t>
        </is>
      </c>
      <c r="S69" t="inlineStr">
        <is>
          <t>gallery-dept-black-cotton-tshirt-recvlts3m1nc0k</t>
        </is>
      </c>
      <c r="T69"/>
      <c r="U69"/>
      <c r="V69"/>
      <c r="W69" t="inlineStr">
        <is>
          <t>{"id":"resp_0ee81d153b596acb016a22482114908199b57f282c1898d461","object":"chat.completion","created":1780631586,"model":"gpt-5.5","choices":[{"index":0,"message":{"role":"assistant","content":"Gallery Dept 黑色Dépt de la Galerie字母印花纯棉短袖T恤，街头休闲男女同款潮牌上衣"},"finish_reason":"stop"}],"usage":{"prompt_tokens":1287,"completion_tokens":37,"total_tokens":1324}}</t>
        </is>
      </c>
      <c r="X69" t="inlineStr">
        <is>
          <t>Gallery Dept 黑色Dépt de la Galerie字母印花纯棉短袖T恤，街头休闲男女同款潮牌上衣</t>
        </is>
      </c>
    </row>
    <row r="70" ht="25.5" customHeight="1">
      <c r="A70">
        <v>1839115443</v>
      </c>
      <c r="B70">
        <v>7778525409</v>
      </c>
      <c r="C70" s="2" t="str">
        <f>=HYPERLINK("https://weidian.com/item.html?itemID=7778525409", "https://weidian.com/item.html?itemID=7778525409")</f>
        <v>https://weidian.com/item.html?itemID=7778525409</v>
      </c>
      <c r="D70"/>
      <c r="E70" s="2" t="str">
        <f>=HYPERLINK("https://si.geilicdn.com/open1839115443-252808396-562f0000019e87f0b7bb0a23b491_800_800.jpg?w=640&amp;h=640", "https://si.geilicdn.com/open1839115443-252808396-562f0000019e87f0b7bb0a23b491_800_800.jpg?w=640&amp;h=640")</f>
        <v>https://si.geilicdn.com/open1839115443-252808396-562f0000019e87f0b7bb0a23b491_800_800.jpg?w=640&amp;h=640</v>
      </c>
      <c r="F70" t="inlineStr">
        <is>
          <t>T-Shirts</t>
        </is>
      </c>
      <c r="G70" t="inlineStr">
        <is>
          <t>Gallery Dept</t>
        </is>
      </c>
      <c r="H70" t="inlineStr">
        <is>
          <t>58.5</t>
        </is>
      </c>
      <c r="I70">
        <v>8.48</v>
      </c>
      <c r="J70" t="inlineStr">
        <is>
          <t>{"id":"resp_0673d9ab108ed33e016a224bf959ec819a9d6c56fc8d69af6f","object":"chat.completion","created":1780632572,"model":"gpt-5.5","choices":[{"index":0,"message":{"role":"assistant","content":"Gallery Dept Hollywood Print Cotton T-Shirt Green Unisex"},"finish_reason":"stop"}],"usage":{"prompt_tokens":972,"completion_tokens":123,"total_tokens":1095}}</t>
        </is>
      </c>
      <c r="K70" t="inlineStr">
        <is>
          <t>Gallery Dept Hollywood Print Cotton T-Shirt Green Unisex</t>
        </is>
      </c>
      <c r="L70" t="inlineStr">
        <is>
          <t>{"id":"resp_0c045f334bdb0327016a224a1ca40c8198ab2a6a65b03babb5","object":"chat.completion","created":1780632095,"model":"gpt-5.5","choices":[{"index":0,"message":{"role":"assistant","content":"Gallery Dept Green Hollywood Letter Print T-Shirt, 100% Cotton Short Sleeve, Vintage Streetwear Casual Unisex Tee for Men and Women"},"finish_reason":"stop"}],"usage":{"prompt_tokens":963,"completion_tokens":52,"total_tokens":1015}}</t>
        </is>
      </c>
      <c r="M70" t="inlineStr">
        <is>
          <t>{"alt-svc":"h3=\":443\"; ma=2592000","connection":"close","content-length":"425","content-type":"application/json; charset=utf-8","date":"Fri, 05 Jun 2026 04:01:35 GMT","referrer-policy":"strict-origin-when-cross-origin","server":"nginx/1.24.0 (Ubuntu)","strict-transport-security":"max-age=31536000; includeSubDomains; preload","vary":"Accept-Encoding","via":"1.1 Caddy","x-content-type-options":"nosniff","x-frame-options":"DENY","x-new-api-version":"v1.0.0-rc.10","x-oneapi-request-id":"202606050401323711652748268d9d6phIncvmd","x-request-id":"7b34e542124e36999ccd21e388f915da"}</t>
        </is>
      </c>
      <c r="N70" t="inlineStr">
        <is>
          <t>Gallery Dept Green Hollywood Letter Print T-Shirt, 100% Cotton Short Sleeve, Vintage Streetwear Casual Unisex Tee for Men and Women</t>
        </is>
      </c>
      <c r="O70" t="inlineStr">
        <is>
          <t>{"id":"resp_0f42d54f3633f546016a2269f9227481998a207bdac0e841e4","object":"chat.completion","created":1780640251,"model":"gpt-5.5","choices":[{"index":0,"message":{"role":"assistant","content":"Gallery Dept T-Shirt, Gallery Dept Green Hollywood Tee, Gallery Dept Letter Print Shirt, 100% Cotton Short Sleeve Tee, Vintage Streetwear Unisex T-Shirt, Casual Men Women Tee"},"finish_reason":"stop"}],"usage":{"prompt_tokens":857,"completion_tokens":41,"total_tokens":898}}</t>
        </is>
      </c>
      <c r="P70" t="inlineStr">
        <is>
          <t>Gallery Dept T-Shirt, Gallery Dept Green Hollywood Tee, Gallery Dept Letter Print Shirt, 100% Cotton Short Sleeve Tee, Vintage Streetwear Unisex T-Shirt, Casual Men Women Tee</t>
        </is>
      </c>
      <c r="Q70" t="inlineStr">
        <is>
          <t>Vintage, Streetwear, Unisex, Green</t>
        </is>
      </c>
      <c r="R70" t="inlineStr">
        <is>
          <t>recvlts3M1BEdR</t>
        </is>
      </c>
      <c r="S70" t="inlineStr">
        <is>
          <t>gallery-dept-hollywood-print-green-recvlts3m1bedr</t>
        </is>
      </c>
      <c r="T70"/>
      <c r="U70"/>
      <c r="V70"/>
      <c r="W70" t="inlineStr">
        <is>
          <t>{"id":"resp_0ffbf98992ca33b6016a22481a6450819998b0c6112d5c2a98","object":"chat.completion","created":1780631580,"model":"gpt-5.5","choices":[{"index":0,"message":{"role":"assistant","content":"Gallery Dept 绿色Hollywood字母印花短袖T恤，纯棉休闲街头复古男女同款上衣"},"finish_reason":"stop"}],"usage":{"prompt_tokens":1293,"completion_tokens":33,"total_tokens":1326,"prompt_tokens_details":{"cached_tokens":1024}}}</t>
        </is>
      </c>
      <c r="X70" t="inlineStr">
        <is>
          <t>Gallery Dept 绿色Hollywood字母印花短袖T恤，纯棉休闲街头复古男女同款上衣</t>
        </is>
      </c>
    </row>
    <row r="71" ht="25.5" customHeight="1">
      <c r="A71">
        <v>1839115443</v>
      </c>
      <c r="B71">
        <v>7781590194</v>
      </c>
      <c r="C71" s="2" t="str">
        <f>=HYPERLINK("https://weidian.com/item.html?itemID=7781590194", "https://weidian.com/item.html?itemID=7781590194")</f>
        <v>https://weidian.com/item.html?itemID=7781590194</v>
      </c>
      <c r="D71"/>
      <c r="E71" s="2" t="str">
        <f>=HYPERLINK("https://si.geilicdn.com/open1839115443-252808396-5b500000019e87f0a2780a22d249_800_800.jpg?w=640&amp;h=640", "https://si.geilicdn.com/open1839115443-252808396-5b500000019e87f0a2780a22d249_800_800.jpg?w=640&amp;h=640")</f>
        <v>https://si.geilicdn.com/open1839115443-252808396-5b500000019e87f0a2780a22d249_800_800.jpg?w=640&amp;h=640</v>
      </c>
      <c r="F71" t="inlineStr">
        <is>
          <t>T-Shirts</t>
        </is>
      </c>
      <c r="G71" t="inlineStr">
        <is>
          <t>Gallery Dept</t>
        </is>
      </c>
      <c r="H71" t="inlineStr">
        <is>
          <t>78</t>
        </is>
      </c>
      <c r="I71">
        <v>11.3</v>
      </c>
      <c r="J71" t="inlineStr">
        <is>
          <t>{"id":"resp_0ee6b1b237a4e185016a224bed4b8c8199a49b2211fd19163f","object":"chat.completion","created":1780632559,"model":"gpt-5.5","choices":[{"index":0,"message":{"role":"assistant","content":"Gallery Dept Beige Corona Virus Graphic T-Shirt"},"finish_reason":"stop"}],"usage":{"prompt_tokens":968,"completion_tokens":61,"total_tokens":1029}}</t>
        </is>
      </c>
      <c r="K71" t="inlineStr">
        <is>
          <t>Gallery Dept Beige Corona Virus Graphic T-Shirt</t>
        </is>
      </c>
      <c r="L71" t="inlineStr">
        <is>
          <t>{"id":"resp_0351bc850b83758d016a2249d88a28819ba1e8c7682deee635","object":"chat.completion","created":1780632026,"model":"gpt-5.5","choices":[{"index":0,"message":{"role":"assistant","content":"Gallery Dept beige Corona Virus print T-shirt, cotton vintage distressed streetwear tee with flaming earth graphic, unisex short sleeve top"},"finish_reason":"stop"}],"usage":{"prompt_tokens":985,"completion_tokens":29,"total_tokens":1014}}</t>
        </is>
      </c>
      <c r="M71" t="inlineStr">
        <is>
          <t>{"alt-svc":"h3=\":443\"; ma=2592000","connection":"close","content-length":"433","content-type":"application/json; charset=utf-8","date":"Fri, 05 Jun 2026 04:00:26 GMT","referrer-policy":"strict-origin-when-cross-origin","server":"nginx/1.24.0 (Ubuntu)","strict-transport-security":"max-age=31536000; includeSubDomains; preload","vary":"Accept-Encoding","via":"1.1 Caddy","x-content-type-options":"nosniff","x-frame-options":"DENY","x-new-api-version":"v1.0.0-rc.10","x-oneapi-request-id":"202606050400242606058418268d9d6NtpwO0qm","x-request-id":"0352ad899ac55d2676b4054de561210e"}</t>
        </is>
      </c>
      <c r="N71" t="inlineStr">
        <is>
          <t>Gallery Dept beige Corona Virus print T-shirt, cotton vintage distressed streetwear tee with flaming earth graphic, unisex short sleeve top</t>
        </is>
      </c>
      <c r="O71" t="inlineStr">
        <is>
          <t>{"id":"resp_04e887c226b24948016a2269b5275c819a87a0a46c63cc8307","object":"chat.completion","created":1780640184,"model":"gpt-5.5","choices":[{"index":0,"message":{"role":"assistant","content":"Gallery Dept Corona Virus T-Shirt, Gallery Dept beige graphic tee, cotton distressed streetwear T-shirt, unisex short sleeve vintage tee, flaming earth print T-shirt, Gallery Dept oversized top"},"finish_reason":"stop"}],"usage":{"prompt_tokens":855,"completion_tokens":41,"total_tokens":896}}</t>
        </is>
      </c>
      <c r="P71" t="inlineStr">
        <is>
          <t>Gallery Dept Corona Virus T-Shirt, Gallery Dept beige graphic tee, cotton distressed streetwear T-shirt, unisex short sleeve vintage tee, flaming earth print T-shirt, Gallery Dept oversized top</t>
        </is>
      </c>
      <c r="Q71" t="inlineStr">
        <is>
          <t>Beige, Vintage, Distressed, Streetwear, Unisex</t>
        </is>
      </c>
      <c r="R71" t="inlineStr">
        <is>
          <t>recvlts3M1LxfR</t>
        </is>
      </c>
      <c r="S71" t="inlineStr">
        <is>
          <t>gallery-dept-beige-corona-virus-graphic-recvlts3m1lxf</t>
        </is>
      </c>
      <c r="T71"/>
      <c r="U71"/>
      <c r="V71"/>
      <c r="W71" t="inlineStr">
        <is>
          <t>{"id":"resp_073067b2715857f0016a2248d0202c819880e7766dc0ff59ee","object":"chat.completion","created":1780631765,"model":"gpt-5.5","choices":[{"index":0,"message":{"role":"assistant","content":"Gallery Dept 米白色Corona Virus印花短袖T恤，纯棉街头复古做旧风，火焰地球图腾男女同款潮牌上衣"},"finish_reason":"stop"}],"usage":{"prompt_tokens":1291,"completion_tokens":44,"total_tokens":1335,"prompt_tokens_details":{"cached_tokens":1024}}}</t>
        </is>
      </c>
      <c r="X71" t="inlineStr">
        <is>
          <t>Gallery Dept 米白色Corona Virus印花短袖T恤，纯棉街头复古做旧风，火焰地球图腾男女同款潮牌上衣</t>
        </is>
      </c>
    </row>
    <row r="72" ht="25.5" customHeight="1">
      <c r="A72">
        <v>1839115443</v>
      </c>
      <c r="B72">
        <v>7778564765</v>
      </c>
      <c r="C72" s="2" t="str">
        <f>=HYPERLINK("https://weidian.com/item.html?itemID=7778564765", "https://weidian.com/item.html?itemID=7778564765")</f>
        <v>https://weidian.com/item.html?itemID=7778564765</v>
      </c>
      <c r="D72"/>
      <c r="E72" s="2" t="str">
        <f>=HYPERLINK("https://si.geilicdn.com/open1839115443-252808396-32f10000019e87f09f650a8133b0_1000_1000.jpg?w=750&amp;h=750&amp;cp=1", "https://si.geilicdn.com/open1839115443-252808396-32f10000019e87f09f650a8133b0_1000_1000.jpg?w=750&amp;h=750&amp;cp=1")</f>
        <v>https://si.geilicdn.com/open1839115443-252808396-32f10000019e87f09f650a8133b0_1000_1000.jpg?w=750&amp;h=750&amp;cp=1</v>
      </c>
      <c r="F72" t="inlineStr">
        <is>
          <t>T-Shirts</t>
        </is>
      </c>
      <c r="G72" t="inlineStr">
        <is>
          <t>Gallery Dept</t>
        </is>
      </c>
      <c r="H72" t="inlineStr">
        <is>
          <t>78</t>
        </is>
      </c>
      <c r="I72">
        <v>11.3</v>
      </c>
      <c r="J72" t="inlineStr">
        <is>
          <t>{"id":"resp_00537084887b90b4016a224c079984819a8e12aeaca36f3370","object":"chat.completion","created":1780632585,"model":"gpt-5.5","choices":[{"index":0,"message":{"role":"assistant","content":"Gallery Dept Art That Kills Eye Graphic T-Shirt"},"finish_reason":"stop"}],"usage":{"prompt_tokens":1175,"completion_tokens":14,"total_tokens":1189}}</t>
        </is>
      </c>
      <c r="K72" t="inlineStr">
        <is>
          <t>Gallery Dept Art That Kills Eye Graphic T-Shirt</t>
        </is>
      </c>
      <c r="L72" t="inlineStr">
        <is>
          <t>{"id":"resp_0693771b984a19e5016a2249dc06588199a0526a5ad69ffceb","object":"chat.completion","created":1780632031,"model":"gpt-5.5","choices":[{"index":0,"message":{"role":"assistant","content":"Gallery Dept Gray Brown Art That Kills Eye Graphic Cotton T-Shirt, unisex streetwear vintage casual short sleeve tee"},"finish_reason":"stop"}],"usage":{"prompt_tokens":1190,"completion_tokens":78,"total_tokens":1268}}</t>
        </is>
      </c>
      <c r="M72" t="inlineStr">
        <is>
          <t>{"alt-svc":"h3=\":443\"; ma=2592000","connection":"close","content-length":"411","content-type":"application/json; charset=utf-8","date":"Fri, 05 Jun 2026 04:00:31 GMT","referrer-policy":"strict-origin-when-cross-origin","server":"nginx/1.24.0 (Ubuntu)","strict-transport-security":"max-age=31536000; includeSubDomains; preload","vary":"Accept-Encoding","via":"1.1 Caddy","x-content-type-options":"nosniff","x-frame-options":"DENY","x-new-api-version":"v1.0.0-rc.10","x-oneapi-request-id":"202606050400259015257368268d9d6z5RqVi5w","x-request-id":"3d0d7892ca64b29348958892b3e6a5bb"}</t>
        </is>
      </c>
      <c r="N72" t="inlineStr">
        <is>
          <t>Gallery Dept Gray Brown Art That Kills Eye Graphic Cotton T-Shirt, unisex streetwear vintage casual short sleeve tee</t>
        </is>
      </c>
      <c r="O72" t="inlineStr">
        <is>
          <t>{"id":"resp_035467ddb798a880016a2269db51f88198a868d5ed50572471","object":"chat.completion","created":1780640221,"model":"gpt-5.5","choices":[{"index":0,"message":{"role":"assistant","content":"Gallery Dept T-Shirt, Gallery Dept Art That Kills Tee, unisex streetwear cotton t-shirt, vintage graphic short sleeve tee, Gallery Dept eye graphic shirt, gray brown casual tee"},"finish_reason":"stop"}],"usage":{"prompt_tokens":1064,"completion_tokens":41,"total_tokens":1105}}</t>
        </is>
      </c>
      <c r="P72" t="inlineStr">
        <is>
          <t>Gallery Dept T-Shirt, Gallery Dept Art That Kills Tee, unisex streetwear cotton t-shirt, vintage graphic short sleeve tee, Gallery Dept eye graphic shirt, gray brown casual tee</t>
        </is>
      </c>
      <c r="Q72" t="inlineStr">
        <is>
          <t>Streetwear, Vintage, Unisex</t>
        </is>
      </c>
      <c r="R72" t="inlineStr">
        <is>
          <t>recvlts3M1a17r</t>
        </is>
      </c>
      <c r="S72" t="inlineStr">
        <is>
          <t>gallery-dept-art-kills-eye-graphic-recvlts3m1a17r</t>
        </is>
      </c>
      <c r="T72"/>
      <c r="U72"/>
      <c r="V72"/>
      <c r="W72" t="inlineStr">
        <is>
          <t>{"id":"resp_0c826ddac31c8155016a2248573734819bbed6b63005baf581","object":"chat.completion","created":1780631642,"model":"gpt-5.5","choices":[{"index":0,"message":{"role":"assistant","content":"Gallery Dept 灰棕色Art That Kills眼球图案纯棉短袖T恤，街头复古休闲男女同款潮牌上衣"},"finish_reason":"stop"}],"usage":{"prompt_tokens":1514,"completion_tokens":41,"total_tokens":1555,"prompt_tokens_details":{"cached_tokens":1024}}}</t>
        </is>
      </c>
      <c r="X72" t="inlineStr">
        <is>
          <t>Gallery Dept 灰棕色Art That Kills眼球图案纯棉短袖T恤，街头复古休闲男女同款潮牌上衣</t>
        </is>
      </c>
    </row>
    <row r="73" ht="25.5" customHeight="1">
      <c r="A73">
        <v>1839115443</v>
      </c>
      <c r="B73">
        <v>7778553053</v>
      </c>
      <c r="C73" s="2" t="str">
        <f>=HYPERLINK("https://weidian.com/item.html?itemID=7778553053", "https://weidian.com/item.html?itemID=7778553053")</f>
        <v>https://weidian.com/item.html?itemID=7778553053</v>
      </c>
      <c r="D73"/>
      <c r="E73" s="2" t="str">
        <f>=HYPERLINK("https://si.geilicdn.com/open1839115443-252808396-35330000019e87f4d2360a8133b0_750_750.jpg?w=640&amp;h=640", "https://si.geilicdn.com/open1839115443-252808396-35330000019e87f4d2360a8133b0_750_750.jpg?w=640&amp;h=640")</f>
        <v>https://si.geilicdn.com/open1839115443-252808396-35330000019e87f4d2360a8133b0_750_750.jpg?w=640&amp;h=640</v>
      </c>
      <c r="F73" t="inlineStr">
        <is>
          <t>T-Shirts</t>
        </is>
      </c>
      <c r="G73" t="inlineStr">
        <is>
          <t>Gallery Dept</t>
        </is>
      </c>
      <c r="H73" t="inlineStr">
        <is>
          <t>57</t>
        </is>
      </c>
      <c r="I73">
        <v>8.26</v>
      </c>
      <c r="J73" t="inlineStr">
        <is>
          <t>{"id":"resp_0ead7089177760ce016a224b69f80c819a815059f824a755c2","object":"chat.completion","created":1780632427,"model":"gpt-5.5","choices":[{"index":0,"message":{"role":"assistant","content":"Gallery Dept Beverly Blvd Palm Tree White T-Shirt"},"finish_reason":"stop"}],"usage":{"prompt_tokens":970,"completion_tokens":13,"total_tokens":983}}</t>
        </is>
      </c>
      <c r="K73" t="inlineStr">
        <is>
          <t>Gallery Dept Beverly Blvd Palm Tree White T-Shirt</t>
        </is>
      </c>
      <c r="L73" t="inlineStr">
        <is>
          <t>{"id":"resp_05b232c24a25d9a0016a224a37acbc8199aa8629acf9c30129","object":"chat.completion","created":1780632121,"model":"gpt-5.5","choices":[{"index":0,"message":{"role":"assistant","content":"Gallery Dept white cotton T-shirt with colorful dept de la galerie Beverly Blvd palm tree print, unisex streetwear casual short sleeve top"},"finish_reason":"stop"}],"usage":{"prompt_tokens":997,"completion_tokens":30,"total_tokens":1027}}</t>
        </is>
      </c>
      <c r="M73" t="inlineStr">
        <is>
          <t>{"alt-svc":"h3=\":443\"; ma=2592000","connection":"close","content-length":"432","content-type":"application/json; charset=utf-8","date":"Fri, 05 Jun 2026 04:02:01 GMT","referrer-policy":"strict-origin-when-cross-origin","server":"nginx/1.24.0 (Ubuntu)","strict-transport-security":"max-age=31536000; includeSubDomains; preload","vary":"Accept-Encoding","via":"1.1 Caddy","x-content-type-options":"nosniff","x-frame-options":"DENY","x-new-api-version":"v1.0.0-rc.10","x-oneapi-request-id":"202606050401593652977248268d9d6sP3IVsZm","x-request-id":"647ca2f97e6549bf2504e5c2d628ad2d"}</t>
        </is>
      </c>
      <c r="N73" t="inlineStr">
        <is>
          <t>Gallery Dept white cotton T-shirt with colorful dept de la galerie Beverly Blvd palm tree print, unisex streetwear casual short sleeve top</t>
        </is>
      </c>
      <c r="O73" t="inlineStr">
        <is>
          <t>{"id":"resp_02fcda1234942f03016a2269e62c4c8199a29dec81ef1b2353","object":"chat.completion","created":1780640232,"model":"gpt-5.5","choices":[{"index":0,"message":{"role":"assistant","content":"Gallery Dept T-Shirt, Gallery Dept white cotton T-shirt, Dept de la Galerie Beverly Blvd tee, unisex streetwear short sleeve top, Gallery Dept palm tree print shirt, casual cotton graphic tee"},"finish_reason":"stop"}],"usage":{"prompt_tokens":856,"completion_tokens":43,"total_tokens":899}}</t>
        </is>
      </c>
      <c r="P73" t="inlineStr">
        <is>
          <t>Gallery Dept T-Shirt, Gallery Dept white cotton T-shirt, Dept de la Galerie Beverly Blvd tee, unisex streetwear short sleeve top, Gallery Dept palm tree print shirt, casual cotton graphic tee</t>
        </is>
      </c>
      <c r="Q73" t="inlineStr">
        <is>
          <t>Streetwear, Unisex</t>
        </is>
      </c>
      <c r="R73" t="inlineStr">
        <is>
          <t>recvlts3M1aqc8</t>
        </is>
      </c>
      <c r="S73" t="inlineStr">
        <is>
          <t>gallery-dept-beverly-blvd-palm-tree-white-tshirt-recvlts3M1aqc8</t>
        </is>
      </c>
      <c r="T73"/>
      <c r="U73"/>
      <c r="V73"/>
      <c r="W73" t="inlineStr">
        <is>
          <t>{"id":"resp_0d00c2d8edb31a48016a2248cd4284819b9d3053bac99ba162","object":"chat.completion","created":1780631759,"model":"gpt-5.5","choices":[{"index":0,"message":{"role":"assistant","content":"Gallery Dept 白色短袖T恤，纯棉休闲面料，彩色dept de la galerie Beverly Blvd字母与棕榈树印花，男女同款街头潮牌上衣"},"finish_reason":"stop"}],"usage":{"prompt_tokens":1291,"completion_tokens":50,"total_tokens":1341}}</t>
        </is>
      </c>
      <c r="X73" t="inlineStr">
        <is>
          <t>Gallery Dept 白色短袖T恤，纯棉休闲面料，彩色dept de la galerie Beverly Blvd字母与棕榈树印花，男女同款街头潮牌上衣</t>
        </is>
      </c>
    </row>
    <row r="74" ht="25.5" customHeight="1">
      <c r="A74">
        <v>1839115443</v>
      </c>
      <c r="B74">
        <v>7778647697</v>
      </c>
      <c r="C74" s="2" t="str">
        <f>=HYPERLINK("https://weidian.com/item.html?itemID=7778647697", "https://weidian.com/item.html?itemID=7778647697")</f>
        <v>https://weidian.com/item.html?itemID=7778647697</v>
      </c>
      <c r="D74"/>
      <c r="E74" s="2" t="str">
        <f>=HYPERLINK("https://si.geilicdn.com/open1839115443-252808396-596c0000019e87f5159b0a23b4de_800_800.jpg?w=640&amp;h=640", "https://si.geilicdn.com/open1839115443-252808396-596c0000019e87f5159b0a23b4de_800_800.jpg?w=640&amp;h=640")</f>
        <v>https://si.geilicdn.com/open1839115443-252808396-596c0000019e87f5159b0a23b4de_800_800.jpg?w=640&amp;h=640</v>
      </c>
      <c r="F74" t="inlineStr">
        <is>
          <t>T-Shirts</t>
        </is>
      </c>
      <c r="G74" t="inlineStr">
        <is>
          <t>Gallery Dept</t>
        </is>
      </c>
      <c r="H74" t="inlineStr">
        <is>
          <t>72</t>
        </is>
      </c>
      <c r="I74">
        <v>10.43</v>
      </c>
      <c r="J74" t="inlineStr">
        <is>
          <t>{"id":"resp_056655d96f4dd444016a224b609e0c819889a818a23a6778ca","object":"chat.completion","created":1780632419,"model":"gpt-5.5","choices":[{"index":0,"message":{"role":"assistant","content":"Gallery Dept White Vintage Racing Cotton T-Shirt"},"finish_reason":"stop"}],"usage":{"prompt_tokens":968,"completion_tokens":86,"total_tokens":1054}}</t>
        </is>
      </c>
      <c r="K74" t="inlineStr">
        <is>
          <t>Gallery Dept White Vintage Racing Cotton T-Shirt</t>
        </is>
      </c>
      <c r="L74" t="inlineStr">
        <is>
          <t>{"id":"resp_004d9a7a06073e10016a2249b9f2e0819995e8e3d9e8d7128c","object":"chat.completion","created":1780631995,"model":"gpt-5.5","choices":[{"index":0,"message":{"role":"assistant","content":"Gallery Dept white vintage racing print cotton T-shirt, loose streetwear casual short sleeve, unisex trendy top for men and women"},"finish_reason":"stop"}],"usage":{"prompt_tokens":973,"completion_tokens":29,"total_tokens":1002}}</t>
        </is>
      </c>
      <c r="M74" t="inlineStr">
        <is>
          <t>{"alt-svc":"h3=\":443\"; ma=2592000","connection":"close","content-length":"423","content-type":"application/json; charset=utf-8","date":"Fri, 05 Jun 2026 03:59:55 GMT","referrer-policy":"strict-origin-when-cross-origin","server":"nginx/1.24.0 (Ubuntu)","strict-transport-security":"max-age=31536000; includeSubDomains; preload","vary":"Accept-Encoding","via":"1.1 Caddy","x-content-type-options":"nosniff","x-frame-options":"DENY","x-new-api-version":"v1.0.0-rc.10","x-oneapi-request-id":"202606050359536826447348268d9d6OcFPh8YS","x-request-id":"dc4d4338c0e08f33065a99a771c6b89d"}</t>
        </is>
      </c>
      <c r="N74" t="inlineStr">
        <is>
          <t>Gallery Dept white vintage racing print cotton T-shirt, loose streetwear casual short sleeve, unisex trendy top for men and women</t>
        </is>
      </c>
      <c r="O74" t="inlineStr">
        <is>
          <t>{"id":"resp_0c5a1905e47f3234016a2269d46210819aae885bca48059729","object":"chat.completion","created":1780640214,"model":"gpt-5.5","choices":[{"index":0,"message":{"role":"assistant","content":"Gallery Dept T-Shirt, Gallery Dept vintage racing T-shirt, Gallery Dept cotton short sleeve, loose streetwear T-shirt, unisex casual graphic tee, Gallery Dept men women top"},"finish_reason":"stop"}],"usage":{"prompt_tokens":855,"completion_tokens":39,"total_tokens":894}}</t>
        </is>
      </c>
      <c r="P74" t="inlineStr">
        <is>
          <t>Gallery Dept T-Shirt, Gallery Dept vintage racing T-shirt, Gallery Dept cotton short sleeve, loose streetwear T-shirt, unisex casual graphic tee, Gallery Dept men women top</t>
        </is>
      </c>
      <c r="Q74" t="inlineStr">
        <is>
          <t>White, Vintage, Streetwear, Unisex</t>
        </is>
      </c>
      <c r="R74" t="inlineStr">
        <is>
          <t>recvlts3M1fgvC</t>
        </is>
      </c>
      <c r="S74" t="inlineStr">
        <is>
          <t>gallery-dept-white-vintage-racing-cotton-t-shirt-recvlts3m1fgvc</t>
        </is>
      </c>
      <c r="T74"/>
      <c r="U74"/>
      <c r="V74"/>
      <c r="W74" t="inlineStr">
        <is>
          <t>{"id":"resp_0db3bf760e92adc1016a2248b88734819a923bd8c79408d6b9","object":"chat.completion","created":1780631738,"model":"gpt-5.5","choices":[{"index":0,"message":{"role":"assistant","content":"Gallery Dept 白色复古赛车印花纯棉短袖T恤，街头休闲宽松版型，男女同款潮流上衣"},"finish_reason":"stop"}],"usage":{"prompt_tokens":1293,"completion_tokens":38,"total_tokens":1331}}</t>
        </is>
      </c>
      <c r="X74" t="inlineStr">
        <is>
          <t>Gallery Dept 白色复古赛车印花纯棉短袖T恤，街头休闲宽松版型，男女同款潮流上衣</t>
        </is>
      </c>
    </row>
    <row r="75" ht="25.5" customHeight="1">
      <c r="A75">
        <v>1839115443</v>
      </c>
      <c r="B75">
        <v>7781582468</v>
      </c>
      <c r="C75" s="2" t="str">
        <f>=HYPERLINK("https://weidian.com/item.html?itemID=7781582468", "https://weidian.com/item.html?itemID=7781582468")</f>
        <v>https://weidian.com/item.html?itemID=7781582468</v>
      </c>
      <c r="D75"/>
      <c r="E75" s="2" t="str">
        <f>=HYPERLINK("https://si.geilicdn.com/open1839115443-252808396-57890000019e87f351360a23b491_1000_1000.jpg?w=640&amp;h=640", "https://si.geilicdn.com/open1839115443-252808396-57890000019e87f351360a23b491_1000_1000.jpg?w=640&amp;h=640")</f>
        <v>https://si.geilicdn.com/open1839115443-252808396-57890000019e87f351360a23b491_1000_1000.jpg?w=640&amp;h=640</v>
      </c>
      <c r="F75" t="inlineStr">
        <is>
          <t>Hoodies</t>
        </is>
      </c>
      <c r="G75" t="inlineStr">
        <is>
          <t>Gallery Dept</t>
        </is>
      </c>
      <c r="H75" t="inlineStr">
        <is>
          <t>147</t>
        </is>
      </c>
      <c r="I75">
        <v>21.3</v>
      </c>
      <c r="J75" t="inlineStr">
        <is>
          <t>{"id":"resp_071acc4b9faa8bcc016a224c0af58c819bb6dca507245f0b93","object":"chat.completion","created":1780632588,"model":"gpt-5.5","choices":[{"index":0,"message":{"role":"assistant","content":"Gallery Dept DÉPT de la GALERIE Fleece Hoodie"},"finish_reason":"stop"}],"usage":{"prompt_tokens":979,"completion_tokens":17,"total_tokens":996}}</t>
        </is>
      </c>
      <c r="K75" t="inlineStr">
        <is>
          <t>Gallery Dept DÉPT de la GALERIE Fleece Hoodie</t>
        </is>
      </c>
      <c r="L75" t="inlineStr">
        <is>
          <t>{"id":"resp_0bac457598e4758e016a224a5c127c819ab653f4eccc8eb262","object":"chat.completion","created":1780632157,"model":"gpt-5.5","choices":[{"index":0,"message":{"role":"assistant","content":"Gallery Dept off-white DÉPT de la GALERIE hoodie, cotton fleece pullover with back letter print, vintage streetwear unisex fashion sweatshirt"},"finish_reason":"stop"}],"usage":{"prompt_tokens":998,"completion_tokens":34,"total_tokens":1032}}</t>
        </is>
      </c>
      <c r="M75" t="inlineStr">
        <is>
          <t>{"alt-svc":"h3=\":443\"; ma=2592000","connection":"close","content-length":"436","content-type":"application/json; charset=utf-8","date":"Fri, 05 Jun 2026 04:02:37 GMT","referrer-policy":"strict-origin-when-cross-origin","server":"nginx/1.24.0 (Ubuntu)","strict-transport-security":"max-age=31536000; includeSubDomains; preload","vary":"Accept-Encoding","via":"1.1 Caddy","x-content-type-options":"nosniff","x-frame-options":"DENY","x-new-api-version":"v1.0.0-rc.10","x-oneapi-request-id":"202606050402358272230198268d9d6aSriHIVR","x-request-id":"6ccaf63750caf916b01e2fa74409879b"}</t>
        </is>
      </c>
      <c r="N75" t="inlineStr">
        <is>
          <t>Gallery Dept off-white DÉPT de la GALERIE hoodie, cotton fleece pullover with back letter print, vintage streetwear unisex fashion sweatshirt</t>
        </is>
      </c>
      <c r="O75" t="inlineStr">
        <is>
          <t>{"id":"resp_001e1f76e17dc6e9016a226a0aac70819b8695b606a1de6a1c","object":"chat.completion","created":1780640268,"model":"gpt-5.5","choices":[{"index":0,"message":{"role":"assistant","content":"Gallery Dept hoodie, DÉPT de la GALERIE hoodie, Gallery Dept cotton fleece pullover, Gallery Dept back letter print sweatshirt, Gallery Dept unisex streetwear hoodie, Gallery Dept vintage fashion hoodie"},"finish_reason":"stop"}],"usage":{"prompt_tokens":861,"completion_tokens":45,"total_tokens":906}}</t>
        </is>
      </c>
      <c r="P75" t="inlineStr">
        <is>
          <t>Gallery Dept hoodie, DÉPT de la GALERIE hoodie, Gallery Dept cotton fleece pullover, Gallery Dept back letter print sweatshirt, Gallery Dept unisex streetwear hoodie, Gallery Dept vintage fashion hoodie</t>
        </is>
      </c>
      <c r="Q75" t="inlineStr">
        <is>
          <t>Off-White, Vintage, Streetwear, Unisex, Fleece-Lined</t>
        </is>
      </c>
      <c r="R75" t="inlineStr">
        <is>
          <t>recvlts3M1wnGU</t>
        </is>
      </c>
      <c r="S75" t="inlineStr">
        <is>
          <t>gallery-dept-fleece-hoodie-recvlts3m1wngu</t>
        </is>
      </c>
      <c r="T75"/>
      <c r="U75"/>
      <c r="V75"/>
      <c r="W75" t="inlineStr">
        <is>
          <t>{"id":"resp_0061578b473dbf8c016a2247eace18819a8bb9d07e7b5990ec","object":"chat.completion","created":1780631533,"model":"gpt-5.5","choices":[{"index":0,"message":{"role":"assistant","content":"Gallery Dept 米白色DÉPT de la GALERIE连帽卫衣，棉质抓绒面料，背部字母印花，复古街头男女同款潮牌帽衫"},"finish_reason":"stop"}],"usage":{"prompt_tokens":1290,"completion_tokens":50,"total_tokens":1340,"prompt_tokens_details":{"cached_tokens":1024}}}</t>
        </is>
      </c>
      <c r="X75" t="inlineStr">
        <is>
          <t>Gallery Dept 米白色DÉPT de la GALERIE连帽卫衣，棉质抓绒面料，背部字母印花，复古街头男女同款潮牌帽衫</t>
        </is>
      </c>
    </row>
    <row r="76" ht="25.5" customHeight="1">
      <c r="A76">
        <v>1839115443</v>
      </c>
      <c r="B76">
        <v>7778639699</v>
      </c>
      <c r="C76" s="2" t="str">
        <f>=HYPERLINK("https://weidian.com/item.html?itemID=7778639699", "https://weidian.com/item.html?itemID=7778639699")</f>
        <v>https://weidian.com/item.html?itemID=7778639699</v>
      </c>
      <c r="D76"/>
      <c r="E76" s="2" t="str">
        <f>=HYPERLINK("https://si.geilicdn.com/open1839115443-252808396-589c0000019e87f398d00a23b4de_800_800.jpg?w=640&amp;h=640", "https://si.geilicdn.com/open1839115443-252808396-589c0000019e87f398d00a23b4de_800_800.jpg?w=640&amp;h=640")</f>
        <v>https://si.geilicdn.com/open1839115443-252808396-589c0000019e87f398d00a23b4de_800_800.jpg?w=640&amp;h=640</v>
      </c>
      <c r="F76" t="inlineStr">
        <is>
          <t>Hoodies</t>
        </is>
      </c>
      <c r="G76" t="inlineStr">
        <is>
          <t>Gallery Dept</t>
        </is>
      </c>
      <c r="H76" t="inlineStr">
        <is>
          <t>134</t>
        </is>
      </c>
      <c r="I76">
        <v>19.42</v>
      </c>
      <c r="J76" t="inlineStr">
        <is>
          <t>{"id":"resp_02322696bb14a107016a224be81ac0819bbc0f34e98a8001ea","object":"chat.completion","created":1780632555,"model":"gpt-5.5","choices":[{"index":0,"message":{"role":"assistant","content":"Gallery Dept Gray Logo Print Cotton Fleece Pullover Hoodie"},"finish_reason":"stop"}],"usage":{"prompt_tokens":966,"completion_tokens":122,"total_tokens":1088}}</t>
        </is>
      </c>
      <c r="K76" t="inlineStr">
        <is>
          <t>Gallery Dept Gray Logo Print Cotton Fleece Pullover Hoodie</t>
        </is>
      </c>
      <c r="L76" t="inlineStr">
        <is>
          <t>{"id":"resp_090f4748552a3b62016a224aefaa888198a8871a9cfa6b3583","object":"chat.completion","created":1780632305,"model":"gpt-5.5","choices":[{"index":0,"message":{"role":"assistant","content":"Gallery Dept gray logo print hoodie, cotton fleece pullover with kangaroo pocket, unisex streetwear vintage style sweatshirt."},"finish_reason":"stop"}],"usage":{"prompt_tokens":982,"completion_tokens":28,"total_tokens":1010}}</t>
        </is>
      </c>
      <c r="M76" t="inlineStr">
        <is>
          <t>{"alt-svc":"h3=\":443\"; ma=2592000","connection":"close","content-length":"419","content-type":"application/json; charset=utf-8","date":"Fri, 05 Jun 2026 04:05:05 GMT","referrer-policy":"strict-origin-when-cross-origin","server":"nginx/1.24.0 (Ubuntu)","strict-transport-security":"max-age=31536000; includeSubDomains; preload","vary":"Accept-Encoding","via":"1.1 Caddy","x-content-type-options":"nosniff","x-frame-options":"DENY","x-new-api-version":"v1.0.0-rc.10","x-oneapi-request-id":"202606050405034337072058268d9d6oJTTN938","x-request-id":"97d80c1c604419952cd63de15ae16394"}</t>
        </is>
      </c>
      <c r="N76" t="inlineStr">
        <is>
          <t>Gallery Dept gray logo print hoodie, cotton fleece pullover with kangaroo pocket, unisex streetwear vintage style sweatshirt.</t>
        </is>
      </c>
      <c r="O76" t="inlineStr">
        <is>
          <t>{"id":"resp_014b897924c1bb5d016a2269d89260819aba92c49822ea755c","object":"chat.completion","created":1780640220,"model":"gpt-5.5","choices":[{"index":0,"message":{"role":"assistant","content":"Gallery Dept gray logo print hoodie, Gallery Dept cotton fleece pullover hoodie, Gallery Dept kangaroo pocket sweatshirt, Gallery Dept unisex streetwear hoodie, Gallery Dept vintage style hoodie, Gallery Dept logo print fleece sweatshirt"},"finish_reason":"stop"}],"usage":{"prompt_tokens":855,"completion_tokens":46,"total_tokens":901}}</t>
        </is>
      </c>
      <c r="P76" t="inlineStr">
        <is>
          <t>Gallery Dept gray logo print hoodie, Gallery Dept cotton fleece pullover hoodie, Gallery Dept kangaroo pocket sweatshirt, Gallery Dept unisex streetwear hoodie, Gallery Dept vintage style hoodie, Gallery Dept logo print fleece sweatshirt</t>
        </is>
      </c>
      <c r="Q76" t="inlineStr">
        <is>
          <t>Gray, Unisex, Streetwear, Vintage</t>
        </is>
      </c>
      <c r="R76" t="inlineStr">
        <is>
          <t>recvlts3M1rU3o</t>
        </is>
      </c>
      <c r="S76" t="inlineStr">
        <is>
          <t>gallery-dept-gray-logo-hoodie-recvlts3m1ru3o</t>
        </is>
      </c>
      <c r="T76"/>
      <c r="U76"/>
      <c r="V76"/>
      <c r="W76" t="inlineStr">
        <is>
          <t>{"id":"resp_04514148083c3b11016a2248b3eec48199a0aeeff22a5e7d1f","object":"chat.completion","created":1780631733,"model":"gpt-5.5","choices":[{"index":0,"message":{"role":"assistant","content":"Gallery Dept 灰色LOGO印花连帽卫衣，棉质抓绒袋鼠兜设计，街头复古男女同款潮牌帽衫"},"finish_reason":"stop"}],"usage":{"prompt_tokens":1292,"completion_tokens":42,"total_tokens":1334}}</t>
        </is>
      </c>
      <c r="X76" t="inlineStr">
        <is>
          <t>Gallery Dept 灰色LOGO印花连帽卫衣，棉质抓绒袋鼠兜设计，街头复古男女同款潮牌帽衫</t>
        </is>
      </c>
    </row>
    <row r="77" ht="25.5" customHeight="1">
      <c r="A77">
        <v>1839115443</v>
      </c>
      <c r="B77">
        <v>7781588330</v>
      </c>
      <c r="C77" s="2" t="str">
        <f>=HYPERLINK("https://weidian.com/item.html?itemID=7781588330", "https://weidian.com/item.html?itemID=7781588330")</f>
        <v>https://weidian.com/item.html?itemID=7781588330</v>
      </c>
      <c r="D77"/>
      <c r="E77" s="2" t="str">
        <f>=HYPERLINK("https://si.geilicdn.com/open1839115443-252808396-349d0000019e87f3c5fa0a8133b0_800_800.jpg?w=640&amp;h=640", "https://si.geilicdn.com/open1839115443-252808396-349d0000019e87f3c5fa0a8133b0_800_800.jpg?w=640&amp;h=640")</f>
        <v>https://si.geilicdn.com/open1839115443-252808396-349d0000019e87f3c5fa0a8133b0_800_800.jpg?w=640&amp;h=640</v>
      </c>
      <c r="F77" t="inlineStr">
        <is>
          <t>Hoodies</t>
        </is>
      </c>
      <c r="G77" t="inlineStr">
        <is>
          <t>Gallery Dept</t>
        </is>
      </c>
      <c r="H77" t="inlineStr">
        <is>
          <t>134</t>
        </is>
      </c>
      <c r="I77">
        <v>19.42</v>
      </c>
      <c r="J77" t="inlineStr">
        <is>
          <t>{"id":"resp_0d421854cfbc9247016a224c48b148819b9af28ec1b005efb6","object":"chat.completion","created":1780632651,"model":"gpt-5.5","choices":[{"index":0,"message":{"role":"assistant","content":"Gallery Dept White Cotton Logo Hoodie Unisex Pullover"},"finish_reason":"stop"}],"usage":{"prompt_tokens":973,"completion_tokens":110,"total_tokens":1083}}</t>
        </is>
      </c>
      <c r="K77" t="inlineStr">
        <is>
          <t>Gallery Dept White Cotton Logo Hoodie Unisex Pullover</t>
        </is>
      </c>
      <c r="L77" t="inlineStr">
        <is>
          <t>{"id":"resp_0230ed8978c2acc3016a224a8aee388198b563591ea872fa19","object":"chat.completion","created":1780632207,"model":"gpt-5.5","choices":[{"index":0,"message":{"role":"assistant","content":"Gallery Dept white cotton hoodie with drawstring hood, kangaroo pocket, small chest logo print, unisex streetwear casual pullover sweatshirt"},"finish_reason":"stop"}],"usage":{"prompt_tokens":990,"completion_tokens":96,"total_tokens":1086}}</t>
        </is>
      </c>
      <c r="M77" t="inlineStr">
        <is>
          <t>{"alt-svc":"h3=\":443\"; ma=2592000","connection":"close","content-length":"434","content-type":"application/json; charset=utf-8","date":"Fri, 05 Jun 2026 04:03:27 GMT","referrer-policy":"strict-origin-when-cross-origin","server":"nginx/1.24.0 (Ubuntu)","strict-transport-security":"max-age=31536000; includeSubDomains; preload","vary":"Accept-Encoding","via":"1.1 Caddy","x-content-type-options":"nosniff","x-frame-options":"DENY","x-new-api-version":"v1.0.0-rc.10","x-oneapi-request-id":"202606050403223934052488268d9d6WGwi0zcg","x-request-id":"9a8a40113e7142a36988ce9f648afea2"}</t>
        </is>
      </c>
      <c r="N77" t="inlineStr">
        <is>
          <t>Gallery Dept white cotton hoodie with drawstring hood, kangaroo pocket, small chest logo print, unisex streetwear casual pullover sweatshirt</t>
        </is>
      </c>
      <c r="O77" t="inlineStr">
        <is>
          <t>{"id":"resp_001adaa65abff4dd016a22692bcbb481999977766d2b3a62fd","object":"chat.completion","created":1780640047,"model":"gpt-5.5","choices":[{"index":0,"message":{"role":"assistant","content":"Gallery Dept hoodie, Gallery Dept white cotton hoodie, unisex streetwear pullover hoodie, drawstring hood kangaroo pocket sweatshirt, Gallery Dept logo print hoodie, casual cotton hooded sweatshirt"},"finish_reason":"stop"}],"usage":{"prompt_tokens":858,"completion_tokens":41,"total_tokens":899}}</t>
        </is>
      </c>
      <c r="P77" t="inlineStr">
        <is>
          <t>Gallery Dept hoodie, Gallery Dept white cotton hoodie, unisex streetwear pullover hoodie, drawstring hood kangaroo pocket sweatshirt, Gallery Dept logo print hoodie, casual cotton hooded sweatshirt</t>
        </is>
      </c>
      <c r="Q77" t="inlineStr">
        <is>
          <t>White, Streetwear, Unisex</t>
        </is>
      </c>
      <c r="R77" t="inlineStr">
        <is>
          <t>recvlts3M1tP5I</t>
        </is>
      </c>
      <c r="S77" t="inlineStr">
        <is>
          <t>gallery-dept-white-cotton-logo-hoodie-recvlts3m1tp5i</t>
        </is>
      </c>
      <c r="T77"/>
      <c r="U77"/>
      <c r="V77"/>
      <c r="W77" t="inlineStr">
        <is>
          <t>{"id":"resp_054e4d7be3d68f6d016a2248c1d2148198b3832ab122179fbd","object":"chat.completion","created":1780631749,"model":"gpt-5.5","choices":[{"index":0,"message":{"role":"assistant","content":"Gallery Dept 白色连帽卫衣，棉质面料袋鼠兜抽绳设计，胸前小Logo印花，男女同款街头休闲潮牌帽衫"},"finish_reason":"stop"}],"usage":{"prompt_tokens":1296,"completion_tokens":46,"total_tokens":1342}}</t>
        </is>
      </c>
      <c r="X77" t="inlineStr">
        <is>
          <t>Gallery Dept 白色连帽卫衣，棉质面料袋鼠兜抽绳设计，胸前小Logo印花，男女同款街头休闲潮牌帽衫</t>
        </is>
      </c>
    </row>
    <row r="78" ht="25.5" customHeight="1">
      <c r="A78">
        <v>1839115443</v>
      </c>
      <c r="B78">
        <v>7778531583</v>
      </c>
      <c r="C78" s="2" t="str">
        <f>=HYPERLINK("https://weidian.com/item.html?itemID=7778531583", "https://weidian.com/item.html?itemID=7778531583")</f>
        <v>https://weidian.com/item.html?itemID=7778531583</v>
      </c>
      <c r="D78"/>
      <c r="E78" s="2" t="str">
        <f>=HYPERLINK("https://si.geilicdn.com/open1839115443-252808396-59040000019e87f45add0a23b4de_1000_1000.jpg?w=750&amp;h=750&amp;cp=1", "https://si.geilicdn.com/open1839115443-252808396-59040000019e87f45add0a23b4de_1000_1000.jpg?w=750&amp;h=750&amp;cp=1")</f>
        <v>https://si.geilicdn.com/open1839115443-252808396-59040000019e87f45add0a23b4de_1000_1000.jpg?w=750&amp;h=750&amp;cp=1</v>
      </c>
      <c r="F78" t="inlineStr">
        <is>
          <t>T-Shirts</t>
        </is>
      </c>
      <c r="G78" t="inlineStr">
        <is>
          <t>Rhude</t>
        </is>
      </c>
      <c r="H78" t="inlineStr">
        <is>
          <t>69</t>
        </is>
      </c>
      <c r="I78">
        <v>10</v>
      </c>
      <c r="J78" t="inlineStr">
        <is>
          <t>{"id":"resp_0942f5bc8a84ce3f016a224c12e4288198b55243210c4003c4","object":"chat.completion","created":1780632596,"model":"gpt-5.5","choices":[{"index":0,"message":{"role":"assistant","content":"Rhude Off-White Ticket Graphic Cotton T-Shirt Unisex Streetwear"},"finish_reason":"stop"}],"usage":{"prompt_tokens":1179,"completion_tokens":18,"total_tokens":1197}}</t>
        </is>
      </c>
      <c r="K78" t="inlineStr">
        <is>
          <t>Rhude Off-White Ticket Graphic Cotton T-Shirt Unisex Streetwear</t>
        </is>
      </c>
      <c r="L78" t="inlineStr">
        <is>
          <t>{"id":"resp_0e7d52cbc3e5ae67016a224a0efebc819b98bcd0516a5362d4","object":"chat.completion","created":1780632082,"model":"gpt-5.5","choices":[{"index":0,"message":{"role":"assistant","content":"Rhude off-white cotton short sleeve T-shirt with vintage ticket graphic and orange logo print, unisex breathable streetwear casual top"},"finish_reason":"stop"}],"usage":{"prompt_tokens":1208,"completion_tokens":107,"total_tokens":1315}}</t>
        </is>
      </c>
      <c r="M78" t="inlineStr">
        <is>
          <t>{"alt-svc":"h3=\":443\"; ma=2592000","connection":"close","content-length":"430","content-type":"application/json; charset=utf-8","date":"Fri, 05 Jun 2026 04:01:22 GMT","referrer-policy":"strict-origin-when-cross-origin","server":"nginx/1.24.0 (Ubuntu)","strict-transport-security":"max-age=31536000; includeSubDomains; preload","vary":"Accept-Encoding","via":"1.1 Caddy","x-content-type-options":"nosniff","x-frame-options":"DENY","x-new-api-version":"v1.0.0-rc.10","x-oneapi-request-id":"202606050401186898499738268d9d68bNzJojw","x-request-id":"0c7cbafc60774a35efe2d72d84f6d8c9"}</t>
        </is>
      </c>
      <c r="N78" t="inlineStr">
        <is>
          <t>Rhude off-white cotton short sleeve T-shirt with vintage ticket graphic and orange logo print, unisex breathable streetwear casual top</t>
        </is>
      </c>
      <c r="O78" t="inlineStr">
        <is>
          <t>{"id":"resp_04f04004b9dcc091016a2269555b188198a680d14073620ef3","object":"chat.completion","created":1780640087,"model":"gpt-5.5","choices":[{"index":0,"message":{"role":"assistant","content":"Rhude off-white cotton T-shirt, Rhude vintage ticket graphic tee, Rhude orange logo print shirt, unisex breathable streetwear top, short sleeve casual cotton T-shirt, Rhude designer graphic T-shirt"},"finish_reason":"stop"}],"usage":{"prompt_tokens":1066,"completion_tokens":46,"total_tokens":1112}}</t>
        </is>
      </c>
      <c r="P78" t="inlineStr">
        <is>
          <t>Rhude off-white cotton T-shirt, Rhude vintage ticket graphic tee, Rhude orange logo print shirt, unisex breathable streetwear top, short sleeve casual cotton T-shirt, Rhude designer graphic T-shirt</t>
        </is>
      </c>
      <c r="Q78" t="inlineStr">
        <is>
          <t>Streetwear, Unisex, Breathable, Orange, Vintage</t>
        </is>
      </c>
      <c r="R78" t="inlineStr">
        <is>
          <t>recvlts3M1TDOt</t>
        </is>
      </c>
      <c r="S78" t="inlineStr">
        <is>
          <t>rhude-off-white-ticket-graphic-cotton-tshirt-recvlts3m1tdot</t>
        </is>
      </c>
      <c r="T78"/>
      <c r="U78"/>
      <c r="V78"/>
      <c r="W78" t="inlineStr">
        <is>
          <t>{"id":"resp_099e9c4c3bd74bbd016a2248205c5c8199aa04f8163403a225","object":"chat.completion","created":1780631587,"model":"gpt-5.5","choices":[{"index":0,"message":{"role":"assistant","content":"Rhude 米白色短袖T恤，棉质透气面料，胸前复古票据图腾与橙色Logo印花，男女同款街头潮流休闲上衣"},"finish_reason":"stop"}],"usage":{"prompt_tokens":1512,"completion_tokens":50,"total_tokens":1562,"prompt_tokens_details":{"cached_tokens":1024}}}</t>
        </is>
      </c>
      <c r="X78" t="inlineStr">
        <is>
          <t>Rhude 米白色短袖T恤，棉质透气面料，胸前复古票据图腾与橙色Logo印花，男女同款街头潮流休闲上衣</t>
        </is>
      </c>
    </row>
    <row r="79" ht="25.5" customHeight="1">
      <c r="A79">
        <v>1839115443</v>
      </c>
      <c r="B79">
        <v>7778576787</v>
      </c>
      <c r="C79" s="2" t="str">
        <f>=HYPERLINK("https://weidian.com/item.html?itemID=7778576787", "https://weidian.com/item.html?itemID=7778576787")</f>
        <v>https://weidian.com/item.html?itemID=7778576787</v>
      </c>
      <c r="D79"/>
      <c r="E79" s="2" t="str">
        <f>=HYPERLINK("https://si.geilicdn.com/open1839115443-252808396-58410000019e87f4b5bb0a23b491_1000_1000.jpg?w=640&amp;h=640", "https://si.geilicdn.com/open1839115443-252808396-58410000019e87f4b5bb0a23b491_1000_1000.jpg?w=640&amp;h=640")</f>
        <v>https://si.geilicdn.com/open1839115443-252808396-58410000019e87f4b5bb0a23b491_1000_1000.jpg?w=640&amp;h=640</v>
      </c>
      <c r="F79" t="inlineStr">
        <is>
          <t>T-Shirts</t>
        </is>
      </c>
      <c r="G79" t="inlineStr">
        <is>
          <t>Rhude</t>
        </is>
      </c>
      <c r="H79" t="inlineStr">
        <is>
          <t>64.5</t>
        </is>
      </c>
      <c r="I79">
        <v>9.35</v>
      </c>
      <c r="J79" t="inlineStr">
        <is>
          <t>{"id":"resp_06e5d1d42fc36054016a224bc06c3c81999cc3a1cf74ed083c","object":"chat.completion","created":1780632513,"model":"gpt-5.5","choices":[{"index":0,"message":{"role":"assistant","content":"Rhude Crown Palm Totem Cotton T-Shirt Unisex Streetwear"},"finish_reason":"stop"}],"usage":{"prompt_tokens":962,"completion_tokens":17,"total_tokens":979}}</t>
        </is>
      </c>
      <c r="K79" t="inlineStr">
        <is>
          <t>Rhude Crown Palm Totem Cotton T-Shirt Unisex Streetwear</t>
        </is>
      </c>
      <c r="L79" t="inlineStr">
        <is>
          <t>{"id":"resp_00d4d1e0a759ba92016a2249d50bc48199a10a92af8b468212","object":"chat.completion","created":1780632022,"model":"gpt-5.5","choices":[{"index":0,"message":{"role":"assistant","content":"Rhude black cotton short sleeve T-shirt with crown palm totem print, unisex casual streetwear summer top"},"finish_reason":"stop"}],"usage":{"prompt_tokens":975,"completion_tokens":26,"total_tokens":1001}}</t>
        </is>
      </c>
      <c r="M79" t="inlineStr">
        <is>
          <t>{"alt-svc":"h3=\":443\"; ma=2592000","connection":"close","content-length":"398","content-type":"application/json; charset=utf-8","date":"Fri, 05 Jun 2026 04:00:22 GMT","referrer-policy":"strict-origin-when-cross-origin","server":"nginx/1.24.0 (Ubuntu)","strict-transport-security":"max-age=31536000; includeSubDomains; preload","vary":"Accept-Encoding","via":"1.1 Caddy","x-content-type-options":"nosniff","x-frame-options":"DENY","x-new-api-version":"v1.0.0-rc.10","x-oneapi-request-id":"202606050400207434243758268d9d6dqm0D6Zd","x-request-id":"cfd2a2248eb53ae7d826293a6deb5042"}</t>
        </is>
      </c>
      <c r="N79" t="inlineStr">
        <is>
          <t>Rhude black cotton short sleeve T-shirt with crown palm totem print, unisex casual streetwear summer top</t>
        </is>
      </c>
      <c r="O79" t="inlineStr">
        <is>
          <t>{"id":"resp_0ad4b35e5574cc15016a226938f7188198880410fb2da70035","object":"chat.completion","created":1780640059,"model":"gpt-5.5","choices":[{"index":0,"message":{"role":"assistant","content":"Rhude T-Shirts, Rhude crown palm T-shirt, Rhude black cotton tee, unisex streetwear T-shirt, short sleeve summer top, Rhude casual cotton T-shirt"},"finish_reason":"stop"}],"usage":{"prompt_tokens":852,"completion_tokens":40,"total_tokens":892}}</t>
        </is>
      </c>
      <c r="P79" t="inlineStr">
        <is>
          <t>Rhude T-Shirts, Rhude crown palm T-shirt, Rhude black cotton tee, unisex streetwear T-shirt, short sleeve summer top, Rhude casual cotton T-shirt</t>
        </is>
      </c>
      <c r="Q79" t="inlineStr">
        <is>
          <t>Black, Streetwear, Summer, Unisex</t>
        </is>
      </c>
      <c r="R79" t="inlineStr">
        <is>
          <t>recvlts3M1QpO4</t>
        </is>
      </c>
      <c r="S79" t="inlineStr">
        <is>
          <t>rhude-crown-palm-totem-cotton-tshirt-recvlts3m1qp04</t>
        </is>
      </c>
      <c r="T79"/>
      <c r="U79"/>
      <c r="V79"/>
      <c r="W79" t="inlineStr">
        <is>
          <t>{"id":"resp_0340bf9041d443dd016a2248496db88199901bb7a915c6c84a","object":"chat.completion","created":1780631628,"model":"gpt-5.5","choices":[{"index":0,"message":{"role":"assistant","content":"Rhude 黑色棉质短袖T恤，皇冠棕榈图腾印花，休闲街头风男女同款夏季上衣"},"finish_reason":"stop"}],"usage":{"prompt_tokens":1295,"completion_tokens":39,"total_tokens":1334,"prompt_tokens_details":{"cached_tokens":1024}}}</t>
        </is>
      </c>
      <c r="X79" t="inlineStr">
        <is>
          <t>Rhude 黑色棉质短袖T恤，皇冠棕榈图腾印花，休闲街头风男女同款夏季上衣</t>
        </is>
      </c>
    </row>
    <row r="80" ht="25.5" customHeight="1">
      <c r="A80">
        <v>1839115443</v>
      </c>
      <c r="B80">
        <v>7778493519</v>
      </c>
      <c r="C80" s="2" t="str">
        <f>=HYPERLINK("https://weidian.com/item.html?itemID=7778493519", "https://weidian.com/item.html?itemID=7778493519")</f>
        <v>https://weidian.com/item.html?itemID=7778493519</v>
      </c>
      <c r="D80"/>
      <c r="E80" s="2" t="str">
        <f>=HYPERLINK("https://si.geilicdn.com/open1839115443-252808396-4eb90000019e87f4c3ff0a231226_750_750.jpg?w=640&amp;h=640", "https://si.geilicdn.com/open1839115443-252808396-4eb90000019e87f4c3ff0a231226_750_750.jpg?w=640&amp;h=640")</f>
        <v>https://si.geilicdn.com/open1839115443-252808396-4eb90000019e87f4c3ff0a231226_750_750.jpg?w=640&amp;h=640</v>
      </c>
      <c r="F80" t="inlineStr">
        <is>
          <t>T-Shirts</t>
        </is>
      </c>
      <c r="G80" t="inlineStr">
        <is>
          <t>Gallery Dept</t>
        </is>
      </c>
      <c r="H80" t="inlineStr">
        <is>
          <t>57</t>
        </is>
      </c>
      <c r="I80">
        <v>8.26</v>
      </c>
      <c r="J80" t="inlineStr">
        <is>
          <t>{"id":"resp_089116c9c8406222016a224c3b71f8819a956a62242530460f","object":"chat.completion","created":1780632640,"model":"gpt-5.5","choices":[{"index":0,"message":{"role":"assistant","content":"Gallery Dept White Corona Virus World Tour T-Shirt"},"finish_reason":"stop"}],"usage":{"prompt_tokens":966,"completion_tokens":106,"total_tokens":1072}}</t>
        </is>
      </c>
      <c r="K80" t="inlineStr">
        <is>
          <t>Gallery Dept White Corona Virus World Tour T-Shirt</t>
        </is>
      </c>
      <c r="L80" t="inlineStr">
        <is>
          <t>{"id":"resp_0e383ca4bd9909d1016a2249d8926c819a83e75ea409d391ad","object":"chat.completion","created":1780632026,"model":"gpt-5.5","choices":[{"index":0,"message":{"role":"assistant","content":"Gallery Dept White Corona Virus World Tour Graphic T-Shirt, cotton streetwear vintage unisex short sleeve tee for men and women"},"finish_reason":"stop"}],"usage":{"prompt_tokens":965,"completion_tokens":28,"total_tokens":993}}</t>
        </is>
      </c>
      <c r="M80" t="inlineStr">
        <is>
          <t>{"alt-svc":"h3=\":443\"; ma=2592000","connection":"close","content-length":"420","content-type":"application/json; charset=utf-8","date":"Fri, 05 Jun 2026 04:00:26 GMT","referrer-policy":"strict-origin-when-cross-origin","server":"nginx/1.24.0 (Ubuntu)","strict-transport-security":"max-age=31536000; includeSubDomains; preload","vary":"Accept-Encoding","via":"1.1 Caddy","x-content-type-options":"nosniff","x-frame-options":"DENY","x-new-api-version":"v1.0.0-rc.10","x-oneapi-request-id":"202606050400242174144858268d9d6RtwBNcaH","x-request-id":"845df28dfa90ddccd46692ed200d54c4"}</t>
        </is>
      </c>
      <c r="N80" t="inlineStr">
        <is>
          <t>Gallery Dept White Corona Virus World Tour Graphic T-Shirt, cotton streetwear vintage unisex short sleeve tee for men and women</t>
        </is>
      </c>
      <c r="O80" t="inlineStr">
        <is>
          <t>{"id":"resp_03b87414c2acea4a016a2269ce47308198b3adf4c5d5eb2872","object":"chat.completion","created":1780640208,"model":"gpt-5.5","choices":[{"index":0,"message":{"role":"assistant","content":"Gallery Dept T-Shirt, Gallery Dept Graphic Tee, White Corona Virus World Tour T-Shirt, Cotton Streetwear T-Shirt, Vintage Unisex Short Sleeve Tee, Gallery Dept Men Women Tee"},"finish_reason":"stop"}],"usage":{"prompt_tokens":854,"completion_tokens":40,"total_tokens":894}}</t>
        </is>
      </c>
      <c r="P80" t="inlineStr">
        <is>
          <t>Gallery Dept T-Shirt, Gallery Dept Graphic Tee, White Corona Virus World Tour T-Shirt, Cotton Streetwear T-Shirt, Vintage Unisex Short Sleeve Tee, Gallery Dept Men Women Tee</t>
        </is>
      </c>
      <c r="Q80" t="inlineStr">
        <is>
          <t>Streetwear, Vintage, Unisex, White</t>
        </is>
      </c>
      <c r="R80" t="inlineStr">
        <is>
          <t>recvlts3M1FOJX</t>
        </is>
      </c>
      <c r="S80" t="inlineStr">
        <is>
          <t>gallery-dept-white-corona-virus-world-tour-t-shirt-recvlts3m1fobjx</t>
        </is>
      </c>
      <c r="T80"/>
      <c r="U80"/>
      <c r="V80"/>
      <c r="W80" t="inlineStr">
        <is>
          <t>{"id":"resp_0883259ced34bada016a22486b410881989a4e660e699136b4","object":"chat.completion","created":1780631661,"model":"gpt-5.5","choices":[{"index":0,"message":{"role":"assistant","content":"Gallery Dept 白色Corona Virus World Tour印花短袖T恤，纯棉街头复古男女同款潮牌上衣"},"finish_reason":"stop"}],"usage":{"prompt_tokens":1291,"completion_tokens":34,"total_tokens":1325,"prompt_tokens_details":{"cached_tokens":1024}}}</t>
        </is>
      </c>
      <c r="X80" t="inlineStr">
        <is>
          <t>Gallery Dept 白色Corona Virus World Tour印花短袖T恤，纯棉街头复古男女同款潮牌上衣</t>
        </is>
      </c>
    </row>
    <row r="81" ht="25.5" customHeight="1">
      <c r="A81">
        <v>1839115443</v>
      </c>
      <c r="B81">
        <v>7778653763</v>
      </c>
      <c r="C81" s="2" t="str">
        <f>=HYPERLINK("https://weidian.com/item.html?itemID=7778653763", "https://weidian.com/item.html?itemID=7778653763")</f>
        <v>https://weidian.com/item.html?itemID=7778653763</v>
      </c>
      <c r="D81"/>
      <c r="E81" s="2" t="str">
        <f>=HYPERLINK("https://si.geilicdn.com/open1839115443-252808396-57b60000019e87fcd64e0aa08239_1200_1200.jpg?w=640&amp;h=640", "https://si.geilicdn.com/open1839115443-252808396-57b60000019e87fcd64e0aa08239_1200_1200.jpg?w=640&amp;h=640")</f>
        <v>https://si.geilicdn.com/open1839115443-252808396-57b60000019e87fcd64e0aa08239_1200_1200.jpg?w=640&amp;h=640</v>
      </c>
      <c r="F81" t="inlineStr">
        <is>
          <t>T-Shirts</t>
        </is>
      </c>
      <c r="G81" t="inlineStr">
        <is>
          <t>Trapstar</t>
        </is>
      </c>
      <c r="H81" t="inlineStr">
        <is>
          <t>58.5</t>
        </is>
      </c>
      <c r="I81">
        <v>8.48</v>
      </c>
      <c r="J81" t="inlineStr">
        <is>
          <t>{"id":"resp_066119bd5054757d016a224b5f69d4819abe6889e8bd710789","object":"chat.completion","created":1780632418,"model":"gpt-5.5","choices":[{"index":0,"message":{"role":"assistant","content":"Trapstar Black Logo Graphic T-Shirt Unisex Streetwear"},"finish_reason":"stop"}],"usage":{"prompt_tokens":972,"completion_tokens":129,"total_tokens":1101}}</t>
        </is>
      </c>
      <c r="K81" t="inlineStr">
        <is>
          <t>Trapstar Black Logo Graphic T-Shirt Unisex Streetwear</t>
        </is>
      </c>
      <c r="L81" t="inlineStr">
        <is>
          <t>{"id":"resp_009c0fbaf8017226016a224a5832ac819bba63f36051ac27f5","object":"chat.completion","created":1780632153,"model":"gpt-5.5","choices":[{"index":0,"message":{"role":"assistant","content":"Trapstar black cotton T-shirt, small chest logo print, large T totem back graphic, unisex streetwear casual short sleeve top"},"finish_reason":"stop"}],"usage":{"prompt_tokens":985,"completion_tokens":31,"total_tokens":1016}}</t>
        </is>
      </c>
      <c r="M81" t="inlineStr">
        <is>
          <t>{"alt-svc":"h3=\":443\"; ma=2592000","connection":"close","content-length":"418","content-type":"application/json; charset=utf-8","date":"Fri, 05 Jun 2026 04:02:33 GMT","referrer-policy":"strict-origin-when-cross-origin","server":"nginx/1.24.0 (Ubuntu)","strict-transport-security":"max-age=31536000; includeSubDomains; preload","vary":"Accept-Encoding","via":"1.1 Caddy","x-content-type-options":"nosniff","x-frame-options":"DENY","x-new-api-version":"v1.0.0-rc.10","x-oneapi-request-id":"202606050402319760641508268d9d66Vjzaoh3","x-request-id":"ec3382ae519c99b82b6a295db3c0c1ae"}</t>
        </is>
      </c>
      <c r="N81" t="inlineStr">
        <is>
          <t>Trapstar black cotton T-shirt, small chest logo print, large T totem back graphic, unisex streetwear casual short sleeve top</t>
        </is>
      </c>
      <c r="O81" t="inlineStr">
        <is>
          <t>{"id":"resp_07ced49c4a0041ca016a22696f09dc819aaabefe2d40842c14","object":"chat.completion","created":1780640113,"model":"gpt-5.5","choices":[{"index":0,"message":{"role":"assistant","content":"Trapstar black cotton T-shirt, Trapstar unisex streetwear tee, Trapstar short sleeve casual top, Trapstar small chest logo T-shirt, Trapstar large back graphic tee, Trapstar T totem print shirt"},"finish_reason":"stop"}],"usage":{"prompt_tokens":857,"completion_tokens":48,"total_tokens":905}}</t>
        </is>
      </c>
      <c r="P81" t="inlineStr">
        <is>
          <t>Trapstar black cotton T-shirt, Trapstar unisex streetwear tee, Trapstar short sleeve casual top, Trapstar small chest logo T-shirt, Trapstar large back graphic tee, Trapstar T totem print shirt</t>
        </is>
      </c>
      <c r="Q81" t="inlineStr">
        <is>
          <t>Black, Unisex, Streetwear, Summer</t>
        </is>
      </c>
      <c r="R81" t="inlineStr">
        <is>
          <t>recvlts3M1KNkB</t>
        </is>
      </c>
      <c r="S81" t="inlineStr">
        <is>
          <t>trapstar-black-logo-graphic-tshirt-recvlts3m1knkb</t>
        </is>
      </c>
      <c r="T81"/>
      <c r="U81"/>
      <c r="V81"/>
      <c r="W81" t="inlineStr">
        <is>
          <t>{"id":"resp_0cdcf9a985fe4f20016a2248d121f4819badae61ea04ff2de0","object":"chat.completion","created":1780631763,"model":"gpt-5.5","choices":[{"index":0,"message":{"role":"assistant","content":"Trapstar 黑色纯棉短袖T恤，胸前小Logo印花，背面大T字图腾设计，男女同款街头潮流休闲上衣"},"finish_reason":"stop"}],"usage":{"prompt_tokens":1293,"completion_tokens":44,"total_tokens":1337}}</t>
        </is>
      </c>
      <c r="X81" t="inlineStr">
        <is>
          <t>Trapstar 黑色纯棉短袖T恤，胸前小Logo印花，背面大T字图腾设计，男女同款街头潮流休闲上衣</t>
        </is>
      </c>
    </row>
    <row r="82" ht="25.5" customHeight="1">
      <c r="A82">
        <v>1839115443</v>
      </c>
      <c r="B82">
        <v>7778626093</v>
      </c>
      <c r="C82" s="2" t="str">
        <f>=HYPERLINK("https://weidian.com/item.html?itemID=7778626093", "https://weidian.com/item.html?itemID=7778626093")</f>
        <v>https://weidian.com/item.html?itemID=7778626093</v>
      </c>
      <c r="D82"/>
      <c r="E82" s="2" t="str">
        <f>=HYPERLINK("https://si.geilicdn.com/open1839115443-252808396-57ae0000019e87fcbc9b0aa08239_1000_1000.jpg?w=750&amp;h=750&amp;cp=1", "https://si.geilicdn.com/open1839115443-252808396-57ae0000019e87fcbc9b0aa08239_1000_1000.jpg?w=750&amp;h=750&amp;cp=1")</f>
        <v>https://si.geilicdn.com/open1839115443-252808396-57ae0000019e87fcbc9b0aa08239_1000_1000.jpg?w=750&amp;h=750&amp;cp=1</v>
      </c>
      <c r="F82" t="inlineStr">
        <is>
          <t>T-Shirts</t>
        </is>
      </c>
      <c r="G82" t="inlineStr">
        <is>
          <t>Trapstar</t>
        </is>
      </c>
      <c r="H82" t="inlineStr">
        <is>
          <t>58.5</t>
        </is>
      </c>
      <c r="I82">
        <v>8.48</v>
      </c>
      <c r="J82" t="inlineStr">
        <is>
          <t>{"id":"resp_0258bad66a965e9e016a224bc8ae0c819b89f5622d2d9bca6e","object":"chat.completion","created":1780632530,"model":"gpt-5.5","choices":[{"index":0,"message":{"role":"assistant","content":"Trapstar Camo Gothic Logo Cotton T-Shirt Black White"},"finish_reason":"stop"}],"usage":{"prompt_tokens":1179,"completion_tokens":126,"total_tokens":1305}}</t>
        </is>
      </c>
      <c r="K82" t="inlineStr">
        <is>
          <t>Trapstar Camo Gothic Logo Cotton T-Shirt Black White</t>
        </is>
      </c>
      <c r="L82" t="inlineStr">
        <is>
          <t>{"id":"resp_0b836705c4da5631016a224a16401c819984b9c83e7d8b356f","object":"chat.completion","created":1780632089,"model":"gpt-5.5","choices":[{"index":0,"message":{"role":"assistant","content":"Trapstar black white short sleeve T-shirt, soft breathable cotton, camo gothic logo print, unisex streetwear casual top"},"finish_reason":"stop"}],"usage":{"prompt_tokens":1190,"completion_tokens":85,"total_tokens":1275}}</t>
        </is>
      </c>
      <c r="M82" t="inlineStr">
        <is>
          <t>{"alt-svc":"h3=\":443\"; ma=2592000","connection":"close","content-length":"414","content-type":"application/json; charset=utf-8","date":"Fri, 05 Jun 2026 04:01:29 GMT","referrer-policy":"strict-origin-when-cross-origin","server":"nginx/1.24.0 (Ubuntu)","strict-transport-security":"max-age=31536000; includeSubDomains; preload","vary":"Accept-Encoding","via":"1.1 Caddy","x-content-type-options":"nosniff","x-frame-options":"DENY","x-new-api-version":"v1.0.0-rc.10","x-oneapi-request-id":"20260605040126128558848268d9d6bRULi4Fw","x-request-id":"e2f6b5cfeb470170b2306662f3588e8e"}</t>
        </is>
      </c>
      <c r="N82" t="inlineStr">
        <is>
          <t>Trapstar black white short sleeve T-shirt, soft breathable cotton, camo gothic logo print, unisex streetwear casual top</t>
        </is>
      </c>
      <c r="O82" t="inlineStr">
        <is>
          <t>{"id":"resp_0b3ee7062423ff50016a22694ebaa8819aa6a7c09537ed5782","object":"chat.completion","created":1780640081,"model":"gpt-5.5","choices":[{"index":0,"message":{"role":"assistant","content":"Trapstar T-Shirt, Trapstar short sleeve T-shirt, Trapstar cotton streetwear top, Trapstar camo gothic logo tee, Trapstar black white unisex T-shirt, Trapstar breathable casual tee"},"finish_reason":"stop"}],"usage":{"prompt_tokens":1066,"completion_tokens":45,"total_tokens":1111}}</t>
        </is>
      </c>
      <c r="P82" t="inlineStr">
        <is>
          <t>Trapstar T-Shirt, Trapstar short sleeve T-shirt, Trapstar cotton streetwear top, Trapstar camo gothic logo tee, Trapstar black white unisex T-shirt, Trapstar breathable casual tee</t>
        </is>
      </c>
      <c r="Q82" t="inlineStr">
        <is>
          <t>Black, White, Streetwear, Unisex</t>
        </is>
      </c>
      <c r="R82" t="inlineStr">
        <is>
          <t>recvlts3M1TDxC</t>
        </is>
      </c>
      <c r="S82" t="inlineStr">
        <is>
          <t>trapstar-camo-gothic-logo-cotton-tshirt-recvlts3m1tdxc</t>
        </is>
      </c>
      <c r="T82"/>
      <c r="U82"/>
      <c r="V82"/>
      <c r="W82" t="inlineStr">
        <is>
          <t>{"id":"resp_04fc8310f493f52a016a22489ddf2081988f017cfcbf7d788b","object":"chat.completion","created":1780631711,"model":"gpt-5.5","choices":[{"index":0,"message":{"role":"assistant","content":"Trapstar 黑白短袖T恤，纯棉舒适透气，迷彩哥特Logo印花，街头潮流男女同款休闲上衣"},"finish_reason":"stop"}],"usage":{"prompt_tokens":1512,"completion_tokens":41,"total_tokens":1553,"prompt_tokens_details":{"cached_tokens":1024}}}</t>
        </is>
      </c>
      <c r="X82" t="inlineStr">
        <is>
          <t>Trapstar 黑白短袖T恤，纯棉舒适透气，迷彩哥特Logo印花，街头潮流男女同款休闲上衣</t>
        </is>
      </c>
    </row>
    <row r="83" ht="25.5" customHeight="1">
      <c r="A83">
        <v>1839115443</v>
      </c>
      <c r="B83">
        <v>7778535483</v>
      </c>
      <c r="C83" s="2" t="str">
        <f>=HYPERLINK("https://weidian.com/item.html?itemID=7778535483", "https://weidian.com/item.html?itemID=7778535483")</f>
        <v>https://weidian.com/item.html?itemID=7778535483</v>
      </c>
      <c r="D83"/>
      <c r="E83" s="2" t="str">
        <f>=HYPERLINK("https://si.geilicdn.com/open1839115443-252808396-4f180000019e87f9d4460aa08269_1920_1920.jpg?w=640&amp;h=640", "https://si.geilicdn.com/open1839115443-252808396-4f180000019e87f9d4460aa08269_1920_1920.jpg?w=640&amp;h=640")</f>
        <v>https://si.geilicdn.com/open1839115443-252808396-4f180000019e87f9d4460aa08269_1920_1920.jpg?w=640&amp;h=640</v>
      </c>
      <c r="F83" t="inlineStr">
        <is>
          <t>Hoodies</t>
        </is>
      </c>
      <c r="G83" t="inlineStr">
        <is>
          <t>Trapstar</t>
        </is>
      </c>
      <c r="H83" t="inlineStr">
        <is>
          <t>102</t>
        </is>
      </c>
      <c r="I83">
        <v>14.78</v>
      </c>
      <c r="J83" t="inlineStr">
        <is>
          <t>{"id":"resp_03d94af323f835ab016a224c14263c819b80dbdf0f991a7efb","object":"chat.completion","created":1780632599,"model":"gpt-5.5","choices":[{"index":0,"message":{"role":"assistant","content":"Trapstar Grey Camo Logo Hoodie Tracksuit Set"},"finish_reason":"stop"}],"usage":{"prompt_tokens":983,"completion_tokens":56,"total_tokens":1039}}</t>
        </is>
      </c>
      <c r="K83" t="inlineStr">
        <is>
          <t>Trapstar Grey Camo Logo Hoodie Tracksuit Set</t>
        </is>
      </c>
      <c r="L83" t="inlineStr">
        <is>
          <t>{"id":"resp_0734641fde25d6ba016a224a05dc50819bafd9f08cfe0d5f0f","object":"chat.completion","created":1780632072,"model":"gpt-5.5","choices":[{"index":0,"message":{"role":"assistant","content":"Trapstar grey hoodie tracksuit, cotton fleece unisex streetwear set with camo logo print, drawstring hood, kangaroo pocket, casual sportswear pants"},"finish_reason":"stop"}],"usage":{"prompt_tokens":1002,"completion_tokens":67,"total_tokens":1069}}</t>
        </is>
      </c>
      <c r="M83" t="inlineStr">
        <is>
          <t>{"alt-svc":"h3=\":443\"; ma=2592000","connection":"close","content-length":"442","content-type":"application/json; charset=utf-8","date":"Fri, 05 Jun 2026 04:01:12 GMT","referrer-policy":"strict-origin-when-cross-origin","server":"nginx/1.24.0 (Ubuntu)","strict-transport-security":"max-age=31536000; includeSubDomains; preload","vary":"Accept-Encoding","via":"1.1 Caddy","x-content-type-options":"nosniff","x-frame-options":"DENY","x-new-api-version":"v1.0.0-rc.10","x-oneapi-request-id":"202606050401096089660448268d9d676dYQeIP","x-request-id":"8e406f692e34c40aed19092f3cfc38a6"}</t>
        </is>
      </c>
      <c r="N83" t="inlineStr">
        <is>
          <t>Trapstar grey hoodie tracksuit, cotton fleece unisex streetwear set with camo logo print, drawstring hood, kangaroo pocket, casual sportswear pants</t>
        </is>
      </c>
      <c r="O83" t="inlineStr">
        <is>
          <t>{"id":"resp_07a6868148e10fae016a22699ad244819ab54e5937625b5c9d","object":"chat.completion","created":1780640156,"model":"gpt-5.5","choices":[{"index":0,"message":{"role":"assistant","content":"Trapstar hoodie tracksuit, Trapstar grey cotton fleece set, unisex streetwear tracksuit, camo logo hoodie pants, drawstring hood kangaroo pocket set, casual sportswear fleece outfit"},"finish_reason":"stop"}],"usage":{"prompt_tokens":863,"completion_tokens":43,"total_tokens":906}}</t>
        </is>
      </c>
      <c r="P83" t="inlineStr">
        <is>
          <t>Trapstar hoodie tracksuit, Trapstar grey cotton fleece set, unisex streetwear tracksuit, camo logo hoodie pants, drawstring hood kangaroo pocket set, casual sportswear fleece outfit</t>
        </is>
      </c>
      <c r="Q83" t="inlineStr">
        <is>
          <t>Grey, Fleece-Lined, Streetwear, Unisex</t>
        </is>
      </c>
      <c r="R83" t="inlineStr">
        <is>
          <t>recvlts3M16vzN</t>
        </is>
      </c>
      <c r="S83" t="inlineStr">
        <is>
          <t>trapstar-grey-camo-logo-hoodie-tracksuit-recvlts3m16vzn</t>
        </is>
      </c>
      <c r="T83"/>
      <c r="U83"/>
      <c r="V83"/>
      <c r="W83" t="inlineStr">
        <is>
          <t>{"id":"resp_0735ff671803b24b016a2248a199388199aeb626ede76d86de","object":"chat.completion","created":1780631716,"model":"gpt-5.5","choices":[{"index":0,"message":{"role":"assistant","content":"Trapstar 灰色连帽卫衣套装，棉质抓绒面料，迷彩字母Logo印花，袋鼠兜抽绳设计，男女同款街头休闲运动套装"},"finish_reason":"stop"}],"usage":{"prompt_tokens":1294,"completion_tokens":52,"total_tokens":1346,"prompt_tokens_details":{"cached_tokens":1024}}}</t>
        </is>
      </c>
      <c r="X83" t="inlineStr">
        <is>
          <t>Trapstar 灰色连帽卫衣套装，棉质抓绒面料，迷彩字母Logo印花，袋鼠兜抽绳设计，男女同款街头休闲运动套装</t>
        </is>
      </c>
    </row>
    <row r="84" ht="25.5" customHeight="1">
      <c r="A84">
        <v>1839115443</v>
      </c>
      <c r="B84">
        <v>7778545277</v>
      </c>
      <c r="C84" s="2" t="str">
        <f>=HYPERLINK("https://weidian.com/item.html?itemID=7778545277", "https://weidian.com/item.html?itemID=7778545277")</f>
        <v>https://weidian.com/item.html?itemID=7778545277</v>
      </c>
      <c r="D84"/>
      <c r="E84" s="2" t="str">
        <f>=HYPERLINK("https://si.geilicdn.com/open1839115443-252808396-42360000019e87fa52f90a8115c2_855_1275.jpg?w=640&amp;h=640", "https://si.geilicdn.com/open1839115443-252808396-42360000019e87fa52f90a8115c2_855_1275.jpg?w=640&amp;h=640")</f>
        <v>https://si.geilicdn.com/open1839115443-252808396-42360000019e87fa52f90a8115c2_855_1275.jpg?w=640&amp;h=640</v>
      </c>
      <c r="F84" t="inlineStr">
        <is>
          <t>Pants</t>
        </is>
      </c>
      <c r="G84" t="inlineStr">
        <is>
          <t>Trapstar</t>
        </is>
      </c>
      <c r="H84" t="inlineStr">
        <is>
          <t>72</t>
        </is>
      </c>
      <c r="I84">
        <v>10.43</v>
      </c>
      <c r="J84" t="inlineStr">
        <is>
          <t>{"id":"resp_036f9fc4a13fec84016a224c3d46788198940842a833d254e6","object":"chat.completion","created":1780632638,"model":"gpt-5.5","choices":[{"index":0,"message":{"role":"assistant","content":"Trapstar Black Cotton Drawstring Logo Shorts Streetwear Pants"},"finish_reason":"stop"}],"usage":{"prompt_tokens":1204,"completion_tokens":15,"total_tokens":1219,"prompt_tokens_details":{"cached_tokens":1024}}}</t>
        </is>
      </c>
      <c r="K84" t="inlineStr">
        <is>
          <t>Trapstar Black Cotton Drawstring Logo Shorts Streetwear Pants</t>
        </is>
      </c>
      <c r="L84" t="inlineStr">
        <is>
          <t>{"id":"resp_0dd94caed7113539016a224a835b54819b8162cb4c9c55bc55","object":"chat.completion","created":1780632199,"model":"gpt-5.5","choices":[{"index":0,"message":{"role":"assistant","content":"Trapstar black cotton casual sports shorts, drawstring elastic waist, letter logo print, unisex streetwear summer pants"},"finish_reason":"stop"}],"usage":{"prompt_tokens":1219,"completion_tokens":75,"total_tokens":1294}}</t>
        </is>
      </c>
      <c r="M84" t="inlineStr">
        <is>
          <t>{"alt-svc":"h3=\":443\"; ma=2592000","connection":"close","content-length":"414","content-type":"application/json; charset=utf-8","date":"Fri, 05 Jun 2026 04:03:19 GMT","referrer-policy":"strict-origin-when-cross-origin","server":"nginx/1.24.0 (Ubuntu)","strict-transport-security":"max-age=31536000; includeSubDomains; preload","vary":"Accept-Encoding","via":"1.1 Caddy","x-content-type-options":"nosniff","x-frame-options":"DENY","x-new-api-version":"v1.0.0-rc.10","x-oneapi-request-id":"202606050403151372874548268d9d6ooTod16f","x-request-id":"73da761a47e7e99614b9571246876505"}</t>
        </is>
      </c>
      <c r="N84" t="inlineStr">
        <is>
          <t>Trapstar black cotton casual sports shorts, drawstring elastic waist, letter logo print, unisex streetwear summer pants</t>
        </is>
      </c>
      <c r="O84" t="inlineStr">
        <is>
          <t>{"id":"resp_03c5141c451539f5016a22692b12cc8198bd1bdf4a888fb338","object":"chat.completion","created":1780640048,"model":"gpt-5.5","choices":[{"index":0,"message":{"role":"assistant","content":"Trapstar black cotton sports shorts, Trapstar drawstring elastic waist shorts, Trapstar logo print summer pants, Trapstar unisex streetwear shorts, Trapstar casual cotton shorts, Trapstar black streetwear pants"},"finish_reason":"stop"}],"usage":{"prompt_tokens":1093,"completion_tokens":88,"total_tokens":1181}}</t>
        </is>
      </c>
      <c r="P84" t="inlineStr">
        <is>
          <t>Trapstar black cotton sports shorts, Trapstar drawstring elastic waist shorts, Trapstar logo print summer pants, Trapstar unisex streetwear shorts, Trapstar casual cotton shorts, Trapstar black streetwear pants</t>
        </is>
      </c>
      <c r="Q84" t="inlineStr">
        <is>
          <t>Black, Summer, Unisex, Streetwear</t>
        </is>
      </c>
      <c r="R84" t="inlineStr">
        <is>
          <t>recvlts3M1daJQ</t>
        </is>
      </c>
      <c r="S84" t="inlineStr">
        <is>
          <t>trapstar-black-cotton-drawstring-logo-shorts-streetwear-recvlts3m1dajq</t>
        </is>
      </c>
      <c r="T84"/>
      <c r="U84"/>
      <c r="V84"/>
      <c r="W84" t="inlineStr">
        <is>
          <t>{"id":"resp_065ce1b4fc7dfc88016a2248ab9d50819a9b9358afd7695857","object":"chat.completion","created":1780631725,"model":"gpt-5.5","choices":[{"index":0,"message":{"role":"assistant","content":"Trapstar 黑色休闲运动短裤，棉质抽绳松紧腰，字母Logo印花，街头潮流男女同款夏季裤装"},"finish_reason":"stop"}],"usage":{"prompt_tokens":1531,"completion_tokens":41,"total_tokens":1572}}</t>
        </is>
      </c>
      <c r="X84" t="inlineStr">
        <is>
          <t>Trapstar 黑色休闲运动短裤，棉质抽绳松紧腰，字母Logo印花，街头潮流男女同款夏季裤装</t>
        </is>
      </c>
    </row>
    <row r="85" ht="25.5" customHeight="1">
      <c r="A85">
        <v>1839115443</v>
      </c>
      <c r="B85">
        <v>7778651743</v>
      </c>
      <c r="C85" s="2" t="str">
        <f>=HYPERLINK("https://weidian.com/item.html?itemID=7778651743", "https://weidian.com/item.html?itemID=7778651743")</f>
        <v>https://weidian.com/item.html?itemID=7778651743</v>
      </c>
      <c r="D85"/>
      <c r="E85" s="2" t="str">
        <f>=HYPERLINK("https://si.geilicdn.com/open1839115443-252808396-4f4a0000019e87fa28f60aa08269_800_800.jpg?w=750&amp;h=750&amp;cp=1", "https://si.geilicdn.com/open1839115443-252808396-4f4a0000019e87fa28f60aa08269_800_800.jpg?w=750&amp;h=750&amp;cp=1")</f>
        <v>https://si.geilicdn.com/open1839115443-252808396-4f4a0000019e87fa28f60aa08269_800_800.jpg?w=750&amp;h=750&amp;cp=1</v>
      </c>
      <c r="F85" t="inlineStr">
        <is>
          <t>Hoodies</t>
        </is>
      </c>
      <c r="G85" t="inlineStr">
        <is>
          <t>Trapstar</t>
        </is>
      </c>
      <c r="H85" t="inlineStr">
        <is>
          <t>94.5</t>
        </is>
      </c>
      <c r="I85">
        <v>13.7</v>
      </c>
      <c r="J85" t="inlineStr">
        <is>
          <t>{"id":"resp_04c8586ded37a064016a224b5decb881988e23c35fb1638338","object":"chat.completion","created":1780632416,"model":"gpt-5.5","choices":[{"index":0,"message":{"role":"assistant","content":"Trapstar Gray London Shooters Tiger Graphic Hoodie"},"finish_reason":"stop"}],"usage":{"prompt_tokens":1188,"completion_tokens":76,"total_tokens":1264}}</t>
        </is>
      </c>
      <c r="K85" t="inlineStr">
        <is>
          <t>Trapstar Gray London Shooters Tiger Graphic Hoodie</t>
        </is>
      </c>
      <c r="L85" t="inlineStr">
        <is>
          <t>{"id":"resp_08be171a1a8707bd016a224a5c7264819a9560fb43990f0cda","object":"chat.completion","created":1780632164,"model":"gpt-5.5","choices":[{"index":0,"message":{"role":"assistant","content":"Trapstar gray London Shooters hoodie, fleece-lined cotton, basketball tiger head graphic, kangaroo pocket, streetwear pullover for men and women"},"finish_reason":"stop"}],"usage":{"prompt_tokens":1197,"completion_tokens":100,"total_tokens":1297}}</t>
        </is>
      </c>
      <c r="M85" t="inlineStr">
        <is>
          <t>{"alt-svc":"h3=\":443\"; ma=2592000","connection":"close","content-length":"440","content-type":"application/json; charset=utf-8","date":"Fri, 05 Jun 2026 04:02:44 GMT","referrer-policy":"strict-origin-when-cross-origin","server":"nginx/1.24.0 (Ubuntu)","strict-transport-security":"max-age=31536000; includeSubDomains; preload","vary":"Accept-Encoding","via":"1.1 Caddy","x-content-type-options":"nosniff","x-frame-options":"DENY","x-new-api-version":"v1.0.0-rc.10","x-oneapi-request-id":"202606050402362155898248268d9d6Q9KSeN12","x-request-id":"66c40caedae8dcff1914fcae95896939"}</t>
        </is>
      </c>
      <c r="N85" t="inlineStr">
        <is>
          <t>Trapstar gray London Shooters hoodie, fleece-lined cotton, basketball tiger head graphic, kangaroo pocket, streetwear pullover for men and women</t>
        </is>
      </c>
      <c r="O85" t="inlineStr">
        <is>
          <t>{"id":"resp_030db1304d1ed23f016a2269b796248199bdb289fa01a12426","object":"chat.completion","created":1780640185,"model":"gpt-5.5","choices":[{"index":0,"message":{"role":"assistant","content":"Trapstar gray London Shooters hoodie, Trapstar fleece-lined cotton pullover, Trapstar basketball tiger head graphic hoodie, Trapstar kangaroo pocket streetwear hoodie, unisex Trapstar London Shooters hoodie, Trapstar men women cotton hoodie"},"finish_reason":"stop"}],"usage":{"prompt_tokens":1071,"completion_tokens":52,"total_tokens":1123}}</t>
        </is>
      </c>
      <c r="P85" t="inlineStr">
        <is>
          <t>Trapstar gray London Shooters hoodie, Trapstar fleece-lined cotton pullover, Trapstar basketball tiger head graphic hoodie, Trapstar kangaroo pocket streetwear hoodie, unisex Trapstar London Shooters hoodie, Trapstar men women cotton hoodie</t>
        </is>
      </c>
      <c r="Q85" t="inlineStr">
        <is>
          <t>Streetwear, Fleece-Lined, Gray, Men's And Women's</t>
        </is>
      </c>
      <c r="R85" t="inlineStr">
        <is>
          <t>recvlts3M1ZYvA</t>
        </is>
      </c>
      <c r="S85" t="inlineStr">
        <is>
          <t>trapstar-gray-london-shooters-tiger-hoodie-recvlts3m1zyva</t>
        </is>
      </c>
      <c r="T85"/>
      <c r="U85"/>
      <c r="V85"/>
      <c r="W85" t="inlineStr">
        <is>
          <t>{"id":"resp_00a176c478df3291016a2248b7d3508199a3c8779c209f9931","object":"chat.completion","created":1780631738,"model":"gpt-5.5","choices":[{"index":0,"message":{"role":"assistant","content":"Trapstar 灰色London Shooters连帽卫衣，棉质加绒面料，篮球虎头印花，袋鼠兜街头潮流男女款上衣"},"finish_reason":"stop"}],"usage":{"prompt_tokens":1511,"completion_tokens":44,"total_tokens":1555,"prompt_tokens_details":{"cached_tokens":1024}}}</t>
        </is>
      </c>
      <c r="X85" t="inlineStr">
        <is>
          <t>Trapstar 灰色London Shooters连帽卫衣，棉质加绒面料，篮球虎头印花，袋鼠兜街头潮流男女款上衣</t>
        </is>
      </c>
    </row>
    <row r="86" ht="25.5" customHeight="1">
      <c r="A86">
        <v>1839115443</v>
      </c>
      <c r="B86">
        <v>7781629896</v>
      </c>
      <c r="C86" s="2" t="str">
        <f>=HYPERLINK("https://weidian.com/item.html?itemID=7781629896", "https://weidian.com/item.html?itemID=7781629896")</f>
        <v>https://weidian.com/item.html?itemID=7781629896</v>
      </c>
      <c r="D86"/>
      <c r="E86" s="2" t="str">
        <f>=HYPERLINK("https://si.geilicdn.com/open1839115443-252808396-56e20000019e87fb1c1f0aa08239_1920_1920.jpg?w=640&amp;h=640", "https://si.geilicdn.com/open1839115443-252808396-56e20000019e87fb1c1f0aa08239_1920_1920.jpg?w=640&amp;h=640")</f>
        <v>https://si.geilicdn.com/open1839115443-252808396-56e20000019e87fb1c1f0aa08239_1920_1920.jpg?w=640&amp;h=640</v>
      </c>
      <c r="F86" t="inlineStr">
        <is>
          <t>Hoodies</t>
        </is>
      </c>
      <c r="G86" t="inlineStr">
        <is>
          <t>Trapstar</t>
        </is>
      </c>
      <c r="H86" t="inlineStr">
        <is>
          <t>102</t>
        </is>
      </c>
      <c r="I86">
        <v>14.78</v>
      </c>
      <c r="J86" t="inlineStr">
        <is>
          <t>{"id":"resp_0ad4adb8cae721b2016a224bdf950c81998398d794cbe1d3e5","object":"chat.completion","created":1780632545,"model":"gpt-5.5","choices":[{"index":0,"message":{"role":"assistant","content":"Trapstar Flame Logo Grey Hoodie Tracksuit Set"},"finish_reason":"stop"}],"usage":{"prompt_tokens":967,"completion_tokens":13,"total_tokens":980}}</t>
        </is>
      </c>
      <c r="K86" t="inlineStr">
        <is>
          <t>Trapstar Flame Logo Grey Hoodie Tracksuit Set</t>
        </is>
      </c>
      <c r="L86" t="inlineStr">
        <is>
          <t>{"id":"resp_0c601da0b989acb5016a2249fe75488199a5482a8311ca7117","object":"chat.completion","created":1780632066,"model":"gpt-5.5","choices":[{"index":0,"message":{"role":"assistant","content":"Trapstar grey hoodie tracksuit, cotton fleece, flame letter logo print, unisex streetwear casual sports two-piece set"},"finish_reason":"stop"}],"usage":{"prompt_tokens":988,"completion_tokens":94,"total_tokens":1082}}</t>
        </is>
      </c>
      <c r="M86" t="inlineStr">
        <is>
          <t>{"alt-svc":"h3=\":443\"; ma=2592000","connection":"close","content-length":"411","content-type":"application/json; charset=utf-8","date":"Fri, 05 Jun 2026 04:01:06 GMT","referrer-policy":"strict-origin-when-cross-origin","server":"nginx/1.24.0 (Ubuntu)","strict-transport-security":"max-age=31536000; includeSubDomains; preload","vary":"Accept-Encoding","via":"1.1 Caddy","x-content-type-options":"nosniff","x-frame-options":"DENY","x-new-api-version":"v1.0.0-rc.10","x-oneapi-request-id":"202606050401021825039388268d9d6cNHZzh69","x-request-id":"5e8f8ff3a9342fd7b14c8a25fdc85a71"}</t>
        </is>
      </c>
      <c r="N86" t="inlineStr">
        <is>
          <t>Trapstar grey hoodie tracksuit, cotton fleece, flame letter logo print, unisex streetwear casual sports two-piece set</t>
        </is>
      </c>
      <c r="O86" t="inlineStr">
        <is>
          <t>{"id":"resp_076ff78810bb388d016a2269723af8819b8f7aee534335e92c","object":"chat.completion","created":1780640117,"model":"gpt-5.5","choices":[{"index":0,"message":{"role":"assistant","content":"Trapstar grey hoodie tracksuit, Trapstar cotton fleece tracksuit, Trapstar flame logo hoodie set, Trapstar unisex streetwear set, Trapstar casual sports two piece, Trapstar hoodie and joggers set"},"finish_reason":"stop"}],"usage":{"prompt_tokens":855,"completion_tokens":47,"total_tokens":902}}</t>
        </is>
      </c>
      <c r="P86" t="inlineStr">
        <is>
          <t>Trapstar grey hoodie tracksuit, Trapstar cotton fleece tracksuit, Trapstar flame logo hoodie set, Trapstar unisex streetwear set, Trapstar casual sports two piece, Trapstar hoodie and joggers set</t>
        </is>
      </c>
      <c r="Q86" t="inlineStr">
        <is>
          <t>Grey, Streetwear, Unisex</t>
        </is>
      </c>
      <c r="R86" t="inlineStr">
        <is>
          <t>recvlts3M1gagU</t>
        </is>
      </c>
      <c r="S86" t="inlineStr">
        <is>
          <t>trapstar-flame-logo-grey-hoodie-tracksuit-recvlts3m1gagu</t>
        </is>
      </c>
      <c r="T86"/>
      <c r="U86"/>
      <c r="V86"/>
      <c r="W86" t="inlineStr">
        <is>
          <t>{"id":"resp_09ddb2f77b412ff4016a224800f5fc819b8a093a043933571a","object":"chat.completion","created":1780631554,"model":"gpt-5.5","choices":[{"index":0,"message":{"role":"assistant","content":"Trapstar 灰色连帽卫衣套装，棉质抓绒面料，火焰字母Logo印花，街头潮流男女休闲运动两件套"},"finish_reason":"stop"}],"usage":{"prompt_tokens":1296,"completion_tokens":45,"total_tokens":1341}}</t>
        </is>
      </c>
      <c r="X86" t="inlineStr">
        <is>
          <t>Trapstar 灰色连帽卫衣套装，棉质抓绒面料，火焰字母Logo印花，街头潮流男女休闲运动两件套</t>
        </is>
      </c>
    </row>
    <row r="87" ht="25.5" customHeight="1">
      <c r="A87">
        <v>1839115443</v>
      </c>
      <c r="B87">
        <v>7778653753</v>
      </c>
      <c r="C87" s="2" t="str">
        <f>=HYPERLINK("https://weidian.com/item.html?itemID=7778653753", "https://weidian.com/item.html?itemID=7778653753")</f>
        <v>https://weidian.com/item.html?itemID=7778653753</v>
      </c>
      <c r="D87"/>
      <c r="E87" s="2" t="str">
        <f>=HYPERLINK("https://si.geilicdn.com/open1839115443-252808396-569a0000019e87fa88e50aa08239_1000_1000.jpg?w=640&amp;h=640", "https://si.geilicdn.com/open1839115443-252808396-569a0000019e87fa88e50aa08239_1000_1000.jpg?w=640&amp;h=640")</f>
        <v>https://si.geilicdn.com/open1839115443-252808396-569a0000019e87fa88e50aa08239_1000_1000.jpg?w=640&amp;h=640</v>
      </c>
      <c r="F87" t="inlineStr">
        <is>
          <t>T-Shirts</t>
        </is>
      </c>
      <c r="G87" t="inlineStr">
        <is>
          <t>Trapstar</t>
        </is>
      </c>
      <c r="H87" t="inlineStr">
        <is>
          <t>58.5</t>
        </is>
      </c>
      <c r="I87">
        <v>8.48</v>
      </c>
      <c r="J87" t="inlineStr">
        <is>
          <t>{"id":"resp_024438fb269423b6016a224b5afa488198894abdf88d4af7dc","object":"chat.completion","created":1780632412,"model":"gpt-5.5","choices":[{"index":0,"message":{"role":"assistant","content":"Trapstar White Cotton IRONGATE Logo T-Shirt Unisex Streetwear"},"finish_reason":"stop"}],"usage":{"prompt_tokens":967,"completion_tokens":18,"total_tokens":985}}</t>
        </is>
      </c>
      <c r="K87" t="inlineStr">
        <is>
          <t>Trapstar White Cotton IRONGATE Logo T-Shirt Unisex Streetwear</t>
        </is>
      </c>
      <c r="L87" t="inlineStr">
        <is>
          <t>{"id":"resp_01c9d79661d3d9e3016a224a82b43c81999889607606881f20","object":"chat.completion","created":1780632197,"model":"gpt-5.5","choices":[{"index":0,"message":{"role":"assistant","content":"Trapstar white cotton short sleeve T-shirt with black grey IRONGATE logo print, breathable unisex streetwear casual top."},"finish_reason":"stop"}],"usage":{"prompt_tokens":993,"completion_tokens":29,"total_tokens":1022}}</t>
        </is>
      </c>
      <c r="M87" t="inlineStr">
        <is>
          <t>{"alt-svc":"h3=\":443\"; ma=2592000","connection":"close","content-length":"414","content-type":"application/json; charset=utf-8","date":"Fri, 05 Jun 2026 04:03:18 GMT","referrer-policy":"strict-origin-when-cross-origin","server":"nginx/1.24.0 (Ubuntu)","strict-transport-security":"max-age=31536000; includeSubDomains; preload","vary":"Accept-Encoding","via":"1.1 Caddy","x-content-type-options":"nosniff","x-frame-options":"DENY","x-new-api-version":"v1.0.0-rc.10","x-oneapi-request-id":"202606050403144597278208268d9d6MhoMLTYg","x-request-id":"7f36839dafd216503bf5314f34cf44c8"}</t>
        </is>
      </c>
      <c r="N87" t="inlineStr">
        <is>
          <t>Trapstar white cotton short sleeve T-shirt with black grey IRONGATE logo print, breathable unisex streetwear casual top.</t>
        </is>
      </c>
      <c r="O87" t="inlineStr">
        <is>
          <t>{"id":"resp_0de756db99e32f59016a2269298960819b9a7003cdde19fbc5","object":"chat.completion","created":1780640044,"model":"gpt-5.5","choices":[{"index":0,"message":{"role":"assistant","content":"Trapstar white cotton T-shirt, Trapstar IRONGATE logo tee, unisex streetwear T-shirt, breathable short sleeve top, Trapstar casual cotton shirt, white logo print T-shirt"},"finish_reason":"stop"}],"usage":{"prompt_tokens":855,"completion_tokens":59,"total_tokens":914}}</t>
        </is>
      </c>
      <c r="P87" t="inlineStr">
        <is>
          <t>Trapstar white cotton T-shirt, Trapstar IRONGATE logo tee, unisex streetwear T-shirt, breathable short sleeve top, Trapstar casual cotton shirt, white logo print T-shirt</t>
        </is>
      </c>
      <c r="Q87" t="inlineStr">
        <is>
          <t>White, Grey, Breathable, Unisex, Streetwear</t>
        </is>
      </c>
      <c r="R87" t="inlineStr">
        <is>
          <t>recvlts3M1CBNO</t>
        </is>
      </c>
      <c r="S87" t="inlineStr">
        <is>
          <t>trapstar-irongate-logo-tshirt-recvlts3m1cbno</t>
        </is>
      </c>
      <c r="T87"/>
      <c r="U87"/>
      <c r="V87"/>
      <c r="W87" t="inlineStr">
        <is>
          <t>{"id":"resp_0ee1f027a566649f016a2248b990c08198ba0bd5a1701e4ec0","object":"chat.completion","created":1780631740,"model":"gpt-5.5","choices":[{"index":0,"message":{"role":"assistant","content":"Trapstar 白色短袖T恤，纯棉舒适透气面料，胸前黑灰IRONGATE字母Logo印花，男女通用街头潮流休闲上衣"},"finish_reason":"stop"}],"usage":{"prompt_tokens":1291,"completion_tokens":48,"total_tokens":1339}}</t>
        </is>
      </c>
      <c r="X87" t="inlineStr">
        <is>
          <t>Trapstar 白色短袖T恤，纯棉舒适透气面料，胸前黑灰IRONGATE字母Logo印花，男女通用街头潮流休闲上衣</t>
        </is>
      </c>
    </row>
    <row r="88" ht="25.5" customHeight="1">
      <c r="A88">
        <v>1839115443</v>
      </c>
      <c r="B88">
        <v>7781633798</v>
      </c>
      <c r="C88" s="2" t="str">
        <f>=HYPERLINK("https://weidian.com/item.html?itemID=7781633798", "https://weidian.com/item.html?itemID=7781633798")</f>
        <v>https://weidian.com/item.html?itemID=7781633798</v>
      </c>
      <c r="D88"/>
      <c r="E88" s="2" t="str">
        <f>=HYPERLINK("https://si.geilicdn.com/open1839115443-252808396-5bd90000019e87fab5980a23b491_1000_1000.jpg?w=640&amp;h=640", "https://si.geilicdn.com/open1839115443-252808396-5bd90000019e87fab5980a23b491_1000_1000.jpg?w=640&amp;h=640")</f>
        <v>https://si.geilicdn.com/open1839115443-252808396-5bd90000019e87fab5980a23b491_1000_1000.jpg?w=640&amp;h=640</v>
      </c>
      <c r="F88" t="inlineStr">
        <is>
          <t>T-Shirts</t>
        </is>
      </c>
      <c r="G88" t="inlineStr">
        <is>
          <t>Trapstar</t>
        </is>
      </c>
      <c r="H88" t="inlineStr">
        <is>
          <t>58.5</t>
        </is>
      </c>
      <c r="I88">
        <v>8.48</v>
      </c>
      <c r="J88" t="inlineStr">
        <is>
          <t>{"id":"resp_0cb7604ddb05f080016a224bf58f48819b8f3bb5fc7961de35","object":"chat.completion","created":1780632569,"model":"gpt-5.5","choices":[{"index":0,"message":{"role":"assistant","content":"Trapstar Street Series Basketball Graphic Cotton T-Shirt"},"finish_reason":"stop"}],"usage":{"prompt_tokens":970,"completion_tokens":112,"total_tokens":1082}}</t>
        </is>
      </c>
      <c r="K88" t="inlineStr">
        <is>
          <t>Trapstar Street Series Basketball Graphic Cotton T-Shirt</t>
        </is>
      </c>
      <c r="L88" t="inlineStr">
        <is>
          <t>{"id":"resp_0e01ac71fab9c57a016a224a05a064819aaa29b140c18849a3","object":"chat.completion","created":1780632071,"model":"gpt-5.5","choices":[{"index":0,"message":{"role":"assistant","content":"Trapstar White Street Series T-Shirt, cotton short sleeve tee with blue red letter and basketball graphic, unisex casual streetwear top"},"finish_reason":"stop"}],"usage":{"prompt_tokens":985,"completion_tokens":61,"total_tokens":1046}}</t>
        </is>
      </c>
      <c r="M88" t="inlineStr">
        <is>
          <t>{"alt-svc":"h3=\":443\"; ma=2592000","connection":"close","content-length":"429","content-type":"application/json; charset=utf-8","date":"Fri, 05 Jun 2026 04:01:11 GMT","referrer-policy":"strict-origin-when-cross-origin","server":"nginx/1.24.0 (Ubuntu)","strict-transport-security":"max-age=31536000; includeSubDomains; preload","vary":"Accept-Encoding","via":"1.1 Caddy","x-content-type-options":"nosniff","x-frame-options":"DENY","x-new-api-version":"v1.0.0-rc.10","x-oneapi-request-id":"202606050401093902422648268d9d6Rbyao6Bz","x-request-id":"6e2081d150074b3cfcc63f7e9d8b82c6"}</t>
        </is>
      </c>
      <c r="N88" t="inlineStr">
        <is>
          <t>Trapstar White Street Series T-Shirt, cotton short sleeve tee with blue red letter and basketball graphic, unisex casual streetwear top</t>
        </is>
      </c>
      <c r="O88" t="inlineStr">
        <is>
          <t>{"id":"resp_0be79e6a6917198a016a2269bff84081989c4d9ba53da40e34","object":"chat.completion","created":1780640195,"model":"gpt-5.5","choices":[{"index":0,"message":{"role":"assistant","content":"Trapstar White Street Series T-Shirt, Trapstar cotton short sleeve tee, unisex streetwear graphic T-shirt, Trapstar basketball graphic tee, blue red letter casual top, Trapstar street fashion tee"},"finish_reason":"stop"}],"usage":{"prompt_tokens":856,"completion_tokens":44,"total_tokens":900}}</t>
        </is>
      </c>
      <c r="P88" t="inlineStr">
        <is>
          <t>Trapstar White Street Series T-Shirt, Trapstar cotton short sleeve tee, unisex streetwear graphic T-shirt, Trapstar basketball graphic tee, blue red letter casual top, Trapstar street fashion tee</t>
        </is>
      </c>
      <c r="Q88" t="inlineStr">
        <is>
          <t>White, Streetwear, Unisex</t>
        </is>
      </c>
      <c r="R88" t="inlineStr">
        <is>
          <t>recvlts3M1Vg1y</t>
        </is>
      </c>
      <c r="S88" t="inlineStr">
        <is>
          <t>trapstar-street-series-basketball-graphic-cotton-t-shirt-recvlts3m1vg1y</t>
        </is>
      </c>
      <c r="T88"/>
      <c r="U88"/>
      <c r="V88"/>
      <c r="W88" t="inlineStr">
        <is>
          <t>{"id":"resp_01d48efc32e7a8c1016a2247ea564c81998429fae3af0d4f1e","object":"chat.completion","created":1780631533,"model":"gpt-5.5","choices":[{"index":0,"message":{"role":"assistant","content":"Trapstar 白色Street Series短袖T恤，纯棉休闲面料，蓝红字母与篮球图腾印花，男女同款街头潮流上衣"},"finish_reason":"stop"}],"usage":{"prompt_tokens":1291,"completion_tokens":44,"total_tokens":1335}}</t>
        </is>
      </c>
      <c r="X88" t="inlineStr">
        <is>
          <t>Trapstar 白色Street Series短袖T恤，纯棉休闲面料，蓝红字母与篮球图腾印花，男女同款街头潮流上衣</t>
        </is>
      </c>
    </row>
    <row r="89" ht="25.5" customHeight="1">
      <c r="A89">
        <v>1839115443</v>
      </c>
      <c r="B89">
        <v>7781529548</v>
      </c>
      <c r="C89" s="2" t="str">
        <f>=HYPERLINK("https://weidian.com/item.html?itemID=7781529548", "https://weidian.com/item.html?itemID=7781529548")</f>
        <v>https://weidian.com/item.html?itemID=7781529548</v>
      </c>
      <c r="D89"/>
      <c r="E89" s="2" t="str">
        <f>=HYPERLINK("https://si.geilicdn.com/open1839115443-252808396-56f80000019e87fb4cfd0aa08239_1920_1920.jpg?w=640&amp;h=640", "https://si.geilicdn.com/open1839115443-252808396-56f80000019e87fb4cfd0aa08239_1920_1920.jpg?w=640&amp;h=640")</f>
        <v>https://si.geilicdn.com/open1839115443-252808396-56f80000019e87fb4cfd0aa08239_1920_1920.jpg?w=640&amp;h=640</v>
      </c>
      <c r="F89" t="inlineStr">
        <is>
          <t>Hoodies</t>
        </is>
      </c>
      <c r="G89" t="inlineStr">
        <is>
          <t>Trapstar</t>
        </is>
      </c>
      <c r="H89" t="inlineStr">
        <is>
          <t>102</t>
        </is>
      </c>
      <c r="I89">
        <v>14.78</v>
      </c>
      <c r="J89" t="inlineStr">
        <is>
          <t>{"id":"resp_0afbde384ef993e4016a224bf0780c819b9e3c6f1174afed4d","object":"chat.completion","created":1780632561,"model":"gpt-5.5","choices":[{"index":0,"message":{"role":"assistant","content":"Trapstar Gray Fleece Hoodie Tracksuit Set Streetwear"},"finish_reason":"stop"}],"usage":{"prompt_tokens":981,"completion_tokens":15,"total_tokens":996}}</t>
        </is>
      </c>
      <c r="K89" t="inlineStr">
        <is>
          <t>Trapstar Gray Fleece Hoodie Tracksuit Set Streetwear</t>
        </is>
      </c>
      <c r="L89" t="inlineStr">
        <is>
          <t>{"id":"resp_03631d7d23634318016a224a218734819ba677e3cec48233a7","object":"chat.completion","created":1780632100,"model":"gpt-5.5","choices":[{"index":0,"message":{"role":"assistant","content":"Trapstar gray hoodie tracksuit, cotton fleece pullover with gradient letter logo, drawstring hood, kangaroo pocket, unisex streetwear sportswear set"},"finish_reason":"stop"}],"usage":{"prompt_tokens":1004,"completion_tokens":101,"total_tokens":1105}}</t>
        </is>
      </c>
      <c r="M89" t="inlineStr">
        <is>
          <t>{"alt-svc":"h3=\":443\"; ma=2592000","connection":"close","content-length":"444","content-type":"application/json; charset=utf-8","date":"Fri, 05 Jun 2026 04:01:40 GMT","referrer-policy":"strict-origin-when-cross-origin","server":"nginx/1.24.0 (Ubuntu)","strict-transport-security":"max-age=31536000; includeSubDomains; preload","vary":"Accept-Encoding","via":"1.1 Caddy","x-content-type-options":"nosniff","x-frame-options":"DENY","x-new-api-version":"v1.0.0-rc.10","x-oneapi-request-id":"202606050401373201089538268d9d6mCV5hzfj","x-request-id":"93aac00d5e0a5516c0ebdd622933a34a"}</t>
        </is>
      </c>
      <c r="N89" t="inlineStr">
        <is>
          <t>Trapstar gray hoodie tracksuit, cotton fleece pullover with gradient letter logo, drawstring hood, kangaroo pocket, unisex streetwear sportswear set</t>
        </is>
      </c>
      <c r="O89" t="inlineStr">
        <is>
          <t>{"id":"resp_0eb655358ad19e46016a22697129e481998f0092c471e87cb1","object":"chat.completion","created":1780640117,"model":"gpt-5.5","choices":[{"index":0,"message":{"role":"assistant","content":"Trapstar gray hoodie tracksuit, Trapstar cotton fleece pullover set, Trapstar gradient logo tracksuit, Trapstar drawstring hood sportswear, Trapstar kangaroo pocket hoodie, unisex streetwear tracksuit"},"finish_reason":"stop"}],"usage":{"prompt_tokens":862,"completion_tokens":47,"total_tokens":909}}</t>
        </is>
      </c>
      <c r="P89" t="inlineStr">
        <is>
          <t>Trapstar gray hoodie tracksuit, Trapstar cotton fleece pullover set, Trapstar gradient logo tracksuit, Trapstar drawstring hood sportswear, Trapstar kangaroo pocket hoodie, unisex streetwear tracksuit</t>
        </is>
      </c>
      <c r="Q89" t="inlineStr">
        <is>
          <t>Gray, Streetwear, Unisex, Fleece-Lined, Gradient</t>
        </is>
      </c>
      <c r="R89" t="inlineStr">
        <is>
          <t>recvlts3M1VIH3</t>
        </is>
      </c>
      <c r="S89" t="inlineStr">
        <is>
          <t>trapstar-gray-fleece-hoodie-tracksuit-recvlts3m1vih3</t>
        </is>
      </c>
      <c r="T89"/>
      <c r="U89"/>
      <c r="V89"/>
      <c r="W89" t="inlineStr">
        <is>
          <t>{"id":"resp_007a4a41be0c98e3016a22483ad220819aa01b9af863d636d7","object":"chat.completion","created":1780631617,"model":"gpt-5.5","choices":[{"index":0,"message":{"role":"assistant","content":"灰色Trapstar连帽卫衣套装，棉质抓绒面料，胸前渐变字母Logo印花，抽绳袋鼠兜设计，男女同款街头休闲运动套装"},"finish_reason":"stop"}],"usage":{"prompt_tokens":1294,"completion_tokens":136,"total_tokens":1430}}</t>
        </is>
      </c>
      <c r="X89" t="inlineStr">
        <is>
          <t>灰色Trapstar连帽卫衣套装，棉质抓绒面料，胸前渐变字母Logo印花，抽绳袋鼠兜设计，男女同款街头休闲运动套装</t>
        </is>
      </c>
    </row>
    <row r="90" ht="25.5" customHeight="1">
      <c r="A90">
        <v>1839115443</v>
      </c>
      <c r="B90">
        <v>7781608288</v>
      </c>
      <c r="C90" s="2" t="str">
        <f>=HYPERLINK("https://weidian.com/item.html?itemID=7781608288", "https://weidian.com/item.html?itemID=7781608288")</f>
        <v>https://weidian.com/item.html?itemID=7781608288</v>
      </c>
      <c r="D90"/>
      <c r="E90" s="2" t="str">
        <f>=HYPERLINK("https://si.geilicdn.com/open1839115443-252808396-42c40000019e87fb9b380a8115c2_1200_1200.jpg?w=640&amp;h=640", "https://si.geilicdn.com/open1839115443-252808396-42c40000019e87fb9b380a8115c2_1200_1200.jpg?w=640&amp;h=640")</f>
        <v>https://si.geilicdn.com/open1839115443-252808396-42c40000019e87fb9b380a8115c2_1200_1200.jpg?w=640&amp;h=640</v>
      </c>
      <c r="F90" t="inlineStr">
        <is>
          <t>T-Shirts</t>
        </is>
      </c>
      <c r="G90" t="inlineStr">
        <is>
          <t>Trapstar</t>
        </is>
      </c>
      <c r="H90" t="inlineStr">
        <is>
          <t>58.5</t>
        </is>
      </c>
      <c r="I90">
        <v>8.48</v>
      </c>
      <c r="J90" t="inlineStr">
        <is>
          <t>{"id":"resp_088e76cdf8e28400016a224c2505c48198bfe77ea7f176f405","object":"chat.completion","created":1780632614,"model":"gpt-5.5","choices":[{"index":0,"message":{"role":"assistant","content":"Trapstar Rest When Dead Palm Skull T-Shirt"},"finish_reason":"stop"}],"usage":{"prompt_tokens":974,"completion_tokens":13,"total_tokens":987}}</t>
        </is>
      </c>
      <c r="K90" t="inlineStr">
        <is>
          <t>Trapstar Rest When Dead Palm Skull T-Shirt</t>
        </is>
      </c>
      <c r="L90" t="inlineStr">
        <is>
          <t>{"id":"resp_08ddf931db600e74016a2249a6e4988199a790c61c20bb3b56","object":"chat.completion","created":1780631977,"model":"gpt-5.5","choices":[{"index":0,"message":{"role":"assistant","content":"Trapstar Black Rest When Dead T-Shirt, cotton unisex streetwear tee with chest logo and back palm skull graphic, casual short sleeve top"},"finish_reason":"stop"}],"usage":{"prompt_tokens":997,"completion_tokens":32,"total_tokens":1029}}</t>
        </is>
      </c>
      <c r="M90" t="inlineStr">
        <is>
          <t>{"alt-svc":"h3=\":443\"; ma=2592000","connection":"close","content-length":"430","content-type":"application/json; charset=utf-8","date":"Fri, 05 Jun 2026 03:59:37 GMT","referrer-policy":"strict-origin-when-cross-origin","server":"nginx/1.24.0 (Ubuntu)","strict-transport-security":"max-age=31536000; includeSubDomains; preload","vary":"Accept-Encoding","via":"1.1 Caddy","x-content-type-options":"nosniff","x-frame-options":"DENY","x-new-api-version":"v1.0.0-rc.10","x-oneapi-request-id":"202606050359346545610828268d9d698yAvcrB","x-request-id":"a0f5500ddb08ac747572af81a235000d"}</t>
        </is>
      </c>
      <c r="N90" t="inlineStr">
        <is>
          <t>Trapstar Black Rest When Dead T-Shirt, cotton unisex streetwear tee with chest logo and back palm skull graphic, casual short sleeve top</t>
        </is>
      </c>
      <c r="O90" t="inlineStr">
        <is>
          <t>{"id":"resp_0c523051c3b1f8ce016a226940c6388191bcda580464984498","object":"chat.completion","created":1780640067,"model":"gpt-5.5","choices":[{"index":0,"message":{"role":"assistant","content":"Trapstar Black Rest When Dead T-Shirt, Trapstar cotton streetwear tee, unisex short sleeve graphic top, Trapstar chest logo T-shirt, back palm skull graphic tee, casual Trapstar crew neck shirt"},"finish_reason":"stop"}],"usage":{"prompt_tokens":858,"completion_tokens":46,"total_tokens":904}}</t>
        </is>
      </c>
      <c r="P90" t="inlineStr">
        <is>
          <t>Trapstar Black Rest When Dead T-Shirt, Trapstar cotton streetwear tee, unisex short sleeve graphic top, Trapstar chest logo T-shirt, back palm skull graphic tee, casual Trapstar crew neck shirt</t>
        </is>
      </c>
      <c r="Q90" t="inlineStr">
        <is>
          <t>Streetwear, Unisex, Black</t>
        </is>
      </c>
      <c r="R90" t="inlineStr">
        <is>
          <t>recvlts3M1EPml</t>
        </is>
      </c>
      <c r="S90" t="inlineStr">
        <is>
          <t>trapstar-rest-when-dead-palm-skull-recvlts3m1epml</t>
        </is>
      </c>
      <c r="T90"/>
      <c r="U90"/>
      <c r="V90"/>
      <c r="W90" t="inlineStr">
        <is>
          <t>{"id":"resp_00afbd4a7aee36fa016a2247e623a8819bad829303ff6b81d2","object":"chat.completion","created":1780631529,"model":"gpt-5.5","choices":[{"index":0,"message":{"role":"assistant","content":"Trapstar 黑色Rest When Dead短袖T恤，纯棉休闲面料，胸前Logo与背部椰树骷髅印花，男女同款街头潮牌上衣"},"finish_reason":"stop"}],"usage":{"prompt_tokens":1295,"completion_tokens":50,"total_tokens":1345,"prompt_tokens_details":{"cached_tokens":1024}}}</t>
        </is>
      </c>
      <c r="X90" t="inlineStr">
        <is>
          <t>Trapstar 黑色Rest When Dead短袖T恤，纯棉休闲面料，胸前Logo与背部椰树骷髅印花，男女同款街头潮牌上衣</t>
        </is>
      </c>
    </row>
    <row r="91" ht="25.5" customHeight="1">
      <c r="A91">
        <v>1839115443</v>
      </c>
      <c r="B91">
        <v>7781598230</v>
      </c>
      <c r="C91" s="2" t="str">
        <f>=HYPERLINK("https://weidian.com/item.html?itemID=7781598230", "https://weidian.com/item.html?itemID=7781598230")</f>
        <v>https://weidian.com/item.html?itemID=7781598230</v>
      </c>
      <c r="D91"/>
      <c r="E91" s="2" t="str">
        <f>=HYPERLINK("https://si.geilicdn.com/open1839115443-252808396-61800000019e87fbec700a22d249_1200_1200.jpg?w=640&amp;h=640", "https://si.geilicdn.com/open1839115443-252808396-61800000019e87fbec700a22d249_1200_1200.jpg?w=640&amp;h=640")</f>
        <v>https://si.geilicdn.com/open1839115443-252808396-61800000019e87fbec700a22d249_1200_1200.jpg?w=640&amp;h=640</v>
      </c>
      <c r="F91" t="inlineStr">
        <is>
          <t>T-Shirts</t>
        </is>
      </c>
      <c r="G91" t="inlineStr">
        <is>
          <t>Trapstar</t>
        </is>
      </c>
      <c r="H91" t="inlineStr">
        <is>
          <t>58.5</t>
        </is>
      </c>
      <c r="I91">
        <v>8.48</v>
      </c>
      <c r="J91" t="inlineStr">
        <is>
          <t>{"id":"resp_0811d44bacc526e5016a224c02b298819bbfb93142a49c269b","object":"chat.completion","created":1780632580,"model":"gpt-5.5","choices":[{"index":0,"message":{"role":"assistant","content":"Trapstar Black Strikers Shark Graphic Cotton T-Shirt"},"finish_reason":"stop"}],"usage":{"prompt_tokens":968,"completion_tokens":60,"total_tokens":1028}}</t>
        </is>
      </c>
      <c r="K91" t="inlineStr">
        <is>
          <t>Trapstar Black Strikers Shark Graphic Cotton T-Shirt</t>
        </is>
      </c>
      <c r="L91" t="inlineStr">
        <is>
          <t>{"id":"resp_02cd82b846491364016a2249a53b60819aa9dab1ce4ccc8ce6","object":"chat.completion","created":1780631976,"model":"gpt-5.5","choices":[{"index":0,"message":{"role":"assistant","content":"Trapstar Black Strikers T-Shirt, cotton crew neck short sleeve with front and back shark graphic, unisex streetwear top"},"finish_reason":"stop"}],"usage":{"prompt_tokens":981,"completion_tokens":87,"total_tokens":1068}}</t>
        </is>
      </c>
      <c r="M91" t="inlineStr">
        <is>
          <t>{"alt-svc":"h3=\":443\"; ma=2592000","connection":"close","content-length":"413","content-type":"application/json; charset=utf-8","date":"Fri, 05 Jun 2026 03:59:36 GMT","referrer-policy":"strict-origin-when-cross-origin","server":"nginx/1.24.0 (Ubuntu)","strict-transport-security":"max-age=31536000; includeSubDomains; preload","vary":"Accept-Encoding","via":"1.1 Caddy","x-content-type-options":"nosniff","x-frame-options":"DENY","x-new-api-version":"v1.0.0-rc.10","x-oneapi-request-id":"202606050359328417653428268d9d6Kukaz4kQ","x-request-id":"e3e7a1df3b2b05c6a4ed321c417ddef5"}</t>
        </is>
      </c>
      <c r="N91" t="inlineStr">
        <is>
          <t>Trapstar Black Strikers T-Shirt, cotton crew neck short sleeve with front and back shark graphic, unisex streetwear top</t>
        </is>
      </c>
      <c r="O91" t="inlineStr">
        <is>
          <t>{"id":"resp_0cac39b38f59436c016a2269f91d1c819aaff6946f49ff516a","object":"chat.completion","created":1780640251,"model":"gpt-5.5","choices":[{"index":0,"message":{"role":"assistant","content":"Trapstar Black Strikers T-Shirt, Trapstar shark graphic tee, Trapstar cotton crew neck T-shirt, unisex streetwear short sleeve top, black Trapstar front back print tee, Trapstar Strikers cotton T-shirt"},"finish_reason":"stop"}],"usage":{"prompt_tokens":855,"completion_tokens":49,"total_tokens":904}}</t>
        </is>
      </c>
      <c r="P91" t="inlineStr">
        <is>
          <t>Trapstar Black Strikers T-Shirt, Trapstar shark graphic tee, Trapstar cotton crew neck T-shirt, unisex streetwear short sleeve top, black Trapstar front back print tee, Trapstar Strikers cotton T-shirt</t>
        </is>
      </c>
      <c r="Q91" t="inlineStr">
        <is>
          <t>Streetwear, Unisex, Black, Summer</t>
        </is>
      </c>
      <c r="R91" t="inlineStr">
        <is>
          <t>recvlts3M1bH6u</t>
        </is>
      </c>
      <c r="S91" t="inlineStr">
        <is>
          <t>trapstar-black-strikers-shark-graphic-recvlts3M1bH6u</t>
        </is>
      </c>
      <c r="T91"/>
      <c r="U91"/>
      <c r="V91"/>
      <c r="W91" t="inlineStr">
        <is>
          <t>{"id":"resp_06b4bc0eec2b4229016a224805c3988198b93d3cc24d027df5","object":"chat.completion","created":1780631559,"model":"gpt-5.5","choices":[{"index":0,"message":{"role":"assistant","content":"Trapstar 黑色Strikers系列短袖T恤，纯棉圆领，前后鲨鱼图腾印花，街头潮流男女同款上衣"},"finish_reason":"stop"}],"usage":{"prompt_tokens":1289,"completion_tokens":42,"total_tokens":1331}}</t>
        </is>
      </c>
      <c r="X91" t="inlineStr">
        <is>
          <t>Trapstar 黑色Strikers系列短袖T恤，纯棉圆领，前后鲨鱼图腾印花，街头潮流男女同款上衣</t>
        </is>
      </c>
    </row>
    <row r="92" ht="25.5" customHeight="1">
      <c r="A92">
        <v>1839115443</v>
      </c>
      <c r="B92">
        <v>7781631658</v>
      </c>
      <c r="C92" s="2" t="str">
        <f>=HYPERLINK("https://weidian.com/item.html?itemID=7781631658", "https://weidian.com/item.html?itemID=7781631658")</f>
        <v>https://weidian.com/item.html?itemID=7781631658</v>
      </c>
      <c r="D92"/>
      <c r="E92" s="2" t="str">
        <f>=HYPERLINK("https://si.geilicdn.com/open1839115443-252808396-5c520000019e87f2ab9d0a22d249_1920_1920.jpg?w=640&amp;h=640", "https://si.geilicdn.com/open1839115443-252808396-5c520000019e87f2ab9d0a22d249_1920_1920.jpg?w=640&amp;h=640")</f>
        <v>https://si.geilicdn.com/open1839115443-252808396-5c520000019e87f2ab9d0a22d249_1920_1920.jpg?w=640&amp;h=640</v>
      </c>
      <c r="F92" t="inlineStr">
        <is>
          <t>T-Shirts</t>
        </is>
      </c>
      <c r="G92" t="inlineStr">
        <is>
          <t>Gallery Dept</t>
        </is>
      </c>
      <c r="H92" t="inlineStr">
        <is>
          <t>63</t>
        </is>
      </c>
      <c r="I92">
        <v>9.13</v>
      </c>
      <c r="J92" t="inlineStr">
        <is>
          <t>{"id":"resp_0e21dac179ae8d5f016a224b6f952481999c3324668c527383","object":"chat.completion","created":1780632433,"model":"gpt-5.5","choices":[{"index":0,"message":{"role":"assistant","content":"Gallery Dept Inverted Logo Black Cotton T-Shirt"},"finish_reason":"stop"}],"usage":{"prompt_tokens":966,"completion_tokens":13,"total_tokens":979}}</t>
        </is>
      </c>
      <c r="K92" t="inlineStr">
        <is>
          <t>Gallery Dept Inverted Logo Black Cotton T-Shirt</t>
        </is>
      </c>
      <c r="L92" t="inlineStr">
        <is>
          <t>{"id":"resp_01217990ca8b3516016a224a0c7de0819a9691680a2947d7b9","object":"chat.completion","created":1780632078,"model":"gpt-5.5","choices":[{"index":0,"message":{"role":"assistant","content":"Gallery Dept Inverted Logo Black T-Shirt, cotton unisex crew neck tee, casual streetwear, American vintage style top"},"finish_reason":"stop"}],"usage":{"prompt_tokens":975,"completion_tokens":28,"total_tokens":1003}}</t>
        </is>
      </c>
      <c r="M92" t="inlineStr">
        <is>
          <t>{"alt-svc":"h3=\":443\"; ma=2592000","connection":"close","content-length":"410","content-type":"application/json; charset=utf-8","date":"Fri, 05 Jun 2026 04:01:18 GMT","referrer-policy":"strict-origin-when-cross-origin","server":"nginx/1.24.0 (Ubuntu)","strict-transport-security":"max-age=31536000; includeSubDomains; preload","vary":"Accept-Encoding","via":"1.1 Caddy","x-content-type-options":"nosniff","x-frame-options":"DENY","x-new-api-version":"v1.0.0-rc.10","x-oneapi-request-id":"20260605040116695403108268d9d6Thb8Rsyy","x-request-id":"6bdf87d52b32eedabf668d8f0d741604"}</t>
        </is>
      </c>
      <c r="N92" t="inlineStr">
        <is>
          <t>Gallery Dept Inverted Logo Black T-Shirt, cotton unisex crew neck tee, casual streetwear, American vintage style top</t>
        </is>
      </c>
      <c r="O92" t="inlineStr">
        <is>
          <t>{"id":"resp_0fb768ae178876ce016a22698713848198851530a80b626500","object":"chat.completion","created":1780640137,"model":"gpt-5.5","choices":[{"index":0,"message":{"role":"assistant","content":"Gallery Dept Inverted Logo T-Shirt, Gallery Dept Black Cotton Tee, Unisex Crew Neck Streetwear T-Shirt, American Vintage Graphic Top, Gallery Dept Casual Cotton Shirt, Gallery Dept Logo Short Sleeve Tee"},"finish_reason":"stop"}],"usage":{"prompt_tokens":854,"completion_tokens":44,"total_tokens":898}}</t>
        </is>
      </c>
      <c r="P92" t="inlineStr">
        <is>
          <t>Gallery Dept Inverted Logo T-Shirt, Gallery Dept Black Cotton Tee, Unisex Crew Neck Streetwear T-Shirt, American Vintage Graphic Top, Gallery Dept Casual Cotton Shirt, Gallery Dept Logo Short Sleeve Tee</t>
        </is>
      </c>
      <c r="Q92" t="inlineStr">
        <is>
          <t>Streetwear, Vintage, Unisex</t>
        </is>
      </c>
      <c r="R92" t="inlineStr">
        <is>
          <t>recvlts3M1zRg5</t>
        </is>
      </c>
      <c r="S92" t="inlineStr">
        <is>
          <t>gallery-dept-inverted-logo-black-cotton-tshirt-recvlts3m1zrg5</t>
        </is>
      </c>
      <c r="T92"/>
      <c r="U92"/>
      <c r="V92"/>
      <c r="W92" t="inlineStr">
        <is>
          <t>{"id":"resp_06c5a56b14bbc7d9016a22487a635881998b4fc7941ad04fc7","object":"chat.completion","created":1780631676,"model":"gpt-5.5","choices":[{"index":0,"message":{"role":"assistant","content":"Gallery Dept 倒置Logo黑色短袖T恤，纯棉休闲街头风男女同款，美式复古潮牌圆领上衣"},"finish_reason":"stop"}],"usage":{"prompt_tokens":1297,"completion_tokens":39,"total_tokens":1336}}</t>
        </is>
      </c>
      <c r="X92" t="inlineStr">
        <is>
          <t>Gallery Dept 倒置Logo黑色短袖T恤，纯棉休闲街头风男女同款，美式复古潮牌圆领上衣</t>
        </is>
      </c>
    </row>
    <row r="93" ht="25.5" customHeight="1">
      <c r="A93">
        <v>1839115443</v>
      </c>
      <c r="B93">
        <v>7778596341</v>
      </c>
      <c r="C93" s="2" t="str">
        <f>=HYPERLINK("https://weidian.com/item.html?itemID=7778596341", "https://weidian.com/item.html?itemID=7778596341")</f>
        <v>https://weidian.com/item.html?itemID=7778596341</v>
      </c>
      <c r="D93"/>
      <c r="E93" s="2" t="str">
        <f>=HYPERLINK("https://si.geilicdn.com/open1839115443-252808396-344b0000019e87f3260a0a8133b0_1000_1000.jpg?w=640&amp;h=640", "https://si.geilicdn.com/open1839115443-252808396-344b0000019e87f3260a0a8133b0_1000_1000.jpg?w=640&amp;h=640")</f>
        <v>https://si.geilicdn.com/open1839115443-252808396-344b0000019e87f3260a0a8133b0_1000_1000.jpg?w=640&amp;h=640</v>
      </c>
      <c r="F93" t="inlineStr">
        <is>
          <t>Hoodies</t>
        </is>
      </c>
      <c r="G93" t="inlineStr">
        <is>
          <t>Gallery Dept</t>
        </is>
      </c>
      <c r="H93" t="inlineStr">
        <is>
          <t>117</t>
        </is>
      </c>
      <c r="I93">
        <v>16.96</v>
      </c>
      <c r="J93" t="inlineStr">
        <is>
          <t>{"id":"resp_01d59519d609e0c5016a224b7d5090819b89bd0747dd7df956","object":"chat.completion","created":1780632449,"model":"gpt-5.5","choices":[{"index":0,"message":{"role":"assistant","content":"Gallery Dept Black Beverly Blvd Embroidered Sweatshirt"},"finish_reason":"stop"}],"usage":{"prompt_tokens":965,"completion_tokens":197,"total_tokens":1162}}</t>
        </is>
      </c>
      <c r="K93" t="inlineStr">
        <is>
          <t>Gallery Dept Black Beverly Blvd Embroidered Sweatshirt</t>
        </is>
      </c>
      <c r="L93" t="inlineStr">
        <is>
          <t>{"id":"resp_0339250bf2a501eb016a224a3c3ca8819a95e3f64ae02d0be8","object":"chat.completion","created":1780632128,"model":"gpt-5.5","choices":[{"index":0,"message":{"role":"assistant","content":"Gallery Dept Black Beverly Blvd colorful letter embroidered crewneck sweatshirt, cotton casual streetwear pullover, unisex oversized top"},"finish_reason":"stop"}],"usage":{"prompt_tokens":974,"completion_tokens":95,"total_tokens":1069}}</t>
        </is>
      </c>
      <c r="M93" t="inlineStr">
        <is>
          <t>{"alt-svc":"h3=\":443\"; ma=2592000","connection":"close","content-length":"430","content-type":"application/json; charset=utf-8","date":"Fri, 05 Jun 2026 04:02:08 GMT","referrer-policy":"strict-origin-when-cross-origin","server":"nginx/1.24.0 (Ubuntu)","strict-transport-security":"max-age=31536000; includeSubDomains; preload","vary":"Accept-Encoding","via":"1.1 Caddy","x-content-type-options":"nosniff","x-frame-options":"DENY","x-new-api-version":"v1.0.0-rc.10","x-oneapi-request-id":"202606050402039882130978268d9d6HWKJhSpy","x-request-id":"b144d2078260b08a70a8992b9098641d"}</t>
        </is>
      </c>
      <c r="N93" t="inlineStr">
        <is>
          <t>Gallery Dept Black Beverly Blvd colorful letter embroidered crewneck sweatshirt, cotton casual streetwear pullover, unisex oversized top</t>
        </is>
      </c>
      <c r="O93" t="inlineStr">
        <is>
          <t>{"id":"resp_0eae95feded23d3d016a2269e3ebb08198bfeed37c1420b293","object":"chat.completion","created":1780640229,"model":"gpt-5.5","choices":[{"index":0,"message":{"role":"assistant","content":"Gallery Dept hoodies, Gallery Dept crewneck sweatshirt, Gallery Dept Beverly Blvd pullover, cotton oversized streetwear sweatshirt, unisex embroidered letter hoodie, Gallery Dept casual sweatshirt"},"finish_reason":"stop"}],"usage":{"prompt_tokens":854,"completion_tokens":38,"total_tokens":892}}</t>
        </is>
      </c>
      <c r="P93" t="inlineStr">
        <is>
          <t>Gallery Dept hoodies, Gallery Dept crewneck sweatshirt, Gallery Dept Beverly Blvd pullover, cotton oversized streetwear sweatshirt, unisex embroidered letter hoodie, Gallery Dept casual sweatshirt</t>
        </is>
      </c>
      <c r="Q93" t="inlineStr">
        <is>
          <t>Black, Colorful, Streetwear, Unisex</t>
        </is>
      </c>
      <c r="R93" t="inlineStr">
        <is>
          <t>recvlts3M1FN3J</t>
        </is>
      </c>
      <c r="S93" t="inlineStr">
        <is>
          <t>gallery-dept-black-beverly-blvd-embroidered-sweatshirt-recvlts3M1FN3J</t>
        </is>
      </c>
      <c r="T93"/>
      <c r="U93"/>
      <c r="V93"/>
      <c r="W93" t="inlineStr">
        <is>
          <t>{"id":"resp_0959764138cca439016a224800e0dc8199ad03097f9208fec7","object":"chat.completion","created":1780631555,"model":"gpt-5.5","choices":[{"index":0,"message":{"role":"assistant","content":"Gallery Dept 黑色Beverly Blvd彩色字母刺绣圆领卫衣，棉质休闲街头男女同款套头衫"},"finish_reason":"stop"}],"usage":{"prompt_tokens":1298,"completion_tokens":38,"total_tokens":1336}}</t>
        </is>
      </c>
      <c r="X93" t="inlineStr">
        <is>
          <t>Gallery Dept 黑色Beverly Blvd彩色字母刺绣圆领卫衣，棉质休闲街头男女同款套头衫</t>
        </is>
      </c>
    </row>
    <row r="94" ht="25.5" customHeight="1">
      <c r="A94">
        <v>1839115443</v>
      </c>
      <c r="B94">
        <v>7781586320</v>
      </c>
      <c r="C94" s="2" t="str">
        <f>=HYPERLINK("https://weidian.com/item.html?itemID=7781586320", "https://weidian.com/item.html?itemID=7781586320")</f>
        <v>https://weidian.com/item.html?itemID=7781586320</v>
      </c>
      <c r="D94"/>
      <c r="E94" s="2" t="str">
        <f>=HYPERLINK("https://si.geilicdn.com/open1839115443-252808396-5c660000019e87f2d5160a22d249_1500_1500.jpg?w=640&amp;h=640", "https://si.geilicdn.com/open1839115443-252808396-5c660000019e87f2d5160a22d249_1500_1500.jpg?w=640&amp;h=640")</f>
        <v>https://si.geilicdn.com/open1839115443-252808396-5c660000019e87f2d5160a22d249_1500_1500.jpg?w=640&amp;h=640</v>
      </c>
      <c r="F94" t="inlineStr">
        <is>
          <t>Pants</t>
        </is>
      </c>
      <c r="G94" t="inlineStr">
        <is>
          <t>Gallery Dept</t>
        </is>
      </c>
      <c r="H94" t="inlineStr">
        <is>
          <t>139.5</t>
        </is>
      </c>
      <c r="I94">
        <v>20.22</v>
      </c>
      <c r="J94" t="inlineStr">
        <is>
          <t>{"id":"resp_0cc6ba21d94d588d016a224ba1f25c819ab304fe9847f1ff0c","object":"chat.completion","created":1780632487,"model":"gpt-5.5","choices":[{"index":0,"message":{"role":"assistant","content":"Gallery Dept Unisex Patchwork Side Slit Cotton Sweatpants"},"finish_reason":"stop"}],"usage":{"prompt_tokens":972,"completion_tokens":174,"total_tokens":1146}}</t>
        </is>
      </c>
      <c r="K94" t="inlineStr">
        <is>
          <t>Gallery Dept Unisex Patchwork Side Slit Cotton Sweatpants</t>
        </is>
      </c>
      <c r="L94" t="inlineStr">
        <is>
          <t>{"id":"resp_0454f8154d7e7fcb016a2249c456a481998443fd903461eec9","object":"chat.completion","created":1780632006,"model":"gpt-5.5","choices":[{"index":0,"message":{"role":"assistant","content":"Gallery Dept black patchwork sweatpants, elastic waist straight fit cotton joggers with side slits, unisex streetwear casual track pants"},"finish_reason":"stop"}],"usage":{"prompt_tokens":987,"completion_tokens":31,"total_tokens":1018}}</t>
        </is>
      </c>
      <c r="M94" t="inlineStr">
        <is>
          <t>{"alt-svc":"h3=\":443\"; ma=2592000","connection":"close","content-length":"430","content-type":"application/json; charset=utf-8","date":"Fri, 05 Jun 2026 04:00:06 GMT","referrer-policy":"strict-origin-when-cross-origin","server":"nginx/1.24.0 (Ubuntu)","strict-transport-security":"max-age=31536000; includeSubDomains; preload","vary":"Accept-Encoding","via":"1.1 Caddy","x-content-type-options":"nosniff","x-frame-options":"DENY","x-new-api-version":"v1.0.0-rc.10","x-oneapi-request-id":"20260605040004957953688268d9d6Qaq1MLM8","x-request-id":"fa7a85267fa22616ed9181362ab13c62"}</t>
        </is>
      </c>
      <c r="N94" t="inlineStr">
        <is>
          <t>Gallery Dept black patchwork sweatpants, elastic waist straight fit cotton joggers with side slits, unisex streetwear casual track pants</t>
        </is>
      </c>
      <c r="O94" t="inlineStr">
        <is>
          <t>{"id":"resp_0f7c43d24b10e201016a22696fd5a4819aa6cdae020260c79b","object":"chat.completion","created":1780640113,"model":"gpt-5.5","choices":[{"index":0,"message":{"role":"assistant","content":"Gallery Dept patchwork sweatpants, Gallery Dept cotton joggers, Gallery Dept elastic waist track pants, Gallery Dept side slit pants, Gallery Dept unisex streetwear pants, Gallery Dept straight fit sweatpants"},"finish_reason":"stop"}],"usage":{"prompt_tokens":857,"completion_tokens":44,"total_tokens":901}}</t>
        </is>
      </c>
      <c r="P94" t="inlineStr">
        <is>
          <t>Gallery Dept patchwork sweatpants, Gallery Dept cotton joggers, Gallery Dept elastic waist track pants, Gallery Dept side slit pants, Gallery Dept unisex streetwear pants, Gallery Dept straight fit sweatpants</t>
        </is>
      </c>
      <c r="Q94" t="inlineStr">
        <is>
          <t>Black, Streetwear, Unisex, Joggers</t>
        </is>
      </c>
      <c r="R94" t="inlineStr">
        <is>
          <t>recvlts3M1DEI6</t>
        </is>
      </c>
      <c r="S94" t="inlineStr">
        <is>
          <t>gallery-dept-patchwork-sweatpants-recvlts3M1DEI6</t>
        </is>
      </c>
      <c r="T94"/>
      <c r="U94"/>
      <c r="V94"/>
      <c r="W94" t="inlineStr">
        <is>
          <t>{"id":"resp_004e610b426caf12016a2247ea7f908199aacb41759e37720a","object":"chat.completion","created":1780631532,"model":"gpt-5.5","choices":[{"index":0,"message":{"role":"assistant","content":"Gallery Dept 黑色拼接运动长裤，松紧腰休闲直筒版型，棉质面料侧开衩设计，男女同款街头潮流裤装"},"finish_reason":"stop"}],"usage":{"prompt_tokens":1295,"completion_tokens":45,"total_tokens":1340}}</t>
        </is>
      </c>
      <c r="X94" t="inlineStr">
        <is>
          <t>Gallery Dept 黑色拼接运动长裤，松紧腰休闲直筒版型，棉质面料侧开衩设计，男女同款街头潮流裤装</t>
        </is>
      </c>
    </row>
    <row r="95" ht="25.5" customHeight="1">
      <c r="A95">
        <v>1839115443</v>
      </c>
      <c r="B95">
        <v>7778556775</v>
      </c>
      <c r="C95" s="2" t="str">
        <f>=HYPERLINK("https://weidian.com/item.html?itemID=7778556775", "https://weidian.com/item.html?itemID=7778556775")</f>
        <v>https://weidian.com/item.html?itemID=7778556775</v>
      </c>
      <c r="D95"/>
      <c r="E95" s="2" t="str">
        <f>=HYPERLINK("https://si.geilicdn.com/open1839115443-252808396-61720000019e87fbd0010a22d249_1920_1920.jpg?w=640&amp;h=640", "https://si.geilicdn.com/open1839115443-252808396-61720000019e87fbd0010a22d249_1920_1920.jpg?w=640&amp;h=640")</f>
        <v>https://si.geilicdn.com/open1839115443-252808396-61720000019e87fbd0010a22d249_1920_1920.jpg?w=640&amp;h=640</v>
      </c>
      <c r="F95" t="inlineStr">
        <is>
          <t>Hoodies</t>
        </is>
      </c>
      <c r="G95" t="inlineStr">
        <is>
          <t>Trapstar</t>
        </is>
      </c>
      <c r="H95" t="inlineStr">
        <is>
          <t>102</t>
        </is>
      </c>
      <c r="I95">
        <v>14.78</v>
      </c>
      <c r="J95" t="inlineStr">
        <is>
          <t>{"id":"resp_0941bd974d18e71c016a224bf7a11c819ba3943d5a2eae2b48","object":"chat.completion","created":1780632572,"model":"gpt-5.5","choices":[{"index":0,"message":{"role":"assistant","content":"Trapstar Grey Hoodie Tracksuit Cotton Fleece Jogger Set"},"finish_reason":"stop"}],"usage":{"prompt_tokens":977,"completion_tokens":154,"total_tokens":1131}}</t>
        </is>
      </c>
      <c r="K95" t="inlineStr">
        <is>
          <t>Trapstar Grey Hoodie Tracksuit Cotton Fleece Jogger Set</t>
        </is>
      </c>
      <c r="L95" t="inlineStr">
        <is>
          <t>{"id":"resp_023759e5c86dce20016a224a1ee468819881ab61d07f64169b","object":"chat.completion","created":1780632096,"model":"gpt-5.5","choices":[{"index":0,"message":{"role":"assistant","content":"Trapstar grey hoodie tracksuit, cotton fleece, chest logo print, unisex streetwear sports casual sweatshirt and jogger set for men and women"},"finish_reason":"stop"}],"usage":{"prompt_tokens":992,"completion_tokens":33,"total_tokens":1025}}</t>
        </is>
      </c>
      <c r="M95" t="inlineStr">
        <is>
          <t>{"alt-svc":"h3=\":443\"; ma=2592000","connection":"close","content-length":"434","content-type":"application/json; charset=utf-8","date":"Fri, 05 Jun 2026 04:01:36 GMT","referrer-policy":"strict-origin-when-cross-origin","server":"nginx/1.24.0 (Ubuntu)","strict-transport-security":"max-age=31536000; includeSubDomains; preload","vary":"Accept-Encoding","via":"1.1 Caddy","x-content-type-options":"nosniff","x-frame-options":"DENY","x-new-api-version":"v1.0.0-rc.10","x-oneapi-request-id":"202606050401346331483688268d9d6ViOZKe4K","x-request-id":"4bc21e8db595176044191f00a1caab82"}</t>
        </is>
      </c>
      <c r="N95" t="inlineStr">
        <is>
          <t>Trapstar grey hoodie tracksuit, cotton fleece, chest logo print, unisex streetwear sports casual sweatshirt and jogger set for men and women</t>
        </is>
      </c>
      <c r="O95" t="inlineStr">
        <is>
          <t>{"id":"resp_044417aaf3972f51016a226966a278819b9cc3dd1d0dd64ce9","object":"chat.completion","created":1780640105,"model":"gpt-5.5","choices":[{"index":0,"message":{"role":"assistant","content":"Trapstar grey hoodie tracksuit, Trapstar cotton fleece jogger set, Trapstar unisex streetwear tracksuit, Trapstar chest logo sweatshirt set, Trapstar sports casual hoodie pants, Trapstar men women fleece tracksuit"},"finish_reason":"stop"}],"usage":{"prompt_tokens":860,"completion_tokens":88,"total_tokens":948}}</t>
        </is>
      </c>
      <c r="P95" t="inlineStr">
        <is>
          <t>Trapstar grey hoodie tracksuit, Trapstar cotton fleece jogger set, Trapstar unisex streetwear tracksuit, Trapstar chest logo sweatshirt set, Trapstar sports casual hoodie pants, Trapstar men women fleece tracksuit</t>
        </is>
      </c>
      <c r="Q95" t="inlineStr">
        <is>
          <t>Unisex, Streetwear, Joggers, Men's And Women's</t>
        </is>
      </c>
      <c r="R95" t="inlineStr">
        <is>
          <t>recvlts3M1NWZR</t>
        </is>
      </c>
      <c r="S95" t="inlineStr">
        <is>
          <t>trapstar-grey-hoodie-tracksuit-recvlts3m1nwzr</t>
        </is>
      </c>
      <c r="T95"/>
      <c r="U95"/>
      <c r="V95"/>
      <c r="W95" t="inlineStr">
        <is>
          <t>{"id":"resp_01ad40a3f97ad842016a22484d485c8199ba08f587d30e7d7c","object":"chat.completion","created":1780631631,"model":"gpt-5.5","choices":[{"index":0,"message":{"role":"assistant","content":"Trapstar 灰色连帽卫衣套装，棉质抓绒面料，胸前字母Logo印花，街头休闲运动风，男女同款潮流品类"},"finish_reason":"stop"}],"usage":{"prompt_tokens":1292,"completion_tokens":47,"total_tokens":1339}}</t>
        </is>
      </c>
      <c r="X95" t="inlineStr">
        <is>
          <t>Trapstar 灰色连帽卫衣套装，棉质抓绒面料，胸前字母Logo印花，街头休闲运动风，男女同款潮流品类</t>
        </is>
      </c>
    </row>
    <row r="96" ht="25.5" customHeight="1">
      <c r="A96">
        <v>1839115443</v>
      </c>
      <c r="B96">
        <v>7778628027</v>
      </c>
      <c r="C96" s="2" t="str">
        <f>=HYPERLINK("https://weidian.com/item.html?itemID=7778628027", "https://weidian.com/item.html?itemID=7778628027")</f>
        <v>https://weidian.com/item.html?itemID=7778628027</v>
      </c>
      <c r="D96"/>
      <c r="E96" s="2" t="str">
        <f>=HYPERLINK("https://si.geilicdn.com/open1839115443-252808396-5d8a0000019e87fc690a0a23b4de_1000_1000.jpg?w=640&amp;h=640", "https://si.geilicdn.com/open1839115443-252808396-5d8a0000019e87fc690a0a23b4de_1000_1000.jpg?w=640&amp;h=640")</f>
        <v>https://si.geilicdn.com/open1839115443-252808396-5d8a0000019e87fc690a0a23b4de_1000_1000.jpg?w=640&amp;h=640</v>
      </c>
      <c r="F96" t="inlineStr">
        <is>
          <t>T-Shirts</t>
        </is>
      </c>
      <c r="G96" t="inlineStr">
        <is>
          <t>Trapstar</t>
        </is>
      </c>
      <c r="H96" t="inlineStr">
        <is>
          <t>58.5</t>
        </is>
      </c>
      <c r="I96">
        <v>8.48</v>
      </c>
      <c r="J96" t="inlineStr">
        <is>
          <t>{"id":"resp_0c8264f3d44dce30016a224b5f48b4819a866368cdbc53d603","object":"chat.completion","created":1780632418,"model":"gpt-5.5","choices":[{"index":0,"message":{"role":"assistant","content":"Trapstar Black Basketball Hoop Lightning T-Shirt"},"finish_reason":"stop"}],"usage":{"prompt_tokens":962,"completion_tokens":95,"total_tokens":1057}}</t>
        </is>
      </c>
      <c r="K96" t="inlineStr">
        <is>
          <t>Trapstar Black Basketball Hoop Lightning T-Shirt</t>
        </is>
      </c>
      <c r="L96" t="inlineStr">
        <is>
          <t>{"id":"resp_07b0d74a482ad1a8016a224a875e10819a891a5857933dbaf9","object":"chat.completion","created":1780632200,"model":"gpt-5.5","choices":[{"index":0,"message":{"role":"assistant","content":"Trapstar Black Basketball Hoop Lightning Print T-Shirt, cotton streetwear short sleeve, unisex summer casual fashion top"},"finish_reason":"stop"}],"usage":{"prompt_tokens":973,"completion_tokens":26,"total_tokens":999}}</t>
        </is>
      </c>
      <c r="M96" t="inlineStr">
        <is>
          <t>{"alt-svc":"h3=\":443\"; ma=2592000","connection":"close","content-length":"413","content-type":"application/json; charset=utf-8","date":"Fri, 05 Jun 2026 04:03:20 GMT","referrer-policy":"strict-origin-when-cross-origin","server":"nginx/1.24.0 (Ubuntu)","strict-transport-security":"max-age=31536000; includeSubDomains; preload","vary":"Accept-Encoding","via":"1.1 Caddy","x-content-type-options":"nosniff","x-frame-options":"DENY","x-new-api-version":"v1.0.0-rc.10","x-oneapi-request-id":"202606050403191539478838268d9d6Szh9I2zp","x-request-id":"b973b778ba9120eb821e06d7794a806c"}</t>
        </is>
      </c>
      <c r="N96" t="inlineStr">
        <is>
          <t>Trapstar Black Basketball Hoop Lightning Print T-Shirt, cotton streetwear short sleeve, unisex summer casual fashion top</t>
        </is>
      </c>
      <c r="O96" t="inlineStr">
        <is>
          <t>{"id":"resp_0a315b6949a000ed016a226958c83c8199b807b8fcd0bc9864","object":"chat.completion","created":1780640091,"model":"gpt-5.5","choices":[{"index":0,"message":{"role":"assistant","content":"Trapstar Black Basketball Hoop T-Shirt, Trapstar Lightning Print Tee, Trapstar Cotton Streetwear T-Shirt, Trapstar Unisex Summer Top, Trapstar Short Sleeve Casual Tee, Trapstar Graphic Fashion T-Shirt"},"finish_reason":"stop"}],"usage":{"prompt_tokens":852,"completion_tokens":46,"total_tokens":898}}</t>
        </is>
      </c>
      <c r="P96" t="inlineStr">
        <is>
          <t>Trapstar Black Basketball Hoop T-Shirt, Trapstar Lightning Print Tee, Trapstar Cotton Streetwear T-Shirt, Trapstar Unisex Summer Top, Trapstar Short Sleeve Casual Tee, Trapstar Graphic Fashion T-Shirt</t>
        </is>
      </c>
      <c r="Q96" t="inlineStr">
        <is>
          <t>Streetwear, Summer, Unisex, Fashion</t>
        </is>
      </c>
      <c r="R96" t="inlineStr">
        <is>
          <t>recvlts3M1naQ9</t>
        </is>
      </c>
      <c r="S96" t="inlineStr">
        <is>
          <t>trapstar-basketball-hoop-lightning-recvlts3M1naQ9</t>
        </is>
      </c>
      <c r="T96"/>
      <c r="U96"/>
      <c r="V96"/>
      <c r="W96" t="inlineStr">
        <is>
          <t>{"id":"resp_042cb54942dfc5c9016a22484f81408198b4454bae4c882624","object":"chat.completion","created":1780631636,"model":"gpt-5.5","choices":[{"index":0,"message":{"role":"assistant","content":"Trapstar 黑色篮球架闪电印花短袖T恤，纯棉休闲街头风，男女通用夏季潮牌上衣"},"finish_reason":"stop"}],"usage":{"prompt_tokens":1299,"completion_tokens":38,"total_tokens":1337,"prompt_tokens_details":{"cached_tokens":1024}}}</t>
        </is>
      </c>
      <c r="X96" t="inlineStr">
        <is>
          <t>Trapstar 黑色篮球架闪电印花短袖T恤，纯棉休闲街头风，男女通用夏季潮牌上衣</t>
        </is>
      </c>
    </row>
    <row r="97" ht="25.5" customHeight="1">
      <c r="A97">
        <v>1839115443</v>
      </c>
      <c r="B97">
        <v>7781527580</v>
      </c>
      <c r="C97" s="2" t="str">
        <f>=HYPERLINK("https://weidian.com/item.html?itemID=7781527580", "https://weidian.com/item.html?itemID=7781527580")</f>
        <v>https://weidian.com/item.html?itemID=7781527580</v>
      </c>
      <c r="D97"/>
      <c r="E97" s="2" t="str">
        <f>=HYPERLINK("https://si.geilicdn.com/open1839115443-252808396-50460000019e87fc3d870aa08269_1000_1000.jpg?w=640&amp;h=640", "https://si.geilicdn.com/open1839115443-252808396-50460000019e87fc3d870aa08269_1000_1000.jpg?w=640&amp;h=640")</f>
        <v>https://si.geilicdn.com/open1839115443-252808396-50460000019e87fc3d870aa08269_1000_1000.jpg?w=640&amp;h=640</v>
      </c>
      <c r="F97" t="inlineStr">
        <is>
          <t>T-Shirts</t>
        </is>
      </c>
      <c r="G97" t="inlineStr">
        <is>
          <t>Trapstar</t>
        </is>
      </c>
      <c r="H97" t="inlineStr">
        <is>
          <t>58.5</t>
        </is>
      </c>
      <c r="I97">
        <v>8.48</v>
      </c>
      <c r="J97" t="inlineStr">
        <is>
          <t>{"id":"resp_0d8f3bc280300a60016a224b923578819bbcfc329f1657556c","object":"chat.completion","created":1780632467,"model":"gpt-5.5","choices":[{"index":0,"message":{"role":"assistant","content":"Trapstar Black TS Wing Print Cotton T-Shirt"},"finish_reason":"stop"}],"usage":{"prompt_tokens":970,"completion_tokens":13,"total_tokens":983}}</t>
        </is>
      </c>
      <c r="K97" t="inlineStr">
        <is>
          <t>Trapstar Black TS Wing Print Cotton T-Shirt</t>
        </is>
      </c>
      <c r="L97" t="inlineStr">
        <is>
          <t>{"id":"resp_05d1048cfeaefbb9016a2249dc4f64819a8ed945db57ad60a2","object":"chat.completion","created":1780632030,"model":"gpt-5.5","choices":[{"index":0,"message":{"role":"assistant","content":"Trapstar black short sleeve T-shirt, cotton casual fabric, green TS wing letter print, streetwear summer top for men and women"},"finish_reason":"stop"}],"usage":{"prompt_tokens":985,"completion_tokens":30,"total_tokens":1015}}</t>
        </is>
      </c>
      <c r="M97" t="inlineStr">
        <is>
          <t>{"alt-svc":"h3=\":443\"; ma=2592000","connection":"close","content-length":"420","content-type":"application/json; charset=utf-8","date":"Fri, 05 Jun 2026 04:00:30 GMT","referrer-policy":"strict-origin-when-cross-origin","server":"nginx/1.24.0 (Ubuntu)","strict-transport-security":"max-age=31536000; includeSubDomains; preload","vary":"Accept-Encoding","via":"1.1 Caddy","x-content-type-options":"nosniff","x-frame-options":"DENY","x-new-api-version":"v1.0.0-rc.10","x-oneapi-request-id":"202606050400279719137218268d9d6xZU8k6Ux","x-request-id":"1ba70fd517d3f5bc33a686a404f99d26"}</t>
        </is>
      </c>
      <c r="N97" t="inlineStr">
        <is>
          <t>Trapstar black short sleeve T-shirt, cotton casual fabric, green TS wing letter print, streetwear summer top for men and women</t>
        </is>
      </c>
      <c r="O97" t="inlineStr">
        <is>
          <t>{"id":"resp_05a3a2f1d2903dce016a226985e00c81988fd5cc200fe37e63","object":"chat.completion","created":1780640136,"model":"gpt-5.5","choices":[{"index":0,"message":{"role":"assistant","content":"Trapstar T-shirt, Trapstar black short sleeve tee, Trapstar cotton streetwear top, Trapstar TS wing print shirt, unisex Trapstar summer T-shirt, Trapstar casual graphic tee"},"finish_reason":"stop"}],"usage":{"prompt_tokens":856,"completion_tokens":43,"total_tokens":899}}</t>
        </is>
      </c>
      <c r="P97" t="inlineStr">
        <is>
          <t>Trapstar T-shirt, Trapstar black short sleeve tee, Trapstar cotton streetwear top, Trapstar TS wing print shirt, unisex Trapstar summer T-shirt, Trapstar casual graphic tee</t>
        </is>
      </c>
      <c r="Q97" t="inlineStr">
        <is>
          <t>Streetwear, Summer, Black, Men's And Women's</t>
        </is>
      </c>
      <c r="R97" t="inlineStr">
        <is>
          <t>recvlts3M1wSHc</t>
        </is>
      </c>
      <c r="S97" t="inlineStr">
        <is>
          <t>trapstar-black-ts-wing-print-cotton-tshirt-recvlts3m1wshc</t>
        </is>
      </c>
      <c r="T97"/>
      <c r="U97"/>
      <c r="V97"/>
      <c r="W97" t="inlineStr">
        <is>
          <t>{"id":"resp_0604ab7491bb51b5016a2248673180819bb08fbb9a4639b84d","object":"chat.completion","created":1780631657,"model":"gpt-5.5","choices":[{"index":0,"message":{"role":"assistant","content":"Trapstar 黑色短袖T恤，纯棉休闲面料，绿色TS翅膀字母印花，街头潮流男女同款夏季上衣"},"finish_reason":"stop"}],"usage":{"prompt_tokens":1289,"completion_tokens":44,"total_tokens":1333,"prompt_tokens_details":{"cached_tokens":1024}}}</t>
        </is>
      </c>
      <c r="X97" t="inlineStr">
        <is>
          <t>Trapstar 黑色短袖T恤，纯棉休闲面料，绿色TS翅膀字母印花，街头潮流男女同款夏季上衣</t>
        </is>
      </c>
    </row>
    <row r="98" ht="25.5" customHeight="1">
      <c r="A98">
        <v>1839115443</v>
      </c>
      <c r="B98">
        <v>7778533221</v>
      </c>
      <c r="C98" s="2" t="str">
        <f>=HYPERLINK("https://weidian.com/item.html?itemID=7778533221", "https://weidian.com/item.html?itemID=7778533221")</f>
        <v>https://weidian.com/item.html?itemID=7778533221</v>
      </c>
      <c r="D98"/>
      <c r="E98" s="2" t="str">
        <f>=HYPERLINK("https://si.geilicdn.com/open1839115443-252808396-5af20000019e87efa89e0a22d249_800_800.jpg?w=640&amp;h=640", "https://si.geilicdn.com/open1839115443-252808396-5af20000019e87efa89e0a22d249_800_800.jpg?w=640&amp;h=640")</f>
        <v>https://si.geilicdn.com/open1839115443-252808396-5af20000019e87efa89e0a22d249_800_800.jpg?w=640&amp;h=640</v>
      </c>
      <c r="F98" t="inlineStr">
        <is>
          <t>T-Shirts</t>
        </is>
      </c>
      <c r="G98" t="inlineStr">
        <is>
          <t>Gallery Dept</t>
        </is>
      </c>
      <c r="H98" t="inlineStr">
        <is>
          <t>63</t>
        </is>
      </c>
      <c r="I98">
        <v>9.13</v>
      </c>
      <c r="J98" t="inlineStr">
        <is>
          <t>{"id":"resp_0a47960ffae06541016a224bc60a98819babc4bf73a7637fd2","object":"chat.completion","created":1780632521,"model":"gpt-5.5","choices":[{"index":0,"message":{"role":"assistant","content":"Gallery Dept Beige Cotton Logo Oversized Streetwear T-Shirt"},"finish_reason":"stop"}],"usage":{"prompt_tokens":966,"completion_tokens":112,"total_tokens":1078}}</t>
        </is>
      </c>
      <c r="K98" t="inlineStr">
        <is>
          <t>Gallery Dept Beige Cotton Logo Oversized Streetwear T-Shirt</t>
        </is>
      </c>
      <c r="L98" t="inlineStr">
        <is>
          <t>{"id":"resp_0a5cf743bdb0bb25016a224a45f96c819aa1943d9c81147ac5","object":"chat.completion","created":1780632137,"model":"gpt-5.5","choices":[{"index":0,"message":{"role":"assistant","content":"Gallery Dept beige cotton T-shirt, breathable short sleeve tee with chest logo print, vintage streetwear oversized unisex casual top"},"finish_reason":"stop"}],"usage":{"prompt_tokens":989,"completion_tokens":28,"total_tokens":1017}}</t>
        </is>
      </c>
      <c r="M98" t="inlineStr">
        <is>
          <t>{"alt-svc":"h3=\":443\"; ma=2592000","connection":"close","content-length":"426","content-type":"application/json; charset=utf-8","date":"Fri, 05 Jun 2026 04:02:17 GMT","referrer-policy":"strict-origin-when-cross-origin","server":"nginx/1.24.0 (Ubuntu)","strict-transport-security":"max-age=31536000; includeSubDomains; preload","vary":"Accept-Encoding","via":"1.1 Caddy","x-content-type-options":"nosniff","x-frame-options":"DENY","x-new-api-version":"v1.0.0-rc.10","x-oneapi-request-id":"202606050402137072121968268d9d6O2YC5U2F","x-request-id":"4ca681590b6846e23c0490e199be8d9c"}</t>
        </is>
      </c>
      <c r="N98" t="inlineStr">
        <is>
          <t>Gallery Dept beige cotton T-shirt, breathable short sleeve tee with chest logo print, vintage streetwear oversized unisex casual top</t>
        </is>
      </c>
      <c r="O98" t="inlineStr">
        <is>
          <t>{"id":"resp_054015dca7c2b0aa016a22695b660c81999d05e74ba18df851","object":"chat.completion","created":1780640093,"model":"gpt-5.5","choices":[{"index":0,"message":{"role":"assistant","content":"Gallery Dept T-Shirt, Gallery Dept beige cotton tee, Gallery Dept logo print T-shirt, oversized streetwear T-shirt, unisex short sleeve cotton top, breathable vintage casual tee"},"finish_reason":"stop"}],"usage":{"prompt_tokens":854,"completion_tokens":56,"total_tokens":910}}</t>
        </is>
      </c>
      <c r="P98" t="inlineStr">
        <is>
          <t>Gallery Dept T-Shirt, Gallery Dept beige cotton tee, Gallery Dept logo print T-shirt, oversized streetwear T-shirt, unisex short sleeve cotton top, breathable vintage casual tee</t>
        </is>
      </c>
      <c r="Q98" t="inlineStr">
        <is>
          <t>Beige, Vintage, Streetwear, Unisex, Breathable</t>
        </is>
      </c>
      <c r="R98" t="inlineStr">
        <is>
          <t>recvlts3M1vI7B</t>
        </is>
      </c>
      <c r="S98" t="inlineStr">
        <is>
          <t>gallery-dept-beige-cotton-logo-oversized-streetwear-tshirt-recvlts3M1vI7B</t>
        </is>
      </c>
      <c r="T98"/>
      <c r="U98"/>
      <c r="V98"/>
      <c r="W98" t="inlineStr">
        <is>
          <t>{"id":"resp_00727d59e281f84b016a2248359d74819ba7e1969f0ac963c0","object":"chat.completion","created":1780631609,"model":"gpt-5.5","choices":[{"index":0,"message":{"role":"assistant","content":"Gallery Dept 米杏色短袖T恤，纯棉舒适透气，胸前小Logo印花，复古街头宽松版型，男女同款休闲上衣"},"finish_reason":"stop"}],"usage":{"prompt_tokens":1289,"completion_tokens":46,"total_tokens":1335}}</t>
        </is>
      </c>
      <c r="X98" t="inlineStr">
        <is>
          <t>Gallery Dept 米杏色短袖T恤，纯棉舒适透气，胸前小Logo印花，复古街头宽松版型，男女同款休闲上衣</t>
        </is>
      </c>
    </row>
    <row r="99" ht="25.5" customHeight="1">
      <c r="A99">
        <v>1839115443</v>
      </c>
      <c r="B99">
        <v>7778515539</v>
      </c>
      <c r="C99" s="2" t="str">
        <f>=HYPERLINK("https://weidian.com/item.html?itemID=7778515539", "https://weidian.com/item.html?itemID=7778515539")</f>
        <v>https://weidian.com/item.html?itemID=7778515539</v>
      </c>
      <c r="D99"/>
      <c r="E99" s="2" t="str">
        <f>=HYPERLINK("https://si.geilicdn.com/open1839115443-252808396-5ada0000019e87ef79c40a22d249_800_800.jpg?w=640&amp;h=640", "https://si.geilicdn.com/open1839115443-252808396-5ada0000019e87ef79c40a22d249_800_800.jpg?w=640&amp;h=640")</f>
        <v>https://si.geilicdn.com/open1839115443-252808396-5ada0000019e87ef79c40a22d249_800_800.jpg?w=640&amp;h=640</v>
      </c>
      <c r="F99" t="inlineStr">
        <is>
          <t>Hoodies</t>
        </is>
      </c>
      <c r="G99" t="inlineStr">
        <is>
          <t>Saint Michael</t>
        </is>
      </c>
      <c r="H99" t="inlineStr">
        <is>
          <t>102.5</t>
        </is>
      </c>
      <c r="I99">
        <v>14.86</v>
      </c>
      <c r="J99" t="inlineStr">
        <is>
          <t>{"id":"chatcmpl-4cab079a-b66a-4772-a5f1-182a4a43d531","object":"chat.completion","created":1780632507,"model":"gpt-5.5","choices":[{"index":0,"message":{"role":"assistant","content":"Saint Michael Grey White Jesus Graffiti Fleece Hoodie"},"finish_reason":"stop"}],"usage":{"prompt_tokens":894,"completion_tokens":152,"total_tokens":1046,"completion_tokens_details":{"reasoning_tokens":136}}}</t>
        </is>
      </c>
      <c r="K99" t="inlineStr">
        <is>
          <t>Saint Michael Grey White Jesus Graffiti Fleece Hoodie</t>
        </is>
      </c>
      <c r="L99" t="inlineStr">
        <is>
          <t>{"id":"resp_05dc940d0363760e016a224a46f7a8819aa3f4b1cb28855c42","object":"chat.completion","created":1780632136,"model":"gpt-5.5","choices":[{"index":0,"message":{"role":"assistant","content":"Saint Michael grey white hoodie, cotton fleece, Jesus hand-drawn graffiti print, vintage distressed streetwear pullover, unisex designer style"},"finish_reason":"stop"}],"usage":{"prompt_tokens":1000,"completion_tokens":31,"total_tokens":1031}}</t>
        </is>
      </c>
      <c r="M99" t="inlineStr">
        <is>
          <t>{"alt-svc":"h3=\":443\"; ma=2592000","connection":"close","content-length":"437","content-type":"application/json; charset=utf-8","date":"Fri, 05 Jun 2026 04:02:16 GMT","referrer-policy":"strict-origin-when-cross-origin","server":"nginx/1.24.0 (Ubuntu)","strict-transport-security":"max-age=31536000; includeSubDomains; preload","vary":"Accept-Encoding","via":"1.1 Caddy","x-content-type-options":"nosniff","x-frame-options":"DENY","x-new-api-version":"v1.0.0-rc.10","x-oneapi-request-id":"202606050402147433674188268d9d6zkOR9Kky","x-request-id":"d2784d81b1e836c61a8d7bd3e345fddf"}</t>
        </is>
      </c>
      <c r="N99" t="inlineStr">
        <is>
          <t>Saint Michael grey white hoodie, cotton fleece, Jesus hand-drawn graffiti print, vintage distressed streetwear pullover, unisex designer style</t>
        </is>
      </c>
      <c r="O99" t="inlineStr">
        <is>
          <t>{"id":"resp_0c0287ec0bd2f1d4016a2269411990819bbfe1bdea2c5d10ca","object":"chat.completion","created":1780640067,"model":"gpt-5.5","choices":[{"index":0,"message":{"role":"assistant","content":"Saint Michael grey white hoodie, Saint Michael cotton fleece pullover, Jesus graffiti print hoodie, vintage distressed streetwear hoodie, unisex designer Saint Michael hoodie, hand-drawn graphic fleece hoodie"},"finish_reason":"stop"}],"usage":{"prompt_tokens":858,"completion_tokens":41,"total_tokens":899}}</t>
        </is>
      </c>
      <c r="P99" t="inlineStr">
        <is>
          <t>Saint Michael grey white hoodie, Saint Michael cotton fleece pullover, Jesus graffiti print hoodie, vintage distressed streetwear hoodie, unisex designer Saint Michael hoodie, hand-drawn graphic fleece hoodie</t>
        </is>
      </c>
      <c r="Q99" t="inlineStr">
        <is>
          <t>Grey, White, Vintage, Distressed, Streetwear</t>
        </is>
      </c>
      <c r="R99" t="inlineStr">
        <is>
          <t>recvlts3M1kLih</t>
        </is>
      </c>
      <c r="S99" t="inlineStr">
        <is>
          <t>saint-michael-grey-white-jesus-graffiti-fleece-hoodie-recvlts3m1klih</t>
        </is>
      </c>
      <c r="T99"/>
      <c r="U99"/>
      <c r="V99"/>
      <c r="W99" t="inlineStr">
        <is>
          <t>{"id":"resp_0fe6802520c5eb69016a2247ec28c0819ab62aeb2661fd89af","object":"chat.completion","created":1780631534,"model":"gpt-5.5","choices":[{"index":0,"message":{"role":"assistant","content":"Saint Michael 灰白连帽卫衣，棉质抓绒面料，耶稣手绘涂鸦印花，复古做旧街头风男女同款潮牌帽衫"},"finish_reason":"stop"}],"usage":{"prompt_tokens":1290,"completion_tokens":51,"total_tokens":1341,"prompt_tokens_details":{"cached_tokens":1024}}}</t>
        </is>
      </c>
      <c r="X99" t="inlineStr">
        <is>
          <t>Saint Michael 灰白连帽卫衣，棉质抓绒面料，耶稣手绘涂鸦印花，复古做旧街头风男女同款潮牌帽衫</t>
        </is>
      </c>
    </row>
    <row r="100" ht="25.5" customHeight="1">
      <c r="A100">
        <v>1839115443</v>
      </c>
      <c r="B100">
        <v>7778584713</v>
      </c>
      <c r="C100" s="2" t="str">
        <f>=HYPERLINK("https://weidian.com/item.html?itemID=7778584713", "https://weidian.com/item.html?itemID=7778584713")</f>
        <v>https://weidian.com/item.html?itemID=7778584713</v>
      </c>
      <c r="D100"/>
      <c r="E100" s="2" t="str">
        <f>=HYPERLINK("https://si.geilicdn.com/open1839115443-252808396-56280000019e87f9c6310aa08239_800_800.jpg?w=640&amp;h=640", "https://si.geilicdn.com/open1839115443-252808396-56280000019e87f9c6310aa08239_800_800.jpg?w=640&amp;h=640")</f>
        <v>https://si.geilicdn.com/open1839115443-252808396-56280000019e87f9c6310aa08239_800_800.jpg?w=640&amp;h=640</v>
      </c>
      <c r="F100" t="inlineStr">
        <is>
          <t>Hoodies</t>
        </is>
      </c>
      <c r="G100" t="inlineStr">
        <is>
          <t>Trapstar</t>
        </is>
      </c>
      <c r="H100" t="inlineStr">
        <is>
          <t>102</t>
        </is>
      </c>
      <c r="I100">
        <v>14.78</v>
      </c>
      <c r="J100" t="inlineStr">
        <is>
          <t>{"id":"resp_053bd6a3c2e635f5016a224badbccc819982912c5706740057","object":"chat.completion","created":1780632496,"model":"gpt-5.5","choices":[{"index":0,"message":{"role":"assistant","content":"Trapstar Grey Fleece Hoodie Tracksuit Gothic Logo Set"},"finish_reason":"stop"}],"usage":{"prompt_tokens":973,"completion_tokens":85,"total_tokens":1058}}</t>
        </is>
      </c>
      <c r="K100" t="inlineStr">
        <is>
          <t>Trapstar Grey Fleece Hoodie Tracksuit Gothic Logo Set</t>
        </is>
      </c>
      <c r="L100" t="inlineStr">
        <is>
          <t>{"id":"resp_0ccb642e78af1995016a2249a616ac819a8ead27ac13a4fc0b","object":"chat.completion","created":1780631976,"model":"gpt-5.5","choices":[{"index":0,"message":{"role":"assistant","content":"Trapstar grey hoodie tracksuit, cotton fleece pullover with gothic logo print, kangaroo pocket, unisex streetwear casual sports set"},"finish_reason":"stop"}],"usage":{"prompt_tokens":1000,"completion_tokens":60,"total_tokens":1060}}</t>
        </is>
      </c>
      <c r="M100" t="inlineStr">
        <is>
          <t>{"alt-svc":"h3=\":443\"; ma=2592000","connection":"close","content-length":"426","content-type":"application/json; charset=utf-8","date":"Fri, 05 Jun 2026 03:59:36 GMT","referrer-policy":"strict-origin-when-cross-origin","server":"nginx/1.24.0 (Ubuntu)","strict-transport-security":"max-age=31536000; includeSubDomains; preload","vary":"Accept-Encoding","via":"1.1 Caddy","x-content-type-options":"nosniff","x-frame-options":"DENY","x-new-api-version":"v1.0.0-rc.10","x-oneapi-request-id":"202606050359338421640798268d9d6YuRIpI6K","x-request-id":"77103451d6dc5a6da1f0d74860641d04"}</t>
        </is>
      </c>
      <c r="N100" t="inlineStr">
        <is>
          <t>Trapstar grey hoodie tracksuit, cotton fleece pullover with gothic logo print, kangaroo pocket, unisex streetwear casual sports set</t>
        </is>
      </c>
      <c r="O100" t="inlineStr">
        <is>
          <t>{"id":"resp_0e7d8ac5a2f5be12016a2269de43788199b4d4aebf5572676f","object":"chat.completion","created":1780640224,"model":"gpt-5.5","choices":[{"index":0,"message":{"role":"assistant","content":"Trapstar grey hoodie tracksuit, Trapstar cotton fleece pullover set, Trapstar gothic logo hoodie, Trapstar kangaroo pocket tracksuit, Trapstar unisex streetwear set, Trapstar casual sports hoodie set"},"finish_reason":"stop"}],"usage":{"prompt_tokens":858,"completion_tokens":47,"total_tokens":905}}</t>
        </is>
      </c>
      <c r="P100" t="inlineStr">
        <is>
          <t>Trapstar grey hoodie tracksuit, Trapstar cotton fleece pullover set, Trapstar gothic logo hoodie, Trapstar kangaroo pocket tracksuit, Trapstar unisex streetwear set, Trapstar casual sports hoodie set</t>
        </is>
      </c>
      <c r="Q100" t="inlineStr">
        <is>
          <t>Unisex, Streetwear, Grey</t>
        </is>
      </c>
      <c r="R100" t="inlineStr">
        <is>
          <t>recvlts3M1QyEB</t>
        </is>
      </c>
      <c r="S100" t="inlineStr">
        <is>
          <t>trapstar-grey-fleece-hoodie-tracksuit-gothic-logo-recvlts3M1QyEB</t>
        </is>
      </c>
      <c r="T100"/>
      <c r="U100"/>
      <c r="V100"/>
      <c r="W100" t="inlineStr">
        <is>
          <t>{"id":"resp_024c6125cea7b279016a22481b41a88199bc5b385e1216ad49","object":"chat.completion","created":1780631581,"model":"gpt-5.5","choices":[{"index":0,"message":{"role":"assistant","content":"Trapstar 灰色连帽卫衣套装，棉质抓绒面料，胸前哥特字母Logo印花，袋鼠兜设计，男女同款街头休闲运动套装"},"finish_reason":"stop"}],"usage":{"prompt_tokens":1288,"completion_tokens":51,"total_tokens":1339,"prompt_tokens_details":{"cached_tokens":1024}}}</t>
        </is>
      </c>
      <c r="X100" t="inlineStr">
        <is>
          <t>Trapstar 灰色连帽卫衣套装，棉质抓绒面料，胸前哥特字母Logo印花，袋鼠兜设计，男女同款街头休闲运动套装</t>
        </is>
      </c>
    </row>
    <row r="101" ht="25.5" customHeight="1">
      <c r="A101">
        <v>1839115443</v>
      </c>
      <c r="B101">
        <v>7781596464</v>
      </c>
      <c r="C101" s="2" t="str">
        <f>=HYPERLINK("https://weidian.com/item.html?itemID=7781596464", "https://weidian.com/item.html?itemID=7781596464")</f>
        <v>https://weidian.com/item.html?itemID=7781596464</v>
      </c>
      <c r="D101"/>
      <c r="E101" s="2" t="str">
        <f>=HYPERLINK("https://si.geilicdn.com/open1839115443-252808396-5c100000019e87f9834a0a23b4de_1000_1000.jpg?w=640&amp;h=640", "https://si.geilicdn.com/open1839115443-252808396-5c100000019e87f9834a0a23b4de_1000_1000.jpg?w=640&amp;h=640")</f>
        <v>https://si.geilicdn.com/open1839115443-252808396-5c100000019e87f9834a0a23b4de_1000_1000.jpg?w=640&amp;h=640</v>
      </c>
      <c r="F101" t="inlineStr">
        <is>
          <t>T-Shirts</t>
        </is>
      </c>
      <c r="G101" t="inlineStr">
        <is>
          <t>Trapstar</t>
        </is>
      </c>
      <c r="H101" t="inlineStr">
        <is>
          <t>58.5</t>
        </is>
      </c>
      <c r="I101">
        <v>8.48</v>
      </c>
      <c r="J101" t="inlineStr">
        <is>
          <t>{"id":"resp_018a9280ba98b0ed016a224bc6deec819997848d3b9459447f","object":"chat.completion","created":1780632520,"model":"gpt-5.5","choices":[{"index":0,"message":{"role":"assistant","content":"Trapstar Black Tiger Scratch Graphic Cotton T-Shirt"},"finish_reason":"stop"}],"usage":{"prompt_tokens":974,"completion_tokens":13,"total_tokens":987}}</t>
        </is>
      </c>
      <c r="K101" t="inlineStr">
        <is>
          <t>Trapstar Black Tiger Scratch Graphic Cotton T-Shirt</t>
        </is>
      </c>
      <c r="L101" t="inlineStr">
        <is>
          <t>{"id":"resp_03a71764185991f9016a2249a901548198a0637fc6be62e228","object":"chat.completion","created":1780631979,"model":"gpt-5.5","choices":[{"index":0,"message":{"role":"assistant","content":"Trapstar black tiger claw scratch print T-shirt, cotton crew neck, unisex streetwear casual tee, 90s retro techwear style"},"finish_reason":"stop"}],"usage":{"prompt_tokens":987,"completion_tokens":32,"total_tokens":1019}}</t>
        </is>
      </c>
      <c r="M101" t="inlineStr">
        <is>
          <t>{"alt-svc":"h3=\":443\"; ma=2592000","connection":"close","content-length":"415","content-type":"application/json; charset=utf-8","date":"Fri, 05 Jun 2026 03:59:39 GMT","referrer-policy":"strict-origin-when-cross-origin","server":"nginx/1.24.0 (Ubuntu)","strict-transport-security":"max-age=31536000; includeSubDomains; preload","vary":"Accept-Encoding","via":"1.1 Caddy","x-content-type-options":"nosniff","x-frame-options":"DENY","x-new-api-version":"v1.0.0-rc.10","x-oneapi-request-id":"202606050359366606873658268d9d6Yavmvgix","x-request-id":"75c2118a553f6a0f636811dfa6a0d732"}</t>
        </is>
      </c>
      <c r="N101" t="inlineStr">
        <is>
          <t>Trapstar black tiger claw scratch print T-shirt, cotton crew neck, unisex streetwear casual tee, 90s retro techwear style</t>
        </is>
      </c>
      <c r="O101" t="inlineStr">
        <is>
          <t>{"id":"resp_0f49edbc6e3a6a20016a22698a0a208198a79d7a0f286994c0","object":"chat.completion","created":1780640139,"model":"gpt-5.5","choices":[{"index":0,"message":{"role":"assistant","content":"Trapstar T-Shirts, Trapstar black tiger claw T-shirt, Trapstar cotton crew neck tee, Trapstar unisex streetwear T-shirt, Trapstar 90s retro techwear tee, Trapstar scratch print casual tee"},"finish_reason":"stop"}],"usage":{"prompt_tokens":858,"completion_tokens":49,"total_tokens":907}}</t>
        </is>
      </c>
      <c r="P101" t="inlineStr">
        <is>
          <t>Trapstar T-Shirts, Trapstar black tiger claw T-shirt, Trapstar cotton crew neck tee, Trapstar unisex streetwear T-shirt, Trapstar 90s retro techwear tee, Trapstar scratch print casual tee</t>
        </is>
      </c>
      <c r="Q101" t="inlineStr">
        <is>
          <t>Black, Streetwear, Retro, Unisex</t>
        </is>
      </c>
      <c r="R101" t="inlineStr">
        <is>
          <t>recvlts3M1T5Lq</t>
        </is>
      </c>
      <c r="S101" t="inlineStr">
        <is>
          <t>trapstar-black-tiger-scratch-graphic-cotton-t-shirt-recvlts3M1T5Lq</t>
        </is>
      </c>
      <c r="T101"/>
      <c r="U101"/>
      <c r="V101"/>
      <c r="W101" t="inlineStr">
        <is>
          <t>{"id":"resp_0da14534e09aa8b9016a224861400c81989e1fe569ad6ed1d8","object":"chat.completion","created":1780631651,"model":"gpt-5.5","choices":[{"index":0,"message":{"role":"assistant","content":"Trapstar 黑色虎爪划痕印花短袖T恤，纯棉圆领街头潮流男女休闲上衣，90年代复古机能风格"},"finish_reason":"stop"}],"usage":{"prompt_tokens":1297,"completion_tokens":45,"total_tokens":1342}}</t>
        </is>
      </c>
      <c r="X101" t="inlineStr">
        <is>
          <t>Trapstar 黑色虎爪划痕印花短袖T恤，纯棉圆领街头潮流男女休闲上衣，90年代复古机能风格</t>
        </is>
      </c>
    </row>
    <row r="102" ht="25.5" customHeight="1">
      <c r="A102">
        <v>1839115443</v>
      </c>
      <c r="B102">
        <v>7778576925</v>
      </c>
      <c r="C102" s="2" t="str">
        <f>=HYPERLINK("https://weidian.com/item.html?itemID=7778576925", "https://weidian.com/item.html?itemID=7778576925")</f>
        <v>https://weidian.com/item.html?itemID=7778576925</v>
      </c>
      <c r="D102"/>
      <c r="E102" s="2" t="str">
        <f>=HYPERLINK("https://si.geilicdn.com/open1839115443-252808396-5b670000019e87f9f5730a23b491_1000_1000.jpg?w=640&amp;h=640", "https://si.geilicdn.com/open1839115443-252808396-5b670000019e87f9f5730a23b491_1000_1000.jpg?w=640&amp;h=640")</f>
        <v>https://si.geilicdn.com/open1839115443-252808396-5b670000019e87f9f5730a23b491_1000_1000.jpg?w=640&amp;h=640</v>
      </c>
      <c r="F102" t="inlineStr">
        <is>
          <t>T-Shirts</t>
        </is>
      </c>
      <c r="G102" t="inlineStr">
        <is>
          <t>Chrome Hearts</t>
        </is>
      </c>
      <c r="H102" t="inlineStr">
        <is>
          <t>58.5</t>
        </is>
      </c>
      <c r="I102">
        <v>8.47826086956521</v>
      </c>
      <c r="J102" t="inlineStr">
        <is>
          <t>{"id":"resp_01eff15208576111016a224b73a5888198ab1ba612f379638f","object":"chat.completion","created":1780632443,"model":"gpt-5.5","choices":[{"index":0,"message":{"role":"assistant","content":"Chrome Hearts Black iPhone Print Cotton T-Shirt Unisex Tee"},"finish_reason":"stop"}],"usage":{"prompt_tokens":966,"completion_tokens":337,"total_tokens":1303}}</t>
        </is>
      </c>
      <c r="K102" t="inlineStr">
        <is>
          <t>Chrome Hearts Black iPhone Print Cotton T-Shirt Unisex Tee</t>
        </is>
      </c>
      <c r="L102" t="inlineStr">
        <is>
          <t>{"id":"resp_0cf535a441075085016a224a3dd50081999f1e6b2a4a08c25a","object":"chat.completion","created":1780632127,"model":"gpt-5.5","choices":[{"index":0,"message":{"role":"assistant","content":"Chrome Hearts black cotton T-shirt with vintage iPhone print, unisex streetwear casual short sleeve top for men and women"},"finish_reason":"stop"}],"usage":{"prompt_tokens":969,"completion_tokens":28,"total_tokens":997}}</t>
        </is>
      </c>
      <c r="M102" t="inlineStr">
        <is>
          <t>{"alt-svc":"h3=\":443\"; ma=2592000","connection":"close","content-length":"414","content-type":"application/json; charset=utf-8","date":"Fri, 05 Jun 2026 04:02:07 GMT","referrer-policy":"strict-origin-when-cross-origin","server":"nginx/1.24.0 (Ubuntu)","strict-transport-security":"max-age=31536000; includeSubDomains; preload","vary":"Accept-Encoding","via":"1.1 Caddy","x-content-type-options":"nosniff","x-frame-options":"DENY","x-new-api-version":"v1.0.0-rc.10","x-oneapi-request-id":"202606050402055932742398268d9d6M2Fndou1","x-request-id":"6030b3cf5c8ffae57440ea5fed7da7b2"}</t>
        </is>
      </c>
      <c r="N102" t="inlineStr">
        <is>
          <t>Chrome Hearts black cotton T-shirt with vintage iPhone print, unisex streetwear casual short sleeve top for men and women</t>
        </is>
      </c>
      <c r="O102" t="inlineStr">
        <is>
          <t>{"id":"resp_0d96ef9e189bbc66016a2269c89f48819bb01ca0f73f349df7","object":"chat.completion","created":1780640202,"model":"gpt-5.5","choices":[{"index":0,"message":{"role":"assistant","content":"Chrome Hearts T-shirt, Chrome Hearts vintage iPhone tee, black cotton streetwear T-shirt, unisex casual short sleeve top, Chrome Hearts graphic T-shirt, men women cotton tee"},"finish_reason":"stop"}],"usage":{"prompt_tokens":854,"completion_tokens":40,"total_tokens":894}}</t>
        </is>
      </c>
      <c r="P102" t="inlineStr">
        <is>
          <t>Chrome Hearts T-shirt, Chrome Hearts vintage iPhone tee, black cotton streetwear T-shirt, unisex casual short sleeve top, Chrome Hearts graphic T-shirt, men women cotton tee</t>
        </is>
      </c>
      <c r="Q102" t="inlineStr">
        <is>
          <t>Streetwear, Black, Unisex</t>
        </is>
      </c>
      <c r="R102" t="inlineStr">
        <is>
          <t>recvlts3M1LFXH</t>
        </is>
      </c>
      <c r="S102" t="inlineStr">
        <is>
          <t>chrome-hearts-black-iphone-print-cotton-tee-recvlts3m1lfxh</t>
        </is>
      </c>
      <c r="T102"/>
      <c r="U102"/>
      <c r="V102"/>
      <c r="W102" t="inlineStr">
        <is>
          <t>{"id":"resp_0ccbf828ddd366d4016a2248ad51a48199be620b73e9511c4e","object":"chat.completion","created":1780631727,"model":"gpt-5.5","choices":[{"index":0,"message":{"role":"assistant","content":"Chrome Hearts 黑色纯棉短袖T恤，I Phone复古手机印花，街头休闲男女同款潮牌上衣"},"finish_reason":"stop"}],"usage":{"prompt_tokens":1295,"completion_tokens":36,"total_tokens":1331,"prompt_tokens_details":{"cached_tokens":1024}}}</t>
        </is>
      </c>
      <c r="X102" t="inlineStr">
        <is>
          <t>Chrome Hearts 黑色纯棉短袖T恤，I Phone复古手机印花，街头休闲男女同款潮牌上衣</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