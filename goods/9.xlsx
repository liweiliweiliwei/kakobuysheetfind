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ttleExplorerToys商品导入042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1654975475</v>
      </c>
      <c r="B2">
        <v>7624169580</v>
      </c>
      <c r="C2" s="2" t="str">
        <f>=HYPERLINK("https://weidian.com/item.html?itemID=7624169580", "https://weidian.com/item.html?itemID=7624169580")</f>
        <v>https://weidian.com/item.html?itemID=7624169580</v>
      </c>
      <c r="D2"/>
      <c r="E2" s="2" t="str">
        <f>=HYPERLINK("https://si.geilicdn.com/pcitem2014204438-39ea0000019ad97adb320a2301b4_1512_2016.jpg?w=640&amp;h=640", "https://si.geilicdn.com/pcitem2014204438-39ea0000019ad97adb320a2301b4_1512_2016.jpg?w=640&amp;h=640")</f>
        <v>https://si.geilicdn.com/pcitem2014204438-39ea0000019ad97adb320a2301b4_1512_2016.jpg?w=640&amp;h=640</v>
      </c>
      <c r="F2" t="inlineStr">
        <is>
          <t>Accessories</t>
        </is>
      </c>
      <c r="G2" t="inlineStr">
        <is>
          <t>Dior</t>
        </is>
      </c>
      <c r="H2">
        <v>460</v>
      </c>
      <c r="I2">
        <v>66.67</v>
      </c>
      <c r="J2" t="inlineStr">
        <is>
          <t>{"id":"chatcmpl-DZSHKojbXvCnPugGUpEbiOHGxfNE4","object":"chat.completion","created":1777342554,"model":"gpt-5-chat-2025-10-03","choices":[{"index":0,"message":{"role":"assistant","content":"Dior 1947 Olive Green Leather Men’s Bel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2" t="inlineStr">
        <is>
          <t>Dior 1947 Olive Green Leather Men’s Belt</t>
        </is>
      </c>
      <c r="L2" t="inlineStr">
        <is>
          <t>{"id":"chatcmpl-DZRlGNGhsnoGRtihOdhWjChcDwL5L","object":"chat.completion","created":1777340566,"model":"gpt-5-chat-2025-10-03","choices":[{"index":0,"message":{"role":"assistant","content":"Dior 1947 Olive Green Calfskin Belt with Vintage Gold-tone Plaque, elegant French design for men’s daily and business wear, crafted from premium leather for timeless style.","refusal":null,"annotations":[]},"logprobs":null,"finish_reason":"stop"}],"usage":{"prompt_tokens":897,"completion_tokens":38,"total_tokens":935,"prompt_tokens_details":{"cached_tokens":0,"audio_tokens":0},"completion_tokens_details":{"reasoning_tokens":0,"audio_tokens":0,"accepted_prediction_tokens":0,"rejected_prediction_tokens":0}},"service_tier":"default","system_fingerprint":"fp_ad66631dec"}</t>
        </is>
      </c>
      <c r="M2" t="inlineStr">
        <is>
          <t>{"alt-svc":"h3=\":443\"; ma=2592000","apim-request-id":"84f6724e-4b3e-4ff0-b6a1-af4517a6729a","azureml-model-session":"d20260405234249-f9874baf","cache-control":"no-cache","connection":"close","content-length":"982","content-type":"application/json","date":"Tue, 28 Apr 2026 01:42:47 GMT","server":"nginx","skip-error-remapping":"true","strict-transport-security":"max-age=31536000; includeSubDomains; preload","via":"1.1 Caddy","x-content-type-options":"nosniff","x-ms-client-request-id":"Not-Set","x-ms-is-spilled-over":"false","x-ms-rai-invoked":"false","x-ms-region":"Poland Central","x-new-api-version":"0.4.35","x-oneapi-request-id":"202604280142453909477218268d9d6V2kP7xM7","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10566535-9084-4a6a-a270-ccc0406d37c0"}</t>
        </is>
      </c>
      <c r="N2" t="inlineStr">
        <is>
          <t>Dior 1947 Olive Green Calfskin Belt with Vintage Gold-tone Plaque, elegant French design for men’s daily and business wear, crafted from premium leather for timeless style.</t>
        </is>
      </c>
      <c r="O2" t="inlineStr">
        <is>
          <t>{"id":"chatcmpl-DZSV4fKGzJnbGZ8isJbzkf1yuv7BG","object":"chat.completion","created":1777343406,"model":"gpt-5-chat-2025-10-03","choices":[{"index":0,"message":{"role":"assistant","content":"Dior,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2" t="inlineStr">
        <is>
          <t>Dior, belt, kakobuy, kakebuy2026, kekobuysheet, kakobuysheet2026, 2026kakobuy, kakobuyspreadsheeet, kakobuylink, kakebuylist, Kakobuy MEGA Spreadsheet, kakobuysheetfind, kakobuysheetfind2026, 2026kakobuysheetfind, kakobuysheet2026</t>
        </is>
      </c>
      <c r="Q2" t="inlineStr">
        <is>
          <t>Dior, Olive Green, Leather, Elegant, Business, Men</t>
        </is>
      </c>
      <c r="R2" t="inlineStr">
        <is>
          <t>recvhju1Cr2qFG</t>
        </is>
      </c>
      <c r="S2" t="inlineStr">
        <is>
          <t>dior-olive-green-leather-men-belt-recvhju1cr2qfg</t>
        </is>
      </c>
      <c r="T2"/>
      <c r="U2"/>
      <c r="V2"/>
      <c r="W2" t="inlineStr">
        <is>
          <t>{"id":"chatcmpl-DZRCAbQC803YEVfwovb341fLDxgak","object":"chat.completion","created":1777338390,"model":"gpt-5-chat-2025-10-03","choices":[{"index":0,"message":{"role":"assistant","content":"Dior：1947系列橄榄绿皮革腰带，采用优质小牛皮材质搭配古金色金属扣，复古铭牌设计致敬品牌经典，彰显法式优雅格调，适合男士日常与商务穿搭。","refusal":null,"annotations":[]},"logprobs":null,"finish_reason":"stop"}],"usage":{"prompt_tokens":1299,"completion_tokens":64,"total_tokens":1363,"prompt_tokens_details":{"cached_tokens":0,"audio_tokens":0},"completion_tokens_details":{"reasoning_tokens":0,"audio_tokens":0,"accepted_prediction_tokens":0,"rejected_prediction_tokens":0}},"service_tier":"default","system_fingerprint":"fp_ad66631dec"}</t>
        </is>
      </c>
      <c r="X2" t="inlineStr">
        <is>
          <t>Dior：1947系列橄榄绿皮革腰带，采用优质小牛皮材质搭配古金色金属扣，复古铭牌设计致敬品牌经典，彰显法式优雅格调，适合男士日常与商务穿搭。</t>
        </is>
      </c>
    </row>
    <row r="3" ht="25.5" customHeight="1">
      <c r="A3">
        <v>1654975475</v>
      </c>
      <c r="B3">
        <v>7624179522</v>
      </c>
      <c r="C3" s="2" t="str">
        <f>=HYPERLINK("https://weidian.com/item.html?itemID=7624179522", "https://weidian.com/item.html?itemID=7624179522")</f>
        <v>https://weidian.com/item.html?itemID=7624179522</v>
      </c>
      <c r="D3"/>
      <c r="E3" s="2" t="str">
        <f>=HYPERLINK("https://si.geilicdn.com/pcitem2014204438-38870000019ad97a454b0a210256_1512_2016.jpg?w=640&amp;h=640", "https://si.geilicdn.com/pcitem2014204438-38870000019ad97a454b0a210256_1512_2016.jpg?w=640&amp;h=640")</f>
        <v>https://si.geilicdn.com/pcitem2014204438-38870000019ad97a454b0a210256_1512_2016.jpg?w=640&amp;h=640</v>
      </c>
      <c r="F3" t="inlineStr">
        <is>
          <t>Accessories</t>
        </is>
      </c>
      <c r="G3" t="inlineStr">
        <is>
          <t>Dior</t>
        </is>
      </c>
      <c r="H3">
        <v>460</v>
      </c>
      <c r="I3">
        <v>66.67</v>
      </c>
      <c r="J3" t="inlineStr">
        <is>
          <t>{"id":"chatcmpl-DZSIIZrHJSNuLXRNlwXif7EN9Kemk","object":"chat.completion","created":1777342614,"model":"gpt-5-chat-2025-10-03","choices":[{"index":0,"message":{"role":"assistant","content":"Dior 1947 Men Dark Blue Leather Belt","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ad66631dec"}</t>
        </is>
      </c>
      <c r="K3" t="inlineStr">
        <is>
          <t>Dior 1947 Men Dark Blue Leather Belt</t>
        </is>
      </c>
      <c r="L3" t="inlineStr">
        <is>
          <t>{"id":"chatcmpl-DZReztmmuhRFx7HDUzaCaqat1ZvPc","object":"chat.completion","created":1777340177,"model":"gpt-5-chat-2025-10-03","choices":[{"index":0,"message":{"role":"assistant","content":"Dior 1947 Men’s Dark Blue Leather Belt crafted from premium grained calfskin, featuring a signature metal logo buckle. Combines French vintage elegance and modern minimalism for a refined gentleman look.","refusal":null,"annotations":[]},"logprobs":null,"finish_reason":"stop"}],"usage":{"prompt_tokens":893,"completion_tokens":42,"total_tokens":935,"prompt_tokens_details":{"cached_tokens":0,"audio_tokens":0},"completion_tokens_details":{"reasoning_tokens":0,"audio_tokens":0,"accepted_prediction_tokens":0,"rejected_prediction_tokens":0}},"service_tier":"default","system_fingerprint":"fp_ad66631dec"}</t>
        </is>
      </c>
      <c r="M3" t="inlineStr">
        <is>
          <t>{"alt-svc":"h3=\":443\"; ma=2592000","apim-request-id":"c8ff51c6-bf97-429c-8556-f87e10a58c57","azureml-model-session":"d20260402075109-1fc5a0ec","cache-control":"no-cache","connection":"close","content-length":"1013","content-type":"application/json","date":"Tue, 28 Apr 2026 01:36:18 GMT","server":"Caddy","skip-error-remapping":"true","strict-transport-security":"max-age=31536000; includeSubDomains; preload","x-content-type-options":"nosniff","x-ms-client-request-id":"Not-Set","x-ms-is-spilled-over":"false","x-ms-rai-invoked":"false","x-ms-region":"East US","x-new-api-version":"0.4.35","x-oneapi-request-id":"202604280136168394364828268d9d6ZqxAZ8qp","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5ed7871b-7d33-4a21-9abf-06ca8d80fabd"}</t>
        </is>
      </c>
      <c r="N3" t="inlineStr">
        <is>
          <t>Dior 1947 Men’s Dark Blue Leather Belt crafted from premium grained calfskin, featuring a signature metal logo buckle. Combines French vintage elegance and modern minimalism for a refined gentleman look.</t>
        </is>
      </c>
      <c r="O3" t="inlineStr">
        <is>
          <t>{"id":"chatcmpl-DZSZxe7jqCM5oNSyb2OevsS7D6Ly9","object":"chat.completion","created":1777343709,"model":"gpt-5-chat-2025-10-03","choices":[{"index":0,"message":{"role":"assistant","content":"Dior,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3" t="inlineStr">
        <is>
          <t>Dior, Belt, kakobuy, kakebuy2026, kekobuysheet, kakobuysheet2026, 2026kakobuy, kakobuyspreadsheeet, kakobuylink, kakebuylist, Kakobuy MEGA Spreadsheet, kakobuysheetfind, kakobuysheetfind2026, 2026kakobuysheetfind, kakobuysheet2026</t>
        </is>
      </c>
      <c r="Q3" t="inlineStr">
        <is>
          <t>Dior, Dark Blue, Leather, Elegant, Minimalist, Men</t>
        </is>
      </c>
      <c r="R3" t="inlineStr">
        <is>
          <t>recvhju1CraVEu</t>
        </is>
      </c>
      <c r="S3" t="inlineStr">
        <is>
          <t>dior-1947-men-dark-blue-leather-belt-recvhju1craveu</t>
        </is>
      </c>
      <c r="T3"/>
      <c r="U3"/>
      <c r="V3"/>
      <c r="W3" t="inlineStr">
        <is>
          <t>{"id":"chatcmpl-DZRBLOzqDZ4uPi1EiROF6DHWbmytu","object":"chat.completion","created":1777338339,"model":"gpt-5-chat-2025-10-03","choices":[{"index":0,"message":{"role":"assistant","content":"Dior：1947系列深蓝色男士皮带，以优质粒面牛皮打造，金属徽标扣饰彰显品牌经典法式优雅，复古风格融合现代简约设计，尽显绅士格调与高端质感。","refusal":null,"annotations":[]},"logprobs":null,"finish_reason":"stop"}],"usage":{"prompt_tokens":1297,"completion_tokens":61,"total_tokens":1358,"prompt_tokens_details":{"cached_tokens":0,"audio_tokens":0},"completion_tokens_details":{"reasoning_tokens":0,"audio_tokens":0,"accepted_prediction_tokens":0,"rejected_prediction_tokens":0}},"service_tier":"default","system_fingerprint":"fp_ad66631dec"}</t>
        </is>
      </c>
      <c r="X3" t="inlineStr">
        <is>
          <t>Dior：1947系列深蓝色男士皮带，以优质粒面牛皮打造，金属徽标扣饰彰显品牌经典法式优雅，复古风格融合现代简约设计，尽显绅士格调与高端质感。</t>
        </is>
      </c>
    </row>
    <row r="4" ht="25.5" customHeight="1">
      <c r="A4">
        <v>1654975475</v>
      </c>
      <c r="B4">
        <v>7624205342</v>
      </c>
      <c r="C4" s="2" t="str">
        <f>=HYPERLINK("https://weidian.com/item.html?itemID=7624205342", "https://weidian.com/item.html?itemID=7624205342")</f>
        <v>https://weidian.com/item.html?itemID=7624205342</v>
      </c>
      <c r="D4"/>
      <c r="E4" s="2" t="str">
        <f>=HYPERLINK("https://si.geilicdn.com/pcitem2014204438-2aaa0000019ad97d77630a20e273_1512_2016.jpg?w=640&amp;h=640", "https://si.geilicdn.com/pcitem2014204438-2aaa0000019ad97d77630a20e273_1512_2016.jpg?w=640&amp;h=640")</f>
        <v>https://si.geilicdn.com/pcitem2014204438-2aaa0000019ad97d77630a20e273_1512_2016.jpg?w=640&amp;h=640</v>
      </c>
      <c r="F4" t="inlineStr">
        <is>
          <t>Accessories</t>
        </is>
      </c>
      <c r="G4" t="inlineStr">
        <is>
          <t>Louis Vuitton</t>
        </is>
      </c>
      <c r="H4">
        <v>480</v>
      </c>
      <c r="I4">
        <v>69.5797101449275</v>
      </c>
      <c r="J4" t="inlineStr">
        <is>
          <t>{"id":"chatcmpl-DZSKE843Wi86C0SePSCPhZ2QSMx12","object":"chat.completion","created":1777342734,"model":"gpt-5-chat-2025-10-03","choices":[{"index":0,"message":{"role":"assistant","content":"Louis Vuitton Deep Blue Crocodile Leather LV Belt","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4" t="inlineStr">
        <is>
          <t>Louis Vuitton Deep Blue Crocodile Leather LV Belt</t>
        </is>
      </c>
      <c r="L4" t="inlineStr">
        <is>
          <t>{"id":"chatcmpl-DZRiQpSmBZvk0UTytGDTM4oA8mfZf","object":"chat.completion","created":1777340390,"model":"gpt-5-chat-2025-10-03","choices":[{"index":0,"message":{"role":"assistant","content":"Louis Vuitton deep blue crocodile-embossed leather belt with black LV buckle, a sleek and luxurious men’s accessory blending modern elegance, style, and practicality for refined fashion lovers.","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4" t="inlineStr">
        <is>
          <t>{"alt-svc":"h3=\":443\"; ma=2592000","apim-request-id":"fedf3bda-0bcf-439b-999d-695efb8a1ce6","azureml-model-session":"d20260405234249-f9874baf","cache-control":"no-cache","connection":"close","content-length":"1003","content-type":"application/json","date":"Tue, 28 Apr 2026 01:39:51 GMT","server":"nginx","skip-error-remapping":"true","strict-transport-security":"max-age=31536000; includeSubDomains; preload","via":"1.1 Caddy","x-content-type-options":"nosniff","x-ms-client-request-id":"Not-Set","x-ms-is-spilled-over":"false","x-ms-rai-invoked":"false","x-ms-region":"North Central US","x-new-api-version":"0.4.35","x-oneapi-request-id":"202604280139494405891498268d9d6RkBiBp8q","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3d8add78-055c-48c1-b234-e4bc72d9dbf7"}</t>
        </is>
      </c>
      <c r="N4" t="inlineStr">
        <is>
          <t>Louis Vuitton deep blue crocodile-embossed leather belt with black LV buckle, a sleek and luxurious men’s accessory blending modern elegance, style, and practicality for refined fashion lovers.</t>
        </is>
      </c>
      <c r="O4" t="inlineStr">
        <is>
          <t>{"id":"chatcmpl-DZSaEikOGaWXWXI8DbWIKNFMx24Ba","object":"chat.completion","created":1777343726,"model":"gpt-5-chat-2025-10-03","choices":[{"index":0,"message":{"role":"assistant","content":"Louis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4" t="inlineStr">
        <is>
          <t>Louis Vuitton, Accessories, kakobuy, kakebuy2026, kekobuysheet, kakobuysheet2026, 2026kakobuy, kakobuyspreadsheeet, kakobuylink, kakebuylist, Kakobuy MEGA Spreadsheet, kakobuysheetfind, kakobuysheetfind2026, 2026kakobuysheetfind, kakobuysheet2026</t>
        </is>
      </c>
      <c r="Q4" t="inlineStr">
        <is>
          <t>LV, Crocodile Pattern, Leather, Sleek, Men, Dark Blue</t>
        </is>
      </c>
      <c r="R4" t="inlineStr">
        <is>
          <t>recvhju1CrUz3C</t>
        </is>
      </c>
      <c r="S4" t="inlineStr">
        <is>
          <t>louis-vuitton-deep-blue-crocodile-leather-lv-belt-recvhju1cr uz3c</t>
        </is>
      </c>
      <c r="T4"/>
      <c r="U4"/>
      <c r="V4"/>
      <c r="W4" t="inlineStr">
        <is>
          <t>{"id":"chatcmpl-DZRKkLLmc78OxdWySXtzunPOIpzlz","object":"chat.completion","created":1777338922,"model":"gpt-5-chat-2025-10-03","choices":[{"index":0,"message":{"role":"assistant","content":"Louis Vuitton：深蓝色鳄鱼纹皮革腰带，配以黑色LV标志扣，简约奢华设计感，彰显现代优雅格调，男士精选精品配饰，兼具时尚与实用。","refusal":null,"annotations":[]},"logprobs":null,"finish_reason":"stop"}],"usage":{"prompt_tokens":1299,"completion_tokens":56,"total_tokens":1355,"prompt_tokens_details":{"cached_tokens":0,"audio_tokens":0},"completion_tokens_details":{"reasoning_tokens":0,"audio_tokens":0,"accepted_prediction_tokens":0,"rejected_prediction_tokens":0}},"service_tier":"default","system_fingerprint":"fp_ad66631dec"}</t>
        </is>
      </c>
      <c r="X4" t="inlineStr">
        <is>
          <t>Louis Vuitton：深蓝色鳄鱼纹皮革腰带，配以黑色LV标志扣，简约奢华设计感，彰显现代优雅格调，男士精选精品配饰，兼具时尚与实用。</t>
        </is>
      </c>
    </row>
    <row r="5" ht="25.5" customHeight="1">
      <c r="A5">
        <v>1654975475</v>
      </c>
      <c r="B5">
        <v>7621197501</v>
      </c>
      <c r="C5" s="2" t="str">
        <f>=HYPERLINK("https://weidian.com/item.html?itemID=7621197501", "https://weidian.com/item.html?itemID=7621197501")</f>
        <v>https://weidian.com/item.html?itemID=7621197501</v>
      </c>
      <c r="D5"/>
      <c r="E5" s="2" t="str">
        <f>=HYPERLINK("https://si.geilicdn.com/pcitem2014204438-33260000019ad979bd700a2102c5_1080_1080.jpg?w=640&amp;h=640", "https://si.geilicdn.com/pcitem2014204438-33260000019ad979bd700a2102c5_1080_1080.jpg?w=640&amp;h=640")</f>
        <v>https://si.geilicdn.com/pcitem2014204438-33260000019ad979bd700a2102c5_1080_1080.jpg?w=640&amp;h=640</v>
      </c>
      <c r="F5" t="inlineStr">
        <is>
          <t>Accessories</t>
        </is>
      </c>
      <c r="G5" t="inlineStr">
        <is>
          <t>Burberry</t>
        </is>
      </c>
      <c r="H5">
        <v>480</v>
      </c>
      <c r="I5">
        <v>69.5797101449275</v>
      </c>
      <c r="J5" t="inlineStr">
        <is>
          <t>{"id":"chatcmpl-DZSKmilcvZRkrf9GhLoPMFuid4The","object":"chat.completion","created":1777342768,"model":"gpt-5-chat-2025-10-03","choices":[{"index":0,"message":{"role":"assistant","content":"Burberry Black Leather Belt Silver B Buckle","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5" t="inlineStr">
        <is>
          <t>Burberry Black Leather Belt Silver B Buckle</t>
        </is>
      </c>
      <c r="L5" t="inlineStr">
        <is>
          <t>{"id":"chatcmpl-DZRdIcCpLQOB3WljlaiwiyyWZV7Gp","object":"chat.completion","created":1777340072,"model":"gpt-5-chat-2025-10-03","choices":[{"index":0,"message":{"role":"assistant","content":"Burberry Black Leather Belt with Silver Double-B Knight Buckle, crafted from premium cowhide, showcasing British elegance and refined craftsmanship. Unisex design for business or casual wear.","refusal":null,"annotations":[]},"logprobs":null,"finish_reason":"stop"}],"usage":{"prompt_tokens":899,"completion_tokens":36,"total_tokens":935,"prompt_tokens_details":{"cached_tokens":0,"audio_tokens":0},"completion_tokens_details":{"reasoning_tokens":0,"audio_tokens":0,"accepted_prediction_tokens":0,"rejected_prediction_tokens":0}},"service_tier":"default","system_fingerprint":"fp_ad66631dec"}</t>
        </is>
      </c>
      <c r="M5" t="inlineStr">
        <is>
          <t>{"alt-svc":"h3=\":443\"; ma=2592000","apim-request-id":"3d3733ec-4d65-444f-b0ee-ac9606385269","azureml-model-session":"d20260405225800-40f19e54","cache-control":"no-cache","connection":"close","content-length":"999","content-type":"application/json","date":"Tue, 28 Apr 2026 01:34:34 GMT","server":"Caddy","skip-error-remapping":"true","strict-transport-security":"max-age=31536000; includeSubDomains; preload","x-content-type-options":"nosniff","x-ms-client-request-id":"Not-Set","x-ms-is-spilled-over":"false","x-ms-rai-invoked":"false","x-ms-region":"Poland Central","x-new-api-version":"0.4.35","x-oneapi-request-id":"202604280134316210021728268d9d6BxOMDojD","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cad89ccd-93c8-4fc9-a0e3-3b70c0d33ff2"}</t>
        </is>
      </c>
      <c r="N5" t="inlineStr">
        <is>
          <t>Burberry Black Leather Belt with Silver Double-B Knight Buckle, crafted from premium cowhide, showcasing British elegance and refined craftsmanship. Unisex design for business or casual wear.</t>
        </is>
      </c>
      <c r="O5" t="inlineStr">
        <is>
          <t>{"id":"chatcmpl-DZShXX6DmWvvwI6248Ch7IjV4a7d6","object":"chat.completion","created":1777344179,"model":"gpt-5-chat-2025-10-03","choices":[{"index":0,"message":{"role":"assistant","content":"Burberry,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 t="inlineStr">
        <is>
          <t>Burberry, Accessories, kakobuy, kakebuy2026, kekobuysheet, kakobuysheet2026, 2026kakobuy, kakobuyspreadsheeet, kakobuylink, kakebuylist, Kakobuy MEGA Spreadsheet, kakobuysheetfind, kakobuysheetfind2026, 2026kakobuysheetfind, kakobuysheet2026</t>
        </is>
      </c>
      <c r="Q5" t="inlineStr">
        <is>
          <t>Black, Leather, Cowhide, Elegant, Unisex, Business Casual</t>
        </is>
      </c>
      <c r="R5" t="inlineStr">
        <is>
          <t>recvhju1CrwUR2</t>
        </is>
      </c>
      <c r="S5" t="inlineStr">
        <is>
          <t>burberry-black-leather-belt-silver-b-buckle-recvhju1crwur2</t>
        </is>
      </c>
      <c r="T5"/>
      <c r="U5"/>
      <c r="V5"/>
      <c r="W5" t="inlineStr">
        <is>
          <t>{"id":"chatcmpl-DZR9quu5YyBKKkjHVQ88u9zSmMtXs","object":"chat.completion","created":1777338246,"model":"gpt-5-chat-2025-10-03","choices":[{"index":0,"message":{"role":"assistant","content":"Burberry：黑色骑士徽标皮质腰带，甄选头层牛皮，配以银色双B镂空金属扣，经典英伦格调，彰显品牌精致工艺与时尚质感，适合男女通用，商务休闲皆宜。","refusal":null,"annotations":[]},"logprobs":null,"finish_reason":"stop"}],"usage":{"prompt_tokens":1297,"completion_tokens":67,"total_tokens":1364,"prompt_tokens_details":{"cached_tokens":0,"audio_tokens":0},"completion_tokens_details":{"reasoning_tokens":0,"audio_tokens":0,"accepted_prediction_tokens":0,"rejected_prediction_tokens":0}},"service_tier":"default","system_fingerprint":"fp_ad66631dec"}</t>
        </is>
      </c>
      <c r="X5" t="inlineStr">
        <is>
          <t>Burberry：黑色骑士徽标皮质腰带，甄选头层牛皮，配以银色双B镂空金属扣，经典英伦格调，彰显品牌精致工艺与时尚质感，适合男女通用，商务休闲皆宜。</t>
        </is>
      </c>
    </row>
    <row r="6" ht="25.5" customHeight="1">
      <c r="A6">
        <v>1654975475</v>
      </c>
      <c r="B6">
        <v>7624190964</v>
      </c>
      <c r="C6" s="2" t="str">
        <f>=HYPERLINK("https://weidian.com/item.html?itemID=7624190964", "https://weidian.com/item.html?itemID=7624190964")</f>
        <v>https://weidian.com/item.html?itemID=7624190964</v>
      </c>
      <c r="D6"/>
      <c r="E6" s="2" t="str">
        <f>=HYPERLINK("https://si.geilicdn.com/pcitem2014204438-44bf0000019ad97b67ed0a2315ef_1512_2016.jpg?w=640&amp;h=640", "https://si.geilicdn.com/pcitem2014204438-44bf0000019ad97b67ed0a2315ef_1512_2016.jpg?w=640&amp;h=640")</f>
        <v>https://si.geilicdn.com/pcitem2014204438-44bf0000019ad97b67ed0a2315ef_1512_2016.jpg?w=640&amp;h=640</v>
      </c>
      <c r="F6" t="inlineStr">
        <is>
          <t>Accessories</t>
        </is>
      </c>
      <c r="G6" t="inlineStr">
        <is>
          <t>Dior</t>
        </is>
      </c>
      <c r="H6">
        <v>460</v>
      </c>
      <c r="I6">
        <v>66.67</v>
      </c>
      <c r="J6" t="inlineStr">
        <is>
          <t>{"id":"chatcmpl-DZSMk3giMfo9POYWLbOwVODZwjYVl","object":"chat.completion","created":1777342890,"model":"gpt-5-chat-2025-10-03","choices":[{"index":0,"message":{"role":"assistant","content":"Dior 1947 Beige Leather Belt Unisex Calfskin Accessory","refusal":null,"annotations":[]},"logprobs":null,"finish_reason":"stop"}],"usage":{"prompt_tokens":877,"completion_tokens":16,"total_tokens":893,"prompt_tokens_details":{"cached_tokens":0,"audio_tokens":0},"completion_tokens_details":{"reasoning_tokens":0,"audio_tokens":0,"accepted_prediction_tokens":0,"rejected_prediction_tokens":0}},"service_tier":"default","system_fingerprint":"fp_ad66631dec"}</t>
        </is>
      </c>
      <c r="K6" t="inlineStr">
        <is>
          <t>Dior 1947 Beige Leather Belt Unisex Calfskin Accessory</t>
        </is>
      </c>
      <c r="L6" t="inlineStr">
        <is>
          <t>{"id":"chatcmpl-DZRcosk5bPJ1R4CW79fhZs7c8wKyG","object":"chat.completion","created":1777340042,"model":"gpt-5-chat-2025-10-03","choices":[{"index":0,"message":{"role":"assistant","content":"Dior 1947 Beige Leather Belt crafted from fine calfskin with embossed metal logo buckle, offering a retro-modern style. Unisex, minimalist and versatile, showcasing timeless French elegance.","refusal":null,"annotations":[]},"logprobs":null,"finish_reason":"stop"}],"usage":{"prompt_tokens":892,"completion_tokens":38,"total_tokens":930,"prompt_tokens_details":{"cached_tokens":0,"audio_tokens":0},"completion_tokens_details":{"reasoning_tokens":0,"audio_tokens":0,"accepted_prediction_tokens":0,"rejected_prediction_tokens":0}},"service_tier":"default","system_fingerprint":"fp_ad66631dec"}</t>
        </is>
      </c>
      <c r="M6" t="inlineStr">
        <is>
          <t>{"alt-svc":"h3=\":443\"; ma=2592000","apim-request-id":"fd27e24a-e570-49ab-8251-10ff8b092c24","azureml-model-session":"d20260402075109-1fc5a0ec","cache-control":"no-cache","connection":"close","content-length":"998","content-type":"application/json","date":"Tue, 28 Apr 2026 01:34:03 GMT","server":"nginx","skip-error-remapping":"true","strict-transport-security":"max-age=31536000; includeSubDomains; preload","via":"1.1 Caddy","x-content-type-options":"nosniff","x-ms-client-request-id":"Not-Set","x-ms-is-spilled-over":"false","x-ms-rai-invoked":"false","x-ms-region":"East US 2","x-new-api-version":"0.4.35","x-oneapi-request-id":"202604280134015185054518268d9d6aAD7WOyi","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3c05475f-8a24-46a6-85c5-c3f81b72f48c"}</t>
        </is>
      </c>
      <c r="N6" t="inlineStr">
        <is>
          <t>Dior 1947 Beige Leather Belt crafted from fine calfskin with embossed metal logo buckle, offering a retro-modern style. Unisex, minimalist and versatile, showcasing timeless French elegance.</t>
        </is>
      </c>
      <c r="O6" t="inlineStr">
        <is>
          <t>{"id":"chatcmpl-DZSWFVWo4BJuW0vmT3SickB5lBXiO","object":"chat.completion","created":1777343479,"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 t="inlineStr">
        <is>
          <t>Dior,Belt,kakobuy,kakebuy2026,kekobuysheet,kakobuysheet2026,2026kakobuy,kakobuyspreadsheeet,kakobuylink,kakebuylist,Kakobuy MEGA Spreadsheet,kakobuysheetfind,kakobuysheetfind2026,2026kakobuysheetfind,kakobuysheet2026</t>
        </is>
      </c>
      <c r="Q6" t="inlineStr">
        <is>
          <t>Dior, Leather, Beige, Unisex, Minimalist, Retro</t>
        </is>
      </c>
      <c r="R6" t="inlineStr">
        <is>
          <t>recvhju1CriO7B</t>
        </is>
      </c>
      <c r="S6" t="inlineStr">
        <is>
          <t>dior-beige-leather-belt-recvhju1crio7b</t>
        </is>
      </c>
      <c r="T6"/>
      <c r="U6"/>
      <c r="V6"/>
      <c r="W6" t="inlineStr">
        <is>
          <t>{"id":"chatcmpl-DZR6VqivBLUA5pyc4Lnqh1AfPlNpl","object":"chat.completion","created":1777338039,"model":"gpt-5-chat-2025-10-03","choices":[{"index":0,"message":{"role":"assistant","content":"Dior：1947系列米色真皮腰带，选用细腻牛皮打造，配金属浮雕Logo扣头，复古摩登风格，简约百搭，男女皆宜，展现经典法式优雅品味。","refusal":null,"annotations":[]},"logprobs":null,"finish_reason":"stop"}],"usage":{"prompt_tokens":1301,"completion_tokens":58,"total_tokens":1359,"prompt_tokens_details":{"cached_tokens":0,"audio_tokens":0},"completion_tokens_details":{"reasoning_tokens":0,"audio_tokens":0,"accepted_prediction_tokens":0,"rejected_prediction_tokens":0}},"service_tier":"default","system_fingerprint":"fp_ad66631dec"}</t>
        </is>
      </c>
      <c r="X6" t="inlineStr">
        <is>
          <t>Dior：1947系列米色真皮腰带，选用细腻牛皮打造，配金属浮雕Logo扣头，复古摩登风格，简约百搭，男女皆宜，展现经典法式优雅品味。</t>
        </is>
      </c>
    </row>
    <row r="7" ht="25.5" customHeight="1">
      <c r="A7">
        <v>1654975475</v>
      </c>
      <c r="B7">
        <v>7624198812</v>
      </c>
      <c r="C7" s="2" t="str">
        <f>=HYPERLINK("https://weidian.com/item.html?itemID=7624198812", "https://weidian.com/item.html?itemID=7624198812")</f>
        <v>https://weidian.com/item.html?itemID=7624198812</v>
      </c>
      <c r="D7"/>
      <c r="E7" s="2" t="str">
        <f>=HYPERLINK("https://si.geilicdn.com/pcitem2014204438-2ce00000019ad979269a0a20e7c7_1512_2016.jpg?w=640&amp;h=640", "https://si.geilicdn.com/pcitem2014204438-2ce00000019ad979269a0a20e7c7_1512_2016.jpg?w=640&amp;h=640")</f>
        <v>https://si.geilicdn.com/pcitem2014204438-2ce00000019ad979269a0a20e7c7_1512_2016.jpg?w=640&amp;h=640</v>
      </c>
      <c r="F7" t="inlineStr">
        <is>
          <t>Accessories</t>
        </is>
      </c>
      <c r="G7" t="inlineStr">
        <is>
          <t>Louis Vuitton</t>
        </is>
      </c>
      <c r="H7">
        <v>460</v>
      </c>
      <c r="I7">
        <v>66.67</v>
      </c>
      <c r="J7" t="inlineStr">
        <is>
          <t>{"id":"chatcmpl-DZSMzrE6PPS3WoVHM5ThOhVmXlEVf","object":"chat.completion","created":1777342905,"model":"gpt-5-chat-2025-10-03","choices":[{"index":0,"message":{"role":"assistant","content":"Louis Vuitton White Monogram Leather Belt Gold Buckle","refusal":null,"annotations":[]},"logprobs":null,"finish_reason":"stop"}],"usage":{"prompt_tokens":869,"completion_tokens":11,"total_tokens":880,"prompt_tokens_details":{"cached_tokens":0,"audio_tokens":0},"completion_tokens_details":{"reasoning_tokens":0,"audio_tokens":0,"accepted_prediction_tokens":0,"rejected_prediction_tokens":0}},"service_tier":"default","system_fingerprint":"fp_ad66631dec"}</t>
        </is>
      </c>
      <c r="K7" t="inlineStr">
        <is>
          <t>Louis Vuitton White Monogram Leather Belt Gold Buckle</t>
        </is>
      </c>
      <c r="L7" t="inlineStr">
        <is>
          <t>{"id":"chatcmpl-DZRgpbBZatRnVz3xIylVj8CSGHaRM","object":"chat.completion","created":1777340291,"model":"gpt-5-chat-2025-10-03","choices":[{"index":0,"message":{"role":"assistant","content":"Louis Vuitton Monogram White Leather Belt with Gold LV Buckle, crafted from premium cowhide, reversible design for men and women, showcasing timeless luxury and fashion elegance.","refusal":null,"annotations":[]},"logprobs":null,"finish_reason":"stop"}],"usage":{"prompt_tokens":889,"completion_tokens":34,"total_tokens":923,"prompt_tokens_details":{"cached_tokens":0,"audio_tokens":0},"completion_tokens_details":{"reasoning_tokens":0,"audio_tokens":0,"accepted_prediction_tokens":0,"rejected_prediction_tokens":0}},"service_tier":"default","system_fingerprint":"fp_ad66631dec"}</t>
        </is>
      </c>
      <c r="M7" t="inlineStr">
        <is>
          <t>{"alt-svc":"h3=\":443\"; ma=2592000","apim-request-id":"e9dfa98e-3852-48e0-9067-170cfd4f3790","azureml-model-session":"d20260405234249-f9874baf","cache-control":"no-cache","connection":"close","content-length":"986","content-type":"application/json","date":"Tue, 28 Apr 2026 01:38:12 GMT","server":"Caddy","skip-error-remapping":"true","strict-transport-security":"max-age=31536000; includeSubDomains; preload","x-content-type-options":"nosniff","x-ms-client-request-id":"Not-Set","x-ms-is-spilled-over":"false","x-ms-rai-invoked":"false","x-ms-region":"East US","x-new-api-version":"0.4.35","x-oneapi-request-id":"202604280138108982444448268d9d6sCLLSPq6","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dbf0dcac-713f-4034-b0d4-485cd3714472"}</t>
        </is>
      </c>
      <c r="N7" t="inlineStr">
        <is>
          <t>Louis Vuitton Monogram White Leather Belt with Gold LV Buckle, crafted from premium cowhide, reversible design for men and women, showcasing timeless luxury and fashion elegance.</t>
        </is>
      </c>
      <c r="O7" t="inlineStr">
        <is>
          <t>{"id":"chatcmpl-DZSZTGqEZQ0PvlCPr9Dwu1W1PvhB5","object":"chat.completion","created":1777343679,"model":"gpt-5-chat-2025-10-03","choices":[{"index":0,"message":{"role":"assistant","content":"Louis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7" t="inlineStr">
        <is>
          <t>Louis Vuitton, Accessories, kakobuy, kakebuy2026, kekobuysheet, kakobuysheet2026, 2026kakobuy, kakobuyspreadsheeet, kakobuylink, kakebuylist, Kakobuy MEGA Spreadsheet, kakobuysheetfind, kakobuysheetfind2026, 2026kakobuysheetfind, kakobuysheet2026</t>
        </is>
      </c>
      <c r="Q7" t="inlineStr">
        <is>
          <t>LV, White, Leather, Cowhide, Gold, Unisex</t>
        </is>
      </c>
      <c r="R7" t="inlineStr">
        <is>
          <t>recvhju1CrciKe</t>
        </is>
      </c>
      <c r="S7" t="inlineStr">
        <is>
          <t>louis-vuitton-white-monogram-leather-belt-gold-buckle-recvhju1cricke</t>
        </is>
      </c>
      <c r="T7"/>
      <c r="U7"/>
      <c r="V7"/>
      <c r="W7" t="inlineStr">
        <is>
          <t>{"id":"chatcmpl-DZRCsuhGojK065Lz9szNGYkOov8VG","object":"chat.completion","created":1777338434,"model":"gpt-5-chat-2025-10-03","choices":[{"index":0,"message":{"role":"assistant","content":"Louis Vuitton：Monogram白色皮质腰带，采用优质牛皮材质与经典LV标志金属扣设计，双面拼色风格，男女皆宜，彰显时尚格调与奢华品味。","refusal":null,"annotations":[]},"logprobs":null,"finish_reason":"stop"}],"usage":{"prompt_tokens":1303,"completion_tokens":54,"total_tokens":1357,"prompt_tokens_details":{"cached_tokens":0,"audio_tokens":0},"completion_tokens_details":{"reasoning_tokens":0,"audio_tokens":0,"accepted_prediction_tokens":0,"rejected_prediction_tokens":0}},"service_tier":"default","system_fingerprint":"fp_ad66631dec"}</t>
        </is>
      </c>
      <c r="X7" t="inlineStr">
        <is>
          <t>Louis Vuitton：Monogram白色皮质腰带，采用优质牛皮材质与经典LV标志金属扣设计，双面拼色风格，男女皆宜，彰显时尚格调与奢华品味。</t>
        </is>
      </c>
    </row>
    <row r="8" ht="25.5" customHeight="1">
      <c r="A8">
        <v>1654975475</v>
      </c>
      <c r="B8">
        <v>7620985857</v>
      </c>
      <c r="C8" s="2" t="str">
        <f>=HYPERLINK("https://weidian.com/item.html?itemID=7620985857", "https://weidian.com/item.html?itemID=7620985857")</f>
        <v>https://weidian.com/item.html?itemID=7620985857</v>
      </c>
      <c r="D8"/>
      <c r="E8" s="2" t="str">
        <f>=HYPERLINK("https://si.geilicdn.com/pcitem2014204438-3a7b0000019ad97cfee20a2301b4_1512_2016.jpg?w=640&amp;h=640", "https://si.geilicdn.com/pcitem2014204438-3a7b0000019ad97cfee20a2301b4_1512_2016.jpg?w=640&amp;h=640")</f>
        <v>https://si.geilicdn.com/pcitem2014204438-3a7b0000019ad97cfee20a2301b4_1512_2016.jpg?w=640&amp;h=640</v>
      </c>
      <c r="F8" t="inlineStr">
        <is>
          <t>Accessories</t>
        </is>
      </c>
      <c r="G8" t="inlineStr">
        <is>
          <t>Louis Vuitton</t>
        </is>
      </c>
      <c r="H8">
        <v>480</v>
      </c>
      <c r="I8">
        <v>69.5797101449275</v>
      </c>
      <c r="J8" t="inlineStr">
        <is>
          <t>{"id":"chatcmpl-DZSJ1zekZE6VPLa20jZddzkc7JfMV","object":"chat.completion","created":1777342659,"model":"gpt-5-chat-2025-10-03","choices":[{"index":0,"message":{"role":"assistant","content":"Louis Vuitton Blue Crocodile Leather Belt Men","refusal":null,"annotations":[]},"logprobs":null,"finish_reason":"stop"}],"usage":{"prompt_tokens":863,"completion_tokens":10,"total_tokens":873,"prompt_tokens_details":{"cached_tokens":0,"audio_tokens":0},"completion_tokens_details":{"reasoning_tokens":0,"audio_tokens":0,"accepted_prediction_tokens":0,"rejected_prediction_tokens":0}},"service_tier":"default","system_fingerprint":"fp_ad66631dec"}</t>
        </is>
      </c>
      <c r="K8" t="inlineStr">
        <is>
          <t>Louis Vuitton Blue Crocodile Leather Belt Men</t>
        </is>
      </c>
      <c r="L8" t="inlineStr">
        <is>
          <t>{"id":"chatcmpl-DZRfkZzCI8zNa4pYBrRCXpludfKPn","object":"chat.completion","created":1777340224,"model":"gpt-5-chat-2025-10-03","choices":[{"index":0,"message":{"role":"assistant","content":"Louis Vuitton dark blue crocodile leather belt with gold LV buckle, showcasing timeless luxury and elegance, the ultimate accessory for men’s business and formal style.","refusal":null,"annotations":[]},"logprobs":null,"finish_reason":"stop"}],"usage":{"prompt_tokens":881,"completion_tokens":31,"total_tokens":912,"prompt_tokens_details":{"cached_tokens":0,"audio_tokens":0},"completion_tokens_details":{"reasoning_tokens":0,"audio_tokens":0,"accepted_prediction_tokens":0,"rejected_prediction_tokens":0}},"service_tier":"default","system_fingerprint":"fp_ad66631dec"}</t>
        </is>
      </c>
      <c r="M8" t="inlineStr">
        <is>
          <t>{"alt-svc":"h3=\":443\"; ma=2592000","apim-request-id":"39955d9c-be63-472c-9691-ecca51ac4156","azureml-model-session":"d20260402075109-1fc5a0ec","cache-control":"no-cache","connection":"close","content-length":"978","content-type":"application/json","date":"Tue, 28 Apr 2026 01:37:05 GMT","server":"Caddy","skip-error-remapping":"true","strict-transport-security":"max-age=31536000; includeSubDomains; preload","x-content-type-options":"nosniff","x-ms-client-request-id":"Not-Set","x-ms-is-spilled-over":"false","x-ms-rai-invoked":"false","x-ms-region":"Central US","x-new-api-version":"0.4.35","x-oneapi-request-id":"202604280137039159036868268d9d6KphpzaQk","x-ratelimit-abusepenalty-active":"False","x-ratelimit-key":"gpt-5-chat-global","x-ratelimit-limit-requests":"1000","x-ratelimit-limit-tokens":"1000000","x-ratelimit-remaining-requests":"999","x-ratelimit-remaining-tokens":"998357","x-ratelimit-renewalperiod-requests":"60","x-ratelimit-renewalperiod-tokens":"60","x-ratelimit-reset-requests":"60","x-ratelimit-reset-tokens":"98","x-request-id":"ff51d673-a611-419f-9722-77ce32a2347b"}</t>
        </is>
      </c>
      <c r="N8" t="inlineStr">
        <is>
          <t>Louis Vuitton dark blue crocodile leather belt with gold LV buckle, showcasing timeless luxury and elegance, the ultimate accessory for men’s business and formal style.</t>
        </is>
      </c>
      <c r="O8" t="inlineStr">
        <is>
          <t>{"id":"chatcmpl-DZShYLbromg6nBoIbGEwskbsO20RQ","object":"chat.completion","created":1777344180,"model":"gpt-5-chat-2025-10-03","choices":[{"index":0,"message":{"role":"assistant","content":"Louis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8" t="inlineStr">
        <is>
          <t>Louis Vuitton,Accessories,kakobuy,kakebuy2026,kekobuysheet,kakobuysheet2026,2026kakobuy,kakobuyspreadsheeet,kakobuylink,kakebuylist,Kakobuy MEGA Spreadsheet,kakobuysheetfind,kakobuysheetfind2026,2026kakobuysheetfind,kakobuysheet2026</t>
        </is>
      </c>
      <c r="Q8" t="inlineStr">
        <is>
          <t>LV, Crocodile Pattern, Gold, Business, Business Formal, Leather</t>
        </is>
      </c>
      <c r="R8" t="inlineStr">
        <is>
          <t>recvhju1CrVNq7</t>
        </is>
      </c>
      <c r="S8" t="inlineStr">
        <is>
          <t>louis-vuitton-blue-crocodile-leather-belt-men-recvhju1crvnq7</t>
        </is>
      </c>
      <c r="T8"/>
      <c r="U8"/>
      <c r="V8"/>
      <c r="W8" t="inlineStr">
        <is>
          <t>{"id":"chatcmpl-DZRBpT3ZRVafY1w2cvRTEE25l6Xqz","object":"chat.completion","created":1777338369,"model":"gpt-5-chat-2025-10-03","choices":[{"index":0,"message":{"role":"assistant","content":"Louis Vuitton：深蓝色鳄鱼纹皮革腰带，金色LV字母扣设计，展现品牌经典奢华格调，男士优雅商务风必备单品。","refusal":null,"annotations":[]},"logprobs":null,"finish_reason":"stop"}],"usage":{"prompt_tokens":1305,"completion_tokens":45,"total_tokens":1350,"prompt_tokens_details":{"cached_tokens":0,"audio_tokens":0},"completion_tokens_details":{"reasoning_tokens":0,"audio_tokens":0,"accepted_prediction_tokens":0,"rejected_prediction_tokens":0}},"service_tier":"default","system_fingerprint":"fp_ad66631dec"}</t>
        </is>
      </c>
      <c r="X8" t="inlineStr">
        <is>
          <t>Louis Vuitton：深蓝色鳄鱼纹皮革腰带，金色LV字母扣设计，展现品牌经典奢华格调，男士优雅商务风必备单品。</t>
        </is>
      </c>
    </row>
    <row r="9" ht="25.5" customHeight="1">
      <c r="A9">
        <v>1654975475</v>
      </c>
      <c r="B9">
        <v>7621203137</v>
      </c>
      <c r="C9" s="2" t="str">
        <f>=HYPERLINK("https://weidian.com/item.html?itemID=7621203137", "https://weidian.com/item.html?itemID=7621203137")</f>
        <v>https://weidian.com/item.html?itemID=7621203137</v>
      </c>
      <c r="D9"/>
      <c r="E9" s="2" t="str">
        <f>=HYPERLINK("https://si.geilicdn.com/pcitem2014204438-71370000019ad97c798e0a21146b_1512_2016.jpg?w=640&amp;h=640", "https://si.geilicdn.com/pcitem2014204438-71370000019ad97c798e0a21146b_1512_2016.jpg?w=640&amp;h=640")</f>
        <v>https://si.geilicdn.com/pcitem2014204438-71370000019ad97c798e0a21146b_1512_2016.jpg?w=640&amp;h=640</v>
      </c>
      <c r="F9" t="inlineStr">
        <is>
          <t>Accessories</t>
        </is>
      </c>
      <c r="G9" t="inlineStr">
        <is>
          <t>Dior</t>
        </is>
      </c>
      <c r="H9">
        <v>490</v>
      </c>
      <c r="I9">
        <v>71.01</v>
      </c>
      <c r="J9" t="inlineStr">
        <is>
          <t>{"id":"chatcmpl-DZSKgn4Yjn7YBqViTwqMlSX9rgLAx","object":"chat.completion","created":1777342762,"model":"gpt-5-chat-2025-10-03","choices":[{"index":0,"message":{"role":"assistant","content":"Dior Men Black Oblique Leather Belt with 3D Logo Buckle","refusal":null,"annotations":[]},"logprobs":null,"finish_reason":"stop"}],"usage":{"prompt_tokens":879,"completion_tokens":16,"total_tokens":895,"prompt_tokens_details":{"cached_tokens":0,"audio_tokens":0},"completion_tokens_details":{"reasoning_tokens":0,"audio_tokens":0,"accepted_prediction_tokens":0,"rejected_prediction_tokens":0}},"service_tier":"default","system_fingerprint":"fp_ad66631dec"}</t>
        </is>
      </c>
      <c r="K9" t="inlineStr">
        <is>
          <t>Dior Men Black Oblique Leather Belt with 3D Logo Buckle</t>
        </is>
      </c>
      <c r="L9" t="inlineStr">
        <is>
          <t>{"id":"chatcmpl-DZRhL1ARV44IW58iRmSWLKld5EvOD","object":"chat.completion","created":1777340323,"model":"gpt-5-chat-2025-10-03","choices":[{"index":0,"message":{"role":"assistant","content":"Dior Men’s Black Oblique Leather Belt features a bold 3D metal logo buckle, blending minimalist elegance with the brand’s iconic pattern for a refined, modern, and fashionable look.","refusal":null,"annotations":[]},"logprobs":null,"finish_reason":"stop"}],"usage":{"prompt_tokens":880,"completion_tokens":39,"total_tokens":919,"prompt_tokens_details":{"cached_tokens":0,"audio_tokens":0},"completion_tokens_details":{"reasoning_tokens":0,"audio_tokens":0,"accepted_prediction_tokens":0,"rejected_prediction_tokens":0}},"service_tier":"default","system_fingerprint":"fp_ad66631dec"}</t>
        </is>
      </c>
      <c r="M9" t="inlineStr">
        <is>
          <t>{"alt-svc":"h3=\":443\"; ma=2592000","apim-request-id":"ee1454fe-c129-4e92-9e49-ca0d267b6c28","azureml-model-session":"d20260405234249-f9874baf","cache-control":"no-cache","connection":"close","content-length":"993","content-type":"application/json","date":"Tue, 28 Apr 2026 01:38:44 GMT","server":"nginx","skip-error-remapping":"true","strict-transport-security":"max-age=31536000; includeSubDomains; preload","via":"1.1 Caddy","x-content-type-options":"nosniff","x-ms-client-request-id":"Not-Set","x-ms-is-spilled-over":"false","x-ms-rai-invoked":"false","x-ms-region":"North Central US","x-new-api-version":"0.4.35","x-oneapi-request-id":"202604280138427466523488268d9d6w0kEDRRP","x-ratelimit-abusepenalty-active":"False","x-ratelimit-key":"gpt-5-chat-global","x-ratelimit-limit-requests":"1000","x-ratelimit-limit-tokens":"1000000","x-ratelimit-remaining-requests":"999","x-ratelimit-remaining-tokens":"998358","x-ratelimit-renewalperiod-requests":"60","x-ratelimit-renewalperiod-tokens":"60","x-ratelimit-reset-requests":"60","x-ratelimit-reset-tokens":"98","x-request-id":"0a93b1aa-d18a-492b-94c9-9bc51f6cb0bc"}</t>
        </is>
      </c>
      <c r="N9" t="inlineStr">
        <is>
          <t>Dior Men’s Black Oblique Leather Belt features a bold 3D metal logo buckle, blending minimalist elegance with the brand’s iconic pattern for a refined, modern, and fashionable look.</t>
        </is>
      </c>
      <c r="O9" t="inlineStr">
        <is>
          <t>{"id":"chatcmpl-DZSUdPtdTgoXiLR00ddETeUA89qZB","object":"chat.completion","created":1777343379,"model":"gpt-5-chat-2025-10-03","choices":[{"index":0,"message":{"role":"assistant","content":"Dior,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 t="inlineStr">
        <is>
          <t>Dior, belt, kakobuy, kakebuy2026, kekobuysheet, kakobuysheet2026, 2026kakobuy, kakobuyspreadsheeet, kakobuylink, kakebuylist, Kakobuy MEGA Spreadsheet, kakobuysheetfind, kakobuysheetfind2026, 2026kakobuysheetfind, kakobuysheet2026</t>
        </is>
      </c>
      <c r="Q9" t="inlineStr">
        <is>
          <t>Dior, Black, Leather, Minimalist, Elegant, Fashion</t>
        </is>
      </c>
      <c r="R9" t="inlineStr">
        <is>
          <t>recvhju1Cra6zD</t>
        </is>
      </c>
      <c r="S9" t="inlineStr">
        <is>
          <t>dior-black-oblique-leather-belt-3d-logo-buckle-recvhju1cra6zd</t>
        </is>
      </c>
      <c r="T9"/>
      <c r="U9"/>
      <c r="V9"/>
      <c r="W9" t="inlineStr">
        <is>
          <t>{"id":"chatcmpl-DZRDzVtAmTXtiQvqePBwSclvJ2rUR","object":"chat.completion","created":1777338503,"model":"gpt-5-chat-2025-10-03","choices":[{"index":0,"message":{"role":"assistant","content":"Dior：黑色Oblique系列男士皮革腰带，饰以立体金属LOGO扣，简约格调融合品牌经典图腾，彰显现代优雅与潮流品味。","refusal":null,"annotations":[]},"logprobs":null,"finish_reason":"stop"}],"usage":{"prompt_tokens":1299,"completion_tokens":47,"total_tokens":1346,"prompt_tokens_details":{"cached_tokens":0,"audio_tokens":0},"completion_tokens_details":{"reasoning_tokens":0,"audio_tokens":0,"accepted_prediction_tokens":0,"rejected_prediction_tokens":0}},"service_tier":"default","system_fingerprint":"fp_ad66631dec"}</t>
        </is>
      </c>
      <c r="X9" t="inlineStr">
        <is>
          <t>Dior：黑色Oblique系列男士皮革腰带，饰以立体金属LOGO扣，简约格调融合品牌经典图腾，彰显现代优雅与潮流品味。</t>
        </is>
      </c>
    </row>
    <row r="10" ht="25.5" customHeight="1">
      <c r="A10">
        <v>1654975475</v>
      </c>
      <c r="B10">
        <v>7624805792</v>
      </c>
      <c r="C10" s="2" t="str">
        <f>=HYPERLINK("https://weidian.com/item.html?itemID=7624805792", "https://weidian.com/item.html?itemID=7624805792")</f>
        <v>https://weidian.com/item.html?itemID=7624805792</v>
      </c>
      <c r="D10"/>
      <c r="E10" s="2" t="str">
        <f>=HYPERLINK("https://si.geilicdn.com/pcitem2014204438-773c0000019ada31d63f0a8133cc_1512_2016.jpg?w=640&amp;h=640", "https://si.geilicdn.com/pcitem2014204438-773c0000019ada31d63f0a8133cc_1512_2016.jpg?w=640&amp;h=640")</f>
        <v>https://si.geilicdn.com/pcitem2014204438-773c0000019ada31d63f0a8133cc_1512_2016.jpg?w=640&amp;h=640</v>
      </c>
      <c r="F10" t="inlineStr">
        <is>
          <t>Accessories</t>
        </is>
      </c>
      <c r="G10" t="inlineStr">
        <is>
          <t>Louis Vuitton</t>
        </is>
      </c>
      <c r="H10">
        <v>460</v>
      </c>
      <c r="I10">
        <v>66.67</v>
      </c>
      <c r="J10" t="inlineStr">
        <is>
          <t>{"id":"chatcmpl-DZSGwpdLzS8T9iBs7w3WJFVd9BK0z","object":"chat.completion","created":1777342530,"model":"gpt-5-chat-2025-10-03","choices":[{"index":0,"message":{"role":"assistant","content":"Louis Vuitton Multicolor Monogram Leather Belt","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0" t="inlineStr">
        <is>
          <t>Louis Vuitton Multicolor Monogram Leather Belt</t>
        </is>
      </c>
      <c r="L10" t="inlineStr">
        <is>
          <t>{"id":"chatcmpl-DZRd7aDTLRNLATrAhyOGStBv76wgf","object":"chat.completion","created":1777340061,"model":"gpt-5-chat-2025-10-03","choices":[{"index":0,"message":{"role":"assistant","content":"Louis Vuitton Monogram Multicolor Leather Belt in premium coated canvas, featuring iconic LV buckle and blue-white contrast design for a modern, artistic, unisex luxury style.","refusal":null,"annotations":[]},"logprobs":null,"finish_reason":"stop"}],"usage":{"prompt_tokens":905,"completion_tokens":34,"total_tokens":939,"prompt_tokens_details":{"cached_tokens":0,"audio_tokens":0},"completion_tokens_details":{"reasoning_tokens":0,"audio_tokens":0,"accepted_prediction_tokens":0,"rejected_prediction_tokens":0}},"service_tier":"default","system_fingerprint":"fp_ad66631dec"}</t>
        </is>
      </c>
      <c r="M10" t="inlineStr">
        <is>
          <t>{"alt-svc":"h3=\":443\"; ma=2592000","apim-request-id":"9f179bc9-5f57-4597-9ac1-7231ecaae5a1","azureml-model-session":"d20260405225800-40f19e54","cache-control":"no-cache","connection":"close","content-length":"983","content-type":"application/json","date":"Tue, 28 Apr 2026 01:34:24 GMT","server":"Caddy","skip-error-remapping":"true","strict-transport-security":"max-age=31536000; includeSubDomains; preload","x-content-type-options":"nosniff","x-ms-client-request-id":"Not-Set","x-ms-is-spilled-over":"false","x-ms-rai-invoked":"false","x-ms-region":"Sweden Central","x-new-api-version":"0.4.35","x-oneapi-request-id":"202604280134203271529688268d9d6xlR38H6U","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87913dab-ff8f-4489-9eae-9c22ad6417e9"}</t>
        </is>
      </c>
      <c r="N10" t="inlineStr">
        <is>
          <t>Louis Vuitton Monogram Multicolor Leather Belt in premium coated canvas, featuring iconic LV buckle and blue-white contrast design for a modern, artistic, unisex luxury style.</t>
        </is>
      </c>
      <c r="O10" t="inlineStr">
        <is>
          <t>{"id":"chatcmpl-DZScO9bGb2o9J9AU1XxcWH7MGMu2v","object":"chat.completion","created":1777343860,"model":"gpt-5-chat-2025-10-03","choices":[{"index":0,"message":{"role":"assistant","content":"Louis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0" t="inlineStr">
        <is>
          <t>Louis Vuitton, Accessories, kakobuy, kakebuy2026, kekobuysheet, kakobuysheet2026, 2026kakobuy, kakobuyspreadsheeet, kakobuylink, kakebuylist, Kakobuy MEGA Spreadsheet, kakobuysheetfind, kakobuysheetfind2026, 2026kakobuysheetfind, kakobuysheet2026</t>
        </is>
      </c>
      <c r="Q10" t="inlineStr">
        <is>
          <t>LV, Leather, Canvas, Unisex, Artistic Style, Modern</t>
        </is>
      </c>
      <c r="R10" t="inlineStr">
        <is>
          <t>recvhju1CrwBlV</t>
        </is>
      </c>
      <c r="S10" t="inlineStr">
        <is>
          <t>louis-vuitton-multicolor-monogram-leather-belt-recvhju1crwblv</t>
        </is>
      </c>
      <c r="T10"/>
      <c r="U10"/>
      <c r="V10"/>
      <c r="W10" t="inlineStr">
        <is>
          <t>{"id":"chatcmpl-DZRBOYsVLDOwW28rsiyxQsnPLCa7v","object":"chat.completion","created":1777338342,"model":"gpt-5-chat-2025-10-03","choices":[{"index":0,"message":{"role":"assistant","content":"Louis Vuitton：Monogram多色印花皮革腰带，采用优质涂层帆布材质，饰以经典LV字母扣，蓝白对比设计彰显艺术感与现代气息，男女皆宜的时尚配饰，诠释品牌标志性奢华格调。","refusal":null,"annotations":[]},"logprobs":null,"finish_reason":"stop"}],"usage":{"prompt_tokens":1301,"completion_tokens":71,"total_tokens":1372,"prompt_tokens_details":{"cached_tokens":0,"audio_tokens":0},"completion_tokens_details":{"reasoning_tokens":0,"audio_tokens":0,"accepted_prediction_tokens":0,"rejected_prediction_tokens":0}},"service_tier":"default","system_fingerprint":"fp_ad66631dec"}</t>
        </is>
      </c>
      <c r="X10" t="inlineStr">
        <is>
          <t>Louis Vuitton：Monogram多色印花皮革腰带，采用优质涂层帆布材质，饰以经典LV字母扣，蓝白对比设计彰显艺术感与现代气息，男女皆宜的时尚配饰，诠释品牌标志性奢华格调。</t>
        </is>
      </c>
    </row>
    <row r="11" ht="25.5" customHeight="1">
      <c r="A11">
        <v>1654975475</v>
      </c>
      <c r="B11">
        <v>7623956092</v>
      </c>
      <c r="C11" s="2" t="str">
        <f>=HYPERLINK("https://weidian.com/item.html?itemID=7623956092", "https://weidian.com/item.html?itemID=7623956092")</f>
        <v>https://weidian.com/item.html?itemID=7623956092</v>
      </c>
      <c r="D11"/>
      <c r="E11" s="2" t="str">
        <f>=HYPERLINK("https://si.geilicdn.com/pcitem2014204438-79b50000019ada352fdc0a2303ee_1074_1074.jpg?w=640&amp;h=640", "https://si.geilicdn.com/pcitem2014204438-79b50000019ada352fdc0a2303ee_1074_1074.jpg?w=640&amp;h=640")</f>
        <v>https://si.geilicdn.com/pcitem2014204438-79b50000019ada352fdc0a2303ee_1074_1074.jpg?w=640&amp;h=640</v>
      </c>
      <c r="F11" t="inlineStr">
        <is>
          <t>Accessories</t>
        </is>
      </c>
      <c r="G11" t="inlineStr">
        <is>
          <t>Gucci</t>
        </is>
      </c>
      <c r="H11">
        <v>460</v>
      </c>
      <c r="I11">
        <v>66.67</v>
      </c>
      <c r="J11" t="inlineStr">
        <is>
          <t>{"id":"chatcmpl-DZSHGuLAuQBdCT6C7KMDLl9g8KmHE","object":"chat.completion","created":1777342550,"model":"gpt-5-chat-2025-10-03","choices":[{"index":0,"message":{"role":"assistant","content":"Gucci Double G Gold Buckle Beige Canvas Belt","refusal":null,"annotations":[]},"logprobs":null,"finish_reason":"stop"}],"usage":{"prompt_tokens":865,"completion_tokens":11,"total_tokens":876,"prompt_tokens_details":{"cached_tokens":0,"audio_tokens":0},"completion_tokens_details":{"reasoning_tokens":0,"audio_tokens":0,"accepted_prediction_tokens":0,"rejected_prediction_tokens":0}},"service_tier":"default","system_fingerprint":"fp_ad66631dec"}</t>
        </is>
      </c>
      <c r="K11" t="inlineStr">
        <is>
          <t>Gucci Double G Gold Buckle Beige Canvas Belt</t>
        </is>
      </c>
      <c r="L11" t="inlineStr">
        <is>
          <t>{"id":"chatcmpl-DZRjKnj5Hwvbi09Qn340SZpyInQGv","object":"chat.completion","created":1777340446,"model":"gpt-5-chat-2025-10-03","choices":[{"index":0,"message":{"role":"assistant","content":"Gucci Classic Double G Belt with gold buckle, beige GG canvas, and green leather lining. Unisex luxury accessory for elegant urban and vintage fashion looks.","refusal":null,"annotations":[]},"logprobs":null,"finish_reason":"stop"}],"usage":{"prompt_tokens":891,"completion_tokens":32,"total_tokens":923,"prompt_tokens_details":{"cached_tokens":0,"audio_tokens":0},"completion_tokens_details":{"reasoning_tokens":0,"audio_tokens":0,"accepted_prediction_tokens":0,"rejected_prediction_tokens":0}},"service_tier":"default","system_fingerprint":"fp_ad66631dec"}</t>
        </is>
      </c>
      <c r="M11" t="inlineStr">
        <is>
          <t>{"alt-svc":"h3=\":443\"; ma=2592000","apim-request-id":"3bbcbcd6-70ae-4bd0-8e91-d64228d8203e","azureml-model-session":"d20260402075109-1fc5a0ec","cache-control":"no-cache","connection":"close","content-length":"965","content-type":"application/json","date":"Tue, 28 Apr 2026 01:40:47 GMT","server":"nginx","skip-error-remapping":"true","strict-transport-security":"max-age=31536000; includeSubDomains; preload","via":"1.1 Caddy","x-content-type-options":"nosniff","x-ms-client-request-id":"Not-Set","x-ms-is-spilled-over":"false","x-ms-rai-invoked":"false","x-ms-region":"East US 2","x-new-api-version":"0.4.35","x-oneapi-request-id":"202604280140454750089428268d9d6QoLzA8ik","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947d9cb3-31d6-9b7c-8dea-5c29ba3e4f59"}</t>
        </is>
      </c>
      <c r="N11" t="inlineStr">
        <is>
          <t>Gucci Classic Double G Belt with gold buckle, beige GG canvas, and green leather lining. Unisex luxury accessory for elegant urban and vintage fashion looks.</t>
        </is>
      </c>
      <c r="O11" t="inlineStr">
        <is>
          <t>{"id":"chatcmpl-DZSahABxZMws7Vpb4Zz33nTsqjkVO","object":"chat.completion","created":1777343755,"model":"gpt-5-chat-2025-10-03","choices":[{"index":0,"message":{"role":"assistant","content":"Gucci,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1" t="inlineStr">
        <is>
          <t>Gucci, Accessories, kakobuy, kakebuy2026, kekobuysheet, kakobuysheet2026, 2026kakobuy, kakobuyspreadsheeet, kakobuylink, kakebuylist, Kakobuy MEGA Spreadsheet, kakobuysheetfind, kakobuysheetfind2026, 2026kakobuysheetfind, kakobuysheet2026</t>
        </is>
      </c>
      <c r="Q11" t="inlineStr">
        <is>
          <t>Beige, Green, Elegant, Vintage, Unisex</t>
        </is>
      </c>
      <c r="R11" t="inlineStr">
        <is>
          <t>recvhju1Cr3jgl</t>
        </is>
      </c>
      <c r="S11" t="inlineStr">
        <is>
          <t>gucci-double-g-gold-buckle-beige-canvas-belt-recvhju1cr3jgl</t>
        </is>
      </c>
      <c r="T11"/>
      <c r="U11"/>
      <c r="V11"/>
      <c r="W11" t="inlineStr">
        <is>
          <t>{"id":"chatcmpl-DZR7azWMQuATYLvojNsDAlQB345ez","object":"chat.completion","created":1777338106,"model":"gpt-5-chat-2025-10-03","choices":[{"index":0,"message":{"role":"assistant","content":"Gucci经典双G系列金色扣头皮带，米棕GG帆布搭配绿色皮质内衬，彰显复古奢华风格，男女通用百搭款，适合都市时尚与优雅穿搭。","refusal":null,"annotations":[]},"logprobs":null,"finish_reason":"stop"}],"usage":{"prompt_tokens":1299,"completion_tokens":58,"total_tokens":1357,"prompt_tokens_details":{"cached_tokens":1280,"audio_tokens":0},"completion_tokens_details":{"reasoning_tokens":0,"audio_tokens":0,"accepted_prediction_tokens":0,"rejected_prediction_tokens":0}},"service_tier":"default","system_fingerprint":"fp_ad66631dec"}</t>
        </is>
      </c>
      <c r="X11" t="inlineStr">
        <is>
          <t>Gucci经典双G系列金色扣头皮带，米棕GG帆布搭配绿色皮质内衬，彰显复古奢华风格，男女通用百搭款，适合都市时尚与优雅穿搭。</t>
        </is>
      </c>
    </row>
    <row r="12" ht="25.5" customHeight="1">
      <c r="A12">
        <v>1654975475</v>
      </c>
      <c r="B12">
        <v>7621863775</v>
      </c>
      <c r="C12" s="2" t="str">
        <f>=HYPERLINK("https://weidian.com/item.html?itemID=7621863775", "https://weidian.com/item.html?itemID=7621863775")</f>
        <v>https://weidian.com/item.html?itemID=7621863775</v>
      </c>
      <c r="D12"/>
      <c r="E12" s="2" t="str">
        <f>=HYPERLINK("https://si.geilicdn.com/pcitem2014204438-650a0000019ada387eb60a239646_1074_1074.jpg?w=640&amp;h=640", "https://si.geilicdn.com/pcitem2014204438-650a0000019ada387eb60a239646_1074_1074.jpg?w=640&amp;h=640")</f>
        <v>https://si.geilicdn.com/pcitem2014204438-650a0000019ada387eb60a239646_1074_1074.jpg?w=640&amp;h=640</v>
      </c>
      <c r="F12" t="inlineStr">
        <is>
          <t>Accessories</t>
        </is>
      </c>
      <c r="G12" t="inlineStr">
        <is>
          <t>Fendi</t>
        </is>
      </c>
      <c r="H12">
        <v>460</v>
      </c>
      <c r="I12">
        <v>66.67</v>
      </c>
      <c r="J12" t="inlineStr">
        <is>
          <t>{"id":"chatcmpl-DZSKttD2oRaSaLwe1U0S7AOrSgy6k","object":"chat.completion","created":1777342775,"model":"gpt-5-chat-2025-10-03","choices":[{"index":0,"message":{"role":"assistant","content":"Fendi Grey Reversible Leather Belt Gold Logo","refusal":null,"annotations":[]},"logprobs":null,"finish_reason":"stop"}],"usage":{"prompt_tokens":869,"completion_tokens":10,"total_tokens":879,"prompt_tokens_details":{"cached_tokens":0,"audio_tokens":0},"completion_tokens_details":{"reasoning_tokens":0,"audio_tokens":0,"accepted_prediction_tokens":0,"rejected_prediction_tokens":0}},"service_tier":"default","system_fingerprint":"fp_ad66631dec"}</t>
        </is>
      </c>
      <c r="K12" t="inlineStr">
        <is>
          <t>Fendi Grey Reversible Leather Belt Gold Logo</t>
        </is>
      </c>
      <c r="L12" t="inlineStr">
        <is>
          <t>{"id":"chatcmpl-DZRgxj3rWPHwOJpXcbmAHHXkXEgOr","object":"chat.completion","created":1777340299,"model":"gpt-5-chat-2025-10-03","choices":[{"index":0,"message":{"role":"assistant","content":"Fendi grey reversible leather belt with gold geometric logo buckle and FF monogram lining. Unisex luxury accessory combining Italian minimalist design, modern elegance, and timeless sophistication.","refusal":null,"annotations":[]},"logprobs":null,"finish_reason":"stop"}],"usage":{"prompt_tokens":892,"completion_tokens":34,"total_tokens":926,"prompt_tokens_details":{"cached_tokens":0,"audio_tokens":0},"completion_tokens_details":{"reasoning_tokens":0,"audio_tokens":0,"accepted_prediction_tokens":0,"rejected_prediction_tokens":0}},"service_tier":"default","system_fingerprint":"fp_ad66631dec"}</t>
        </is>
      </c>
      <c r="M12" t="inlineStr">
        <is>
          <t>{"alt-svc":"h3=\":443\"; ma=2592000","apim-request-id":"8b6c5311-52f3-476d-89a2-84d30ac335e5","azureml-model-session":"d20260402074105-51db401e","cache-control":"no-cache","connection":"close","content-length":"1005","content-type":"application/json","date":"Tue, 28 Apr 2026 01:38:20 GMT","server":"nginx","skip-error-remapping":"true","strict-transport-security":"max-age=31536000; includeSubDomains; preload","via":"1.1 Caddy","x-content-type-options":"nosniff","x-ms-client-request-id":"Not-Set","x-ms-is-spilled-over":"false","x-ms-rai-invoked":"false","x-ms-region":"Central US","x-new-api-version":"0.4.35","x-oneapi-request-id":"202604280138186147201838268d9d6CUmcMfiJ","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61b8f804-b7f2-4f58-bfcd-885f290328e7"}</t>
        </is>
      </c>
      <c r="N12" t="inlineStr">
        <is>
          <t>Fendi grey reversible leather belt with gold geometric logo buckle and FF monogram lining. Unisex luxury accessory combining Italian minimalist design, modern elegance, and timeless sophistication.</t>
        </is>
      </c>
      <c r="O12" t="inlineStr">
        <is>
          <t>{"id":"chatcmpl-DZSc0rWUNINsdkH4YHjNh7RKg5R8V","object":"chat.completion","created":1777343836,"model":"gpt-5-chat-2025-10-03","choices":[{"index":0,"message":{"role":"assistant","content":"Fend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2" t="inlineStr">
        <is>
          <t>Fendi,Accessories,kakobuy,kakebuy2026,kekobuysheet,kakobuysheet2026,2026kakobuy,kakobuyspreadsheeet,kakobuylink,kakebuylist,Kakobuy MEGA Spreadsheet,kakobuysheetfind,kakobuysheetfind2026,2026kakobuysheetfind,kakobuysheet2026</t>
        </is>
      </c>
      <c r="Q12" t="inlineStr">
        <is>
          <t>Grey, Leather, Unisex, Minimalist, Modern, Elegant</t>
        </is>
      </c>
      <c r="R12" t="inlineStr">
        <is>
          <t>recvhju1CrcDCB</t>
        </is>
      </c>
      <c r="S12" t="inlineStr">
        <is>
          <t>fendi-grey-reversible-leather-belt-gold-logo-recvhju1crcdcb</t>
        </is>
      </c>
      <c r="T12"/>
      <c r="U12"/>
      <c r="V12"/>
      <c r="W12" t="inlineStr">
        <is>
          <t>{"id":"chatcmpl-DZRB83HvECdtkVTdwEX2CBt6XyTU9","object":"chat.completion","created":1777338326,"model":"gpt-5-chat-2025-10-03","choices":[{"index":0,"message":{"role":"assistant","content":"Fendi：灰色双面皮革腰带，配金色几何Logo金属扣，内层印经典FF字母图腾，彰显现代奢华格调，适合男女通用，意式简约设计，优雅与力量并具。","refusal":null,"annotations":[]},"logprobs":null,"finish_reason":"stop"}],"usage":{"prompt_tokens":1295,"completion_tokens":61,"total_tokens":1356,"prompt_tokens_details":{"cached_tokens":0,"audio_tokens":0},"completion_tokens_details":{"reasoning_tokens":0,"audio_tokens":0,"accepted_prediction_tokens":0,"rejected_prediction_tokens":0}},"service_tier":"default","system_fingerprint":"fp_ad66631dec"}</t>
        </is>
      </c>
      <c r="X12" t="inlineStr">
        <is>
          <t>Fendi：灰色双面皮革腰带，配金色几何Logo金属扣，内层印经典FF字母图腾，彰显现代奢华格调，适合男女通用，意式简约设计，优雅与力量并具。</t>
        </is>
      </c>
    </row>
    <row r="13" ht="25.5" customHeight="1">
      <c r="A13">
        <v>1654975475</v>
      </c>
      <c r="B13">
        <v>7624849936</v>
      </c>
      <c r="C13" s="2" t="str">
        <f>=HYPERLINK("https://weidian.com/item.html?itemID=7624849936", "https://weidian.com/item.html?itemID=7624849936")</f>
        <v>https://weidian.com/item.html?itemID=7624849936</v>
      </c>
      <c r="D13"/>
      <c r="E13" s="2" t="str">
        <f>=HYPERLINK("https://si.geilicdn.com/pcitem2014204438-74230000019ada3d68db0a23047e_1080_1080.jpg?w=640&amp;h=640", "https://si.geilicdn.com/pcitem2014204438-74230000019ada3d68db0a23047e_1080_1080.jpg?w=640&amp;h=640")</f>
        <v>https://si.geilicdn.com/pcitem2014204438-74230000019ada3d68db0a23047e_1080_1080.jpg?w=640&amp;h=640</v>
      </c>
      <c r="F13" t="inlineStr">
        <is>
          <t>Accessories</t>
        </is>
      </c>
      <c r="G13" t="inlineStr">
        <is>
          <t>Gucci</t>
        </is>
      </c>
      <c r="H13">
        <v>460</v>
      </c>
      <c r="I13">
        <v>66.67</v>
      </c>
      <c r="J13" t="inlineStr">
        <is>
          <t>{"id":"chatcmpl-DZSMraGpNsJInL8iTWxB40POkb26H","object":"chat.completion","created":1777342897,"model":"gpt-5-chat-2025-10-03","choices":[{"index":0,"message":{"role":"assistant","content":"Gucci Men Black Leather Belt Silver GG Buckle","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13" t="inlineStr">
        <is>
          <t>Gucci Men Black Leather Belt Silver GG Buckle</t>
        </is>
      </c>
      <c r="L13" t="inlineStr">
        <is>
          <t>{"id":"chatcmpl-DZRezwavnkkZMqkiYbRw7bNbCXTft","object":"chat.completion","created":1777340177,"model":"gpt-5-chat-2025-10-03","choices":[{"index":0,"message":{"role":"assistant","content":"Gucci Men’s Classic Black Leather Belt with silver Double G buckle, crafted from fine grain calfskin. Elegant, versatile, and perfect for business or casual wear, showcasing true Italian luxury.","refusal":null,"annotations":[]},"logprobs":null,"finish_reason":"stop"}],"usage":{"prompt_tokens":904,"completion_tokens":39,"total_tokens":943,"prompt_tokens_details":{"cached_tokens":0,"audio_tokens":0},"completion_tokens_details":{"reasoning_tokens":0,"audio_tokens":0,"accepted_prediction_tokens":0,"rejected_prediction_tokens":0}},"service_tier":"default","system_fingerprint":"fp_ad66631dec"}</t>
        </is>
      </c>
      <c r="M13" t="inlineStr">
        <is>
          <t>{"alt-svc":"h3=\":443\"; ma=2592000","apim-request-id":"4a7980e9-3343-4516-a863-bb235860d775","azureml-model-session":"d20260402075109-1fc5a0ec","cache-control":"no-cache","connection":"close","content-length":"1004","content-type":"application/json","date":"Tue, 28 Apr 2026 01:36:18 GMT","server":"Caddy","skip-error-remapping":"true","strict-transport-security":"max-age=31536000; includeSubDomains; preload","x-content-type-options":"nosniff","x-ms-client-request-id":"Not-Set","x-ms-is-spilled-over":"false","x-ms-rai-invoked":"false","x-ms-region":"North Central US","x-new-api-version":"0.4.35","x-oneapi-request-id":"202604280136163229606558268d9d6sl9IiL2s","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d6e5951e-3351-4a77-84e2-b77c14fba4ee"}</t>
        </is>
      </c>
      <c r="N13" t="inlineStr">
        <is>
          <t>Gucci Men’s Classic Black Leather Belt with silver Double G buckle, crafted from fine grain calfskin. Elegant, versatile, and perfect for business or casual wear, showcasing true Italian luxury.</t>
        </is>
      </c>
      <c r="O13" t="inlineStr">
        <is>
          <t>{"id":"chatcmpl-DZSXdRpiKpOsvVT5OY2Xea3Tq7FoE","object":"chat.completion","created":1777343565,"model":"gpt-5-chat-2025-10-03","choices":[{"index":0,"message":{"role":"assistant","content":"Gucci,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 t="inlineStr">
        <is>
          <t>Gucci, Belt, kakobuy, kakebuy2026, kekobuysheet, kakobuysheet2026, 2026kakobuy, kakobuyspreadsheeet, kakobuylink, kakebuylist, Kakobuy MEGA Spreadsheet, kakobuysheetfind, kakobuysheetfind2026, 2026kakobuysheetfind, kakobuysheet2026</t>
        </is>
      </c>
      <c r="Q13" t="inlineStr">
        <is>
          <t>Black, Leather, Elegant, Versatile, Business, Men</t>
        </is>
      </c>
      <c r="R13" t="inlineStr">
        <is>
          <t>recvhju1CrzbMz</t>
        </is>
      </c>
      <c r="S13" t="inlineStr">
        <is>
          <t>gucci-men-black-leather-belt-silver-gg-buckle-recvhju1crzbmz</t>
        </is>
      </c>
      <c r="T13"/>
      <c r="U13"/>
      <c r="V13"/>
      <c r="W13" t="inlineStr">
        <is>
          <t>{"id":"chatcmpl-DZR8k0ggLf3G30Urc9BLJZ907krlR","object":"chat.completion","created":1777338178,"model":"gpt-5-chat-2025-10-03","choices":[{"index":0,"message":{"role":"assistant","content":"Gucci：经典黑色真皮男士腰带，选用细腻粒面牛皮质感，搭配银色双G标志金属扣头，简约大气中彰显品牌高雅格调，适合商务与休闲场合，展现意式奢华品味。","refusal":null,"annotations":[]},"logprobs":null,"finish_reason":"stop"}],"usage":{"prompt_tokens":1299,"completion_tokens":71,"total_tokens":1370,"prompt_tokens_details":{"cached_tokens":0,"audio_tokens":0},"completion_tokens_details":{"reasoning_tokens":0,"audio_tokens":0,"accepted_prediction_tokens":0,"rejected_prediction_tokens":0}},"service_tier":"default","system_fingerprint":"fp_ad66631dec"}</t>
        </is>
      </c>
      <c r="X13" t="inlineStr">
        <is>
          <t>Gucci：经典黑色真皮男士腰带，选用细腻粒面牛皮质感，搭配银色双G标志金属扣头，简约大气中彰显品牌高雅格调，适合商务与休闲场合，展现意式奢华品味。</t>
        </is>
      </c>
    </row>
    <row r="14" ht="25.5" customHeight="1">
      <c r="A14">
        <v>1654975475</v>
      </c>
      <c r="B14">
        <v>7620668417</v>
      </c>
      <c r="C14" s="2" t="str">
        <f>=HYPERLINK("https://weidian.com/item.html?itemID=7620668417", "https://weidian.com/item.html?itemID=7620668417")</f>
        <v>https://weidian.com/item.html?itemID=7620668417</v>
      </c>
      <c r="D14"/>
      <c r="E14" s="2" t="str">
        <f>=HYPERLINK("https://si.geilicdn.com/pcitem2014204438-4eee0000019ada3e3c800a2304aa_1074_1074.jpg?w=640&amp;h=640", "https://si.geilicdn.com/pcitem2014204438-4eee0000019ada3e3c800a2304aa_1074_1074.jpg?w=640&amp;h=640")</f>
        <v>https://si.geilicdn.com/pcitem2014204438-4eee0000019ada3e3c800a2304aa_1074_1074.jpg?w=640&amp;h=640</v>
      </c>
      <c r="F14" t="inlineStr">
        <is>
          <t>Accessories</t>
        </is>
      </c>
      <c r="G14" t="inlineStr">
        <is>
          <t>Louis Vuitton</t>
        </is>
      </c>
      <c r="H14">
        <v>460</v>
      </c>
      <c r="I14">
        <v>66.67</v>
      </c>
      <c r="J14" t="inlineStr">
        <is>
          <t>{"id":"chatcmpl-DZSHeLWEY7Dstok5ceFmyRBbfjpjG","object":"chat.completion","created":1777342574,"model":"gpt-5-chat-2025-10-03","choices":[{"index":0,"message":{"role":"assistant","content":"Louis Vuitton Damier Graphite Blue Leather Belt","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4" t="inlineStr">
        <is>
          <t>Louis Vuitton Damier Graphite Blue Leather Belt</t>
        </is>
      </c>
      <c r="L14" t="inlineStr">
        <is>
          <t>{"id":"chatcmpl-DZRdTbAHbBs9Ou3NtU9yOeMfckwo5","object":"chat.completion","created":1777340083,"model":"gpt-5-chat-2025-10-03","choices":[{"index":0,"message":{"role":"assistant","content":"Louis Vuitton Damier Graphite blue-black leather belt with LV buckle, crafted from premium cowhide, unisex, stylish and versatile, showcasing modern elegance and understated luxury.","refusal":null,"annotations":[]},"logprobs":null,"finish_reason":"stop"}],"usage":{"prompt_tokens":899,"completion_tokens":35,"total_tokens":934,"prompt_tokens_details":{"cached_tokens":0,"audio_tokens":0},"completion_tokens_details":{"reasoning_tokens":0,"audio_tokens":0,"accepted_prediction_tokens":0,"rejected_prediction_tokens":0}},"service_tier":"default","system_fingerprint":"fp_ad66631dec"}</t>
        </is>
      </c>
      <c r="M14" t="inlineStr">
        <is>
          <t>{"alt-svc":"h3=\":443\"; ma=2592000","apim-request-id":"7f7eb8ea-0a2d-433a-84e6-a512c7b70fa6","azureml-model-session":"d20260402075109-1fc5a0ec","cache-control":"no-cache","connection":"close","content-length":"989","content-type":"application/json","date":"Tue, 28 Apr 2026 01:34:45 GMT","server":"nginx","skip-error-remapping":"true","strict-transport-security":"max-age=31536000; includeSubDomains; preload","via":"1.1 Caddy","x-content-type-options":"nosniff","x-ms-client-request-id":"Not-Set","x-ms-is-spilled-over":"false","x-ms-rai-invoked":"false","x-ms-region":"West US","x-new-api-version":"0.4.35","x-oneapi-request-id":"202604280134426825435398268d9d63hOrBKjU","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41ab23fe-4656-4302-b519-d3ace278cd66"}</t>
        </is>
      </c>
      <c r="N14" t="inlineStr">
        <is>
          <t>Louis Vuitton Damier Graphite blue-black leather belt with LV buckle, crafted from premium cowhide, unisex, stylish and versatile, showcasing modern elegance and understated luxury.</t>
        </is>
      </c>
      <c r="O14" t="inlineStr">
        <is>
          <t>{"id":"chatcmpl-DZSUa5veAq7TavXI1GcMD6cbxFPZQ","object":"chat.completion","created":1777343376,"model":"gpt-5-chat-2025-10-03","choices":[{"index":0,"message":{"role":"assistant","content":"Louis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4" t="inlineStr">
        <is>
          <t>Louis Vuitton,Accessories,kakobuy,kakebuy2026,kekobuysheet,kakobuysheet2026,2026kakobuy,kakobuyspreadsheeet,kakobuylink,kakebuylist,Kakobuy MEGA Spreadsheet,kakobuysheetfind,kakobuysheetfind2026,2026kakobuysheetfind,kakobuysheet2026</t>
        </is>
      </c>
      <c r="Q14" t="inlineStr">
        <is>
          <t>LV, Leather, Unisex, Modern, Elegant, Versatile</t>
        </is>
      </c>
      <c r="R14" t="inlineStr">
        <is>
          <t>recvhju1Crykvm</t>
        </is>
      </c>
      <c r="S14" t="inlineStr">
        <is>
          <t>louis-vuitton-damier-graphite-blue-leather-belt-recvhju1crykvm</t>
        </is>
      </c>
      <c r="T14"/>
      <c r="U14"/>
      <c r="V14"/>
      <c r="W14" t="inlineStr">
        <is>
          <t>{"id":"chatcmpl-DZRBte9f88U0G2m5LzlHTfoBRv5qJ","object":"chat.completion","created":1777338373,"model":"gpt-5-chat-2025-10-03","choices":[{"index":0,"message":{"role":"assistant","content":"Louis Vuitton：Damier Graphite蓝黑格纹皮革腰带，搭配金属LV标扣，彰显现代都市风格，精选优质牛皮，质感典雅细腻，男女皆宜，时尚百搭，展现低调奢华品味。","refusal":null,"annotations":[]},"logprobs":null,"finish_reason":"stop"}],"usage":{"prompt_tokens":1301,"completion_tokens":65,"total_tokens":1366,"prompt_tokens_details":{"cached_tokens":0,"audio_tokens":0},"completion_tokens_details":{"reasoning_tokens":0,"audio_tokens":0,"accepted_prediction_tokens":0,"rejected_prediction_tokens":0}},"service_tier":"default","system_fingerprint":"fp_ad66631dec"}</t>
        </is>
      </c>
      <c r="X14" t="inlineStr">
        <is>
          <t>Louis Vuitton：Damier Graphite蓝黑格纹皮革腰带，搭配金属LV标扣，彰显现代都市风格，精选优质牛皮，质感典雅细腻，男女皆宜，时尚百搭，展现低调奢华品味。</t>
        </is>
      </c>
    </row>
    <row r="15" ht="25.5" customHeight="1">
      <c r="A15">
        <v>1654975475</v>
      </c>
      <c r="B15">
        <v>7620680413</v>
      </c>
      <c r="C15" s="2" t="str">
        <f>=HYPERLINK("https://weidian.com/item.html?itemID=7620680413", "https://weidian.com/item.html?itemID=7620680413")</f>
        <v>https://weidian.com/item.html?itemID=7620680413</v>
      </c>
      <c r="D15"/>
      <c r="E15" s="2" t="str">
        <f>=HYPERLINK("https://si.geilicdn.com/pcitem2014204438-7db80000019ada2f56ed0a2315ef_1080_1080.jpg?w=640&amp;h=640", "https://si.geilicdn.com/pcitem2014204438-7db80000019ada2f56ed0a2315ef_1080_1080.jpg?w=640&amp;h=640")</f>
        <v>https://si.geilicdn.com/pcitem2014204438-7db80000019ada2f56ed0a2315ef_1080_1080.jpg?w=640&amp;h=640</v>
      </c>
      <c r="F15" t="inlineStr">
        <is>
          <t>Accessories</t>
        </is>
      </c>
      <c r="G15" t="inlineStr">
        <is>
          <t>Miu Miu</t>
        </is>
      </c>
      <c r="H15">
        <v>500</v>
      </c>
      <c r="I15">
        <v>72.46</v>
      </c>
      <c r="J15" t="inlineStr">
        <is>
          <t>{"id":"chatcmpl-DZSNJyAHgZ8T2eyRg5ZvKy5pzERk2","object":"chat.completion","created":1777342925,"model":"gpt-5-chat-2025-10-03","choices":[{"index":0,"message":{"role":"assistant","content":"Miu Miu Black Leather Belt Gold Buckle","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5" t="inlineStr">
        <is>
          <t>Miu Miu Black Leather Belt Gold Buckle</t>
        </is>
      </c>
      <c r="L15" t="inlineStr">
        <is>
          <t>{"id":"chatcmpl-DZRfRvGdlVy03dsZb5e5wy38Zqfyr","object":"chat.completion","created":1777340205,"model":"gpt-5-chat-2025-10-03","choices":[{"index":0,"message":{"role":"assistant","content":"Miu Miu Black Leather Belt with Gold Logo Buckle, sleek modern unisex design, premium texture, showcasing luxury fashion and contemporary style for everyday or special occasions.","refusal":null,"annotations":[]},"logprobs":null,"finish_reason":"stop"}],"usage":{"prompt_tokens":891,"completion_tokens":35,"total_tokens":926,"prompt_tokens_details":{"cached_tokens":0,"audio_tokens":0},"completion_tokens_details":{"reasoning_tokens":0,"audio_tokens":0,"accepted_prediction_tokens":0,"rejected_prediction_tokens":0}},"service_tier":"default","system_fingerprint":"fp_ad66631dec"}</t>
        </is>
      </c>
      <c r="M15" t="inlineStr">
        <is>
          <t>{"alt-svc":"h3=\":443\"; ma=2592000","apim-request-id":"93ade8e2-7571-4bb6-b720-d7f72f6b3e1d","azureml-model-session":"d20260402075109-1fc5a0ec","cache-control":"no-cache","connection":"close","content-length":"986","content-type":"application/json","date":"Tue, 28 Apr 2026 01:36:46 GMT","server":"Caddy","skip-error-remapping":"true","strict-transport-security":"max-age=31536000; includeSubDomains; preload","x-content-type-options":"nosniff","x-ms-client-request-id":"Not-Set","x-ms-is-spilled-over":"false","x-ms-rai-invoked":"false","x-ms-region":"East US","x-new-api-version":"0.4.35","x-oneapi-request-id":"202604280136445255925988268d9d6ho5ixIsJ","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c33aad40-7cdf-4022-85f2-54c3736e300f"}</t>
        </is>
      </c>
      <c r="N15" t="inlineStr">
        <is>
          <t>Miu Miu Black Leather Belt with Gold Logo Buckle, sleek modern unisex design, premium texture, showcasing luxury fashion and contemporary style for everyday or special occasions.</t>
        </is>
      </c>
      <c r="O15" t="inlineStr">
        <is>
          <t>{"id":"chatcmpl-DZScAwnOoH0vpaFZKbrg33wSHi554","object":"chat.completion","created":1777343846,"model":"gpt-5-chat-2025-10-03","choices":[{"index":0,"message":{"role":"assistant","content":"Miu Miu,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ad66631dec"}</t>
        </is>
      </c>
      <c r="P15" t="inlineStr">
        <is>
          <t>Miu Miu, Belt, kakobuy, kakebuy2026, kekobuysheet, kakobuysheet2026, 2026kakobuy, kakobuyspreadsheeet, kakobuylink, kakebuylist, Kakobuy MEGA Spreadsheet, kakobuysheetfind, kakobuysheetfind2026, 2026kakobuysheetfind, kakobuysheet2026</t>
        </is>
      </c>
      <c r="Q15"/>
      <c r="R15" t="inlineStr">
        <is>
          <t>recvhju1CrblsM</t>
        </is>
      </c>
      <c r="S15" t="inlineStr">
        <is>
          <t>miu-miu-black-leather-belt-gold-buckle-recvhju1crblsm</t>
        </is>
      </c>
      <c r="T15"/>
      <c r="U15"/>
      <c r="V15"/>
      <c r="W15" t="inlineStr">
        <is>
          <t>{"id":"chatcmpl-DZR9PODkabQC3XnWYr8ZHO30P6tbO","object":"chat.completion","created":1777338219,"model":"gpt-5-chat-2025-10-03","choices":[{"index":0,"message":{"role":"assistant","content":"Miu Miu：黑色真皮腰带，搭配金色Logo金属扣设计，简约摩登风格，质感细腻，男女皆宜，彰显当代奢华审美与个性魅力。","refusal":null,"annotations":[]},"logprobs":null,"finish_reason":"stop"}],"usage":{"prompt_tokens":1305,"completion_tokens":55,"total_tokens":1360,"prompt_tokens_details":{"cached_tokens":1280,"audio_tokens":0},"completion_tokens_details":{"reasoning_tokens":0,"audio_tokens":0,"accepted_prediction_tokens":0,"rejected_prediction_tokens":0}},"service_tier":"default","system_fingerprint":"fp_ad66631dec"}</t>
        </is>
      </c>
      <c r="X15" t="inlineStr">
        <is>
          <t>Miu Miu：黑色真皮腰带，搭配金色Logo金属扣设计，简约摩登风格，质感细腻，男女皆宜，彰显当代奢华审美与个性魅力。</t>
        </is>
      </c>
    </row>
    <row r="16" ht="25.5" customHeight="1">
      <c r="A16">
        <v>1654975475</v>
      </c>
      <c r="B16">
        <v>7624796018</v>
      </c>
      <c r="C16" s="2" t="str">
        <f>=HYPERLINK("https://weidian.com/item.html?itemID=7624796018", "https://weidian.com/item.html?itemID=7624796018")</f>
        <v>https://weidian.com/item.html?itemID=7624796018</v>
      </c>
      <c r="D16"/>
      <c r="E16" s="2" t="str">
        <f>=HYPERLINK("https://si.geilicdn.com/pcitem2014204438-3be60000019ada34e8490a811411_1074_1074.jpg?w=640&amp;h=640", "https://si.geilicdn.com/pcitem2014204438-3be60000019ada34e8490a811411_1074_1074.jpg?w=640&amp;h=640")</f>
        <v>https://si.geilicdn.com/pcitem2014204438-3be60000019ada34e8490a811411_1074_1074.jpg?w=640&amp;h=640</v>
      </c>
      <c r="F16" t="inlineStr">
        <is>
          <t>Accessories</t>
        </is>
      </c>
      <c r="G16" t="inlineStr">
        <is>
          <t>Gucci</t>
        </is>
      </c>
      <c r="H16">
        <v>460</v>
      </c>
      <c r="I16">
        <v>66.67</v>
      </c>
      <c r="J16" t="inlineStr">
        <is>
          <t>{"id":"chatcmpl-DZSL6APIq9xqxJV7L09h2r9rSSUKe","object":"chat.completion","created":1777342788,"model":"gpt-5-chat-2025-10-03","choices":[{"index":0,"message":{"role":"assistant","content":"Gucci Classic GG Grey Leather Belt Unisex Luxury","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16" t="inlineStr">
        <is>
          <t>Gucci Classic GG Grey Leather Belt Unisex Luxury</t>
        </is>
      </c>
      <c r="L16" t="inlineStr">
        <is>
          <t>{"id":"chatcmpl-DZRcsT47jgQdsBbxgkgazKdEySkBm","object":"chat.completion","created":1777340046,"model":"gpt-5-chat-2025-10-03","choices":[{"index":0,"message":{"role":"assistant","content":"Gucci Classic GG Series Belt in Grey, crafted from premium leather with signature double G metal buckle. Unisex design blending elegance and luxury, showcasing timeless Italian sophistication and modern style.","refusal":null,"annotations":[]},"logprobs":null,"finish_reason":"stop"}],"usage":{"prompt_tokens":902,"completion_tokens":37,"total_tokens":939,"prompt_tokens_details":{"cached_tokens":0,"audio_tokens":0},"completion_tokens_details":{"reasoning_tokens":0,"audio_tokens":0,"accepted_prediction_tokens":0,"rejected_prediction_tokens":0}},"service_tier":"default","system_fingerprint":"fp_ad66631dec"}</t>
        </is>
      </c>
      <c r="M16" t="inlineStr">
        <is>
          <t>{"alt-svc":"h3=\":443\"; ma=2592000","apim-request-id":"8a0a11da-023d-4c22-b37d-4ad472720e59","azureml-model-session":"d20260402074105-51db401e","cache-control":"no-cache","connection":"close","content-length":"1017","content-type":"application/json","date":"Tue, 28 Apr 2026 01:34:07 GMT","server":"Caddy","skip-error-remapping":"true","strict-transport-security":"max-age=31536000; includeSubDomains; preload","x-content-type-options":"nosniff","x-ms-client-request-id":"Not-Set","x-ms-is-spilled-over":"false","x-ms-rai-invoked":"false","x-ms-region":"West US","x-new-api-version":"0.4.35","x-oneapi-request-id":"202604280134051308035298268d9d63pSAtJZy","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a99c3f5e-32dd-4a82-b706-08ead2f1c01b"}</t>
        </is>
      </c>
      <c r="N16" t="inlineStr">
        <is>
          <t>Gucci Classic GG Series Belt in Grey, crafted from premium leather with signature double G metal buckle. Unisex design blending elegance and luxury, showcasing timeless Italian sophistication and modern style.</t>
        </is>
      </c>
      <c r="O16" t="inlineStr">
        <is>
          <t>{"id":"chatcmpl-DZSZTjKPfWJzjkNUY7P9CWjLQ25sw","object":"chat.completion","created":1777343679,"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 t="inlineStr">
        <is>
          <t>Gucci,Accessories,kakobuy,kakebuy2026,kekobuysheet,kakobuysheet2026,2026kakobuy,kakobuyspreadsheeet,kakobuylink,kakebuylist,Kakobuy MEGA Spreadsheet,kakobuysheetfind,kakobuysheetfind2026,2026kakobuysheetfind,kakobuysheet2026</t>
        </is>
      </c>
      <c r="Q16" t="inlineStr">
        <is>
          <t>Grey, Leather, Unisex, Elegant, Classic</t>
        </is>
      </c>
      <c r="R16" t="inlineStr">
        <is>
          <t>recvhju1CroxSS</t>
        </is>
      </c>
      <c r="S16" t="inlineStr">
        <is>
          <t>gucci-gg-grey-leather-belt-recvhju1croxss</t>
        </is>
      </c>
      <c r="T16"/>
      <c r="U16"/>
      <c r="V16"/>
      <c r="W16" t="inlineStr">
        <is>
          <t>{"id":"chatcmpl-DZRB7OL7ejoU46w9eFihsfN9EiD48","object":"chat.completion","created":1777338325,"model":"gpt-5-chat-2025-10-03","choices":[{"index":0,"message":{"role":"assistant","content":"Gucci：经典GG系列灰色双环金属扣皮带，甄选优质皮革材质，饰以标志性双G图腾，融合简约与奢华设计，男女皆宜，展现复古优雅意式格调，彰显高端时尚品味。","refusal":null,"annotations":[]},"logprobs":null,"finish_reason":"stop"}],"usage":{"prompt_tokens":1297,"completion_tokens":70,"total_tokens":1367,"prompt_tokens_details":{"cached_tokens":1280,"audio_tokens":0},"completion_tokens_details":{"reasoning_tokens":0,"audio_tokens":0,"accepted_prediction_tokens":0,"rejected_prediction_tokens":0}},"service_tier":"default","system_fingerprint":"fp_ad66631dec"}</t>
        </is>
      </c>
      <c r="X16" t="inlineStr">
        <is>
          <t>Gucci：经典GG系列灰色双环金属扣皮带，甄选优质皮革材质，饰以标志性双G图腾，融合简约与奢华设计，男女皆宜，展现复古优雅意式格调，彰显高端时尚品味。</t>
        </is>
      </c>
    </row>
    <row r="17" ht="25.5" customHeight="1">
      <c r="A17">
        <v>1654975475</v>
      </c>
      <c r="B17">
        <v>7621796279</v>
      </c>
      <c r="C17" s="2" t="str">
        <f>=HYPERLINK("https://weidian.com/item.html?itemID=7621796279", "https://weidian.com/item.html?itemID=7621796279")</f>
        <v>https://weidian.com/item.html?itemID=7621796279</v>
      </c>
      <c r="D17"/>
      <c r="E17" s="2" t="str">
        <f>=HYPERLINK("https://si.geilicdn.com/pcitem2014204438-63520000019ada34938d0a231177_1440_1920.jpg?w=640&amp;h=640", "https://si.geilicdn.com/pcitem2014204438-63520000019ada34938d0a231177_1440_1920.jpg?w=640&amp;h=640")</f>
        <v>https://si.geilicdn.com/pcitem2014204438-63520000019ada34938d0a231177_1440_1920.jpg?w=640&amp;h=640</v>
      </c>
      <c r="F17" t="inlineStr">
        <is>
          <t>Accessories</t>
        </is>
      </c>
      <c r="G17" t="inlineStr">
        <is>
          <t>Loewe</t>
        </is>
      </c>
      <c r="H17">
        <v>460</v>
      </c>
      <c r="I17">
        <v>66.67</v>
      </c>
      <c r="J17" t="inlineStr">
        <is>
          <t>{"id":"chatcmpl-DZSLzC8zFsfV6UwwLUDLfd4HlQTVi","object":"chat.completion","created":1777342843,"model":"gpt-5-chat-2025-10-03","choices":[{"index":0,"message":{"role":"assistant","content":"Loewe Classic Black Leather Belt Gold Logo Buckle","refusal":null,"annotations":[]},"logprobs":null,"finish_reason":"stop"}],"usage":{"prompt_tokens":860,"completion_tokens":12,"total_tokens":872,"prompt_tokens_details":{"cached_tokens":0,"audio_tokens":0},"completion_tokens_details":{"reasoning_tokens":0,"audio_tokens":0,"accepted_prediction_tokens":0,"rejected_prediction_tokens":0}},"service_tier":"default","system_fingerprint":"fp_ad66631dec"}</t>
        </is>
      </c>
      <c r="K17" t="inlineStr">
        <is>
          <t>Loewe Classic Black Leather Belt Gold Logo Buckle</t>
        </is>
      </c>
      <c r="L17" t="inlineStr">
        <is>
          <t>{"id":"chatcmpl-DZRdCROkP7Vgyj2BKB4v15Mv6Lj91","object":"chat.completion","created":1777340066,"model":"gpt-5-chat-2025-10-03","choices":[{"index":0,"message":{"role":"assistant","content":"Loewe Classic Black Leather Belt with Signature Gold Script Logo Buckle, Unisex Design for Modern Urban Style and Minimal Luxury Elegance.","refusal":null,"annotations":[]},"logprobs":null,"finish_reason":"stop"}],"usage":{"prompt_tokens":884,"completion_tokens":29,"total_tokens":913,"prompt_tokens_details":{"cached_tokens":0,"audio_tokens":0},"completion_tokens_details":{"reasoning_tokens":0,"audio_tokens":0,"accepted_prediction_tokens":0,"rejected_prediction_tokens":0}},"service_tier":"default","system_fingerprint":"fp_ad66631dec"}</t>
        </is>
      </c>
      <c r="M17" t="inlineStr">
        <is>
          <t>{"alt-svc":"h3=\":443\"; ma=2592000","apim-request-id":"177308d2-0456-4a73-8f6f-9b4d6f47fe8b","azureml-model-session":"d20260405234249-f9874baf","cache-control":"no-cache","connection":"close","content-length":"946","content-type":"application/json","date":"Tue, 28 Apr 2026 01:34:27 GMT","server":"Caddy","skip-error-remapping":"true","strict-transport-security":"max-age=31536000; includeSubDomains; preload","x-content-type-options":"nosniff","x-ms-client-request-id":"Not-Set","x-ms-is-spilled-over":"false","x-ms-rai-invoked":"false","x-ms-region":"Central US","x-new-api-version":"0.4.35","x-oneapi-request-id":"202604280134257563576528268d9d61dnUf2t7","x-ratelimit-abusepenalty-active":"False","x-ratelimit-key":"gpt-5-chat-global","x-ratelimit-limit-requests":"1000","x-ratelimit-limit-tokens":"1000000","x-ratelimit-remaining-requests":"999","x-ratelimit-remaining-tokens":"998354","x-ratelimit-renewalperiod-requests":"60","x-ratelimit-renewalperiod-tokens":"60","x-ratelimit-reset-requests":"60","x-ratelimit-reset-tokens":"98","x-request-id":"513ba6f8-4ef8-4c50-9d13-e18577bd7693"}</t>
        </is>
      </c>
      <c r="N17" t="inlineStr">
        <is>
          <t>Loewe Classic Black Leather Belt with Signature Gold Script Logo Buckle, Unisex Design for Modern Urban Style and Minimal Luxury Elegance.</t>
        </is>
      </c>
      <c r="O17" t="inlineStr">
        <is>
          <t>{"id":"chatcmpl-DZSa87sEjSbcsBgwwwQzJxjM0T5i4","object":"chat.completion","created":1777343720,"model":"gpt-5-chat-2025-10-03","choices":[{"index":0,"message":{"role":"assistant","content":"Loewe,Bel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 t="inlineStr">
        <is>
          <t>Loewe,Belt,kakobuy,kakebuy2026,kekobuysheet,kakobuysheet2026,2026kakobuy,kakobuyspreadsheeet,kakobuylink,kakebuylist,Kakobuy MEGA Spreadsheet,kakobuysheetfind,kakobuysheetfind2026,2026kakobuysheetfind,kakobuysheet2026</t>
        </is>
      </c>
      <c r="Q17"/>
      <c r="R17" t="inlineStr">
        <is>
          <t>recvhju1Crmqv4</t>
        </is>
      </c>
      <c r="S17" t="inlineStr">
        <is>
          <t>loewe-black-leather-belt-gold-logo-buckle-recvhju1crmqv4</t>
        </is>
      </c>
      <c r="T17"/>
      <c r="U17"/>
      <c r="V17"/>
      <c r="W17" t="inlineStr">
        <is>
          <t>{"id":"chatcmpl-DZREE3D6ftUDbogIHW9nRzsNPCUIz","object":"chat.completion","created":1777338518,"model":"gpt-5-chat-2025-10-03","choices":[{"index":0,"message":{"role":"assistant","content":"Loewe：经典系列黑色真皮腰带，饰以品牌标志性金色花体徽标扣，彰显极简奢华美学设计，男女皆宜，适合现代都市风格穿搭。","refusal":null,"annotations":[]},"logprobs":null,"finish_reason":"stop"}],"usage":{"prompt_tokens":1297,"completion_tokens":52,"total_tokens":1349,"prompt_tokens_details":{"cached_tokens":0,"audio_tokens":0},"completion_tokens_details":{"reasoning_tokens":0,"audio_tokens":0,"accepted_prediction_tokens":0,"rejected_prediction_tokens":0}},"service_tier":"default","system_fingerprint":"fp_ad66631dec"}</t>
        </is>
      </c>
      <c r="X17" t="inlineStr">
        <is>
          <t>Loewe：经典系列黑色真皮腰带，饰以品牌标志性金色花体徽标扣，彰显极简奢华美学设计，男女皆宜，适合现代都市风格穿搭。</t>
        </is>
      </c>
    </row>
    <row r="18" ht="25.5" customHeight="1">
      <c r="A18">
        <v>1654975475</v>
      </c>
      <c r="B18">
        <v>7621834227</v>
      </c>
      <c r="C18" s="2" t="str">
        <f>=HYPERLINK("https://weidian.com/item.html?itemID=7621834227", "https://weidian.com/item.html?itemID=7621834227")</f>
        <v>https://weidian.com/item.html?itemID=7621834227</v>
      </c>
      <c r="D18"/>
      <c r="E18" s="2" t="str">
        <f>=HYPERLINK("https://si.geilicdn.com/pcitem2014204438-73390000019ada3ab3860a23047e_1080_1080.jpg?w=640&amp;h=640", "https://si.geilicdn.com/pcitem2014204438-73390000019ada3ab3860a23047e_1080_1080.jpg?w=640&amp;h=640")</f>
        <v>https://si.geilicdn.com/pcitem2014204438-73390000019ada3ab3860a23047e_1080_1080.jpg?w=640&amp;h=640</v>
      </c>
      <c r="F18" t="inlineStr">
        <is>
          <t>Accessories</t>
        </is>
      </c>
      <c r="G18" t="inlineStr">
        <is>
          <t>Gucci</t>
        </is>
      </c>
      <c r="H18">
        <v>460</v>
      </c>
      <c r="I18">
        <v>66.67</v>
      </c>
      <c r="J18" t="inlineStr">
        <is>
          <t>{"id":"chatcmpl-DZSHIJypPgsQY8iFFOc2lHB0qPSKd","object":"chat.completion","created":1777342552,"model":"gpt-5-chat-2025-10-03","choices":[{"index":0,"message":{"role":"assistant","content":"Gucci Grey GG Supreme Leather Belt","refusal":null,"annotations":[]},"logprobs":null,"finish_reason":"stop"}],"usage":{"prompt_tokens":869,"completion_tokens":8,"total_tokens":877,"prompt_tokens_details":{"cached_tokens":0,"audio_tokens":0},"completion_tokens_details":{"reasoning_tokens":0,"audio_tokens":0,"accepted_prediction_tokens":0,"rejected_prediction_tokens":0}},"service_tier":"default","system_fingerprint":"fp_ad66631dec"}</t>
        </is>
      </c>
      <c r="K18" t="inlineStr">
        <is>
          <t>Gucci Grey GG Supreme Leather Belt</t>
        </is>
      </c>
      <c r="L18" t="inlineStr">
        <is>
          <t>{"id":"chatcmpl-DZRdWL5ZGOChSETHs3tBNtzp4Fv6N","object":"chat.completion","created":1777340086,"model":"gpt-5-chat-2025-10-03","choices":[{"index":0,"message":{"role":"assistant","content":"Gucci Grey GG Supreme Leather Belt with iconic Double G metal buckle, sleek texture and modern minimal design, perfect for men and women in business or casual urban style.","refusal":null,"annotations":[]},"logprobs":null,"finish_reason":"stop"}],"usage":{"prompt_tokens":888,"completion_tokens":34,"total_tokens":922,"prompt_tokens_details":{"cached_tokens":0,"audio_tokens":0},"completion_tokens_details":{"reasoning_tokens":0,"audio_tokens":0,"accepted_prediction_tokens":0,"rejected_prediction_tokens":0}},"service_tier":"default","system_fingerprint":"fp_ad66631dec"}</t>
        </is>
      </c>
      <c r="M18" t="inlineStr">
        <is>
          <t>{"alt-svc":"h3=\":443\"; ma=2592000","apim-request-id":"7115fe7f-cee9-448b-92bc-456aaa8d38ad","azureml-model-session":"d20260402075109-1fc5a0ec","cache-control":"no-cache","connection":"close","content-length":"979","content-type":"application/json","date":"Tue, 28 Apr 2026 01:34:48 GMT","server":"nginx","skip-error-remapping":"true","strict-transport-security":"max-age=31536000; includeSubDomains; preload","via":"1.1 Caddy","x-content-type-options":"nosniff","x-ms-client-request-id":"Not-Set","x-ms-is-spilled-over":"false","x-ms-rai-invoked":"false","x-ms-region":"West US","x-new-api-version":"0.4.35","x-oneapi-request-id":"202604280134453971766288268d9d6X7oDlHCg","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858be117-6c12-4cc0-9899-c13ebfa90c7e"}</t>
        </is>
      </c>
      <c r="N18" t="inlineStr">
        <is>
          <t>Gucci Grey GG Supreme Leather Belt with iconic Double G metal buckle, sleek texture and modern minimal design, perfect for men and women in business or casual urban style.</t>
        </is>
      </c>
      <c r="O18" t="inlineStr">
        <is>
          <t>{"id":"chatcmpl-DZSWEHncgfy2vmNa1a0ghsvpAvh8o","object":"chat.completion","created":1777343478,"model":"gpt-5-chat-2025-10-03","choices":[{"index":0,"message":{"role":"assistant","content":"Gucci,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 t="inlineStr">
        <is>
          <t>Gucci, Belt, kakobuy, kakebuy2026, kekobuysheet, kakobuysheet2026, 2026kakobuy, kakobuyspreadsheeet, kakobuylink, kakebuylist, Kakobuy MEGA Spreadsheet, kakobuysheetfind, kakobuysheetfind2026, 2026kakobuysheetfind, kakobuysheet2026</t>
        </is>
      </c>
      <c r="Q18" t="inlineStr">
        <is>
          <t>Gucci X Adidas, Leather, Grey, Minimalist, Business Casual, Unisex</t>
        </is>
      </c>
      <c r="R18" t="inlineStr">
        <is>
          <t>recvhju1CrVSth</t>
        </is>
      </c>
      <c r="S18" t="inlineStr">
        <is>
          <t>gucci-grey-gg-supreme-leather-belt-recvhju1crvsth</t>
        </is>
      </c>
      <c r="T18"/>
      <c r="U18"/>
      <c r="V18"/>
      <c r="W18" t="inlineStr">
        <is>
          <t>{"id":"chatcmpl-DZR6qOaPsIImo3VxvtfiyqV4ggg2t","object":"chat.completion","created":1777338060,"model":"gpt-5-chat-2025-10-03","choices":[{"index":0,"message":{"role":"assistant","content":"Gucci：灰色GG Supreme系列皮革腰带，采用经典双G金属扣设计，质感细腻奢华，彰显现代简约风格，男女皆宜，适合都市商务与日常休闲穿搭。","refusal":null,"annotations":[]},"logprobs":null,"finish_reason":"stop"}],"usage":{"prompt_tokens":1297,"completion_tokens":56,"total_tokens":1353,"prompt_tokens_details":{"cached_tokens":0,"audio_tokens":0},"completion_tokens_details":{"reasoning_tokens":0,"audio_tokens":0,"accepted_prediction_tokens":0,"rejected_prediction_tokens":0}},"service_tier":"default","system_fingerprint":"fp_ad66631dec"}</t>
        </is>
      </c>
      <c r="X18" t="inlineStr">
        <is>
          <t>Gucci：灰色GG Supreme系列皮革腰带，采用经典双G金属扣设计，质感细腻奢华，彰显现代简约风格，男女皆宜，适合都市商务与日常休闲穿搭。</t>
        </is>
      </c>
    </row>
    <row r="19" ht="25.5" customHeight="1">
      <c r="A19">
        <v>1654975475</v>
      </c>
      <c r="B19">
        <v>7621816415</v>
      </c>
      <c r="C19" s="2" t="str">
        <f>=HYPERLINK("https://weidian.com/item.html?itemID=7621816415", "https://weidian.com/item.html?itemID=7621816415")</f>
        <v>https://weidian.com/item.html?itemID=7621816415</v>
      </c>
      <c r="D19"/>
      <c r="E19" s="2" t="str">
        <f>=HYPERLINK("https://si.geilicdn.com/pcitem2014204438-77560000019ada3c74150a2301b4_1080_1080.jpg?w=640&amp;h=640", "https://si.geilicdn.com/pcitem2014204438-77560000019ada3c74150a2301b4_1080_1080.jpg?w=640&amp;h=640")</f>
        <v>https://si.geilicdn.com/pcitem2014204438-77560000019ada3c74150a2301b4_1080_1080.jpg?w=640&amp;h=640</v>
      </c>
      <c r="F19" t="inlineStr">
        <is>
          <t>Accessories</t>
        </is>
      </c>
      <c r="G19" t="inlineStr">
        <is>
          <t>Gucci</t>
        </is>
      </c>
      <c r="H19">
        <v>460</v>
      </c>
      <c r="I19">
        <v>66.67</v>
      </c>
      <c r="J19" t="inlineStr">
        <is>
          <t>{"id":"chatcmpl-DZSMHJeeumiInr8AG0gaSkUw3mttB","object":"chat.completion","created":1777342861,"model":"gpt-5-chat-2025-10-03","choices":[{"index":0,"message":{"role":"assistant","content":"Gucci Beige GG Leather Belt Gold Buckle Unisex Fashion","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19" t="inlineStr">
        <is>
          <t>Gucci Beige GG Leather Belt Gold Buckle Unisex Fashion</t>
        </is>
      </c>
      <c r="L19" t="inlineStr">
        <is>
          <t>{"id":"chatcmpl-DZRhWNQMM2PagB9nZzGEw0WW7eVfJ","object":"chat.completion","created":1777340334,"model":"gpt-5-chat-2025-10-03","choices":[{"index":0,"message":{"role":"assistant","content":"Gucci Classic Beige GG Monogram Leather Belt with Gold Double G Buckle, Vintage Luxury Design, Unisex Fashion, Showcasing Iconic Italian Elegance and Timeless Style.","refusal":null,"annotations":[]},"logprobs":null,"finish_reason":"stop"}],"usage":{"prompt_tokens":879,"completion_tokens":38,"total_tokens":917,"prompt_tokens_details":{"cached_tokens":0,"audio_tokens":0},"completion_tokens_details":{"reasoning_tokens":0,"audio_tokens":0,"accepted_prediction_tokens":0,"rejected_prediction_tokens":0}},"service_tier":"default","system_fingerprint":"fp_ad66631dec"}</t>
        </is>
      </c>
      <c r="M19" t="inlineStr">
        <is>
          <t>{"alt-svc":"h3=\":443\"; ma=2592000","apim-request-id":"bf5e3aa2-c525-4ca9-ab78-d8e0b412a630","azureml-model-session":"d20260405234249-f9874baf","cache-control":"no-cache","connection":"close","content-length":"973","content-type":"application/json","date":"Tue, 28 Apr 2026 01:38:55 GMT","server":"Caddy","skip-error-remapping":"true","strict-transport-security":"max-age=31536000; includeSubDomains; preload","x-content-type-options":"nosniff","x-ms-client-request-id":"Not-Set","x-ms-is-spilled-over":"false","x-ms-rai-invoked":"false","x-ms-region":"North Central US","x-new-api-version":"0.4.35","x-oneapi-request-id":"202604280138533652066388268d9d6ToIRTuMq","x-ratelimit-abusepenalty-active":"False","x-ratelimit-key":"gpt-5-chat-global","x-ratelimit-limit-requests":"1000","x-ratelimit-limit-tokens":"1000000","x-ratelimit-remaining-requests":"999","x-ratelimit-remaining-tokens":"998359","x-ratelimit-renewalperiod-requests":"60","x-ratelimit-renewalperiod-tokens":"60","x-ratelimit-reset-requests":"60","x-ratelimit-reset-tokens":"98","x-request-id":"6671dc43-9075-463d-8135-5ad26005f36e"}</t>
        </is>
      </c>
      <c r="N19" t="inlineStr">
        <is>
          <t>Gucci Classic Beige GG Monogram Leather Belt with Gold Double G Buckle, Vintage Luxury Design, Unisex Fashion, Showcasing Iconic Italian Elegance and Timeless Style.</t>
        </is>
      </c>
      <c r="O19" t="inlineStr">
        <is>
          <t>{"id":"chatcmpl-DZSUVTbjwBxmQztzgJYSOQrxE3K1G","object":"chat.completion","created":1777343371,"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9" t="inlineStr">
        <is>
          <t>Gucci,Accessories,kakobuy,kakebuy2026,kekobuysheet,kakobuysheet2026,2026kakobuy,kakobuyspreadsheeet,kakobuylink,kakebuylist,Kakobuy MEGA Spreadsheet,kakobuysheetfind,kakobuysheetfind2026,2026kakobuysheetfind,kakobuysheet2026</t>
        </is>
      </c>
      <c r="Q19" t="inlineStr">
        <is>
          <t>Beige, Leather, Unisex, Vintage, Elegant, Classic</t>
        </is>
      </c>
      <c r="R19" t="inlineStr">
        <is>
          <t>recvhju1Cr1n5Y</t>
        </is>
      </c>
      <c r="S19" t="inlineStr">
        <is>
          <t>gucci-beige-gg-leather-belt-gold-buckle-recvhju1cr1n5y</t>
        </is>
      </c>
      <c r="T19"/>
      <c r="U19"/>
      <c r="V19"/>
      <c r="W19" t="inlineStr">
        <is>
          <t>{"id":"chatcmpl-DZRAg1x9kKqE6lSzEPs05y6yCUCMs","object":"chat.completion","created":1777338298,"model":"gpt-5-chat-2025-10-03","choices":[{"index":0,"message":{"role":"assistant","content":"Gucci：经典米色GG老花系列皮质腰带，配金色双GLogo金属扣，复古奢华设计，男女皆宜，彰显意式优雅格调。","refusal":null,"annotations":[]},"logprobs":null,"finish_reason":"stop"}],"usage":{"prompt_tokens":1299,"completion_tokens":46,"total_tokens":1345,"prompt_tokens_details":{"cached_tokens":1280,"audio_tokens":0},"completion_tokens_details":{"reasoning_tokens":0,"audio_tokens":0,"accepted_prediction_tokens":0,"rejected_prediction_tokens":0}},"service_tier":"default","system_fingerprint":"fp_ad66631dec"}</t>
        </is>
      </c>
      <c r="X19" t="inlineStr">
        <is>
          <t>Gucci：经典米色GG老花系列皮质腰带，配金色双GLogo金属扣，复古奢华设计，男女皆宜，彰显意式优雅格调。</t>
        </is>
      </c>
    </row>
    <row r="20" ht="25.5" customHeight="1">
      <c r="A20">
        <v>1654975475</v>
      </c>
      <c r="B20">
        <v>7620680431</v>
      </c>
      <c r="C20" s="2" t="str">
        <f>=HYPERLINK("https://weidian.com/item.html?itemID=7620680431", "https://weidian.com/item.html?itemID=7620680431")</f>
        <v>https://weidian.com/item.html?itemID=7620680431</v>
      </c>
      <c r="D20"/>
      <c r="E20" s="2" t="str">
        <f>=HYPERLINK("https://si.geilicdn.com/pcitem2014204438-700b0000019ada3dcb910a8134f0_1074_1074.jpg?w=640&amp;h=640", "https://si.geilicdn.com/pcitem2014204438-700b0000019ada3dcb910a8134f0_1074_1074.jpg?w=640&amp;h=640")</f>
        <v>https://si.geilicdn.com/pcitem2014204438-700b0000019ada3dcb910a8134f0_1074_1074.jpg?w=640&amp;h=640</v>
      </c>
      <c r="F20" t="inlineStr">
        <is>
          <t>Accessories</t>
        </is>
      </c>
      <c r="G20" t="inlineStr">
        <is>
          <t>Louis Vuitton</t>
        </is>
      </c>
      <c r="H20">
        <v>460</v>
      </c>
      <c r="I20">
        <v>66.67</v>
      </c>
      <c r="J20" t="inlineStr">
        <is>
          <t>{"id":"chatcmpl-DZSMVY5sea044DJ6YWXp2IRbZKuAs","object":"chat.completion","created":1777342875,"model":"gpt-5-chat-2025-10-03","choices":[{"index":0,"message":{"role":"assistant","content":"Louis Vuitton Pink Black Check Leather Belt Unisex","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20" t="inlineStr">
        <is>
          <t>Louis Vuitton Pink Black Check Leather Belt Unisex</t>
        </is>
      </c>
      <c r="L20" t="inlineStr">
        <is>
          <t>{"id":"chatcmpl-DZRfZ13DOudcJDdZTYEngeN3PkjMk","object":"chat.completion","created":1777340213,"model":"gpt-5-chat-2025-10-03","choices":[{"index":0,"message":{"role":"assistant","content":"Louis Vuitton Pink Black Check Leather Belt, crafted from Monogram canvas and cowhide, features a silver LV buckle for a modern luxury look, unisex design, stylish and functional.","refusal":null,"annotations":[]},"logprobs":null,"finish_reason":"stop"}],"usage":{"prompt_tokens":902,"completion_tokens":37,"total_tokens":939,"prompt_tokens_details":{"cached_tokens":0,"audio_tokens":0},"completion_tokens_details":{"reasoning_tokens":0,"audio_tokens":0,"accepted_prediction_tokens":0,"rejected_prediction_tokens":0}},"service_tier":"default","system_fingerprint":"fp_ad66631dec"}</t>
        </is>
      </c>
      <c r="M20" t="inlineStr">
        <is>
          <t>{"alt-svc":"h3=\":443\"; ma=2592000","apim-request-id":"4c419f3b-14e6-4ef1-8638-7c37a13799fb","azureml-model-session":"d20260405234249-f9874baf","cache-control":"no-cache","connection":"close","content-length":"987","content-type":"application/json","date":"Tue, 28 Apr 2026 01:36:54 GMT","server":"nginx","skip-error-remapping":"true","strict-transport-security":"max-age=31536000; includeSubDomains; preload","via":"1.1 Caddy","x-content-type-options":"nosniff","x-ms-client-request-id":"Not-Set","x-ms-is-spilled-over":"false","x-ms-rai-invoked":"false","x-ms-region":"East US","x-new-api-version":"0.4.35","x-oneapi-request-id":"20260428013653274094798268d9d6waEgjtzP","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3a01933f-9092-47d1-80e9-e221db1ad21b"}</t>
        </is>
      </c>
      <c r="N20" t="inlineStr">
        <is>
          <t>Louis Vuitton Pink Black Check Leather Belt, crafted from Monogram canvas and cowhide, features a silver LV buckle for a modern luxury look, unisex design, stylish and functional.</t>
        </is>
      </c>
      <c r="O20" t="inlineStr">
        <is>
          <t>{"id":"chatcmpl-DZSb2NlRTHyPWBOgJBEkGZLjePlbb","object":"chat.completion","created":1777343776,"model":"gpt-5-chat-2025-10-03","choices":[{"index":0,"message":{"role":"assistant","content":"Louis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20" t="inlineStr">
        <is>
          <t>Louis Vuitton, Accessories, kakobuy, kakebuy2026, kekobuysheet, kakobuysheet2026, 2026kakobuy, kakobuyspreadsheeet, kakobuylink, kakebuylist, Kakobuy MEGA Spreadsheet, kakobuysheetfind, kakobuysheetfind2026, 2026kakobuysheetfind, kakobuysheet2026</t>
        </is>
      </c>
      <c r="Q20" t="inlineStr">
        <is>
          <t>LV, Leather, Pink, Black, Unisex, Modern</t>
        </is>
      </c>
      <c r="R20" t="inlineStr">
        <is>
          <t>recvhju1CrmIX6</t>
        </is>
      </c>
      <c r="S20" t="inlineStr">
        <is>
          <t>louis-vuitton-pink-black-check-leather-belt-unisex-recvhju1crmix6</t>
        </is>
      </c>
      <c r="T20"/>
      <c r="U20"/>
      <c r="V20"/>
      <c r="W20" t="inlineStr">
        <is>
          <t>{"id":"chatcmpl-DZRE5AQ7CDhY70g7rLtvBemMKBcuk","object":"chat.completion","created":1777338509,"model":"gpt-5-chat-2025-10-03","choices":[{"index":0,"message":{"role":"assistant","content":"Louis Vuitton：棋盘格粉黑配色皮革腰带，采用Monogram涂层帆布与牛皮拼接，银色LV标志扣设计，彰显现代奢华美学，男女皆宜，摩登街头风格，兼具时尚与实用功能。","refusal":null,"annotations":[]},"logprobs":null,"finish_reason":"stop"}],"usage":{"prompt_tokens":1301,"completion_tokens":68,"total_tokens":1369,"prompt_tokens_details":{"cached_tokens":1280,"audio_tokens":0},"completion_tokens_details":{"reasoning_tokens":0,"audio_tokens":0,"accepted_prediction_tokens":0,"rejected_prediction_tokens":0}},"service_tier":"default","system_fingerprint":"fp_ad66631dec"}</t>
        </is>
      </c>
      <c r="X20" t="inlineStr">
        <is>
          <t>Louis Vuitton：棋盘格粉黑配色皮革腰带，采用Monogram涂层帆布与牛皮拼接，银色LV标志扣设计，彰显现代奢华美学，男女皆宜，摩登街头风格，兼具时尚与实用功能。</t>
        </is>
      </c>
    </row>
    <row r="21" ht="25.5" customHeight="1">
      <c r="A21">
        <v>1654975475</v>
      </c>
      <c r="B21">
        <v>7623668424</v>
      </c>
      <c r="C21" s="2" t="str">
        <f>=HYPERLINK("https://weidian.com/item.html?itemID=7623668424", "https://weidian.com/item.html?itemID=7623668424")</f>
        <v>https://weidian.com/item.html?itemID=7623668424</v>
      </c>
      <c r="D21"/>
      <c r="E21" s="2" t="str">
        <f>=HYPERLINK("https://si.geilicdn.com/pcitem2014204438-776e0000019ada3b932c0a23037f_1080_1080.jpg?w=640&amp;h=640", "https://si.geilicdn.com/pcitem2014204438-776e0000019ada3b932c0a23037f_1080_1080.jpg?w=640&amp;h=640")</f>
        <v>https://si.geilicdn.com/pcitem2014204438-776e0000019ada3b932c0a23037f_1080_1080.jpg?w=640&amp;h=640</v>
      </c>
      <c r="F21" t="inlineStr">
        <is>
          <t>Accessories</t>
        </is>
      </c>
      <c r="G21" t="inlineStr">
        <is>
          <t>Louis Vuitton</t>
        </is>
      </c>
      <c r="H21">
        <v>460</v>
      </c>
      <c r="I21">
        <v>66.67</v>
      </c>
      <c r="J21" t="inlineStr">
        <is>
          <t>{"id":"chatcmpl-DZSKFbnfA2wEEKf9Dv14MDOUbJYaA","object":"chat.completion","created":1777342735,"model":"gpt-5-chat-2025-10-03","choices":[{"index":0,"message":{"role":"assistant","content":"Gucci GG Supreme Beige Green Leather Gold Belt","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21" t="inlineStr">
        <is>
          <t>Gucci GG Supreme Beige Green Leather Gold Belt</t>
        </is>
      </c>
      <c r="L21" t="inlineStr">
        <is>
          <t>{"id":"chatcmpl-DZRhA7DF9AtN7eA7MHID4RPhEr09v","object":"chat.completion","created":1777340312,"model":"gpt-5-chat-2025-10-03","choices":[{"index":0,"message":{"role":"assistant","content":"Gucci GG Supreme Beige Belt with Green Leather Trim and Gold Double G Buckle, crafted from coated canvas and top-grain leather, unisex vintage elegance for casual or business wear.","refusal":null,"annotations":[]},"logprobs":null,"finish_reason":"stop"}],"usage":{"prompt_tokens":900,"completion_tokens":38,"total_tokens":938,"prompt_tokens_details":{"cached_tokens":0,"audio_tokens":0},"completion_tokens_details":{"reasoning_tokens":0,"audio_tokens":0,"accepted_prediction_tokens":0,"rejected_prediction_tokens":0}},"service_tier":"default","system_fingerprint":"fp_ad66631dec"}</t>
        </is>
      </c>
      <c r="M21" t="inlineStr">
        <is>
          <t>{"alt-svc":"h3=\":443\"; ma=2592000","apim-request-id":"1f5eb1f9-e683-4e55-b074-a10c2f556d18","azureml-model-session":"d20260405234249-f9874baf","cache-control":"no-cache","connection":"close","content-length":"988","content-type":"application/json","date":"Tue, 28 Apr 2026 01:38:35 GMT","server":"nginx","skip-error-remapping":"true","strict-transport-security":"max-age=31536000; includeSubDomains; preload","via":"1.1 Caddy","x-content-type-options":"nosniff","x-ms-client-request-id":"Not-Set","x-ms-is-spilled-over":"false","x-ms-rai-invoked":"false","x-ms-region":"Sweden Central","x-new-api-version":"0.4.35","x-oneapi-request-id":"202604280138311683840688268d9d6bY7oatuv","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9131a270-d7e8-47b7-b282-eb0bacd5adfb"}</t>
        </is>
      </c>
      <c r="N21" t="inlineStr">
        <is>
          <t>Gucci GG Supreme Beige Belt with Green Leather Trim and Gold Double G Buckle, crafted from coated canvas and top-grain leather, unisex vintage elegance for casual or business wear.</t>
        </is>
      </c>
      <c r="O21" t="inlineStr">
        <is>
          <t>{"id":"chatcmpl-DZSUrsF98IEAetNzBjPAoicyFwjXd","object":"chat.completion","created":1777343393,"model":"gpt-5-chat-2025-10-03","choices":[{"index":0,"message":{"role":"assistant","content":"Louis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21" t="inlineStr">
        <is>
          <t>Louis Vuitton, Accessories, kakobuy, kakebuy2026, kekobuysheet, kakobuysheet2026, 2026kakobuy, kakobuyspreadsheeet, kakobuylink, kakebuylist, Kakobuy MEGA Spreadsheet, kakobuysheetfind, kakobuysheetfind2026, 2026kakobuysheetfind, kakobuysheet2026</t>
        </is>
      </c>
      <c r="Q21" t="inlineStr">
        <is>
          <t>Gucci X Adidas, Beige, Vintage, Unisex, Leather, Casual Shoes</t>
        </is>
      </c>
      <c r="R21" t="inlineStr">
        <is>
          <t>recvhju1Crp9Ck</t>
        </is>
      </c>
      <c r="S21" t="inlineStr">
        <is>
          <t>gucci-gg-supreme-beige-green-leather-gold-belt-recvhju1crp9ck</t>
        </is>
      </c>
      <c r="T21"/>
      <c r="U21"/>
      <c r="V21"/>
      <c r="W21" t="inlineStr">
        <is>
          <t>{"id":"chatcmpl-DZR6MW08hexK15DMEmkZseHJVh6Ha","object":"chat.completion","created":1777338030,"model":"gpt-5-chat-2025-10-03","choices":[{"index":0,"message":{"role":"assistant","content":"Gucci：经典GG Supreme米灰配绿色皮革腰带，金色圆形双G扣设计，彰显奢华质感，男女皆宜，复古优雅风格，精选涂层帆布与头层牛皮打造，休闲与商务皆相宜。","refusal":null,"annotations":[]},"logprobs":null,"finish_reason":"stop"}],"usage":{"prompt_tokens":1301,"completion_tokens":66,"total_tokens":1367,"prompt_tokens_details":{"cached_tokens":0,"audio_tokens":0},"completion_tokens_details":{"reasoning_tokens":0,"audio_tokens":0,"accepted_prediction_tokens":0,"rejected_prediction_tokens":0}},"service_tier":"default","system_fingerprint":"fp_ad66631dec"}</t>
        </is>
      </c>
      <c r="X21" t="inlineStr">
        <is>
          <t>Gucci：经典GG Supreme米灰配绿色皮革腰带，金色圆形双G扣设计，彰显奢华质感，男女皆宜，复古优雅风格，精选涂层帆布与头层牛皮打造，休闲与商务皆相宜。</t>
        </is>
      </c>
    </row>
    <row r="22" ht="25.5" customHeight="1">
      <c r="A22">
        <v>1654975475</v>
      </c>
      <c r="B22">
        <v>7620680433</v>
      </c>
      <c r="C22" s="2" t="str">
        <f>=HYPERLINK("https://weidian.com/item.html?itemID=7620680433", "https://weidian.com/item.html?itemID=7620680433")</f>
        <v>https://weidian.com/item.html?itemID=7620680433</v>
      </c>
      <c r="D22"/>
      <c r="E22" s="2" t="str">
        <f>=HYPERLINK("https://si.geilicdn.com/pcitem2014204438-3ed80000019ada3e8ff90a231316_715_773.jpg?w=640&amp;h=640", "https://si.geilicdn.com/pcitem2014204438-3ed80000019ada3e8ff90a231316_715_773.jpg?w=640&amp;h=640")</f>
        <v>https://si.geilicdn.com/pcitem2014204438-3ed80000019ada3e8ff90a231316_715_773.jpg?w=640&amp;h=640</v>
      </c>
      <c r="F22" t="inlineStr">
        <is>
          <t>Accessories</t>
        </is>
      </c>
      <c r="G22" t="inlineStr">
        <is>
          <t>Dior</t>
        </is>
      </c>
      <c r="H22">
        <v>460</v>
      </c>
      <c r="I22">
        <v>66.67</v>
      </c>
      <c r="J22" t="inlineStr">
        <is>
          <t>{"id":"chatcmpl-DZSJOyWqKLH4Eh64HCg5jVXl4kTcY","object":"chat.completion","created":1777342682,"model":"gpt-5-chat-2025-10-03","choices":[{"index":0,"message":{"role":"assistant","content":"Dior Beige Calfskin Belt Gold Logo Buckle","refusal":null,"annotations":[]},"logprobs":null,"finish_reason":"stop"}],"usage":{"prompt_tokens":863,"completion_tokens":12,"total_tokens":875,"prompt_tokens_details":{"cached_tokens":0,"audio_tokens":0},"completion_tokens_details":{"reasoning_tokens":0,"audio_tokens":0,"accepted_prediction_tokens":0,"rejected_prediction_tokens":0}},"service_tier":"default","system_fingerprint":"fp_ad66631dec"}</t>
        </is>
      </c>
      <c r="K22" t="inlineStr">
        <is>
          <t>Dior Beige Calfskin Belt Gold Logo Buckle</t>
        </is>
      </c>
      <c r="L22" t="inlineStr">
        <is>
          <t>{"id":"chatcmpl-DZRibUQvaLeSCvXcbaWfXhuSkVTFw","object":"chat.completion","created":1777340401,"model":"gpt-5-chat-2025-10-03","choices":[{"index":0,"message":{"role":"assistant","content":"Dior Beige Leather Belt with Gold Metal Logo Buckle, crafted from smooth calfskin, minimalist unisex design showcasing modern elegance and timeless luxury style.","refusal":null,"annotations":[]},"logprobs":null,"finish_reason":"stop"}],"usage":{"prompt_tokens":889,"completion_tokens":31,"total_tokens":920,"prompt_tokens_details":{"cached_tokens":0,"audio_tokens":0},"completion_tokens_details":{"reasoning_tokens":0,"audio_tokens":0,"accepted_prediction_tokens":0,"rejected_prediction_tokens":0}},"service_tier":"default","system_fingerprint":"fp_ad66631dec"}</t>
        </is>
      </c>
      <c r="M22" t="inlineStr">
        <is>
          <t>{"alt-svc":"h3=\":443\"; ma=2592000","apim-request-id":"dfff7339-a4db-4cec-a4e7-8066833b95ea","azureml-model-session":"d20260405234249-f9874baf","cache-control":"no-cache","connection":"close","content-length":"969","content-type":"application/json","date":"Tue, 28 Apr 2026 01:40:02 GMT","server":"nginx","skip-error-remapping":"true","strict-transport-security":"max-age=31536000; includeSubDomains; preload","via":"1.1 Caddy","x-content-type-options":"nosniff","x-ms-client-request-id":"Not-Set","x-ms-is-spilled-over":"false","x-ms-rai-invoked":"false","x-ms-region":"Central US","x-new-api-version":"0.4.35","x-oneapi-request-id":"202604280140012907488118268d9d6P3P0gPu7","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f39ae2ce-8594-4fdc-9b5b-3a3794cd6cc3"}</t>
        </is>
      </c>
      <c r="N22" t="inlineStr">
        <is>
          <t>Dior Beige Leather Belt with Gold Metal Logo Buckle, crafted from smooth calfskin, minimalist unisex design showcasing modern elegance and timeless luxury style.</t>
        </is>
      </c>
      <c r="O22" t="inlineStr">
        <is>
          <t>{"id":"chatcmpl-DZSWYNnYUSTb1M7CDEc8zRFbkerBl","object":"chat.completion","created":1777343498,"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2" t="inlineStr">
        <is>
          <t>Dior,Belt,kakobuy,kakebuy2026,kekobuysheet,kakobuysheet2026,2026kakobuy,kakobuyspreadsheeet,kakobuylink,kakebuylist,Kakobuy MEGA Spreadsheet,kakobuysheetfind,kakobuysheetfind2026,2026kakobuysheetfind,kakobuysheet2026</t>
        </is>
      </c>
      <c r="Q22" t="inlineStr">
        <is>
          <t>Dior, Beige, Leather, Minimalist, Unisex</t>
        </is>
      </c>
      <c r="R22" t="inlineStr">
        <is>
          <t>recvhju1CrOpxc</t>
        </is>
      </c>
      <c r="S22" t="inlineStr">
        <is>
          <t>dior-beige-calfskin-belt-gold-logo-buckle-recvhju1crpxc</t>
        </is>
      </c>
      <c r="T22"/>
      <c r="U22"/>
      <c r="V22"/>
      <c r="W22" t="inlineStr">
        <is>
          <t>{"id":"chatcmpl-DZRESpvh46hl4fKoQWHCCUFFBU4ZP","object":"chat.completion","created":1777338532,"model":"gpt-5-chat-2025-10-03","choices":[{"index":0,"message":{"role":"assistant","content":"Dior：浅米色皮革腰带，金色金属字母标识扣设计，选用柔滑小牛皮材质，简约优雅风格，男女通用款，彰显现代时尚品味与品牌经典气质。","refusal":null,"annotations":[]},"logprobs":null,"finish_reason":"stop"}],"usage":{"prompt_tokens":1295,"completion_tokens":58,"total_tokens":1353,"prompt_tokens_details":{"cached_tokens":0,"audio_tokens":0},"completion_tokens_details":{"reasoning_tokens":0,"audio_tokens":0,"accepted_prediction_tokens":0,"rejected_prediction_tokens":0}},"service_tier":"default","system_fingerprint":"fp_ad66631dec"}</t>
        </is>
      </c>
      <c r="X22" t="inlineStr">
        <is>
          <t>Dior：浅米色皮革腰带，金色金属字母标识扣设计，选用柔滑小牛皮材质，简约优雅风格，男女通用款，彰显现代时尚品味与品牌经典气质。</t>
        </is>
      </c>
    </row>
    <row r="23" ht="25.5" customHeight="1">
      <c r="A23">
        <v>1654975475</v>
      </c>
      <c r="B23">
        <v>7620728311</v>
      </c>
      <c r="C23" s="2" t="str">
        <f>=HYPERLINK("https://weidian.com/item.html?itemID=7620728311", "https://weidian.com/item.html?itemID=7620728311")</f>
        <v>https://weidian.com/item.html?itemID=7620728311</v>
      </c>
      <c r="D23"/>
      <c r="E23" s="2" t="str">
        <f>=HYPERLINK("https://si.geilicdn.com/pcitem2014204438-73730000019ada3448e60a81347d_1074_1074.jpg?w=640&amp;h=640", "https://si.geilicdn.com/pcitem2014204438-73730000019ada3448e60a81347d_1074_1074.jpg?w=640&amp;h=640")</f>
        <v>https://si.geilicdn.com/pcitem2014204438-73730000019ada3448e60a81347d_1074_1074.jpg?w=640&amp;h=640</v>
      </c>
      <c r="F23" t="inlineStr">
        <is>
          <t>Accessories</t>
        </is>
      </c>
      <c r="G23" t="inlineStr">
        <is>
          <t>Gucci</t>
        </is>
      </c>
      <c r="H23">
        <v>460</v>
      </c>
      <c r="I23">
        <v>66.67</v>
      </c>
      <c r="J23" t="inlineStr">
        <is>
          <t>{"id":"chatcmpl-DZSL0DGOl5ppotjUFdk9Ii0J0CorW","object":"chat.completion","created":1777342782,"model":"gpt-5-chat-2025-10-03","choices":[{"index":0,"message":{"role":"assistant","content":"Gucci Gray GG Supreme Leather Belt","refusal":null,"annotations":[]},"logprobs":null,"finish_reason":"stop"}],"usage":{"prompt_tokens":867,"completion_tokens":8,"total_tokens":875,"prompt_tokens_details":{"cached_tokens":0,"audio_tokens":0},"completion_tokens_details":{"reasoning_tokens":0,"audio_tokens":0,"accepted_prediction_tokens":0,"rejected_prediction_tokens":0}},"service_tier":"default","system_fingerprint":"fp_ad66631dec"}</t>
        </is>
      </c>
      <c r="K23" t="inlineStr">
        <is>
          <t>Gucci Gray GG Supreme Leather Belt</t>
        </is>
      </c>
      <c r="L23" t="inlineStr">
        <is>
          <t>{"id":"chatcmpl-DZRgRhDSwuta9GjbMcUejXbstsrOM","object":"chat.completion","created":1777340267,"model":"gpt-5-chat-2025-10-03","choices":[{"index":0,"message":{"role":"assistant","content":"Gucci Classic Gray GG Supreme Leather Belt with Double G Metal Buckle, Unisex Luxury Vintage Style, Italian Elegance Perfect for Casual or Formal Outfits.","refusal":null,"annotations":[]},"logprobs":null,"finish_reason":"stop"}],"usage":{"prompt_tokens":887,"completion_tokens":33,"total_tokens":920,"prompt_tokens_details":{"cached_tokens":0,"audio_tokens":0},"completion_tokens_details":{"reasoning_tokens":0,"audio_tokens":0,"accepted_prediction_tokens":0,"rejected_prediction_tokens":0}},"service_tier":"default","system_fingerprint":"fp_ad66631dec"}</t>
        </is>
      </c>
      <c r="M23" t="inlineStr">
        <is>
          <t>{"alt-svc":"h3=\":443\"; ma=2592000","apim-request-id":"344f8723-ba87-4332-8579-dad305e73b19","azureml-model-session":"d20260405234249-f9874baf","cache-control":"no-cache","connection":"close","content-length":"962","content-type":"application/json","date":"Tue, 28 Apr 2026 01:37:48 GMT","server":"nginx","skip-error-remapping":"true","strict-transport-security":"max-age=31536000; includeSubDomains; preload","via":"1.1 Caddy","x-content-type-options":"nosniff","x-ms-client-request-id":"Not-Set","x-ms-is-spilled-over":"false","x-ms-rai-invoked":"false","x-ms-region":"Central US","x-new-api-version":"0.4.35","x-oneapi-request-id":"202604280137469747425118268d9d63tXG4Zts","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d7a569d3-35ab-4b1c-8f62-daf2e6b31964"}</t>
        </is>
      </c>
      <c r="N23" t="inlineStr">
        <is>
          <t>Gucci Classic Gray GG Supreme Leather Belt with Double G Metal Buckle, Unisex Luxury Vintage Style, Italian Elegance Perfect for Casual or Formal Outfits.</t>
        </is>
      </c>
      <c r="O23" t="inlineStr">
        <is>
          <t>{"id":"chatcmpl-DZSaZq9thLRew7Y32jA8aWsCVQxmv","object":"chat.completion","created":1777343747,"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3" t="inlineStr">
        <is>
          <t>Gucci,Accessories,kakobuy,kakebuy2026,kekobuysheet,kakobuysheet2026,2026kakobuy,kakobuyspreadsheeet,kakobuylink,kakebuylist,Kakobuy MEGA Spreadsheet,kakobuysheetfind,kakobuysheetfind2026,2026kakobuysheetfind,kakobuysheet2026</t>
        </is>
      </c>
      <c r="Q23" t="inlineStr">
        <is>
          <t>Gucci X Adidas, Gray, Leather, Vintage, Unisex, Elegant</t>
        </is>
      </c>
      <c r="R23" t="inlineStr">
        <is>
          <t>recvhju1CrBw6U</t>
        </is>
      </c>
      <c r="S23" t="inlineStr">
        <is>
          <t>gucci-gray-gg-supreme-leather-belt-recvhju1crbw6u</t>
        </is>
      </c>
      <c r="T23"/>
      <c r="U23"/>
      <c r="V23"/>
      <c r="W23" t="inlineStr">
        <is>
          <t>{"id":"chatcmpl-DZRBOaWbVKC88q7NGLtZrnVGLCnEU","object":"chat.completion","created":1777338342,"model":"gpt-5-chat-2025-10-03","choices":[{"index":0,"message":{"role":"assistant","content":"Gucci：经典灰色GG Supreme系列皮革腰带，饰以双G金属扣设计，奢华复古风格，男女皆宜，彰显意式优雅品味，适合休闲与正装穿搭。","refusal":null,"annotations":[]},"logprobs":null,"finish_reason":"stop"}],"usage":{"prompt_tokens":1297,"completion_tokens":55,"total_tokens":1352,"prompt_tokens_details":{"cached_tokens":0,"audio_tokens":0},"completion_tokens_details":{"reasoning_tokens":0,"audio_tokens":0,"accepted_prediction_tokens":0,"rejected_prediction_tokens":0}},"service_tier":"default","system_fingerprint":"fp_ad66631dec"}</t>
        </is>
      </c>
      <c r="X23" t="inlineStr">
        <is>
          <t>Gucci：经典灰色GG Supreme系列皮革腰带，饰以双G金属扣设计，奢华复古风格，男女皆宜，彰显意式优雅品味，适合休闲与正装穿搭。</t>
        </is>
      </c>
    </row>
    <row r="24" ht="25.5" customHeight="1">
      <c r="A24">
        <v>1654975475</v>
      </c>
      <c r="B24">
        <v>7621842147</v>
      </c>
      <c r="C24" s="2" t="str">
        <f>=HYPERLINK("https://weidian.com/item.html?itemID=7621842147", "https://weidian.com/item.html?itemID=7621842147")</f>
        <v>https://weidian.com/item.html?itemID=7621842147</v>
      </c>
      <c r="D24"/>
      <c r="E24" s="2" t="str">
        <f>=HYPERLINK("https://si.geilicdn.com/pcitem2014204438-69170000019ada3b25230a239846_1080_1080.jpg?w=640&amp;h=640", "https://si.geilicdn.com/pcitem2014204438-69170000019ada3b25230a239846_1080_1080.jpg?w=640&amp;h=640")</f>
        <v>https://si.geilicdn.com/pcitem2014204438-69170000019ada3b25230a239846_1080_1080.jpg?w=640&amp;h=640</v>
      </c>
      <c r="F24" t="inlineStr">
        <is>
          <t>Accessories</t>
        </is>
      </c>
      <c r="G24" t="inlineStr">
        <is>
          <t>Gucci</t>
        </is>
      </c>
      <c r="H24">
        <v>460</v>
      </c>
      <c r="I24">
        <v>66.67</v>
      </c>
      <c r="J24" t="inlineStr">
        <is>
          <t>{"id":"chatcmpl-DZSJ1ysXBn9MMt1Dd5y75ujOn5rcM","object":"chat.completion","created":1777342659,"model":"gpt-5-chat-2025-10-03","choices":[{"index":0,"message":{"role":"assistant","content":"Gucci Navy GG Leather Belt Silver Buckle Unisex","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24" t="inlineStr">
        <is>
          <t>Gucci Navy GG Leather Belt Silver Buckle Unisex</t>
        </is>
      </c>
      <c r="L24" t="inlineStr">
        <is>
          <t>{"id":"chatcmpl-DZRfMNA6BR0kPuAE6VzXIan5MjyAz","object":"chat.completion","created":1777340200,"model":"gpt-5-chat-2025-10-03","choices":[{"index":0,"message":{"role":"assistant","content":"Gucci Classic Navy GG Monogram Leather Belt with Elegant Silver Double G Buckle, Unisex Design, Showcasing Italian Luxury Style, Exquisite Craftsmanship and Modern Fashion Versatility.","refusal":null,"annotations":[]},"logprobs":null,"finish_reason":"stop"}],"usage":{"prompt_tokens":887,"completion_tokens":39,"total_tokens":926,"prompt_tokens_details":{"cached_tokens":0,"audio_tokens":0},"completion_tokens_details":{"reasoning_tokens":0,"audio_tokens":0,"accepted_prediction_tokens":0,"rejected_prediction_tokens":0}},"service_tier":"default","system_fingerprint":"fp_ad66631dec"}</t>
        </is>
      </c>
      <c r="M24" t="inlineStr">
        <is>
          <t>{"alt-svc":"h3=\":443\"; ma=2592000","apim-request-id":"52f77691-e997-432a-b7d7-61614962371f","azureml-model-session":"d20260402075109-1fc5a0ec","cache-control":"no-cache","connection":"close","content-length":"992","content-type":"application/json","date":"Tue, 28 Apr 2026 01:36:42 GMT","server":"nginx","skip-error-remapping":"true","strict-transport-security":"max-age=31536000; includeSubDomains; preload","via":"1.1 Caddy","x-content-type-options":"nosniff","x-ms-client-request-id":"Not-Set","x-ms-is-spilled-over":"false","x-ms-rai-invoked":"false","x-ms-region":"Poland Central","x-new-api-version":"0.4.35","x-oneapi-request-id":"2026042801364055380878268d9d6QKA8vDm6","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4b0372aa-4714-4530-aecb-7713d62e85e9"}</t>
        </is>
      </c>
      <c r="N24" t="inlineStr">
        <is>
          <t>Gucci Classic Navy GG Monogram Leather Belt with Elegant Silver Double G Buckle, Unisex Design, Showcasing Italian Luxury Style, Exquisite Craftsmanship and Modern Fashion Versatility.</t>
        </is>
      </c>
      <c r="O24" t="inlineStr">
        <is>
          <t>{"id":"chatcmpl-DZSXk7VhbFYg6HqyaPgvCmK05CP5S","object":"chat.completion","created":1777343572,"model":"gpt-5-chat-2025-10-03","choices":[{"index":0,"message":{"role":"assistant","content":"Gucci,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24" t="inlineStr">
        <is>
          <t>Gucci, belt, kakobuy, kakebuy2026, kekobuysheet, kakobuysheet2026, 2026kakobuy, kakobuyspreadsheeet, kakobuylink, kakebuylist, Kakobuy MEGA Spreadsheet, kakobuysheetfind, kakobuysheetfind2026, 2026kakobuysheetfind, kakobuysheet2026</t>
        </is>
      </c>
      <c r="Q24" t="inlineStr">
        <is>
          <t>Navy, Leather, Elegant, Unisex, High End, Versatile</t>
        </is>
      </c>
      <c r="R24" t="inlineStr">
        <is>
          <t>recvhju1CrUYlQ</t>
        </is>
      </c>
      <c r="S24" t="inlineStr">
        <is>
          <t>gucci-navy-gg-leather-belt-silver-buckle-recvhju1cruylq</t>
        </is>
      </c>
      <c r="T24"/>
      <c r="U24"/>
      <c r="V24"/>
      <c r="W24" t="inlineStr">
        <is>
          <t>{"id":"chatcmpl-DZRCVLPsXGB75RPOGJn1fXY56pj3b","object":"chat.completion","created":1777338411,"model":"gpt-5-chat-2025-10-03","choices":[{"index":0,"message":{"role":"assistant","content":"Gucci：经典深蓝GG图腾皮质腰带，采用优雅银色双G金属扣设计，彰显意式奢华格调，男女皆宜，时尚百搭，尽显精品工艺与现代品味。","refusal":null,"annotations":[]},"logprobs":null,"finish_reason":"stop"}],"usage":{"prompt_tokens":1295,"completion_tokens":56,"total_tokens":1351,"prompt_tokens_details":{"cached_tokens":1280,"audio_tokens":0},"completion_tokens_details":{"reasoning_tokens":0,"audio_tokens":0,"accepted_prediction_tokens":0,"rejected_prediction_tokens":0}},"service_tier":"default","system_fingerprint":"fp_ad66631dec"}</t>
        </is>
      </c>
      <c r="X24" t="inlineStr">
        <is>
          <t>Gucci：经典深蓝GG图腾皮质腰带，采用优雅银色双G金属扣设计，彰显意式奢华格调，男女皆宜，时尚百搭，尽显精品工艺与现代品味。</t>
        </is>
      </c>
    </row>
    <row r="25" ht="25.5" customHeight="1">
      <c r="A25">
        <v>1654975475</v>
      </c>
      <c r="B25">
        <v>7621752783</v>
      </c>
      <c r="C25" s="2" t="str">
        <f>=HYPERLINK("https://weidian.com/item.html?itemID=7621752783", "https://weidian.com/item.html?itemID=7621752783")</f>
        <v>https://weidian.com/item.html?itemID=7621752783</v>
      </c>
      <c r="D25"/>
      <c r="E25" s="2" t="str">
        <f>=HYPERLINK("https://si.geilicdn.com/pcitem2014204438-3a460000019ada3072190a811411_1074_1074.jpg?w=640&amp;h=640", "https://si.geilicdn.com/pcitem2014204438-3a460000019ada3072190a811411_1074_1074.jpg?w=640&amp;h=640")</f>
        <v>https://si.geilicdn.com/pcitem2014204438-3a460000019ada3072190a811411_1074_1074.jpg?w=640&amp;h=640</v>
      </c>
      <c r="F25" t="inlineStr">
        <is>
          <t>Accessories</t>
        </is>
      </c>
      <c r="G25" t="inlineStr">
        <is>
          <t>Gucci</t>
        </is>
      </c>
      <c r="H25">
        <v>8779</v>
      </c>
      <c r="I25">
        <v>1272.32</v>
      </c>
      <c r="J25" t="inlineStr">
        <is>
          <t>{"id":"chatcmpl-DZSKB420rVKOqNdsbT65WyZdMxC58","object":"chat.completion","created":1777342731,"model":"gpt-5-chat-2025-10-03","choices":[{"index":0,"message":{"role":"assistant","content":"Gucci Classic GG Dark Gray Leather Belt","refusal":null,"annotations":[]},"logprobs":null,"finish_reason":"stop"}],"usage":{"prompt_tokens":879,"completion_tokens":9,"total_tokens":888,"prompt_tokens_details":{"cached_tokens":0,"audio_tokens":0},"completion_tokens_details":{"reasoning_tokens":0,"audio_tokens":0,"accepted_prediction_tokens":0,"rejected_prediction_tokens":0}},"service_tier":"default","system_fingerprint":"fp_ad66631dec"}</t>
        </is>
      </c>
      <c r="K25" t="inlineStr">
        <is>
          <t>Gucci Classic GG Dark Gray Leather Belt</t>
        </is>
      </c>
      <c r="L25" t="inlineStr">
        <is>
          <t>{"id":"chatcmpl-DZRj2bvnZqTFeJrgBTgAYNoamcAoS","object":"chat.completion","created":1777340428,"model":"gpt-5-chat-2025-10-03","choices":[{"index":0,"message":{"role":"assistant","content":"Gucci Classic GG Belt: Crafted from premium dark gray leather with embossed GG pattern, featuring iconic double G buckle. Unisex design, elegant and versatile, embodying timeless Italian luxury style.","refusal":null,"annotations":[]},"logprobs":null,"finish_reason":"stop"}],"usage":{"prompt_tokens":909,"completion_tokens":39,"total_tokens":948,"prompt_tokens_details":{"cached_tokens":0,"audio_tokens":0},"completion_tokens_details":{"reasoning_tokens":0,"audio_tokens":0,"accepted_prediction_tokens":0,"rejected_prediction_tokens":0}},"service_tier":"default","system_fingerprint":"fp_ad66631dec"}</t>
        </is>
      </c>
      <c r="M25" t="inlineStr">
        <is>
          <t>{"alt-svc":"h3=\":443\"; ma=2592000","apim-request-id":"973dcf72-b3c7-4a28-8329-ab1c96577a18","azureml-model-session":"d20260402075109-1fc5a0ec","cache-control":"no-cache","connection":"close","content-length":"1008","content-type":"application/json","date":"Tue, 28 Apr 2026 01:40:31 GMT","server":"nginx","skip-error-remapping":"true","strict-transport-security":"max-age=31536000; includeSubDomains; preload","via":"1.1 Caddy","x-content-type-options":"nosniff","x-ms-client-request-id":"Not-Set","x-ms-is-spilled-over":"false","x-ms-rai-invoked":"false","x-ms-region":"Sweden Central","x-new-api-version":"0.4.35","x-oneapi-request-id":"202604280140278913531038268d9d6qVm179jw","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41f6752e-a1c8-409e-82cc-5aa7c7d12540"}</t>
        </is>
      </c>
      <c r="N25" t="inlineStr">
        <is>
          <t>Gucci Classic GG Belt: Crafted from premium dark gray leather with embossed GG pattern, featuring iconic double G buckle. Unisex design, elegant and versatile, embodying timeless Italian luxury style.</t>
        </is>
      </c>
      <c r="O25" t="inlineStr">
        <is>
          <t>{"id":"chatcmpl-DZSa6nKfHl9hkrViMRCq62vGb5yk3","object":"chat.completion","created":1777343718,"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5" t="inlineStr">
        <is>
          <t>Gucci,Accessories,kakobuy,kakebuy2026,kekobuysheet,kakobuysheet2026,2026kakobuy,kakobuyspreadsheeet,kakobuylink,kakebuylist,Kakobuy MEGA Spreadsheet,kakobuysheetfind,kakobuysheetfind2026,2026kakobuysheetfind,kakobuysheet2026</t>
        </is>
      </c>
      <c r="Q25" t="inlineStr">
        <is>
          <t>Dark Grey, Leather, Elegant, Unisex, Versatile</t>
        </is>
      </c>
      <c r="R25" t="inlineStr">
        <is>
          <t>recvhju1Crq4ca</t>
        </is>
      </c>
      <c r="S25" t="inlineStr">
        <is>
          <t>gucci-gg-dark-gray-leather-belt-recvhju1crq4ca</t>
        </is>
      </c>
      <c r="T25"/>
      <c r="U25"/>
      <c r="V25"/>
      <c r="W25" t="inlineStr">
        <is>
          <t>{"id":"chatcmpl-DZREOj7sxFaoOP8XK26FNC1ByW5en","object":"chat.completion","created":1777338528,"model":"gpt-5-chat-2025-10-03","choices":[{"index":0,"message":{"role":"assistant","content":"Gucci：经典GG系列深灰色皮革腰带，采用优质牛皮材质压纹GG图腾，搭配标志性双G金属扣，彰显复古奢华格调。中性设计适合男女佩戴，简约大方易于搭配，诠释现代意式时尚风范。","refusal":null,"annotations":[]},"logprobs":null,"finish_reason":"stop"}],"usage":{"prompt_tokens":1295,"completion_tokens":78,"total_tokens":1373,"prompt_tokens_details":{"cached_tokens":1280,"audio_tokens":0},"completion_tokens_details":{"reasoning_tokens":0,"audio_tokens":0,"accepted_prediction_tokens":0,"rejected_prediction_tokens":0}},"service_tier":"default","system_fingerprint":"fp_ad66631dec"}</t>
        </is>
      </c>
      <c r="X25" t="inlineStr">
        <is>
          <t>Gucci：经典GG系列深灰色皮革腰带，采用优质牛皮材质压纹GG图腾，搭配标志性双G金属扣，彰显复古奢华格调。中性设计适合男女佩戴，简约大方易于搭配，诠释现代意式时尚风范。</t>
        </is>
      </c>
    </row>
    <row r="26" ht="25.5" customHeight="1">
      <c r="A26">
        <v>1654975475</v>
      </c>
      <c r="B26">
        <v>7624813766</v>
      </c>
      <c r="C26" s="2" t="str">
        <f>=HYPERLINK("https://weidian.com/item.html?itemID=7624813766", "https://weidian.com/item.html?itemID=7624813766")</f>
        <v>https://weidian.com/item.html?itemID=7624813766</v>
      </c>
      <c r="D26"/>
      <c r="E26" s="2" t="str">
        <f>=HYPERLINK("https://si.geilicdn.com/pcitem2014204438-62180000019ada310b520a231177_1440_1920.jpg?w=640&amp;h=640", "https://si.geilicdn.com/pcitem2014204438-62180000019ada310b520a231177_1440_1920.jpg?w=640&amp;h=640")</f>
        <v>https://si.geilicdn.com/pcitem2014204438-62180000019ada310b520a231177_1440_1920.jpg?w=640&amp;h=640</v>
      </c>
      <c r="F26" t="inlineStr">
        <is>
          <t>Accessories</t>
        </is>
      </c>
      <c r="G26" t="inlineStr">
        <is>
          <t>Loewe</t>
        </is>
      </c>
      <c r="H26">
        <v>460</v>
      </c>
      <c r="I26">
        <v>66.67</v>
      </c>
      <c r="J26" t="inlineStr">
        <is>
          <t>{"id":"chatcmpl-DZSI4Pk1njzFEAsKIiWJ3neMpG1FO","object":"chat.completion","created":1777342600,"model":"gpt-5-chat-2025-10-03","choices":[{"index":0,"message":{"role":"assistant","content":"Loewe Classic Black Leather Belt for Men Women","refusal":null,"annotations":[]},"logprobs":null,"finish_reason":"stop"}],"usage":{"prompt_tokens":884,"completion_tokens":11,"total_tokens":895,"prompt_tokens_details":{"cached_tokens":0,"audio_tokens":0},"completion_tokens_details":{"reasoning_tokens":0,"audio_tokens":0,"accepted_prediction_tokens":0,"rejected_prediction_tokens":0}},"service_tier":"default","system_fingerprint":"fp_ad66631dec"}</t>
        </is>
      </c>
      <c r="K26" t="inlineStr">
        <is>
          <t>Loewe Classic Black Leather Belt for Men Women</t>
        </is>
      </c>
      <c r="L26" t="inlineStr">
        <is>
          <t>{"id":"chatcmpl-DZRhqbnZD06V0LGjZfTZ9Y2NjpWPu","object":"chat.completion","created":1777340354,"model":"gpt-5-chat-2025-10-03","choices":[{"index":0,"message":{"role":"assistant","content":"Loewe Classic Black Embossed Logo Leather Belt crafted from fine cross-grain calfskin, features iconic metal logo buckle, minimalist luxury style for men and women, showcasing modern elegance and craftsmanship.","refusal":null,"annotations":[]},"logprobs":null,"finish_reason":"stop"}],"usage":{"prompt_tokens":896,"completion_tokens":41,"total_tokens":937,"prompt_tokens_details":{"cached_tokens":0,"audio_tokens":0},"completion_tokens_details":{"reasoning_tokens":0,"audio_tokens":0,"accepted_prediction_tokens":0,"rejected_prediction_tokens":0}},"service_tier":"default","system_fingerprint":"fp_ad66631dec"}</t>
        </is>
      </c>
      <c r="M26" t="inlineStr">
        <is>
          <t>{"alt-svc":"h3=\":443\"; ma=2592000","apim-request-id":"6faa5508-a3ad-4de7-82f5-cf0263bf66c8","azureml-model-session":"d20260405234249-f9874baf","cache-control":"no-cache","connection":"close","content-length":"1018","content-type":"application/json","date":"Tue, 28 Apr 2026 01:39:15 GMT","server":"nginx","skip-error-remapping":"true","strict-transport-security":"max-age=31536000; includeSubDomains; preload","via":"1.1 Caddy","x-content-type-options":"nosniff","x-ms-client-request-id":"Not-Set","x-ms-is-spilled-over":"false","x-ms-rai-invoked":"false","x-ms-region":"Central US","x-new-api-version":"0.4.35","x-oneapi-request-id":"202604280139133288722218268d9d6to7HJT3I","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68cc048d-c82a-42fd-a31f-552c8f4c15bd"}</t>
        </is>
      </c>
      <c r="N26" t="inlineStr">
        <is>
          <t>Loewe Classic Black Embossed Logo Leather Belt crafted from fine cross-grain calfskin, features iconic metal logo buckle, minimalist luxury style for men and women, showcasing modern elegance and craftsmanship.</t>
        </is>
      </c>
      <c r="O26" t="inlineStr">
        <is>
          <t>{"id":"chatcmpl-DZSZPt0egjEETPpbDd31lUPnKoID5","object":"chat.completion","created":1777343675,"model":"gpt-5-chat-2025-10-03","choices":[{"index":0,"message":{"role":"assistant","content":"Loewe,Bel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6" t="inlineStr">
        <is>
          <t>Loewe,Belt,kakobuy,kakebuy2026,kekobuysheet,kakobuysheet2026,2026kakobuy,kakobuyspreadsheeet,kakobuylink,kakebuylist,Kakobuy MEGA Spreadsheet,kakobuysheetfind,kakobuysheetfind2026,2026kakobuysheetfind,kakobuysheet2026</t>
        </is>
      </c>
      <c r="Q26"/>
      <c r="R26" t="inlineStr">
        <is>
          <t>recvhju1Cr9ZKw</t>
        </is>
      </c>
      <c r="S26" t="inlineStr">
        <is>
          <t>loewe-classic-black-leather-belt-recvhju1cr9zkw</t>
        </is>
      </c>
      <c r="T26"/>
      <c r="U26"/>
      <c r="V26"/>
      <c r="W26" t="inlineStr">
        <is>
          <t>{"id":"chatcmpl-DZRDJ6seZ56S9Uoyc37nEEFSAD3by","object":"chat.completion","created":1777338461,"model":"gpt-5-chat-2025-10-03","choices":[{"index":0,"message":{"role":"assistant","content":"Loewe：经典黑色立体徽标皮革腰带，甄选细腻十字纹头层牛皮，搭配标志性金属Logo扣设计，极简奢华格调，男女皆宜，彰显现代优雅与品牌匠心。","refusal":null,"annotations":[]},"logprobs":null,"finish_reason":"stop"}],"usage":{"prompt_tokens":1295,"completion_tokens":65,"total_tokens":1360,"prompt_tokens_details":{"cached_tokens":1280,"audio_tokens":0},"completion_tokens_details":{"reasoning_tokens":0,"audio_tokens":0,"accepted_prediction_tokens":0,"rejected_prediction_tokens":0}},"service_tier":"default","system_fingerprint":"fp_ad66631dec"}</t>
        </is>
      </c>
      <c r="X26" t="inlineStr">
        <is>
          <t>Loewe：经典黑色立体徽标皮革腰带，甄选细腻十字纹头层牛皮，搭配标志性金属Logo扣设计，极简奢华格调，男女皆宜，彰显现代优雅与品牌匠心。</t>
        </is>
      </c>
    </row>
    <row r="27" ht="25.5" customHeight="1">
      <c r="A27">
        <v>1654975475</v>
      </c>
      <c r="B27">
        <v>7621761051</v>
      </c>
      <c r="C27" s="2" t="str">
        <f>=HYPERLINK("https://weidian.com/item.html?itemID=7621761051", "https://weidian.com/item.html?itemID=7621761051")</f>
        <v>https://weidian.com/item.html?itemID=7621761051</v>
      </c>
      <c r="D27"/>
      <c r="E27" s="2" t="str">
        <f>=HYPERLINK("https://si.geilicdn.com/pcitem2014204438-3a9c0000019ada3167020a811411_1440_1920.jpg?w=640&amp;h=640", "https://si.geilicdn.com/pcitem2014204438-3a9c0000019ada3167020a811411_1440_1920.jpg?w=640&amp;h=640")</f>
        <v>https://si.geilicdn.com/pcitem2014204438-3a9c0000019ada3167020a811411_1440_1920.jpg?w=640&amp;h=640</v>
      </c>
      <c r="F27" t="inlineStr">
        <is>
          <t>Accessories</t>
        </is>
      </c>
      <c r="G27" t="inlineStr">
        <is>
          <t>Loewe</t>
        </is>
      </c>
      <c r="H27">
        <v>460</v>
      </c>
      <c r="I27">
        <v>66.67</v>
      </c>
      <c r="J27" t="inlineStr">
        <is>
          <t>{"id":"chatcmpl-DZSGsCBrdPBrzHeFuxPlvBqhLq8fL","object":"chat.completion","created":1777342526,"model":"gpt-5-chat-2025-10-03","choices":[{"index":0,"message":{"role":"assistant","content":"Loewe Black Leather Belt Gold Anagram Buckle Unisex","refusal":null,"annotations":[]},"logprobs":null,"finish_reason":"stop"}],"usage":{"prompt_tokens":874,"completion_tokens":14,"total_tokens":888,"prompt_tokens_details":{"cached_tokens":0,"audio_tokens":0},"completion_tokens_details":{"reasoning_tokens":0,"audio_tokens":0,"accepted_prediction_tokens":0,"rejected_prediction_tokens":0}},"service_tier":"default","system_fingerprint":"fp_ad66631dec"}</t>
        </is>
      </c>
      <c r="K27" t="inlineStr">
        <is>
          <t>Loewe Black Leather Belt Gold Anagram Buckle Unisex</t>
        </is>
      </c>
      <c r="L27" t="inlineStr">
        <is>
          <t>{"id":"chatcmpl-DZRcY7G6xA36s4rpQlC1ZE2oRoLIg","object":"chat.completion","created":1777340026,"model":"gpt-5-chat-2025-10-03","choices":[{"index":0,"message":{"role":"assistant","content":"Loewe Black Classic Embossed Leather Belt with Gold Anagram Buckle, Unisex Luxury Fashion Accessory, Elegant Minimalist Design Reflecting Modern Artistic Aesthetic.","refusal":null,"annotations":[]},"logprobs":null,"finish_reason":"stop"}],"usage":{"prompt_tokens":891,"completion_tokens":36,"total_tokens":927,"prompt_tokens_details":{"cached_tokens":0,"audio_tokens":0},"completion_tokens_details":{"reasoning_tokens":0,"audio_tokens":0,"accepted_prediction_tokens":0,"rejected_prediction_tokens":0}},"service_tier":"default","system_fingerprint":"fp_ad66631dec"}</t>
        </is>
      </c>
      <c r="M27" t="inlineStr">
        <is>
          <t>{"alt-svc":"h3=\":443\"; ma=2592000","apim-request-id":"dbc30403-0cb4-4777-9b5e-dd36bf99b5f5","azureml-model-session":"d20260405225800-40f19e54","cache-control":"no-cache","connection":"close","content-length":"972","content-type":"application/json","date":"Tue, 28 Apr 2026 01:33:47 GMT","server":"Caddy","skip-error-remapping":"true","strict-transport-security":"max-age=31536000; includeSubDomains; preload","x-content-type-options":"nosniff","x-ms-client-request-id":"Not-Set","x-ms-is-spilled-over":"false","x-ms-rai-invoked":"false","x-ms-region":"North Central US","x-new-api-version":"0.4.35","x-oneapi-request-id":"202604280133451881391068268d9d66dFyhylG","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3783e2da-7c56-42c9-ada4-e28939a643a2"}</t>
        </is>
      </c>
      <c r="N27" t="inlineStr">
        <is>
          <t>Loewe Black Classic Embossed Leather Belt with Gold Anagram Buckle, Unisex Luxury Fashion Accessory, Elegant Minimalist Design Reflecting Modern Artistic Aesthetic.</t>
        </is>
      </c>
      <c r="O27" t="inlineStr">
        <is>
          <t>{"id":"chatcmpl-DZSUfgg7H7DzyofHyzXrrM6EpRXjo","object":"chat.completion","created":1777343381,"model":"gpt-5-chat-2025-10-03","choices":[{"index":0,"message":{"role":"assistant","content":"Loewe,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27" t="inlineStr">
        <is>
          <t>Loewe, Belt, kakobuy, kakebuy2026, kekobuysheet, kakobuysheet2026, 2026kakobuy, kakobuyspreadsheeet, kakobuylink, kakebuylist, Kakobuy MEGA Spreadsheet, kakobuysheetfind, kakobuysheetfind2026, 2026kakobuysheetfind, kakobuysheet2026</t>
        </is>
      </c>
      <c r="Q27" t="inlineStr">
        <is>
          <t>Black, Leather, Unisex, Elegant, Minimalist, Modern</t>
        </is>
      </c>
      <c r="R27" t="inlineStr">
        <is>
          <t>recvhju1CrBa0V</t>
        </is>
      </c>
      <c r="S27" t="inlineStr">
        <is>
          <t>loewe-black-leather-belt-gold-anagram-buckle-recvhju1crba0v</t>
        </is>
      </c>
      <c r="T27"/>
      <c r="U27"/>
      <c r="V27"/>
      <c r="W27" t="inlineStr">
        <is>
          <t>{"id":"chatcmpl-DZRE0vK33COZqkGXarBEKofFtS3Wc","object":"chat.completion","created":1777338504,"model":"gpt-5-chat-2025-10-03","choices":[{"index":0,"message":{"role":"assistant","content":"Loewe：黑色经典皮革腰带，甄选压纹牛皮材质，金色Anagram标志扣设计，简约奢华风格，男女皆宜，彰显品牌优雅格调与现代艺术美学。","refusal":null,"annotations":[]},"logprobs":null,"finish_reason":"stop"}],"usage":{"prompt_tokens":1301,"completion_tokens":57,"total_tokens":1358,"prompt_tokens_details":{"cached_tokens":0,"audio_tokens":0},"completion_tokens_details":{"reasoning_tokens":0,"audio_tokens":0,"accepted_prediction_tokens":0,"rejected_prediction_tokens":0}},"service_tier":"default","system_fingerprint":"fp_ad66631dec"}</t>
        </is>
      </c>
      <c r="X27" t="inlineStr">
        <is>
          <t>Loewe：黑色经典皮革腰带，甄选压纹牛皮材质，金色Anagram标志扣设计，简约奢华风格，男女皆宜，彰显品牌优雅格调与现代艺术美学。</t>
        </is>
      </c>
    </row>
    <row r="28" ht="25.5" customHeight="1">
      <c r="A28">
        <v>1654975475</v>
      </c>
      <c r="B28">
        <v>7621796513</v>
      </c>
      <c r="C28" s="2" t="str">
        <f>=HYPERLINK("https://weidian.com/item.html?itemID=7621796513", "https://weidian.com/item.html?itemID=7621796513")</f>
        <v>https://weidian.com/item.html?itemID=7621796513</v>
      </c>
      <c r="D28"/>
      <c r="E28" s="2" t="str">
        <f>=HYPERLINK("https://si.geilicdn.com/pcitem2014204438-69f70000019ada397a5c0a20e7c7_1512_2016.jpg?w=640&amp;h=640", "https://si.geilicdn.com/pcitem2014204438-69f70000019ada397a5c0a20e7c7_1512_2016.jpg?w=640&amp;h=640")</f>
        <v>https://si.geilicdn.com/pcitem2014204438-69f70000019ada397a5c0a20e7c7_1512_2016.jpg?w=640&amp;h=640</v>
      </c>
      <c r="F28" t="inlineStr">
        <is>
          <t>Accessories</t>
        </is>
      </c>
      <c r="G28" t="inlineStr">
        <is>
          <t>Louis Vuitton</t>
        </is>
      </c>
      <c r="H28">
        <v>460</v>
      </c>
      <c r="I28">
        <v>66.67</v>
      </c>
      <c r="J28" t="inlineStr">
        <is>
          <t>{"id":"chatcmpl-DZSNJlK4AuSo4q4j0S7y0j8PyDnXz","object":"chat.completion","created":1777342925,"model":"gpt-5-chat-2025-10-03","choices":[{"index":0,"message":{"role":"assistant","content":"Louis Vuitton Men Belt Damier Graphite Silver LV Buckle","refusal":null,"annotations":[]},"logprobs":null,"finish_reason":"stop"}],"usage":{"prompt_tokens":873,"completion_tokens":13,"total_tokens":886,"prompt_tokens_details":{"cached_tokens":0,"audio_tokens":0},"completion_tokens_details":{"reasoning_tokens":0,"audio_tokens":0,"accepted_prediction_tokens":0,"rejected_prediction_tokens":0}},"service_tier":"default","system_fingerprint":"fp_ad66631dec"}</t>
        </is>
      </c>
      <c r="K28" t="inlineStr">
        <is>
          <t>Louis Vuitton Men Belt Damier Graphite Silver LV Buckle</t>
        </is>
      </c>
      <c r="L28" t="inlineStr">
        <is>
          <t>{"id":"chatcmpl-DZRfJrxk0cos3Di2qT3LIiXrXwkrb","object":"chat.completion","created":1777340197,"model":"gpt-5-chat-2025-10-03","choices":[{"index":0,"message":{"role":"assistant","content":"Louis Vuitton Men’s Black Gray Damier Graphite Leather Belt with Silver LV Buckle, showcasing timeless luxury, exquisite craftsmanship, and versatile style for both business and casual wear.","refusal":null,"annotations":[]},"logprobs":null,"finish_reason":"stop"}],"usage":{"prompt_tokens":895,"completion_tokens":36,"total_tokens":931,"prompt_tokens_details":{"cached_tokens":0,"audio_tokens":0},"completion_tokens_details":{"reasoning_tokens":0,"audio_tokens":0,"accepted_prediction_tokens":0,"rejected_prediction_tokens":0}},"service_tier":"default","system_fingerprint":"fp_ad66631dec"}</t>
        </is>
      </c>
      <c r="M28" t="inlineStr">
        <is>
          <t>{"alt-svc":"h3=\":443\"; ma=2592000","apim-request-id":"7f6506af-9661-4ae6-acd4-be2bad083bea","azureml-model-session":"d20260402074105-51db401e","cache-control":"no-cache","connection":"close","content-length":"1000","content-type":"application/json","date":"Tue, 28 Apr 2026 01:36:38 GMT","server":"Caddy","skip-error-remapping":"true","strict-transport-security":"max-age=31536000; includeSubDomains; preload","x-content-type-options":"nosniff","x-ms-client-request-id":"Not-Set","x-ms-is-spilled-over":"false","x-ms-rai-invoked":"false","x-ms-region":"East US","x-new-api-version":"0.4.35","x-oneapi-request-id":"202604280136367522993858268d9d6yCHlecsI","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eaa2c7a9-ef39-4290-9466-f35f5ab9039e"}</t>
        </is>
      </c>
      <c r="N28" t="inlineStr">
        <is>
          <t>Louis Vuitton Men’s Black Gray Damier Graphite Leather Belt with Silver LV Buckle, showcasing timeless luxury, exquisite craftsmanship, and versatile style for both business and casual wear.</t>
        </is>
      </c>
      <c r="O28" t="inlineStr">
        <is>
          <t>{"id":"chatcmpl-DZSXqr6aowOgWLuakGL6P8wD7ALHH","object":"chat.completion","created":1777343578,"model":"gpt-5-chat-2025-10-03","choices":[{"index":0,"message":{"role":"assistant","content":"Louis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28" t="inlineStr">
        <is>
          <t>Louis Vuitton, Accessories, kakobuy, kakebuy2026, kekobuysheet, kakobuysheet2026, 2026kakobuy, kakobuyspreadsheeet, kakobuylink, kakebuylist, Kakobuy MEGA Spreadsheet, kakobuysheetfind, kakobuysheetfind2026, 2026kakobuysheetfind, kakobuysheet2026</t>
        </is>
      </c>
      <c r="Q28" t="inlineStr">
        <is>
          <t>LV, Leather, Black, Grey, Silver, Business Casual</t>
        </is>
      </c>
      <c r="R28" t="inlineStr">
        <is>
          <t>recvhju1CrUrnQ</t>
        </is>
      </c>
      <c r="S28" t="inlineStr">
        <is>
          <t>louis-vuitton-men-belt-damier-graphite-silver-lv-buckle-recvhju1crurnq</t>
        </is>
      </c>
      <c r="T28"/>
      <c r="U28"/>
      <c r="V28"/>
      <c r="W28" t="inlineStr">
        <is>
          <t>{"id":"chatcmpl-DZR63FeGd9O3FdbjAjJuEFrqTrDVM","object":"chat.completion","created":1777338011,"model":"gpt-5-chat-2025-10-03","choices":[{"index":0,"message":{"role":"assistant","content":"Louis Vuitton：男士黑灰棋盘格皮革腰带，经典Damier Graphite图腾搭配银色LV字母扣，彰显现代奢华格调与品牌精湛工艺，适合商务休闲多场合佩戴。","refusal":null,"annotations":[]},"logprobs":null,"finish_reason":"stop"}],"usage":{"prompt_tokens":1305,"completion_tokens":59,"total_tokens":1364,"prompt_tokens_details":{"cached_tokens":0,"audio_tokens":0},"completion_tokens_details":{"reasoning_tokens":0,"audio_tokens":0,"accepted_prediction_tokens":0,"rejected_prediction_tokens":0}},"service_tier":"default","system_fingerprint":"fp_ad66631dec"}</t>
        </is>
      </c>
      <c r="X28" t="inlineStr">
        <is>
          <t>Louis Vuitton：男士黑灰棋盘格皮革腰带，经典Damier Graphite图腾搭配银色LV字母扣，彰显现代奢华格调与品牌精湛工艺，适合商务休闲多场合佩戴。</t>
        </is>
      </c>
    </row>
    <row r="29" ht="25.5" customHeight="1">
      <c r="A29">
        <v>1654975475</v>
      </c>
      <c r="B29">
        <v>7624812138</v>
      </c>
      <c r="C29" s="2" t="str">
        <f>=HYPERLINK("https://weidian.com/item.html?itemID=7624812138", "https://weidian.com/item.html?itemID=7624812138")</f>
        <v>https://weidian.com/item.html?itemID=7624812138</v>
      </c>
      <c r="D29"/>
      <c r="E29" s="2" t="str">
        <f>=HYPERLINK("https://si.geilicdn.com/pcitem2014204438-6c590000019ada3900480a2396f4_1084_1084.jpg?w=640&amp;h=640", "https://si.geilicdn.com/pcitem2014204438-6c590000019ada3900480a2396f4_1084_1084.jpg?w=640&amp;h=640")</f>
        <v>https://si.geilicdn.com/pcitem2014204438-6c590000019ada3900480a2396f4_1084_1084.jpg?w=640&amp;h=640</v>
      </c>
      <c r="F29" t="inlineStr">
        <is>
          <t>Accessories</t>
        </is>
      </c>
      <c r="G29" t="inlineStr">
        <is>
          <t>Fendi</t>
        </is>
      </c>
      <c r="H29">
        <v>460</v>
      </c>
      <c r="I29">
        <v>66.67</v>
      </c>
      <c r="J29" t="inlineStr">
        <is>
          <t>{"id":"chatcmpl-DZSHoQEqXk0Hy3ueW0QpnFrppFnqe","object":"chat.completion","created":1777342584,"model":"gpt-5-chat-2025-10-03","choices":[{"index":0,"message":{"role":"assistant","content":"Fendi FF Logo Grey Black Leather Belt","refusal":null,"annotations":[]},"logprobs":null,"finish_reason":"stop"}],"usage":{"prompt_tokens":861,"completion_tokens":9,"total_tokens":870,"prompt_tokens_details":{"cached_tokens":0,"audio_tokens":0},"completion_tokens_details":{"reasoning_tokens":0,"audio_tokens":0,"accepted_prediction_tokens":0,"rejected_prediction_tokens":0}},"service_tier":"default","system_fingerprint":"fp_ad66631dec"}</t>
        </is>
      </c>
      <c r="K29" t="inlineStr">
        <is>
          <t>Fendi FF Logo Grey Black Leather Belt</t>
        </is>
      </c>
      <c r="L29" t="inlineStr">
        <is>
          <t>{"id":"chatcmpl-DZRdrO0Xp7L02IMKZotU97cICe0TP","object":"chat.completion","created":1777340107,"model":"gpt-5-chat-2025-10-03","choices":[{"index":0,"message":{"role":"assistant","content":"Fendi classic FF logo grey-black calfskin belt with bright yellow accent and silver buckle, blending luxury and modern Italian style for refined urban men.","refusal":null,"annotations":[]},"logprobs":null,"finish_reason":"stop"}],"usage":{"prompt_tokens":906,"completion_tokens":30,"total_tokens":936,"prompt_tokens_details":{"cached_tokens":0,"audio_tokens":0},"completion_tokens_details":{"reasoning_tokens":0,"audio_tokens":0,"accepted_prediction_tokens":0,"rejected_prediction_tokens":0}},"service_tier":"default","system_fingerprint":"fp_ad66631dec"}</t>
        </is>
      </c>
      <c r="M29" t="inlineStr">
        <is>
          <t>{"alt-svc":"h3=\":443\"; ma=2592000","apim-request-id":"b0da173c-ca6b-4929-a038-7bf42c1a0540","azureml-model-session":"d20260405221325-2e8d5e76","cache-control":"no-cache","connection":"close","content-length":"963","content-type":"application/json","date":"Tue, 28 Apr 2026 01:35:08 GMT","server":"nginx","skip-error-remapping":"true","strict-transport-security":"max-age=31536000; includeSubDomains; preload","via":"1.1 Caddy","x-content-type-options":"nosniff","x-ms-client-request-id":"Not-Set","x-ms-is-spilled-over":"false","x-ms-rai-invoked":"false","x-ms-region":"East US","x-new-api-version":"0.4.35","x-oneapi-request-id":"202604280135068688509208268d9d6sMyUQqZr","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287962a5-e3af-4413-af36-46aa235e580e"}</t>
        </is>
      </c>
      <c r="N29" t="inlineStr">
        <is>
          <t>Fendi classic FF logo grey-black calfskin belt with bright yellow accent and silver buckle, blending luxury and modern Italian style for refined urban men.</t>
        </is>
      </c>
      <c r="O29" t="inlineStr">
        <is>
          <t>{"id":"chatcmpl-DZSXTxCnq9HQ1JC2YiLOhwCvHrQwj","object":"chat.completion","created":1777343555,"model":"gpt-5-chat-2025-10-03","choices":[{"index":0,"message":{"role":"assistant","content":"Fendi,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29" t="inlineStr">
        <is>
          <t>Fendi, Belt, kakobuy, kakebuy2026, kekobuysheet, kakobuysheet2026, 2026kakobuy, kakobuyspreadsheeet, kakobuylink, kakebuylist, Kakobuy MEGA Spreadsheet, kakobuysheetfind, kakobuysheetfind2026, 2026kakobuysheetfind, kakobuysheet2026</t>
        </is>
      </c>
      <c r="Q29" t="inlineStr">
        <is>
          <t>Grey, Black, Men, Leather, High End, Modern</t>
        </is>
      </c>
      <c r="R29" t="inlineStr">
        <is>
          <t>recvhju1CrKh5l</t>
        </is>
      </c>
      <c r="S29" t="inlineStr">
        <is>
          <t>fendi-ff-logo-grey-black-leather-belt-recvhju1crkh5l</t>
        </is>
      </c>
      <c r="T29"/>
      <c r="U29"/>
      <c r="V29"/>
      <c r="W29" t="inlineStr">
        <is>
          <t>{"id":"chatcmpl-DZRBVeBY6Z9W5IQlXRryMTHoN4tyf","object":"chat.completion","created":1777338349,"model":"gpt-5-chat-2025-10-03","choices":[{"index":0,"message":{"role":"assistant","content":"Fendi：经典FF字母灰黑色皮革腰带，采用优质小牛皮材质搭配亮黄色点缀，银色金属方扣设计，简约又不失奢华格调，展现现代都市男士优雅品味与品牌标志性意式时尚风范。","refusal":null,"annotations":[]},"logprobs":null,"finish_reason":"stop"}],"usage":{"prompt_tokens":1299,"completion_tokens":73,"total_tokens":1372,"prompt_tokens_details":{"cached_tokens":0,"audio_tokens":0},"completion_tokens_details":{"reasoning_tokens":0,"audio_tokens":0,"accepted_prediction_tokens":0,"rejected_prediction_tokens":0}},"service_tier":"default","system_fingerprint":"fp_ad66631dec"}</t>
        </is>
      </c>
      <c r="X29" t="inlineStr">
        <is>
          <t>Fendi：经典FF字母灰黑色皮革腰带，采用优质小牛皮材质搭配亮黄色点缀，银色金属方扣设计，简约又不失奢华格调，展现现代都市男士优雅品味与品牌标志性意式时尚风范。</t>
        </is>
      </c>
    </row>
    <row r="30" ht="25.5" customHeight="1">
      <c r="A30">
        <v>1654975475</v>
      </c>
      <c r="B30">
        <v>7623648420</v>
      </c>
      <c r="C30" s="2" t="str">
        <f>=HYPERLINK("https://weidian.com/item.html?itemID=7623648420", "https://weidian.com/item.html?itemID=7623648420")</f>
        <v>https://weidian.com/item.html?itemID=7623648420</v>
      </c>
      <c r="D30"/>
      <c r="E30" s="2" t="str">
        <f>=HYPERLINK("https://si.geilicdn.com/pcitem2014204438-68520000019ada3ef87e0a20e273_1440_1920.jpg?w=640&amp;h=640", "https://si.geilicdn.com/pcitem2014204438-68520000019ada3ef87e0a20e273_1440_1920.jpg?w=640&amp;h=640")</f>
        <v>https://si.geilicdn.com/pcitem2014204438-68520000019ada3ef87e0a20e273_1440_1920.jpg?w=640&amp;h=640</v>
      </c>
      <c r="F30" t="inlineStr">
        <is>
          <t>Accessories</t>
        </is>
      </c>
      <c r="G30" t="inlineStr">
        <is>
          <t>Versace</t>
        </is>
      </c>
      <c r="H30">
        <v>460</v>
      </c>
      <c r="I30">
        <v>66.67</v>
      </c>
      <c r="J30" t="inlineStr">
        <is>
          <t>{"id":"chatcmpl-DZSMogEQ3EJyX2OmpvG4CL35g4kel","object":"chat.completion","created":1777342894,"model":"gpt-5-chat-2025-10-03","choices":[{"index":0,"message":{"role":"assistant","content":"Versace Medusa Silver Buckle Black Leather Belt","refusal":null,"annotations":[]},"logprobs":null,"finish_reason":"stop"}],"usage":{"prompt_tokens":863,"completion_tokens":11,"total_tokens":874,"prompt_tokens_details":{"cached_tokens":0,"audio_tokens":0},"completion_tokens_details":{"reasoning_tokens":0,"audio_tokens":0,"accepted_prediction_tokens":0,"rejected_prediction_tokens":0}},"service_tier":"default","system_fingerprint":"fp_ad66631dec"}</t>
        </is>
      </c>
      <c r="K30" t="inlineStr">
        <is>
          <t>Versace Medusa Silver Buckle Black Leather Belt</t>
        </is>
      </c>
      <c r="L30" t="inlineStr">
        <is>
          <t>{"id":"chatcmpl-DZRfzRm6u8FRpvevWVBo529oTnY7U","object":"chat.completion","created":1777340239,"model":"gpt-5-chat-2025-10-03","choices":[{"index":0,"message":{"role":"assistant","content":"Versace black leather belt with iconic Medusa silver buckle and Greek Key embossed pattern, unisex luxury accessory blending vintage elegance with modern Italian couture style.","refusal":null,"annotations":[]},"logprobs":null,"finish_reason":"stop"}],"usage":{"prompt_tokens":883,"completion_tokens":31,"total_tokens":914,"prompt_tokens_details":{"cached_tokens":0,"audio_tokens":0},"completion_tokens_details":{"reasoning_tokens":0,"audio_tokens":0,"accepted_prediction_tokens":0,"rejected_prediction_tokens":0}},"service_tier":"default","system_fingerprint":"fp_ad66631dec"}</t>
        </is>
      </c>
      <c r="M30" t="inlineStr">
        <is>
          <t>{"alt-svc":"h3=\":443\"; ma=2592000","apim-request-id":"884a75dc-7cbc-4bf3-9880-c579ef91e36f","azureml-model-session":"d20260402083108-57a85543","cache-control":"no-cache","connection":"close","content-length":"984","content-type":"application/json","date":"Tue, 28 Apr 2026 01:37:20 GMT","server":"nginx","skip-error-remapping":"true","strict-transport-security":"max-age=31536000; includeSubDomains; preload","via":"1.1 Caddy","x-content-type-options":"nosniff","x-ms-client-request-id":"Not-Set","x-ms-is-spilled-over":"false","x-ms-rai-invoked":"false","x-ms-region":"East US 2","x-new-api-version":"0.4.35","x-oneapi-request-id":"202604280137189491824868268d9d6iWlnuiC2","x-ratelimit-abusepenalty-active":"False","x-ratelimit-key":"gpt-5-chat-global","x-ratelimit-limit-requests":"1000","x-ratelimit-limit-tokens":"1000000","x-ratelimit-remaining-requests":"999","x-ratelimit-remaining-tokens":"998355","x-ratelimit-renewalperiod-requests":"60","x-ratelimit-renewalperiod-tokens":"60","x-ratelimit-reset-requests":"60","x-ratelimit-reset-tokens":"98","x-request-id":"752c193e-4ff0-401e-819a-ab642112e52b"}</t>
        </is>
      </c>
      <c r="N30" t="inlineStr">
        <is>
          <t>Versace black leather belt with iconic Medusa silver buckle and Greek Key embossed pattern, unisex luxury accessory blending vintage elegance with modern Italian couture style.</t>
        </is>
      </c>
      <c r="O30" t="inlineStr">
        <is>
          <t>{"id":"chatcmpl-DZSc9gMLwhdSQ21iYIbwHr09kZ130","object":"chat.completion","created":1777343845,"model":"gpt-5-chat-2025-10-03","choices":[{"index":0,"message":{"role":"assistant","content":"Versace,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30" t="inlineStr">
        <is>
          <t>Versace,Accessories,kakobuy,kakebuy2026,kekobuysheet,kakobuysheet2026,2026kakobuy,kakobuyspreadsheeet,kakobuylink,kakebuylist,Kakobuy MEGA Spreadsheet,kakobuysheetfind,kakobuysheetfind2026,2026kakobuysheetfind,kakobuysheet2026</t>
        </is>
      </c>
      <c r="Q30" t="inlineStr">
        <is>
          <t>Black, Leather, Unisex, Vintage, Elegant</t>
        </is>
      </c>
      <c r="R30" t="inlineStr">
        <is>
          <t>recvhju1Cr9XRu</t>
        </is>
      </c>
      <c r="S30" t="inlineStr">
        <is>
          <t>versace-medusa-silver-buckle-black-leather-belt-recvhju1cr9xru</t>
        </is>
      </c>
      <c r="T30"/>
      <c r="U30"/>
      <c r="V30"/>
      <c r="W30" t="inlineStr">
        <is>
          <t>{"id":"chatcmpl-DZRCxNkIaOj7dCrnyGhmWg2GIpjZ0","object":"chat.completion","created":1777338439,"model":"gpt-5-chat-2025-10-03","choices":[{"index":0,"message":{"role":"assistant","content":"Versace：黑色Medusa银色扣头皮质腰带，饰以经典希腊回纹浮雕纹理，意式奢华设计，男女皆宜，彰显复古高定风格。","refusal":null,"annotations":[]},"logprobs":null,"finish_reason":"stop"}],"usage":{"prompt_tokens":1299,"completion_tokens":50,"total_tokens":1349,"prompt_tokens_details":{"cached_tokens":0,"audio_tokens":0},"completion_tokens_details":{"reasoning_tokens":0,"audio_tokens":0,"accepted_prediction_tokens":0,"rejected_prediction_tokens":0}},"service_tier":"default","system_fingerprint":"fp_ad66631dec"}</t>
        </is>
      </c>
      <c r="X30" t="inlineStr">
        <is>
          <t>Versace：黑色Medusa银色扣头皮质腰带，饰以经典希腊回纹浮雕纹理，意式奢华设计，男女皆宜，彰显复古高定风格。</t>
        </is>
      </c>
    </row>
    <row r="31" ht="25.5" customHeight="1">
      <c r="A31">
        <v>1654975475</v>
      </c>
      <c r="B31">
        <v>7624390780</v>
      </c>
      <c r="C31" s="2" t="str">
        <f>=HYPERLINK("https://weidian.com/item.html?itemID=7624390780", "https://weidian.com/item.html?itemID=7624390780")</f>
        <v>https://weidian.com/item.html?itemID=7624390780</v>
      </c>
      <c r="D31"/>
      <c r="E31" s="2" t="str">
        <f>=HYPERLINK("https://si.geilicdn.com/pcitem2014204438-4b760000019ad9bb1b720a207569_1512_2016.jpg?w=640&amp;h=640", "https://si.geilicdn.com/pcitem2014204438-4b760000019ad9bb1b720a207569_1512_2016.jpg?w=640&amp;h=640")</f>
        <v>https://si.geilicdn.com/pcitem2014204438-4b760000019ad9bb1b720a207569_1512_2016.jpg?w=640&amp;h=640</v>
      </c>
      <c r="F31" t="inlineStr">
        <is>
          <t>Accessories</t>
        </is>
      </c>
      <c r="G31" t="inlineStr">
        <is>
          <t>Gucci</t>
        </is>
      </c>
      <c r="H31">
        <v>470</v>
      </c>
      <c r="I31">
        <v>68.12</v>
      </c>
      <c r="J31" t="inlineStr">
        <is>
          <t>{"id":"chatcmpl-DZSNBscLunv0f0ZMUVcPywpA5l20u","object":"chat.completion","created":1777342917,"model":"gpt-5-chat-2025-10-03","choices":[{"index":0,"message":{"role":"assistant","content":"Gucci Black Leather Belt Gold G Buckle","refusal":null,"annotations":[]},"logprobs":null,"finish_reason":"stop"}],"usage":{"prompt_tokens":869,"completion_tokens":10,"total_tokens":879,"prompt_tokens_details":{"cached_tokens":0,"audio_tokens":0},"completion_tokens_details":{"reasoning_tokens":0,"audio_tokens":0,"accepted_prediction_tokens":0,"rejected_prediction_tokens":0}},"service_tier":"default","system_fingerprint":"fp_ad66631dec"}</t>
        </is>
      </c>
      <c r="K31" t="inlineStr">
        <is>
          <t>Gucci Black Leather Belt Gold G Buckle</t>
        </is>
      </c>
      <c r="L31" t="inlineStr">
        <is>
          <t>{"id":"chatcmpl-DZRilbTeTiroh1kZaMIOYlQBfVHBF","object":"chat.completion","created":1777340411,"model":"gpt-5-chat-2025-10-03","choices":[{"index":0,"message":{"role":"assistant","content":"Gucci Black Leather Belt with Gold Geometric Double G Cutout Buckle, combining classic elegance with modern style, unisex design perfect for business and casual wear.","refusal":null,"annotations":[]},"logprobs":null,"finish_reason":"stop"}],"usage":{"prompt_tokens":893,"completion_tokens":34,"total_tokens":927,"prompt_tokens_details":{"cached_tokens":0,"audio_tokens":0},"completion_tokens_details":{"reasoning_tokens":0,"audio_tokens":0,"accepted_prediction_tokens":0,"rejected_prediction_tokens":0}},"service_tier":"default","system_fingerprint":"fp_ad66631dec"}</t>
        </is>
      </c>
      <c r="M31" t="inlineStr">
        <is>
          <t>{"alt-svc":"h3=\":443\"; ma=2592000","apim-request-id":"0ecb1aef-b5f8-42d9-a7af-a8bf2bee6973","azureml-model-session":"d20260405234249-f9874baf","cache-control":"no-cache","connection":"close","content-length":"974","content-type":"application/json","date":"Tue, 28 Apr 2026 01:40:12 GMT","server":"nginx","skip-error-remapping":"true","strict-transport-security":"max-age=31536000; includeSubDomains; preload","via":"1.1 Caddy","x-content-type-options":"nosniff","x-ms-client-request-id":"Not-Set","x-ms-is-spilled-over":"false","x-ms-rai-invoked":"false","x-ms-region":"East US","x-new-api-version":"0.4.35","x-oneapi-request-id":"202604280140102737916848268d9d6YKyHMMO5","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01b829ec-0618-4dec-a59f-6bf7ebb365a3"}</t>
        </is>
      </c>
      <c r="N31" t="inlineStr">
        <is>
          <t>Gucci Black Leather Belt with Gold Geometric Double G Cutout Buckle, combining classic elegance with modern style, unisex design perfect for business and casual wear.</t>
        </is>
      </c>
      <c r="O31" t="inlineStr">
        <is>
          <t>{"id":"chatcmpl-DZSUeQzxgY9zQjMHYckhIYwy3YXec","object":"chat.completion","created":1777343380,"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31" t="inlineStr">
        <is>
          <t>Gucci,Accessories,kakobuy,kakebuy2026,kekobuysheet,kakobuysheet2026,2026kakobuy,kakobuyspreadsheeet,kakobuylink,kakebuylist,Kakobuy MEGA Spreadsheet,kakobuysheetfind,kakobuysheetfind2026,2026kakobuysheetfind,kakobuysheet2026</t>
        </is>
      </c>
      <c r="Q31" t="inlineStr">
        <is>
          <t>Black, Leather, Geometric, Classic, Elegant, Unisex</t>
        </is>
      </c>
      <c r="R31" t="inlineStr">
        <is>
          <t>recvhju1Cr5EcQ</t>
        </is>
      </c>
      <c r="S31" t="inlineStr">
        <is>
          <t>gucci-black-leather-belt-g-buckle-recvhju1cr5ecq</t>
        </is>
      </c>
      <c r="T31"/>
      <c r="U31"/>
      <c r="V31"/>
      <c r="W31" t="inlineStr">
        <is>
          <t>{"id":"chatcmpl-DZRDRf7cnuXUHuYINwmSiF2yBKN6J","object":"chat.completion","created":1777338469,"model":"gpt-5-chat-2025-10-03","choices":[{"index":0,"message":{"role":"assistant","content":"Gucci：黑色皮革腰带，配以金色几何镂空双G标志扣设计，融合经典与现代美学，彰显精致质感与奢华风范，男女皆宜，适合商务与休闲穿搭。","refusal":null,"annotations":[]},"logprobs":null,"finish_reason":"stop"}],"usage":{"prompt_tokens":1299,"completion_tokens":60,"total_tokens":1359,"prompt_tokens_details":{"cached_tokens":1280,"audio_tokens":0},"completion_tokens_details":{"reasoning_tokens":0,"audio_tokens":0,"accepted_prediction_tokens":0,"rejected_prediction_tokens":0}},"service_tier":"default","system_fingerprint":"fp_ad66631dec"}</t>
        </is>
      </c>
      <c r="X31" t="inlineStr">
        <is>
          <t>Gucci：黑色皮革腰带，配以金色几何镂空双G标志扣设计，融合经典与现代美学，彰显精致质感与奢华风范，男女皆宜，适合商务与休闲穿搭。</t>
        </is>
      </c>
    </row>
    <row r="32" ht="25.5" customHeight="1">
      <c r="A32">
        <v>1654975475</v>
      </c>
      <c r="B32">
        <v>7620680297</v>
      </c>
      <c r="C32" s="2" t="str">
        <f>=HYPERLINK("https://weidian.com/item.html?itemID=7620680297", "https://weidian.com/item.html?itemID=7620680297")</f>
        <v>https://weidian.com/item.html?itemID=7620680297</v>
      </c>
      <c r="D32"/>
      <c r="E32" s="2" t="str">
        <f>=HYPERLINK("https://si.geilicdn.com/pcitem2014204438-18d60000019ad9cbfbb00a811411_1512_2016.jpg?w=640&amp;h=640", "https://si.geilicdn.com/pcitem2014204438-18d60000019ad9cbfbb00a811411_1512_2016.jpg?w=640&amp;h=640")</f>
        <v>https://si.geilicdn.com/pcitem2014204438-18d60000019ad9cbfbb00a811411_1512_2016.jpg?w=640&amp;h=640</v>
      </c>
      <c r="F32" t="inlineStr">
        <is>
          <t>Accessories</t>
        </is>
      </c>
      <c r="G32" t="inlineStr">
        <is>
          <t>Dior</t>
        </is>
      </c>
      <c r="H32">
        <v>460</v>
      </c>
      <c r="I32">
        <v>66.67</v>
      </c>
      <c r="J32" t="inlineStr">
        <is>
          <t>{"id":"chatcmpl-DZSNUjjRgSe0NXjjMi1yyxNSQc1Zp","object":"chat.completion","created":1777342936,"model":"gpt-5-chat-2025-10-03","choices":[{"index":0,"message":{"role":"assistant","content":"Dior Oblique Blue CD Buckle Leather Men Belt","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32" t="inlineStr">
        <is>
          <t>Dior Oblique Blue CD Buckle Leather Men Belt</t>
        </is>
      </c>
      <c r="L32" t="inlineStr">
        <is>
          <t>{"id":"chatcmpl-DZRkcUtG4aEZaN4lvC0mkwv4hZRZC","object":"chat.completion","created":1777340526,"model":"gpt-5-chat-2025-10-03","choices":[{"index":0,"message":{"role":"assistant","content":"Dior Oblique Men’s Belt in Deep Blue, crafted from signature monogram canvas and genuine leather, featuring a metal round CD buckle for timeless elegance, perfect for business or casual wear.","refusal":null,"annotations":[]},"logprobs":null,"finish_reason":"stop"}],"usage":{"prompt_tokens":903,"completion_tokens":39,"total_tokens":942,"prompt_tokens_details":{"cached_tokens":0,"audio_tokens":0},"completion_tokens_details":{"reasoning_tokens":0,"audio_tokens":0,"accepted_prediction_tokens":0,"rejected_prediction_tokens":0}},"service_tier":"default","system_fingerprint":"fp_ad66631dec"}</t>
        </is>
      </c>
      <c r="M32" t="inlineStr">
        <is>
          <t>{"alt-svc":"h3=\":443\"; ma=2592000","apim-request-id":"a46881fb-f87b-4137-8495-72333515937f","azureml-model-session":"d20260405234249-f9874baf","cache-control":"no-cache","connection":"close","content-length":"1001","content-type":"application/json","date":"Tue, 28 Apr 2026 01:42:07 GMT","server":"nginx","skip-error-remapping":"true","strict-transport-security":"max-age=31536000; includeSubDomains; preload","via":"1.1 Caddy","x-content-type-options":"nosniff","x-ms-client-request-id":"Not-Set","x-ms-is-spilled-over":"false","x-ms-rai-invoked":"false","x-ms-region":"Sweden Central","x-new-api-version":"0.4.35","x-oneapi-request-id":"202604280142051244046308268d9d6Otjg46JD","x-ratelimit-abusepenalty-active":"False","x-ratelimit-key":"gpt-5-chat-global","x-ratelimit-limit-requests":"1000","x-ratelimit-limit-tokens":"1000000","x-ratelimit-remaining-requests":"999","x-ratelimit-remaining-tokens":"998335","x-ratelimit-renewalperiod-requests":"60","x-ratelimit-renewalperiod-tokens":"60","x-ratelimit-reset-requests":"60","x-ratelimit-reset-tokens":"99","x-request-id":"90901437-6a4f-4180-8345-2591d8cc9be5"}</t>
        </is>
      </c>
      <c r="N32" t="inlineStr">
        <is>
          <t>Dior Oblique Men’s Belt in Deep Blue, crafted from signature monogram canvas and genuine leather, featuring a metal round CD buckle for timeless elegance, perfect for business or casual wear.</t>
        </is>
      </c>
      <c r="O32" t="inlineStr">
        <is>
          <t>{"id":"chatcmpl-DZSYvAxWQI8DofMOwxNXClswg38wY","object":"chat.completion","created":1777343645,"model":"gpt-5-chat-2025-10-03","choices":[{"index":0,"message":{"role":"assistant","content":"Dio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32" t="inlineStr">
        <is>
          <t>Dior,Accessories,kakobuy,kakebuy2026,kekobuysheet,kakobuysheet2026,2026kakobuy,kakobuyspreadsheeet,kakobuylink,kakebuylist,Kakobuy MEGA Spreadsheet,kakobuysheetfind,kakobuysheetfind2026,2026kakobuysheetfind,kakobuysheet2026</t>
        </is>
      </c>
      <c r="Q32" t="inlineStr">
        <is>
          <t>Dior, Dior Oblique, Canvas, Genuine Leather, Business</t>
        </is>
      </c>
      <c r="R32" t="inlineStr">
        <is>
          <t>recvhju1CrDXB9</t>
        </is>
      </c>
      <c r="S32" t="inlineStr">
        <is>
          <t>dior-oblique-blue-cd-buckle-leather-men-belt-recvhju1crdxb9</t>
        </is>
      </c>
      <c r="T32"/>
      <c r="U32"/>
      <c r="V32"/>
      <c r="W32" t="inlineStr">
        <is>
          <t>{"id":"chatcmpl-DZR8Bydzb4MucLHk31kX587ZsTN7h","object":"chat.completion","created":1777338143,"model":"gpt-5-chat-2025-10-03","choices":[{"index":0,"message":{"role":"assistant","content":"Dior：Oblique系列深蓝色男士皮带，采用经典老花帆布与真皮双面设计，配以金属圆形CD标志扣，展现简约奢华质感，复古中融入现代时尚气息，适合商务与日常穿搭。","refusal":null,"annotations":[]},"logprobs":null,"finish_reason":"stop"}],"usage":{"prompt_tokens":1299,"completion_tokens":70,"total_tokens":1369,"prompt_tokens_details":{"cached_tokens":0,"audio_tokens":0},"completion_tokens_details":{"reasoning_tokens":0,"audio_tokens":0,"accepted_prediction_tokens":0,"rejected_prediction_tokens":0}},"service_tier":"default","system_fingerprint":"fp_ad66631dec"}</t>
        </is>
      </c>
      <c r="X32" t="inlineStr">
        <is>
          <t>Dior：Oblique系列深蓝色男士皮带，采用经典老花帆布与真皮双面设计，配以金属圆形CD标志扣，展现简约奢华质感，复古中融入现代时尚气息，适合商务与日常穿搭。</t>
        </is>
      </c>
    </row>
    <row r="33" ht="25.5" customHeight="1">
      <c r="A33">
        <v>1654975475</v>
      </c>
      <c r="B33">
        <v>7621426243</v>
      </c>
      <c r="C33" s="2" t="str">
        <f>=HYPERLINK("https://weidian.com/item.html?itemID=7621426243", "https://weidian.com/item.html?itemID=7621426243")</f>
        <v>https://weidian.com/item.html?itemID=7621426243</v>
      </c>
      <c r="D33"/>
      <c r="E33" s="2" t="str">
        <f>=HYPERLINK("https://si.geilicdn.com/pcitem2014204438-48300000019ad9b10f300a210256_1560_1922.jpg?w=640&amp;h=640", "https://si.geilicdn.com/pcitem2014204438-48300000019ad9b10f300a210256_1560_1922.jpg?w=640&amp;h=640")</f>
        <v>https://si.geilicdn.com/pcitem2014204438-48300000019ad9b10f300a210256_1560_1922.jpg?w=640&amp;h=640</v>
      </c>
      <c r="F33" t="inlineStr">
        <is>
          <t>Accessories</t>
        </is>
      </c>
      <c r="G33" t="inlineStr">
        <is>
          <t>Saint Laurent</t>
        </is>
      </c>
      <c r="H33">
        <v>500</v>
      </c>
      <c r="I33">
        <v>72.46</v>
      </c>
      <c r="J33" t="inlineStr">
        <is>
          <t>{"id":"chatcmpl-DZSKfZVNZQ7R27n9bfSBwpHrIx86n","object":"chat.completion","created":1777342761,"model":"gpt-5-chat-2025-10-03","choices":[{"index":0,"message":{"role":"assistant","content":"Saint Laurent Black Leather Belt Gold YSL Buckle","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33" t="inlineStr">
        <is>
          <t>Saint Laurent Black Leather Belt Gold YSL Buckle</t>
        </is>
      </c>
      <c r="L33" t="inlineStr">
        <is>
          <t>{"id":"chatcmpl-DZRjFbpgRqJdxSxyzeP4HWa56qTIB","object":"chat.completion","created":1777340441,"model":"gpt-5-chat-2025-10-03","choices":[{"index":0,"message":{"role":"assistant","content":"Saint Laurent classic black leather belt with gold YSL logo buckle, unisex design, sleek and luxurious, showcasing Parisian haute couture elegance and timeless fashion style.","refusal":null,"annotations":[]},"logprobs":null,"finish_reason":"stop"}],"usage":{"prompt_tokens":875,"completion_tokens":33,"total_tokens":908,"prompt_tokens_details":{"cached_tokens":0,"audio_tokens":0},"completion_tokens_details":{"reasoning_tokens":0,"audio_tokens":0,"accepted_prediction_tokens":0,"rejected_prediction_tokens":0}},"service_tier":"default","system_fingerprint":"fp_ad66631dec"}</t>
        </is>
      </c>
      <c r="M33" t="inlineStr">
        <is>
          <t>{"alt-svc":"h3=\":443\"; ma=2592000","apim-request-id":"f8982073-30c2-4552-bab6-2a4d8148ee8b","azureml-model-session":"d20260402075109-1fc5a0ec","cache-control":"no-cache","connection":"close","content-length":"982","content-type":"application/json","date":"Tue, 28 Apr 2026 01:40:42 GMT","server":"nginx","skip-error-remapping":"true","strict-transport-security":"max-age=31536000; includeSubDomains; preload","via":"1.1 Caddy","x-content-type-options":"nosniff","x-ms-client-request-id":"Not-Set","x-ms-is-spilled-over":"false","x-ms-rai-invoked":"false","x-ms-region":"North Central US","x-new-api-version":"0.4.35","x-oneapi-request-id":"202604280140403542398068268d9d6sfZzAhHH","x-ratelimit-abusepenalty-active":"False","x-ratelimit-key":"gpt-5-chat-global","x-ratelimit-limit-requests":"1000","x-ratelimit-limit-tokens":"1000000","x-ratelimit-remaining-requests":"999","x-ratelimit-remaining-tokens":"998363","x-ratelimit-renewalperiod-requests":"60","x-ratelimit-renewalperiod-tokens":"60","x-ratelimit-reset-requests":"60","x-ratelimit-reset-tokens":"98","x-request-id":"241cd1d2-16e3-4dda-b754-2a47f48cd102"}</t>
        </is>
      </c>
      <c r="N33" t="inlineStr">
        <is>
          <t>Saint Laurent classic black leather belt with gold YSL logo buckle, unisex design, sleek and luxurious, showcasing Parisian haute couture elegance and timeless fashion style.</t>
        </is>
      </c>
      <c r="O33" t="inlineStr">
        <is>
          <t>{"id":"chatcmpl-DZSWyu7022JaN4I260016QOrWNdoF","object":"chat.completion","created":1777343524,"model":"gpt-5-chat-2025-10-03","choices":[{"index":0,"message":{"role":"assistant","content":"Saint Laurent,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33" t="inlineStr">
        <is>
          <t>Saint Laurent, Belt, kakobuy, kakebuy2026, kekobuysheet, kakobuysheet2026, 2026kakobuy, kakobuyspreadsheeet, kakobuylink, kakebuylist, Kakobuy MEGA Spreadsheet, kakobuysheetfind, kakobuysheetfind2026, 2026kakobuysheetfind, kakobuysheet2026</t>
        </is>
      </c>
      <c r="Q33"/>
      <c r="R33" t="inlineStr">
        <is>
          <t>recvhju1CrdRDu</t>
        </is>
      </c>
      <c r="S33" t="inlineStr">
        <is>
          <t>saint-laurent-black-leather-belt-gold-ysl-buckle-recvhju1crdrdu</t>
        </is>
      </c>
      <c r="T33"/>
      <c r="U33"/>
      <c r="V33"/>
      <c r="W33" t="inlineStr">
        <is>
          <t>{"id":"chatcmpl-DZR9vNsc1erVkblxsYW0yohKMqdkK","object":"chat.completion","created":1777338251,"model":"gpt-5-chat-2025-10-03","choices":[{"index":0,"message":{"role":"assistant","content":"Saint Laurent：经典黑色真皮腰带，金属YSL字母扣设计，简约奢华风格，男女皆宜，彰显巴黎高定时尚魅力。","refusal":null,"annotations":[]},"logprobs":null,"finish_reason":"stop"}],"usage":{"prompt_tokens":1297,"completion_tokens":43,"total_tokens":1340,"prompt_tokens_details":{"cached_tokens":0,"audio_tokens":0},"completion_tokens_details":{"reasoning_tokens":0,"audio_tokens":0,"accepted_prediction_tokens":0,"rejected_prediction_tokens":0}},"service_tier":"default","system_fingerprint":"fp_ad66631dec"}</t>
        </is>
      </c>
      <c r="X33" t="inlineStr">
        <is>
          <t>Saint Laurent：经典黑色真皮腰带，金属YSL字母扣设计，简约奢华风格，男女皆宜，彰显巴黎高定时尚魅力。</t>
        </is>
      </c>
    </row>
    <row r="34" ht="25.5" customHeight="1">
      <c r="A34">
        <v>1654975475</v>
      </c>
      <c r="B34">
        <v>7624367020</v>
      </c>
      <c r="C34" s="2" t="str">
        <f>=HYPERLINK("https://weidian.com/item.html?itemID=7624367020", "https://weidian.com/item.html?itemID=7624367020")</f>
        <v>https://weidian.com/item.html?itemID=7624367020</v>
      </c>
      <c r="D34"/>
      <c r="E34" s="2" t="str">
        <f>=HYPERLINK("https://si.geilicdn.com/pcitem2014204438-233e0000019ad9bd8ece0a20e2c5_1512_2016.jpg?w=640&amp;h=640", "https://si.geilicdn.com/pcitem2014204438-233e0000019ad9bd8ece0a20e2c5_1512_2016.jpg?w=640&amp;h=640")</f>
        <v>https://si.geilicdn.com/pcitem2014204438-233e0000019ad9bd8ece0a20e2c5_1512_2016.jpg?w=640&amp;h=640</v>
      </c>
      <c r="F34" t="inlineStr">
        <is>
          <t>Accessories</t>
        </is>
      </c>
      <c r="G34" t="inlineStr">
        <is>
          <t>Dior</t>
        </is>
      </c>
      <c r="H34">
        <v>500</v>
      </c>
      <c r="I34">
        <v>72.46</v>
      </c>
      <c r="J34" t="inlineStr">
        <is>
          <t>{"id":"chatcmpl-DZSI0a1ZXlxeNvDeCTPIKP5cctZrQ","object":"chat.completion","created":1777342596,"model":"gpt-5-chat-2025-10-03","choices":[{"index":0,"message":{"role":"assistant","content":"Dior Oblique Gray Fabric Belt Black CD Buckle Men","refusal":null,"annotations":[]},"logprobs":null,"finish_reason":"stop"}],"usage":{"prompt_tokens":863,"completion_tokens":13,"total_tokens":876,"prompt_tokens_details":{"cached_tokens":0,"audio_tokens":0},"completion_tokens_details":{"reasoning_tokens":0,"audio_tokens":0,"accepted_prediction_tokens":0,"rejected_prediction_tokens":0}},"service_tier":"default","system_fingerprint":"fp_ad66631dec"}</t>
        </is>
      </c>
      <c r="K34" t="inlineStr">
        <is>
          <t>Dior Oblique Gray Fabric Belt Black CD Buckle Men</t>
        </is>
      </c>
      <c r="L34" t="inlineStr">
        <is>
          <t>{"id":"chatcmpl-DZRcv1DAhN99H8eq6dyzHpNWM5qZg","object":"chat.completion","created":1777340049,"model":"gpt-5-chat-2025-10-03","choices":[{"index":0,"message":{"role":"assistant","content":"Dior Oblique Gray Printed Fabric Belt with Black Metal CD Compass Buckle, sleek modern design for men, perfect for both business and casual style.","refusal":null,"annotations":[]},"logprobs":null,"finish_reason":"stop"}],"usage":{"prompt_tokens":885,"completion_tokens":31,"total_tokens":916,"prompt_tokens_details":{"cached_tokens":0,"audio_tokens":0},"completion_tokens_details":{"reasoning_tokens":0,"audio_tokens":0,"accepted_prediction_tokens":0,"rejected_prediction_tokens":0}},"service_tier":"default","system_fingerprint":"fp_ad66631dec"}</t>
        </is>
      </c>
      <c r="M34" t="inlineStr">
        <is>
          <t>{"alt-svc":"h3=\":443\"; ma=2592000","apim-request-id":"3257d4e7-8a3f-401a-afe5-6cc7dd9e1979","azureml-model-session":"d20260402074105-51db401e","cache-control":"no-cache","connection":"close","content-length":"954","content-type":"application/json","date":"Tue, 28 Apr 2026 01:34:10 GMT","server":"Caddy","skip-error-remapping":"true","strict-transport-security":"max-age=31536000; includeSubDomains; preload","x-content-type-options":"nosniff","x-ms-client-request-id":"Not-Set","x-ms-is-spilled-over":"false","x-ms-rai-invoked":"false","x-ms-region":"Central US","x-new-api-version":"0.4.35","x-oneapi-request-id":"202604280134079429883268268d9d6Q8pjnmjm","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a72903ac-c3aa-4fa9-beb4-794c394aeaae"}</t>
        </is>
      </c>
      <c r="N34" t="inlineStr">
        <is>
          <t>Dior Oblique Gray Printed Fabric Belt with Black Metal CD Compass Buckle, sleek modern design for men, perfect for both business and casual style.</t>
        </is>
      </c>
      <c r="O34" t="inlineStr">
        <is>
          <t>{"id":"chatcmpl-DZSXJgb1U6JviPiJ9Qd2WEnjx1LxY","object":"chat.completion","created":1777343545,"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34" t="inlineStr">
        <is>
          <t>Dior,Belt,kakobuy,kakebuy2026,kekobuysheet,kakobuysheet2026,2026kakobuy,kakobuyspreadsheeet,kakobuylink,kakebuylist,Kakobuy MEGA Spreadsheet,kakobuysheetfind,kakobuysheetfind2026,2026kakobuysheetfind,kakobuysheet2026</t>
        </is>
      </c>
      <c r="Q34" t="inlineStr">
        <is>
          <t>Dior, Dior Oblique, Gray, Business, Men</t>
        </is>
      </c>
      <c r="R34" t="inlineStr">
        <is>
          <t>recvhju1CrpgPV</t>
        </is>
      </c>
      <c r="S34" t="inlineStr">
        <is>
          <t>dior-oblique-gray-fabric-belt-black-cd-buckle-men-recvhju1crpgpv</t>
        </is>
      </c>
      <c r="T34"/>
      <c r="U34"/>
      <c r="V34"/>
      <c r="W34" t="inlineStr">
        <is>
          <t>{"id":"chatcmpl-DZR8tIfjIxYeWF05BfvbIiPmaJpBh","object":"chat.completion","created":1777338187,"model":"gpt-5-chat-2025-10-03","choices":[{"index":0,"message":{"role":"assistant","content":"Dior：Oblique灰色印花织物腰带，配黑色金属CD罗盘扣，时尚简约设计，彰显摩登男士品味，适合日常与商务穿搭。","refusal":null,"annotations":[]},"logprobs":null,"finish_reason":"stop"}],"usage":{"prompt_tokens":1305,"completion_tokens":49,"total_tokens":1354,"prompt_tokens_details":{"cached_tokens":0,"audio_tokens":0},"completion_tokens_details":{"reasoning_tokens":0,"audio_tokens":0,"accepted_prediction_tokens":0,"rejected_prediction_tokens":0}},"service_tier":"default","system_fingerprint":"fp_ad66631dec"}</t>
        </is>
      </c>
      <c r="X34" t="inlineStr">
        <is>
          <t>Dior：Oblique灰色印花织物腰带，配黑色金属CD罗盘扣，时尚简约设计，彰显摩登男士品味，适合日常与商务穿搭。</t>
        </is>
      </c>
    </row>
    <row r="35" ht="25.5" customHeight="1">
      <c r="A35">
        <v>1654975475</v>
      </c>
      <c r="B35">
        <v>7621405505</v>
      </c>
      <c r="C35" s="2" t="str">
        <f>=HYPERLINK("https://weidian.com/item.html?itemID=7621405505", "https://weidian.com/item.html?itemID=7621405505")</f>
        <v>https://weidian.com/item.html?itemID=7621405505</v>
      </c>
      <c r="D35"/>
      <c r="E35" s="2" t="str">
        <f>=HYPERLINK("https://si.geilicdn.com/pcitem2014204438-4fbc0000019ad9c957fb0a81347d_1512_2016.jpg?w=640&amp;h=640", "https://si.geilicdn.com/pcitem2014204438-4fbc0000019ad9c957fb0a81347d_1512_2016.jpg?w=640&amp;h=640")</f>
        <v>https://si.geilicdn.com/pcitem2014204438-4fbc0000019ad9c957fb0a81347d_1512_2016.jpg?w=640&amp;h=640</v>
      </c>
      <c r="F35" t="inlineStr">
        <is>
          <t>Accessories</t>
        </is>
      </c>
      <c r="G35" t="inlineStr">
        <is>
          <t>Louis Vuitton</t>
        </is>
      </c>
      <c r="H35">
        <v>460</v>
      </c>
      <c r="I35">
        <v>66.67</v>
      </c>
      <c r="J35" t="inlineStr">
        <is>
          <t>{"id":"chatcmpl-DZSKKYNBgVdIWoAsZuI0CRuBJs1de","object":"chat.completion","created":1777342740,"model":"gpt-5-chat-2025-10-03","choices":[{"index":0,"message":{"role":"assistant","content":"Louis Vuitton Monogram Eclipse Navy Men Belt","refusal":null,"annotations":[]},"logprobs":null,"finish_reason":"stop"}],"usage":{"prompt_tokens":867,"completion_tokens":9,"total_tokens":876,"prompt_tokens_details":{"cached_tokens":0,"audio_tokens":0},"completion_tokens_details":{"reasoning_tokens":0,"audio_tokens":0,"accepted_prediction_tokens":0,"rejected_prediction_tokens":0}},"service_tier":"default","system_fingerprint":"fp_ad66631dec"}</t>
        </is>
      </c>
      <c r="K35" t="inlineStr">
        <is>
          <t>Louis Vuitton Monogram Eclipse Navy Men Belt</t>
        </is>
      </c>
      <c r="L35" t="inlineStr">
        <is>
          <t>{"id":"chatcmpl-DZRgWXn8q3kJQlmAti7MC1V95dLNY","object":"chat.completion","created":1777340272,"model":"gpt-5-chat-2025-10-03","choices":[{"index":0,"message":{"role":"assistant","content":"Louis Vuitton Monogram Eclipse reversible navy leather belt for men with silver LV buckle and blue-green printed interior, embodying modern luxury, elegance, and refined sophistication.","refusal":null,"annotations":[]},"logprobs":null,"finish_reason":"stop"}],"usage":{"prompt_tokens":889,"completion_tokens":33,"total_tokens":922,"prompt_tokens_details":{"cached_tokens":0,"audio_tokens":0},"completion_tokens_details":{"reasoning_tokens":0,"audio_tokens":0,"accepted_prediction_tokens":0,"rejected_prediction_tokens":0}},"service_tier":"default","system_fingerprint":"fp_ad66631dec"}</t>
        </is>
      </c>
      <c r="M35" t="inlineStr">
        <is>
          <t>{"alt-svc":"h3=\":443\"; ma=2592000","apim-request-id":"ec64fda7-d268-4afa-b094-4cb418c6c51b","azureml-model-session":"d20260405234249-f9874baf","cache-control":"no-cache","connection":"close","content-length":"993","content-type":"application/json","date":"Tue, 28 Apr 2026 01:37:54 GMT","server":"Caddy","skip-error-remapping":"true","strict-transport-security":"max-age=31536000; includeSubDomains; preload","x-content-type-options":"nosniff","x-ms-client-request-id":"Not-Set","x-ms-is-spilled-over":"false","x-ms-rai-invoked":"false","x-ms-region":"Sweden Central","x-new-api-version":"0.4.35","x-oneapi-request-id":"202604280137509527020958268d9d6B50z4avv","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a4540d2a-1985-40f3-82a1-7332f6591140"}</t>
        </is>
      </c>
      <c r="N35" t="inlineStr">
        <is>
          <t>Louis Vuitton Monogram Eclipse reversible navy leather belt for men with silver LV buckle and blue-green printed interior, embodying modern luxury, elegance, and refined sophistication.</t>
        </is>
      </c>
      <c r="O35" t="inlineStr">
        <is>
          <t>{"id":"chatcmpl-DZSbveYVl7LDT2lSVwncy4dDtoLO0","object":"chat.completion","created":1777343831,"model":"gpt-5-chat-2025-10-03","choices":[{"index":0,"message":{"role":"assistant","content":"Louis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35" t="inlineStr">
        <is>
          <t>Louis Vuitton, Belt, kakobuy, kakebuy2026, kekobuysheet, kakobuysheet2026, 2026kakobuy, kakobuyspreadsheeet, kakobuylink, kakebuylist, Kakobuy MEGA Spreadsheet, kakobuysheetfind, kakobuysheetfind2026, 2026kakobuysheetfind, kakobuysheet2026</t>
        </is>
      </c>
      <c r="Q35" t="inlineStr">
        <is>
          <t>LV, Navy, Elegant, Modern, Leather, Men</t>
        </is>
      </c>
      <c r="R35" t="inlineStr">
        <is>
          <t>recvhju1Crg0p4</t>
        </is>
      </c>
      <c r="S35" t="inlineStr">
        <is>
          <t>louis-vuitton-monogram-eclipse-navy-men-belt-recvhju1crg0p4</t>
        </is>
      </c>
      <c r="T35"/>
      <c r="U35"/>
      <c r="V35"/>
      <c r="W35" t="inlineStr">
        <is>
          <t>{"id":"chatcmpl-DZR80L0DzFCimBMMeVprkRAN3SApV","object":"chat.completion","created":1777338132,"model":"gpt-5-chat-2025-10-03","choices":[{"index":0,"message":{"role":"assistant","content":"Louis Vuitton：Monogram Eclipse深蓝色男士双面真皮腰带，银色LV字母扣设计，内里印花蓝绿色皮革，现代奢华风格，彰显优雅格调与品质品味。","refusal":null,"annotations":[]},"logprobs":null,"finish_reason":"stop"}],"usage":{"prompt_tokens":1303,"completion_tokens":54,"total_tokens":1357,"prompt_tokens_details":{"cached_tokens":0,"audio_tokens":0},"completion_tokens_details":{"reasoning_tokens":0,"audio_tokens":0,"accepted_prediction_tokens":0,"rejected_prediction_tokens":0}},"service_tier":"default","system_fingerprint":"fp_ad66631dec"}</t>
        </is>
      </c>
      <c r="X35" t="inlineStr">
        <is>
          <t>Louis Vuitton：Monogram Eclipse深蓝色男士双面真皮腰带，银色LV字母扣设计，内里印花蓝绿色皮革，现代奢华风格，彰显优雅格调与品质品味。</t>
        </is>
      </c>
    </row>
    <row r="36" ht="25.5" customHeight="1">
      <c r="A36">
        <v>1654975475</v>
      </c>
      <c r="B36">
        <v>7621463891</v>
      </c>
      <c r="C36" s="2" t="str">
        <f>=HYPERLINK("https://weidian.com/item.html?itemID=7621463891", "https://weidian.com/item.html?itemID=7621463891")</f>
        <v>https://weidian.com/item.html?itemID=7621463891</v>
      </c>
      <c r="D36"/>
      <c r="E36" s="2" t="str">
        <f>=HYPERLINK("https://si.geilicdn.com/pcitem2014204438-3b160000019ad9b085a50a239846_1464_1918.jpg?w=640&amp;h=640", "https://si.geilicdn.com/pcitem2014204438-3b160000019ad9b085a50a239846_1464_1918.jpg?w=640&amp;h=640")</f>
        <v>https://si.geilicdn.com/pcitem2014204438-3b160000019ad9b085a50a239846_1464_1918.jpg?w=640&amp;h=640</v>
      </c>
      <c r="F36" t="inlineStr">
        <is>
          <t>Accessories</t>
        </is>
      </c>
      <c r="G36" t="inlineStr">
        <is>
          <t>Saint Laurent</t>
        </is>
      </c>
      <c r="H36">
        <v>500</v>
      </c>
      <c r="I36">
        <v>72.46</v>
      </c>
      <c r="J36" t="inlineStr">
        <is>
          <t>{"id":"chatcmpl-DZSHelin6nWGFHccLXIi6QSgV1RuE","object":"chat.completion","created":1777342574,"model":"gpt-5-chat-2025-10-03","choices":[{"index":0,"message":{"role":"assistant","content":"Saint Laurent YSL Gold Buckle Black Leather Belt","refusal":null,"annotations":[]},"logprobs":null,"finish_reason":"stop"}],"usage":{"prompt_tokens":861,"completion_tokens":11,"total_tokens":872,"prompt_tokens_details":{"cached_tokens":0,"audio_tokens":0},"completion_tokens_details":{"reasoning_tokens":0,"audio_tokens":0,"accepted_prediction_tokens":0,"rejected_prediction_tokens":0}},"service_tier":"default","system_fingerprint":"fp_ad66631dec"}</t>
        </is>
      </c>
      <c r="K36" t="inlineStr">
        <is>
          <t>Saint Laurent YSL Gold Buckle Black Leather Belt</t>
        </is>
      </c>
      <c r="L36" t="inlineStr">
        <is>
          <t>{"id":"chatcmpl-DZRdzkiNEVidBjUMoi9H7eYNs3pnP","object":"chat.completion","created":1777340115,"model":"gpt-5-chat-2025-10-03","choices":[{"index":0,"message":{"role":"assistant","content":"Saint Laurent classic black leather belt with iconic gold YSL buckle, unisex design showcasing French luxury, timeless elegance, and modern haute couture sophistication.","refusal":null,"annotations":[]},"logprobs":null,"finish_reason":"stop"}],"usage":{"prompt_tokens":889,"completion_tokens":30,"total_tokens":919,"prompt_tokens_details":{"cached_tokens":0,"audio_tokens":0},"completion_tokens_details":{"reasoning_tokens":0,"audio_tokens":0,"accepted_prediction_tokens":0,"rejected_prediction_tokens":0}},"service_tier":"default","system_fingerprint":"fp_ad66631dec"}</t>
        </is>
      </c>
      <c r="M36" t="inlineStr">
        <is>
          <t>{"alt-svc":"h3=\":443\"; ma=2592000","apim-request-id":"8a03c4fa-6748-4aa3-bed4-00f63761f17a","azureml-model-session":"d20260402084046-4209e968","cache-control":"no-cache","connection":"close","content-length":"977","content-type":"application/json","date":"Tue, 28 Apr 2026 01:35:16 GMT","server":"Caddy","skip-error-remapping":"true","strict-transport-security":"max-age=31536000; includeSubDomains; preload","x-content-type-options":"nosniff","x-ms-client-request-id":"Not-Set","x-ms-is-spilled-over":"false","x-ms-rai-invoked":"false","x-ms-region":"Central US","x-new-api-version":"0.4.35","x-oneapi-request-id":"202604280135143625102448268d9d6qqP6ZWdC","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b4132618-55ca-4cdb-9c33-937ece35ed2c"}</t>
        </is>
      </c>
      <c r="N36" t="inlineStr">
        <is>
          <t>Saint Laurent classic black leather belt with iconic gold YSL buckle, unisex design showcasing French luxury, timeless elegance, and modern haute couture sophistication.</t>
        </is>
      </c>
      <c r="O36" t="inlineStr">
        <is>
          <t>{"id":"chatcmpl-DZSXzWF9eFkIakB3wYqzRfuhbnWlb","object":"chat.completion","created":1777343587,"model":"gpt-5-chat-2025-10-03","choices":[{"index":0,"message":{"role":"assistant","content":"Saint Laurent,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36" t="inlineStr">
        <is>
          <t>Saint Laurent, Accessories, kakobuy, kakebuy2026, kekobuysheet, kakobuysheet2026, 2026kakobuy, kakobuyspreadsheeet, kakobuylink, kakebuylist, Kakobuy MEGA Spreadsheet, kakobuysheetfind, kakobuysheetfind2026, 2026kakobuysheetfind, kakobuysheet2026</t>
        </is>
      </c>
      <c r="Q36"/>
      <c r="R36" t="inlineStr">
        <is>
          <t>recvhju1CrZTro</t>
        </is>
      </c>
      <c r="S36" t="inlineStr">
        <is>
          <t>ysl-gold-buckle-black-leather-belt-recvhju1crztro</t>
        </is>
      </c>
      <c r="T36"/>
      <c r="U36"/>
      <c r="V36"/>
      <c r="W36" t="inlineStr">
        <is>
          <t>{"id":"chatcmpl-DZR6pQpVzHbRsj7GcoeeXhhT31lYt","object":"chat.completion","created":1777338059,"model":"gpt-5-chat-2025-10-03","choices":[{"index":0,"message":{"role":"assistant","content":"Saint Laurent：经典黑色真皮腰带，配以标志性金色YSL字母金属扣，彰显法式奢华与摩登优雅气质，男女皆宜，完美展现现代高定风范。","refusal":null,"annotations":[]},"logprobs":null,"finish_reason":"stop"}],"usage":{"prompt_tokens":1299,"completion_tokens":56,"total_tokens":1355,"prompt_tokens_details":{"cached_tokens":1280,"audio_tokens":0},"completion_tokens_details":{"reasoning_tokens":0,"audio_tokens":0,"accepted_prediction_tokens":0,"rejected_prediction_tokens":0}},"service_tier":"default","system_fingerprint":"fp_ad66631dec"}</t>
        </is>
      </c>
      <c r="X36" t="inlineStr">
        <is>
          <t>Saint Laurent：经典黑色真皮腰带，配以标志性金色YSL字母金属扣，彰显法式奢华与摩登优雅气质，男女皆宜，完美展现现代高定风范。</t>
        </is>
      </c>
    </row>
    <row r="37" ht="25.5" customHeight="1">
      <c r="A37">
        <v>1654975475</v>
      </c>
      <c r="B37">
        <v>7621466393</v>
      </c>
      <c r="C37" s="2" t="str">
        <f>=HYPERLINK("https://weidian.com/item.html?itemID=7621466393", "https://weidian.com/item.html?itemID=7621466393")</f>
        <v>https://weidian.com/item.html?itemID=7621466393</v>
      </c>
      <c r="D37"/>
      <c r="E37" s="2" t="str">
        <f>=HYPERLINK("https://si.geilicdn.com/pcitem2014204438-4c880000019ad9bc80080a23037f_800_800.jpg?w=640&amp;h=640", "https://si.geilicdn.com/pcitem2014204438-4c880000019ad9bc80080a23037f_800_800.jpg?w=640&amp;h=640")</f>
        <v>https://si.geilicdn.com/pcitem2014204438-4c880000019ad9bc80080a23037f_800_800.jpg?w=640&amp;h=640</v>
      </c>
      <c r="F37" t="inlineStr">
        <is>
          <t>Accessories</t>
        </is>
      </c>
      <c r="G37" t="inlineStr">
        <is>
          <t>Hermes</t>
        </is>
      </c>
      <c r="H37">
        <v>460</v>
      </c>
      <c r="I37">
        <v>66.67</v>
      </c>
      <c r="J37" t="inlineStr">
        <is>
          <t>{"id":"chatcmpl-DZSLviZyecKYPrdQeKx5es4Jxo7Zo","object":"chat.completion","created":1777342839,"model":"gpt-5-chat-2025-10-03","choices":[{"index":0,"message":{"role":"assistant","content":"Hermes Kelly Khaki Leather Reversible Belt","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37" t="inlineStr">
        <is>
          <t>Hermes Kelly Khaki Leather Reversible Belt</t>
        </is>
      </c>
      <c r="L37" t="inlineStr">
        <is>
          <t>{"id":"chatcmpl-DZRhNFu5QDCauikjhcQdjSofcSXDT","object":"chat.completion","created":1777340325,"model":"gpt-5-chat-2025-10-03","choices":[{"index":0,"message":{"role":"assistant","content":"Hermes Kelly Series Belt in khaki calfskin with silver-tone lock buckle, reversible dual-color design, adjustable fit, minimal chic unisex style for refined French fashion elegance.","refusal":null,"annotations":[]},"logprobs":null,"finish_reason":"stop"}],"usage":{"prompt_tokens":896,"completion_tokens":36,"total_tokens":932,"prompt_tokens_details":{"cached_tokens":0,"audio_tokens":0},"completion_tokens_details":{"reasoning_tokens":0,"audio_tokens":0,"accepted_prediction_tokens":0,"rejected_prediction_tokens":0}},"service_tier":"default","system_fingerprint":"fp_ad66631dec"}</t>
        </is>
      </c>
      <c r="M37" t="inlineStr">
        <is>
          <t>{"alt-svc":"h3=\":443\"; ma=2592000","apim-request-id":"aebd5a85-c056-47ea-a0ac-39fcc8835b58","azureml-model-session":"d20260402075109-1fc5a0ec","cache-control":"no-cache","connection":"close","content-length":"989","content-type":"application/json","date":"Tue, 28 Apr 2026 01:38:46 GMT","server":"nginx","skip-error-remapping":"true","strict-transport-security":"max-age=31536000; includeSubDomains; preload","via":"1.1 Caddy","x-content-type-options":"nosniff","x-ms-client-request-id":"Not-Set","x-ms-is-spilled-over":"false","x-ms-rai-invoked":"false","x-ms-region":"East US 2","x-new-api-version":"0.4.35","x-oneapi-request-id":"202604280138446462964748268d9d6PbEQwc0R","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7f91e604-c520-409f-8b97-8b91e57b3c18"}</t>
        </is>
      </c>
      <c r="N37" t="inlineStr">
        <is>
          <t>Hermes Kelly Series Belt in khaki calfskin with silver-tone lock buckle, reversible dual-color design, adjustable fit, minimal chic unisex style for refined French fashion elegance.</t>
        </is>
      </c>
      <c r="O37" t="inlineStr">
        <is>
          <t>{"id":"chatcmpl-DZSVJg3e7jiSWkCm4hQfT43bc02vj","object":"chat.completion","created":1777343421,"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37" t="inlineStr">
        <is>
          <t>Hermes,Belt,kakobuy,kakebuy2026,kekobuysheet,kakobuysheet2026,2026kakobuy,kakobuyspreadsheeet,kakobuylink,kakebuylist,Kakobuy MEGA Spreadsheet,kakobuysheetfind,kakobuysheetfind2026,2026kakobuysheetfind,kakobuysheet2026</t>
        </is>
      </c>
      <c r="Q37"/>
      <c r="R37" t="inlineStr">
        <is>
          <t>recvhju1CrIe7I</t>
        </is>
      </c>
      <c r="S37" t="inlineStr">
        <is>
          <t>hermes-kelly-khaki-leather-reversible-belt-recvhju1crie7i</t>
        </is>
      </c>
      <c r="T37"/>
      <c r="U37"/>
      <c r="V37"/>
      <c r="W37" t="inlineStr">
        <is>
          <t>{"id":"chatcmpl-DZR9IfGYpLCworNkifgkUy9zZIcyk","object":"chat.completion","created":1777338212,"model":"gpt-5-chat-2025-10-03","choices":[{"index":0,"message":{"role":"assistant","content":"Hermes：经典Kelly系列卡其色皮革腰带，采用高级小牛皮材质搭配银色锁扣设计，双面双色可调节，简约优雅中性风格，展现法式精致品味，适合男女时尚百搭造型。","refusal":null,"annotations":[]},"logprobs":null,"finish_reason":"stop"}],"usage":{"prompt_tokens":1295,"completion_tokens":65,"total_tokens":1360,"prompt_tokens_details":{"cached_tokens":0,"audio_tokens":0},"completion_tokens_details":{"reasoning_tokens":0,"audio_tokens":0,"accepted_prediction_tokens":0,"rejected_prediction_tokens":0}},"service_tier":"default","system_fingerprint":"fp_ad66631dec"}</t>
        </is>
      </c>
      <c r="X37" t="inlineStr">
        <is>
          <t>Hermes：经典Kelly系列卡其色皮革腰带，采用高级小牛皮材质搭配银色锁扣设计，双面双色可调节，简约优雅中性风格，展现法式精致品味，适合男女时尚百搭造型。</t>
        </is>
      </c>
    </row>
    <row r="38" ht="25.5" customHeight="1">
      <c r="A38">
        <v>1654975475</v>
      </c>
      <c r="B38">
        <v>7624465910</v>
      </c>
      <c r="C38" s="2" t="str">
        <f>=HYPERLINK("https://weidian.com/item.html?itemID=7624465910", "https://weidian.com/item.html?itemID=7624465910")</f>
        <v>https://weidian.com/item.html?itemID=7624465910</v>
      </c>
      <c r="D38"/>
      <c r="E38" s="2" t="str">
        <f>=HYPERLINK("https://si.geilicdn.com/pcitem2014204438-4b870000019ad9bc281b0a210256_1080_1080.jpg?w=640&amp;h=640", "https://si.geilicdn.com/pcitem2014204438-4b870000019ad9bc281b0a210256_1080_1080.jpg?w=640&amp;h=640")</f>
        <v>https://si.geilicdn.com/pcitem2014204438-4b870000019ad9bc281b0a210256_1080_1080.jpg?w=640&amp;h=640</v>
      </c>
      <c r="F38" t="inlineStr">
        <is>
          <t>Accessories</t>
        </is>
      </c>
      <c r="G38" t="inlineStr">
        <is>
          <t>Celine</t>
        </is>
      </c>
      <c r="H38">
        <v>440</v>
      </c>
      <c r="I38">
        <v>63.77</v>
      </c>
      <c r="J38" t="inlineStr">
        <is>
          <t>{"id":"chatcmpl-DZSMUPUysVAACO7SvWKhdqI00f89n","object":"chat.completion","created":1777342874,"model":"gpt-5-chat-2025-10-03","choices":[{"index":0,"message":{"role":"assistant","content":"CELINE Triomphe Black Leather Belt Gold Buckle 2.5cm","refusal":null,"annotations":[]},"logprobs":null,"finish_reason":"stop"}],"usage":{"prompt_tokens":871,"completion_tokens":17,"total_tokens":888,"prompt_tokens_details":{"cached_tokens":0,"audio_tokens":0},"completion_tokens_details":{"reasoning_tokens":0,"audio_tokens":0,"accepted_prediction_tokens":0,"rejected_prediction_tokens":0}},"service_tier":"default","system_fingerprint":"fp_ad66631dec"}</t>
        </is>
      </c>
      <c r="K38" t="inlineStr">
        <is>
          <t>CELINE Triomphe Black Leather Belt Gold Buckle 2.5cm</t>
        </is>
      </c>
      <c r="L38" t="inlineStr">
        <is>
          <t>{"id":"chatcmpl-DZRfRmIfpQNPDc5yRSKsX2OCYs7uV","object":"chat.completion","created":1777340205,"model":"gpt-5-chat-2025-10-03","choices":[{"index":0,"message":{"role":"assistant","content":"CELINE Triomphe black leather belt 2.5cm wide with iconic gold double C buckle, unisex French minimalist design showcasing timeless elegance and modern luxury style.","refusal":null,"annotations":[]},"logprobs":null,"finish_reason":"stop"}],"usage":{"prompt_tokens":888,"completion_tokens":35,"total_tokens":923,"prompt_tokens_details":{"cached_tokens":0,"audio_tokens":0},"completion_tokens_details":{"reasoning_tokens":0,"audio_tokens":0,"accepted_prediction_tokens":0,"rejected_prediction_tokens":0}},"service_tier":"default","system_fingerprint":"fp_ad66631dec"}</t>
        </is>
      </c>
      <c r="M38" t="inlineStr">
        <is>
          <t>{"alt-svc":"h3=\":443\"; ma=2592000","apim-request-id":"0447d0d4-4fad-4ca6-b8dc-5d5882a802f0","azureml-model-session":"d20260402075109-1fc5a0ec","cache-control":"no-cache","connection":"close","content-length":"973","content-type":"application/json","date":"Tue, 28 Apr 2026 01:36:46 GMT","server":"Caddy","skip-error-remapping":"true","strict-transport-security":"max-age=31536000; includeSubDomains; preload","x-content-type-options":"nosniff","x-ms-client-request-id":"Not-Set","x-ms-is-spilled-over":"false","x-ms-rai-invoked":"false","x-ms-region":"North Central US","x-new-api-version":"0.4.35","x-oneapi-request-id":"202604280136445228811958268d9d64PXhNjfz","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ea289550-8492-479b-828d-daca534307e9"}</t>
        </is>
      </c>
      <c r="N38" t="inlineStr">
        <is>
          <t>CELINE Triomphe black leather belt 2.5cm wide with iconic gold double C buckle, unisex French minimalist design showcasing timeless elegance and modern luxury style.</t>
        </is>
      </c>
      <c r="O38" t="inlineStr">
        <is>
          <t>{"id":"chatcmpl-DZSU60G2LtbIlB4Kxp6S1ZtpzCtjO","object":"chat.completion","created":1777343346,"model":"gpt-5-chat-2025-10-03","choices":[{"index":0,"message":{"role":"assistant","content":"Celine,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38" t="inlineStr">
        <is>
          <t>Celine,Belt,kakobuy,kakebuy2026,kekobuysheet,kakobuysheet2026,2026kakobuy,kakobuyspreadsheeet,kakobuylink,kakebuylist,Kakobuy MEGA Spreadsheet,kakobuysheetfind,kakobuysheetfind2026,2026kakobuysheetfind,kakobuysheet2026</t>
        </is>
      </c>
      <c r="Q38" t="inlineStr">
        <is>
          <t>Celine, Black, Leather, Minimalist, Unisex, Elegant</t>
        </is>
      </c>
      <c r="R38" t="inlineStr">
        <is>
          <t>recvhju1Crm11W</t>
        </is>
      </c>
      <c r="S38" t="inlineStr">
        <is>
          <t>celine-triomphe-black-leather-belt-2.5cm-recvhju1crm11w</t>
        </is>
      </c>
      <c r="T38"/>
      <c r="U38"/>
      <c r="V38"/>
      <c r="W38" t="inlineStr">
        <is>
          <t>{"id":"chatcmpl-DZRAQhmV8qXZqXKPNy7y4CeSzsX8L","object":"chat.completion","created":1777338282,"model":"gpt-5-chat-2025-10-03","choices":[{"index":0,"message":{"role":"assistant","content":"Celine：Triomphe系列黑色真皮腰带，2.5cm宽度，经典金色双C标志扣设计，法式极简风格，男女皆宜，彰显优雅格调与时尚品味。","refusal":null,"annotations":[]},"logprobs":null,"finish_reason":"stop"}],"usage":{"prompt_tokens":1299,"completion_tokens":55,"total_tokens":1354,"prompt_tokens_details":{"cached_tokens":0,"audio_tokens":0},"completion_tokens_details":{"reasoning_tokens":0,"audio_tokens":0,"accepted_prediction_tokens":0,"rejected_prediction_tokens":0}},"service_tier":"default","system_fingerprint":"fp_ad66631dec"}</t>
        </is>
      </c>
      <c r="X38" t="inlineStr">
        <is>
          <t>Celine：Triomphe系列黑色真皮腰带，2.5cm宽度，经典金色双C标志扣设计，法式极简风格，男女皆宜，彰显优雅格调与时尚品味。</t>
        </is>
      </c>
    </row>
    <row r="39" ht="25.5" customHeight="1">
      <c r="A39">
        <v>1654975475</v>
      </c>
      <c r="B39">
        <v>7624349450</v>
      </c>
      <c r="C39" s="2" t="str">
        <f>=HYPERLINK("https://weidian.com/item.html?itemID=7624349450", "https://weidian.com/item.html?itemID=7624349450")</f>
        <v>https://weidian.com/item.html?itemID=7624349450</v>
      </c>
      <c r="D39"/>
      <c r="E39" s="2" t="str">
        <f>=HYPERLINK("https://si.geilicdn.com/pcitem2014204438-4cf40000019ad9c0a2a20a20e284_1440_1920.jpg?w=640&amp;h=640", "https://si.geilicdn.com/pcitem2014204438-4cf40000019ad9c0a2a20a20e284_1440_1920.jpg?w=640&amp;h=640")</f>
        <v>https://si.geilicdn.com/pcitem2014204438-4cf40000019ad9c0a2a20a20e284_1440_1920.jpg?w=640&amp;h=640</v>
      </c>
      <c r="F39" t="inlineStr">
        <is>
          <t>Accessories</t>
        </is>
      </c>
      <c r="G39" t="inlineStr">
        <is>
          <t>Loewe</t>
        </is>
      </c>
      <c r="H39">
        <v>520</v>
      </c>
      <c r="I39">
        <v>75.36</v>
      </c>
      <c r="J39" t="inlineStr">
        <is>
          <t>{"id":"chatcmpl-DZSNakbAvFOlQkefviRRLuE6NaJCN","object":"chat.completion","created":1777342942,"model":"gpt-5-chat-2025-10-03","choices":[{"index":0,"message":{"role":"assistant","content":"Loewe Burgundy Patent Leather Belt Gold Logo Buckle","refusal":null,"annotations":[]},"logprobs":null,"finish_reason":"stop"}],"usage":{"prompt_tokens":864,"completion_tokens":12,"total_tokens":876,"prompt_tokens_details":{"cached_tokens":0,"audio_tokens":0},"completion_tokens_details":{"reasoning_tokens":0,"audio_tokens":0,"accepted_prediction_tokens":0,"rejected_prediction_tokens":0}},"service_tier":"default","system_fingerprint":"fp_ad66631dec"}</t>
        </is>
      </c>
      <c r="K39" t="inlineStr">
        <is>
          <t>Loewe Burgundy Patent Leather Belt Gold Logo Buckle</t>
        </is>
      </c>
      <c r="L39" t="inlineStr">
        <is>
          <t>{"id":"chatcmpl-DZRff9LTffkfI8AlimM5I9EqNPNiL","object":"chat.completion","created":1777340219,"model":"gpt-5-chat-2025-10-03","choices":[{"index":0,"message":{"role":"assistant","content":"Loewe deep burgundy patent leather belt with gold-tone logo buckle, minimalist unisex design for a refined modern urban style and timeless luxury appeal.","refusal":null,"annotations":[]},"logprobs":null,"finish_reason":"stop"}],"usage":{"prompt_tokens":885,"completion_tokens":31,"total_tokens":916,"prompt_tokens_details":{"cached_tokens":0,"audio_tokens":0},"completion_tokens_details":{"reasoning_tokens":0,"audio_tokens":0,"accepted_prediction_tokens":0,"rejected_prediction_tokens":0}},"service_tier":"default","system_fingerprint":"fp_ad66631dec"}</t>
        </is>
      </c>
      <c r="M39" t="inlineStr">
        <is>
          <t>{"alt-svc":"h3=\":443\"; ma=2592000","apim-request-id":"c8619e79-0ccf-42ed-8793-3ffbf10fc072","azureml-model-session":"d20260402083108-57a85543","cache-control":"no-cache","connection":"close","content-length":"961","content-type":"application/json","date":"Tue, 28 Apr 2026 01:37:00 GMT","server":"Caddy","skip-error-remapping":"true","strict-transport-security":"max-age=31536000; includeSubDomains; preload","x-content-type-options":"nosniff","x-ms-client-request-id":"Not-Set","x-ms-is-spilled-over":"false","x-ms-rai-invoked":"false","x-ms-region":"South Central US","x-new-api-version":"0.4.35","x-oneapi-request-id":"202604280136586966364428268d9d6mmJXCBUW","x-ratelimit-abusepenalty-active":"False","x-ratelimit-key":"gpt-5-chat-global","x-ratelimit-limit-requests":"1000","x-ratelimit-limit-tokens":"1000000","x-ratelimit-remaining-requests":"999","x-ratelimit-remaining-tokens":"997167","x-ratelimit-renewalperiod-requests":"60","x-ratelimit-renewalperiod-tokens":"60","x-ratelimit-reset-requests":"84","x-ratelimit-reset-tokens":"169","x-request-id":"f2eaf63a-1fe2-46db-b1b4-f1af0101d82e"}</t>
        </is>
      </c>
      <c r="N39" t="inlineStr">
        <is>
          <t>Loewe deep burgundy patent leather belt with gold-tone logo buckle, minimalist unisex design for a refined modern urban style and timeless luxury appeal.</t>
        </is>
      </c>
      <c r="O39" t="inlineStr">
        <is>
          <t>{"id":"chatcmpl-DZSbImx1N3ZZkZlixKXGUYYr9VrRv","object":"chat.completion","created":1777343792,"model":"gpt-5-chat-2025-10-03","choices":[{"index":0,"message":{"role":"assistant","content":"Loewe,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39" t="inlineStr">
        <is>
          <t>Loewe, Accessories, kakobuy, kakebuy2026, kekobuysheet, kakobuysheet2026, 2026kakobuy, kakobuyspreadsheeet, kakobuylink, kakebuylist, Kakobuy MEGA Spreadsheet, kakobuysheetfind, kakobuysheetfind2026, 2026kakobuysheetfind, kakobuysheet2026</t>
        </is>
      </c>
      <c r="Q39" t="inlineStr">
        <is>
          <t>Burgundy, Leather, Minimalist, Modern, Unisex</t>
        </is>
      </c>
      <c r="R39" t="inlineStr">
        <is>
          <t>recvhju1CrGTae</t>
        </is>
      </c>
      <c r="S39" t="inlineStr">
        <is>
          <t>loewe-burgundy-patent-leather-belt-gold-logo-buckle-recvhju1crgtae</t>
        </is>
      </c>
      <c r="T39"/>
      <c r="U39"/>
      <c r="V39"/>
      <c r="W39" t="inlineStr">
        <is>
          <t>{"id":"chatcmpl-DZR7qzlueaQZudJjybHSJMmYltryo","object":"chat.completion","created":1777338122,"model":"gpt-5-chat-2025-10-03","choices":[{"index":0,"message":{"role":"assistant","content":"Loewe：深酒红色光面皮革腰带，镀金LOGO字母扣设计，极简奢华风格，男女通用款，展现现代都市优雅品味。","refusal":null,"annotations":[]},"logprobs":null,"finish_reason":"stop"}],"usage":{"prompt_tokens":1307,"completion_tokens":48,"total_tokens":1355,"prompt_tokens_details":{"cached_tokens":1280,"audio_tokens":0},"completion_tokens_details":{"reasoning_tokens":0,"audio_tokens":0,"accepted_prediction_tokens":0,"rejected_prediction_tokens":0}},"service_tier":"default","system_fingerprint":"fp_ad66631dec"}</t>
        </is>
      </c>
      <c r="X39" t="inlineStr">
        <is>
          <t>Loewe：深酒红色光面皮革腰带，镀金LOGO字母扣设计，极简奢华风格，男女通用款，展现现代都市优雅品味。</t>
        </is>
      </c>
    </row>
    <row r="40" ht="25.5" customHeight="1">
      <c r="A40">
        <v>1654975475</v>
      </c>
      <c r="B40">
        <v>7623668296</v>
      </c>
      <c r="C40" s="2" t="str">
        <f>=HYPERLINK("https://weidian.com/item.html?itemID=7623668296", "https://weidian.com/item.html?itemID=7623668296")</f>
        <v>https://weidian.com/item.html?itemID=7623668296</v>
      </c>
      <c r="D40"/>
      <c r="E40" s="2" t="str">
        <f>=HYPERLINK("https://si.geilicdn.com/pcitem2014204438-4d260000019ad9c152780a210256_1440_1920.jpg?w=640&amp;h=640", "https://si.geilicdn.com/pcitem2014204438-4d260000019ad9c152780a210256_1440_1920.jpg?w=640&amp;h=640")</f>
        <v>https://si.geilicdn.com/pcitem2014204438-4d260000019ad9c152780a210256_1440_1920.jpg?w=640&amp;h=640</v>
      </c>
      <c r="F40" t="inlineStr">
        <is>
          <t>Accessories</t>
        </is>
      </c>
      <c r="G40" t="inlineStr">
        <is>
          <t>Loewe</t>
        </is>
      </c>
      <c r="H40">
        <v>520</v>
      </c>
      <c r="I40">
        <v>75.36</v>
      </c>
      <c r="J40" t="inlineStr">
        <is>
          <t>{"id":"chatcmpl-DZSMcLcITRe7rkSbsXdQlABnFkgCi","object":"chat.completion","created":1777342882,"model":"gpt-5-chat-2025-10-03","choices":[{"index":0,"message":{"role":"assistant","content":"Loewe Classic Brown Leather Belt Gold Logo Buckle","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ad66631dec"}</t>
        </is>
      </c>
      <c r="K40" t="inlineStr">
        <is>
          <t>Loewe Classic Brown Leather Belt Gold Logo Buckle</t>
        </is>
      </c>
      <c r="L40" t="inlineStr">
        <is>
          <t>{"id":"chatcmpl-DZRlEKC7riNADz4kkNHl5msWIsC3c","object":"chat.completion","created":1777340564,"model":"gpt-5-chat-2025-10-03","choices":[{"index":0,"message":{"role":"assistant","content":"Loewe Classic Caramel Brown Leather Slim Belt with Gold Logo Buckle, Fine Hand Stitching, Unisex Fashion Accessory, Minimalist Luxury Design for Timeless Elegance.","refusal":null,"annotations":[]},"logprobs":null,"finish_reason":"stop"}],"usage":{"prompt_tokens":890,"completion_tokens":38,"total_tokens":928,"prompt_tokens_details":{"cached_tokens":0,"audio_tokens":0},"completion_tokens_details":{"reasoning_tokens":0,"audio_tokens":0,"accepted_prediction_tokens":0,"rejected_prediction_tokens":0}},"service_tier":"default","system_fingerprint":"fp_ad66631dec"}</t>
        </is>
      </c>
      <c r="M40" t="inlineStr">
        <is>
          <t>{"alt-svc":"h3=\":443\"; ma=2592000","apim-request-id":"cdbf143e-9340-45c8-9619-d2ae5373502d","azureml-model-session":"d20260405234249-f9874baf","cache-control":"no-cache","connection":"close","content-length":"971","content-type":"application/json","date":"Tue, 28 Apr 2026 01:42:45 GMT","server":"nginx","skip-error-remapping":"true","strict-transport-security":"max-age=31536000; includeSubDomains; preload","via":"1.1 Caddy","x-content-type-options":"nosniff","x-ms-client-request-id":"Not-Set","x-ms-is-spilled-over":"false","x-ms-rai-invoked":"false","x-ms-region":"West US","x-new-api-version":"0.4.35","x-oneapi-request-id":"202604280142433949309208268d9d6UFftiXZR","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5165cae2-7a56-431e-ae44-e1a10bdb2dd0"}</t>
        </is>
      </c>
      <c r="N40" t="inlineStr">
        <is>
          <t>Loewe Classic Caramel Brown Leather Slim Belt with Gold Logo Buckle, Fine Hand Stitching, Unisex Fashion Accessory, Minimalist Luxury Design for Timeless Elegance.</t>
        </is>
      </c>
      <c r="O40" t="inlineStr">
        <is>
          <t>{"id":"chatcmpl-DZSXvXkohqtjFqT18mOrTsy0yH16q","object":"chat.completion","created":1777343583,"model":"gpt-5-chat-2025-10-03","choices":[{"index":0,"message":{"role":"assistant","content":"Loewe,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40" t="inlineStr">
        <is>
          <t>Loewe, belt, kakobuy, kakebuy2026, kekobuysheet, kakobuysheet2026, 2026kakobuy, kakobuyspreadsheeet, kakobuylink, kakebuylist, Kakobuy MEGA Spreadsheet, kakobuysheetfind, kakobuysheetfind2026, 2026kakobuysheetfind, kakobuysheet2026</t>
        </is>
      </c>
      <c r="Q40"/>
      <c r="R40" t="inlineStr">
        <is>
          <t>recvhju1CrIMZv</t>
        </is>
      </c>
      <c r="S40" t="inlineStr">
        <is>
          <t>loewe-classic-brown-leather-belt-gold-logo-buckle-recvhju1crimzv</t>
        </is>
      </c>
      <c r="T40"/>
      <c r="U40"/>
      <c r="V40"/>
      <c r="W40" t="inlineStr">
        <is>
          <t>{"id":"chatcmpl-DZRDD4azVhr4nKs9uSV16tj5esSIe","object":"chat.completion","created":1777338455,"model":"gpt-5-chat-2025-10-03","choices":[{"index":0,"message":{"role":"assistant","content":"Loewe：经典系列焦糖棕色真皮细腰带，金属LOGO扣设计简约奢雅，精致手工缝线细腻，男女通用时尚单品，彰显低调高级质感。","refusal":null,"annotations":[]},"logprobs":null,"finish_reason":"stop"}],"usage":{"prompt_tokens":1299,"completion_tokens":57,"total_tokens":1356,"prompt_tokens_details":{"cached_tokens":0,"audio_tokens":0},"completion_tokens_details":{"reasoning_tokens":0,"audio_tokens":0,"accepted_prediction_tokens":0,"rejected_prediction_tokens":0}},"service_tier":"default","system_fingerprint":"fp_ad66631dec"}</t>
        </is>
      </c>
      <c r="X40" t="inlineStr">
        <is>
          <t>Loewe：经典系列焦糖棕色真皮细腰带，金属LOGO扣设计简约奢雅，精致手工缝线细腻，男女通用时尚单品，彰显低调高级质感。</t>
        </is>
      </c>
    </row>
    <row r="41" ht="25.5" customHeight="1">
      <c r="A41">
        <v>1654975475</v>
      </c>
      <c r="B41">
        <v>7624470292</v>
      </c>
      <c r="C41" s="2" t="str">
        <f>=HYPERLINK("https://weidian.com/item.html?itemID=7624470292", "https://weidian.com/item.html?itemID=7624470292")</f>
        <v>https://weidian.com/item.html?itemID=7624470292</v>
      </c>
      <c r="D41"/>
      <c r="E41" s="2" t="str">
        <f>=HYPERLINK("https://si.geilicdn.com/pcitem2014204438-4f880000019ad9c833ac0a207569_1512_2016.jpg?w=640&amp;h=640", "https://si.geilicdn.com/pcitem2014204438-4f880000019ad9c833ac0a207569_1512_2016.jpg?w=640&amp;h=640")</f>
        <v>https://si.geilicdn.com/pcitem2014204438-4f880000019ad9c833ac0a207569_1512_2016.jpg?w=640&amp;h=640</v>
      </c>
      <c r="F41" t="inlineStr">
        <is>
          <t>Accessories</t>
        </is>
      </c>
      <c r="G41" t="inlineStr">
        <is>
          <t>Louis Vuitton</t>
        </is>
      </c>
      <c r="H41">
        <v>460</v>
      </c>
      <c r="I41">
        <v>66.67</v>
      </c>
      <c r="J41" t="inlineStr">
        <is>
          <t>{"id":"chatcmpl-DZSMu6bPpsYnXxJkVPnxWfX2mKEHN","object":"chat.completion","created":1777342900,"model":"gpt-5-chat-2025-10-03","choices":[{"index":0,"message":{"role":"assistant","content":"Louis Vuitton Monogram Eclipse Black Leather Belt","refusal":null,"annotations":[]},"logprobs":null,"finish_reason":"stop"}],"usage":{"prompt_tokens":875,"completion_tokens":9,"total_tokens":884,"prompt_tokens_details":{"cached_tokens":0,"audio_tokens":0},"completion_tokens_details":{"reasoning_tokens":0,"audio_tokens":0,"accepted_prediction_tokens":0,"rejected_prediction_tokens":0}},"service_tier":"default","system_fingerprint":"fp_ad66631dec"}</t>
        </is>
      </c>
      <c r="K41" t="inlineStr">
        <is>
          <t>Louis Vuitton Monogram Eclipse Black Leather Belt</t>
        </is>
      </c>
      <c r="L41" t="inlineStr">
        <is>
          <t>{"id":"chatcmpl-DZRfvo0QJvobiV7o9Rqg1UPcVaAN1","object":"chat.completion","created":1777340235,"model":"gpt-5-chat-2025-10-03","choices":[{"index":0,"message":{"role":"assistant","content":"Louis Vuitton Monogram Eclipse black men’s belt in grained leather with embossed LV logo and matte black LV buckle, offering a sleek, modern luxury look and versatile, elegant style.","refusal":null,"annotations":[]},"logprobs":null,"finish_reason":"stop"}],"usage":{"prompt_tokens":902,"completion_tokens":37,"total_tokens":939,"prompt_tokens_details":{"cached_tokens":0,"audio_tokens":0},"completion_tokens_details":{"reasoning_tokens":0,"audio_tokens":0,"accepted_prediction_tokens":0,"rejected_prediction_tokens":0}},"service_tier":"default","system_fingerprint":"fp_ad66631dec"}</t>
        </is>
      </c>
      <c r="M41" t="inlineStr">
        <is>
          <t>{"alt-svc":"h3=\":443\"; ma=2592000","apim-request-id":"8650b206-5222-41bf-b4f7-14d8d27b2984","azureml-model-session":"d20260405234249-f9874baf","cache-control":"no-cache","connection":"close","content-length":"992","content-type":"application/json","date":"Tue, 28 Apr 2026 01:37:16 GMT","server":"Caddy","skip-error-remapping":"true","strict-transport-security":"max-age=31536000; includeSubDomains; preload","x-content-type-options":"nosniff","x-ms-client-request-id":"Not-Set","x-ms-is-spilled-over":"false","x-ms-rai-invoked":"false","x-ms-region":"Central US","x-new-api-version":"0.4.35","x-oneapi-request-id":"202604280137147881293788268d9d6ApHNHbJt","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eb15f8b4-c8e6-42a1-8498-6985f51165a1"}</t>
        </is>
      </c>
      <c r="N41" t="inlineStr">
        <is>
          <t>Louis Vuitton Monogram Eclipse black men’s belt in grained leather with embossed LV logo and matte black LV buckle, offering a sleek, modern luxury look and versatile, elegant style.</t>
        </is>
      </c>
      <c r="O41" t="inlineStr">
        <is>
          <t>{"id":"chatcmpl-DZSZs7o6891Kw26BLgQXoGBelnFSh","object":"chat.completion","created":1777343704,"model":"gpt-5-chat-2025-10-03","choices":[{"index":0,"message":{"role":"assistant","content":"Louis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41" t="inlineStr">
        <is>
          <t>Louis Vuitton, Accessories, kakobuy, kakebuy2026, kekobuysheet, kakobuysheet2026, 2026kakobuy, kakobuyspreadsheeet, kakobuylink, kakebuylist, Kakobuy MEGA Spreadsheet, kakobuysheetfind, kakobuysheetfind2026, 2026kakobuysheetfind, kakobuysheet2026</t>
        </is>
      </c>
      <c r="Q41" t="inlineStr">
        <is>
          <t>LV, Leather, Black, Modern, Elegant, Men</t>
        </is>
      </c>
      <c r="R41" t="inlineStr">
        <is>
          <t>recvhju1CrGxg3</t>
        </is>
      </c>
      <c r="S41" t="inlineStr">
        <is>
          <t>louis-vuitton-monogram-eclipse-black-leather-belt-recvhju1crgxg3</t>
        </is>
      </c>
      <c r="T41"/>
      <c r="U41"/>
      <c r="V41"/>
      <c r="W41" t="inlineStr">
        <is>
          <t>{"id":"chatcmpl-DZR8M5rf3Wyrw851RFDTy2IdqmxsE","object":"chat.completion","created":1777338154,"model":"gpt-5-chat-2025-10-03","choices":[{"index":0,"message":{"role":"assistant","content":"Louis Vuitton：Monogram Eclipse系列黑色男士皮带，选用粒面牛皮材质，饰以经典LV标志压纹，搭配黑色金属LV扣头，简约利落展现现代奢华质感，时尚百搭彰显男士优雅魅力。","refusal":null,"annotations":[]},"logprobs":null,"finish_reason":"stop"}],"usage":{"prompt_tokens":1299,"completion_tokens":69,"total_tokens":1368,"prompt_tokens_details":{"cached_tokens":0,"audio_tokens":0},"completion_tokens_details":{"reasoning_tokens":0,"audio_tokens":0,"accepted_prediction_tokens":0,"rejected_prediction_tokens":0}},"service_tier":"default","system_fingerprint":"fp_ad66631dec"}</t>
        </is>
      </c>
      <c r="X41" t="inlineStr">
        <is>
          <t>Louis Vuitton：Monogram Eclipse系列黑色男士皮带，选用粒面牛皮材质，饰以经典LV标志压纹，搭配黑色金属LV扣头，简约利落展现现代奢华质感，时尚百搭彰显男士优雅魅力。</t>
        </is>
      </c>
    </row>
    <row r="42" ht="25.5" customHeight="1">
      <c r="A42">
        <v>1654975475</v>
      </c>
      <c r="B42">
        <v>7621413499</v>
      </c>
      <c r="C42" s="2" t="str">
        <f>=HYPERLINK("https://weidian.com/item.html?itemID=7621413499", "https://weidian.com/item.html?itemID=7621413499")</f>
        <v>https://weidian.com/item.html?itemID=7621413499</v>
      </c>
      <c r="D42"/>
      <c r="E42" s="2" t="str">
        <f>=HYPERLINK("https://si.geilicdn.com/pcitem2014204438-3fe10000019ad9ca7bee0a239646_1076_1076.jpg?w=640&amp;h=640", "https://si.geilicdn.com/pcitem2014204438-3fe10000019ad9ca7bee0a239646_1076_1076.jpg?w=640&amp;h=640")</f>
        <v>https://si.geilicdn.com/pcitem2014204438-3fe10000019ad9ca7bee0a239646_1076_1076.jpg?w=640&amp;h=640</v>
      </c>
      <c r="F42" t="inlineStr">
        <is>
          <t>Accessories</t>
        </is>
      </c>
      <c r="G42" t="inlineStr">
        <is>
          <t>Fendi</t>
        </is>
      </c>
      <c r="H42">
        <v>460</v>
      </c>
      <c r="I42">
        <v>66.67</v>
      </c>
      <c r="J42" t="inlineStr">
        <is>
          <t>{"id":"chatcmpl-DZSJHv3KAI0wCSZU1kIpvFCjEqpGw","object":"chat.completion","created":1777342675,"model":"gpt-5-chat-2025-10-03","choices":[{"index":0,"message":{"role":"assistant","content":"Fendi Black Leather Belt Gold FF Buckle Luxury男","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42" t="inlineStr">
        <is>
          <t>Fendi Black Leather Belt Gold FF Buckle Luxury男</t>
        </is>
      </c>
      <c r="L42" t="inlineStr">
        <is>
          <t>{"id":"chatcmpl-DZRgTyr2o5TbewC7WUbFxMsW4sftu","object":"chat.completion","created":1777340269,"model":"gpt-5-chat-2025-10-03","choices":[{"index":0,"message":{"role":"assistant","content":"Fendi classic black leather belt with gold 3D double F logo buckle, showcasing Italian elegance, fine craftsmanship, and modern unisex luxury style for a refined urban look.","refusal":null,"annotations":[]},"logprobs":null,"finish_reason":"stop"}],"usage":{"prompt_tokens":893,"completion_tokens":36,"total_tokens":929,"prompt_tokens_details":{"cached_tokens":0,"audio_tokens":0},"completion_tokens_details":{"reasoning_tokens":0,"audio_tokens":0,"accepted_prediction_tokens":0,"rejected_prediction_tokens":0}},"service_tier":"default","system_fingerprint":"fp_ad66631dec"}</t>
        </is>
      </c>
      <c r="M42" t="inlineStr">
        <is>
          <t>{"alt-svc":"h3=\":443\"; ma=2592000","apim-request-id":"ab6a490c-9f2c-43e3-8e78-4c6b9e66b4f2","azureml-model-session":"d20260402083108-57a85543","cache-control":"no-cache","connection":"close","content-length":"981","content-type":"application/json","date":"Tue, 28 Apr 2026 01:37:50 GMT","server":"nginx","skip-error-remapping":"true","strict-transport-security":"max-age=31536000; includeSubDomains; preload","via":"1.1 Caddy","x-content-type-options":"nosniff","x-ms-client-request-id":"Not-Set","x-ms-is-spilled-over":"false","x-ms-rai-invoked":"false","x-ms-region":"North Central US","x-new-api-version":"0.4.35","x-oneapi-request-id":"202604280137489725247488268d9d6JXBl6V5A","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701e16eb-dfb1-4994-a9cb-6885529cb756"}</t>
        </is>
      </c>
      <c r="N42" t="inlineStr">
        <is>
          <t>Fendi classic black leather belt with gold 3D double F logo buckle, showcasing Italian elegance, fine craftsmanship, and modern unisex luxury style for a refined urban look.</t>
        </is>
      </c>
      <c r="O42" t="inlineStr">
        <is>
          <t>{"id":"chatcmpl-DZSWGGCO9sY6tHB1UyA47LwfZ5PRx","object":"chat.completion","created":1777343480,"model":"gpt-5-chat-2025-10-03","choices":[{"index":0,"message":{"role":"assistant","content":"Fendi,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42" t="inlineStr">
        <is>
          <t>Fendi, belt, kakobuy, kakebuy2026, kekobuysheet, kakobuysheet2026, 2026kakobuy, kakobuyspreadsheeet, kakobuylink, kakebuylist, Kakobuy MEGA Spreadsheet, kakobuysheetfind, kakobuysheetfind2026, 2026kakobuysheetfind, kakobuysheet2026</t>
        </is>
      </c>
      <c r="Q42"/>
      <c r="R42" t="inlineStr">
        <is>
          <t>recvhju1Crpehn</t>
        </is>
      </c>
      <c r="S42" t="inlineStr">
        <is>
          <t>fendi-black-leather-belt-gold-ff-buckle-recvhju1crpehn</t>
        </is>
      </c>
      <c r="T42"/>
      <c r="U42"/>
      <c r="V42"/>
      <c r="W42" t="inlineStr">
        <is>
          <t>{"id":"chatcmpl-DZRETO5oFv9DI1IsXZqLBlHsoYINs","object":"chat.completion","created":1777338533,"model":"gpt-5-chat-2025-10-03","choices":[{"index":0,"message":{"role":"assistant","content":"Fendi：经典黑色真皮腰带，金色立体双F标志扣设计，质感细腻奢华，彰显意式优雅格调，男女皆宜，现代都市风格，尽显品牌高端工艺魅力。","refusal":null,"annotations":[]},"logprobs":null,"finish_reason":"stop"}],"usage":{"prompt_tokens":1299,"completion_tokens":60,"total_tokens":1359,"prompt_tokens_details":{"cached_tokens":0,"audio_tokens":0},"completion_tokens_details":{"reasoning_tokens":0,"audio_tokens":0,"accepted_prediction_tokens":0,"rejected_prediction_tokens":0}},"service_tier":"default","system_fingerprint":"fp_ad66631dec"}</t>
        </is>
      </c>
      <c r="X42" t="inlineStr">
        <is>
          <t>Fendi：经典黑色真皮腰带，金色立体双F标志扣设计，质感细腻奢华，彰显意式优雅格调，男女皆宜，现代都市风格，尽显品牌高端工艺魅力。</t>
        </is>
      </c>
    </row>
    <row r="43" ht="25.5" customHeight="1">
      <c r="A43">
        <v>1654975475</v>
      </c>
      <c r="B43">
        <v>7621374691</v>
      </c>
      <c r="C43" s="2" t="str">
        <f>=HYPERLINK("https://weidian.com/item.html?itemID=7621374691", "https://weidian.com/item.html?itemID=7621374691")</f>
        <v>https://weidian.com/item.html?itemID=7621374691</v>
      </c>
      <c r="D43"/>
      <c r="E43" s="2" t="str">
        <f>=HYPERLINK("https://si.geilicdn.com/pcitem2014204438-53970000019ad9af2b2a0a2315ef_1512_2016.jpg?w=640&amp;h=640", "https://si.geilicdn.com/pcitem2014204438-53970000019ad9af2b2a0a2315ef_1512_2016.jpg?w=640&amp;h=640")</f>
        <v>https://si.geilicdn.com/pcitem2014204438-53970000019ad9af2b2a0a2315ef_1512_2016.jpg?w=640&amp;h=640</v>
      </c>
      <c r="F43" t="inlineStr">
        <is>
          <t>Accessories</t>
        </is>
      </c>
      <c r="G43" t="inlineStr">
        <is>
          <t>Versace</t>
        </is>
      </c>
      <c r="H43">
        <v>500</v>
      </c>
      <c r="I43">
        <v>72.46</v>
      </c>
      <c r="J43" t="inlineStr">
        <is>
          <t>{"id":"chatcmpl-DZSGyA1uFTIKoeXmxPXsiQIecCZxI","object":"chat.completion","created":1777342532,"model":"gpt-5-chat-2025-10-03","choices":[{"index":0,"message":{"role":"assistant","content":"Versace Medusa Black Leather Belt Silver Buckle","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43" t="inlineStr">
        <is>
          <t>Versace Medusa Black Leather Belt Silver Buckle</t>
        </is>
      </c>
      <c r="L43" t="inlineStr">
        <is>
          <t>{"id":"chatcmpl-DZRct3FGf39hNiAnIPZa22HbtQ0M5","object":"chat.completion","created":1777340047,"model":"gpt-5-chat-2025-10-03","choices":[{"index":0,"message":{"role":"assistant","content":"Versace Medusa Black Leather Belt with 3D Silver Medusa Head Buckle and Greek Key Pattern, unisex luxury accessory blending modern minimalism and classic art for bold, timeless style.","refusal":null,"annotations":[]},"logprobs":null,"finish_reason":"stop"}],"usage":{"prompt_tokens":918,"completion_tokens":40,"total_tokens":958,"prompt_tokens_details":{"cached_tokens":0,"audio_tokens":0},"completion_tokens_details":{"reasoning_tokens":0,"audio_tokens":0,"accepted_prediction_tokens":0,"rejected_prediction_tokens":0}},"service_tier":"default","system_fingerprint":"fp_ad66631dec"}</t>
        </is>
      </c>
      <c r="M43" t="inlineStr">
        <is>
          <t>{"alt-svc":"h3=\":443\"; ma=2592000","apim-request-id":"c89f62e7-a125-4782-a26f-6d749a175119","azureml-model-session":"d20260402084046-4209e968","cache-control":"no-cache","connection":"close","content-length":"991","content-type":"application/json","date":"Tue, 28 Apr 2026 01:34:08 GMT","server":"nginx","skip-error-remapping":"true","strict-transport-security":"max-age=31536000; includeSubDomains; preload","via":"1.1 Caddy","x-content-type-options":"nosniff","x-ms-client-request-id":"Not-Set","x-ms-is-spilled-over":"false","x-ms-rai-invoked":"false","x-ms-region":"South Central US","x-new-api-version":"0.4.35","x-oneapi-request-id":"20260428013406906570818268d9d63b58F0CG","x-ratelimit-abusepenalty-active":"False","x-ratelimit-key":"gpt-5-chat-global","x-ratelimit-limit-requests":"1000","x-ratelimit-limit-tokens":"1000000","x-ratelimit-remaining-requests":"999","x-ratelimit-remaining-tokens":"998320","x-ratelimit-renewalperiod-requests":"60","x-ratelimit-renewalperiod-tokens":"60","x-ratelimit-reset-requests":"60","x-ratelimit-reset-tokens":"100","x-request-id":"0591b5c4-21e3-4627-a739-5a7707d24fd9"}</t>
        </is>
      </c>
      <c r="N43" t="inlineStr">
        <is>
          <t>Versace Medusa Black Leather Belt with 3D Silver Medusa Head Buckle and Greek Key Pattern, unisex luxury accessory blending modern minimalism and classic art for bold, timeless style.</t>
        </is>
      </c>
      <c r="O43" t="inlineStr">
        <is>
          <t>{"id":"chatcmpl-DZSZ2OxRkMLHfKtI0fmUbkzDU6yAU","object":"chat.completion","created":1777343652,"model":"gpt-5-chat-2025-10-03","choices":[{"index":0,"message":{"role":"assistant","content":"Versace,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43" t="inlineStr">
        <is>
          <t>Versace, belt, kakobuy, kakebuy2026, kekobuysheet, kakobuysheet2026, 2026kakobuy, kakobuyspreadsheeet, kakobuylink, kakebuylist, Kakobuy MEGA Spreadsheet, kakobuysheetfind, kakobuysheetfind2026, 2026kakobuysheetfind, kakobuysheet2026</t>
        </is>
      </c>
      <c r="Q43" t="inlineStr">
        <is>
          <t>Black, Leather, Unisex, Minimalist, Classic</t>
        </is>
      </c>
      <c r="R43" t="inlineStr">
        <is>
          <t>recvhju1CroBcp</t>
        </is>
      </c>
      <c r="S43" t="inlineStr">
        <is>
          <t>versace-medusa-black-leather-belt-silver-buckle-recvhju1crobcp</t>
        </is>
      </c>
      <c r="T43"/>
      <c r="U43"/>
      <c r="V43"/>
      <c r="W43" t="inlineStr">
        <is>
          <t>{"id":"chatcmpl-DZR9y3NkJlxMDVeDPJq7ZJzLezMIA","object":"chat.completion","created":1777338254,"model":"gpt-5-chat-2025-10-03","choices":[{"index":0,"message":{"role":"assistant","content":"Versace：黑色Medusa系列皮革腰带，饰以立体银色美杜莎头像金属扣，搭配经典希腊几何纹理图腾设计，彰显奢华与力量感。适合男女通用，融合现代极简与复古艺术风格，是时尚造型与高端品味的完美象征。","refusal":null,"annotations":[]},"logprobs":null,"finish_reason":"stop"}],"usage":{"prompt_tokens":1303,"completion_tokens":83,"total_tokens":1386,"prompt_tokens_details":{"cached_tokens":1280,"audio_tokens":0},"completion_tokens_details":{"reasoning_tokens":0,"audio_tokens":0,"accepted_prediction_tokens":0,"rejected_prediction_tokens":0}},"service_tier":"default","system_fingerprint":"fp_ad66631dec"}</t>
        </is>
      </c>
      <c r="X43" t="inlineStr">
        <is>
          <t>Versace：黑色Medusa系列皮革腰带，饰以立体银色美杜莎头像金属扣，搭配经典希腊几何纹理图腾设计，彰显奢华与力量感。适合男女通用，融合现代极简与复古艺术风格，是时尚造型与高端品味的完美象征。</t>
        </is>
      </c>
    </row>
    <row r="44" ht="25.5" customHeight="1">
      <c r="A44">
        <v>1654975475</v>
      </c>
      <c r="B44">
        <v>7624414150</v>
      </c>
      <c r="C44" s="2" t="str">
        <f>=HYPERLINK("https://weidian.com/item.html?itemID=7624414150", "https://weidian.com/item.html?itemID=7624414150")</f>
        <v>https://weidian.com/item.html?itemID=7624414150</v>
      </c>
      <c r="D44"/>
      <c r="E44" s="2" t="str">
        <f>=HYPERLINK("https://si.geilicdn.com/pcitem2014204438-4d5f0000019ad9af98aa0a2303ee_1512_2016.jpg?w=640&amp;h=640", "https://si.geilicdn.com/pcitem2014204438-4d5f0000019ad9af98aa0a2303ee_1512_2016.jpg?w=640&amp;h=640")</f>
        <v>https://si.geilicdn.com/pcitem2014204438-4d5f0000019ad9af98aa0a2303ee_1512_2016.jpg?w=640&amp;h=640</v>
      </c>
      <c r="F44" t="inlineStr">
        <is>
          <t>Accessories</t>
        </is>
      </c>
      <c r="G44" t="inlineStr">
        <is>
          <t>Versace</t>
        </is>
      </c>
      <c r="H44">
        <v>500</v>
      </c>
      <c r="I44">
        <v>72.46</v>
      </c>
      <c r="J44" t="inlineStr">
        <is>
          <t>{"id":"chatcmpl-DZSIIxnDPZgMqOlJZ7xx6dsMVM41c","object":"chat.completion","created":1777342614,"model":"gpt-5-chat-2025-10-03","choices":[{"index":0,"message":{"role":"assistant","content":"Versace Medusa Black Leather Belt Gold Silver Buckle","refusal":null,"annotations":[]},"logprobs":null,"finish_reason":"stop"}],"usage":{"prompt_tokens":869,"completion_tokens":12,"total_tokens":881,"prompt_tokens_details":{"cached_tokens":0,"audio_tokens":0},"completion_tokens_details":{"reasoning_tokens":0,"audio_tokens":0,"accepted_prediction_tokens":0,"rejected_prediction_tokens":0}},"service_tier":"default","system_fingerprint":"fp_ad66631dec"}</t>
        </is>
      </c>
      <c r="K44" t="inlineStr">
        <is>
          <t>Versace Medusa Black Leather Belt Gold Silver Buckle</t>
        </is>
      </c>
      <c r="L44" t="inlineStr">
        <is>
          <t>{"id":"chatcmpl-DZRf7eK1uutwUDhRawEMUxNEKYERV","object":"chat.completion","created":1777340185,"model":"gpt-5-chat-2025-10-03","choices":[{"index":0,"message":{"role":"assistant","content":"Versace black leather belt with iconic Medusa motif and gold-silver 3D buckle. Luxurious Italian design, stylish unisex accessory for modern fashion lovers.","refusal":null,"annotations":[]},"logprobs":null,"finish_reason":"stop"}],"usage":{"prompt_tokens":884,"completion_tokens":34,"total_tokens":918,"prompt_tokens_details":{"cached_tokens":0,"audio_tokens":0},"completion_tokens_details":{"reasoning_tokens":0,"audio_tokens":0,"accepted_prediction_tokens":0,"rejected_prediction_tokens":0}},"service_tier":"default","system_fingerprint":"fp_ad66631dec"}</t>
        </is>
      </c>
      <c r="M44" t="inlineStr">
        <is>
          <t>{"alt-svc":"h3=\":443\"; ma=2592000","apim-request-id":"853cccbc-cb7c-412f-b521-e75bcc11417c","azureml-model-session":"d20260402075109-1fc5a0ec","cache-control":"no-cache","connection":"close","content-length":"964","content-type":"application/json","date":"Tue, 28 Apr 2026 01:36:27 GMT","server":"nginx","skip-error-remapping":"true","strict-transport-security":"max-age=31536000; includeSubDomains; preload","via":"1.1 Caddy","x-content-type-options":"nosniff","x-ms-client-request-id":"Not-Set","x-ms-is-spilled-over":"false","x-ms-rai-invoked":"false","x-ms-region":"Poland Central","x-new-api-version":"0.4.35","x-oneapi-request-id":"202604280136247754244278268d9d65j7P1iOG","x-ratelimit-abusepenalty-active":"False","x-ratelimit-key":"gpt-5-chat-global","x-ratelimit-limit-requests":"1000","x-ratelimit-limit-tokens":"1000000","x-ratelimit-remaining-requests":"999","x-ratelimit-remaining-tokens":"998009","x-ratelimit-renewalperiod-requests":"60","x-ratelimit-renewalperiod-tokens":"60","x-ratelimit-reset-requests":"60","x-ratelimit-reset-tokens":"119","x-request-id":"a6aca953-8514-4f00-bdc2-e9941bad6d7e"}</t>
        </is>
      </c>
      <c r="N44" t="inlineStr">
        <is>
          <t>Versace black leather belt with iconic Medusa motif and gold-silver 3D buckle. Luxurious Italian design, stylish unisex accessory for modern fashion lovers.</t>
        </is>
      </c>
      <c r="O44" t="inlineStr">
        <is>
          <t>{"id":"chatcmpl-DZSWFW0fpsL4DBR1ZDVo4ubRWuHyF","object":"chat.completion","created":1777343479,"model":"gpt-5-chat-2025-10-03","choices":[{"index":0,"message":{"role":"assistant","content":"Versace,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44" t="inlineStr">
        <is>
          <t>Versace,Belt,kakobuy,kakebuy2026,kekobuysheet,kakobuysheet2026,2026kakobuy,kakobuyspreadsheeet,kakobuylink,kakebuylist,Kakobuy MEGA Spreadsheet,kakobuysheetfind,kakobuysheetfind2026,2026kakobuysheetfind,kakobuysheet2026</t>
        </is>
      </c>
      <c r="Q44"/>
      <c r="R44" t="inlineStr">
        <is>
          <t>recvhju1Cr8iz8</t>
        </is>
      </c>
      <c r="S44" t="inlineStr">
        <is>
          <t>versace-medusa-black-leather-belt-recvhju1cr8iz8</t>
        </is>
      </c>
      <c r="T44"/>
      <c r="U44"/>
      <c r="V44"/>
      <c r="W44" t="inlineStr">
        <is>
          <t>{"id":"chatcmpl-DZRBs9yNXI80cXjhSPrU5Caepzmrn","object":"chat.completion","created":1777338372,"model":"gpt-5-chat-2025-10-03","choices":[{"index":0,"message":{"role":"assistant","content":"Versace：黑色Medusa图腾皮质腰带，搭配金银双色立体美杜莎扣，奢华设计彰显意式高定风格，男女通用时尚配饰。","refusal":null,"annotations":[]},"logprobs":null,"finish_reason":"stop"}],"usage":{"prompt_tokens":1305,"completion_tokens":48,"total_tokens":1353,"prompt_tokens_details":{"cached_tokens":0,"audio_tokens":0},"completion_tokens_details":{"reasoning_tokens":0,"audio_tokens":0,"accepted_prediction_tokens":0,"rejected_prediction_tokens":0}},"service_tier":"default","system_fingerprint":"fp_ad66631dec"}</t>
        </is>
      </c>
      <c r="X44" t="inlineStr">
        <is>
          <t>Versace：黑色Medusa图腾皮质腰带，搭配金银双色立体美杜莎扣，奢华设计彰显意式高定风格，男女通用时尚配饰。</t>
        </is>
      </c>
    </row>
    <row r="45" ht="25.5" customHeight="1">
      <c r="A45">
        <v>1654975475</v>
      </c>
      <c r="B45">
        <v>7621469849</v>
      </c>
      <c r="C45" s="2" t="str">
        <f>=HYPERLINK("https://weidian.com/item.html?itemID=7621469849", "https://weidian.com/item.html?itemID=7621469849")</f>
        <v>https://weidian.com/item.html?itemID=7621469849</v>
      </c>
      <c r="D45"/>
      <c r="E45" s="2" t="str">
        <f>=HYPERLINK("https://si.geilicdn.com/pcitem2014204438-3af10000019ad9b0070c0a239846_1512_2016.jpg?w=640&amp;h=640", "https://si.geilicdn.com/pcitem2014204438-3af10000019ad9b0070c0a239846_1512_2016.jpg?w=640&amp;h=640")</f>
        <v>https://si.geilicdn.com/pcitem2014204438-3af10000019ad9b0070c0a239846_1512_2016.jpg?w=640&amp;h=640</v>
      </c>
      <c r="F45" t="inlineStr">
        <is>
          <t>Accessories</t>
        </is>
      </c>
      <c r="G45" t="inlineStr">
        <is>
          <t>Versace</t>
        </is>
      </c>
      <c r="H45">
        <v>500</v>
      </c>
      <c r="I45">
        <v>72.46</v>
      </c>
      <c r="J45" t="inlineStr">
        <is>
          <t>{"id":"chatcmpl-DZSJ2zok3tGq16RG2cPY62ZggThml","object":"chat.completion","created":1777342660,"model":"gpt-5-chat-2025-10-03","choices":[{"index":0,"message":{"role":"assistant","content":"Versace Men Black Leather Belt Silver Medusa Buckle","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45" t="inlineStr">
        <is>
          <t>Versace Men Black Leather Belt Silver Medusa Buckle</t>
        </is>
      </c>
      <c r="L45" t="inlineStr">
        <is>
          <t>{"id":"chatcmpl-DZRftO1lVTOKNTBXfetYnw26dU8M1","object":"chat.completion","created":1777340233,"model":"gpt-5-chat-2025-10-03","choices":[{"index":0,"message":{"role":"assistant","content":"Versace Men’s Black Leather &amp; Fabric Belt with Silver 3D Medusa Buckle, Greek Key Pattern, Elegant Italian Design for Business &amp; Casual Style, Iconic Luxury Accessory.","refusal":null,"annotations":[]},"logprobs":null,"finish_reason":"stop"}],"usage":{"prompt_tokens":944,"completion_tokens":39,"total_tokens":983,"prompt_tokens_details":{"cached_tokens":0,"audio_tokens":0},"completion_tokens_details":{"reasoning_tokens":0,"audio_tokens":0,"accepted_prediction_tokens":0,"rejected_prediction_tokens":0}},"service_tier":"default","system_fingerprint":"fp_ad66631dec"}</t>
        </is>
      </c>
      <c r="M45" t="inlineStr">
        <is>
          <t>{"alt-svc":"h3=\":443\"; ma=2592000","apim-request-id":"9b3200bc-31a7-43e1-8c73-21a2d3900e9c","azureml-model-session":"d20260405234249-f9874baf","cache-control":"no-cache","connection":"close","content-length":"977","content-type":"application/json","date":"Tue, 28 Apr 2026 01:37:13 GMT","server":"Caddy","skip-error-remapping":"true","strict-transport-security":"max-age=31536000; includeSubDomains; preload","x-content-type-options":"nosniff","x-ms-client-request-id":"Not-Set","x-ms-is-spilled-over":"false","x-ms-rai-invoked":"false","x-ms-region":"Central US","x-new-api-version":"0.4.35","x-oneapi-request-id":"202604280137124343176358268d9d675lBRM5y","x-ratelimit-abusepenalty-active":"False","x-ratelimit-key":"gpt-5-chat-global","x-ratelimit-limit-requests":"1000","x-ratelimit-limit-tokens":"1000000","x-ratelimit-remaining-requests":"999","x-ratelimit-remaining-tokens":"998294","x-ratelimit-renewalperiod-requests":"60","x-ratelimit-renewalperiod-tokens":"60","x-ratelimit-reset-requests":"60","x-ratelimit-reset-tokens":"102","x-request-id":"af81ad87-c974-4e8f-9cc2-669156d39f53"}</t>
        </is>
      </c>
      <c r="N45" t="inlineStr">
        <is>
          <t>Versace Men’s Black Leather &amp; Fabric Belt with Silver 3D Medusa Buckle, Greek Key Pattern, Elegant Italian Design for Business &amp; Casual Style, Iconic Luxury Accessory.</t>
        </is>
      </c>
      <c r="O45" t="inlineStr">
        <is>
          <t>{"id":"chatcmpl-DZSX6H0FibUtcrPUYAjSGdbysFP9o","object":"chat.completion","created":1777343532,"model":"gpt-5-chat-2025-10-03","choices":[{"index":0,"message":{"role":"assistant","content":"Versace,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45" t="inlineStr">
        <is>
          <t>Versace,Accessories,kakobuy,kakebuy2026,kekobuysheet,kakobuysheet2026,2026kakobuy,kakobuyspreadsheeet,kakobuylink,kakebuylist,Kakobuy MEGA Spreadsheet,kakobuysheetfind,kakobuysheetfind2026,2026kakobuysheetfind,kakobuysheet2026</t>
        </is>
      </c>
      <c r="Q45" t="inlineStr">
        <is>
          <t>Black, Leather, Elegant, Business Casual, Men</t>
        </is>
      </c>
      <c r="R45" t="inlineStr">
        <is>
          <t>recvhju1CreE0p</t>
        </is>
      </c>
      <c r="S45" t="inlineStr">
        <is>
          <t>versace-black-leather-belt-medusa-buckle-recvhju1cree0p</t>
        </is>
      </c>
      <c r="T45"/>
      <c r="U45"/>
      <c r="V45"/>
      <c r="W45" t="inlineStr">
        <is>
          <t>{"id":"chatcmpl-DZR64fnfBmiuuIFbWrSX9pgcmkIWn","object":"chat.completion","created":1777338012,"model":"gpt-5-chat-2025-10-03","choices":[{"index":0,"message":{"role":"assistant","content":"Versace：黑色美杜莎金属扣腰带，甄选真皮与织纹混合材质，镶嵌银色立体美杜莎头像，彰显品牌奢华象征。希腊回纹图腾装饰腰带全身，质感高级而大气。男士经典设计，融合意式优雅与现代硬朗风格，适配商务与休闲场合，尽显Versace标志性时尚魅力。","refusal":null,"annotations":[]},"logprobs":null,"finish_reason":"stop"}],"usage":{"prompt_tokens":1301,"completion_tokens":110,"total_tokens":1411,"prompt_tokens_details":{"cached_tokens":0,"audio_tokens":0},"completion_tokens_details":{"reasoning_tokens":0,"audio_tokens":0,"accepted_prediction_tokens":0,"rejected_prediction_tokens":0}},"service_tier":"default","system_fingerprint":"fp_ad66631dec"}</t>
        </is>
      </c>
      <c r="X45" t="inlineStr">
        <is>
          <t>Versace：黑色美杜莎金属扣腰带，甄选真皮与织纹混合材质，镶嵌银色立体美杜莎头像，彰显品牌奢华象征。希腊回纹图腾装饰腰带全身，质感高级而大气。男士经典设计，融合意式优雅与现代硬朗风格，适配商务与休闲场合，尽显Versace标志性时尚魅力。</t>
        </is>
      </c>
    </row>
    <row r="46" ht="25.5" customHeight="1">
      <c r="A46">
        <v>1654975475</v>
      </c>
      <c r="B46">
        <v>7623706200</v>
      </c>
      <c r="C46" s="2" t="str">
        <f>=HYPERLINK("https://weidian.com/item.html?itemID=7623706200", "https://weidian.com/item.html?itemID=7623706200")</f>
        <v>https://weidian.com/item.html?itemID=7623706200</v>
      </c>
      <c r="D46"/>
      <c r="E46" s="2" t="str">
        <f>=HYPERLINK("https://si.geilicdn.com/pcitem2014204438-47ef0000019ad9b946620a23047e_1512_2016.jpg?w=640&amp;h=640", "https://si.geilicdn.com/pcitem2014204438-47ef0000019ad9b946620a23047e_1512_2016.jpg?w=640&amp;h=640")</f>
        <v>https://si.geilicdn.com/pcitem2014204438-47ef0000019ad9b946620a23047e_1512_2016.jpg?w=640&amp;h=640</v>
      </c>
      <c r="F46" t="inlineStr">
        <is>
          <t>Accessories</t>
        </is>
      </c>
      <c r="G46" t="inlineStr">
        <is>
          <t>Dior</t>
        </is>
      </c>
      <c r="H46">
        <v>500</v>
      </c>
      <c r="I46">
        <v>72.46</v>
      </c>
      <c r="J46" t="inlineStr">
        <is>
          <t>{"id":"chatcmpl-DZSJFn5WsAPX2mCz3SPJm7IYQMCzd","object":"chat.completion","created":1777342673,"model":"gpt-5-chat-2025-10-03","choices":[{"index":0,"message":{"role":"assistant","content":"Dior Oblique Gray Blue Belt Gold Star Buckle Unisex","refusal":null,"annotations":[]},"logprobs":null,"finish_reason":"stop"}],"usage":{"prompt_tokens":869,"completion_tokens":14,"total_tokens":883,"prompt_tokens_details":{"cached_tokens":0,"audio_tokens":0},"completion_tokens_details":{"reasoning_tokens":0,"audio_tokens":0,"accepted_prediction_tokens":0,"rejected_prediction_tokens":0}},"service_tier":"default","system_fingerprint":"fp_ad66631dec"}</t>
        </is>
      </c>
      <c r="K46" t="inlineStr">
        <is>
          <t>Dior Oblique Gray Blue Belt Gold Star Buckle Unisex</t>
        </is>
      </c>
      <c r="L46" t="inlineStr">
        <is>
          <t>{"id":"chatcmpl-DZRdaZ3h0OGqyL9lLdXmYTYAhQ84P","object":"chat.completion","created":1777340090,"model":"gpt-5-chat-2025-10-03","choices":[{"index":0,"message":{"role":"assistant","content":"Dior Oblique Gray-Blue Fabric Belt with Gold Star Logo Buckle, canvas and leather blend, French chic style, unisex design for timeless modern elegance.","refusal":null,"annotations":[]},"logprobs":null,"finish_reason":"stop"}],"usage":{"prompt_tokens":887,"completion_tokens":34,"total_tokens":921,"prompt_tokens_details":{"cached_tokens":0,"audio_tokens":0},"completion_tokens_details":{"reasoning_tokens":0,"audio_tokens":0,"accepted_prediction_tokens":0,"rejected_prediction_tokens":0}},"service_tier":"default","system_fingerprint":"fp_ad66631dec"}</t>
        </is>
      </c>
      <c r="M46" t="inlineStr">
        <is>
          <t>{"alt-svc":"h3=\":443\"; ma=2592000","apim-request-id":"0938a8ad-c18c-4e70-a9fa-bd24f66bb6a4","azureml-model-session":"d20260405221325-2e8d5e76","cache-control":"no-cache","connection":"close","content-length":"959","content-type":"application/json","date":"Tue, 28 Apr 2026 01:34:51 GMT","server":"nginx","skip-error-remapping":"true","strict-transport-security":"max-age=31536000; includeSubDomains; preload","via":"1.1 Caddy","x-content-type-options":"nosniff","x-ms-client-request-id":"Not-Set","x-ms-is-spilled-over":"false","x-ms-rai-invoked":"false","x-ms-region":"Poland Central","x-new-api-version":"0.4.35","x-oneapi-request-id":"202604280134493080934438268d9d6mHYoKSyG","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8611cf5e-192d-4698-93bd-f6dcba4a6f94"}</t>
        </is>
      </c>
      <c r="N46" t="inlineStr">
        <is>
          <t>Dior Oblique Gray-Blue Fabric Belt with Gold Star Logo Buckle, canvas and leather blend, French chic style, unisex design for timeless modern elegance.</t>
        </is>
      </c>
      <c r="O46" t="inlineStr">
        <is>
          <t>{"id":"chatcmpl-DZSXCejkLrh9N8fheH4KZZRK10YZV","object":"chat.completion","created":1777343538,"model":"gpt-5-chat-2025-10-03","choices":[{"index":0,"message":{"role":"assistant","content":"Dior,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46" t="inlineStr">
        <is>
          <t>Dior, belt, kakobuy, kakebuy2026, kekobuysheet, kakobuysheet2026, 2026kakobuy, kakobuyspreadsheeet, kakobuylink, kakebuylist, Kakobuy MEGA Spreadsheet, kakobuysheetfind, kakobuysheetfind2026, 2026kakobuysheetfind, kakobuysheet2026</t>
        </is>
      </c>
      <c r="Q46" t="inlineStr">
        <is>
          <t>Dior, Dior Oblique, Grey Blue, Canvas, Leather, Unisex</t>
        </is>
      </c>
      <c r="R46" t="inlineStr">
        <is>
          <t>recvhju1Cr7i83</t>
        </is>
      </c>
      <c r="S46" t="inlineStr">
        <is>
          <t>dior-oblique-gray-blue-belt-gold-star-buckle-recvhju1cr7i83</t>
        </is>
      </c>
      <c r="T46"/>
      <c r="U46"/>
      <c r="V46"/>
      <c r="W46" t="inlineStr">
        <is>
          <t>{"id":"chatcmpl-DZRDgcmAg9r5OyhDkVL1M2wpYivmF","object":"chat.completion","created":1777338484,"model":"gpt-5-chat-2025-10-03","choices":[{"index":0,"message":{"role":"assistant","content":"Dior：Oblique灰蓝色织物腰带，饰以金色星徽Logo扣，精织帆布与皮革拼接，法式优雅格调，男女皆宜，展现摩登复古风尚。","refusal":null,"annotations":[]},"logprobs":null,"finish_reason":"stop"}],"usage":{"prompt_tokens":1299,"completion_tokens":54,"total_tokens":1353,"prompt_tokens_details":{"cached_tokens":0,"audio_tokens":0},"completion_tokens_details":{"reasoning_tokens":0,"audio_tokens":0,"accepted_prediction_tokens":0,"rejected_prediction_tokens":0}},"service_tier":"default","system_fingerprint":"fp_ad66631dec"}</t>
        </is>
      </c>
      <c r="X46" t="inlineStr">
        <is>
          <t>Dior：Oblique灰蓝色织物腰带，饰以金色星徽Logo扣，精织帆布与皮革拼接，法式优雅格调，男女皆宜，展现摩登复古风尚。</t>
        </is>
      </c>
    </row>
    <row r="47" ht="25.5" customHeight="1">
      <c r="A47">
        <v>1654975475</v>
      </c>
      <c r="B47">
        <v>7624402416</v>
      </c>
      <c r="C47" s="2" t="str">
        <f>=HYPERLINK("https://weidian.com/item.html?itemID=7624402416", "https://weidian.com/item.html?itemID=7624402416")</f>
        <v>https://weidian.com/item.html?itemID=7624402416</v>
      </c>
      <c r="D47"/>
      <c r="E47" s="2" t="str">
        <f>=HYPERLINK("https://si.geilicdn.com/pcitem2014204438-22340000019ad9b9da410a20e2c5_1512_2016.jpg?w=640&amp;h=640", "https://si.geilicdn.com/pcitem2014204438-22340000019ad9b9da410a20e2c5_1512_2016.jpg?w=640&amp;h=640")</f>
        <v>https://si.geilicdn.com/pcitem2014204438-22340000019ad9b9da410a20e2c5_1512_2016.jpg?w=640&amp;h=640</v>
      </c>
      <c r="F47" t="inlineStr">
        <is>
          <t>Accessories</t>
        </is>
      </c>
      <c r="G47" t="inlineStr">
        <is>
          <t>Versace</t>
        </is>
      </c>
      <c r="H47">
        <v>520</v>
      </c>
      <c r="I47">
        <v>75.36</v>
      </c>
      <c r="J47" t="inlineStr">
        <is>
          <t>{"id":"chatcmpl-DZSHJKPKLwIIywcRBizxrDSmXtAOt","object":"chat.completion","created":1777342553,"model":"gpt-5-chat-2025-10-03","choices":[{"index":0,"message":{"role":"assistant","content":"Versace Black Medusa Leather Belt for Men","refusal":null,"annotations":[]},"logprobs":null,"finish_reason":"stop"}],"usage":{"prompt_tokens":861,"completion_tokens":10,"total_tokens":871,"prompt_tokens_details":{"cached_tokens":0,"audio_tokens":0},"completion_tokens_details":{"reasoning_tokens":0,"audio_tokens":0,"accepted_prediction_tokens":0,"rejected_prediction_tokens":0}},"service_tier":"default","system_fingerprint":"fp_ad66631dec"}</t>
        </is>
      </c>
      <c r="K47" t="inlineStr">
        <is>
          <t>Versace Black Medusa Leather Belt for Men</t>
        </is>
      </c>
      <c r="L47" t="inlineStr">
        <is>
          <t>{"id":"chatcmpl-DZRfY3GowJGNZ698WKsFDwpKs7h62","object":"chat.completion","created":1777340212,"model":"gpt-5-chat-2025-10-03","choices":[{"index":0,"message":{"role":"assistant","content":"Versace black geometric leather belt with engraved Medusa metal buckle, showcasing luxurious Greek-inspired style, a classic men’s fashion accessory for timeless elegance.","refusal":null,"annotations":[]},"logprobs":null,"finish_reason":"stop"}],"usage":{"prompt_tokens":879,"completion_tokens":30,"total_tokens":909,"prompt_tokens_details":{"cached_tokens":0,"audio_tokens":0},"completion_tokens_details":{"reasoning_tokens":0,"audio_tokens":0,"accepted_prediction_tokens":0,"rejected_prediction_tokens":0}},"service_tier":"default","system_fingerprint":"fp_ad66631dec"}</t>
        </is>
      </c>
      <c r="M47" t="inlineStr">
        <is>
          <t>{"alt-svc":"h3=\":443\"; ma=2592000","apim-request-id":"696d0cf2-a589-4539-9d48-d12ef5ee1a9d","azureml-model-session":"d20260402075109-1fc5a0ec","cache-control":"no-cache","connection":"close","content-length":"981","content-type":"application/json","date":"Tue, 28 Apr 2026 01:36:52 GMT","server":"nginx","skip-error-remapping":"true","strict-transport-security":"max-age=31536000; includeSubDomains; preload","via":"1.1 Caddy","x-content-type-options":"nosniff","x-ms-client-request-id":"Not-Set","x-ms-is-spilled-over":"false","x-ms-rai-invoked":"false","x-ms-region":"East US","x-new-api-version":"0.4.35","x-oneapi-request-id":"20260428013651952817518268d9d64EaOUKaE","x-ratelimit-abusepenalty-active":"False","x-ratelimit-key":"gpt-5-chat-global","x-ratelimit-limit-requests":"1000","x-ratelimit-limit-tokens":"1000000","x-ratelimit-remaining-requests":"999","x-ratelimit-remaining-tokens":"998359","x-ratelimit-renewalperiod-requests":"60","x-ratelimit-renewalperiod-tokens":"60","x-ratelimit-reset-requests":"60","x-ratelimit-reset-tokens":"98","x-request-id":"14d19528-bb57-4483-82e2-621fe49d77ab"}</t>
        </is>
      </c>
      <c r="N47" t="inlineStr">
        <is>
          <t>Versace black geometric leather belt with engraved Medusa metal buckle, showcasing luxurious Greek-inspired style, a classic men’s fashion accessory for timeless elegance.</t>
        </is>
      </c>
      <c r="O47" t="inlineStr">
        <is>
          <t>{"id":"chatcmpl-DZSbkBL9u2TF9SGSSkmmEhEe0QwYO","object":"chat.completion","created":1777343820,"model":"gpt-5-chat-2025-10-03","choices":[{"index":0,"message":{"role":"assistant","content":"Versace,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47" t="inlineStr">
        <is>
          <t>Versace,Belt,kakobuy,kakebuy2026,kekobuysheet,kakobuysheet2026,2026kakobuy,kakobuyspreadsheeet,kakobuylink,kakebuylist,Kakobuy MEGA Spreadsheet,kakobuysheetfind,kakobuysheetfind2026,2026kakobuysheetfind,kakobuysheet2026</t>
        </is>
      </c>
      <c r="Q47"/>
      <c r="R47" t="inlineStr">
        <is>
          <t>recvhju1Crkw7U</t>
        </is>
      </c>
      <c r="S47" t="inlineStr">
        <is>
          <t>versace-black-medusa-leather-belt-recvhju1crkw7u</t>
        </is>
      </c>
      <c r="T47"/>
      <c r="U47"/>
      <c r="V47"/>
      <c r="W47" t="inlineStr">
        <is>
          <t>{"id":"chatcmpl-DZRD5xpu3F5ZHUDUpJCuPCx8kXGV6","object":"chat.completion","created":1777338447,"model":"gpt-5-chat-2025-10-03","choices":[{"index":0,"message":{"role":"assistant","content":"Versace：黑色几何纹皮质腰带，金属雕刻美杜莎扣头设计，彰显奢华希腊风格，男士经典时尚配饰。","refusal":null,"annotations":[]},"logprobs":null,"finish_reason":"stop"}],"usage":{"prompt_tokens":1303,"completion_tokens":44,"total_tokens":1347,"prompt_tokens_details":{"cached_tokens":0,"audio_tokens":0},"completion_tokens_details":{"reasoning_tokens":0,"audio_tokens":0,"accepted_prediction_tokens":0,"rejected_prediction_tokens":0}},"service_tier":"default","system_fingerprint":"fp_ad66631dec"}</t>
        </is>
      </c>
      <c r="X47" t="inlineStr">
        <is>
          <t>Versace：黑色几何纹皮质腰带，金属雕刻美杜莎扣头设计，彰显奢华希腊风格，男士经典时尚配饰。</t>
        </is>
      </c>
    </row>
    <row r="48" ht="25.5" customHeight="1">
      <c r="A48">
        <v>1654975475</v>
      </c>
      <c r="B48">
        <v>7624371414</v>
      </c>
      <c r="C48" s="2" t="str">
        <f>=HYPERLINK("https://weidian.com/item.html?itemID=7624371414", "https://weidian.com/item.html?itemID=7624371414")</f>
        <v>https://weidian.com/item.html?itemID=7624371414</v>
      </c>
      <c r="D48"/>
      <c r="E48" s="2" t="str">
        <f>=HYPERLINK("https://si.geilicdn.com/pcitem2014204438-15710000019ad9c1a6790a811411_1440_1920.jpg?w=640&amp;h=640", "https://si.geilicdn.com/pcitem2014204438-15710000019ad9c1a6790a811411_1440_1920.jpg?w=640&amp;h=640")</f>
        <v>https://si.geilicdn.com/pcitem2014204438-15710000019ad9c1a6790a811411_1440_1920.jpg?w=640&amp;h=640</v>
      </c>
      <c r="F48" t="inlineStr">
        <is>
          <t>Accessories</t>
        </is>
      </c>
      <c r="G48" t="inlineStr">
        <is>
          <t>Loewe</t>
        </is>
      </c>
      <c r="H48">
        <v>520</v>
      </c>
      <c r="I48">
        <v>75.36</v>
      </c>
      <c r="J48" t="inlineStr">
        <is>
          <t>{"id":"chatcmpl-DZSMNAapJvJA0thwTfxShJ3nd5SgB","object":"chat.completion","created":1777342867,"model":"gpt-5-chat-2025-10-03","choices":[{"index":0,"message":{"role":"assistant","content":"Loewe Beige Leather Belt Gold Logo Unisex Luxury Accessory","refusal":null,"annotations":[]},"logprobs":null,"finish_reason":"stop"}],"usage":{"prompt_tokens":862,"completion_tokens":14,"total_tokens":876,"prompt_tokens_details":{"cached_tokens":0,"audio_tokens":0},"completion_tokens_details":{"reasoning_tokens":0,"audio_tokens":0,"accepted_prediction_tokens":0,"rejected_prediction_tokens":0}},"service_tier":"default","system_fingerprint":"fp_ad66631dec"}</t>
        </is>
      </c>
      <c r="K48" t="inlineStr">
        <is>
          <t>Loewe Beige Leather Belt Gold Logo Unisex Luxury Accessory</t>
        </is>
      </c>
      <c r="L48" t="inlineStr">
        <is>
          <t>{"id":"chatcmpl-DZRkPfqhXZeAwkx4bcTn6GSelhYN8","object":"chat.completion","created":1777340513,"model":"gpt-5-chat-2025-10-03","choices":[{"index":0,"message":{"role":"assistant","content":"LOEWE Beige Leather Belt with Gold Logo Buckle, unisex stylish accessory blending Spanish craftsmanship and modern luxury, perfect for elegant everyday wear.","refusal":null,"annotations":[]},"logprobs":null,"finish_reason":"stop"}],"usage":{"prompt_tokens":880,"completion_tokens":30,"total_tokens":910,"prompt_tokens_details":{"cached_tokens":0,"audio_tokens":0},"completion_tokens_details":{"reasoning_tokens":0,"audio_tokens":0,"accepted_prediction_tokens":0,"rejected_prediction_tokens":0}},"service_tier":"default","system_fingerprint":"fp_ad66631dec"}</t>
        </is>
      </c>
      <c r="M48" t="inlineStr">
        <is>
          <t>{"alt-svc":"h3=\":443\"; ma=2592000","apim-request-id":"f2c293dc-0e68-4035-8343-856f518f399e","azureml-model-session":"d20260402074105-51db401e","cache-control":"no-cache","connection":"close","content-length":"965","content-type":"application/json","date":"Tue, 28 Apr 2026 01:41:54 GMT","server":"Caddy","skip-error-remapping":"true","strict-transport-security":"max-age=31536000; includeSubDomains; preload","x-content-type-options":"nosniff","x-ms-client-request-id":"Not-Set","x-ms-is-spilled-over":"false","x-ms-rai-invoked":"false","x-ms-region":"East US 2","x-new-api-version":"0.4.35","x-oneapi-request-id":"202604280141524390014278268d9d6fThi6L9U","x-ratelimit-abusepenalty-active":"False","x-ratelimit-key":"gpt-5-chat-global","x-ratelimit-limit-requests":"1000","x-ratelimit-limit-tokens":"1000000","x-ratelimit-remaining-requests":"999","x-ratelimit-remaining-tokens":"998358","x-ratelimit-renewalperiod-requests":"60","x-ratelimit-renewalperiod-tokens":"60","x-ratelimit-reset-requests":"60","x-ratelimit-reset-tokens":"98","x-request-id":"14c5a2f0-80c6-4762-9336-6c9d4df05b81"}</t>
        </is>
      </c>
      <c r="N48" t="inlineStr">
        <is>
          <t>LOEWE Beige Leather Belt with Gold Logo Buckle, unisex stylish accessory blending Spanish craftsmanship and modern luxury, perfect for elegant everyday wear.</t>
        </is>
      </c>
      <c r="O48" t="inlineStr">
        <is>
          <t>{"id":"chatcmpl-DZSVjvS7Nrsm2LhcoLEF9yTyUWegs","object":"chat.completion","created":1777343447,"model":"gpt-5-chat-2025-10-03","choices":[{"index":0,"message":{"role":"assistant","content":"Loewe,Bel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48" t="inlineStr">
        <is>
          <t>Loewe,Belt,kakobuy,kakebuy2026,kekobuysheet,kakobuysheet2026,2026kakobuy,kakobuyspreadsheeet,kakobuylink,kakebuylist,Kakobuy MEGA Spreadsheet,kakobuysheetfind,kakobuysheetfind2026,2026kakobuysheetfind,kakobuysheet2026</t>
        </is>
      </c>
      <c r="Q48" t="inlineStr">
        <is>
          <t>Beige, Leather, Unisex, Elegant, Modern</t>
        </is>
      </c>
      <c r="R48" t="inlineStr">
        <is>
          <t>recvhju1CrlDid</t>
        </is>
      </c>
      <c r="S48" t="inlineStr">
        <is>
          <t>loewe-beige-leather-belt-gold-logo-recvhju1crlDid</t>
        </is>
      </c>
      <c r="T48"/>
      <c r="U48"/>
      <c r="V48"/>
      <c r="W48" t="inlineStr">
        <is>
          <t>{"id":"chatcmpl-DZR8hC9XCYLOM8cgkMwVCBFnSe0yG","object":"chat.completion","created":1777338175,"model":"gpt-5-chat-2025-10-03","choices":[{"index":0,"message":{"role":"assistant","content":"Loewe：浅米色真皮腰带，金色LOGO扣设计，简约优雅风格，男女皆宜，彰显西班牙工艺与现代奢华质感。","refusal":null,"annotations":[]},"logprobs":null,"finish_reason":"stop"}],"usage":{"prompt_tokens":1301,"completion_tokens":46,"total_tokens":1347,"prompt_tokens_details":{"cached_tokens":0,"audio_tokens":0},"completion_tokens_details":{"reasoning_tokens":0,"audio_tokens":0,"accepted_prediction_tokens":0,"rejected_prediction_tokens":0}},"service_tier":"default","system_fingerprint":"fp_ad66631dec"}</t>
        </is>
      </c>
      <c r="X48" t="inlineStr">
        <is>
          <t>Loewe：浅米色真皮腰带，金色LOGO扣设计，简约优雅风格，男女皆宜，彰显西班牙工艺与现代奢华质感。</t>
        </is>
      </c>
    </row>
    <row r="49" ht="25.5" customHeight="1">
      <c r="A49">
        <v>1654975475</v>
      </c>
      <c r="B49">
        <v>7621401541</v>
      </c>
      <c r="C49" s="2" t="str">
        <f>=HYPERLINK("https://weidian.com/item.html?itemID=7621401541", "https://weidian.com/item.html?itemID=7621401541")</f>
        <v>https://weidian.com/item.html?itemID=7621401541</v>
      </c>
      <c r="D49"/>
      <c r="E49" s="2" t="str">
        <f>=HYPERLINK("https://si.geilicdn.com/pcitem2014204438-46ac0000019ad9c7baeb0a2396f4_1080_1080.jpg?w=640&amp;h=640", "https://si.geilicdn.com/pcitem2014204438-46ac0000019ad9c7baeb0a2396f4_1080_1080.jpg?w=640&amp;h=640")</f>
        <v>https://si.geilicdn.com/pcitem2014204438-46ac0000019ad9c7baeb0a2396f4_1080_1080.jpg?w=640&amp;h=640</v>
      </c>
      <c r="F49" t="inlineStr">
        <is>
          <t>Accessories</t>
        </is>
      </c>
      <c r="G49" t="inlineStr">
        <is>
          <t>Hermes</t>
        </is>
      </c>
      <c r="H49">
        <v>460</v>
      </c>
      <c r="I49">
        <v>66.67</v>
      </c>
      <c r="J49" t="inlineStr">
        <is>
          <t>{"id":"chatcmpl-DZSGsvajP4WWRu8RI1yD7cv6UYNP4","object":"chat.completion","created":1777342526,"model":"gpt-5-chat-2025-10-03","choices":[{"index":0,"message":{"role":"assistant","content":"Hermes Kelly Black Gold Epsom Leather Unisex Belt","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49" t="inlineStr">
        <is>
          <t>Hermes Kelly Black Gold Epsom Leather Unisex Belt</t>
        </is>
      </c>
      <c r="L49" t="inlineStr">
        <is>
          <t>{"id":"chatcmpl-DZRjZMIs3OIaeo67urY7sm34RgZNn","object":"chat.completion","created":1777340461,"model":"gpt-5-chat-2025-10-03","choices":[{"index":0,"message":{"role":"assistant","content":"Hermès Kelly Black &amp; Gold Belt, crafted from Epsom leather with gold-plated buckle, exudes French haute couture elegance. Unisex luxury accessory for timeless and refined style.","refusal":null,"annotations":[]},"logprobs":null,"finish_reason":"stop"}],"usage":{"prompt_tokens":882,"completion_tokens":38,"total_tokens":920,"prompt_tokens_details":{"cached_tokens":0,"audio_tokens":0},"completion_tokens_details":{"reasoning_tokens":0,"audio_tokens":0,"accepted_prediction_tokens":0,"rejected_prediction_tokens":0}},"service_tier":"default","system_fingerprint":"fp_ad66631dec"}</t>
        </is>
      </c>
      <c r="M49" t="inlineStr">
        <is>
          <t>{"alt-svc":"h3=\":443\"; ma=2592000","apim-request-id":"74fba0d6-667b-42d1-b204-eb854cf49f9c","azureml-model-session":"d20260402084046-4209e968","cache-control":"no-cache","connection":"close","content-length":"986","content-type":"application/json","date":"Tue, 28 Apr 2026 01:41:02 GMT","server":"Caddy","skip-error-remapping":"true","strict-transport-security":"max-age=31536000; includeSubDomains; preload","x-content-type-options":"nosniff","x-ms-client-request-id":"Not-Set","x-ms-is-spilled-over":"false","x-ms-rai-invoked":"false","x-ms-region":"East US 2","x-new-api-version":"0.4.35","x-oneapi-request-id":"202604280141007646387748268d9d6qJU7vfGQ","x-ratelimit-abusepenalty-active":"False","x-ratelimit-key":"gpt-5-chat-global","x-ratelimit-limit-requests":"1000","x-ratelimit-limit-tokens":"1000000","x-ratelimit-remaining-requests":"999","x-ratelimit-remaining-tokens":"998356","x-ratelimit-renewalperiod-requests":"60","x-ratelimit-renewalperiod-tokens":"60","x-ratelimit-reset-requests":"60","x-ratelimit-reset-tokens":"98","x-request-id":"69229de6-3221-46dc-8323-f99f0886fbdf"}</t>
        </is>
      </c>
      <c r="N49" t="inlineStr">
        <is>
          <t>Hermès Kelly Black &amp; Gold Belt, crafted from Epsom leather with gold-plated buckle, exudes French haute couture elegance. Unisex luxury accessory for timeless and refined style.</t>
        </is>
      </c>
      <c r="O49" t="inlineStr">
        <is>
          <t>{"id":"chatcmpl-DZSZqICs7mpa96q4j7EEnWzP5JEM7","object":"chat.completion","created":1777343702,"model":"gpt-5-chat-2025-10-03","choices":[{"index":0,"message":{"role":"assistant","content":"Hermes,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49" t="inlineStr">
        <is>
          <t>Hermes, belt, kakobuy, kakebuy2026, kekobuysheet, kakobuysheet2026, 2026kakobuy, kakobuyspreadsheeet, kakobuylink, kakebuylist, Kakobuy MEGA Spreadsheet, kakobuysheetfind, kakobuysheetfind2026, 2026kakobuysheetfind, kakobuysheet2026</t>
        </is>
      </c>
      <c r="Q49"/>
      <c r="R49" t="inlineStr">
        <is>
          <t>recvhju1CrrEKd</t>
        </is>
      </c>
      <c r="S49" t="inlineStr">
        <is>
          <t>hermes-kelly-black-gold-epsom-leather-unisex-belt-recvhju1crrekd</t>
        </is>
      </c>
      <c r="T49"/>
      <c r="U49"/>
      <c r="V49"/>
      <c r="W49" t="inlineStr">
        <is>
          <t>{"id":"chatcmpl-DZRAOSlAGXjWc6OuzN1nh9gIJuOXq","object":"chat.completion","created":1777338280,"model":"gpt-5-chat-2025-10-03","choices":[{"index":0,"message":{"role":"assistant","content":"Hermès：经典黑金凯莉腰带，采用Epsom真皮与镀金扣饰设计，优雅简约风格，男女皆宜，彰显法式高定格调。","refusal":null,"annotations":[]},"logprobs":null,"finish_reason":"stop"}],"usage":{"prompt_tokens":1305,"completion_tokens":46,"total_tokens":1351,"prompt_tokens_details":{"cached_tokens":0,"audio_tokens":0},"completion_tokens_details":{"reasoning_tokens":0,"audio_tokens":0,"accepted_prediction_tokens":0,"rejected_prediction_tokens":0}},"service_tier":"default","system_fingerprint":"fp_ad66631dec"}</t>
        </is>
      </c>
      <c r="X49" t="inlineStr">
        <is>
          <t>Hermès：经典黑金凯莉腰带，采用Epsom真皮与镀金扣饰设计，优雅简约风格，男女皆宜，彰显法式高定格调。</t>
        </is>
      </c>
    </row>
    <row r="50" ht="25.5" customHeight="1">
      <c r="A50">
        <v>1654975475</v>
      </c>
      <c r="B50">
        <v>7620682283</v>
      </c>
      <c r="C50" s="2" t="str">
        <f>=HYPERLINK("https://weidian.com/item.html?itemID=7620682283", "https://weidian.com/item.html?itemID=7620682283")</f>
        <v>https://weidian.com/item.html?itemID=7620682283</v>
      </c>
      <c r="D50"/>
      <c r="E50" s="2" t="str">
        <f>=HYPERLINK("https://si.geilicdn.com/pcitem2014204438-50000000019ad9bcde3a0a8133cc_800_800.jpg?w=640&amp;h=640", "https://si.geilicdn.com/pcitem2014204438-50000000019ad9bcde3a0a8133cc_800_800.jpg?w=640&amp;h=640")</f>
        <v>https://si.geilicdn.com/pcitem2014204438-50000000019ad9bcde3a0a8133cc_800_800.jpg?w=640&amp;h=640</v>
      </c>
      <c r="F50" t="inlineStr">
        <is>
          <t>Accessories</t>
        </is>
      </c>
      <c r="G50" t="inlineStr">
        <is>
          <t>Hermes</t>
        </is>
      </c>
      <c r="H50">
        <v>460</v>
      </c>
      <c r="I50">
        <v>66.67</v>
      </c>
      <c r="J50" t="inlineStr">
        <is>
          <t>{"id":"chatcmpl-DZSIiZa0INuhp2eMOZSzSnsDmOgoO","object":"chat.completion","created":1777342640,"model":"gpt-5-chat-2025-10-03","choices":[{"index":0,"message":{"role":"assistant","content":"Hermes Kelly Classic Light Brown Leather Belt","refusal":null,"annotations":[]},"logprobs":null,"finish_reason":"stop"}],"usage":{"prompt_tokens":871,"completion_tokens":9,"total_tokens":880,"prompt_tokens_details":{"cached_tokens":0,"audio_tokens":0},"completion_tokens_details":{"reasoning_tokens":0,"audio_tokens":0,"accepted_prediction_tokens":0,"rejected_prediction_tokens":0}},"service_tier":"default","system_fingerprint":"fp_ad66631dec"}</t>
        </is>
      </c>
      <c r="K50" t="inlineStr">
        <is>
          <t>Hermes Kelly Classic Light Brown Leather Belt</t>
        </is>
      </c>
      <c r="L50" t="inlineStr">
        <is>
          <t>{"id":"chatcmpl-DZRksboK1jtXcMQrSJ1djxBQI9XIl","object":"chat.completion","created":1777340542,"model":"gpt-5-chat-2025-10-03","choices":[{"index":0,"message":{"role":"assistant","content":"Hermes Kelly Classic Light Brown Leather Belt, crafted from premium calfskin with gold-tone lock buckle and fine stitching. Unisex design blends vintage luxury with modern French elegance.","refusal":null,"annotations":[]},"logprobs":null,"finish_reason":"stop"}],"usage":{"prompt_tokens":892,"completion_tokens":35,"total_tokens":927,"prompt_tokens_details":{"cached_tokens":0,"audio_tokens":0},"completion_tokens_details":{"reasoning_tokens":0,"audio_tokens":0,"accepted_prediction_tokens":0,"rejected_prediction_tokens":0}},"service_tier":"default","system_fingerprint":"fp_ad66631dec"}</t>
        </is>
      </c>
      <c r="M50" t="inlineStr">
        <is>
          <t>{"alt-svc":"h3=\":443\"; ma=2592000","apim-request-id":"487c04d3-5192-4ca2-ad61-d6fe46a00f79","azureml-model-session":"d20260402074105-51db401e","cache-control":"no-cache","connection":"close","content-length":"996","content-type":"application/json","date":"Tue, 28 Apr 2026 01:42:24 GMT","server":"Caddy","skip-error-remapping":"true","strict-transport-security":"max-age=31536000; includeSubDomains; preload","x-content-type-options":"nosniff","x-ms-client-request-id":"Not-Set","x-ms-is-spilled-over":"false","x-ms-rai-invoked":"false","x-ms-region":"West US","x-new-api-version":"0.4.35","x-oneapi-request-id":"202604280142209510130128268d9d6LJmScRKk","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14e4fdf3-8d96-45be-9e1e-2678225ae65e"}</t>
        </is>
      </c>
      <c r="N50" t="inlineStr">
        <is>
          <t>Hermes Kelly Classic Light Brown Leather Belt, crafted from premium calfskin with gold-tone lock buckle and fine stitching. Unisex design blends vintage luxury with modern French elegance.</t>
        </is>
      </c>
      <c r="O50" t="inlineStr">
        <is>
          <t>{"id":"chatcmpl-DZScFD6VstdhCd9vuadj9NqcgrO1o","object":"chat.completion","created":1777343851,"model":"gpt-5-chat-2025-10-03","choices":[{"index":0,"message":{"role":"assistant","content":"Hermes,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0" t="inlineStr">
        <is>
          <t>Hermes, Belt, kakobuy, kakebuy2026, kekobuysheet, kakobuysheet2026, 2026kakobuy, kakobuyspreadsheeet, kakobuylink, kakebuylist, Kakobuy MEGA Spreadsheet, kakobuysheetfind, kakobuysheetfind2026, 2026kakobuysheetfind, kakobuysheet2026</t>
        </is>
      </c>
      <c r="Q50"/>
      <c r="R50" t="inlineStr">
        <is>
          <t>recvhju1CrnFEO</t>
        </is>
      </c>
      <c r="S50" t="inlineStr">
        <is>
          <t>hermes-kelly-classic-light-brown-leather-belt-recvhju1crnfeo</t>
        </is>
      </c>
      <c r="T50"/>
      <c r="U50"/>
      <c r="V50"/>
      <c r="W50" t="inlineStr">
        <is>
          <t>{"id":"chatcmpl-DZREcvQ8H5fGJvfZB5ksXEFGbkEAN","object":"chat.completion","created":1777338542,"model":"gpt-5-chat-2025-10-03","choices":[{"index":0,"message":{"role":"assistant","content":"Hermes：经典Kelly系列浅咖色皮革腰带，以优质牛皮打造，配金色锁扣设计，精致缝线展现法式典雅格调，男女皆宜，彰显复古奢华与现代摩登魅力。","refusal":null,"annotations":[]},"logprobs":null,"finish_reason":"stop"}],"usage":{"prompt_tokens":1297,"completion_tokens":60,"total_tokens":1357,"prompt_tokens_details":{"cached_tokens":1280,"audio_tokens":0},"completion_tokens_details":{"reasoning_tokens":0,"audio_tokens":0,"accepted_prediction_tokens":0,"rejected_prediction_tokens":0}},"service_tier":"default","system_fingerprint":"fp_ad66631dec"}</t>
        </is>
      </c>
      <c r="X50" t="inlineStr">
        <is>
          <t>Hermes：经典Kelly系列浅咖色皮革腰带，以优质牛皮打造，配金色锁扣设计，精致缝线展现法式典雅格调，男女皆宜，彰显复古奢华与现代摩登魅力。</t>
        </is>
      </c>
    </row>
    <row r="51" ht="25.5" customHeight="1">
      <c r="A51">
        <v>1654975475</v>
      </c>
      <c r="B51">
        <v>7621387333</v>
      </c>
      <c r="C51" s="2" t="str">
        <f>=HYPERLINK("https://weidian.com/item.html?itemID=7621387333", "https://weidian.com/item.html?itemID=7621387333")</f>
        <v>https://weidian.com/item.html?itemID=7621387333</v>
      </c>
      <c r="D51"/>
      <c r="E51" s="2" t="str">
        <f>=HYPERLINK("https://si.geilicdn.com/pcitem2014204438-4f090000019ad9ba75870a23057e_1512_2016.jpg?w=640&amp;h=640", "https://si.geilicdn.com/pcitem2014204438-4f090000019ad9ba75870a23057e_1512_2016.jpg?w=640&amp;h=640")</f>
        <v>https://si.geilicdn.com/pcitem2014204438-4f090000019ad9ba75870a23057e_1512_2016.jpg?w=640&amp;h=640</v>
      </c>
      <c r="F51" t="inlineStr">
        <is>
          <t>Accessories</t>
        </is>
      </c>
      <c r="G51" t="inlineStr">
        <is>
          <t>Gucci</t>
        </is>
      </c>
      <c r="H51">
        <v>470</v>
      </c>
      <c r="I51">
        <v>68.12</v>
      </c>
      <c r="J51" t="inlineStr">
        <is>
          <t>{"id":"chatcmpl-DZSHJ5hWUnjqiQyu2y9HxCD0IWfOO","object":"chat.completion","created":1777342553,"model":"gpt-5-chat-2025-10-03","choices":[{"index":0,"message":{"role":"assistant","content":"Gucci GG Black Grey Leather Belt Double G Buckle","refusal":null,"annotations":[]},"logprobs":null,"finish_reason":"stop"}],"usage":{"prompt_tokens":871,"completion_tokens":12,"total_tokens":883,"prompt_tokens_details":{"cached_tokens":0,"audio_tokens":0},"completion_tokens_details":{"reasoning_tokens":0,"audio_tokens":0,"accepted_prediction_tokens":0,"rejected_prediction_tokens":0}},"service_tier":"default","system_fingerprint":"fp_ad66631dec"}</t>
        </is>
      </c>
      <c r="K51" t="inlineStr">
        <is>
          <t>Gucci GG Black Grey Leather Belt Double G Buckle</t>
        </is>
      </c>
      <c r="L51" t="inlineStr">
        <is>
          <t>{"id":"chatcmpl-DZRkm8n6w9musBowPKpjUAznp9dWF","object":"chat.completion","created":1777340536,"model":"gpt-5-chat-2025-10-03","choices":[{"index":0,"message":{"role":"assistant","content":"Gucci GG black-grey leather belt with iconic double G metal buckle and signature monogram pattern, showcasing Italian luxury style. Unisex, versatile for casual or business wear.","refusal":null,"annotations":[]},"logprobs":null,"finish_reason":"stop"}],"usage":{"prompt_tokens":893,"completion_tokens":35,"total_tokens":928,"prompt_tokens_details":{"cached_tokens":0,"audio_tokens":0},"completion_tokens_details":{"reasoning_tokens":0,"audio_tokens":0,"accepted_prediction_tokens":0,"rejected_prediction_tokens":0}},"service_tier":"default","system_fingerprint":"fp_ad66631dec"}</t>
        </is>
      </c>
      <c r="M51" t="inlineStr">
        <is>
          <t>{"alt-svc":"h3=\":443\"; ma=2592000","apim-request-id":"fdf77b48-645d-4b4b-929a-b21afd2095d4","azureml-model-session":"d20260405234249-f9874baf","cache-control":"no-cache","connection":"close","content-length":"986","content-type":"application/json","date":"Tue, 28 Apr 2026 01:42:17 GMT","server":"nginx","skip-error-remapping":"true","strict-transport-security":"max-age=31536000; includeSubDomains; preload","via":"1.1 Caddy","x-content-type-options":"nosniff","x-ms-client-request-id":"Not-Set","x-ms-is-spilled-over":"false","x-ms-rai-invoked":"false","x-ms-region":"North Central US","x-new-api-version":"0.4.35","x-oneapi-request-id":"202604280142154738142658268d9d6vXGbdK6Y","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3dbcbd8d-ff5d-48f8-ba73-fcf93853e842"}</t>
        </is>
      </c>
      <c r="N51" t="inlineStr">
        <is>
          <t>Gucci GG black-grey leather belt with iconic double G metal buckle and signature monogram pattern, showcasing Italian luxury style. Unisex, versatile for casual or business wear.</t>
        </is>
      </c>
      <c r="O51" t="inlineStr">
        <is>
          <t>{"id":"chatcmpl-DZSYE7OXzbVDHf1bDSrv6JvNlzm7Z","object":"chat.completion","created":1777343602,"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51" t="inlineStr">
        <is>
          <t>Gucci,Accessories,kakobuy,kakebuy2026,kekobuysheet,kakobuysheet2026,2026kakobuy,kakobuyspreadsheeet,kakobuylink,kakebuylist,Kakobuy MEGA Spreadsheet,kakobuysheetfind,kakobuysheetfind2026,2026kakobuysheetfind,kakobuysheet2026</t>
        </is>
      </c>
      <c r="Q51" t="inlineStr">
        <is>
          <t>Leather, Black, Grey, Unisex, Versatile</t>
        </is>
      </c>
      <c r="R51" t="inlineStr">
        <is>
          <t>recvhju1CrroSt</t>
        </is>
      </c>
      <c r="S51" t="inlineStr">
        <is>
          <t>gucci-gg-black-grey-leather-belt-double-g-buckle-recvhju1crrost</t>
        </is>
      </c>
      <c r="T51"/>
      <c r="U51"/>
      <c r="V51"/>
      <c r="W51" t="inlineStr">
        <is>
          <t>{"id":"chatcmpl-DZR9XNkzkEJdAY2KbeoH9gTn8roWF","object":"chat.completion","created":1777338227,"model":"gpt-5-chat-2025-10-03","choices":[{"index":0,"message":{"role":"assistant","content":"Gucci：GG系列黑灰配色皮革腰带，经典双G金属扣设计，融合品牌织纹图腾，彰显意式奢华格调，男女皆宜，时尚百搭，适合现代都市休闲与商务装饰。","refusal":null,"annotations":[]},"logprobs":null,"finish_reason":"stop"}],"usage":{"prompt_tokens":1299,"completion_tokens":60,"total_tokens":1359,"prompt_tokens_details":{"cached_tokens":1280,"audio_tokens":0},"completion_tokens_details":{"reasoning_tokens":0,"audio_tokens":0,"accepted_prediction_tokens":0,"rejected_prediction_tokens":0}},"service_tier":"default","system_fingerprint":"fp_ad66631dec"}</t>
        </is>
      </c>
      <c r="X51" t="inlineStr">
        <is>
          <t>Gucci：GG系列黑灰配色皮革腰带，经典双G金属扣设计，融合品牌织纹图腾，彰显意式奢华格调，男女皆宜，时尚百搭，适合现代都市休闲与商务装饰。</t>
        </is>
      </c>
    </row>
    <row r="52" ht="25.5" customHeight="1">
      <c r="A52">
        <v>1654975475</v>
      </c>
      <c r="B52">
        <v>7624371252</v>
      </c>
      <c r="C52" s="2" t="str">
        <f>=HYPERLINK("https://weidian.com/item.html?itemID=7624371252", "https://weidian.com/item.html?itemID=7624371252")</f>
        <v>https://weidian.com/item.html?itemID=7624371252</v>
      </c>
      <c r="D52"/>
      <c r="E52" s="2" t="str">
        <f>=HYPERLINK("https://si.geilicdn.com/pcitem2014204438-58040000019ad9be0a3c0a2315ef_1512_2016.jpg?w=640&amp;h=640", "https://si.geilicdn.com/pcitem2014204438-58040000019ad9be0a3c0a2315ef_1512_2016.jpg?w=640&amp;h=640")</f>
        <v>https://si.geilicdn.com/pcitem2014204438-58040000019ad9be0a3c0a2315ef_1512_2016.jpg?w=640&amp;h=640</v>
      </c>
      <c r="F52" t="inlineStr">
        <is>
          <t>Accessories</t>
        </is>
      </c>
      <c r="G52" t="inlineStr">
        <is>
          <t>Dior</t>
        </is>
      </c>
      <c r="H52">
        <v>500</v>
      </c>
      <c r="I52">
        <v>72.46</v>
      </c>
      <c r="J52" t="inlineStr">
        <is>
          <t>{"id":"chatcmpl-DZSLbH07dPheGSEJvG4Q5OJErcDS4","object":"chat.completion","created":1777342819,"model":"gpt-5-chat-2025-10-03","choices":[{"index":0,"message":{"role":"assistant","content":"Dior Black Leather Belt Gold Star Buckle Unisex Luxury","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52" t="inlineStr">
        <is>
          <t>Dior Black Leather Belt Gold Star Buckle Unisex Luxury</t>
        </is>
      </c>
      <c r="L52" t="inlineStr">
        <is>
          <t>{"id":"chatcmpl-DZRcRyCRyhn5wM3rwLs8qz1EwaLwy","object":"chat.completion","created":1777340019,"model":"gpt-5-chat-2025-10-03","choices":[{"index":0,"message":{"role":"assistant","content":"Dior Black Leather Belt with Gold Star Buckle, featuring Christian Dior jacquard logo. Unisex design blending modern minimalism and vintage elegance for a luxurious, fashionable look.","refusal":null,"annotations":[]},"logprobs":null,"finish_reason":"stop"}],"usage":{"prompt_tokens":896,"completion_tokens":37,"total_tokens":933,"prompt_tokens_details":{"cached_tokens":0,"audio_tokens":0},"completion_tokens_details":{"reasoning_tokens":0,"audio_tokens":0,"accepted_prediction_tokens":0,"rejected_prediction_tokens":0}},"service_tier":"default","system_fingerprint":"fp_ad66631dec"}</t>
        </is>
      </c>
      <c r="M52" t="inlineStr">
        <is>
          <t>{"alt-svc":"h3=\":443\"; ma=2592000","apim-request-id":"1d3f074a-dfed-41bd-887e-d2739d2c51d4","azureml-model-session":"d20260402074105-51db401e","cache-control":"no-cache","connection":"close","content-length":"991","content-type":"application/json","date":"Tue, 28 Apr 2026 01:33:41 GMT","server":"Caddy","skip-error-remapping":"true","strict-transport-security":"max-age=31536000; includeSubDomains; preload","x-content-type-options":"nosniff","x-ms-client-request-id":"Not-Set","x-ms-is-spilled-over":"false","x-ms-rai-invoked":"false","x-ms-region":"Poland Central","x-new-api-version":"0.4.35","x-oneapi-request-id":"202604280133386137241648268d9d6kdxdiI6u","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4f832338-f387-498e-8e99-bce113cbebc2"}</t>
        </is>
      </c>
      <c r="N52" t="inlineStr">
        <is>
          <t>Dior Black Leather Belt with Gold Star Buckle, featuring Christian Dior jacquard logo. Unisex design blending modern minimalism and vintage elegance for a luxurious, fashionable look.</t>
        </is>
      </c>
      <c r="O52" t="inlineStr">
        <is>
          <t>{"id":"chatcmpl-DZSWZi1liBlPSqivaEq01T0MyX12J","object":"chat.completion","created":1777343499,"model":"gpt-5-chat-2025-10-03","choices":[{"index":0,"message":{"role":"assistant","content":"Dior,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2" t="inlineStr">
        <is>
          <t>Dior, Belt, kakobuy, kakebuy2026, kekobuysheet, kakobuysheet2026, 2026kakobuy, kakobuyspreadsheeet, kakobuylink, kakebuylist, Kakobuy MEGA Spreadsheet, kakobuysheetfind, kakobuysheetfind2026, 2026kakobuysheetfind, kakobuysheet2026</t>
        </is>
      </c>
      <c r="Q52" t="inlineStr">
        <is>
          <t>Dior, Black, Leather, Unisex, Minimalist, Vintage</t>
        </is>
      </c>
      <c r="R52" t="inlineStr">
        <is>
          <t>recvhju1CrllXv</t>
        </is>
      </c>
      <c r="S52" t="inlineStr">
        <is>
          <t>dior-black-leather-belt-gold-star-buckle-unisex-luxury-recvhju1crllxv</t>
        </is>
      </c>
      <c r="T52"/>
      <c r="U52"/>
      <c r="V52"/>
      <c r="W52" t="inlineStr">
        <is>
          <t>{"id":"chatcmpl-DZRCcmXiMnYz8Hpf17j4ScC69Alov","object":"chat.completion","created":1777338418,"model":"gpt-5-chat-2025-10-03","choices":[{"index":0,"message":{"role":"assistant","content":"Dior：黑色星徽扣皮质腰带，饰以Christian Dior织纹标识，金色圆形金属扣设计，融合现代简约与复古优雅风格，男女皆宜，展现奢华格调与时尚态度。","refusal":null,"annotations":[]},"logprobs":null,"finish_reason":"stop"}],"usage":{"prompt_tokens":1303,"completion_tokens":61,"total_tokens":1364,"prompt_tokens_details":{"cached_tokens":0,"audio_tokens":0},"completion_tokens_details":{"reasoning_tokens":0,"audio_tokens":0,"accepted_prediction_tokens":0,"rejected_prediction_tokens":0}},"service_tier":"default","system_fingerprint":"fp_ad66631dec"}</t>
        </is>
      </c>
      <c r="X52" t="inlineStr">
        <is>
          <t>Dior：黑色星徽扣皮质腰带，饰以Christian Dior织纹标识，金色圆形金属扣设计，融合现代简约与复古优雅风格，男女皆宜，展现奢华格调与时尚态度。</t>
        </is>
      </c>
    </row>
    <row r="53" ht="25.5" customHeight="1">
      <c r="A53">
        <v>1654975475</v>
      </c>
      <c r="B53">
        <v>7621448835</v>
      </c>
      <c r="C53" s="2" t="str">
        <f>=HYPERLINK("https://weidian.com/item.html?itemID=7621448835", "https://weidian.com/item.html?itemID=7621448835")</f>
        <v>https://weidian.com/item.html?itemID=7621448835</v>
      </c>
      <c r="D53"/>
      <c r="E53" s="2" t="str">
        <f>=HYPERLINK("https://si.geilicdn.com/pcitem2014204438-4d9c0000019ad9c1fdc30a207569_1074_1074.jpg?w=640&amp;h=640", "https://si.geilicdn.com/pcitem2014204438-4d9c0000019ad9c1fdc30a207569_1074_1074.jpg?w=640&amp;h=640")</f>
        <v>https://si.geilicdn.com/pcitem2014204438-4d9c0000019ad9c1fdc30a207569_1074_1074.jpg?w=640&amp;h=640</v>
      </c>
      <c r="F53" t="inlineStr">
        <is>
          <t>Accessories</t>
        </is>
      </c>
      <c r="G53" t="inlineStr">
        <is>
          <t>Saint Laurent</t>
        </is>
      </c>
      <c r="H53">
        <v>500</v>
      </c>
      <c r="I53">
        <v>72.46</v>
      </c>
      <c r="J53" t="inlineStr">
        <is>
          <t>{"id":"chatcmpl-DZSHv4q9RMxgaqLEphYjle5XxwctS","object":"chat.completion","created":1777342591,"model":"gpt-5-chat-2025-10-03","choices":[{"index":0,"message":{"role":"assistant","content":"Saint Laurent White Leather Belt Gold YSL Buckle","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53" t="inlineStr">
        <is>
          <t>Saint Laurent White Leather Belt Gold YSL Buckle</t>
        </is>
      </c>
      <c r="L53" t="inlineStr">
        <is>
          <t>{"id":"chatcmpl-DZRjL3DIFDwtNgRwqfBdwYvObKdZ7","object":"chat.completion","created":1777340447,"model":"gpt-5-chat-2025-10-03","choices":[{"index":0,"message":{"role":"assistant","content":"Saint Laurent White Leather Belt with Iconic Gold YSL Buckle, blending vintage luxury and modern minimalism, unisex, ideal for both casual and formal wear, French high-fashion elegance.","refusal":null,"annotations":[]},"logprobs":null,"finish_reason":"stop"}],"usage":{"prompt_tokens":898,"completion_tokens":39,"total_tokens":937,"prompt_tokens_details":{"cached_tokens":0,"audio_tokens":0},"completion_tokens_details":{"reasoning_tokens":0,"audio_tokens":0,"accepted_prediction_tokens":0,"rejected_prediction_tokens":0}},"service_tier":"default","system_fingerprint":"fp_ad66631dec"}</t>
        </is>
      </c>
      <c r="M53" t="inlineStr">
        <is>
          <t>{"alt-svc":"h3=\":443\"; ma=2592000","apim-request-id":"ec89df5d-59f7-4ddd-be96-e381b4bcd33b","azureml-model-session":"d20260405234249-f9874baf","cache-control":"no-cache","connection":"close","content-length":"993","content-type":"application/json","date":"Tue, 28 Apr 2026 01:40:48 GMT","server":"nginx","skip-error-remapping":"true","strict-transport-security":"max-age=31536000; includeSubDomains; preload","via":"1.1 Caddy","x-content-type-options":"nosniff","x-ms-client-request-id":"Not-Set","x-ms-is-spilled-over":"false","x-ms-rai-invoked":"false","x-ms-region":"East US 2","x-new-api-version":"0.4.35","x-oneapi-request-id":"20260428014047469947188268d9d6WwbdrH6F","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b74cf329-5722-44c2-8e1f-39c764f5c09e"}</t>
        </is>
      </c>
      <c r="N53" t="inlineStr">
        <is>
          <t>Saint Laurent White Leather Belt with Iconic Gold YSL Buckle, blending vintage luxury and modern minimalism, unisex, ideal for both casual and formal wear, French high-fashion elegance.</t>
        </is>
      </c>
      <c r="O53" t="inlineStr">
        <is>
          <t>{"id":"chatcmpl-DZSVJH2Tl4FqhRTNjAchCFk09cK2u","object":"chat.completion","created":1777343421,"model":"gpt-5-chat-2025-10-03","choices":[{"index":0,"message":{"role":"assistant","content":"Saint Laurent,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3" t="inlineStr">
        <is>
          <t>Saint Laurent, Accessories, kakobuy, kakebuy2026, kekobuysheet, kakobuysheet2026, 2026kakobuy, kakobuyspreadsheeet, kakobuylink, kakebuylist, Kakobuy MEGA Spreadsheet, kakobuysheetfind, kakobuysheetfind2026, 2026kakobuysheetfind, kakobuysheet2026</t>
        </is>
      </c>
      <c r="Q53"/>
      <c r="R53" t="inlineStr">
        <is>
          <t>recvhju1CrbJQP</t>
        </is>
      </c>
      <c r="S53" t="inlineStr">
        <is>
          <t>saint-laurent-white-leather-belt-gold-ysl-buckle-recvhju1crbjqp</t>
        </is>
      </c>
      <c r="T53"/>
      <c r="U53"/>
      <c r="V53"/>
      <c r="W53" t="inlineStr">
        <is>
          <t>{"id":"chatcmpl-DZRBCokUdwtCky6cSBk76nxLvgmh0","object":"chat.completion","created":1777338330,"model":"gpt-5-chat-2025-10-03","choices":[{"index":0,"message":{"role":"assistant","content":"Saint Laurent：白色皮革腰带，配以标志性金色YSL字母金属扣，融合复古奢华与现代简约设计，彰显法式高级时尚魅力，男女皆宜，日常与正装皆可搭配。","refusal":null,"annotations":[]},"logprobs":null,"finish_reason":"stop"}],"usage":{"prompt_tokens":1305,"completion_tokens":62,"total_tokens":1367,"prompt_tokens_details":{"cached_tokens":0,"audio_tokens":0},"completion_tokens_details":{"reasoning_tokens":0,"audio_tokens":0,"accepted_prediction_tokens":0,"rejected_prediction_tokens":0}},"service_tier":"default","system_fingerprint":"fp_ad66631dec"}</t>
        </is>
      </c>
      <c r="X53" t="inlineStr">
        <is>
          <t>Saint Laurent：白色皮革腰带，配以标志性金色YSL字母金属扣，融合复古奢华与现代简约设计，彰显法式高级时尚魅力，男女皆宜，日常与正装皆可搭配。</t>
        </is>
      </c>
    </row>
    <row r="54" ht="25.5" customHeight="1">
      <c r="A54">
        <v>1654975475</v>
      </c>
      <c r="B54">
        <v>7621519651</v>
      </c>
      <c r="C54" s="2" t="str">
        <f>=HYPERLINK("https://weidian.com/item.html?itemID=7621519651", "https://weidian.com/item.html?itemID=7621519651")</f>
        <v>https://weidian.com/item.html?itemID=7621519651</v>
      </c>
      <c r="D54"/>
      <c r="E54" s="2" t="str">
        <f>=HYPERLINK("https://si.geilicdn.com/pcitem2014204438-26b80000019ad9c8ba3b0a20e2c5_1512_2016.jpg?w=640&amp;h=640", "https://si.geilicdn.com/pcitem2014204438-26b80000019ad9c8ba3b0a20e2c5_1512_2016.jpg?w=640&amp;h=640")</f>
        <v>https://si.geilicdn.com/pcitem2014204438-26b80000019ad9c8ba3b0a20e2c5_1512_2016.jpg?w=640&amp;h=640</v>
      </c>
      <c r="F54" t="inlineStr">
        <is>
          <t>Accessories</t>
        </is>
      </c>
      <c r="G54" t="inlineStr">
        <is>
          <t>Louis Vuitton</t>
        </is>
      </c>
      <c r="H54">
        <v>460</v>
      </c>
      <c r="I54">
        <v>66.67</v>
      </c>
      <c r="J54" t="inlineStr">
        <is>
          <t>{"id":"chatcmpl-DZSNPnMj9jjVNMeb427ma5k73bxLz","object":"chat.completion","created":1777342931,"model":"gpt-5-chat-2025-10-03","choices":[{"index":0,"message":{"role":"assistant","content":"Louis Vuitton Damier Graphite Leather Belt","refusal":null,"annotations":[]},"logprobs":null,"finish_reason":"stop"}],"usage":{"prompt_tokens":867,"completion_tokens":9,"total_tokens":876,"prompt_tokens_details":{"cached_tokens":0,"audio_tokens":0},"completion_tokens_details":{"reasoning_tokens":0,"audio_tokens":0,"accepted_prediction_tokens":0,"rejected_prediction_tokens":0}},"service_tier":"default","system_fingerprint":"fp_ad66631dec"}</t>
        </is>
      </c>
      <c r="K54" t="inlineStr">
        <is>
          <t>Louis Vuitton Damier Graphite Leather Belt</t>
        </is>
      </c>
      <c r="L54" t="inlineStr">
        <is>
          <t>{"id":"chatcmpl-DZRerbnwD07yPnD4mf1QpYogE2aX6","object":"chat.completion","created":1777340169,"model":"gpt-5-chat-2025-10-03","choices":[{"index":0,"message":{"role":"assistant","content":"Louis Vuitton Damier Graphite Belt, featuring iconic check pattern and LV silver buckle, crafted from premium leather, modern minimalist design for stylish business or casual wear.","refusal":null,"annotations":[]},"logprobs":null,"finish_reason":"stop"}],"usage":{"prompt_tokens":901,"completion_tokens":33,"total_tokens":934,"prompt_tokens_details":{"cached_tokens":0,"audio_tokens":0},"completion_tokens_details":{"reasoning_tokens":0,"audio_tokens":0,"accepted_prediction_tokens":0,"rejected_prediction_tokens":0}},"service_tier":"default","system_fingerprint":"fp_ad66631dec"}</t>
        </is>
      </c>
      <c r="M54" t="inlineStr">
        <is>
          <t>{"alt-svc":"h3=\":443\"; ma=2592000","apim-request-id":"007bec5e-e4b2-498d-80d7-e919ebcd9001","azureml-model-session":"d20260405221325-2e8d5e76","cache-control":"no-cache","connection":"close","content-length":"988","content-type":"application/json","date":"Tue, 28 Apr 2026 01:36:10 GMT","server":"nginx","skip-error-remapping":"true","strict-transport-security":"max-age=31536000; includeSubDomains; preload","via":"1.1 Caddy","x-content-type-options":"nosniff","x-ms-client-request-id":"Not-Set","x-ms-is-spilled-over":"false","x-ms-rai-invoked":"false","x-ms-region":"East US 2","x-new-api-version":"0.4.35","x-oneapi-request-id":"202604280136082490277978268d9d65J9vFwWs","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be9cdf56-2ec0-4884-8826-b81e6a93f14e"}</t>
        </is>
      </c>
      <c r="N54" t="inlineStr">
        <is>
          <t>Louis Vuitton Damier Graphite Belt, featuring iconic check pattern and LV silver buckle, crafted from premium leather, modern minimalist design for stylish business or casual wear.</t>
        </is>
      </c>
      <c r="O54" t="inlineStr">
        <is>
          <t>{"id":"chatcmpl-DZSagMXKpr0TCzgZ4R2B52UZNIG3z","object":"chat.completion","created":1777343754,"model":"gpt-5-chat-2025-10-03","choices":[{"index":0,"message":{"role":"assistant","content":"Louis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4" t="inlineStr">
        <is>
          <t>Louis Vuitton, Belt, kakobuy, kakebuy2026, kekobuysheet, kakobuysheet2026, 2026kakobuy, kakobuyspreadsheeet, kakobuylink, kakebuylist, Kakobuy MEGA Spreadsheet, kakobuysheetfind, kakobuysheetfind2026, 2026kakobuysheetfind, kakobuysheet2026</t>
        </is>
      </c>
      <c r="Q54" t="inlineStr">
        <is>
          <t>LV, Leather, Minimalist, Business Casual, Silver</t>
        </is>
      </c>
      <c r="R54" t="inlineStr">
        <is>
          <t>recvhju1CrZjAk</t>
        </is>
      </c>
      <c r="S54" t="inlineStr">
        <is>
          <t>louis-vuitton-damier-graphite-leather-belt-recvhju1crzjaka</t>
        </is>
      </c>
      <c r="T54"/>
      <c r="U54"/>
      <c r="V54"/>
      <c r="W54" t="inlineStr">
        <is>
          <t>{"id":"chatcmpl-DZRDYO6J0rvUs02Mu8DvmtLQsJFTh","object":"chat.completion","created":1777338476,"model":"gpt-5-chat-2025-10-03","choices":[{"index":0,"message":{"role":"assistant","content":"Louis Vuitton：Damier Graphite黑银棋盘格皮带，以经典方格纹理搭配LV字母金属扣，彰显现代奢华质感，优质真皮材质，简约设计精致百搭，男士商务与休闲皆宜。","refusal":null,"annotations":[]},"logprobs":null,"finish_reason":"stop"}],"usage":{"prompt_tokens":1309,"completion_tokens":63,"total_tokens":1372,"prompt_tokens_details":{"cached_tokens":0,"audio_tokens":0},"completion_tokens_details":{"reasoning_tokens":0,"audio_tokens":0,"accepted_prediction_tokens":0,"rejected_prediction_tokens":0}},"service_tier":"default","system_fingerprint":"fp_ad66631dec"}</t>
        </is>
      </c>
      <c r="X54" t="inlineStr">
        <is>
          <t>Louis Vuitton：Damier Graphite黑银棋盘格皮带，以经典方格纹理搭配LV字母金属扣，彰显现代奢华质感，优质真皮材质，简约设计精致百搭，男士商务与休闲皆宜。</t>
        </is>
      </c>
    </row>
    <row r="55" ht="25.5" customHeight="1">
      <c r="A55">
        <v>1654975475</v>
      </c>
      <c r="B55">
        <v>7621462365</v>
      </c>
      <c r="C55" s="2" t="str">
        <f>=HYPERLINK("https://weidian.com/item.html?itemID=7621462365", "https://weidian.com/item.html?itemID=7621462365")</f>
        <v>https://weidian.com/item.html?itemID=7621462365</v>
      </c>
      <c r="D55"/>
      <c r="E55" s="2" t="str">
        <f>=HYPERLINK("https://si.geilicdn.com/pcitem2014204438-727f0000019ad9bbad720a2103bd_1080_1080.jpg?w=640&amp;h=640", "https://si.geilicdn.com/pcitem2014204438-727f0000019ad9bbad720a2103bd_1080_1080.jpg?w=640&amp;h=640")</f>
        <v>https://si.geilicdn.com/pcitem2014204438-727f0000019ad9bbad720a2103bd_1080_1080.jpg?w=640&amp;h=640</v>
      </c>
      <c r="F55" t="inlineStr">
        <is>
          <t>Accessories</t>
        </is>
      </c>
      <c r="G55" t="inlineStr">
        <is>
          <t>Celine</t>
        </is>
      </c>
      <c r="H55">
        <v>440</v>
      </c>
      <c r="I55">
        <v>63.77</v>
      </c>
      <c r="J55" t="inlineStr">
        <is>
          <t>{"id":"chatcmpl-DZSHMCNQZL8qLM36ppMf85FkT2vdh","object":"chat.completion","created":1777342556,"model":"gpt-5-chat-2025-10-03","choices":[{"index":0,"message":{"role":"assistant","content":"Celine Triomphe Brown Leather Belt Gold Buckle","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55" t="inlineStr">
        <is>
          <t>Celine Triomphe Brown Leather Belt Gold Buckle</t>
        </is>
      </c>
      <c r="L55" t="inlineStr">
        <is>
          <t>{"id":"chatcmpl-DZRjJizv9dePaNj6Rabap9chSSzAX","object":"chat.completion","created":1777340445,"model":"gpt-5-chat-2025-10-03","choices":[{"index":0,"message":{"role":"assistant","content":"CELINE Triomphe Brown Leather Belt with Gold Double C Buckle, French Minimalist Unisex Style, Elegant Vintage Look, Premium Craftsmanship, Perfect Accessory for Any Outfit.","refusal":null,"annotations":[]},"logprobs":null,"finish_reason":"stop"}],"usage":{"prompt_tokens":879,"completion_tokens":38,"total_tokens":917,"prompt_tokens_details":{"cached_tokens":0,"audio_tokens":0},"completion_tokens_details":{"reasoning_tokens":0,"audio_tokens":0,"accepted_prediction_tokens":0,"rejected_prediction_tokens":0}},"service_tier":"default","system_fingerprint":"fp_ad66631dec"}</t>
        </is>
      </c>
      <c r="M55" t="inlineStr">
        <is>
          <t>{"alt-svc":"h3=\":443\"; ma=2592000","apim-request-id":"64b4f9bb-6433-4e9e-bd42-c15901645bc1","azureml-model-session":"d20260405234249-f9874baf","cache-control":"no-cache","connection":"close","content-length":"980","content-type":"application/json","date":"Tue, 28 Apr 2026 01:40:46 GMT","server":"nginx","skip-error-remapping":"true","strict-transport-security":"max-age=31536000; includeSubDomains; preload","via":"1.1 Caddy","x-content-type-options":"nosniff","x-ms-client-request-id":"Not-Set","x-ms-is-spilled-over":"false","x-ms-rai-invoked":"false","x-ms-region":"South Central US","x-new-api-version":"0.4.35","x-oneapi-request-id":"20260428014045353755338268d9d6a9B9Rsot","x-ratelimit-abusepenalty-active":"False","x-ratelimit-key":"gpt-5-chat-global","x-ratelimit-limit-requests":"1000","x-ratelimit-limit-tokens":"1000000","x-ratelimit-remaining-requests":"999","x-ratelimit-remaining-tokens":"998359","x-ratelimit-renewalperiod-requests":"60","x-ratelimit-renewalperiod-tokens":"60","x-ratelimit-reset-requests":"60","x-ratelimit-reset-tokens":"98","x-request-id":"27066cb3-b2d7-464d-9446-5622358f0ec8"}</t>
        </is>
      </c>
      <c r="N55" t="inlineStr">
        <is>
          <t>CELINE Triomphe Brown Leather Belt with Gold Double C Buckle, French Minimalist Unisex Style, Elegant Vintage Look, Premium Craftsmanship, Perfect Accessory for Any Outfit.</t>
        </is>
      </c>
      <c r="O55" t="inlineStr">
        <is>
          <t>{"id":"chatcmpl-DZSbKHP1ocrm33CbXpl8cPdHnRDKY","object":"chat.completion","created":1777343794,"model":"gpt-5-chat-2025-10-03","choices":[{"index":0,"message":{"role":"assistant","content":"Celine,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5" t="inlineStr">
        <is>
          <t>Celine, Belt, kakobuy, kakebuy2026, kekobuysheet, kakobuysheet2026, 2026kakobuy, kakobuyspreadsheeet, kakobuylink, kakebuylist, Kakobuy MEGA Spreadsheet, kakobuysheetfind, kakobuysheetfind2026, 2026kakobuysheetfind, kakobuysheet2026</t>
        </is>
      </c>
      <c r="Q55" t="inlineStr">
        <is>
          <t>Celine, Brown, Leather, Minimalist, Vintage, Unisex</t>
        </is>
      </c>
      <c r="R55" t="inlineStr">
        <is>
          <t>recvhju1CrZ9sM</t>
        </is>
      </c>
      <c r="S55" t="inlineStr">
        <is>
          <t>celine-triomphe-brown-leather-belt-gold-buckle-recvhju1crz9sm</t>
        </is>
      </c>
      <c r="T55"/>
      <c r="U55"/>
      <c r="V55"/>
      <c r="W55" t="inlineStr">
        <is>
          <t>{"id":"chatcmpl-DZR9fsGWzFMkaotjZnxAwgYpPpnAG","object":"chat.completion","created":1777338235,"model":"gpt-5-chat-2025-10-03","choices":[{"index":0,"message":{"role":"assistant","content":"Celine：棕色Triomphe系列真皮腰带，金色双C标志扣设计，法式极简风格，男女通用款，彰显优雅复古格调。","refusal":null,"annotations":[]},"logprobs":null,"finish_reason":"stop"}],"usage":{"prompt_tokens":1299,"completion_tokens":46,"total_tokens":1345,"prompt_tokens_details":{"cached_tokens":0,"audio_tokens":0},"completion_tokens_details":{"reasoning_tokens":0,"audio_tokens":0,"accepted_prediction_tokens":0,"rejected_prediction_tokens":0}},"service_tier":"default","system_fingerprint":"fp_ad66631dec"}</t>
        </is>
      </c>
      <c r="X55" t="inlineStr">
        <is>
          <t>Celine：棕色Triomphe系列真皮腰带，金色双C标志扣设计，法式极简风格，男女通用款，彰显优雅复古格调。</t>
        </is>
      </c>
    </row>
    <row r="56" ht="25.5" customHeight="1">
      <c r="A56">
        <v>1654975475</v>
      </c>
      <c r="B56">
        <v>7621418989</v>
      </c>
      <c r="C56" s="2" t="str">
        <f>=HYPERLINK("https://weidian.com/item.html?itemID=7621418989", "https://weidian.com/item.html?itemID=7621418989")</f>
        <v>https://weidian.com/item.html?itemID=7621418989</v>
      </c>
      <c r="D56"/>
      <c r="E56" s="2" t="str">
        <f>=HYPERLINK("https://si.geilicdn.com/pcitem2014204438-74060000019ad9c100d90a2103bd_1440_1920.jpg?w=640&amp;h=640", "https://si.geilicdn.com/pcitem2014204438-74060000019ad9c100d90a2103bd_1440_1920.jpg?w=640&amp;h=640")</f>
        <v>https://si.geilicdn.com/pcitem2014204438-74060000019ad9c100d90a2103bd_1440_1920.jpg?w=640&amp;h=640</v>
      </c>
      <c r="F56" t="inlineStr">
        <is>
          <t>Accessories</t>
        </is>
      </c>
      <c r="G56" t="inlineStr">
        <is>
          <t>Loewe</t>
        </is>
      </c>
      <c r="H56">
        <v>520</v>
      </c>
      <c r="I56">
        <v>75.36</v>
      </c>
      <c r="J56" t="inlineStr">
        <is>
          <t>{"id":"chatcmpl-DZSNS8risFaAwgvuMfN1E0LWSpUss","object":"chat.completion","created":1777342934,"model":"gpt-5-chat-2025-10-03","choices":[{"index":0,"message":{"role":"assistant","content":"Loewe Classic Navy Leather Belt Gold Logo Buckle","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56" t="inlineStr">
        <is>
          <t>Loewe Classic Navy Leather Belt Gold Logo Buckle</t>
        </is>
      </c>
      <c r="L56" t="inlineStr">
        <is>
          <t>{"id":"chatcmpl-DZRfnr2K7QullzQL97gamckyBautN","object":"chat.completion","created":1777340227,"model":"gpt-5-chat-2025-10-03","choices":[{"index":0,"message":{"role":"assistant","content":"Loewe Classic Navy Leather Belt with Gold LOEWE Logo Buckle, unisex design, refined Spanish craftsmanship, perfect for casual and business looks, stylish minimalist luxury accessory.","refusal":null,"annotations":[]},"logprobs":null,"finish_reason":"stop"}],"usage":{"prompt_tokens":892,"completion_tokens":37,"total_tokens":929,"prompt_tokens_details":{"cached_tokens":0,"audio_tokens":0},"completion_tokens_details":{"reasoning_tokens":0,"audio_tokens":0,"accepted_prediction_tokens":0,"rejected_prediction_tokens":0}},"service_tier":"default","system_fingerprint":"fp_ad66631dec"}</t>
        </is>
      </c>
      <c r="M56" t="inlineStr">
        <is>
          <t>{"alt-svc":"h3=\":443\"; ma=2592000","apim-request-id":"d9a409ab-cda6-4e1a-95cd-3f38c0f54c6f","azureml-model-session":"d20260405234249-f9874baf","cache-control":"no-cache","connection":"close","content-length":"990","content-type":"application/json","date":"Tue, 28 Apr 2026 01:37:08 GMT","server":"nginx","skip-error-remapping":"true","strict-transport-security":"max-age=31536000; includeSubDomains; preload","via":"1.1 Caddy","x-content-type-options":"nosniff","x-ms-client-request-id":"Not-Set","x-ms-is-spilled-over":"false","x-ms-rai-invoked":"false","x-ms-region":"West US","x-new-api-version":"0.4.35","x-oneapi-request-id":"202604280137067447579708268d9d6mqHrzTJs","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de20ed73-05fd-470b-859f-c9d3765c77e5"}</t>
        </is>
      </c>
      <c r="N56" t="inlineStr">
        <is>
          <t>Loewe Classic Navy Leather Belt with Gold LOEWE Logo Buckle, unisex design, refined Spanish craftsmanship, perfect for casual and business looks, stylish minimalist luxury accessory.</t>
        </is>
      </c>
      <c r="O56" t="inlineStr">
        <is>
          <t>{"id":"chatcmpl-DZSZgRjimC7OPdzNkv4YFDKSrOkSY","object":"chat.completion","created":1777343692,"model":"gpt-5-chat-2025-10-03","choices":[{"index":0,"message":{"role":"assistant","content":"Loewe,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56" t="inlineStr">
        <is>
          <t>Loewe, belt, kakobuy, kakebuy2026, kekobuysheet, kakobuysheet2026, 2026kakobuy, kakobuyspreadsheeet, kakobuylink, kakebuylist, Kakobuy MEGA Spreadsheet, kakobuysheetfind, kakobuysheetfind2026, 2026kakobuysheetfind, kakobuysheet2026</t>
        </is>
      </c>
      <c r="Q56"/>
      <c r="R56" t="inlineStr">
        <is>
          <t>recvhju1CrSx06</t>
        </is>
      </c>
      <c r="S56" t="inlineStr">
        <is>
          <t>loewe-classic-navy-leather-belt-gold-logo-buckle-recvhju1cr</t>
        </is>
      </c>
      <c r="T56"/>
      <c r="U56"/>
      <c r="V56"/>
      <c r="W56" t="inlineStr">
        <is>
          <t>{"id":"chatcmpl-DZRC0eaauilkWctyRlHzan6ydEAZ0","object":"chat.completion","created":1777338380,"model":"gpt-5-chat-2025-10-03","choices":[{"index":0,"message":{"role":"assistant","content":"Loewe：经典系列深蓝色真皮腰带，金色LOEWE字母扣设计，简约优雅风格，男女通用，彰显现代西班牙工艺美学，适合日常与商务造型搭配。","refusal":null,"annotations":[]},"logprobs":null,"finish_reason":"stop"}],"usage":{"prompt_tokens":1301,"completion_tokens":58,"total_tokens":1359,"prompt_tokens_details":{"cached_tokens":0,"audio_tokens":0},"completion_tokens_details":{"reasoning_tokens":0,"audio_tokens":0,"accepted_prediction_tokens":0,"rejected_prediction_tokens":0}},"service_tier":"default","system_fingerprint":"fp_ad66631dec"}</t>
        </is>
      </c>
      <c r="X56" t="inlineStr">
        <is>
          <t>Loewe：经典系列深蓝色真皮腰带，金色LOEWE字母扣设计，简约优雅风格，男女通用，彰显现代西班牙工艺美学，适合日常与商务造型搭配。</t>
        </is>
      </c>
    </row>
    <row r="57" ht="25.5" customHeight="1">
      <c r="A57">
        <v>1654975475</v>
      </c>
      <c r="B57">
        <v>7624383592</v>
      </c>
      <c r="C57" s="2" t="str">
        <f>=HYPERLINK("https://weidian.com/item.html?itemID=7624383592", "https://weidian.com/item.html?itemID=7624383592")</f>
        <v>https://weidian.com/item.html?itemID=7624383592</v>
      </c>
      <c r="D57"/>
      <c r="E57" s="2" t="str">
        <f>=HYPERLINK("https://si.geilicdn.com/pcitem2014204438-44c60000019ad9cb0f940a20e7c7_1074_1074.jpg?w=640&amp;h=640", "https://si.geilicdn.com/pcitem2014204438-44c60000019ad9cb0f940a20e7c7_1074_1074.jpg?w=640&amp;h=640")</f>
        <v>https://si.geilicdn.com/pcitem2014204438-44c60000019ad9cb0f940a20e7c7_1074_1074.jpg?w=640&amp;h=640</v>
      </c>
      <c r="F57" t="inlineStr">
        <is>
          <t>Accessories</t>
        </is>
      </c>
      <c r="G57" t="inlineStr">
        <is>
          <t>Fendi</t>
        </is>
      </c>
      <c r="H57">
        <v>460</v>
      </c>
      <c r="I57">
        <v>66.67</v>
      </c>
      <c r="J57" t="inlineStr">
        <is>
          <t>{"id":"chatcmpl-DZSI2mhq4Ts67Qg193gWDWB179xLy","object":"chat.completion","created":1777342598,"model":"gpt-5-chat-2025-10-03","choices":[{"index":0,"message":{"role":"assistant","content":"Fendi Black FF Logo Leather Belt Unisex","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57" t="inlineStr">
        <is>
          <t>Fendi Black FF Logo Leather Belt Unisex</t>
        </is>
      </c>
      <c r="L57" t="inlineStr">
        <is>
          <t>{"id":"chatcmpl-DZRfrUoUvt4a5o8t0rbEG3Agplw6p","object":"chat.completion","created":1777340231,"model":"gpt-5-chat-2025-10-03","choices":[{"index":0,"message":{"role":"assistant","content":"Fendi Black FF Logo Leather Belt crafted from premium cowhide, featuring classic double-F lining and geometric metal logo. Unisex design for business or casual wear, exuding Italian elegance.","refusal":null,"annotations":[]},"logprobs":null,"finish_reason":"stop"}],"usage":{"prompt_tokens":910,"completion_tokens":38,"total_tokens":948,"prompt_tokens_details":{"cached_tokens":0,"audio_tokens":0},"completion_tokens_details":{"reasoning_tokens":0,"audio_tokens":0,"accepted_prediction_tokens":0,"rejected_prediction_tokens":0}},"service_tier":"default","system_fingerprint":"fp_ad66631dec"}</t>
        </is>
      </c>
      <c r="M57" t="inlineStr">
        <is>
          <t>{"alt-svc":"h3=\":443\"; ma=2592000","apim-request-id":"e13fe3f3-28fc-480c-91e4-400212dbba56","azureml-model-session":"d20260402083108-57a85543","cache-control":"no-cache","connection":"close","content-length":"999","content-type":"application/json","date":"Tue, 28 Apr 2026 01:37:13 GMT","server":"Caddy","skip-error-remapping":"true","strict-transport-security":"max-age=31536000; includeSubDomains; preload","x-content-type-options":"nosniff","x-ms-client-request-id":"Not-Set","x-ms-is-spilled-over":"false","x-ms-rai-invoked":"false","x-ms-region":"Sweden Central","x-new-api-version":"0.4.35","x-oneapi-request-id":"202604280137101619569958268d9d6OPWuAqdV","x-ratelimit-abusepenalty-active":"False","x-ratelimit-key":"gpt-5-chat-global","x-ratelimit-limit-requests":"1000","x-ratelimit-limit-tokens":"1000000","x-ratelimit-remaining-requests":"999","x-ratelimit-remaining-tokens":"998328","x-ratelimit-renewalperiod-requests":"60","x-ratelimit-renewalperiod-tokens":"60","x-ratelimit-reset-requests":"60","x-ratelimit-reset-tokens":"100","x-request-id":"a90e6534-2747-4229-8bc4-7c9f9a96ee82"}</t>
        </is>
      </c>
      <c r="N57" t="inlineStr">
        <is>
          <t>Fendi Black FF Logo Leather Belt crafted from premium cowhide, featuring classic double-F lining and geometric metal logo. Unisex design for business or casual wear, exuding Italian elegance.</t>
        </is>
      </c>
      <c r="O57" t="inlineStr">
        <is>
          <t>{"id":"chatcmpl-DZSbE78toesW3tJN5djjSunYZNUsT","object":"chat.completion","created":1777343788,"model":"gpt-5-chat-2025-10-03","choices":[{"index":0,"message":{"role":"assistant","content":"Fendi,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7" t="inlineStr">
        <is>
          <t>Fendi, belt, kakobuy, kakebuy2026, kekobuysheet, kakobuysheet2026, 2026kakobuy, kakobuyspreadsheeet, kakobuylink, kakebuylist, Kakobuy MEGA Spreadsheet, kakobuysheetfind, kakobuysheetfind2026, 2026kakobuysheetfind, kakobuysheet2026</t>
        </is>
      </c>
      <c r="Q57" t="inlineStr">
        <is>
          <t>Leather, Unisex, Business, Business Casual, Elegant, Geometric</t>
        </is>
      </c>
      <c r="R57" t="inlineStr">
        <is>
          <t>recvhju1CrgrXl</t>
        </is>
      </c>
      <c r="S57" t="inlineStr">
        <is>
          <t>fendi-black-ff-logo-leather-belt-unisex-recvhju1crgrxl</t>
        </is>
      </c>
      <c r="T57"/>
      <c r="U57"/>
      <c r="V57"/>
      <c r="W57" t="inlineStr">
        <is>
          <t>{"id":"chatcmpl-DZRAKSaFMbGoeHjdXcLGr2ogOob74","object":"chat.completion","created":1777338276,"model":"gpt-5-chat-2025-10-03","choices":[{"index":0,"message":{"role":"assistant","content":"Fendi：黑色FF标扣皮质腰带，甄选高级牛皮材质，内衬经典双F图腾，金属几何Logo设计，尽显意式简约奢华格调，适合男女通用，可搭配商务或休闲装，展现现代都市优雅风尚。","refusal":null,"annotations":[]},"logprobs":null,"finish_reason":"stop"}],"usage":{"prompt_tokens":1305,"completion_tokens":74,"total_tokens":1379,"prompt_tokens_details":{"cached_tokens":0,"audio_tokens":0},"completion_tokens_details":{"reasoning_tokens":0,"audio_tokens":0,"accepted_prediction_tokens":0,"rejected_prediction_tokens":0}},"service_tier":"default","system_fingerprint":"fp_ad66631dec"}</t>
        </is>
      </c>
      <c r="X57" t="inlineStr">
        <is>
          <t>Fendi：黑色FF标扣皮质腰带，甄选高级牛皮材质，内衬经典双F图腾，金属几何Logo设计，尽显意式简约奢华格调，适合男女通用，可搭配商务或休闲装，展现现代都市优雅风尚。</t>
        </is>
      </c>
    </row>
    <row r="58" ht="25.5" customHeight="1">
      <c r="A58">
        <v>1654975475</v>
      </c>
      <c r="B58">
        <v>7621413475</v>
      </c>
      <c r="C58" s="2" t="str">
        <f>=HYPERLINK("https://weidian.com/item.html?itemID=7621413475", "https://weidian.com/item.html?itemID=7621413475")</f>
        <v>https://weidian.com/item.html?itemID=7621413475</v>
      </c>
      <c r="D58"/>
      <c r="E58" s="2" t="str">
        <f>=HYPERLINK("https://si.geilicdn.com/pcitem2014204438-4b8a0000019ad9c9f5e60a230115_1074_1074.jpg?w=640&amp;h=640", "https://si.geilicdn.com/pcitem2014204438-4b8a0000019ad9c9f5e60a230115_1074_1074.jpg?w=640&amp;h=640")</f>
        <v>https://si.geilicdn.com/pcitem2014204438-4b8a0000019ad9c9f5e60a230115_1074_1074.jpg?w=640&amp;h=640</v>
      </c>
      <c r="F58" t="inlineStr">
        <is>
          <t>Accessories</t>
        </is>
      </c>
      <c r="G58" t="inlineStr">
        <is>
          <t>Fendi</t>
        </is>
      </c>
      <c r="H58">
        <v>460</v>
      </c>
      <c r="I58">
        <v>66.67</v>
      </c>
      <c r="J58" t="inlineStr">
        <is>
          <t>{"id":"chatcmpl-DZSK8lCXjYUvJApm8cE6nrNOOAUmO","object":"chat.completion","created":1777342728,"model":"gpt-5-chat-2025-10-03","choices":[{"index":0,"message":{"role":"assistant","content":"Fendi Black Gold Reversible FF Leather Belt","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58" t="inlineStr">
        <is>
          <t>Fendi Black Gold Reversible FF Leather Belt</t>
        </is>
      </c>
      <c r="L58" t="inlineStr">
        <is>
          <t>{"id":"chatcmpl-DZRj17eAvIguupCBzmrzWedVlRZht","object":"chat.completion","created":1777340427,"model":"gpt-5-chat-2025-10-03","choices":[{"index":0,"message":{"role":"assistant","content":"Fendi Classic Black and Gold Reversible Leather Belt, crafted from Italian genuine leather with FF monogram inner lining, featuring a luxurious double F buckle for a modern unisex urban elegance.","refusal":null,"annotations":[]},"logprobs":null,"finish_reason":"stop"}],"usage":{"prompt_tokens":899,"completion_tokens":38,"total_tokens":937,"prompt_tokens_details":{"cached_tokens":0,"audio_tokens":0},"completion_tokens_details":{"reasoning_tokens":0,"audio_tokens":0,"accepted_prediction_tokens":0,"rejected_prediction_tokens":0}},"service_tier":"default","system_fingerprint":"fp_ad66631dec"}</t>
        </is>
      </c>
      <c r="M58" t="inlineStr">
        <is>
          <t>{"alt-svc":"h3=\":443\"; ma=2592000","apim-request-id":"d0cab880-4ba7-499c-89d9-35f72f469dec","azureml-model-session":"d20260402075109-1fc5a0ec","cache-control":"no-cache","connection":"close","content-length":"1003","content-type":"application/json","date":"Tue, 28 Apr 2026 01:40:28 GMT","server":"nginx","skip-error-remapping":"true","strict-transport-security":"max-age=31536000; includeSubDomains; preload","via":"1.1 Caddy","x-content-type-options":"nosniff","x-ms-client-request-id":"Not-Set","x-ms-is-spilled-over":"false","x-ms-rai-invoked":"false","x-ms-region":"West US","x-new-api-version":"0.4.35","x-oneapi-request-id":"20260428014026629403788268d9d68TMHXcd4","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d9ddc623-a1f7-9132-8558-8e8d679999a1"}</t>
        </is>
      </c>
      <c r="N58" t="inlineStr">
        <is>
          <t>Fendi Classic Black and Gold Reversible Leather Belt, crafted from Italian genuine leather with FF monogram inner lining, featuring a luxurious double F buckle for a modern unisex urban elegance.</t>
        </is>
      </c>
      <c r="O58" t="inlineStr">
        <is>
          <t>{"id":"chatcmpl-DZSUAwJSo0agu8M8uX40wGiZ4Fgzl","object":"chat.completion","created":1777343350,"model":"gpt-5-chat-2025-10-03","choices":[{"index":0,"message":{"role":"assistant","content":"Fendi,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8" t="inlineStr">
        <is>
          <t>Fendi, Belt, kakobuy, kakebuy2026, kekobuysheet, kakobuysheet2026, 2026kakobuy, kakobuyspreadsheeet, kakobuylink, kakebuylist, Kakobuy MEGA Spreadsheet, kakobuysheetfind, kakobuysheetfind2026, 2026kakobuysheetfind, kakobuysheet2026</t>
        </is>
      </c>
      <c r="Q58" t="inlineStr">
        <is>
          <t>Black Gold, Genuine Leather, Leather, Unisex, Modern</t>
        </is>
      </c>
      <c r="R58" t="inlineStr">
        <is>
          <t>recvhju1CrSwn5</t>
        </is>
      </c>
      <c r="S58" t="inlineStr">
        <is>
          <t>fendi-black-gold-reversible-ff-leather-belt-recvhju1crswn5</t>
        </is>
      </c>
      <c r="T58"/>
      <c r="U58"/>
      <c r="V58"/>
      <c r="W58" t="inlineStr">
        <is>
          <t>{"id":"chatcmpl-DZR9YTot2EBoSxenj6jRqR9u1J5FN","object":"chat.completion","created":1777338228,"model":"gpt-5-chat-2025-10-03","choices":[{"index":0,"message":{"role":"assistant","content":"Fendi：经典黑金双面皮革腰带，采用意大利真皮打造，内衬FF老花图腾，金属双F扣设计彰显奢华质感，简约大气男女通用款，呈现现代都市优雅风范。","refusal":null,"annotations":[]},"logprobs":null,"finish_reason":"stop"}],"usage":{"prompt_tokens":1307,"completion_tokens":62,"total_tokens":1369,"prompt_tokens_details":{"cached_tokens":0,"audio_tokens":0},"completion_tokens_details":{"reasoning_tokens":0,"audio_tokens":0,"accepted_prediction_tokens":0,"rejected_prediction_tokens":0}},"service_tier":"default","system_fingerprint":"fp_ad66631dec"}</t>
        </is>
      </c>
      <c r="X58" t="inlineStr">
        <is>
          <t>Fendi：经典黑金双面皮革腰带，采用意大利真皮打造，内衬FF老花图腾，金属双F扣设计彰显奢华质感，简约大气男女通用款，呈现现代都市优雅风范。</t>
        </is>
      </c>
    </row>
    <row r="59" ht="25.5" customHeight="1">
      <c r="A59">
        <v>1654975475</v>
      </c>
      <c r="B59">
        <v>7623674296</v>
      </c>
      <c r="C59" s="2" t="str">
        <f>=HYPERLINK("https://weidian.com/item.html?itemID=7623674296", "https://weidian.com/item.html?itemID=7623674296")</f>
        <v>https://weidian.com/item.html?itemID=7623674296</v>
      </c>
      <c r="D59"/>
      <c r="E59" s="2" t="str">
        <f>=HYPERLINK("https://si.geilicdn.com/pcitem2014204438-51620000019ad9cb85e90a23037f_1512_2016.jpg?w=640&amp;h=640", "https://si.geilicdn.com/pcitem2014204438-51620000019ad9cb85e90a23037f_1512_2016.jpg?w=640&amp;h=640")</f>
        <v>https://si.geilicdn.com/pcitem2014204438-51620000019ad9cb85e90a23037f_1512_2016.jpg?w=640&amp;h=640</v>
      </c>
      <c r="F59" t="inlineStr">
        <is>
          <t>Accessories</t>
        </is>
      </c>
      <c r="G59" t="inlineStr">
        <is>
          <t>Dior</t>
        </is>
      </c>
      <c r="H59">
        <v>460</v>
      </c>
      <c r="I59">
        <v>66.67</v>
      </c>
      <c r="J59" t="inlineStr">
        <is>
          <t>{"id":"chatcmpl-DZSM61ggtD40XRfQkIR6wqhenF3AA","object":"chat.completion","created":1777342850,"model":"gpt-5-chat-2025-10-03","choices":[{"index":0,"message":{"role":"assistant","content":"Dior Oblique Black White Fabric Belt CD Buckle Unisex","refusal":null,"annotations":[]},"logprobs":null,"finish_reason":"stop"}],"usage":{"prompt_tokens":863,"completion_tokens":14,"total_tokens":877,"prompt_tokens_details":{"cached_tokens":0,"audio_tokens":0},"completion_tokens_details":{"reasoning_tokens":0,"audio_tokens":0,"accepted_prediction_tokens":0,"rejected_prediction_tokens":0}},"service_tier":"default","system_fingerprint":"fp_ad66631dec"}</t>
        </is>
      </c>
      <c r="K59" t="inlineStr">
        <is>
          <t>Dior Oblique Black White Fabric Belt CD Buckle Unisex</t>
        </is>
      </c>
      <c r="L59" t="inlineStr">
        <is>
          <t>{"id":"chatcmpl-DZReCEWC0DLAWKJf0KQJRRqkkcr9r","object":"chat.completion","created":1777340128,"model":"gpt-5-chat-2025-10-03","choices":[{"index":0,"message":{"role":"assistant","content":"Dior Oblique black and white fabric belt featuring iconic letter print and round metal CD buckle, a modern unisex accessory perfect for chic urban style.","refusal":null,"annotations":[]},"logprobs":null,"finish_reason":"stop"}],"usage":{"prompt_tokens":891,"completion_tokens":31,"total_tokens":922,"prompt_tokens_details":{"cached_tokens":0,"audio_tokens":0},"completion_tokens_details":{"reasoning_tokens":0,"audio_tokens":0,"accepted_prediction_tokens":0,"rejected_prediction_tokens":0}},"service_tier":"default","system_fingerprint":"fp_ad66631dec"}</t>
        </is>
      </c>
      <c r="M59" t="inlineStr">
        <is>
          <t>{"alt-svc":"h3=\":443\"; ma=2592000","apim-request-id":"9eab454f-1c81-462c-90a2-8f8cffd19dbb","azureml-model-session":"d20260405221325-2e8d5e76","cache-control":"no-cache","connection":"close","content-length":"961","content-type":"application/json","date":"Tue, 28 Apr 2026 01:35:29 GMT","server":"Caddy","skip-error-remapping":"true","strict-transport-security":"max-age=31536000; includeSubDomains; preload","x-content-type-options":"nosniff","x-ms-client-request-id":"Not-Set","x-ms-is-spilled-over":"false","x-ms-rai-invoked":"false","x-ms-region":"Poland Central","x-new-api-version":"0.4.35","x-oneapi-request-id":"202604280135275818315468268d9d6mt22vI3I","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bc51a7f0-0e61-4d9c-9e88-d43282d7ba16"}</t>
        </is>
      </c>
      <c r="N59" t="inlineStr">
        <is>
          <t>Dior Oblique black and white fabric belt featuring iconic letter print and round metal CD buckle, a modern unisex accessory perfect for chic urban style.</t>
        </is>
      </c>
      <c r="O59" t="inlineStr">
        <is>
          <t>{"id":"chatcmpl-DZSZsr9HohHCouoOFWAAQoNsTMHek","object":"chat.completion","created":1777343704,"model":"gpt-5-chat-2025-10-03","choices":[{"index":0,"message":{"role":"assistant","content":"Dio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59" t="inlineStr">
        <is>
          <t>Dior,Accessories,kakobuy,kakebuy2026,kekobuysheet,kakobuysheet2026,2026kakobuy,kakobuyspreadsheeet,kakobuylink,kakebuylist,Kakobuy MEGA Spreadsheet,kakobuysheetfind,kakobuysheetfind2026,2026kakobuysheetfind,kakobuysheet2026</t>
        </is>
      </c>
      <c r="Q59" t="inlineStr">
        <is>
          <t>Dior, Dior Oblique, Black, White, Unisex, Streetwear</t>
        </is>
      </c>
      <c r="R59" t="inlineStr">
        <is>
          <t>recvhju1Cr3Hah</t>
        </is>
      </c>
      <c r="S59" t="inlineStr">
        <is>
          <t>dior-oblique-black-white-fabric-belt-cd-buckle-unisex-recvhju1cr3hah</t>
        </is>
      </c>
      <c r="T59"/>
      <c r="U59"/>
      <c r="V59"/>
      <c r="W59" t="inlineStr">
        <is>
          <t>{"id":"chatcmpl-DZRD31buOeO8eftvTKe4GrWU57L4N","object":"chat.completion","created":1777338445,"model":"gpt-5-chat-2025-10-03","choices":[{"index":0,"message":{"role":"assistant","content":"Dior：Oblique系列黑白配色织物腰带，以标志性字母印花彰显品牌格调，金属圆形CD扣设计，简约优雅兼具现代感，男女皆宜，适合都市时尚穿搭。","refusal":null,"annotations":[]},"logprobs":null,"finish_reason":"stop"}],"usage":{"prompt_tokens":1299,"completion_tokens":58,"total_tokens":1357,"prompt_tokens_details":{"cached_tokens":0,"audio_tokens":0},"completion_tokens_details":{"reasoning_tokens":0,"audio_tokens":0,"accepted_prediction_tokens":0,"rejected_prediction_tokens":0}},"service_tier":"default","system_fingerprint":"fp_ad66631dec"}</t>
        </is>
      </c>
      <c r="X59" t="inlineStr">
        <is>
          <t>Dior：Oblique系列黑白配色织物腰带，以标志性字母印花彰显品牌格调，金属圆形CD扣设计，简约优雅兼具现代感，男女皆宜，适合都市时尚穿搭。</t>
        </is>
      </c>
    </row>
    <row r="60" ht="25.5" customHeight="1">
      <c r="A60">
        <v>1654975475</v>
      </c>
      <c r="B60">
        <v>7621582713</v>
      </c>
      <c r="C60" s="2" t="str">
        <f>=HYPERLINK("https://weidian.com/item.html?itemID=7621582713", "https://weidian.com/item.html?itemID=7621582713")</f>
        <v>https://weidian.com/item.html?itemID=7621582713</v>
      </c>
      <c r="D60"/>
      <c r="E60" s="2" t="str">
        <f>=HYPERLINK("https://si.geilicdn.com/pcitem2014204438-23580000019ad9ece4400a811411_1512_2016.jpg?w=640&amp;h=640", "https://si.geilicdn.com/pcitem2014204438-23580000019ad9ece4400a811411_1512_2016.jpg?w=640&amp;h=640")</f>
        <v>https://si.geilicdn.com/pcitem2014204438-23580000019ad9ece4400a811411_1512_2016.jpg?w=640&amp;h=640</v>
      </c>
      <c r="F60" t="inlineStr">
        <is>
          <t>Accessories</t>
        </is>
      </c>
      <c r="G60" t="inlineStr">
        <is>
          <t>Louis Vuitton</t>
        </is>
      </c>
      <c r="H60">
        <v>460</v>
      </c>
      <c r="I60">
        <v>66.67</v>
      </c>
      <c r="J60" t="inlineStr">
        <is>
          <t>{"id":"chatcmpl-DZSKmIKESGT04MMaTtCryg08CbhFh","object":"chat.completion","created":1777342768,"model":"gpt-5-chat-2025-10-03","choices":[{"index":0,"message":{"role":"assistant","content":"Louis Vuitton Monogram Black Leather Men Belt","refusal":null,"annotations":[]},"logprobs":null,"finish_reason":"stop"}],"usage":{"prompt_tokens":877,"completion_tokens":9,"total_tokens":886,"prompt_tokens_details":{"cached_tokens":0,"audio_tokens":0},"completion_tokens_details":{"reasoning_tokens":0,"audio_tokens":0,"accepted_prediction_tokens":0,"rejected_prediction_tokens":0}},"service_tier":"default","system_fingerprint":"fp_ad66631dec"}</t>
        </is>
      </c>
      <c r="K60" t="inlineStr">
        <is>
          <t>Louis Vuitton Monogram Black Leather Men Belt</t>
        </is>
      </c>
      <c r="L60" t="inlineStr">
        <is>
          <t>{"id":"chatcmpl-DZRggUKbeDdnbEKmrr7ghVuo8fQRw","object":"chat.completion","created":1777340282,"model":"gpt-5-chat-2025-10-03","choices":[{"index":0,"message":{"role":"assistant","content":"Louis Vuitton black Monogram leather men’s belt, crafted from premium grained cowhide, with a silver metal buckle featuring LV logo, refined and modern style for business or casual wear.","refusal":null,"annotations":[]},"logprobs":null,"finish_reason":"stop"}],"usage":{"prompt_tokens":899,"completion_tokens":38,"total_tokens":937,"prompt_tokens_details":{"cached_tokens":0,"audio_tokens":0},"completion_tokens_details":{"reasoning_tokens":0,"audio_tokens":0,"accepted_prediction_tokens":0,"rejected_prediction_tokens":0}},"service_tier":"default","system_fingerprint":"fp_ad66631dec"}</t>
        </is>
      </c>
      <c r="M60" t="inlineStr">
        <is>
          <t>{"alt-svc":"h3=\":443\"; ma=2592000","apim-request-id":"c151aaf5-8739-4258-969c-4f6be81c59bd","azureml-model-session":"d20260405234249-f9874baf","cache-control":"no-cache","connection":"close","content-length":"996","content-type":"application/json","date":"Tue, 28 Apr 2026 01:38:03 GMT","server":"Caddy","skip-error-remapping":"true","strict-transport-security":"max-age=31536000; includeSubDomains; preload","x-content-type-options":"nosniff","x-ms-client-request-id":"Not-Set","x-ms-is-spilled-over":"false","x-ms-rai-invoked":"false","x-ms-region":"Central US","x-new-api-version":"0.4.35","x-oneapi-request-id":"202604280138009295639048268d9d6LX8U1j6q","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852591ee-3f5d-45f3-8073-069e4c782dde"}</t>
        </is>
      </c>
      <c r="N60" t="inlineStr">
        <is>
          <t>Louis Vuitton black Monogram leather men’s belt, crafted from premium grained cowhide, with a silver metal buckle featuring LV logo, refined and modern style for business or casual wear.</t>
        </is>
      </c>
      <c r="O60" t="inlineStr">
        <is>
          <t>{"id":"chatcmpl-DZSY8ZRJSAIoQH5MTO5iUZbBiKJik","object":"chat.completion","created":1777343596,"model":"gpt-5-chat-2025-10-03","choices":[{"index":0,"message":{"role":"assistant","content":"Louis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60" t="inlineStr">
        <is>
          <t>Louis Vuitton, Accessories, kakobuy, kakebuy2026, kekobuysheet, kakobuysheet2026, 2026kakobuy, kakobuyspreadsheeet, kakobuylink, kakebuylist, Kakobuy MEGA Spreadsheet, kakobuysheetfind, kakobuysheetfind2026, 2026kakobuysheetfind, kakobuysheet2026</t>
        </is>
      </c>
      <c r="Q60" t="inlineStr">
        <is>
          <t>LV, Black, Leather, Cowhide, Business, Men</t>
        </is>
      </c>
      <c r="R60" t="inlineStr">
        <is>
          <t>recvhju1Cr780T</t>
        </is>
      </c>
      <c r="S60" t="inlineStr">
        <is>
          <t>louis-vuitton-monogram-black-leather-men-belt-recvhju1cr780t</t>
        </is>
      </c>
      <c r="T60"/>
      <c r="U60"/>
      <c r="V60"/>
      <c r="W60" t="inlineStr">
        <is>
          <t>{"id":"chatcmpl-DZRDUMHnXdQfkuU0scCOEjX7ONAy7","object":"chat.completion","created":1777338472,"model":"gpt-5-chat-2025-10-03","choices":[{"index":0,"message":{"role":"assistant","content":"Louis Vuitton：黑色Monogram刻纹男士皮带，甄选经典粒面牛皮材质，银色金属方扣搭配品牌标识设计，低调奢华而不失格调，彰显现代绅士风范，适合商务与休闲场合。","refusal":null,"annotations":[]},"logprobs":null,"finish_reason":"stop"}],"usage":{"prompt_tokens":1295,"completion_tokens":68,"total_tokens":1363,"prompt_tokens_details":{"cached_tokens":0,"audio_tokens":0},"completion_tokens_details":{"reasoning_tokens":0,"audio_tokens":0,"accepted_prediction_tokens":0,"rejected_prediction_tokens":0}},"service_tier":"default","system_fingerprint":"fp_ad66631dec"}</t>
        </is>
      </c>
      <c r="X60" t="inlineStr">
        <is>
          <t>Louis Vuitton：黑色Monogram刻纹男士皮带，甄选经典粒面牛皮材质，银色金属方扣搭配品牌标识设计，低调奢华而不失格调，彰显现代绅士风范，适合商务与休闲场合。</t>
        </is>
      </c>
    </row>
    <row r="61" ht="25.5" customHeight="1">
      <c r="A61">
        <v>1654975475</v>
      </c>
      <c r="B61">
        <v>7621533271</v>
      </c>
      <c r="C61" s="2" t="str">
        <f>=HYPERLINK("https://weidian.com/item.html?itemID=7621533271", "https://weidian.com/item.html?itemID=7621533271")</f>
        <v>https://weidian.com/item.html?itemID=7621533271</v>
      </c>
      <c r="D61"/>
      <c r="E61" s="2" t="str">
        <f>=HYPERLINK("https://si.geilicdn.com/pcitem2014204438-5e810000019ad9f3dc640a23037f_1512_2016.jpg?w=640&amp;h=640", "https://si.geilicdn.com/pcitem2014204438-5e810000019ad9f3dc640a23037f_1512_2016.jpg?w=640&amp;h=640")</f>
        <v>https://si.geilicdn.com/pcitem2014204438-5e810000019ad9f3dc640a23037f_1512_2016.jpg?w=640&amp;h=640</v>
      </c>
      <c r="F61" t="inlineStr">
        <is>
          <t>Accessories</t>
        </is>
      </c>
      <c r="G61" t="inlineStr">
        <is>
          <t>Gucci</t>
        </is>
      </c>
      <c r="H61">
        <v>460</v>
      </c>
      <c r="I61">
        <v>66.67</v>
      </c>
      <c r="J61" t="inlineStr">
        <is>
          <t>{"id":"chatcmpl-DZSJZ3UWlpJ8qY11PdISIZsuPlP6f","object":"chat.completion","created":1777342693,"model":"gpt-5-chat-2025-10-03","choices":[{"index":0,"message":{"role":"assistant","content":"Gucci Beige Leather Double G Logo Belt Unisex","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61" t="inlineStr">
        <is>
          <t>Gucci Beige Leather Double G Logo Belt Unisex</t>
        </is>
      </c>
      <c r="L61" t="inlineStr">
        <is>
          <t>{"id":"chatcmpl-DZRkKQ5zzjWkWUprBo5HAreTbhEpa","object":"chat.completion","created":1777340508,"model":"gpt-5-chat-2025-10-03","choices":[{"index":0,"message":{"role":"assistant","content":"Gucci Beige Leather Double G Logo Belt, crafted from grained calfskin with a sleek round metal GG buckle. Unisex design offering a blend of modern luxury and timeless Italian elegance.","refusal":null,"annotations":[]},"logprobs":null,"finish_reason":"stop"}],"usage":{"prompt_tokens":888,"completion_tokens":38,"total_tokens":926,"prompt_tokens_details":{"cached_tokens":0,"audio_tokens":0},"completion_tokens_details":{"reasoning_tokens":0,"audio_tokens":0,"accepted_prediction_tokens":0,"rejected_prediction_tokens":0}},"service_tier":"default","system_fingerprint":"fp_ad66631dec"}</t>
        </is>
      </c>
      <c r="M61" t="inlineStr">
        <is>
          <t>{"alt-svc":"h3=\":443\"; ma=2592000","apim-request-id":"5eb812d5-8833-4d12-bb48-b4a7204899e4","azureml-model-session":"d20260402074105-51db401e","cache-control":"no-cache","connection":"close","content-length":"992","content-type":"application/json","date":"Tue, 28 Apr 2026 01:41:50 GMT","server":"Caddy","skip-error-remapping":"true","strict-transport-security":"max-age=31536000; includeSubDomains; preload","x-content-type-options":"nosniff","x-ms-client-request-id":"Not-Set","x-ms-is-spilled-over":"false","x-ms-rai-invoked":"false","x-ms-region":"West US","x-new-api-version":"0.4.35","x-oneapi-request-id":"202604280141476134756968268d9d6VwVjxCh7","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f9dd590a-1e88-4226-87c5-69ead2f08f9b"}</t>
        </is>
      </c>
      <c r="N61" t="inlineStr">
        <is>
          <t>Gucci Beige Leather Double G Logo Belt, crafted from grained calfskin with a sleek round metal GG buckle. Unisex design offering a blend of modern luxury and timeless Italian elegance.</t>
        </is>
      </c>
      <c r="O61" t="inlineStr">
        <is>
          <t>{"id":"chatcmpl-DZSYN6wYYkIFzEZ019J6y4uRgMQnY","object":"chat.completion","created":1777343611,"model":"gpt-5-chat-2025-10-03","choices":[{"index":0,"message":{"role":"assistant","content":"Gucci,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61" t="inlineStr">
        <is>
          <t>Gucci, Belt, kakobuy, kakebuy2026, kekobuysheet, kakobuysheet2026, 2026kakobuy, kakobuyspreadsheeet, kakobuylink, kakebuylist, Kakobuy MEGA Spreadsheet, kakobuysheetfind, kakobuysheetfind2026, 2026kakobuysheetfind, kakobuysheet2026</t>
        </is>
      </c>
      <c r="Q61" t="inlineStr">
        <is>
          <t>Leather, Beige, Unisex, Elegant, Modern</t>
        </is>
      </c>
      <c r="R61" t="inlineStr">
        <is>
          <t>recvhju1CrwR5e</t>
        </is>
      </c>
      <c r="S61" t="inlineStr">
        <is>
          <t>gucci-beige-leather-double-g-logo-belt-unisex-recvhju1crwr5e</t>
        </is>
      </c>
      <c r="T61"/>
      <c r="U61"/>
      <c r="V61"/>
      <c r="W61" t="inlineStr">
        <is>
          <t>{"id":"chatcmpl-DZRCl5xe8Zvf7aYZv7QDmZz66SudK","object":"chat.completion","created":1777338427,"model":"gpt-5-chat-2025-10-03","choices":[{"index":0,"message":{"role":"assistant","content":"Gucci：米色皮质双G标志腰带，采用粒面牛皮材质，金属双G圆形扣设计，简约奢华风格，男女皆宜，彰显现代意式优雅品味。","refusal":null,"annotations":[]},"logprobs":null,"finish_reason":"stop"}],"usage":{"prompt_tokens":1301,"completion_tokens":54,"total_tokens":1355,"prompt_tokens_details":{"cached_tokens":1280,"audio_tokens":0},"completion_tokens_details":{"reasoning_tokens":0,"audio_tokens":0,"accepted_prediction_tokens":0,"rejected_prediction_tokens":0}},"service_tier":"default","system_fingerprint":"fp_ad66631dec"}</t>
        </is>
      </c>
      <c r="X61" t="inlineStr">
        <is>
          <t>Gucci：米色皮质双G标志腰带，采用粒面牛皮材质，金属双G圆形扣设计，简约奢华风格，男女皆宜，彰显现代意式优雅品味。</t>
        </is>
      </c>
    </row>
    <row r="62" ht="25.5" customHeight="1">
      <c r="A62">
        <v>1654975475</v>
      </c>
      <c r="B62">
        <v>7621588911</v>
      </c>
      <c r="C62" s="2" t="str">
        <f>=HYPERLINK("https://weidian.com/item.html?itemID=7621588911", "https://weidian.com/item.html?itemID=7621588911")</f>
        <v>https://weidian.com/item.html?itemID=7621588911</v>
      </c>
      <c r="D62"/>
      <c r="E62" s="2" t="str">
        <f>=HYPERLINK("https://si.geilicdn.com/pcitem2014204438-25420000019ad9f45e4e0a231316_1512_2016.jpg?w=640&amp;h=640", "https://si.geilicdn.com/pcitem2014204438-25420000019ad9f45e4e0a231316_1512_2016.jpg?w=640&amp;h=640")</f>
        <v>https://si.geilicdn.com/pcitem2014204438-25420000019ad9f45e4e0a231316_1512_2016.jpg?w=640&amp;h=640</v>
      </c>
      <c r="F62" t="inlineStr">
        <is>
          <t>Accessories</t>
        </is>
      </c>
      <c r="G62" t="inlineStr">
        <is>
          <t>Gucci</t>
        </is>
      </c>
      <c r="H62">
        <v>460</v>
      </c>
      <c r="I62">
        <v>66.67</v>
      </c>
      <c r="J62" t="inlineStr">
        <is>
          <t>{"id":"chatcmpl-DZSGrJ8jQxYlp9v7FMy6Bm0E36rUV","object":"chat.completion","created":1777342525,"model":"gpt-5-chat-2025-10-03","choices":[{"index":0,"message":{"role":"assistant","content":"Gucci Beige Leather Belt Silver GG Buckle","refusal":null,"annotations":[]},"logprobs":null,"finish_reason":"stop"}],"usage":{"prompt_tokens":881,"completion_tokens":10,"total_tokens":891,"prompt_tokens_details":{"cached_tokens":0,"audio_tokens":0},"completion_tokens_details":{"reasoning_tokens":0,"audio_tokens":0,"accepted_prediction_tokens":0,"rejected_prediction_tokens":0}},"service_tier":"default","system_fingerprint":"fp_ad66631dec"}</t>
        </is>
      </c>
      <c r="K62" t="inlineStr">
        <is>
          <t>Gucci Beige Leather Belt Silver GG Buckle</t>
        </is>
      </c>
      <c r="L62" t="inlineStr">
        <is>
          <t>{"id":"chatcmpl-DZRl7InGs2jmPVuZo52lS1ajoaG5q","object":"chat.completion","created":1777340557,"model":"gpt-5-chat-2025-10-03","choices":[{"index":0,"message":{"role":"assistant","content":"Gucci Classic Beige Leather Belt with Silver Double G Logo Buckle, crafted from grained calfskin, unisex design, elegant Italian style, refined embossed logo, perfect for sophisticated city fashion.","refusal":null,"annotations":[]},"logprobs":null,"finish_reason":"stop"}],"usage":{"prompt_tokens":917,"completion_tokens":40,"total_tokens":957,"prompt_tokens_details":{"cached_tokens":0,"audio_tokens":0},"completion_tokens_details":{"reasoning_tokens":0,"audio_tokens":0,"accepted_prediction_tokens":0,"rejected_prediction_tokens":0}},"service_tier":"default","system_fingerprint":"fp_ad66631dec"}</t>
        </is>
      </c>
      <c r="M62" t="inlineStr">
        <is>
          <t>{"alt-svc":"h3=\":443\"; ma=2592000","apim-request-id":"cfc202b8-9580-4645-a133-18276365c4af","azureml-model-session":"d20260405234249-f9874baf","cache-control":"no-cache","connection":"close","content-length":"1006","content-type":"application/json","date":"Tue, 28 Apr 2026 01:42:38 GMT","server":"nginx","skip-error-remapping":"true","strict-transport-security":"max-age=31536000; includeSubDomains; preload","via":"1.1 Caddy","x-content-type-options":"nosniff","x-ms-client-request-id":"Not-Set","x-ms-is-spilled-over":"false","x-ms-rai-invoked":"false","x-ms-region":"East US","x-new-api-version":"0.4.35","x-oneapi-request-id":"202604280142369093726588268d9d6VvXXVWe0","x-ratelimit-abusepenalty-active":"False","x-ratelimit-key":"gpt-5-chat-global","x-ratelimit-limit-requests":"1000","x-ratelimit-limit-tokens":"1000000","x-ratelimit-remaining-requests":"999","x-ratelimit-remaining-tokens":"998321","x-ratelimit-renewalperiod-requests":"60","x-ratelimit-renewalperiod-tokens":"60","x-ratelimit-reset-requests":"60","x-ratelimit-reset-tokens":"100","x-request-id":"c941b51c-1f7b-494d-8c9f-ece637fbaa50"}</t>
        </is>
      </c>
      <c r="N62" t="inlineStr">
        <is>
          <t>Gucci Classic Beige Leather Belt with Silver Double G Logo Buckle, crafted from grained calfskin, unisex design, elegant Italian style, refined embossed logo, perfect for sophisticated city fashion.</t>
        </is>
      </c>
      <c r="O62" t="inlineStr">
        <is>
          <t>{"id":"chatcmpl-DZSX4R6ew0e6qEyqQcZwC57dHin1Q","object":"chat.completion","created":1777343530,"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2" t="inlineStr">
        <is>
          <t>Gucci,Accessories,kakobuy,kakebuy2026,kekobuysheet,kakobuysheet2026,2026kakobuy,kakobuyspreadsheeet,kakobuylink,kakebuylist,Kakobuy MEGA Spreadsheet,kakobuysheetfind,kakobuysheetfind2026,2026kakobuysheetfind,kakobuysheet2026</t>
        </is>
      </c>
      <c r="Q62" t="inlineStr">
        <is>
          <t>Beige, Leather, Unisex, Elegant</t>
        </is>
      </c>
      <c r="R62" t="inlineStr">
        <is>
          <t>recvhju1CrMleG</t>
        </is>
      </c>
      <c r="S62" t="inlineStr">
        <is>
          <t>gucci-beige-leather-belt-silver-gg-buckle-recvhju1crmleg</t>
        </is>
      </c>
      <c r="T62"/>
      <c r="U62"/>
      <c r="V62"/>
      <c r="W62" t="inlineStr">
        <is>
          <t>{"id":"chatcmpl-DZR9Q2JP1cRtiOK2rRPzpZyuBRLnT","object":"chat.completion","created":1777338220,"model":"gpt-5-chat-2025-10-03","choices":[{"index":0,"message":{"role":"assistant","content":"Gucci：经典米咖色皮质腰带，甄选粒面牛皮材质，搭配银色双G镂空金属扣，简约而奢华。低调浮雕Logo彰显品牌辨识度，男女皆宜，意式时尚风格融合精湛工艺，是都市优雅穿搭的理想配饰。","refusal":null,"annotations":[]},"logprobs":null,"finish_reason":"stop"}],"usage":{"prompt_tokens":1301,"completion_tokens":83,"total_tokens":1384,"prompt_tokens_details":{"cached_tokens":0,"audio_tokens":0},"completion_tokens_details":{"reasoning_tokens":0,"audio_tokens":0,"accepted_prediction_tokens":0,"rejected_prediction_tokens":0}},"service_tier":"default","system_fingerprint":"fp_ad66631dec"}</t>
        </is>
      </c>
      <c r="X62" t="inlineStr">
        <is>
          <t>Gucci：经典米咖色皮质腰带，甄选粒面牛皮材质，搭配银色双G镂空金属扣，简约而奢华。低调浮雕Logo彰显品牌辨识度，男女皆宜，意式时尚风格融合精湛工艺，是都市优雅穿搭的理想配饰。</t>
        </is>
      </c>
    </row>
    <row r="63" ht="25.5" customHeight="1">
      <c r="A63">
        <v>1654975475</v>
      </c>
      <c r="B63">
        <v>7624586912</v>
      </c>
      <c r="C63" s="2" t="str">
        <f>=HYPERLINK("https://weidian.com/item.html?itemID=7624586912", "https://weidian.com/item.html?itemID=7624586912")</f>
        <v>https://weidian.com/item.html?itemID=7624586912</v>
      </c>
      <c r="D63"/>
      <c r="E63" s="2" t="str">
        <f>=HYPERLINK("https://si.geilicdn.com/pcitem2014204438-5f770000019ad9f6cb6a0a23037f_1440_1920.jpg?w=640&amp;h=640", "https://si.geilicdn.com/pcitem2014204438-5f770000019ad9f6cb6a0a23037f_1440_1920.jpg?w=640&amp;h=640")</f>
        <v>https://si.geilicdn.com/pcitem2014204438-5f770000019ad9f6cb6a0a23037f_1440_1920.jpg?w=640&amp;h=640</v>
      </c>
      <c r="F63" t="inlineStr">
        <is>
          <t>Accessories</t>
        </is>
      </c>
      <c r="G63" t="inlineStr">
        <is>
          <t>Dior</t>
        </is>
      </c>
      <c r="H63">
        <v>460</v>
      </c>
      <c r="I63">
        <v>66.67</v>
      </c>
      <c r="J63" t="inlineStr">
        <is>
          <t>{"id":"chatcmpl-DZSKY8EP4KHorZfZ2u3qghu4V3Mrd","object":"chat.completion","created":1777342754,"model":"gpt-5-chat-2025-10-03","choices":[{"index":0,"message":{"role":"assistant","content":"Dior Men Grey Leather Belt CD Buckle 4.0cm","refusal":null,"annotations":[]},"logprobs":null,"finish_reason":"stop"}],"usage":{"prompt_tokens":885,"completion_tokens":15,"total_tokens":900,"prompt_tokens_details":{"cached_tokens":0,"audio_tokens":0},"completion_tokens_details":{"reasoning_tokens":0,"audio_tokens":0,"accepted_prediction_tokens":0,"rejected_prediction_tokens":0}},"service_tier":"default","system_fingerprint":"fp_ad66631dec"}</t>
        </is>
      </c>
      <c r="K63" t="inlineStr">
        <is>
          <t>Dior Men Grey Leather Belt CD Buckle 4.0cm</t>
        </is>
      </c>
      <c r="L63" t="inlineStr">
        <is>
          <t>{"id":"chatcmpl-DZRelyo2uVzRpM2N5IQJDLyUtJEgs","object":"chat.completion","created":1777340163,"model":"gpt-5-chat-2025-10-03","choices":[{"index":0,"message":{"role":"assistant","content":"Dior Men’s Grey Silver Geometric Leather Belt with Metal CD Buckle, crafted from premium first-layer cowhide, 4.0cm wide design, modern minimalist style for business and casual wear.","refusal":null,"annotations":[]},"logprobs":null,"finish_reason":"stop"}],"usage":{"prompt_tokens":901,"completion_tokens":42,"total_tokens":943,"prompt_tokens_details":{"cached_tokens":0,"audio_tokens":0},"completion_tokens_details":{"reasoning_tokens":0,"audio_tokens":0,"accepted_prediction_tokens":0,"rejected_prediction_tokens":0}},"service_tier":"default","system_fingerprint":"fp_ad66631dec"}</t>
        </is>
      </c>
      <c r="M63" t="inlineStr">
        <is>
          <t>{"alt-svc":"h3=\":443\"; ma=2592000","apim-request-id":"409e8357-383f-42c9-ba3e-565cb6f6ced5","azureml-model-session":"d20260402084046-4209e968","cache-control":"no-cache","connection":"close","content-length":"992","content-type":"application/json","date":"Tue, 28 Apr 2026 01:36:05 GMT","server":"Caddy","skip-error-remapping":"true","strict-transport-security":"max-age=31536000; includeSubDomains; preload","x-content-type-options":"nosniff","x-ms-client-request-id":"Not-Set","x-ms-is-spilled-over":"false","x-ms-rai-invoked":"false","x-ms-region":"West US","x-new-api-version":"0.4.35","x-oneapi-request-id":"202604280136024199330978268d9d6xjYc5MmV","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b16eab09-7a0a-465b-917c-a459e593b0dc"}</t>
        </is>
      </c>
      <c r="N63" t="inlineStr">
        <is>
          <t>Dior Men’s Grey Silver Geometric Leather Belt with Metal CD Buckle, crafted from premium first-layer cowhide, 4.0cm wide design, modern minimalist style for business and casual wear.</t>
        </is>
      </c>
      <c r="O63" t="inlineStr">
        <is>
          <t>{"id":"chatcmpl-DZSUBLcb3V4d2wMYsa82zGD1YnxD8","object":"chat.completion","created":1777343351,"model":"gpt-5-chat-2025-10-03","choices":[{"index":0,"message":{"role":"assistant","content":"Dior,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63" t="inlineStr">
        <is>
          <t>Dior, belt, kakobuy, kakebuy2026, kekobuysheet, kakobuysheet2026, 2026kakobuy, kakobuyspreadsheeet, kakobuylink, kakebuylist, Kakobuy MEGA Spreadsheet, kakobuysheetfind, kakobuysheetfind2026, 2026kakobuysheetfind, kakobuysheet2026</t>
        </is>
      </c>
      <c r="Q63" t="inlineStr">
        <is>
          <t>Dior, Grey, Silver, Leather, Cowhide, Minimalist</t>
        </is>
      </c>
      <c r="R63" t="inlineStr">
        <is>
          <t>recvhju1CrUHxd</t>
        </is>
      </c>
      <c r="S63" t="inlineStr">
        <is>
          <t>dior-men-grey-leather-belt-cd-buckle-4cm-recvhju1cruhxd</t>
        </is>
      </c>
      <c r="T63"/>
      <c r="U63"/>
      <c r="V63"/>
      <c r="W63" t="inlineStr">
        <is>
          <t>{"id":"chatcmpl-DZR7Iz5o8ojvzN6PyqX5c1NvqvdqB","object":"chat.completion","created":1777338088,"model":"gpt-5-chat-2025-10-03","choices":[{"index":0,"message":{"role":"assistant","content":"Dior：灰银色几何图腾男士皮带，精选头层牛皮材质，搭配金属CD字母扣，展现现代简约美学，4.0cm宽版设计彰显品牌优雅格调，适合商务与日常穿搭。","refusal":null,"annotations":[]},"logprobs":null,"finish_reason":"stop"}],"usage":{"prompt_tokens":1305,"completion_tokens":65,"total_tokens":1370,"prompt_tokens_details":{"cached_tokens":0,"audio_tokens":0},"completion_tokens_details":{"reasoning_tokens":0,"audio_tokens":0,"accepted_prediction_tokens":0,"rejected_prediction_tokens":0}},"service_tier":"default","system_fingerprint":"fp_ad66631dec"}</t>
        </is>
      </c>
      <c r="X63" t="inlineStr">
        <is>
          <t>Dior：灰银色几何图腾男士皮带，精选头层牛皮材质，搭配金属CD字母扣，展现现代简约美学，4.0cm宽版设计彰显品牌优雅格调，适合商务与日常穿搭。</t>
        </is>
      </c>
    </row>
    <row r="64" ht="25.5" customHeight="1">
      <c r="A64">
        <v>1654975475</v>
      </c>
      <c r="B64">
        <v>7624602166</v>
      </c>
      <c r="C64" s="2" t="str">
        <f>=HYPERLINK("https://weidian.com/item.html?itemID=7624602166", "https://weidian.com/item.html?itemID=7624602166")</f>
        <v>https://weidian.com/item.html?itemID=7624602166</v>
      </c>
      <c r="D64"/>
      <c r="E64" s="2" t="str">
        <f>=HYPERLINK("https://si.geilicdn.com/pcitem2014204438-57d80000019ad9f0628e0a230115_1074_1074.jpg?w=640&amp;h=640", "https://si.geilicdn.com/pcitem2014204438-57d80000019ad9f0628e0a230115_1074_1074.jpg?w=640&amp;h=640")</f>
        <v>https://si.geilicdn.com/pcitem2014204438-57d80000019ad9f0628e0a230115_1074_1074.jpg?w=640&amp;h=640</v>
      </c>
      <c r="F64" t="inlineStr">
        <is>
          <t>Accessories</t>
        </is>
      </c>
      <c r="G64" t="inlineStr">
        <is>
          <t>Fendi</t>
        </is>
      </c>
      <c r="H64">
        <v>460</v>
      </c>
      <c r="I64">
        <v>66.67</v>
      </c>
      <c r="J64" t="inlineStr">
        <is>
          <t>{"id":"chatcmpl-DZSJPJ16HtYhrL2AMDhw9vjjFcHu3","object":"chat.completion","created":1777342683,"model":"gpt-5-chat-2025-10-03","choices":[{"index":0,"message":{"role":"assistant","content":"Fendi Black Leather Belt Gold FF Buckle","refusal":null,"annotations":[]},"logprobs":null,"finish_reason":"stop"}],"usage":{"prompt_tokens":869,"completion_tokens":10,"total_tokens":879,"prompt_tokens_details":{"cached_tokens":0,"audio_tokens":0},"completion_tokens_details":{"reasoning_tokens":0,"audio_tokens":0,"accepted_prediction_tokens":0,"rejected_prediction_tokens":0}},"service_tier":"default","system_fingerprint":"fp_ad66631dec"}</t>
        </is>
      </c>
      <c r="K64" t="inlineStr">
        <is>
          <t>Fendi Black Leather Belt Gold FF Buckle</t>
        </is>
      </c>
      <c r="L64" t="inlineStr">
        <is>
          <t>{"id":"chatcmpl-DZRg1BH6PjVXuQ92DnCF5bcjJLpb1","object":"chat.completion","created":1777340241,"model":"gpt-5-chat-2025-10-03","choices":[{"index":0,"message":{"role":"assistant","content":"Fendi black FF logo leather belt with gold double F buckle, showcasing Italian luxury and modern elegance, perfect for both men’s and women’s casual or business outfits.","refusal":null,"annotations":[]},"logprobs":null,"finish_reason":"stop"}],"usage":{"prompt_tokens":885,"completion_tokens":34,"total_tokens":919,"prompt_tokens_details":{"cached_tokens":0,"audio_tokens":0},"completion_tokens_details":{"reasoning_tokens":0,"audio_tokens":0,"accepted_prediction_tokens":0,"rejected_prediction_tokens":0}},"service_tier":"default","system_fingerprint":"fp_ad66631dec"}</t>
        </is>
      </c>
      <c r="M64" t="inlineStr">
        <is>
          <t>{"alt-svc":"h3=\":443\"; ma=2592000","apim-request-id":"1a2e075e-916b-44f1-9014-36e3b86a7982","azureml-model-session":"d20260402083108-57a85543","cache-control":"no-cache","connection":"close","content-length":"981","content-type":"application/json","date":"Tue, 28 Apr 2026 01:37:23 GMT","server":"Caddy","skip-error-remapping":"true","strict-transport-security":"max-age=31536000; includeSubDomains; preload","x-content-type-options":"nosniff","x-ms-client-request-id":"Not-Set","x-ms-is-spilled-over":"false","x-ms-rai-invoked":"false","x-ms-region":"Sweden Central","x-new-api-version":"0.4.35","x-oneapi-request-id":"202604280137205030459668268d9d6uGe7ExHv","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5d342d93-3870-473b-ae26-f700f835be49"}</t>
        </is>
      </c>
      <c r="N64" t="inlineStr">
        <is>
          <t>Fendi black FF logo leather belt with gold double F buckle, showcasing Italian luxury and modern elegance, perfect for both men’s and women’s casual or business outfits.</t>
        </is>
      </c>
      <c r="O64" t="inlineStr">
        <is>
          <t>{"id":"chatcmpl-DZSYQdJZFRT5IB20A0caOYEORn9E1","object":"chat.completion","created":1777343614,"model":"gpt-5-chat-2025-10-03","choices":[{"index":0,"message":{"role":"assistant","content":"Fendi,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64" t="inlineStr">
        <is>
          <t>Fendi, Belt, kakobuy, kakebuy2026, kekobuysheet, kakobuysheet2026, 2026kakobuy, kakobuyspreadsheeet, kakobuylink, kakebuylist, Kakobuy MEGA Spreadsheet, kakobuysheetfind, kakobuysheetfind2026, 2026kakobuysheetfind, kakobuysheet2026</t>
        </is>
      </c>
      <c r="Q64" t="inlineStr">
        <is>
          <t>Black, Leather, Elegant, Men's And Women's, Business Casual</t>
        </is>
      </c>
      <c r="R64" t="inlineStr">
        <is>
          <t>recvhju1CrCJpr</t>
        </is>
      </c>
      <c r="S64" t="inlineStr">
        <is>
          <t>fendi-black-leather-belt-gold-ff-buckle-recvhju1crcjpr</t>
        </is>
      </c>
      <c r="T64"/>
      <c r="U64"/>
      <c r="V64"/>
      <c r="W64" t="inlineStr">
        <is>
          <t>{"id":"chatcmpl-DZRDaiIq5FnPFL9biW0xsWWSLUhhr","object":"chat.completion","created":1777338478,"model":"gpt-5-chat-2025-10-03","choices":[{"index":0,"message":{"role":"assistant","content":"Fendi：黑色FF图纹皮革腰带，搭配金色双F金属扣，简约奢华设计彰显意式摩登格调，适合男女时尚休闲与商务穿搭。","refusal":null,"annotations":[]},"logprobs":null,"finish_reason":"stop"}],"usage":{"prompt_tokens":1301,"completion_tokens":51,"total_tokens":1352,"prompt_tokens_details":{"cached_tokens":0,"audio_tokens":0},"completion_tokens_details":{"reasoning_tokens":0,"audio_tokens":0,"accepted_prediction_tokens":0,"rejected_prediction_tokens":0}},"service_tier":"default","system_fingerprint":"fp_ad66631dec"}</t>
        </is>
      </c>
      <c r="X64" t="inlineStr">
        <is>
          <t>Fendi：黑色FF图纹皮革腰带，搭配金色双F金属扣，简约奢华设计彰显意式摩登格调，适合男女时尚休闲与商务穿搭。</t>
        </is>
      </c>
    </row>
    <row r="65" ht="25.5" customHeight="1">
      <c r="A65">
        <v>1654975475</v>
      </c>
      <c r="B65">
        <v>7624563150</v>
      </c>
      <c r="C65" s="2" t="str">
        <f>=HYPERLINK("https://weidian.com/item.html?itemID=7624563150", "https://weidian.com/item.html?itemID=7624563150")</f>
        <v>https://weidian.com/item.html?itemID=7624563150</v>
      </c>
      <c r="D65"/>
      <c r="E65" s="2" t="str">
        <f>=HYPERLINK("https://si.geilicdn.com/pcitem2014204438-528b0000019ad9fa3beb0a239846_1512_2016.jpg?w=640&amp;h=640", "https://si.geilicdn.com/pcitem2014204438-528b0000019ad9fa3beb0a239846_1512_2016.jpg?w=640&amp;h=640")</f>
        <v>https://si.geilicdn.com/pcitem2014204438-528b0000019ad9fa3beb0a239846_1512_2016.jpg?w=640&amp;h=640</v>
      </c>
      <c r="F65" t="inlineStr">
        <is>
          <t>Accessories</t>
        </is>
      </c>
      <c r="G65" t="inlineStr">
        <is>
          <t>Gucci</t>
        </is>
      </c>
      <c r="H65">
        <v>460</v>
      </c>
      <c r="I65">
        <v>66.67</v>
      </c>
      <c r="J65" t="inlineStr">
        <is>
          <t>{"id":"chatcmpl-DZSMSpPZRgOLfA6R9F8VPQpWaRTzf","object":"chat.completion","created":1777342872,"model":"gpt-5-chat-2025-10-03","choices":[{"index":0,"message":{"role":"assistant","content":"Gucci GG Cartoon Print Gold Buckle Leather Belt","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65" t="inlineStr">
        <is>
          <t>Gucci GG Cartoon Print Gold Buckle Leather Belt</t>
        </is>
      </c>
      <c r="L65" t="inlineStr">
        <is>
          <t>{"id":"chatcmpl-DZRf2f26j3IKnd8UAeTcedNJf85rF","object":"chat.completion","created":1777340180,"model":"gpt-5-chat-2025-10-03","choices":[{"index":0,"message":{"role":"assistant","content":"Gucci GG Fun Illustration Belt: grey printed leather with vintage gold double G buckle, playful cartoon motifs and classic monogram design, unisex style for casual and fashion looks.","refusal":null,"annotations":[]},"logprobs":null,"finish_reason":"stop"}],"usage":{"prompt_tokens":895,"completion_tokens":36,"total_tokens":931,"prompt_tokens_details":{"cached_tokens":0,"audio_tokens":0},"completion_tokens_details":{"reasoning_tokens":0,"audio_tokens":0,"accepted_prediction_tokens":0,"rejected_prediction_tokens":0}},"service_tier":"default","system_fingerprint":"fp_ad66631dec"}</t>
        </is>
      </c>
      <c r="M65" t="inlineStr">
        <is>
          <t>{"alt-svc":"h3=\":443\"; ma=2592000","apim-request-id":"d2bb3b9c-a9f9-4be7-b1b4-a409fadaebb1","azureml-model-session":"d20260405212659-a9daa006","cache-control":"no-cache","connection":"close","content-length":"990","content-type":"application/json","date":"Tue, 28 Apr 2026 01:36:21 GMT","server":"nginx","skip-error-remapping":"true","strict-transport-security":"max-age=31536000; includeSubDomains; preload","via":"1.1 Caddy","x-content-type-options":"nosniff","x-ms-client-request-id":"Not-Set","x-ms-is-spilled-over":"false","x-ms-rai-invoked":"false","x-ms-region":"South Central US","x-new-api-version":"0.4.35","x-oneapi-request-id":"20260428013619453942868268d9d6tR6X8Doz","x-ratelimit-abusepenalty-active":"False","x-ratelimit-key":"gpt-5-chat-global","x-ratelimit-limit-requests":"1000","x-ratelimit-limit-tokens":"1000000","x-ratelimit-remaining-requests":"999","x-ratelimit-remaining-tokens":"993754","x-ratelimit-renewalperiod-requests":"60","x-ratelimit-renewalperiod-tokens":"60","x-ratelimit-reset-requests":"60","x-ratelimit-reset-tokens":"374","x-request-id":"3f9c3ad3-215f-4abd-819b-133728965545"}</t>
        </is>
      </c>
      <c r="N65" t="inlineStr">
        <is>
          <t>Gucci GG Fun Illustration Belt: grey printed leather with vintage gold double G buckle, playful cartoon motifs and classic monogram design, unisex style for casual and fashion looks.</t>
        </is>
      </c>
      <c r="O65" t="inlineStr">
        <is>
          <t>{"id":"chatcmpl-DZSVStuEeXLStVeLWm0OPvh5W82zy","object":"chat.completion","created":1777343430,"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5" t="inlineStr">
        <is>
          <t>Gucci,Accessories,kakobuy,kakebuy2026,kekobuysheet,kakobuysheet2026,2026kakobuy,kakobuyspreadsheeet,kakobuylink,kakebuylist,Kakobuy MEGA Spreadsheet,kakobuysheetfind,kakobuysheetfind2026,2026kakobuysheetfind,kakobuysheet2026</t>
        </is>
      </c>
      <c r="Q65" t="inlineStr">
        <is>
          <t>Grey, Leather, Unisex, Fashion, Vintage</t>
        </is>
      </c>
      <c r="R65" t="inlineStr">
        <is>
          <t>recvhju1Crj91r</t>
        </is>
      </c>
      <c r="S65" t="inlineStr">
        <is>
          <t>gucci-gg-cartoon-print-gold-buckle-leather-belt-recvhju1crj91r</t>
        </is>
      </c>
      <c r="T65"/>
      <c r="U65"/>
      <c r="V65"/>
      <c r="W65" t="inlineStr">
        <is>
          <t>{"id":"chatcmpl-DZR68xDbRO6xV0hA7Mf3jKPH6iCaG","object":"chat.completion","created":1777338016,"model":"gpt-5-chat-2025-10-03","choices":[{"index":0,"message":{"role":"assistant","content":"Gucci：GG趣味插画系列灰色印花皮革腰带，搭配复古金色双G标志扣，融合卡通图腾与经典老花元素，彰显品牌潮趣美学，男女皆宜，休闲与时尚兼备。","refusal":null,"annotations":[]},"logprobs":null,"finish_reason":"stop"}],"usage":{"prompt_tokens":1299,"completion_tokens":62,"total_tokens":1361,"prompt_tokens_details":{"cached_tokens":1280,"audio_tokens":0},"completion_tokens_details":{"reasoning_tokens":0,"audio_tokens":0,"accepted_prediction_tokens":0,"rejected_prediction_tokens":0}},"service_tier":"default","system_fingerprint":"fp_ad66631dec"}</t>
        </is>
      </c>
      <c r="X65" t="inlineStr">
        <is>
          <t>Gucci：GG趣味插画系列灰色印花皮革腰带，搭配复古金色双G标志扣，融合卡通图腾与经典老花元素，彰显品牌潮趣美学，男女皆宜，休闲与时尚兼备。</t>
        </is>
      </c>
    </row>
    <row r="66" ht="25.5" customHeight="1">
      <c r="A66">
        <v>1654975475</v>
      </c>
      <c r="B66">
        <v>7621580893</v>
      </c>
      <c r="C66" s="2" t="str">
        <f>=HYPERLINK("https://weidian.com/item.html?itemID=7621580893", "https://weidian.com/item.html?itemID=7621580893")</f>
        <v>https://weidian.com/item.html?itemID=7621580893</v>
      </c>
      <c r="D66"/>
      <c r="E66" s="2" t="str">
        <f>=HYPERLINK("https://si.geilicdn.com/pcitem2014204438-610d0000019ad9f188990a8133cc_1080_1080.jpg?w=640&amp;h=640", "https://si.geilicdn.com/pcitem2014204438-610d0000019ad9f188990a8133cc_1080_1080.jpg?w=640&amp;h=640")</f>
        <v>https://si.geilicdn.com/pcitem2014204438-610d0000019ad9f188990a8133cc_1080_1080.jpg?w=640&amp;h=640</v>
      </c>
      <c r="F66" t="inlineStr">
        <is>
          <t>Accessories</t>
        </is>
      </c>
      <c r="G66" t="inlineStr">
        <is>
          <t>Louis Vuitton</t>
        </is>
      </c>
      <c r="H66">
        <v>460</v>
      </c>
      <c r="I66">
        <v>66.67</v>
      </c>
      <c r="J66" t="inlineStr">
        <is>
          <t>{"id":"chatcmpl-DZSLh1Wp4J7n0EBrdtiJjEf7yG3OK","object":"chat.completion","created":1777342825,"model":"gpt-5-chat-2025-10-03","choices":[{"index":0,"message":{"role":"assistant","content":"Louis Vuitton Monogram Eclipse Blue Leather Men's Belt","refusal":null,"annotations":[]},"logprobs":null,"finish_reason":"stop"}],"usage":{"prompt_tokens":867,"completion_tokens":10,"total_tokens":877,"prompt_tokens_details":{"cached_tokens":0,"audio_tokens":0},"completion_tokens_details":{"reasoning_tokens":0,"audio_tokens":0,"accepted_prediction_tokens":0,"rejected_prediction_tokens":0}},"service_tier":"default","system_fingerprint":"fp_ad66631dec"}</t>
        </is>
      </c>
      <c r="K66" t="inlineStr">
        <is>
          <t>Louis Vuitton Monogram Eclipse Blue Leather Men's Belt</t>
        </is>
      </c>
      <c r="L66" t="inlineStr">
        <is>
          <t>{"id":"chatcmpl-DZRkGY6iGvwZ5ojLZRSkmlyDWbMtL","object":"chat.completion","created":1777340504,"model":"gpt-5-chat-2025-10-03","choices":[{"index":0,"message":{"role":"assistant","content":"Louis Vuitton Monogram Eclipse Blue Men's Belt, crafted from premium leather with iconic LV metal buckle, modern sleek design for versatile wear, expressing luxury and urban elegance.","refusal":null,"annotations":[]},"logprobs":null,"finish_reason":"stop"}],"usage":{"prompt_tokens":892,"completion_tokens":33,"total_tokens":925,"prompt_tokens_details":{"cached_tokens":0,"audio_tokens":0},"completion_tokens_details":{"reasoning_tokens":0,"audio_tokens":0,"accepted_prediction_tokens":0,"rejected_prediction_tokens":0}},"service_tier":"default","system_fingerprint":"fp_ad66631dec"}</t>
        </is>
      </c>
      <c r="M66" t="inlineStr">
        <is>
          <t>{"alt-svc":"h3=\":443\"; ma=2592000","apim-request-id":"66a87c4e-eaa7-499e-8170-8d6bef1d6c4c","azureml-model-session":"d20260402075109-1fc5a0ec","cache-control":"no-cache","connection":"close","content-length":"991","content-type":"application/json","date":"Tue, 28 Apr 2026 01:41:45 GMT","server":"nginx","skip-error-remapping":"true","strict-transport-security":"max-age=31536000; includeSubDomains; preload","via":"1.1 Caddy","x-content-type-options":"nosniff","x-ms-client-request-id":"Not-Set","x-ms-is-spilled-over":"false","x-ms-rai-invoked":"false","x-ms-region":"West US","x-new-api-version":"0.4.35","x-oneapi-request-id":"202604280141433557205278268d9d6XqwM0Bt7","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5c531dbc-a2ca-4011-854c-58493e943851"}</t>
        </is>
      </c>
      <c r="N66" t="inlineStr">
        <is>
          <t>Louis Vuitton Monogram Eclipse Blue Men's Belt, crafted from premium leather with iconic LV metal buckle, modern sleek design for versatile wear, expressing luxury and urban elegance.</t>
        </is>
      </c>
      <c r="O66" t="inlineStr">
        <is>
          <t>{"id":"chatcmpl-DZSZBk0ZoyJwx4SB75guHh2zbI8tM","object":"chat.completion","created":1777343661,"model":"gpt-5-chat-2025-10-03","choices":[{"index":0,"message":{"role":"assistant","content":"Louis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6" t="inlineStr">
        <is>
          <t>Louis Vuitton,Accessories,kakobuy,kakebuy2026,kekobuysheet,kakobuysheet2026,2026kakobuy,kakobuyspreadsheeet,kakobuylink,kakebuylist,Kakobuy MEGA Spreadsheet,kakobuysheetfind,kakobuysheetfind2026,2026kakobuysheetfind,kakobuysheet2026</t>
        </is>
      </c>
      <c r="Q66" t="inlineStr">
        <is>
          <t>LV, Leather, Men, Elegant, Blue, Sleek</t>
        </is>
      </c>
      <c r="R66" t="inlineStr">
        <is>
          <t>recvhju1CrybkP</t>
        </is>
      </c>
      <c r="S66" t="inlineStr">
        <is>
          <t>louis-vuitton-monogram-eclipse-blue-leather-belt-recvhju1crybkp</t>
        </is>
      </c>
      <c r="T66"/>
      <c r="U66"/>
      <c r="V66"/>
      <c r="W66" t="inlineStr">
        <is>
          <t>{"id":"chatcmpl-DZRBnk75mobWJ2hXePvumEhaoL9bg","object":"chat.completion","created":1777338367,"model":"gpt-5-chat-2025-10-03","choices":[{"index":0,"message":{"role":"assistant","content":"Louis Vuitton：经典Monogram Eclipse蓝色男士腰带，甄选优质皮革材质，配LV金属扣，简约硬朗设计彰显现代都市风格，适合多场合佩戴，尽显奢华品味。","refusal":null,"annotations":[]},"logprobs":null,"finish_reason":"stop"}],"usage":{"prompt_tokens":1299,"completion_tokens":59,"total_tokens":1358,"prompt_tokens_details":{"cached_tokens":0,"audio_tokens":0},"completion_tokens_details":{"reasoning_tokens":0,"audio_tokens":0,"accepted_prediction_tokens":0,"rejected_prediction_tokens":0}},"service_tier":"default","system_fingerprint":"fp_ad66631dec"}</t>
        </is>
      </c>
      <c r="X66" t="inlineStr">
        <is>
          <t>Louis Vuitton：经典Monogram Eclipse蓝色男士腰带，甄选优质皮革材质，配LV金属扣，简约硬朗设计彰显现代都市风格，适合多场合佩戴，尽显奢华品味。</t>
        </is>
      </c>
    </row>
    <row r="67" ht="25.5" customHeight="1">
      <c r="A67">
        <v>1654975475</v>
      </c>
      <c r="B67">
        <v>7621645817</v>
      </c>
      <c r="C67" s="2" t="str">
        <f>=HYPERLINK("https://weidian.com/item.html?itemID=7621645817", "https://weidian.com/item.html?itemID=7621645817")</f>
        <v>https://weidian.com/item.html?itemID=7621645817</v>
      </c>
      <c r="D67"/>
      <c r="E67" s="2" t="str">
        <f>=HYPERLINK("https://si.geilicdn.com/pcitem2014204438-5a440000019ad9f9b2fe0a2102c5_1442_1922.jpg?w=640&amp;h=640", "https://si.geilicdn.com/pcitem2014204438-5a440000019ad9f9b2fe0a2102c5_1442_1922.jpg?w=640&amp;h=640")</f>
        <v>https://si.geilicdn.com/pcitem2014204438-5a440000019ad9f9b2fe0a2102c5_1442_1922.jpg?w=640&amp;h=640</v>
      </c>
      <c r="F67" t="inlineStr">
        <is>
          <t>Accessories</t>
        </is>
      </c>
      <c r="G67" t="inlineStr">
        <is>
          <t>Montblanc</t>
        </is>
      </c>
      <c r="H67">
        <v>460</v>
      </c>
      <c r="I67">
        <v>66.67</v>
      </c>
      <c r="J67" t="inlineStr">
        <is>
          <t>{"id":"chatcmpl-DZSM0Y72guPYqZpEnlKB6lZoYDDfx","object":"chat.completion","created":1777342844,"model":"gpt-5-chat-2025-10-03","choices":[{"index":0,"message":{"role":"assistant","content":"Montblanc Men Black Leather “M” Buckle Dress Belt","refusal":null,"annotations":[]},"logprobs":null,"finish_reason":"stop"}],"usage":{"prompt_tokens":886,"completion_tokens":14,"total_tokens":900,"prompt_tokens_details":{"cached_tokens":0,"audio_tokens":0},"completion_tokens_details":{"reasoning_tokens":0,"audio_tokens":0,"accepted_prediction_tokens":0,"rejected_prediction_tokens":0}},"service_tier":"default","system_fingerprint":"fp_ad66631dec"}</t>
        </is>
      </c>
      <c r="K67" t="inlineStr">
        <is>
          <t>Montblanc Men Black Leather “M” Buckle Dress Belt</t>
        </is>
      </c>
      <c r="L67" t="inlineStr">
        <is>
          <t>{"id":"chatcmpl-DZRfmVAlddaZ3lbEHobAMeAAmhb7J","object":"chat.completion","created":1777340226,"model":"gpt-5-chat-2025-10-03","choices":[{"index":0,"message":{"role":"assistant","content":"Montblanc Men’s Black Leather “M” Buckle Belt, crafted from premium first-layer cowhide with a sleek silver buckle, blending timeless elegance and modern business style for both daily and formal wear.","refusal":null,"annotations":[]},"logprobs":null,"finish_reason":"stop"}],"usage":{"prompt_tokens":913,"completion_tokens":42,"total_tokens":955,"prompt_tokens_details":{"cached_tokens":0,"audio_tokens":0},"completion_tokens_details":{"reasoning_tokens":0,"audio_tokens":0,"accepted_prediction_tokens":0,"rejected_prediction_tokens":0}},"service_tier":"default","system_fingerprint":"fp_ad66631dec"}</t>
        </is>
      </c>
      <c r="M67" t="inlineStr">
        <is>
          <t>{"alt-svc":"h3=\":443\"; ma=2592000","apim-request-id":"b8b132be-d82a-453d-97e2-7cd2ba5c7b53","azureml-model-session":"d20260402074105-51db401e","cache-control":"no-cache","connection":"close","content-length":"1014","content-type":"application/json","date":"Tue, 28 Apr 2026 01:37:07 GMT","server":"Caddy","skip-error-remapping":"true","strict-transport-security":"max-age=31536000; includeSubDomains; preload","x-content-type-options":"nosniff","x-ms-client-request-id":"Not-Set","x-ms-is-spilled-over":"false","x-ms-rai-invoked":"false","x-ms-region":"East US 2","x-new-api-version":"0.4.35","x-oneapi-request-id":"20260428013705263119568268d9d6NFebsRpS","x-ratelimit-abusepenalty-active":"False","x-ratelimit-key":"gpt-5-chat-global","x-ratelimit-limit-requests":"1000","x-ratelimit-limit-tokens":"1000000","x-ratelimit-remaining-requests":"999","x-ratelimit-remaining-tokens":"998325","x-ratelimit-renewalperiod-requests":"60","x-ratelimit-renewalperiod-tokens":"60","x-ratelimit-reset-requests":"60","x-ratelimit-reset-tokens":"100","x-request-id":"8bd27aa6-1200-4a0f-9f4c-471cc3e947d9"}</t>
        </is>
      </c>
      <c r="N67" t="inlineStr">
        <is>
          <t>Montblanc Men’s Black Leather “M” Buckle Belt, crafted from premium first-layer cowhide with a sleek silver buckle, blending timeless elegance and modern business style for both daily and formal wear.</t>
        </is>
      </c>
      <c r="O67" t="inlineStr">
        <is>
          <t>{"id":"chatcmpl-DZSVFxT75e594UglFPc2Gv4vr97Yn","object":"chat.completion","created":1777343417,"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67" t="inlineStr">
        <is>
          <t>Montblanc,Accessories,kakobuy,kakebuy2026,kekobuysheet,kakobuysheet2026,2026kakobuy,kakobuyspreadsheeet,kakobuylink,kakebuylist,Kakobuy MEGA Spreadsheet,kakobuysheetfind,kakobuysheetfind2026,2026kakobuysheetfind,kakobuysheet2026</t>
        </is>
      </c>
      <c r="Q67" t="inlineStr">
        <is>
          <t>Leather, Black, Silver, Business, Men, Elegant</t>
        </is>
      </c>
      <c r="R67" t="inlineStr">
        <is>
          <t>recvhju1CrUKoe</t>
        </is>
      </c>
      <c r="S67" t="inlineStr">
        <is>
          <t>montblanc-m-buckle-dress-belt-recvhju1cruko</t>
        </is>
      </c>
      <c r="T67"/>
      <c r="U67"/>
      <c r="V67"/>
      <c r="W67" t="inlineStr">
        <is>
          <t>{"id":"chatcmpl-DZR7SeEX2OKp9NzNxl1znMW1hRaPC","object":"chat.completion","created":1777338098,"model":"gpt-5-chat-2025-10-03","choices":[{"index":0,"message":{"role":"assistant","content":"Montblanc：黑色真皮“M”字母扣男士皮带，甄选优质头层牛皮，银色金属扣彰显简约奢华质感，经典设计融合现代商务风格，适合绅士日常与正式场合佩戴，尽显低调优雅品味。","refusal":null,"annotations":[]},"logprobs":null,"finish_reason":"stop"}],"usage":{"prompt_tokens":1309,"completion_tokens":75,"total_tokens":1384,"prompt_tokens_details":{"cached_tokens":1280,"audio_tokens":0},"completion_tokens_details":{"reasoning_tokens":0,"audio_tokens":0,"accepted_prediction_tokens":0,"rejected_prediction_tokens":0}},"service_tier":"default","system_fingerprint":"fp_ad66631dec"}</t>
        </is>
      </c>
      <c r="X67" t="inlineStr">
        <is>
          <t>Montblanc：黑色真皮“M”字母扣男士皮带，甄选优质头层牛皮，银色金属扣彰显简约奢华质感，经典设计融合现代商务风格，适合绅士日常与正式场合佩戴，尽显低调优雅品味。</t>
        </is>
      </c>
    </row>
    <row r="68" ht="25.5" customHeight="1">
      <c r="A68">
        <v>1654975475</v>
      </c>
      <c r="B68">
        <v>7624549118</v>
      </c>
      <c r="C68" s="2" t="str">
        <f>=HYPERLINK("https://weidian.com/item.html?itemID=7624549118", "https://weidian.com/item.html?itemID=7624549118")</f>
        <v>https://weidian.com/item.html?itemID=7624549118</v>
      </c>
      <c r="D68"/>
      <c r="E68" s="2" t="str">
        <f>=HYPERLINK("https://si.geilicdn.com/pcitem2014204438-56cf0000019ad9f35b0a0a20e672_1368_1368.jpg?w=640&amp;h=640", "https://si.geilicdn.com/pcitem2014204438-56cf0000019ad9f35b0a0a20e672_1368_1368.jpg?w=640&amp;h=640")</f>
        <v>https://si.geilicdn.com/pcitem2014204438-56cf0000019ad9f35b0a0a20e672_1368_1368.jpg?w=640&amp;h=640</v>
      </c>
      <c r="F68" t="inlineStr">
        <is>
          <t>Accessories</t>
        </is>
      </c>
      <c r="G68" t="inlineStr">
        <is>
          <t>Chanel</t>
        </is>
      </c>
      <c r="H68">
        <v>460</v>
      </c>
      <c r="I68">
        <v>66.67</v>
      </c>
      <c r="J68" t="inlineStr">
        <is>
          <t>{"id":"chatcmpl-DZSJHwt7DAD4JASkbdTaZDj0jqk3n","object":"chat.completion","created":1777342675,"model":"gpt-5-chat-2025-10-03","choices":[{"index":0,"message":{"role":"assistant","content":"Chanel Black Leather Belt Gold CC Buckle","refusal":null,"annotations":[]},"logprobs":null,"finish_reason":"stop"}],"usage":{"prompt_tokens":861,"completion_tokens":10,"total_tokens":871,"prompt_tokens_details":{"cached_tokens":0,"audio_tokens":0},"completion_tokens_details":{"reasoning_tokens":0,"audio_tokens":0,"accepted_prediction_tokens":0,"rejected_prediction_tokens":0}},"service_tier":"default","system_fingerprint":"fp_ad66631dec"}</t>
        </is>
      </c>
      <c r="K68" t="inlineStr">
        <is>
          <t>Chanel Black Leather Belt Gold CC Buckle</t>
        </is>
      </c>
      <c r="L68" t="inlineStr">
        <is>
          <t>{"id":"chatcmpl-DZRfAXupWwKmviwFub2bTLcI3Hkyc","object":"chat.completion","created":1777340188,"model":"gpt-5-chat-2025-10-03","choices":[{"index":0,"message":{"role":"assistant","content":"Chanel Classic Black Leather Belt with Gold Double C Logo Buckle, timeless French luxury style, elegant and versatile design for both men and women.","refusal":null,"annotations":[]},"logprobs":null,"finish_reason":"stop"}],"usage":{"prompt_tokens":878,"completion_tokens":30,"total_tokens":908,"prompt_tokens_details":{"cached_tokens":0,"audio_tokens":0},"completion_tokens_details":{"reasoning_tokens":0,"audio_tokens":0,"accepted_prediction_tokens":0,"rejected_prediction_tokens":0}},"service_tier":"default","system_fingerprint":"fp_ad66631dec"}</t>
        </is>
      </c>
      <c r="M68" t="inlineStr">
        <is>
          <t>{"alt-svc":"h3=\":443\"; ma=2592000","apim-request-id":"ea18ac0a-34bc-4bdd-9cb4-bce77d5a350b","azureml-model-session":"d20260405225800-40f19e54","cache-control":"no-cache","connection":"close","content-length":"956","content-type":"application/json","date":"Tue, 28 Apr 2026 01:36:31 GMT","server":"Caddy","skip-error-remapping":"true","strict-transport-security":"max-age=31536000; includeSubDomains; preload","x-content-type-options":"nosniff","x-ms-client-request-id":"Not-Set","x-ms-is-spilled-over":"false","x-ms-rai-invoked":"false","x-ms-region":"Sweden Central","x-new-api-version":"0.4.35","x-oneapi-request-id":"202604280136283585192678268d9d6W7hUcXww","x-ratelimit-abusepenalty-active":"False","x-ratelimit-key":"gpt-5-chat-global","x-ratelimit-limit-requests":"1000","x-ratelimit-limit-tokens":"1000000","x-ratelimit-remaining-requests":"999","x-ratelimit-remaining-tokens":"998360","x-ratelimit-renewalperiod-requests":"60","x-ratelimit-renewalperiod-tokens":"60","x-ratelimit-reset-requests":"60","x-ratelimit-reset-tokens":"98","x-request-id":"f4205bf5-86a5-4ba1-a473-9c15f5be9af8"}</t>
        </is>
      </c>
      <c r="N68" t="inlineStr">
        <is>
          <t>Chanel Classic Black Leather Belt with Gold Double C Logo Buckle, timeless French luxury style, elegant and versatile design for both men and women.</t>
        </is>
      </c>
      <c r="O68" t="inlineStr">
        <is>
          <t>{"id":"chatcmpl-DZSUW846YVs6mvbs9tWx60aYaqhzS","object":"chat.completion","created":1777343372,"model":"gpt-5-chat-2025-10-03","choices":[{"index":0,"message":{"role":"assistant","content":"Chanel, accessories, belts,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93,"total_tokens":875,"prompt_tokens_details":{"cached_tokens":0,"audio_tokens":0},"completion_tokens_details":{"reasoning_tokens":0,"audio_tokens":0,"accepted_prediction_tokens":0,"rejected_prediction_tokens":0}},"service_tier":"default","system_fingerprint":"fp_ad66631dec"}</t>
        </is>
      </c>
      <c r="P68" t="inlineStr">
        <is>
          <t>Chanel, accessories, belts, kakobuy, kakebuy2026, kekobuysheet, kakobuysheet2026, 2026kakobuy, kakobuyspreadsheeet, kakobuylink, kakebuylist, Kakobuy MEGA Spreadsheet, kakobuysheetfind, kakobuysheetfind2026, 2026kakobuysheetfind, kakobuysheet2026</t>
        </is>
      </c>
      <c r="Q68" t="inlineStr">
        <is>
          <t>Chanel, Black, Leather, Elegant, Unisex, Classic</t>
        </is>
      </c>
      <c r="R68" t="inlineStr">
        <is>
          <t>recvhju1CrymQI</t>
        </is>
      </c>
      <c r="S68" t="inlineStr">
        <is>
          <t>chanel-black-leather-belt-gold-cc-buckle-recvhju1crymqi</t>
        </is>
      </c>
      <c r="T68"/>
      <c r="U68"/>
      <c r="V68"/>
      <c r="W68" t="inlineStr">
        <is>
          <t>{"id":"chatcmpl-DZRDmhg2x2eDSHdaVJlByPuIhhEpW","object":"chat.completion","created":1777338490,"model":"gpt-5-chat-2025-10-03","choices":[{"index":0,"message":{"role":"assistant","content":"Chanel：经典黑色皮革腰带，金色双C标志扣设计，优雅简约风格，彰显法式奢华格调，男女皆宜。","refusal":null,"annotations":[]},"logprobs":null,"finish_reason":"stop"}],"usage":{"prompt_tokens":1305,"completion_tokens":42,"total_tokens":1347,"prompt_tokens_details":{"cached_tokens":0,"audio_tokens":0},"completion_tokens_details":{"reasoning_tokens":0,"audio_tokens":0,"accepted_prediction_tokens":0,"rejected_prediction_tokens":0}},"service_tier":"default","system_fingerprint":"fp_ad66631dec"}</t>
        </is>
      </c>
      <c r="X68" t="inlineStr">
        <is>
          <t>Chanel：经典黑色皮革腰带，金色双C标志扣设计，优雅简约风格，彰显法式奢华格调，男女皆宜。</t>
        </is>
      </c>
    </row>
    <row r="69" ht="25.5" customHeight="1">
      <c r="A69">
        <v>1654975475</v>
      </c>
      <c r="B69">
        <v>7623660344</v>
      </c>
      <c r="C69" s="2" t="str">
        <f>=HYPERLINK("https://weidian.com/item.html?itemID=7623660344", "https://weidian.com/item.html?itemID=7623660344")</f>
        <v>https://weidian.com/item.html?itemID=7623660344</v>
      </c>
      <c r="D69"/>
      <c r="E69" s="2" t="str">
        <f>=HYPERLINK("https://si.geilicdn.com/pcitem2014204438-62390000019ad9f4dab00a8133cc_1512_2016.jpg?w=640&amp;h=640", "https://si.geilicdn.com/pcitem2014204438-62390000019ad9f4dab00a8133cc_1512_2016.jpg?w=640&amp;h=640")</f>
        <v>https://si.geilicdn.com/pcitem2014204438-62390000019ad9f4dab00a8133cc_1512_2016.jpg?w=640&amp;h=640</v>
      </c>
      <c r="F69" t="inlineStr">
        <is>
          <t>Accessories</t>
        </is>
      </c>
      <c r="G69" t="inlineStr">
        <is>
          <t>Gucci</t>
        </is>
      </c>
      <c r="H69">
        <v>460</v>
      </c>
      <c r="I69">
        <v>66.67</v>
      </c>
      <c r="J69" t="inlineStr">
        <is>
          <t>{"id":"chatcmpl-DZSN9GwQQnnSHn5PZCJhRGLRb0YL3","object":"chat.completion","created":1777342915,"model":"gpt-5-chat-2025-10-03","choices":[{"index":0,"message":{"role":"assistant","content":"Gucci Beige Leather Double G Unisex Belt","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69" t="inlineStr">
        <is>
          <t>Gucci Beige Leather Double G Unisex Belt</t>
        </is>
      </c>
      <c r="L69" t="inlineStr">
        <is>
          <t>{"id":"chatcmpl-DZRhllV1d9M6L8RXEoJtvNcEahK5q","object":"chat.completion","created":1777340349,"model":"gpt-5-chat-2025-10-03","choices":[{"index":0,"message":{"role":"assistant","content":"Gucci Beige Leather Double G Logo Belt, crafted from textured genuine leather with a black metal buckle. Unisex design, blending luxury and minimalism for a timeless, versatile fashion statement.","refusal":null,"annotations":[]},"logprobs":null,"finish_reason":"stop"}],"usage":{"prompt_tokens":882,"completion_tokens":38,"total_tokens":920,"prompt_tokens_details":{"cached_tokens":0,"audio_tokens":0},"completion_tokens_details":{"reasoning_tokens":0,"audio_tokens":0,"accepted_prediction_tokens":0,"rejected_prediction_tokens":0}},"service_tier":"default","system_fingerprint":"fp_ad66631dec"}</t>
        </is>
      </c>
      <c r="M69" t="inlineStr">
        <is>
          <t>{"alt-svc":"h3=\":443\"; ma=2592000","apim-request-id":"bddabeb4-2018-4fdf-b466-7885eb005acf","azureml-model-session":"d20260402075109-1fc5a0ec","cache-control":"no-cache","connection":"close","content-length":"1003","content-type":"application/json","date":"Tue, 28 Apr 2026 01:39:11 GMT","server":"nginx","skip-error-remapping":"true","strict-transport-security":"max-age=31536000; includeSubDomains; preload","via":"1.1 Caddy","x-content-type-options":"nosniff","x-ms-client-request-id":"Not-Set","x-ms-is-spilled-over":"false","x-ms-rai-invoked":"false","x-ms-region":"West US","x-new-api-version":"0.4.35","x-oneapi-request-id":"202604280139082479920008268d9d6RdBas3aO","x-ratelimit-abusepenalty-active":"False","x-ratelimit-key":"gpt-5-chat-global","x-ratelimit-limit-requests":"1000","x-ratelimit-limit-tokens":"1000000","x-ratelimit-remaining-requests":"999","x-ratelimit-remaining-tokens":"998356","x-ratelimit-renewalperiod-requests":"60","x-ratelimit-renewalperiod-tokens":"60","x-ratelimit-reset-requests":"60","x-ratelimit-reset-tokens":"98","x-request-id":"0b34e40c-dbcf-4a7c-8d70-4d0ef3e72c22"}</t>
        </is>
      </c>
      <c r="N69" t="inlineStr">
        <is>
          <t>Gucci Beige Leather Double G Logo Belt, crafted from textured genuine leather with a black metal buckle. Unisex design, blending luxury and minimalism for a timeless, versatile fashion statement.</t>
        </is>
      </c>
      <c r="O69" t="inlineStr">
        <is>
          <t>{"id":"chatcmpl-DZSVriLLvQstjWMpQUgBbVCJdjROe","object":"chat.completion","created":1777343455,"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9" t="inlineStr">
        <is>
          <t>Gucci,Accessories,kakobuy,kakebuy2026,kekobuysheet,kakobuysheet2026,2026kakobuy,kakobuyspreadsheeet,kakobuylink,kakebuylist,Kakobuy MEGA Spreadsheet,kakobuysheetfind,kakobuysheetfind2026,2026kakobuysheetfind,kakobuysheet2026</t>
        </is>
      </c>
      <c r="Q69" t="inlineStr">
        <is>
          <t>Beige, Leather, Genuine Leather, Unisex, Minimalist, Versatile</t>
        </is>
      </c>
      <c r="R69" t="inlineStr">
        <is>
          <t>recvhju1CrwMJ8</t>
        </is>
      </c>
      <c r="S69" t="inlineStr">
        <is>
          <t>gucci-beige-leather-double-g-belt-recvhju1crwmj8</t>
        </is>
      </c>
      <c r="T69"/>
      <c r="U69"/>
      <c r="V69"/>
      <c r="W69" t="inlineStr">
        <is>
          <t>{"id":"chatcmpl-DZR8QIQCzNNzxuGfJHeL8XyaNloA2","object":"chat.completion","created":1777338158,"model":"gpt-5-chat-2025-10-03","choices":[{"index":0,"message":{"role":"assistant","content":"Gucci：米色皮质双G标志腰带，采用粒面真皮材质，黑色金属扣彰显简约奢华格调，男女通用，经典时尚百搭款。","refusal":null,"annotations":[]},"logprobs":null,"finish_reason":"stop"}],"usage":{"prompt_tokens":1299,"completion_tokens":49,"total_tokens":1348,"prompt_tokens_details":{"cached_tokens":0,"audio_tokens":0},"completion_tokens_details":{"reasoning_tokens":0,"audio_tokens":0,"accepted_prediction_tokens":0,"rejected_prediction_tokens":0}},"service_tier":"default","system_fingerprint":"fp_ad66631dec"}</t>
        </is>
      </c>
      <c r="X69" t="inlineStr">
        <is>
          <t>Gucci：米色皮质双G标志腰带，采用粒面真皮材质，黑色金属扣彰显简约奢华格调，男女通用，经典时尚百搭款。</t>
        </is>
      </c>
    </row>
    <row r="70" ht="25.5" customHeight="1">
      <c r="A70">
        <v>1654975475</v>
      </c>
      <c r="B70">
        <v>7621535091</v>
      </c>
      <c r="C70" s="2" t="str">
        <f>=HYPERLINK("https://weidian.com/item.html?itemID=7621535091", "https://weidian.com/item.html?itemID=7621535091")</f>
        <v>https://weidian.com/item.html?itemID=7621535091</v>
      </c>
      <c r="D70"/>
      <c r="E70" s="2" t="str">
        <f>=HYPERLINK("https://si.geilicdn.com/pcitem2014204438-5d890000019ad9ed40280a23038e_1442_1922.jpg?w=640&amp;h=640", "https://si.geilicdn.com/pcitem2014204438-5d890000019ad9ed40280a23038e_1442_1922.jpg?w=640&amp;h=640")</f>
        <v>https://si.geilicdn.com/pcitem2014204438-5d890000019ad9ed40280a23038e_1442_1922.jpg?w=640&amp;h=640</v>
      </c>
      <c r="F70" t="inlineStr">
        <is>
          <t>Accessories</t>
        </is>
      </c>
      <c r="G70" t="inlineStr">
        <is>
          <t>Gucci</t>
        </is>
      </c>
      <c r="H70">
        <v>460</v>
      </c>
      <c r="I70">
        <v>66.67</v>
      </c>
      <c r="J70" t="inlineStr">
        <is>
          <t>{"id":"chatcmpl-DZSN6kSOPfaI9OuCwK9tQ0iAohAh2","object":"chat.completion","created":1777342912,"model":"gpt-5-chat-2025-10-03","choices":[{"index":0,"message":{"role":"assistant","content":"Gucci Beige GG Leather Belt Gold Buckle","refusal":null,"annotations":[]},"logprobs":null,"finish_reason":"stop"}],"usage":{"prompt_tokens":861,"completion_tokens":10,"total_tokens":871,"prompt_tokens_details":{"cached_tokens":0,"audio_tokens":0},"completion_tokens_details":{"reasoning_tokens":0,"audio_tokens":0,"accepted_prediction_tokens":0,"rejected_prediction_tokens":0}},"service_tier":"default","system_fingerprint":"fp_ad66631dec"}</t>
        </is>
      </c>
      <c r="K70" t="inlineStr">
        <is>
          <t>Gucci Beige GG Leather Belt Gold Buckle</t>
        </is>
      </c>
      <c r="L70" t="inlineStr">
        <is>
          <t>{"id":"chatcmpl-DZRejZ7YFh4gCFwN2jdmoPDO3gtJm","object":"chat.completion","created":1777340161,"model":"gpt-5-chat-2025-10-03","choices":[{"index":0,"message":{"role":"assistant","content":"Gucci Beige GG Leather Belt with Gold Double G Buckle, classic unisex design, vintage luxury style, premium texture for timeless fashion elegance.","refusal":null,"annotations":[]},"logprobs":null,"finish_reason":"stop"}],"usage":{"prompt_tokens":881,"completion_tokens":30,"total_tokens":911,"prompt_tokens_details":{"cached_tokens":0,"audio_tokens":0},"completion_tokens_details":{"reasoning_tokens":0,"audio_tokens":0,"accepted_prediction_tokens":0,"rejected_prediction_tokens":0}},"service_tier":"default","system_fingerprint":"fp_ad66631dec"}</t>
        </is>
      </c>
      <c r="M70" t="inlineStr">
        <is>
          <t>{"alt-svc":"h3=\":443\"; ma=2592000","apim-request-id":"d651c981-d7cd-4d6f-b453-262f04979b86","azureml-model-session":"d20260405234249-f9874baf","cache-control":"no-cache","connection":"close","content-length":"954","content-type":"application/json","date":"Tue, 28 Apr 2026 01:36:02 GMT","server":"nginx","skip-error-remapping":"true","strict-transport-security":"max-age=31536000; includeSubDomains; preload","via":"1.1 Caddy","x-content-type-options":"nosniff","x-ms-client-request-id":"Not-Set","x-ms-is-spilled-over":"false","x-ms-rai-invoked":"false","x-ms-region":"South Central US","x-new-api-version":"0.4.35","x-oneapi-request-id":"202604280136004992744378268d9d673iNCYQo","x-ratelimit-abusepenalty-active":"False","x-ratelimit-key":"gpt-5-chat-global","x-ratelimit-limit-requests":"1000","x-ratelimit-limit-tokens":"1000000","x-ratelimit-remaining-requests":"999","x-ratelimit-remaining-tokens":"997918","x-ratelimit-renewalperiod-requests":"60","x-ratelimit-renewalperiod-tokens":"60","x-ratelimit-reset-requests":"60","x-ratelimit-reset-tokens":"124","x-request-id":"d3b8e6c8-1363-4ffe-b5bf-75c77b6ef83b"}</t>
        </is>
      </c>
      <c r="N70" t="inlineStr">
        <is>
          <t>Gucci Beige GG Leather Belt with Gold Double G Buckle, classic unisex design, vintage luxury style, premium texture for timeless fashion elegance.</t>
        </is>
      </c>
      <c r="O70" t="inlineStr">
        <is>
          <t>{"id":"chatcmpl-DZSadaxPdTHgKpplkbp0mnUePEXS8","object":"chat.completion","created":1777343751,"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0" t="inlineStr">
        <is>
          <t>Gucci,Accessories,kakobuy,kakebuy2026,kekobuysheet,kakobuysheet2026,2026kakobuy,kakobuyspreadsheeet,kakobuylink,kakebuylist,Kakobuy MEGA Spreadsheet,kakobuysheetfind,kakobuysheetfind2026,2026kakobuysheetfind,kakobuysheet2026</t>
        </is>
      </c>
      <c r="Q70" t="inlineStr">
        <is>
          <t>Beige, Leather, Classic, Vintage, Unisex, Gold</t>
        </is>
      </c>
      <c r="R70" t="inlineStr">
        <is>
          <t>recvhju1CrLgTs</t>
        </is>
      </c>
      <c r="S70" t="inlineStr">
        <is>
          <t>gucci-beige-gg-leather-belt-gold-buckle-recvhju1crlgts</t>
        </is>
      </c>
      <c r="T70"/>
      <c r="U70"/>
      <c r="V70"/>
      <c r="W70" t="inlineStr">
        <is>
          <t>{"id":"chatcmpl-DZRA6dXvJKZ02FPbWv8rPLC8ktHic","object":"chat.completion","created":1777338262,"model":"gpt-5-chat-2025-10-03","choices":[{"index":0,"message":{"role":"assistant","content":"Gucci：经典米色GG系列皮质腰带，金色双G金属扣设计，质感高级，简约奢华风格，男女皆宜，彰显复古时尚品味。","refusal":null,"annotations":[]},"logprobs":null,"finish_reason":"stop"}],"usage":{"prompt_tokens":1299,"completion_tokens":48,"total_tokens":1347,"prompt_tokens_details":{"cached_tokens":0,"audio_tokens":0},"completion_tokens_details":{"reasoning_tokens":0,"audio_tokens":0,"accepted_prediction_tokens":0,"rejected_prediction_tokens":0}},"service_tier":"default","system_fingerprint":"fp_ad66631dec"}</t>
        </is>
      </c>
      <c r="X70" t="inlineStr">
        <is>
          <t>Gucci：经典米色GG系列皮质腰带，金色双G金属扣设计，质感高级，简约奢华风格，男女皆宜，彰显复古时尚品味。</t>
        </is>
      </c>
    </row>
    <row r="71" ht="25.5" customHeight="1">
      <c r="A71">
        <v>1654975475</v>
      </c>
      <c r="B71">
        <v>7621649667</v>
      </c>
      <c r="C71" s="2" t="str">
        <f>=HYPERLINK("https://weidian.com/item.html?itemID=7621649667", "https://weidian.com/item.html?itemID=7621649667")</f>
        <v>https://weidian.com/item.html?itemID=7621649667</v>
      </c>
      <c r="D71"/>
      <c r="E71" s="2" t="str">
        <f>=HYPERLINK("https://si.geilicdn.com/pcitem2014204438-364f0000019ad9f87e9f0a20e2c5_1512_2016.jpg?w=640&amp;h=640", "https://si.geilicdn.com/pcitem2014204438-364f0000019ad9f87e9f0a20e2c5_1512_2016.jpg?w=640&amp;h=640")</f>
        <v>https://si.geilicdn.com/pcitem2014204438-364f0000019ad9f87e9f0a20e2c5_1512_2016.jpg?w=640&amp;h=640</v>
      </c>
      <c r="F71" t="inlineStr">
        <is>
          <t>Accessories</t>
        </is>
      </c>
      <c r="G71" t="inlineStr">
        <is>
          <t>Dior</t>
        </is>
      </c>
      <c r="H71">
        <v>460</v>
      </c>
      <c r="I71">
        <v>66.67</v>
      </c>
      <c r="J71" t="inlineStr">
        <is>
          <t>{"id":"chatcmpl-DZSN27iRm0a02ZQAveUn0MiNyEb3j","object":"chat.completion","created":1777342908,"model":"gpt-5-chat-2025-10-03","choices":[{"index":0,"message":{"role":"assistant","content":"Dior Men Black Calfskin Belt Silver CD Buckle Luxury","refusal":null,"annotations":[]},"logprobs":null,"finish_reason":"stop"}],"usage":{"prompt_tokens":869,"completion_tokens":14,"total_tokens":883,"prompt_tokens_details":{"cached_tokens":0,"audio_tokens":0},"completion_tokens_details":{"reasoning_tokens":0,"audio_tokens":0,"accepted_prediction_tokens":0,"rejected_prediction_tokens":0}},"service_tier":"default","system_fingerprint":"fp_ad66631dec"}</t>
        </is>
      </c>
      <c r="K71" t="inlineStr">
        <is>
          <t>Dior Men Black Calfskin Belt Silver CD Buckle Luxury</t>
        </is>
      </c>
      <c r="L71" t="inlineStr">
        <is>
          <t>{"id":"chatcmpl-DZRgAQQRUrqfbExbEeoNenvcQf3uH","object":"chat.completion","created":1777340250,"model":"gpt-5-chat-2025-10-03","choices":[{"index":0,"message":{"role":"assistant","content":"Dior Men’s Black Calfskin Belt with Classic Silver CD Buckle, timeless French elegance for business or casual wear, showcasing refined modern luxury and sophisticated style.","refusal":null,"annotations":[]},"logprobs":null,"finish_reason":"stop"}],"usage":{"prompt_tokens":893,"completion_tokens":34,"total_tokens":927,"prompt_tokens_details":{"cached_tokens":0,"audio_tokens":0},"completion_tokens_details":{"reasoning_tokens":0,"audio_tokens":0,"accepted_prediction_tokens":0,"rejected_prediction_tokens":0}},"service_tier":"default","system_fingerprint":"fp_ad66631dec"}</t>
        </is>
      </c>
      <c r="M71" t="inlineStr">
        <is>
          <t>{"alt-svc":"h3=\":443\"; ma=2592000","apim-request-id":"323be6b1-9986-41e9-bc29-3e19cc9a48d7","azureml-model-session":"d20260405234249-f9874baf","cache-control":"no-cache","connection":"close","content-length":"983","content-type":"application/json","date":"Tue, 28 Apr 2026 01:37:31 GMT","server":"nginx","skip-error-remapping":"true","strict-transport-security":"max-age=31536000; includeSubDomains; preload","via":"1.1 Caddy","x-content-type-options":"nosniff","x-ms-client-request-id":"Not-Set","x-ms-is-spilled-over":"false","x-ms-rai-invoked":"false","x-ms-region":"East US 2","x-new-api-version":"0.4.35","x-oneapi-request-id":"202604280137288322410938268d9d67kvHxUvI","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8e6a25c4-3ab2-4e9d-8552-887dfe8d2bb4"}</t>
        </is>
      </c>
      <c r="N71" t="inlineStr">
        <is>
          <t>Dior Men’s Black Calfskin Belt with Classic Silver CD Buckle, timeless French elegance for business or casual wear, showcasing refined modern luxury and sophisticated style.</t>
        </is>
      </c>
      <c r="O71" t="inlineStr">
        <is>
          <t>{"id":"chatcmpl-DZSUCrJWcfyYekc3ym5jyfawaEIwY","object":"chat.completion","created":1777343352,"model":"gpt-5-chat-2025-10-03","choices":[{"index":0,"message":{"role":"assistant","content":"Dior,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71" t="inlineStr">
        <is>
          <t>Dior, belt, kakobuy, kakebuy2026, kekobuysheet, kakobuysheet2026, 2026kakobuy, kakobuyspreadsheeet, kakobuylink, kakebuylist, Kakobuy MEGA Spreadsheet, kakobuysheetfind, kakobuysheetfind2026, 2026kakobuysheetfind, kakobuysheet2026</t>
        </is>
      </c>
      <c r="Q71" t="inlineStr">
        <is>
          <t>Dior, Black, Silver, Business, Leather</t>
        </is>
      </c>
      <c r="R71" t="inlineStr">
        <is>
          <t>recvhju1CrlK7o</t>
        </is>
      </c>
      <c r="S71" t="inlineStr">
        <is>
          <t>dior-men-black-calfskin-belt-silver-cd-buckle-luxury-recvhju1crlk7o</t>
        </is>
      </c>
      <c r="T71"/>
      <c r="U71"/>
      <c r="V71"/>
      <c r="W71" t="inlineStr">
        <is>
          <t>{"id":"chatcmpl-DZREMWXlMioFPN1hlgCbgvNW5fpVi","object":"chat.completion","created":1777338526,"model":"gpt-5-chat-2025-10-03","choices":[{"index":0,"message":{"role":"assistant","content":"Dior：黑色牛皮腰带，配以经典银色CD字母扣，优雅简约设计彰显法式精致品味，适合男士商务与日常穿搭，展现现代奢华格调。","refusal":null,"annotations":[]},"logprobs":null,"finish_reason":"stop"}],"usage":{"prompt_tokens":1309,"completion_tokens":55,"total_tokens":1364,"prompt_tokens_details":{"cached_tokens":0,"audio_tokens":0},"completion_tokens_details":{"reasoning_tokens":0,"audio_tokens":0,"accepted_prediction_tokens":0,"rejected_prediction_tokens":0}},"service_tier":"default","system_fingerprint":"fp_ad66631dec"}</t>
        </is>
      </c>
      <c r="X71" t="inlineStr">
        <is>
          <t>Dior：黑色牛皮腰带，配以经典银色CD字母扣，优雅简约设计彰显法式精致品味，适合男士商务与日常穿搭，展现现代奢华格调。</t>
        </is>
      </c>
    </row>
    <row r="72" ht="25.5" customHeight="1">
      <c r="A72">
        <v>1654975475</v>
      </c>
      <c r="B72">
        <v>7621529049</v>
      </c>
      <c r="C72" s="2" t="str">
        <f>=HYPERLINK("https://weidian.com/item.html?itemID=7621529049", "https://weidian.com/item.html?itemID=7621529049")</f>
        <v>https://weidian.com/item.html?itemID=7621529049</v>
      </c>
      <c r="D72"/>
      <c r="E72" s="2" t="str">
        <f>=HYPERLINK("https://si.geilicdn.com/pcitem2014204438-4b6d0000019ad9efc2100a231177_1084_1084.jpg?w=640&amp;h=640", "https://si.geilicdn.com/pcitem2014204438-4b6d0000019ad9efc2100a231177_1084_1084.jpg?w=640&amp;h=640")</f>
        <v>https://si.geilicdn.com/pcitem2014204438-4b6d0000019ad9efc2100a231177_1084_1084.jpg?w=640&amp;h=640</v>
      </c>
      <c r="F72" t="inlineStr">
        <is>
          <t>Accessories</t>
        </is>
      </c>
      <c r="G72" t="inlineStr">
        <is>
          <t>Fendi</t>
        </is>
      </c>
      <c r="H72">
        <v>460</v>
      </c>
      <c r="I72">
        <v>66.67</v>
      </c>
      <c r="J72" t="inlineStr">
        <is>
          <t>{"id":"chatcmpl-DZSN5GZIaj9apJFF06OSe2Xge7M67","object":"chat.completion","created":1777342911,"model":"gpt-5-chat-2025-10-03","choices":[{"index":0,"message":{"role":"assistant","content":"Fendi FF Logo Leather Belt Brown Red Unisex Luxury","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72" t="inlineStr">
        <is>
          <t>Fendi FF Logo Leather Belt Brown Red Unisex Luxury</t>
        </is>
      </c>
      <c r="L72" t="inlineStr">
        <is>
          <t>{"id":"chatcmpl-DZRf6SkPKPmB511xxuIiTeNGuAjvB","object":"chat.completion","created":1777340184,"model":"gpt-5-chat-2025-10-03","choices":[{"index":0,"message":{"role":"assistant","content":"Fendi Classic FF Logo Belt in Dark Brown and Red Leather, crafted from premium cowhide with a metallic 3D letter buckle, unisex design, showcasing modern Italian luxury style.","refusal":null,"annotations":[]},"logprobs":null,"finish_reason":"stop"}],"usage":{"prompt_tokens":895,"completion_tokens":38,"total_tokens":933,"prompt_tokens_details":{"cached_tokens":0,"audio_tokens":0},"completion_tokens_details":{"reasoning_tokens":0,"audio_tokens":0,"accepted_prediction_tokens":0,"rejected_prediction_tokens":0}},"service_tier":"default","system_fingerprint":"fp_ad66631dec"}</t>
        </is>
      </c>
      <c r="M72" t="inlineStr">
        <is>
          <t>{"alt-svc":"h3=\":443\"; ma=2592000","apim-request-id":"f478cb40-bd9b-4a98-8b89-5b7fff4a9abd","azureml-model-session":"d20260405212659-a9daa006","cache-control":"no-cache","connection":"close","content-length":"983","content-type":"application/json","date":"Tue, 28 Apr 2026 01:36:27 GMT","server":"nginx","skip-error-remapping":"true","strict-transport-security":"max-age=31536000; includeSubDomains; preload","via":"1.1 Caddy","x-content-type-options":"nosniff","x-ms-client-request-id":"Not-Set","x-ms-is-spilled-over":"false","x-ms-rai-invoked":"false","x-ms-region":"Sweden Central","x-new-api-version":"0.4.35","x-oneapi-request-id":"202604280136231706342338268d9d6qhf6HlWn","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22ae4df7-0daa-499c-b4a3-bfb6f2e43424"}</t>
        </is>
      </c>
      <c r="N72" t="inlineStr">
        <is>
          <t>Fendi Classic FF Logo Belt in Dark Brown and Red Leather, crafted from premium cowhide with a metallic 3D letter buckle, unisex design, showcasing modern Italian luxury style.</t>
        </is>
      </c>
      <c r="O72" t="inlineStr">
        <is>
          <t>{"id":"chatcmpl-DZSbli4wv4BKqHP76707g0s6cZEui","object":"chat.completion","created":1777343821,"model":"gpt-5-chat-2025-10-03","choices":[{"index":0,"message":{"role":"assistant","content":"Fendi,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72" t="inlineStr">
        <is>
          <t>Fendi, belt, kakobuy, kakebuy2026, kekobuysheet, kakobuysheet2026, 2026kakobuy, kakobuyspreadsheeet, kakobuylink, kakebuylist, Kakobuy MEGA Spreadsheet, kakobuysheetfind, kakobuysheetfind2026, 2026kakobuysheetfind, kakobuysheet2026</t>
        </is>
      </c>
      <c r="Q72" t="inlineStr">
        <is>
          <t>Dark Brown, Red, Leather, Cowhide, Unisex, Modern</t>
        </is>
      </c>
      <c r="R72" t="inlineStr">
        <is>
          <t>recvhju1CrOJVh</t>
        </is>
      </c>
      <c r="S72" t="inlineStr">
        <is>
          <t>fendi-ff-logo-leather-belt-brown-red-recvhju1cr0jvh</t>
        </is>
      </c>
      <c r="T72"/>
      <c r="U72"/>
      <c r="V72"/>
      <c r="W72" t="inlineStr">
        <is>
          <t>{"id":"chatcmpl-DZR8RyrObLK11KJ3VYg4TYpMIK7bw","object":"chat.completion","created":1777338159,"model":"gpt-5-chat-2025-10-03","choices":[{"index":0,"message":{"role":"assistant","content":"Fendi：经典双F图案深咖配红色皮革腰带，精选头层牛皮材质，金属立体字母扣设计，彰显意大利时尚格调，适合男女通用，展现现代奢华气质。","refusal":null,"annotations":[]},"logprobs":null,"finish_reason":"stop"}],"usage":{"prompt_tokens":1303,"completion_tokens":60,"total_tokens":1363,"prompt_tokens_details":{"cached_tokens":0,"audio_tokens":0},"completion_tokens_details":{"reasoning_tokens":0,"audio_tokens":0,"accepted_prediction_tokens":0,"rejected_prediction_tokens":0}},"service_tier":"default","system_fingerprint":"fp_ad66631dec"}</t>
        </is>
      </c>
      <c r="X72" t="inlineStr">
        <is>
          <t>Fendi：经典双F图案深咖配红色皮革腰带，精选头层牛皮材质，金属立体字母扣设计，彰显意大利时尚格调，适合男女通用，展现现代奢华气质。</t>
        </is>
      </c>
    </row>
    <row r="73" ht="25.5" customHeight="1">
      <c r="A73">
        <v>1654975475</v>
      </c>
      <c r="B73">
        <v>7621538993</v>
      </c>
      <c r="C73" s="2" t="str">
        <f>=HYPERLINK("https://weidian.com/item.html?itemID=7621538993", "https://weidian.com/item.html?itemID=7621538993")</f>
        <v>https://weidian.com/item.html?itemID=7621538993</v>
      </c>
      <c r="D73"/>
      <c r="E73" s="2" t="str">
        <f>=HYPERLINK("https://si.geilicdn.com/pcitem2014204438-5f450000019ad9ebf02a0a8133cc_1440_1920.jpg?w=640&amp;h=640", "https://si.geilicdn.com/pcitem2014204438-5f450000019ad9ebf02a0a8133cc_1440_1920.jpg?w=640&amp;h=640")</f>
        <v>https://si.geilicdn.com/pcitem2014204438-5f450000019ad9ebf02a0a8133cc_1440_1920.jpg?w=640&amp;h=640</v>
      </c>
      <c r="F73" t="inlineStr">
        <is>
          <t>Accessories</t>
        </is>
      </c>
      <c r="G73" t="inlineStr">
        <is>
          <t>Louis Vuitton</t>
        </is>
      </c>
      <c r="H73">
        <v>460</v>
      </c>
      <c r="I73">
        <v>66.67</v>
      </c>
      <c r="J73" t="inlineStr">
        <is>
          <t>{"id":"chatcmpl-DZSJkkgUHDesM1xyfD6SPdazphLtc","object":"chat.completion","created":1777342704,"model":"gpt-5-chat-2025-10-03","choices":[{"index":0,"message":{"role":"assistant","content":"Louis Vuitton Monogram Taupe Reversible Leather Belt","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73" t="inlineStr">
        <is>
          <t>Louis Vuitton Monogram Taupe Reversible Leather Belt</t>
        </is>
      </c>
      <c r="L73" t="inlineStr">
        <is>
          <t>{"id":"chatcmpl-DZRfDYOWuRxQhFAoAf36LpyJ2buc0","object":"chat.completion","created":1777340191,"model":"gpt-5-chat-2025-10-03","choices":[{"index":0,"message":{"role":"assistant","content":"Louis Vuitton Monogram taupe reversible belt in premium calf leather with iconic LV gold buckle, classic monogram lining, unisex design for modern elegant urban style.","refusal":null,"annotations":[]},"logprobs":null,"finish_reason":"stop"}],"usage":{"prompt_tokens":898,"completion_tokens":33,"total_tokens":931,"prompt_tokens_details":{"cached_tokens":0,"audio_tokens":0},"completion_tokens_details":{"reasoning_tokens":0,"audio_tokens":0,"accepted_prediction_tokens":0,"rejected_prediction_tokens":0}},"service_tier":"default","system_fingerprint":"fp_ad66631dec"}</t>
        </is>
      </c>
      <c r="M73" t="inlineStr">
        <is>
          <t>{"alt-svc":"h3=\":443\"; ma=2592000","apim-request-id":"906bf84c-d80d-457c-8c2f-d54b406c621f","azureml-model-session":"d20260402075109-1fc5a0ec","cache-control":"no-cache","connection":"close","content-length":"975","content-type":"application/json","date":"Tue, 28 Apr 2026 01:36:32 GMT","server":"nginx","skip-error-remapping":"true","strict-transport-security":"max-age=31536000; includeSubDomains; preload","via":"1.1 Caddy","x-content-type-options":"nosniff","x-ms-client-request-id":"Not-Set","x-ms-is-spilled-over":"false","x-ms-rai-invoked":"false","x-ms-region":"East US 2","x-new-api-version":"0.4.35","x-oneapi-request-id":"202604280136303928787648268d9d6aTSnOpMk","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a1290e6d-a243-4591-a5ec-0191ad6be052"}</t>
        </is>
      </c>
      <c r="N73" t="inlineStr">
        <is>
          <t>Louis Vuitton Monogram taupe reversible belt in premium calf leather with iconic LV gold buckle, classic monogram lining, unisex design for modern elegant urban style.</t>
        </is>
      </c>
      <c r="O73" t="inlineStr">
        <is>
          <t>{"id":"chatcmpl-DZScX91Vcs02NRxpZoOEJfzWcgx7N","object":"chat.completion","created":1777343869,"model":"gpt-5-chat-2025-10-03","choices":[{"index":0,"message":{"role":"assistant","content":"Louis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73" t="inlineStr">
        <is>
          <t>Louis Vuitton, Belt, kakobuy, kakebuy2026, kekobuysheet, kakobuysheet2026, 2026kakobuy, kakobuyspreadsheeet, kakobuylink, kakebuylist, Kakobuy MEGA Spreadsheet, kakobuysheetfind, kakobuysheetfind2026, 2026kakobuysheetfind, kakobuysheet2026</t>
        </is>
      </c>
      <c r="Q73" t="inlineStr">
        <is>
          <t>LV, Unisex, Elegant, Leather, Taupe, Classic</t>
        </is>
      </c>
      <c r="R73" t="inlineStr">
        <is>
          <t>recvhju1Cr0GP8</t>
        </is>
      </c>
      <c r="S73" t="inlineStr">
        <is>
          <t>louis-vuitton-monogram-taupe-reversible-leather-belt-recvhju1cr0gp8</t>
        </is>
      </c>
      <c r="T73"/>
      <c r="U73"/>
      <c r="V73"/>
      <c r="W73" t="inlineStr">
        <is>
          <t>{"id":"chatcmpl-DZREJEpzMZ5K5tmDbNWkChPvFb2sT","object":"chat.completion","created":1777338523,"model":"gpt-5-chat-2025-10-03","choices":[{"index":0,"message":{"role":"assistant","content":"Louis Vuitton：Monogram灰褐色双面腰带，采用优质小牛皮材质，搭配经典LV金属扣，内衬标志性Monogram图纹，简约奢华设计，男女皆宜，彰显现代都市优雅风范。","refusal":null,"annotations":[]},"logprobs":null,"finish_reason":"stop"}],"usage":{"prompt_tokens":1303,"completion_tokens":63,"total_tokens":1366,"prompt_tokens_details":{"cached_tokens":1280,"audio_tokens":0},"completion_tokens_details":{"reasoning_tokens":0,"audio_tokens":0,"accepted_prediction_tokens":0,"rejected_prediction_tokens":0}},"service_tier":"default","system_fingerprint":"fp_ad66631dec"}</t>
        </is>
      </c>
      <c r="X73" t="inlineStr">
        <is>
          <t>Louis Vuitton：Monogram灰褐色双面腰带，采用优质小牛皮材质，搭配经典LV金属扣，内衬标志性Monogram图纹，简约奢华设计，男女皆宜，彰显现代都市优雅风范。</t>
        </is>
      </c>
    </row>
    <row r="74" ht="25.5" customHeight="1">
      <c r="A74">
        <v>1654975475</v>
      </c>
      <c r="B74">
        <v>7623576578</v>
      </c>
      <c r="C74" s="2" t="str">
        <f>=HYPERLINK("https://weidian.com/item.html?itemID=7623576578", "https://weidian.com/item.html?itemID=7623576578")</f>
        <v>https://weidian.com/item.html?itemID=7623576578</v>
      </c>
      <c r="D74"/>
      <c r="E74" s="2" t="str">
        <f>=HYPERLINK("https://si.geilicdn.com/pcitem2014204438-58de0000019ad9fab82d0a8134f0_1440_1920.jpg?w=640&amp;h=640", "https://si.geilicdn.com/pcitem2014204438-58de0000019ad9fab82d0a8134f0_1440_1920.jpg?w=640&amp;h=640")</f>
        <v>https://si.geilicdn.com/pcitem2014204438-58de0000019ad9fab82d0a8134f0_1440_1920.jpg?w=640&amp;h=640</v>
      </c>
      <c r="F74" t="inlineStr">
        <is>
          <t>Accessories</t>
        </is>
      </c>
      <c r="G74" t="inlineStr">
        <is>
          <t>Gucci</t>
        </is>
      </c>
      <c r="H74">
        <v>460</v>
      </c>
      <c r="I74">
        <v>66.67</v>
      </c>
      <c r="J74" t="inlineStr">
        <is>
          <t>{"id":"chatcmpl-DZSK2W4bj8lyXOuWekkKB5BPnjH6o","object":"chat.completion","created":1777342722,"model":"gpt-5-chat-2025-10-03","choices":[{"index":0,"message":{"role":"assistant","content":"Gucci Cartoon Gray Leather Double G Belt Unisex","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74" t="inlineStr">
        <is>
          <t>Gucci Cartoon Gray Leather Double G Belt Unisex</t>
        </is>
      </c>
      <c r="L74" t="inlineStr">
        <is>
          <t>{"id":"chatcmpl-DZRe3x1c1ktffpjyhPeOMt86nJJ5s","object":"chat.completion","created":1777340119,"model":"gpt-5-chat-2025-10-03","choices":[{"index":0,"message":{"role":"assistant","content":"Gucci Cartoon Print Gray Leather Belt with Double G Buckle, made of soft cowhide, stylish unisex design, adds playful charm and modern flair to any casual or fashion outfit.","refusal":null,"annotations":[]},"logprobs":null,"finish_reason":"stop"}],"usage":{"prompt_tokens":893,"completion_tokens":38,"total_tokens":931,"prompt_tokens_details":{"cached_tokens":0,"audio_tokens":0},"completion_tokens_details":{"reasoning_tokens":0,"audio_tokens":0,"accepted_prediction_tokens":0,"rejected_prediction_tokens":0}},"service_tier":"default","system_fingerprint":"fp_ad66631dec"}</t>
        </is>
      </c>
      <c r="M74" t="inlineStr">
        <is>
          <t>{"alt-svc":"h3=\":443\"; ma=2592000","apim-request-id":"cd6d8db8-b028-4538-8aeb-e2cce35c9b82","azureml-model-session":"d20260402075109-1fc5a0ec","cache-control":"no-cache","connection":"close","content-length":"981","content-type":"application/json","date":"Tue, 28 Apr 2026 01:35:21 GMT","server":"Caddy","skip-error-remapping":"true","strict-transport-security":"max-age=31536000; includeSubDomains; preload","x-content-type-options":"nosniff","x-ms-client-request-id":"Not-Set","x-ms-is-spilled-over":"false","x-ms-rai-invoked":"false","x-ms-region":"South Central US","x-new-api-version":"0.4.35","x-oneapi-request-id":"202604280135188763978078268d9d6krffIBYn","x-ratelimit-abusepenalty-active":"False","x-ratelimit-key":"gpt-5-chat-global","x-ratelimit-limit-requests":"1000","x-ratelimit-limit-tokens":"1000000","x-ratelimit-remaining-requests":"999","x-ratelimit-remaining-tokens":"998282","x-ratelimit-renewalperiod-requests":"60","x-ratelimit-renewalperiod-tokens":"60","x-ratelimit-reset-requests":"60","x-ratelimit-reset-tokens":"103","x-request-id":"f9755d6b-f01e-41fa-85f7-013cd2c33b4c"}</t>
        </is>
      </c>
      <c r="N74" t="inlineStr">
        <is>
          <t>Gucci Cartoon Print Gray Leather Belt with Double G Buckle, made of soft cowhide, stylish unisex design, adds playful charm and modern flair to any casual or fashion outfit.</t>
        </is>
      </c>
      <c r="O74" t="inlineStr">
        <is>
          <t>{"id":"chatcmpl-DZSVWdTcXir6CjD3u5aSRxIKf2L43","object":"chat.completion","created":1777343434,"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4" t="inlineStr">
        <is>
          <t>Gucci,Accessories,kakobuy,kakebuy2026,kekobuysheet,kakobuysheet2026,2026kakobuy,kakobuyspreadsheeet,kakobuylink,kakebuylist,Kakobuy MEGA Spreadsheet,kakobuysheetfind,kakobuysheetfind2026,2026kakobuysheetfind,kakobuysheet2026</t>
        </is>
      </c>
      <c r="Q74" t="inlineStr">
        <is>
          <t>Leather, Cowhide, Gray, Unisex, Fashion</t>
        </is>
      </c>
      <c r="R74" t="inlineStr">
        <is>
          <t>recvhju1CrvBJa</t>
        </is>
      </c>
      <c r="S74" t="inlineStr">
        <is>
          <t>gucci-cartoon-gray-leather-double-g-belt-recvhju1crvbj</t>
        </is>
      </c>
      <c r="T74"/>
      <c r="U74"/>
      <c r="V74"/>
      <c r="W74" t="inlineStr">
        <is>
          <t>{"id":"chatcmpl-DZR9hawMSfF2igMcMTPM9biBFwXeX","object":"chat.completion","created":1777338237,"model":"gpt-5-chat-2025-10-03","choices":[{"index":0,"message":{"role":"assistant","content":"Gucci：趣味卡通印花灰色皮革腰带，采用双G金属扣头设计，柔韧细腻牛皮材质，彰显青年时尚活力，中性休闲风格，百搭个性配饰。","refusal":null,"annotations":[]},"logprobs":null,"finish_reason":"stop"}],"usage":{"prompt_tokens":1303,"completion_tokens":58,"total_tokens":1361,"prompt_tokens_details":{"cached_tokens":0,"audio_tokens":0},"completion_tokens_details":{"reasoning_tokens":0,"audio_tokens":0,"accepted_prediction_tokens":0,"rejected_prediction_tokens":0}},"service_tier":"default","system_fingerprint":"fp_ad66631dec"}</t>
        </is>
      </c>
      <c r="X74" t="inlineStr">
        <is>
          <t>Gucci：趣味卡通印花灰色皮革腰带，采用双G金属扣头设计，柔韧细腻牛皮材质，彰显青年时尚活力，中性休闲风格，百搭个性配饰。</t>
        </is>
      </c>
    </row>
    <row r="75" ht="25.5" customHeight="1">
      <c r="A75">
        <v>1654975475</v>
      </c>
      <c r="B75">
        <v>7620978019</v>
      </c>
      <c r="C75" s="2" t="str">
        <f>=HYPERLINK("https://weidian.com/item.html?itemID=7620978019", "https://weidian.com/item.html?itemID=7620978019")</f>
        <v>https://weidian.com/item.html?itemID=7620978019</v>
      </c>
      <c r="D75"/>
      <c r="E75" s="2" t="str">
        <f>=HYPERLINK("https://si.geilicdn.com/pcitem2014204438-16ad0000019ad9f74d510a21146b_1440_1920.jpg?w=640&amp;h=640", "https://si.geilicdn.com/pcitem2014204438-16ad0000019ad9f74d510a21146b_1440_1920.jpg?w=640&amp;h=640")</f>
        <v>https://si.geilicdn.com/pcitem2014204438-16ad0000019ad9f74d510a21146b_1440_1920.jpg?w=640&amp;h=640</v>
      </c>
      <c r="F75" t="inlineStr">
        <is>
          <t>Accessories</t>
        </is>
      </c>
      <c r="G75" t="inlineStr">
        <is>
          <t>Dior</t>
        </is>
      </c>
      <c r="H75">
        <v>460</v>
      </c>
      <c r="I75">
        <v>66.67</v>
      </c>
      <c r="J75" t="inlineStr">
        <is>
          <t>{"id":"chatcmpl-DZSIACcMo1kdNdsJ1fqbKoB1PGUFb","object":"chat.completion","created":1777342606,"model":"gpt-5-chat-2025-10-03","choices":[{"index":0,"message":{"role":"assistant","content":"Dior Grey Silver Leather Belt 4.0cm Black CD Buckle","refusal":null,"annotations":[]},"logprobs":null,"finish_reason":"stop"}],"usage":{"prompt_tokens":879,"completion_tokens":16,"total_tokens":895,"prompt_tokens_details":{"cached_tokens":0,"audio_tokens":0},"completion_tokens_details":{"reasoning_tokens":0,"audio_tokens":0,"accepted_prediction_tokens":0,"rejected_prediction_tokens":0}},"service_tier":"default","system_fingerprint":"fp_ad66631dec"}</t>
        </is>
      </c>
      <c r="K75" t="inlineStr">
        <is>
          <t>Dior Grey Silver Leather Belt 4.0cm Black CD Buckle</t>
        </is>
      </c>
      <c r="L75" t="inlineStr">
        <is>
          <t>{"id":"chatcmpl-DZRhhhAhO6836t7mmzbILiTBdOG63","object":"chat.completion","created":1777340345,"model":"gpt-5-chat-2025-10-03","choices":[{"index":0,"message":{"role":"assistant","content":"Dior Grey Silver Geometric Leather Belt 4.0cm with Black CD Buckle, modern minimalist design, elegant unisex style for daily or business wear, showcasing timeless urban luxury.","refusal":null,"annotations":[]},"logprobs":null,"finish_reason":"stop"}],"usage":{"prompt_tokens":897,"completion_tokens":39,"total_tokens":936,"prompt_tokens_details":{"cached_tokens":0,"audio_tokens":0},"completion_tokens_details":{"reasoning_tokens":0,"audio_tokens":0,"accepted_prediction_tokens":0,"rejected_prediction_tokens":0}},"service_tier":"default","system_fingerprint":"fp_ad66631dec"}</t>
        </is>
      </c>
      <c r="M75" t="inlineStr">
        <is>
          <t>{"alt-svc":"h3=\":443\"; ma=2592000","apim-request-id":"36876897-6214-460e-bd45-f9c4e9354a36","azureml-model-session":"d20260402084046-4209e968","cache-control":"no-cache","connection":"close","content-length":"984","content-type":"application/json","date":"Tue, 28 Apr 2026 01:39:07 GMT","server":"Caddy","skip-error-remapping":"true","strict-transport-security":"max-age=31536000; includeSubDomains; preload","x-content-type-options":"nosniff","x-ms-client-request-id":"Not-Set","x-ms-is-spilled-over":"false","x-ms-rai-invoked":"false","x-ms-region":"East US","x-new-api-version":"0.4.35","x-oneapi-request-id":"202604280139047277807718268d9d6NBa1NTr0","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871ef643-5bad-4659-ac54-6562c48a5609"}</t>
        </is>
      </c>
      <c r="N75" t="inlineStr">
        <is>
          <t>Dior Grey Silver Geometric Leather Belt 4.0cm with Black CD Buckle, modern minimalist design, elegant unisex style for daily or business wear, showcasing timeless urban luxury.</t>
        </is>
      </c>
      <c r="O75" t="inlineStr">
        <is>
          <t>{"id":"chatcmpl-DZSb7c2CEGk2beuSfIlG6ZDyUwnce","object":"chat.completion","created":1777343781,"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5" t="inlineStr">
        <is>
          <t>Dior,Belt,kakobuy,kakebuy2026,kekobuysheet,kakobuysheet2026,2026kakobuy,kakobuyspreadsheeet,kakobuylink,kakebuylist,Kakobuy MEGA Spreadsheet,kakobuysheetfind,kakobuysheetfind2026,2026kakobuysheetfind,kakobuysheet2026</t>
        </is>
      </c>
      <c r="Q75" t="inlineStr">
        <is>
          <t>Dior, Grey, Silver, Leather, Minimalist, Unisex</t>
        </is>
      </c>
      <c r="R75" t="inlineStr">
        <is>
          <t>recvhju1CrA4tp</t>
        </is>
      </c>
      <c r="S75" t="inlineStr">
        <is>
          <t>dior-grey-silver-leather-belt-4cm-black-cd-buckle-recvhju1cra4tp</t>
        </is>
      </c>
      <c r="T75"/>
      <c r="U75"/>
      <c r="V75"/>
      <c r="W75" t="inlineStr">
        <is>
          <t>{"id":"chatcmpl-DZRAcZxt2FqHtDhJKsBvFmNdWj9j5","object":"chat.completion","created":1777338294,"model":"gpt-5-chat-2025-10-03","choices":[{"index":0,"message":{"role":"assistant","content":"Dior：灰银几何图腾皮革腰带，4.0cm宽度搭配黑色CD扣，彰显现代简约设计，优雅中性风格，适合都市男女日常与商务穿搭，展现低调奢华质感。","refusal":null,"annotations":[]},"logprobs":null,"finish_reason":"stop"}],"usage":{"prompt_tokens":1301,"completion_tokens":63,"total_tokens":1364,"prompt_tokens_details":{"cached_tokens":1280,"audio_tokens":0},"completion_tokens_details":{"reasoning_tokens":0,"audio_tokens":0,"accepted_prediction_tokens":0,"rejected_prediction_tokens":0}},"service_tier":"default","system_fingerprint":"fp_ad66631dec"}</t>
        </is>
      </c>
      <c r="X75" t="inlineStr">
        <is>
          <t>Dior：灰银几何图腾皮革腰带，4.0cm宽度搭配黑色CD扣，彰显现代简约设计，优雅中性风格，适合都市男女日常与商务穿搭，展现低调奢华质感。</t>
        </is>
      </c>
    </row>
    <row r="76" ht="25.5" customHeight="1">
      <c r="A76">
        <v>1654975475</v>
      </c>
      <c r="B76">
        <v>7623660346</v>
      </c>
      <c r="C76" s="2" t="str">
        <f>=HYPERLINK("https://weidian.com/item.html?itemID=7623660346", "https://weidian.com/item.html?itemID=7623660346")</f>
        <v>https://weidian.com/item.html?itemID=7623660346</v>
      </c>
      <c r="D76"/>
      <c r="E76" s="2" t="str">
        <f>=HYPERLINK("https://si.geilicdn.com/pcitem2014204438-5e860000019ad9f646390a207569_1074_1074.jpg?w=640&amp;h=640", "https://si.geilicdn.com/pcitem2014204438-5e860000019ad9f646390a207569_1074_1074.jpg?w=640&amp;h=640")</f>
        <v>https://si.geilicdn.com/pcitem2014204438-5e860000019ad9f646390a207569_1074_1074.jpg?w=640&amp;h=640</v>
      </c>
      <c r="F76" t="inlineStr">
        <is>
          <t>Accessories</t>
        </is>
      </c>
      <c r="G76" t="inlineStr">
        <is>
          <t>Gucci</t>
        </is>
      </c>
      <c r="H76">
        <v>460</v>
      </c>
      <c r="I76">
        <v>66.67</v>
      </c>
      <c r="J76" t="inlineStr">
        <is>
          <t>{"id":"chatcmpl-DZSId0cNhWXyWVvcPvFere3CH8wMS","object":"chat.completion","created":1777342635,"model":"gpt-5-chat-2025-10-03","choices":[{"index":0,"message":{"role":"assistant","content":"Gucci Classic Black Leather Belt Double G Buckle","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76" t="inlineStr">
        <is>
          <t>Gucci Classic Black Leather Belt Double G Buckle</t>
        </is>
      </c>
      <c r="L76" t="inlineStr">
        <is>
          <t>{"id":"chatcmpl-DZRit4Yvzb7P2T1NXteG8t5jGLGiw","object":"chat.completion","created":1777340419,"model":"gpt-5-chat-2025-10-03","choices":[{"index":0,"message":{"role":"assistant","content":"Gucci Classic Black GG Leather Belt crafted from premium cowhide with vintage silver Double G buckle. Unisex luxury design, perfect for business or casual style with timeless elegance.","refusal":null,"annotations":[]},"logprobs":null,"finish_reason":"stop"}],"usage":{"prompt_tokens":905,"completion_tokens":35,"total_tokens":940,"prompt_tokens_details":{"cached_tokens":0,"audio_tokens":0},"completion_tokens_details":{"reasoning_tokens":0,"audio_tokens":0,"accepted_prediction_tokens":0,"rejected_prediction_tokens":0}},"service_tier":"default","system_fingerprint":"fp_ad66631dec"}</t>
        </is>
      </c>
      <c r="M76" t="inlineStr">
        <is>
          <t>{"alt-svc":"h3=\":443\"; ma=2592000","apim-request-id":"60f3067f-a5a7-425e-bce9-ffb8163c3abc","azureml-model-session":"d20260402075109-1fc5a0ec","cache-control":"no-cache","connection":"close","content-length":"992","content-type":"application/json","date":"Tue, 28 Apr 2026 01:40:20 GMT","server":"nginx","skip-error-remapping":"true","strict-transport-security":"max-age=31536000; includeSubDomains; preload","via":"1.1 Caddy","x-content-type-options":"nosniff","x-ms-client-request-id":"Not-Set","x-ms-is-spilled-over":"false","x-ms-rai-invoked":"false","x-ms-region":"East US","x-new-api-version":"0.4.35","x-oneapi-request-id":"202604280140186372402438268d9d6oqSAUPZx","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a9c0ecbf-41a1-4c5f-96c1-efbd6808d5ed"}</t>
        </is>
      </c>
      <c r="N76" t="inlineStr">
        <is>
          <t>Gucci Classic Black GG Leather Belt crafted from premium cowhide with vintage silver Double G buckle. Unisex luxury design, perfect for business or casual style with timeless elegance.</t>
        </is>
      </c>
      <c r="O76" t="inlineStr">
        <is>
          <t>{"id":"chatcmpl-DZSYnYl80CoAEpC1kRIlzr6QTC1g2","object":"chat.completion","created":1777343637,"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6" t="inlineStr">
        <is>
          <t>Gucci,Accessories,kakobuy,kakebuy2026,kekobuysheet,kakobuysheet2026,2026kakobuy,kakobuyspreadsheeet,kakobuylink,kakebuylist,Kakobuy MEGA Spreadsheet,kakobuysheetfind,kakobuysheetfind2026,2026kakobuysheetfind,kakobuysheet2026</t>
        </is>
      </c>
      <c r="Q76" t="inlineStr">
        <is>
          <t>Gucci Superstar, Black, Leather, Cowhide, Unisex, Business Casual</t>
        </is>
      </c>
      <c r="R76" t="inlineStr">
        <is>
          <t>recvhju1Cr1VzO</t>
        </is>
      </c>
      <c r="S76" t="inlineStr">
        <is>
          <t>gucci-classic-black-leather-belt-double-g-buckle-recvhju1cr1vzo</t>
        </is>
      </c>
      <c r="T76"/>
      <c r="U76"/>
      <c r="V76"/>
      <c r="W76" t="inlineStr">
        <is>
          <t>{"id":"chatcmpl-DZR75KajYiyrkCqhlxkwYItLkcrQD","object":"chat.completion","created":1777338075,"model":"gpt-5-chat-2025-10-03","choices":[{"index":0,"message":{"role":"assistant","content":"Gucci：经典黑色GG双环皮质腰带，甄选头层牛皮搭配复古银色双G金属扣，低调奢华，彰显品牌标志美学。极简设计融合现代都市风格，男女皆宜，完美点缀商务与休闲造型。","refusal":null,"annotations":[]},"logprobs":null,"finish_reason":"stop"}],"usage":{"prompt_tokens":1297,"completion_tokens":73,"total_tokens":1370,"prompt_tokens_details":{"cached_tokens":0,"audio_tokens":0},"completion_tokens_details":{"reasoning_tokens":0,"audio_tokens":0,"accepted_prediction_tokens":0,"rejected_prediction_tokens":0}},"service_tier":"default","system_fingerprint":"fp_ad66631dec"}</t>
        </is>
      </c>
      <c r="X76" t="inlineStr">
        <is>
          <t>Gucci：经典黑色GG双环皮质腰带，甄选头层牛皮搭配复古银色双G金属扣，低调奢华，彰显品牌标志美学。极简设计融合现代都市风格，男女皆宜，完美点缀商务与休闲造型。</t>
        </is>
      </c>
    </row>
    <row r="77" ht="25.5" customHeight="1">
      <c r="A77">
        <v>1654975475</v>
      </c>
      <c r="B77">
        <v>7620680351</v>
      </c>
      <c r="C77" s="2" t="str">
        <f>=HYPERLINK("https://weidian.com/item.html?itemID=7620680351", "https://weidian.com/item.html?itemID=7620680351")</f>
        <v>https://weidian.com/item.html?itemID=7620680351</v>
      </c>
      <c r="D77"/>
      <c r="E77" s="2" t="str">
        <f>=HYPERLINK("https://si.geilicdn.com/pcitem2014204438-59a60000019ad9f7df570a2102c5_1512_2016.jpg?w=640&amp;h=640", "https://si.geilicdn.com/pcitem2014204438-59a60000019ad9f7df570a2102c5_1512_2016.jpg?w=640&amp;h=640")</f>
        <v>https://si.geilicdn.com/pcitem2014204438-59a60000019ad9f7df570a2102c5_1512_2016.jpg?w=640&amp;h=640</v>
      </c>
      <c r="F77" t="inlineStr">
        <is>
          <t>Accessories</t>
        </is>
      </c>
      <c r="G77" t="inlineStr">
        <is>
          <t>Dior</t>
        </is>
      </c>
      <c r="H77">
        <v>460</v>
      </c>
      <c r="I77">
        <v>66.67</v>
      </c>
      <c r="J77" t="inlineStr">
        <is>
          <t>{"id":"chatcmpl-DZSJhZoXNE6twNoqQguggR4dY3boU","object":"chat.completion","created":1777342701,"model":"gpt-5-chat-2025-10-03","choices":[{"index":0,"message":{"role":"assistant","content":"Dior Saddle Olive Green Leather CD Buckle Belt","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77" t="inlineStr">
        <is>
          <t>Dior Saddle Olive Green Leather CD Buckle Belt</t>
        </is>
      </c>
      <c r="L77" t="inlineStr">
        <is>
          <t>{"id":"chatcmpl-DZRiH5M2uLKO4C8ZCmzWW6AE7m2BH","object":"chat.completion","created":1777340381,"model":"gpt-5-chat-2025-10-03","choices":[{"index":0,"message":{"role":"assistant","content":"Dior Saddle Olive Green Leather Belt in fine calfskin with hollow gold CD buckle, unisex design blending vintage and modern elegance for a refined luxury fashion look.","refusal":null,"annotations":[]},"logprobs":null,"finish_reason":"stop"}],"usage":{"prompt_tokens":913,"completion_tokens":33,"total_tokens":946,"prompt_tokens_details":{"cached_tokens":0,"audio_tokens":0},"completion_tokens_details":{"reasoning_tokens":0,"audio_tokens":0,"accepted_prediction_tokens":0,"rejected_prediction_tokens":0}},"service_tier":"default","system_fingerprint":"fp_ad66631dec"}</t>
        </is>
      </c>
      <c r="M77" t="inlineStr">
        <is>
          <t>{"alt-svc":"h3=\":443\"; ma=2592000","apim-request-id":"5a5d50aa-be25-4368-9f26-a4e64200ab02","azureml-model-session":"d20260402075109-1fc5a0ec","cache-control":"no-cache","connection":"close","content-length":"975","content-type":"application/json","date":"Tue, 28 Apr 2026 01:39:42 GMT","server":"Caddy","skip-error-remapping":"true","strict-transport-security":"max-age=31536000; includeSubDomains; preload","x-content-type-options":"nosniff","x-ms-client-request-id":"Not-Set","x-ms-is-spilled-over":"false","x-ms-rai-invoked":"false","x-ms-region":"North Central US","x-new-api-version":"0.4.35","x-oneapi-request-id":"202604280139405705828488268d9d6HeCCGfxZ","x-ratelimit-abusepenalty-active":"False","x-ratelimit-key":"gpt-5-chat-global","x-ratelimit-limit-requests":"1000","x-ratelimit-limit-tokens":"1000000","x-ratelimit-remaining-requests":"999","x-ratelimit-remaining-tokens":"998325","x-ratelimit-renewalperiod-requests":"60","x-ratelimit-renewalperiod-tokens":"60","x-ratelimit-reset-requests":"60","x-ratelimit-reset-tokens":"100","x-request-id":"a1a32823-c01b-405b-bb62-34fd9dded48c"}</t>
        </is>
      </c>
      <c r="N77" t="inlineStr">
        <is>
          <t>Dior Saddle Olive Green Leather Belt in fine calfskin with hollow gold CD buckle, unisex design blending vintage and modern elegance for a refined luxury fashion look.</t>
        </is>
      </c>
      <c r="O77" t="inlineStr">
        <is>
          <t>{"id":"chatcmpl-DZSWq9Is3cnRxP0Euu6pqyxVxNN2D","object":"chat.completion","created":1777343516,"model":"gpt-5-chat-2025-10-03","choices":[{"index":0,"message":{"role":"assistant","content":"Dio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7" t="inlineStr">
        <is>
          <t>Dior,Accessories,kakobuy,kakebuy2026,kekobuysheet,kakobuysheet2026,2026kakobuy,kakobuyspreadsheeet,kakobuylink,kakebuylist,Kakobuy MEGA Spreadsheet,kakobuysheetfind,kakobuysheetfind2026,2026kakobuysheetfind,kakobuysheet2026</t>
        </is>
      </c>
      <c r="Q77" t="inlineStr">
        <is>
          <t>Dior, Leather, Olive Green, Unisex, Vintage, Elegant</t>
        </is>
      </c>
      <c r="R77" t="inlineStr">
        <is>
          <t>recvhju1CrNf72</t>
        </is>
      </c>
      <c r="S77" t="inlineStr">
        <is>
          <t>dior-saddle-olive-green-leather-cd-buckle-belt-recvhju1crnf72</t>
        </is>
      </c>
      <c r="T77"/>
      <c r="U77"/>
      <c r="V77"/>
      <c r="W77" t="inlineStr">
        <is>
          <t>{"id":"chatcmpl-DZR6X13uvmvIE8VVrBKJpTEr6gSyc","object":"chat.completion","created":1777338041,"model":"gpt-5-chat-2025-10-03","choices":[{"index":0,"message":{"role":"assistant","content":"Dior：Saddle系列橄榄绿皮革腰带，选用细腻小牛皮材质，搭配镂空金色CD标志金属扣，简约奢华设计彰显品牌优雅格调，适合男女通用，复古与现代风格融合，尽显高级时尚品味。","refusal":null,"annotations":[]},"logprobs":null,"finish_reason":"stop"}],"usage":{"prompt_tokens":1303,"completion_tokens":78,"total_tokens":1381,"prompt_tokens_details":{"cached_tokens":0,"audio_tokens":0},"completion_tokens_details":{"reasoning_tokens":0,"audio_tokens":0,"accepted_prediction_tokens":0,"rejected_prediction_tokens":0}},"service_tier":"default","system_fingerprint":"fp_ad66631dec"}</t>
        </is>
      </c>
      <c r="X77" t="inlineStr">
        <is>
          <t>Dior：Saddle系列橄榄绿皮革腰带，选用细腻小牛皮材质，搭配镂空金色CD标志金属扣，简约奢华设计彰显品牌优雅格调，适合男女通用，复古与现代风格融合，尽显高级时尚品味。</t>
        </is>
      </c>
    </row>
    <row r="78" ht="25.5" customHeight="1">
      <c r="A78">
        <v>1654975475</v>
      </c>
      <c r="B78">
        <v>7624525554</v>
      </c>
      <c r="C78" s="2" t="str">
        <f>=HYPERLINK("https://weidian.com/item.html?itemID=7624525554", "https://weidian.com/item.html?itemID=7624525554")</f>
        <v>https://weidian.com/item.html?itemID=7624525554</v>
      </c>
      <c r="D78"/>
      <c r="E78" s="2" t="str">
        <f>=HYPERLINK("https://si.geilicdn.com/pcitem2014204438-5c840000019ad9f91f0a0a23047e_1512_2016.jpg?w=640&amp;h=640", "https://si.geilicdn.com/pcitem2014204438-5c840000019ad9f91f0a0a23047e_1512_2016.jpg?w=640&amp;h=640")</f>
        <v>https://si.geilicdn.com/pcitem2014204438-5c840000019ad9f91f0a0a23047e_1512_2016.jpg?w=640&amp;h=640</v>
      </c>
      <c r="F78" t="inlineStr">
        <is>
          <t>Accessories</t>
        </is>
      </c>
      <c r="G78" t="inlineStr">
        <is>
          <t>Dior</t>
        </is>
      </c>
      <c r="H78">
        <v>460</v>
      </c>
      <c r="I78">
        <v>66.67</v>
      </c>
      <c r="J78" t="inlineStr">
        <is>
          <t>{"id":"chatcmpl-DZSGynL63VqjxXbsUPly5xpeViChu","object":"chat.completion","created":1777342532,"model":"gpt-5-chat-2025-10-03","choices":[{"index":0,"message":{"role":"assistant","content":"Dior Men Blue Grey Leather Belt Silver CD Buckle","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78" t="inlineStr">
        <is>
          <t>Dior Men Blue Grey Leather Belt Silver CD Buckle</t>
        </is>
      </c>
      <c r="L78" t="inlineStr">
        <is>
          <t>{"id":"chatcmpl-DZReJs0ydCAPWkCrZBSqjQFXahN66","object":"chat.completion","created":1777340135,"model":"gpt-5-chat-2025-10-03","choices":[{"index":0,"message":{"role":"assistant","content":"Dior Men’s Blue-Grey Calfskin Leather Belt with Silver CD Hollow Buckle, sleek and elegant design for modern luxury style, perfect for both business and casual looks.","refusal":null,"annotations":[]},"logprobs":null,"finish_reason":"stop"}],"usage":{"prompt_tokens":886,"completion_tokens":37,"total_tokens":923,"prompt_tokens_details":{"cached_tokens":0,"audio_tokens":0},"completion_tokens_details":{"reasoning_tokens":0,"audio_tokens":0,"accepted_prediction_tokens":0,"rejected_prediction_tokens":0}},"service_tier":"default","system_fingerprint":"fp_ad66631dec"}</t>
        </is>
      </c>
      <c r="M78" t="inlineStr">
        <is>
          <t>{"alt-svc":"h3=\":443\"; ma=2592000","apim-request-id":"a4a91f9b-4057-4a56-b75c-3d321444a309","azureml-model-session":"d20260402074105-51db401e","cache-control":"no-cache","connection":"close","content-length":"976","content-type":"application/json","date":"Tue, 28 Apr 2026 01:35:36 GMT","server":"nginx","skip-error-remapping":"true","strict-transport-security":"max-age=31536000; includeSubDomains; preload","via":"1.1 Caddy","x-content-type-options":"nosniff","x-ms-client-request-id":"Not-Set","x-ms-is-spilled-over":"false","x-ms-rai-invoked":"false","x-ms-region":"Central US","x-new-api-version":"0.4.35","x-oneapi-request-id":"202604280135345381713858268d9d60x8XstQv","x-ratelimit-abusepenalty-active":"False","x-ratelimit-key":"gpt-5-chat-global","x-ratelimit-limit-requests":"1000","x-ratelimit-limit-tokens":"1000000","x-ratelimit-remaining-requests":"999","x-ratelimit-remaining-tokens":"998352","x-ratelimit-renewalperiod-requests":"60","x-ratelimit-renewalperiod-tokens":"60","x-ratelimit-reset-requests":"60","x-ratelimit-reset-tokens":"98","x-request-id":"4efb2ab2-08a5-4351-9e03-571308ca8e56"}</t>
        </is>
      </c>
      <c r="N78" t="inlineStr">
        <is>
          <t>Dior Men’s Blue-Grey Calfskin Leather Belt with Silver CD Hollow Buckle, sleek and elegant design for modern luxury style, perfect for both business and casual looks.</t>
        </is>
      </c>
      <c r="O78" t="inlineStr">
        <is>
          <t>{"id":"chatcmpl-DZSU7gtyyskrrgfDpBzRFu60GJYCK","object":"chat.completion","created":1777343347,"model":"gpt-5-chat-2025-10-03","choices":[{"index":0,"message":{"role":"assistant","content":"Dio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8" t="inlineStr">
        <is>
          <t>Dior,Accessories,kakobuy,kakebuy2026,kekobuysheet,kakobuysheet2026,2026kakobuy,kakobuyspreadsheeet,kakobuylink,kakebuylist,Kakobuy MEGA Spreadsheet,kakobuysheetfind,kakobuysheetfind2026,2026kakobuysheetfind,kakobuysheet2026</t>
        </is>
      </c>
      <c r="Q78" t="inlineStr">
        <is>
          <t>Dior, Blue Grey, Leather, Elegant, Business, Business Casual</t>
        </is>
      </c>
      <c r="R78" t="inlineStr">
        <is>
          <t>recvhju1CrKZ59</t>
        </is>
      </c>
      <c r="S78" t="inlineStr">
        <is>
          <t>dior-men-blue-grey-leather-belt-silver-cd-buckle-recvhju1crkz59</t>
        </is>
      </c>
      <c r="T78"/>
      <c r="U78"/>
      <c r="V78"/>
      <c r="W78" t="inlineStr">
        <is>
          <t>{"id":"chatcmpl-DZRDc4jkF8WT1mHv34lMlqKRgjr3o","object":"chat.completion","created":1777338480,"model":"gpt-5-chat-2025-10-03","choices":[{"index":0,"message":{"role":"assistant","content":"Dior：男士蓝灰色小牛皮皮带，配以银色CD字母镂空扣，简约优雅，彰显现代奢华格调，适合商务与休闲穿搭。","refusal":null,"annotations":[]},"logprobs":null,"finish_reason":"stop"}],"usage":{"prompt_tokens":1305,"completion_tokens":50,"total_tokens":1355,"prompt_tokens_details":{"cached_tokens":0,"audio_tokens":0},"completion_tokens_details":{"reasoning_tokens":0,"audio_tokens":0,"accepted_prediction_tokens":0,"rejected_prediction_tokens":0}},"service_tier":"default","system_fingerprint":"fp_ad66631dec"}</t>
        </is>
      </c>
      <c r="X78" t="inlineStr">
        <is>
          <t>Dior：男士蓝灰色小牛皮皮带，配以银色CD字母镂空扣，简约优雅，彰显现代奢华格调，适合商务与休闲穿搭。</t>
        </is>
      </c>
    </row>
    <row r="79" ht="25.5" customHeight="1">
      <c r="A79">
        <v>1654975475</v>
      </c>
      <c r="B79">
        <v>7624647604</v>
      </c>
      <c r="C79" s="2" t="str">
        <f>=HYPERLINK("https://weidian.com/item.html?itemID=7624647604", "https://weidian.com/item.html?itemID=7624647604")</f>
        <v>https://weidian.com/item.html?itemID=7624647604</v>
      </c>
      <c r="D79"/>
      <c r="E79" s="2" t="str">
        <f>=HYPERLINK("https://si.geilicdn.com/pcitem2014204438-52e20000019ad9fb35020a239846_1080_1080.jpg?w=640&amp;h=640", "https://si.geilicdn.com/pcitem2014204438-52e20000019ad9fb35020a239846_1080_1080.jpg?w=640&amp;h=640")</f>
        <v>https://si.geilicdn.com/pcitem2014204438-52e20000019ad9fb35020a239846_1080_1080.jpg?w=640&amp;h=640</v>
      </c>
      <c r="F79" t="inlineStr">
        <is>
          <t>Accessories</t>
        </is>
      </c>
      <c r="G79" t="inlineStr">
        <is>
          <t>Louis Vuitton</t>
        </is>
      </c>
      <c r="H79">
        <v>460</v>
      </c>
      <c r="I79">
        <v>66.67</v>
      </c>
      <c r="J79" t="inlineStr">
        <is>
          <t>{"id":"chatcmpl-DZSLRrNixKaUy74RYK8tGaKPss171","object":"chat.completion","created":1777342809,"model":"gpt-5-chat-2025-10-03","choices":[{"index":0,"message":{"role":"assistant","content":"Louis Vuitton LV Initiales Brown Epi Leather Belt","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79" t="inlineStr">
        <is>
          <t>Louis Vuitton LV Initiales Brown Epi Leather Belt</t>
        </is>
      </c>
      <c r="L79" t="inlineStr">
        <is>
          <t>{"id":"chatcmpl-DZRjYjac3beZeD335RRbhAaqCxv5A","object":"chat.completion","created":1777340460,"model":"gpt-5-chat-2025-10-03","choices":[{"index":0,"message":{"role":"assistant","content":"Louis Vuitton LV Initiales dark brown Epi leather belt with signature metal buckle, sleek and refined design, unisex style for daily wear or business attire, showcasing modern luxury elegance.","refusal":null,"annotations":[]},"logprobs":null,"finish_reason":"stop"}],"usage":{"prompt_tokens":908,"completion_tokens":37,"total_tokens":945,"prompt_tokens_details":{"cached_tokens":0,"audio_tokens":0},"completion_tokens_details":{"reasoning_tokens":0,"audio_tokens":0,"accepted_prediction_tokens":0,"rejected_prediction_tokens":0}},"service_tier":"default","system_fingerprint":"fp_ad66631dec"}</t>
        </is>
      </c>
      <c r="M79" t="inlineStr">
        <is>
          <t>{"alt-svc":"h3=\":443\"; ma=2592000","apim-request-id":"3f40f580-bc46-41cd-8eb4-ab62deb824b8","azureml-model-session":"d20260402084046-4209e968","cache-control":"no-cache","connection":"close","content-length":"1000","content-type":"application/json","date":"Tue, 28 Apr 2026 01:41:02 GMT","server":"Caddy","skip-error-remapping":"true","strict-transport-security":"max-age=31536000; includeSubDomains; preload","x-content-type-options":"nosniff","x-ms-client-request-id":"Not-Set","x-ms-is-spilled-over":"false","x-ms-rai-invoked":"false","x-ms-region":"Central US","x-new-api-version":"0.4.35","x-oneapi-request-id":"202604280140599234368308268d9d60N7eDYy1","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3a78108e-b5dc-4312-8edc-81230b03e837"}</t>
        </is>
      </c>
      <c r="N79" t="inlineStr">
        <is>
          <t>Louis Vuitton LV Initiales dark brown Epi leather belt with signature metal buckle, sleek and refined design, unisex style for daily wear or business attire, showcasing modern luxury elegance.</t>
        </is>
      </c>
      <c r="O79" t="inlineStr">
        <is>
          <t>{"id":"chatcmpl-DZSWxUjofCZFWkKI1eQPDpRMkaPQZ","object":"chat.completion","created":1777343523,"model":"gpt-5-chat-2025-10-03","choices":[{"index":0,"message":{"role":"assistant","content":"Louis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9" t="inlineStr">
        <is>
          <t>Louis Vuitton,Accessories,kakobuy,kakebuy2026,kekobuysheet,kakobuysheet2026,2026kakobuy,kakobuyspreadsheeet,kakobuylink,kakebuylist,Kakobuy MEGA Spreadsheet,kakobuysheetfind,kakobuysheetfind2026,2026kakobuysheetfind,kakobuysheet2026</t>
        </is>
      </c>
      <c r="Q79" t="inlineStr">
        <is>
          <t>LV, Brown, Leather, Unisex, Business, Business Casual</t>
        </is>
      </c>
      <c r="R79" t="inlineStr">
        <is>
          <t>recvhju1Crq3Tr</t>
        </is>
      </c>
      <c r="S79" t="inlineStr">
        <is>
          <t>louis-vuitton-initiales-brown-epi-leather-belt-recvhju1crq3tr</t>
        </is>
      </c>
      <c r="T79"/>
      <c r="U79"/>
      <c r="V79"/>
      <c r="W79" t="inlineStr">
        <is>
          <t>{"id":"chatcmpl-DZR8yu536gJDOo1Qk9v8Vp4IqIsAj","object":"chat.completion","created":1777338192,"model":"gpt-5-chat-2025-10-03","choices":[{"index":0,"message":{"role":"assistant","content":"Louis Vuitton：经典LV Initiales深棕色皮革腰带，甄选优质Epi纹理牛皮，搭配标志性金属字母扣头，简约大气又不失奢华质感，男女皆宜，展现现代都市摩登格调，适合日常与商务穿搭。","refusal":null,"annotations":[]},"logprobs":null,"finish_reason":"stop"}],"usage":{"prompt_tokens":1297,"completion_tokens":76,"total_tokens":1373,"prompt_tokens_details":{"cached_tokens":0,"audio_tokens":0},"completion_tokens_details":{"reasoning_tokens":0,"audio_tokens":0,"accepted_prediction_tokens":0,"rejected_prediction_tokens":0}},"service_tier":"default","system_fingerprint":"fp_ad66631dec"}</t>
        </is>
      </c>
      <c r="X79" t="inlineStr">
        <is>
          <t>Louis Vuitton：经典LV Initiales深棕色皮革腰带，甄选优质Epi纹理牛皮，搭配标志性金属字母扣头，简约大气又不失奢华质感，男女皆宜，展现现代都市摩登格调，适合日常与商务穿搭。</t>
        </is>
      </c>
    </row>
    <row r="80" ht="25.5" customHeight="1">
      <c r="A80">
        <v>1654975475</v>
      </c>
      <c r="B80">
        <v>7624607860</v>
      </c>
      <c r="C80" s="2" t="str">
        <f>=HYPERLINK("https://weidian.com/item.html?itemID=7624607860", "https://weidian.com/item.html?itemID=7624607860")</f>
        <v>https://weidian.com/item.html?itemID=7624607860</v>
      </c>
      <c r="D80"/>
      <c r="E80" s="2" t="str">
        <f>=HYPERLINK("https://si.geilicdn.com/pcitem2014204438-5bed0000019ad9ec45390a23037f_1440_1920.jpg?w=640&amp;h=640", "https://si.geilicdn.com/pcitem2014204438-5bed0000019ad9ec45390a23037f_1440_1920.jpg?w=640&amp;h=640")</f>
        <v>https://si.geilicdn.com/pcitem2014204438-5bed0000019ad9ec45390a23037f_1440_1920.jpg?w=640&amp;h=640</v>
      </c>
      <c r="F80" t="inlineStr">
        <is>
          <t>Accessories</t>
        </is>
      </c>
      <c r="G80" t="inlineStr">
        <is>
          <t>Louis Vuitton</t>
        </is>
      </c>
      <c r="H80">
        <v>460</v>
      </c>
      <c r="I80">
        <v>66.67</v>
      </c>
      <c r="J80" t="inlineStr">
        <is>
          <t>{"id":"chatcmpl-DZSLZD4ARr9swkBMovBiH1MMfTyMV","object":"chat.completion","created":1777342817,"model":"gpt-5-chat-2025-10-03","choices":[{"index":0,"message":{"role":"assistant","content":"Louis Vuitton Monogram Eclipse Black Leather LV Belt","refusal":null,"annotations":[]},"logprobs":null,"finish_reason":"stop"}],"usage":{"prompt_tokens":861,"completion_tokens":10,"total_tokens":871,"prompt_tokens_details":{"cached_tokens":0,"audio_tokens":0},"completion_tokens_details":{"reasoning_tokens":0,"audio_tokens":0,"accepted_prediction_tokens":0,"rejected_prediction_tokens":0}},"service_tier":"default","system_fingerprint":"fp_ad66631dec"}</t>
        </is>
      </c>
      <c r="K80" t="inlineStr">
        <is>
          <t>Louis Vuitton Monogram Eclipse Black Leather LV Belt</t>
        </is>
      </c>
      <c r="L80" t="inlineStr">
        <is>
          <t>{"id":"chatcmpl-DZRkisMF4jyA2b7SewMC94Jmb355o","object":"chat.completion","created":1777340532,"model":"gpt-5-chat-2025-10-03","choices":[{"index":0,"message":{"role":"assistant","content":"Louis Vuitton Monogram Eclipse black leather belt with gold LV buckle, unisex luxury design combining elegance and modern style, perfect for refined fashion lovers.","refusal":null,"annotations":[]},"logprobs":null,"finish_reason":"stop"}],"usage":{"prompt_tokens":879,"completion_tokens":30,"total_tokens":909,"prompt_tokens_details":{"cached_tokens":0,"audio_tokens":0},"completion_tokens_details":{"reasoning_tokens":0,"audio_tokens":0,"accepted_prediction_tokens":0,"rejected_prediction_tokens":0}},"service_tier":"default","system_fingerprint":"fp_ad66631dec"}</t>
        </is>
      </c>
      <c r="M80" t="inlineStr">
        <is>
          <t>{"alt-svc":"h3=\":443\"; ma=2592000","apim-request-id":"5012d812-ed23-4003-a8c6-ca4984af3019","azureml-model-session":"d20260402074105-51db401e","cache-control":"no-cache","connection":"close","content-length":"972","content-type":"application/json","date":"Tue, 28 Apr 2026 01:42:13 GMT","server":"Caddy","skip-error-remapping":"true","strict-transport-security":"max-age=31536000; includeSubDomains; preload","x-content-type-options":"nosniff","x-ms-client-request-id":"Not-Set","x-ms-is-spilled-over":"false","x-ms-rai-invoked":"false","x-ms-region":"North Central US","x-new-api-version":"0.4.35","x-oneapi-request-id":"202604280142114351798168268d9d6qbfwO1od","x-ratelimit-abusepenalty-active":"False","x-ratelimit-key":"gpt-5-chat-global","x-ratelimit-limit-requests":"1000","x-ratelimit-limit-tokens":"1000000","x-ratelimit-remaining-requests":"999","x-ratelimit-remaining-tokens":"998359","x-ratelimit-renewalperiod-requests":"60","x-ratelimit-renewalperiod-tokens":"60","x-ratelimit-reset-requests":"60","x-ratelimit-reset-tokens":"98","x-request-id":"091c0db6-b0e8-42a9-aa4d-b0340aef1cc5"}</t>
        </is>
      </c>
      <c r="N80" t="inlineStr">
        <is>
          <t>Louis Vuitton Monogram Eclipse black leather belt with gold LV buckle, unisex luxury design combining elegance and modern style, perfect for refined fashion lovers.</t>
        </is>
      </c>
      <c r="O80" t="inlineStr">
        <is>
          <t>{"id":"chatcmpl-DZSZIqHkbPt5jJMW7FEBIuTXG917s","object":"chat.completion","created":1777343668,"model":"gpt-5-chat-2025-10-03","choices":[{"index":0,"message":{"role":"assistant","content":"Louis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80" t="inlineStr">
        <is>
          <t>Louis Vuitton, Belt, kakobuy, kakebuy2026, kekobuysheet, kakobuysheet2026, 2026kakobuy, kakobuyspreadsheeet, kakobuylink, kakebuylist, Kakobuy MEGA Spreadsheet, kakobuysheetfind, kakobuysheetfind2026, 2026kakobuysheetfind, kakobuysheet2026</t>
        </is>
      </c>
      <c r="Q80" t="inlineStr">
        <is>
          <t>LV, Leather, Black, Gold, Elegant, Modern</t>
        </is>
      </c>
      <c r="R80" t="inlineStr">
        <is>
          <t>recvhju1CrhO9F</t>
        </is>
      </c>
      <c r="S80" t="inlineStr">
        <is>
          <t>lv-monogram-eclipse-black-leather-belt-recvhju1crho9f</t>
        </is>
      </c>
      <c r="T80"/>
      <c r="U80"/>
      <c r="V80"/>
      <c r="W80" t="inlineStr">
        <is>
          <t>{"id":"chatcmpl-DZR7zIitFD7gwk9Jl0XSuZMhuXO3V","object":"chat.completion","created":1777338131,"model":"gpt-5-chat-2025-10-03","choices":[{"index":0,"message":{"role":"assistant","content":"Louis Vuitton：Monogram Eclipse黑色皮革LV金属扣腰带，奢华质感，简约设计展现现代风格，男女通用，彰显优雅时尚品位。","refusal":null,"annotations":[]},"logprobs":null,"finish_reason":"stop"}],"usage":{"prompt_tokens":1299,"completion_tokens":46,"total_tokens":1345,"prompt_tokens_details":{"cached_tokens":0,"audio_tokens":0},"completion_tokens_details":{"reasoning_tokens":0,"audio_tokens":0,"accepted_prediction_tokens":0,"rejected_prediction_tokens":0}},"service_tier":"default","system_fingerprint":"fp_ad66631dec"}</t>
        </is>
      </c>
      <c r="X80" t="inlineStr">
        <is>
          <t>Louis Vuitton：Monogram Eclipse黑色皮革LV金属扣腰带，奢华质感，简约设计展现现代风格，男女通用，彰显优雅时尚品位。</t>
        </is>
      </c>
    </row>
    <row r="81" ht="25.5" customHeight="1">
      <c r="A81">
        <v>1654975475</v>
      </c>
      <c r="B81">
        <v>7624598450</v>
      </c>
      <c r="C81" s="2" t="str">
        <f>=HYPERLINK("https://weidian.com/item.html?itemID=7624598450", "https://weidian.com/item.html?itemID=7624598450")</f>
        <v>https://weidian.com/item.html?itemID=7624598450</v>
      </c>
      <c r="D81"/>
      <c r="E81" s="2" t="str">
        <f>=HYPERLINK("https://si.geilicdn.com/pcitem2014204438-5e0d0000019ad9f2bc650a23037f_1512_2016.jpg?w=640&amp;h=640", "https://si.geilicdn.com/pcitem2014204438-5e0d0000019ad9f2bc650a23037f_1512_2016.jpg?w=640&amp;h=640")</f>
        <v>https://si.geilicdn.com/pcitem2014204438-5e0d0000019ad9f2bc650a23037f_1512_2016.jpg?w=640&amp;h=640</v>
      </c>
      <c r="F81" t="inlineStr">
        <is>
          <t>Accessories</t>
        </is>
      </c>
      <c r="G81" t="inlineStr">
        <is>
          <t>Louis Vuitton</t>
        </is>
      </c>
      <c r="H81">
        <v>460</v>
      </c>
      <c r="I81">
        <v>66.67</v>
      </c>
      <c r="J81" t="inlineStr">
        <is>
          <t>{"id":"chatcmpl-DZSHDg0isV283a92Ognij0x5CMn12","object":"chat.completion","created":1777342547,"model":"gpt-5-chat-2025-10-03","choices":[{"index":0,"message":{"role":"assistant","content":"Louis Vuitton Monogram Blue Leather LV Belt","refusal":null,"annotations":[]},"logprobs":null,"finish_reason":"stop"}],"usage":{"prompt_tokens":873,"completion_tokens":9,"total_tokens":882,"prompt_tokens_details":{"cached_tokens":0,"audio_tokens":0},"completion_tokens_details":{"reasoning_tokens":0,"audio_tokens":0,"accepted_prediction_tokens":0,"rejected_prediction_tokens":0}},"service_tier":"default","system_fingerprint":"fp_ad66631dec"}</t>
        </is>
      </c>
      <c r="K81" t="inlineStr">
        <is>
          <t>Louis Vuitton Monogram Blue Leather LV Belt</t>
        </is>
      </c>
      <c r="L81" t="inlineStr">
        <is>
          <t>{"id":"chatcmpl-DZRhx6PPFyWVXW5zEaEbY2WU67XVl","object":"chat.completion","created":1777340361,"model":"gpt-5-chat-2025-10-03","choices":[{"index":0,"message":{"role":"assistant","content":"Louis Vuitton Monogram Blue Belt in black cowhide leather with gold LV buckle, featuring classic flower pattern, minimalist luxury design, unisex style, exuding timeless French elegance.","refusal":null,"annotations":[]},"logprobs":null,"finish_reason":"stop"}],"usage":{"prompt_tokens":886,"completion_tokens":36,"total_tokens":922,"prompt_tokens_details":{"cached_tokens":0,"audio_tokens":0},"completion_tokens_details":{"reasoning_tokens":0,"audio_tokens":0,"accepted_prediction_tokens":0,"rejected_prediction_tokens":0}},"service_tier":"default","system_fingerprint":"fp_ad66631dec"}</t>
        </is>
      </c>
      <c r="M81" t="inlineStr">
        <is>
          <t>{"alt-svc":"h3=\":443\"; ma=2592000","apim-request-id":"0d73eefd-5bc9-4eea-8d40-f7f6de3b58a0","azureml-model-session":"d20260402075109-1fc5a0ec","cache-control":"no-cache","connection":"close","content-length":"994","content-type":"application/json","date":"Tue, 28 Apr 2026 01:39:23 GMT","server":"nginx","skip-error-remapping":"true","strict-transport-security":"max-age=31536000; includeSubDomains; preload","via":"1.1 Caddy","x-content-type-options":"nosniff","x-ms-client-request-id":"Not-Set","x-ms-is-spilled-over":"false","x-ms-rai-invoked":"false","x-ms-region":"Central US","x-new-api-version":"0.4.35","x-oneapi-request-id":"202604280139204450040968268d9d6npULnAtJ","x-ratelimit-abusepenalty-active":"False","x-ratelimit-key":"gpt-5-chat-global","x-ratelimit-limit-requests":"1000","x-ratelimit-limit-tokens":"1000000","x-ratelimit-remaining-requests":"999","x-ratelimit-remaining-tokens":"998352","x-ratelimit-renewalperiod-requests":"60","x-ratelimit-renewalperiod-tokens":"60","x-ratelimit-reset-requests":"60","x-ratelimit-reset-tokens":"98","x-request-id":"924ed106-9c77-4476-bd09-7c47752b2688"}</t>
        </is>
      </c>
      <c r="N81" t="inlineStr">
        <is>
          <t>Louis Vuitton Monogram Blue Belt in black cowhide leather with gold LV buckle, featuring classic flower pattern, minimalist luxury design, unisex style, exuding timeless French elegance.</t>
        </is>
      </c>
      <c r="O81" t="inlineStr">
        <is>
          <t>{"id":"chatcmpl-DZSZ9j2A0c4Qe3w1gUswtQ8f1p7zo","object":"chat.completion","created":1777343659,"model":"gpt-5-chat-2025-10-03","choices":[{"index":0,"message":{"role":"assistant","content":"Louis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81" t="inlineStr">
        <is>
          <t>Louis Vuitton,Accessories,kakobuy,kakebuy2026,kekobuysheet,kakobuysheet2026,2026kakobuy,kakobuyspreadsheeet,kakobuylink,kakebuylist,Kakobuy MEGA Spreadsheet,kakobuysheetfind,kakobuysheetfind2026,2026kakobuysheetfind,kakobuysheet2026</t>
        </is>
      </c>
      <c r="Q81" t="inlineStr">
        <is>
          <t>LV, Black, Cowhide, Cow Leather, Minimalist, Unisex</t>
        </is>
      </c>
      <c r="R81" t="inlineStr">
        <is>
          <t>recvhju1Crmx5m</t>
        </is>
      </c>
      <c r="S81" t="inlineStr">
        <is>
          <t>lv-monogram-blue-leather-belt-recvhju1crmx5m</t>
        </is>
      </c>
      <c r="T81"/>
      <c r="U81"/>
      <c r="V81"/>
      <c r="W81" t="inlineStr">
        <is>
          <t>{"id":"chatcmpl-DZREYAXf0ulneJcDWlgReFiEfB22C","object":"chat.completion","created":1777338538,"model":"gpt-5-chat-2025-10-03","choices":[{"index":0,"message":{"role":"assistant","content":"Louis Vuitton：Monogram Blue 黑色牛皮腰带，金色LV字母扣，经典老花图腾设计，简约奢华风格，男女通用款，彰显法式时尚格调。","refusal":null,"annotations":[]},"logprobs":null,"finish_reason":"stop"}],"usage":{"prompt_tokens":1305,"completion_tokens":50,"total_tokens":1355,"prompt_tokens_details":{"cached_tokens":0,"audio_tokens":0},"completion_tokens_details":{"reasoning_tokens":0,"audio_tokens":0,"accepted_prediction_tokens":0,"rejected_prediction_tokens":0}},"service_tier":"default","system_fingerprint":"fp_ad66631dec"}</t>
        </is>
      </c>
      <c r="X81" t="inlineStr">
        <is>
          <t>Louis Vuitton：Monogram Blue 黑色牛皮腰带，金色LV字母扣，经典老花图腾设计，简约奢华风格，男女通用款，彰显法式时尚格调。</t>
        </is>
      </c>
    </row>
    <row r="82" ht="25.5" customHeight="1">
      <c r="A82">
        <v>1654975475</v>
      </c>
      <c r="B82">
        <v>7624839866</v>
      </c>
      <c r="C82" s="2" t="str">
        <f>=HYPERLINK("https://weidian.com/item.html?itemID=7624839866", "https://weidian.com/item.html?itemID=7624839866")</f>
        <v>https://weidian.com/item.html?itemID=7624839866</v>
      </c>
      <c r="D82"/>
      <c r="E82" s="2" t="str">
        <f>=HYPERLINK("https://si.geilicdn.com/pcitem2014204438-2dbc0000019ada3a41e80a21146b_1512_2016.jpg?w=640&amp;h=640", "https://si.geilicdn.com/pcitem2014204438-2dbc0000019ada3a41e80a21146b_1512_2016.jpg?w=640&amp;h=640")</f>
        <v>https://si.geilicdn.com/pcitem2014204438-2dbc0000019ada3a41e80a21146b_1512_2016.jpg?w=640&amp;h=640</v>
      </c>
      <c r="F82" t="inlineStr">
        <is>
          <t>Accessories</t>
        </is>
      </c>
      <c r="G82" t="inlineStr">
        <is>
          <t>Louis Vuitton</t>
        </is>
      </c>
      <c r="H82">
        <v>460</v>
      </c>
      <c r="I82">
        <v>66.67</v>
      </c>
      <c r="J82" t="inlineStr">
        <is>
          <t>{"id":"chatcmpl-DZSLF9w69JFgWwOy4dWTMjAo9vCAP","object":"chat.completion","created":1777342797,"model":"gpt-5-chat-2025-10-03","choices":[{"index":0,"message":{"role":"assistant","content":"Louis Vuitton Green Monogram Leather Belt Unisex","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82" t="inlineStr">
        <is>
          <t>Louis Vuitton Green Monogram Leather Belt Unisex</t>
        </is>
      </c>
      <c r="L82" t="inlineStr">
        <is>
          <t>{"id":"chatcmpl-DZRedzN6tiiYuQGBGuJHDdC1jKT3v","object":"chat.completion","created":1777340155,"model":"gpt-5-chat-2025-10-03","choices":[{"index":0,"message":{"role":"assistant","content":"Louis Vuitton Monogram Green Leather Belt with LV Logo and Silver Buckle, crafted for men and women. A timeless unisex fashion accessory blending modern elegance with luxury style.","refusal":null,"annotations":[]},"logprobs":null,"finish_reason":"stop"}],"usage":{"prompt_tokens":880,"completion_tokens":35,"total_tokens":915,"prompt_tokens_details":{"cached_tokens":0,"audio_tokens":0},"completion_tokens_details":{"reasoning_tokens":0,"audio_tokens":0,"accepted_prediction_tokens":0,"rejected_prediction_tokens":0}},"service_tier":"default","system_fingerprint":"fp_ad66631dec"}</t>
        </is>
      </c>
      <c r="M82" t="inlineStr">
        <is>
          <t>{"alt-svc":"h3=\":443\"; ma=2592000","apim-request-id":"a1f165e0-47bc-44d0-9834-f649f9756733","azureml-model-session":"d20260402083108-57a85543","cache-control":"no-cache","connection":"close","content-length":"988","content-type":"application/json","date":"Tue, 28 Apr 2026 01:35:56 GMT","server":"nginx","skip-error-remapping":"true","strict-transport-security":"max-age=31536000; includeSubDomains; preload","via":"1.1 Caddy","x-content-type-options":"nosniff","x-ms-client-request-id":"Not-Set","x-ms-is-spilled-over":"false","x-ms-rai-invoked":"false","x-ms-region":"East US","x-new-api-version":"0.4.35","x-oneapi-request-id":"202604280135547843038638268d9d6gej6YtIi","x-ratelimit-abusepenalty-active":"False","x-ratelimit-key":"gpt-5-chat-global","x-ratelimit-limit-requests":"1000","x-ratelimit-limit-tokens":"1000000","x-ratelimit-remaining-requests":"999","x-ratelimit-remaining-tokens":"998358","x-ratelimit-renewalperiod-requests":"60","x-ratelimit-renewalperiod-tokens":"60","x-ratelimit-reset-requests":"60","x-ratelimit-reset-tokens":"98","x-request-id":"6122ae82-0f77-4e1b-8427-5e30ff571e4c"}</t>
        </is>
      </c>
      <c r="N82" t="inlineStr">
        <is>
          <t>Louis Vuitton Monogram Green Leather Belt with LV Logo and Silver Buckle, crafted for men and women. A timeless unisex fashion accessory blending modern elegance with luxury style.</t>
        </is>
      </c>
      <c r="O82" t="inlineStr">
        <is>
          <t>{"id":"chatcmpl-DZSYfagJGbMoyuJ6niP7VvFuInTi4","object":"chat.completion","created":1777343629,"model":"gpt-5-chat-2025-10-03","choices":[{"index":0,"message":{"role":"assistant","content":"Louis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82" t="inlineStr">
        <is>
          <t>Louis Vuitton, Belt, kakobuy, kakebuy2026, kekobuysheet, kakobuysheet2026, 2026kakobuy, kakobuyspreadsheeet, kakobuylink, kakebuylist, Kakobuy MEGA Spreadsheet, kakobuysheetfind, kakobuysheetfind2026, 2026kakobuysheetfind, kakobuysheet2026</t>
        </is>
      </c>
      <c r="Q82" t="inlineStr">
        <is>
          <t>LV, Leather, Unisex, Fashion, Silver, Green</t>
        </is>
      </c>
      <c r="R82" t="inlineStr">
        <is>
          <t>recvhju1CrXX2E</t>
        </is>
      </c>
      <c r="S82" t="inlineStr">
        <is>
          <t>louis-vuitton-green-monogram-leather-belt-recvhju1crxx2e</t>
        </is>
      </c>
      <c r="T82"/>
      <c r="U82"/>
      <c r="V82"/>
      <c r="W82" t="inlineStr">
        <is>
          <t>{"id":"chatcmpl-DZRDnVS4Gvc1N5WIukH48m1mYFwGN","object":"chat.completion","created":1777338491,"model":"gpt-5-chat-2025-10-03","choices":[{"index":0,"message":{"role":"assistant","content":"Louis Vuitton：Monogram系列绿色皮革腰带，采用LV标志图腾设计，亮银扣饰，彰显现代奢华格调，男女皆宜，时尚百搭单品。","refusal":null,"annotations":[]},"logprobs":null,"finish_reason":"stop"}],"usage":{"prompt_tokens":1301,"completion_tokens":46,"total_tokens":1347,"prompt_tokens_details":{"cached_tokens":0,"audio_tokens":0},"completion_tokens_details":{"reasoning_tokens":0,"audio_tokens":0,"accepted_prediction_tokens":0,"rejected_prediction_tokens":0}},"service_tier":"default","system_fingerprint":"fp_ad66631dec"}</t>
        </is>
      </c>
      <c r="X82" t="inlineStr">
        <is>
          <t>Louis Vuitton：Monogram系列绿色皮革腰带，采用LV标志图腾设计，亮银扣饰，彰显现代奢华格调，男女皆宜，时尚百搭单品。</t>
        </is>
      </c>
    </row>
    <row r="83" ht="25.5" customHeight="1">
      <c r="A83">
        <v>1654975475</v>
      </c>
      <c r="B83">
        <v>7624770504</v>
      </c>
      <c r="C83" s="2" t="str">
        <f>=HYPERLINK("https://weidian.com/item.html?itemID=7624770504", "https://weidian.com/item.html?itemID=7624770504")</f>
        <v>https://weidian.com/item.html?itemID=7624770504</v>
      </c>
      <c r="D83"/>
      <c r="E83" s="2" t="str">
        <f>=HYPERLINK("https://si.geilicdn.com/pcitem2014204438-3d260000019ada39e7be0a231316_1512_2016.jpg?w=640&amp;h=640", "https://si.geilicdn.com/pcitem2014204438-3d260000019ada39e7be0a231316_1512_2016.jpg?w=640&amp;h=640")</f>
        <v>https://si.geilicdn.com/pcitem2014204438-3d260000019ada39e7be0a231316_1512_2016.jpg?w=640&amp;h=640</v>
      </c>
      <c r="F83" t="inlineStr">
        <is>
          <t>Accessories</t>
        </is>
      </c>
      <c r="G83" t="inlineStr">
        <is>
          <t>Louis Vuitton</t>
        </is>
      </c>
      <c r="H83">
        <v>460</v>
      </c>
      <c r="I83">
        <v>66.67</v>
      </c>
      <c r="J83" t="inlineStr">
        <is>
          <t>{"id":"chatcmpl-DZSHED06itAjGD0QL7n6X4ssgEXgo","object":"chat.completion","created":1777342548,"model":"gpt-5-chat-2025-10-03","choices":[{"index":0,"message":{"role":"assistant","content":"Louis Vuitton Monogram Red Orange Leather LV Belt","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83" t="inlineStr">
        <is>
          <t>Louis Vuitton Monogram Red Orange Leather LV Belt</t>
        </is>
      </c>
      <c r="L83" t="inlineStr">
        <is>
          <t>{"id":"chatcmpl-DZRfdDmxgmIhGbFq06N9nhKR57qPj","object":"chat.completion","created":1777340217,"model":"gpt-5-chat-2025-10-03","choices":[{"index":0,"message":{"role":"assistant","content":"Louis Vuitton Monogram Red Orange LV Leather Belt, crafted from premium cowhide with iconic floral pattern, sleek LV logo buckle, unisex design exuding modern luxury and timeless fashion elegance.","refusal":null,"annotations":[]},"logprobs":null,"finish_reason":"stop"}],"usage":{"prompt_tokens":882,"completion_tokens":38,"total_tokens":920,"prompt_tokens_details":{"cached_tokens":0,"audio_tokens":0},"completion_tokens_details":{"reasoning_tokens":0,"audio_tokens":0,"accepted_prediction_tokens":0,"rejected_prediction_tokens":0}},"service_tier":"default","system_fingerprint":"fp_ad66631dec"}</t>
        </is>
      </c>
      <c r="M83" t="inlineStr">
        <is>
          <t>{"alt-svc":"h3=\":443\"; ma=2592000","apim-request-id":"f795e9f1-14f4-496e-ab99-ca8fa7531265","azureml-model-session":"d20260405234249-f9874baf","cache-control":"no-cache","connection":"close","content-length":"1004","content-type":"application/json","date":"Tue, 28 Apr 2026 01:36:58 GMT","server":"Caddy","skip-error-remapping":"true","strict-transport-security":"max-age=31536000; includeSubDomains; preload","x-content-type-options":"nosniff","x-ms-client-request-id":"Not-Set","x-ms-is-spilled-over":"false","x-ms-rai-invoked":"false","x-ms-region":"South Central US","x-new-api-version":"0.4.35","x-oneapi-request-id":"202604280136566351074148268d9d61mrzsibS","x-ratelimit-abusepenalty-active":"False","x-ratelimit-key":"gpt-5-chat-global","x-ratelimit-limit-requests":"1000","x-ratelimit-limit-tokens":"1000000","x-ratelimit-remaining-requests":"999","x-ratelimit-remaining-tokens":"998356","x-ratelimit-renewalperiod-requests":"60","x-ratelimit-renewalperiod-tokens":"60","x-ratelimit-reset-requests":"60","x-ratelimit-reset-tokens":"98","x-request-id":"d786a0a3-13e3-414b-a9cd-14673e63965d"}</t>
        </is>
      </c>
      <c r="N83" t="inlineStr">
        <is>
          <t>Louis Vuitton Monogram Red Orange LV Leather Belt, crafted from premium cowhide with iconic floral pattern, sleek LV logo buckle, unisex design exuding modern luxury and timeless fashion elegance.</t>
        </is>
      </c>
      <c r="O83" t="inlineStr">
        <is>
          <t>{"id":"chatcmpl-DZSbndGHyW03EskeqRFa8guTD4y5H","object":"chat.completion","created":1777343823,"model":"gpt-5-chat-2025-10-03","choices":[{"index":0,"message":{"role":"assistant","content":"Louis Vuitton, accessories, kakobuy, kakebuy2026, kekobuysheet, kakobuysheet2026, 2026kakobuy, kakobuyspreadsheet, kakobuylink, kakebuylist, Kakobuy MEGA Spreadsheet, kakobuysheetfind, kakobuysheetfind2026, 2026kakobuysheetfind, 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83" t="inlineStr">
        <is>
          <t>Louis Vuitton, accessories, kakobuy, kakebuy2026, kekobuysheet, kakobuysheet2026, 2026kakobuy, kakobuyspreadsheet, kakobuylink, kakebuylist, Kakobuy MEGA Spreadsheet, kakobuysheetfind, kakobuysheetfind2026, 2026kakobuysheetfind, kakobuysheet2026</t>
        </is>
      </c>
      <c r="Q83" t="inlineStr">
        <is>
          <t>LV, Cowhide, Unisex, Modern, Elegant</t>
        </is>
      </c>
      <c r="R83" t="inlineStr">
        <is>
          <t>recvhju1CrM9A4</t>
        </is>
      </c>
      <c r="S83" t="inlineStr">
        <is>
          <t>louis-vuitton-monogram-red-orange-leather-lv-belt-recvhju1crM9A4</t>
        </is>
      </c>
      <c r="T83"/>
      <c r="U83"/>
      <c r="V83"/>
      <c r="W83" t="inlineStr">
        <is>
          <t>{"id":"chatcmpl-DZR9n0RP7DZTg0e6LoIHHiZElwyO2","object":"chat.completion","created":1777338243,"model":"gpt-5-chat-2025-10-03","choices":[{"index":0,"message":{"role":"assistant","content":"Louis Vuitton：Monogram红橙色LV字母扣皮革腰带，经典老花图腾设计，质感牛皮材质，男女皆宜，彰显现代奢华与时尚格调。","refusal":null,"annotations":[]},"logprobs":null,"finish_reason":"stop"}],"usage":{"prompt_tokens":1299,"completion_tokens":49,"total_tokens":1348,"prompt_tokens_details":{"cached_tokens":0,"audio_tokens":0},"completion_tokens_details":{"reasoning_tokens":0,"audio_tokens":0,"accepted_prediction_tokens":0,"rejected_prediction_tokens":0}},"service_tier":"default","system_fingerprint":"fp_ad66631dec"}</t>
        </is>
      </c>
      <c r="X83" t="inlineStr">
        <is>
          <t>Louis Vuitton：Monogram红橙色LV字母扣皮革腰带，经典老花图腾设计，质感牛皮材质，男女皆宜，彰显现代奢华与时尚格调。</t>
        </is>
      </c>
    </row>
    <row r="84" ht="25.5" customHeight="1">
      <c r="A84">
        <v>1654975475</v>
      </c>
      <c r="B84">
        <v>7621764689</v>
      </c>
      <c r="C84" s="2" t="str">
        <f>=HYPERLINK("https://weidian.com/item.html?itemID=7621764689", "https://weidian.com/item.html?itemID=7621764689")</f>
        <v>https://weidian.com/item.html?itemID=7621764689</v>
      </c>
      <c r="D84"/>
      <c r="E84" s="2" t="str">
        <f>=HYPERLINK("https://si.geilicdn.com/pcitem2014204438-49620000019ada2ee2fb0a2304aa_1080_810.jpg?w=640&amp;h=640", "https://si.geilicdn.com/pcitem2014204438-49620000019ada2ee2fb0a2304aa_1080_810.jpg?w=640&amp;h=640")</f>
        <v>https://si.geilicdn.com/pcitem2014204438-49620000019ada2ee2fb0a2304aa_1080_810.jpg?w=640&amp;h=640</v>
      </c>
      <c r="F84" t="inlineStr">
        <is>
          <t>Accessories</t>
        </is>
      </c>
      <c r="G84" t="inlineStr">
        <is>
          <t>Louis Vuitton</t>
        </is>
      </c>
      <c r="H84">
        <v>520</v>
      </c>
      <c r="I84">
        <v>75.36</v>
      </c>
      <c r="J84" t="inlineStr">
        <is>
          <t>{"id":"chatcmpl-DZSI3xzHlYnaeYObnJySlYlXwEgrC","object":"chat.completion","created":1777342599,"model":"gpt-5-chat-2025-10-03","choices":[{"index":0,"message":{"role":"assistant","content":"Louis Vuitton Men Belt Black Check Leather LV Buckle  ","refusal":null,"annotations":[]},"logprobs":null,"finish_reason":"stop"}],"usage":{"prompt_tokens":591,"completion_tokens":12,"total_tokens":603,"prompt_tokens_details":{"cached_tokens":0,"audio_tokens":0},"completion_tokens_details":{"reasoning_tokens":0,"audio_tokens":0,"accepted_prediction_tokens":0,"rejected_prediction_tokens":0}},"service_tier":"default","system_fingerprint":"fp_ad66631dec"}</t>
        </is>
      </c>
      <c r="K84" t="inlineStr">
        <is>
          <t xml:space="preserve">Louis Vuitton Men Belt Black Check Leather LV Buckle  </t>
        </is>
      </c>
      <c r="L84" t="inlineStr">
        <is>
          <t>{"id":"chatcmpl-DZReNGI489rRm4X8g5Zaa3WS9UJcM","object":"chat.completion","created":1777340139,"model":"gpt-5-chat-2025-10-03","choices":[{"index":0,"message":{"role":"assistant","content":"Louis Vuitton Men’s Belt – Classic black check pattern in premium cowhide leather, featuring signature LV metal buckle for a luxury modern look, perfect for business or casual style.","refusal":null,"annotations":[]},"logprobs":null,"finish_reason":"stop"}],"usage":{"prompt_tokens":607,"completion_tokens":35,"total_tokens":642,"prompt_tokens_details":{"cached_tokens":0,"audio_tokens":0},"completion_tokens_details":{"reasoning_tokens":0,"audio_tokens":0,"accepted_prediction_tokens":0,"rejected_prediction_tokens":0}},"service_tier":"default","system_fingerprint":"fp_ad66631dec"}</t>
        </is>
      </c>
      <c r="M84" t="inlineStr">
        <is>
          <t>{"alt-svc":"h3=\":443\"; ma=2592000","apim-request-id":"7d1cebca-6ca9-4e91-8c0c-e779373a2ad4","azureml-model-session":"d20260402083108-57a85543","cache-control":"no-cache","connection":"close","content-length":"994","content-type":"application/json","date":"Tue, 28 Apr 2026 01:35:40 GMT","server":"nginx","skip-error-remapping":"true","strict-transport-security":"max-age=31536000; includeSubDomains; preload","via":"1.1 Caddy","x-content-type-options":"nosniff","x-ms-client-request-id":"Not-Set","x-ms-is-spilled-over":"false","x-ms-rai-invoked":"false","x-ms-region":"East US 2","x-new-api-version":"0.4.35","x-oneapi-request-id":"202604280135384247396428268d9d6qLUowCxi","x-ratelimit-abusepenalty-active":"False","x-ratelimit-key":"gpt-5-chat-global","x-ratelimit-limit-requests":"1000","x-ratelimit-limit-tokens":"1000000","x-ratelimit-remaining-requests":"999","x-ratelimit-remaining-tokens":"993548","x-ratelimit-renewalperiod-requests":"60","x-ratelimit-renewalperiod-tokens":"60","x-ratelimit-reset-requests":"60","x-ratelimit-reset-tokens":"387","x-request-id":"34ce6dfc-e8f6-412e-9b09-92bc2031adbe"}</t>
        </is>
      </c>
      <c r="N84" t="inlineStr">
        <is>
          <t>Louis Vuitton Men’s Belt – Classic black check pattern in premium cowhide leather, featuring signature LV metal buckle for a luxury modern look, perfect for business or casual style.</t>
        </is>
      </c>
      <c r="O84" t="inlineStr">
        <is>
          <t>{"id":"chatcmpl-DZSY4X2zHdNcjz3aSARqyGHfGGEm0","object":"chat.completion","created":1777343592,"model":"gpt-5-chat-2025-10-03","choices":[{"index":0,"message":{"role":"assistant","content":"Louis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502,"completion_tokens":91,"total_tokens":593,"prompt_tokens_details":{"cached_tokens":0,"audio_tokens":0},"completion_tokens_details":{"reasoning_tokens":0,"audio_tokens":0,"accepted_prediction_tokens":0,"rejected_prediction_tokens":0}},"service_tier":"default","system_fingerprint":"fp_ad66631dec"}</t>
        </is>
      </c>
      <c r="P84" t="inlineStr">
        <is>
          <t>Louis Vuitton, Accessories, kakobuy, kakebuy2026, kekobuysheet, kakobuysheet2026, 2026kakobuy, kakobuyspreadsheeet, kakobuylink, kakebuylist, Kakobuy MEGA Spreadsheet, kakobuysheetfind, kakobuysheetfind2026, 2026kakobuysheetfind, kakobuysheet2026</t>
        </is>
      </c>
      <c r="Q84" t="inlineStr">
        <is>
          <t>LV, Cowhide, Classic, Black, Business, Men</t>
        </is>
      </c>
      <c r="R84" t="inlineStr">
        <is>
          <t>recvhju1CrCdUc</t>
        </is>
      </c>
      <c r="S84" t="inlineStr">
        <is>
          <t>louis-vuitton-men-belt-black-check-leather-lv-buckle-recvhju1crcduc</t>
        </is>
      </c>
      <c r="T84"/>
      <c r="U84"/>
      <c r="V84"/>
      <c r="W84" t="inlineStr">
        <is>
          <t>{"id":"chatcmpl-DZRCmC4rWIvPqbmpsUncHakCu1fzZ","object":"chat.completion","created":1777338428,"model":"gpt-5-chat-2025-10-03","choices":[{"index":0,"message":{"role":"assistant","content":"Louis Vuitton：经典黑调格纹男士皮带，采用优质牛皮打造，LV金属扣设计彰显奢华格调，融合现代简约与商务休闲风格，精致工艺尽显品牌魅力。","refusal":null,"annotations":[]},"logprobs":null,"finish_reason":"stop"}],"usage":{"prompt_tokens":1017,"completion_tokens":55,"total_tokens":1072,"prompt_tokens_details":{"cached_tokens":0,"audio_tokens":0},"completion_tokens_details":{"reasoning_tokens":0,"audio_tokens":0,"accepted_prediction_tokens":0,"rejected_prediction_tokens":0}},"service_tier":"default","system_fingerprint":"fp_ad66631dec"}</t>
        </is>
      </c>
      <c r="X84" t="inlineStr">
        <is>
          <t>Louis Vuitton：经典黑调格纹男士皮带，采用优质牛皮打造，LV金属扣设计彰显奢华格调，融合现代简约与商务休闲风格，精致工艺尽显品牌魅力。</t>
        </is>
      </c>
    </row>
    <row r="85" ht="25.5" customHeight="1">
      <c r="A85">
        <v>1654975475</v>
      </c>
      <c r="B85">
        <v>7621757309</v>
      </c>
      <c r="C85" s="2" t="str">
        <f>=HYPERLINK("https://weidian.com/item.html?itemID=7621757309", "https://weidian.com/item.html?itemID=7621757309")</f>
        <v>https://weidian.com/item.html?itemID=7621757309</v>
      </c>
      <c r="D85"/>
      <c r="E85" s="2" t="str">
        <f>=HYPERLINK("https://si.geilicdn.com/pcitem2014204438-67810000019ada3f7c540a239646_1440_1920.jpg?w=640&amp;h=640", "https://si.geilicdn.com/pcitem2014204438-67810000019ada3f7c540a239646_1440_1920.jpg?w=640&amp;h=640")</f>
        <v>https://si.geilicdn.com/pcitem2014204438-67810000019ada3f7c540a239646_1440_1920.jpg?w=640&amp;h=640</v>
      </c>
      <c r="F85" t="inlineStr">
        <is>
          <t>Accessories</t>
        </is>
      </c>
      <c r="G85" t="inlineStr">
        <is>
          <t>Versace</t>
        </is>
      </c>
      <c r="H85">
        <v>460</v>
      </c>
      <c r="I85">
        <v>66.67</v>
      </c>
      <c r="J85" t="inlineStr">
        <is>
          <t>{"id":"chatcmpl-DZSK4iyPWRd2qTpWwqmRKL7dmzK2Z","object":"chat.completion","created":1777342724,"model":"gpt-5-chat-2025-10-03","choices":[{"index":0,"message":{"role":"assistant","content":"Versace Black Leather Belt Medusa Buckle Greek Key","refusal":null,"annotations":[]},"logprobs":null,"finish_reason":"stop"}],"usage":{"prompt_tokens":871,"completion_tokens":12,"total_tokens":883,"prompt_tokens_details":{"cached_tokens":0,"audio_tokens":0},"completion_tokens_details":{"reasoning_tokens":0,"audio_tokens":0,"accepted_prediction_tokens":0,"rejected_prediction_tokens":0}},"service_tier":"default","system_fingerprint":"fp_ad66631dec"}</t>
        </is>
      </c>
      <c r="K85" t="inlineStr">
        <is>
          <t>Versace Black Leather Belt Medusa Buckle Greek Key</t>
        </is>
      </c>
      <c r="L85" t="inlineStr">
        <is>
          <t>{"id":"chatcmpl-DZRh2mCX1ze3EHisqfP17mEfpI9y8","object":"chat.completion","created":1777340304,"model":"gpt-5-chat-2025-10-03","choices":[{"index":0,"message":{"role":"assistant","content":"Versace Black Leather Belt with 3D Medusa Metal Buckle and Greek Key Embossed Pattern, Unisex Luxury Italian Design for Modern High-End Fashion Style.","refusal":null,"annotations":[]},"logprobs":null,"finish_reason":"stop"}],"usage":{"prompt_tokens":890,"completion_tokens":35,"total_tokens":925,"prompt_tokens_details":{"cached_tokens":0,"audio_tokens":0},"completion_tokens_details":{"reasoning_tokens":0,"audio_tokens":0,"accepted_prediction_tokens":0,"rejected_prediction_tokens":0}},"service_tier":"default","system_fingerprint":"fp_ad66631dec"}</t>
        </is>
      </c>
      <c r="M85" t="inlineStr">
        <is>
          <t>{"alt-svc":"h3=\":443\"; ma=2592000","apim-request-id":"191a400e-0f1d-403a-968c-9d09902c2a2d","azureml-model-session":"d20260402075109-1fc5a0ec","cache-control":"no-cache","connection":"close","content-length":"958","content-type":"application/json","date":"Tue, 28 Apr 2026 01:38:26 GMT","server":"nginx","skip-error-remapping":"true","strict-transport-security":"max-age=31536000; includeSubDomains; preload","via":"1.1 Caddy","x-content-type-options":"nosniff","x-ms-client-request-id":"Not-Set","x-ms-is-spilled-over":"false","x-ms-rai-invoked":"false","x-ms-region":"East US","x-new-api-version":"0.4.35","x-oneapi-request-id":"202604280138238199635268268d9d61r8wnWXs","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b5b0a6fe-de9e-40d2-b249-a10b8f26ba3f"}</t>
        </is>
      </c>
      <c r="N85" t="inlineStr">
        <is>
          <t>Versace Black Leather Belt with 3D Medusa Metal Buckle and Greek Key Embossed Pattern, Unisex Luxury Italian Design for Modern High-End Fashion Style.</t>
        </is>
      </c>
      <c r="O85" t="inlineStr">
        <is>
          <t>{"id":"chatcmpl-DZSVoZpNd7uIX0BrDHJdDRsa9Tlby","object":"chat.completion","created":1777343452,"model":"gpt-5-chat-2025-10-03","choices":[{"index":0,"message":{"role":"assistant","content":"Versace,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85" t="inlineStr">
        <is>
          <t>Versace, Belt, kakobuy, kakebuy2026, kekobuysheet, kakobuysheet2026, 2026kakobuy, kakobuyspreadsheeet, kakobuylink, kakebuylist, Kakobuy MEGA Spreadsheet, kakobuysheetfind, kakobuysheetfind2026, 2026kakobuysheetfind, kakobuysheet2026</t>
        </is>
      </c>
      <c r="Q85"/>
      <c r="R85" t="inlineStr">
        <is>
          <t>recvhju1CrkMUV</t>
        </is>
      </c>
      <c r="S85" t="inlineStr">
        <is>
          <t>versace-black-leather-belt-medusa-buckle-greek-key-recvhju1crkmuv</t>
        </is>
      </c>
      <c r="T85"/>
      <c r="U85"/>
      <c r="V85"/>
      <c r="W85" t="inlineStr">
        <is>
          <t>{"id":"chatcmpl-DZRBUhuoebgVOAY6w1LHQWjPGD6CN","object":"chat.completion","created":1777338348,"model":"gpt-5-chat-2025-10-03","choices":[{"index":0,"message":{"role":"assistant","content":"Versace：经典黑色真皮腰带，饰以立体美杜莎金属扣头与希腊几何图腾压纹，彰显豪华意式设计与现代质感，男女皆宜，打造高端时尚风格。","refusal":null,"annotations":[]},"logprobs":null,"finish_reason":"stop"}],"usage":{"prompt_tokens":1297,"completion_tokens":58,"total_tokens":1355,"prompt_tokens_details":{"cached_tokens":0,"audio_tokens":0},"completion_tokens_details":{"reasoning_tokens":0,"audio_tokens":0,"accepted_prediction_tokens":0,"rejected_prediction_tokens":0}},"service_tier":"default","system_fingerprint":"fp_ad66631dec"}</t>
        </is>
      </c>
      <c r="X85" t="inlineStr">
        <is>
          <t>Versace：经典黑色真皮腰带，饰以立体美杜莎金属扣头与希腊几何图腾压纹，彰显豪华意式设计与现代质感，男女皆宜，打造高端时尚风格。</t>
        </is>
      </c>
    </row>
    <row r="86" ht="25.5" customHeight="1">
      <c r="A86">
        <v>1654975475</v>
      </c>
      <c r="B86">
        <v>7624565656</v>
      </c>
      <c r="C86" s="2" t="str">
        <f>=HYPERLINK("https://weidian.com/item.html?itemID=7624565656", "https://weidian.com/item.html?itemID=7624565656")</f>
        <v>https://weidian.com/item.html?itemID=7624565656</v>
      </c>
      <c r="D86"/>
      <c r="E86" s="2" t="str">
        <f>=HYPERLINK("https://si.geilicdn.com/pcitem2014204438-43570000019ad9d674ed0a231177_1512_2016.jpg?w=640&amp;h=640", "https://si.geilicdn.com/pcitem2014204438-43570000019ad9d674ed0a231177_1512_2016.jpg?w=640&amp;h=640")</f>
        <v>https://si.geilicdn.com/pcitem2014204438-43570000019ad9d674ed0a231177_1512_2016.jpg?w=640&amp;h=640</v>
      </c>
      <c r="F86" t="inlineStr">
        <is>
          <t>Accessories</t>
        </is>
      </c>
      <c r="G86" t="inlineStr">
        <is>
          <t>Coach</t>
        </is>
      </c>
      <c r="H86">
        <v>460</v>
      </c>
      <c r="I86">
        <v>66.67</v>
      </c>
      <c r="J86" t="inlineStr">
        <is>
          <t>{"id":"chatcmpl-DZSKtWEc74TDIfgoRNGqpHrGR1EUp","object":"chat.completion","created":1777342775,"model":"gpt-5-chat-2025-10-03","choices":[{"index":0,"message":{"role":"assistant","content":"Coach Men’s Dark Blue Leather Belt Silver Buckle","refusal":null,"annotations":[]},"logprobs":null,"finish_reason":"stop"}],"usage":{"prompt_tokens":868,"completion_tokens":11,"total_tokens":879,"prompt_tokens_details":{"cached_tokens":0,"audio_tokens":0},"completion_tokens_details":{"reasoning_tokens":0,"audio_tokens":0,"accepted_prediction_tokens":0,"rejected_prediction_tokens":0}},"service_tier":"default","system_fingerprint":"fp_ad66631dec"}</t>
        </is>
      </c>
      <c r="K86" t="inlineStr">
        <is>
          <t>Coach Men’s Dark Blue Leather Belt Silver Buckle</t>
        </is>
      </c>
      <c r="L86" t="inlineStr">
        <is>
          <t>{"id":"chatcmpl-DZRkpMGLhMqanpVEgAhyhiNkgQeeE","object":"chat.completion","created":1777340539,"model":"gpt-5-chat-2025-10-03","choices":[{"index":0,"message":{"role":"assistant","content":"Coach Men’s Dark Blue Leather Belt with Signature Embossed Pattern and Silver Buckle, sleek business style for modern gentlemen, perfect for daily wear or formal attire.","refusal":null,"annotations":[]},"logprobs":null,"finish_reason":"stop"}],"usage":{"prompt_tokens":895,"completion_tokens":34,"total_tokens":929,"prompt_tokens_details":{"cached_tokens":0,"audio_tokens":0},"completion_tokens_details":{"reasoning_tokens":0,"audio_tokens":0,"accepted_prediction_tokens":0,"rejected_prediction_tokens":0}},"service_tier":"default","system_fingerprint":"fp_ad66631dec"}</t>
        </is>
      </c>
      <c r="M86" t="inlineStr">
        <is>
          <t>{"alt-svc":"h3=\":443\"; ma=2592000","apim-request-id":"9bb509d2-99ab-402e-9d3a-60ef84f10385","azureml-model-session":"d20260402074105-51db401e","cache-control":"no-cache","connection":"close","content-length":"979","content-type":"application/json","date":"Tue, 28 Apr 2026 01:42:20 GMT","server":"Caddy","skip-error-remapping":"true","strict-transport-security":"max-age=31536000; includeSubDomains; preload","x-content-type-options":"nosniff","x-ms-client-request-id":"Not-Set","x-ms-is-spilled-over":"false","x-ms-rai-invoked":"false","x-ms-region":"Poland Central","x-new-api-version":"0.4.35","x-oneapi-request-id":"202604280142183362659138268d9d6eI3v4OL0","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c9870010-8f32-424f-a838-bc7cc8f1b0e1"}</t>
        </is>
      </c>
      <c r="N86" t="inlineStr">
        <is>
          <t>Coach Men’s Dark Blue Leather Belt with Signature Embossed Pattern and Silver Buckle, sleek business style for modern gentlemen, perfect for daily wear or formal attire.</t>
        </is>
      </c>
      <c r="O86" t="inlineStr">
        <is>
          <t>{"id":"chatcmpl-DZSV4VDaNd56fpVaxWxSXyC6L1nXf","object":"chat.completion","created":1777343406,"model":"gpt-5-chat-2025-10-03","choices":[{"index":0,"message":{"role":"assistant","content":"Coach,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86" t="inlineStr">
        <is>
          <t>Coach,Belt,kakobuy,kakebuy2026,kekobuysheet,kakobuysheet2026,2026kakobuy,kakobuyspreadsheeet,kakobuylink,kakebuylist,Kakobuy MEGA Spreadsheet,kakobuysheetfind,kakobuysheetfind2026,2026kakobuysheetfind,kakobuysheet2026</t>
        </is>
      </c>
      <c r="Q86" t="inlineStr">
        <is>
          <t>Dark Blue, Leather, Business, Sleek, Men</t>
        </is>
      </c>
      <c r="R86" t="inlineStr">
        <is>
          <t>recvhju1CrKkkW</t>
        </is>
      </c>
      <c r="S86" t="inlineStr">
        <is>
          <t>coach-dark-blue-leather-belt-silver-buckle-recvhju1crkkwk</t>
        </is>
      </c>
      <c r="T86"/>
      <c r="U86"/>
      <c r="V86"/>
      <c r="W86" t="inlineStr">
        <is>
          <t>{"id":"chatcmpl-DZRB4PbpCpLoB5jKPIwWLjhiZ2Mr7","object":"chat.completion","created":1777338322,"model":"gpt-5-chat-2025-10-03","choices":[{"index":0,"message":{"role":"assistant","content":"Coach：男士深蓝色皮革腰带，采用Signature凹纹图案设计，搭配银色金属扣头，展现都市商务风格，简约大气又不失精致品味，适合现代绅士日常与正装穿搭。","refusal":null,"annotations":[]},"logprobs":null,"finish_reason":"stop"}],"usage":{"prompt_tokens":1295,"completion_tokens":64,"total_tokens":1359,"prompt_tokens_details":{"cached_tokens":0,"audio_tokens":0},"completion_tokens_details":{"reasoning_tokens":0,"audio_tokens":0,"accepted_prediction_tokens":0,"rejected_prediction_tokens":0}},"service_tier":"default","system_fingerprint":"fp_ad66631dec"}</t>
        </is>
      </c>
      <c r="X86" t="inlineStr">
        <is>
          <t>Coach：男士深蓝色皮革腰带，采用Signature凹纹图案设计，搭配银色金属扣头，展现都市商务风格，简约大气又不失精致品味，适合现代绅士日常与正装穿搭。</t>
        </is>
      </c>
    </row>
    <row r="87" ht="25.5" customHeight="1">
      <c r="A87">
        <v>1654975475</v>
      </c>
      <c r="B87">
        <v>7621541989</v>
      </c>
      <c r="C87" s="2" t="str">
        <f>=HYPERLINK("https://weidian.com/item.html?itemID=7621541989", "https://weidian.com/item.html?itemID=7621541989")</f>
        <v>https://weidian.com/item.html?itemID=7621541989</v>
      </c>
      <c r="D87"/>
      <c r="E87" s="2" t="str">
        <f>=HYPERLINK("https://si.geilicdn.com/pcitem2014204438-43c20000019ad9d6e6930a239646_1536_2048.jpg?w=640&amp;h=640", "https://si.geilicdn.com/pcitem2014204438-43c20000019ad9d6e6930a239646_1536_2048.jpg?w=640&amp;h=640")</f>
        <v>https://si.geilicdn.com/pcitem2014204438-43c20000019ad9d6e6930a239646_1536_2048.jpg?w=640&amp;h=640</v>
      </c>
      <c r="F87" t="inlineStr">
        <is>
          <t>Accessories</t>
        </is>
      </c>
      <c r="G87" t="inlineStr">
        <is>
          <t>Fendi</t>
        </is>
      </c>
      <c r="H87">
        <v>460</v>
      </c>
      <c r="I87">
        <v>66.67</v>
      </c>
      <c r="J87" t="inlineStr">
        <is>
          <t>{"id":"chatcmpl-DZSJ7WkhxN0PNe6mkeLJIvo5LqKcs","object":"chat.completion","created":1777342665,"model":"gpt-5-chat-2025-10-03","choices":[{"index":0,"message":{"role":"assistant","content":"Fendi Men Black Leather Belt Silver FF Buckle","refusal":null,"annotations":[]},"logprobs":null,"finish_reason":"stop"}],"usage":{"prompt_tokens":869,"completion_tokens":11,"total_tokens":880,"prompt_tokens_details":{"cached_tokens":0,"audio_tokens":0},"completion_tokens_details":{"reasoning_tokens":0,"audio_tokens":0,"accepted_prediction_tokens":0,"rejected_prediction_tokens":0}},"service_tier":"default","system_fingerprint":"fp_ad66631dec"}</t>
        </is>
      </c>
      <c r="K87" t="inlineStr">
        <is>
          <t>Fendi Men Black Leather Belt Silver FF Buckle</t>
        </is>
      </c>
      <c r="L87" t="inlineStr">
        <is>
          <t>{"id":"chatcmpl-DZRcYPTWojAOLhm6AWMDTg86DcVpI","object":"chat.completion","created":1777340026,"model":"gpt-5-chat-2025-10-03","choices":[{"index":0,"message":{"role":"assistant","content":"Fendi Men’s Classic Black Leather Belt, premium genuine leather with silver Double F buckle, modern Italian elegance, perfect for business or casual style, refined luxury accessory.","refusal":null,"annotations":[]},"logprobs":null,"finish_reason":"stop"}],"usage":{"prompt_tokens":902,"completion_tokens":34,"total_tokens":936,"prompt_tokens_details":{"cached_tokens":0,"audio_tokens":0},"completion_tokens_details":{"reasoning_tokens":0,"audio_tokens":0,"accepted_prediction_tokens":0,"rejected_prediction_tokens":0}},"service_tier":"default","system_fingerprint":"fp_ad66631dec"}</t>
        </is>
      </c>
      <c r="M87" t="inlineStr">
        <is>
          <t>{"alt-svc":"h3=\":443\"; ma=2592000","apim-request-id":"20a38d22-ec4d-493c-9a49-916497436a07","azureml-model-session":"d20260405221325-2e8d5e76","cache-control":"no-cache","connection":"close","content-length":"991","content-type":"application/json","date":"Tue, 28 Apr 2026 01:33:47 GMT","server":"Caddy","skip-error-remapping":"true","strict-transport-security":"max-age=31536000; includeSubDomains; preload","x-content-type-options":"nosniff","x-ms-client-request-id":"Not-Set","x-ms-is-spilled-over":"false","x-ms-rai-invoked":"false","x-ms-region":"East US 2","x-new-api-version":"0.4.35","x-oneapi-request-id":"202604280133456540068268268d9d6YcB8IdBj","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95824706-5eed-43ef-b7dc-52eaea8c4785"}</t>
        </is>
      </c>
      <c r="N87" t="inlineStr">
        <is>
          <t>Fendi Men’s Classic Black Leather Belt, premium genuine leather with silver Double F buckle, modern Italian elegance, perfect for business or casual style, refined luxury accessory.</t>
        </is>
      </c>
      <c r="O87" t="inlineStr">
        <is>
          <t>{"id":"chatcmpl-DZSVokyVFeKn306J3syc1udAUU2sl","object":"chat.completion","created":1777343452,"model":"gpt-5-chat-2025-10-03","choices":[{"index":0,"message":{"role":"assistant","content":"Fendi,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87" t="inlineStr">
        <is>
          <t>Fendi, Belt, kakobuy, kakebuy2026, kekobuysheet, kakobuysheet2026, 2026kakobuy, kakobuyspreadsheeet, kakobuylink, kakebuylist, Kakobuy MEGA Spreadsheet, kakobuysheetfind, kakobuysheetfind2026, 2026kakobuysheetfind, kakobuysheet2026</t>
        </is>
      </c>
      <c r="Q87" t="inlineStr">
        <is>
          <t>Leather, Black, Business, Men, Genuine Leather</t>
        </is>
      </c>
      <c r="R87" t="inlineStr">
        <is>
          <t>recvhju1CrgVqB</t>
        </is>
      </c>
      <c r="S87" t="inlineStr">
        <is>
          <t>fendi-black-leather-belt-silver-ff-buckle-recvhju1crgvqb</t>
        </is>
      </c>
      <c r="T87"/>
      <c r="U87"/>
      <c r="V87"/>
      <c r="W87" t="inlineStr">
        <is>
          <t>{"id":"chatcmpl-DZREdVqXfOzoCWHLdgVeDavhFZZbt","object":"chat.completion","created":1777338543,"model":"gpt-5-chat-2025-10-03","choices":[{"index":0,"message":{"role":"assistant","content":"Fendi：经典黑色皮质男士腰带，甄选优质真皮材质，银色双F标志金属扣彰显品牌质感，简约现代设计融合意式优雅风格，百搭商务与休闲造型，尽显奢华格调。","refusal":null,"annotations":[]},"logprobs":null,"finish_reason":"stop"}],"usage":{"prompt_tokens":1301,"completion_tokens":68,"total_tokens":1369,"prompt_tokens_details":{"cached_tokens":0,"audio_tokens":0},"completion_tokens_details":{"reasoning_tokens":0,"audio_tokens":0,"accepted_prediction_tokens":0,"rejected_prediction_tokens":0}},"service_tier":"default","system_fingerprint":"fp_ad66631dec"}</t>
        </is>
      </c>
      <c r="X87" t="inlineStr">
        <is>
          <t>Fendi：经典黑色皮质男士腰带，甄选优质真皮材质，银色双F标志金属扣彰显品牌质感，简约现代设计融合意式优雅风格，百搭商务与休闲造型，尽显奢华格调。</t>
        </is>
      </c>
    </row>
    <row r="88" ht="25.5" customHeight="1">
      <c r="A88">
        <v>1654975475</v>
      </c>
      <c r="B88">
        <v>7621629949</v>
      </c>
      <c r="C88" s="2" t="str">
        <f>=HYPERLINK("https://weidian.com/item.html?itemID=7621629949", "https://weidian.com/item.html?itemID=7621629949")</f>
        <v>https://weidian.com/item.html?itemID=7621629949</v>
      </c>
      <c r="D88"/>
      <c r="E88" s="2" t="str">
        <f>=HYPERLINK("https://si.geilicdn.com/pcitem2014204438-4e650000019ad9edba970a239846_1442_1922.jpg?w=640&amp;h=640", "https://si.geilicdn.com/pcitem2014204438-4e650000019ad9edba970a239846_1442_1922.jpg?w=640&amp;h=640")</f>
        <v>https://si.geilicdn.com/pcitem2014204438-4e650000019ad9edba970a239846_1442_1922.jpg?w=640&amp;h=640</v>
      </c>
      <c r="F88" t="inlineStr">
        <is>
          <t>Accessories</t>
        </is>
      </c>
      <c r="G88" t="inlineStr">
        <is>
          <t>Gucci</t>
        </is>
      </c>
      <c r="H88">
        <v>460</v>
      </c>
      <c r="I88">
        <v>66.67</v>
      </c>
      <c r="J88" t="inlineStr">
        <is>
          <t>{"id":"chatcmpl-DZSMefM4adkObp1E2gv2tszvdcyQy","object":"chat.completion","created":1777342884,"model":"gpt-5-chat-2025-10-03","choices":[{"index":0,"message":{"role":"assistant","content":"Gucci GG Supreme Off White Leather Belt Gold Buckle","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88" t="inlineStr">
        <is>
          <t>Gucci GG Supreme Off White Leather Belt Gold Buckle</t>
        </is>
      </c>
      <c r="L88" t="inlineStr">
        <is>
          <t>{"id":"chatcmpl-DZRejUa4caIBlD94sqLUxxIDJUtyG","object":"chat.completion","created":1777340161,"model":"gpt-5-chat-2025-10-03","choices":[{"index":0,"message":{"role":"assistant","content":"Gucci GG Supreme Off-White Leather Belt with Gold and Black Double G Buckle, crafted from premium cowhide, unisex design blending vintage charm and modern elegance for timeless luxury style.","refusal":null,"annotations":[]},"logprobs":null,"finish_reason":"stop"}],"usage":{"prompt_tokens":894,"completion_tokens":39,"total_tokens":933,"prompt_tokens_details":{"cached_tokens":0,"audio_tokens":0},"completion_tokens_details":{"reasoning_tokens":0,"audio_tokens":0,"accepted_prediction_tokens":0,"rejected_prediction_tokens":0}},"service_tier":"default","system_fingerprint":"fp_ad66631dec"}</t>
        </is>
      </c>
      <c r="M88" t="inlineStr">
        <is>
          <t>{"alt-svc":"h3=\":443\"; ma=2592000","apim-request-id":"9c6dcf56-25b4-4287-8898-b3675c1f341c","azureml-model-session":"d20260402084046-4209e968","cache-control":"no-cache","connection":"close","content-length":"998","content-type":"application/json","date":"Tue, 28 Apr 2026 01:36:02 GMT","server":"Caddy","skip-error-remapping":"true","strict-transport-security":"max-age=31536000; includeSubDomains; preload","x-content-type-options":"nosniff","x-ms-client-request-id":"Not-Set","x-ms-is-spilled-over":"false","x-ms-rai-invoked":"false","x-ms-region":"South Central US","x-new-api-version":"0.4.35","x-oneapi-request-id":"202604280135598373983388268d9d6tklAQYrB","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5bf29062-1c56-47fd-a0db-575180f73aa7"}</t>
        </is>
      </c>
      <c r="N88" t="inlineStr">
        <is>
          <t>Gucci GG Supreme Off-White Leather Belt with Gold and Black Double G Buckle, crafted from premium cowhide, unisex design blending vintage charm and modern elegance for timeless luxury style.</t>
        </is>
      </c>
      <c r="O88" t="inlineStr">
        <is>
          <t>{"id":"chatcmpl-DZSX6Dy7LuUhxnSDLXwgT5Z8Pf9is","object":"chat.completion","created":1777343532,"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88" t="inlineStr">
        <is>
          <t>Gucci,Accessories,kakobuy,kakebuy2026,kekobuysheet,kakobuysheet2026,2026kakobuy,kakobuyspreadsheeet,kakobuylink,kakebuylist,Kakobuy MEGA Spreadsheet,kakobuysheetfind,kakobuysheetfind2026,2026kakobuysheetfind,kakobuysheet2026</t>
        </is>
      </c>
      <c r="Q88" t="inlineStr">
        <is>
          <t>Unisex, Vintage, Elegant, Cowhide, Gold</t>
        </is>
      </c>
      <c r="R88" t="inlineStr">
        <is>
          <t>recvhju1CrDf5X</t>
        </is>
      </c>
      <c r="S88" t="inlineStr">
        <is>
          <t>gucci-gg-supreme-off-white-leather-belt-gold-buckle-recvhju1crdf5x</t>
        </is>
      </c>
      <c r="T88"/>
      <c r="U88"/>
      <c r="V88"/>
      <c r="W88" t="inlineStr">
        <is>
          <t>{"id":"chatcmpl-DZR87ZJFsSD9vCSPiZoxAiOPF3TfW","object":"chat.completion","created":1777338139,"model":"gpt-5-chat-2025-10-03","choices":[{"index":0,"message":{"role":"assistant","content":"Gucci：GG Supreme米白色皮革腰带，饰以金黑双层Logo圆形扣环，采用奢华牛皮材质精制，复古简约风格设计，男女通用，彰显品牌经典质感与现代优雅魅力。","refusal":null,"annotations":[]},"logprobs":null,"finish_reason":"stop"}],"usage":{"prompt_tokens":1297,"completion_tokens":62,"total_tokens":1359,"prompt_tokens_details":{"cached_tokens":0,"audio_tokens":0},"completion_tokens_details":{"reasoning_tokens":0,"audio_tokens":0,"accepted_prediction_tokens":0,"rejected_prediction_tokens":0}},"service_tier":"default","system_fingerprint":"fp_ad66631dec"}</t>
        </is>
      </c>
      <c r="X88" t="inlineStr">
        <is>
          <t>Gucci：GG Supreme米白色皮革腰带，饰以金黑双层Logo圆形扣环，采用奢华牛皮材质精制，复古简约风格设计，男女通用，彰显品牌经典质感与现代优雅魅力。</t>
        </is>
      </c>
    </row>
    <row r="89" ht="25.5" customHeight="1">
      <c r="A89">
        <v>1654975475</v>
      </c>
      <c r="B89">
        <v>7620680341</v>
      </c>
      <c r="C89" s="2" t="str">
        <f>=HYPERLINK("https://weidian.com/item.html?itemID=7620680341", "https://weidian.com/item.html?itemID=7620680341")</f>
        <v>https://weidian.com/item.html?itemID=7620680341</v>
      </c>
      <c r="D89"/>
      <c r="E89" s="2" t="str">
        <f>=HYPERLINK("https://si.geilicdn.com/pcitem2014204438-4f0c0000019ad9eb79dc0a20e7c7_1512_2016.jpg?w=640&amp;h=640", "https://si.geilicdn.com/pcitem2014204438-4f0c0000019ad9eb79dc0a20e7c7_1512_2016.jpg?w=640&amp;h=640")</f>
        <v>https://si.geilicdn.com/pcitem2014204438-4f0c0000019ad9eb79dc0a20e7c7_1512_2016.jpg?w=640&amp;h=640</v>
      </c>
      <c r="F89" t="inlineStr">
        <is>
          <t>Accessories</t>
        </is>
      </c>
      <c r="G89" t="inlineStr">
        <is>
          <t>Louis Vuitton</t>
        </is>
      </c>
      <c r="H89">
        <v>460</v>
      </c>
      <c r="I89">
        <v>66.67</v>
      </c>
      <c r="J89" t="inlineStr">
        <is>
          <t>{"id":"chatcmpl-DZSLm6ycIyv2c9xZeHvKB39Zw5QHY","object":"chat.completion","created":1777342830,"model":"gpt-5-chat-2025-10-03","choices":[{"index":0,"message":{"role":"assistant","content":"Louis Vuitton Brown Leather Men Belt with Black V Buckle","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is>
      </c>
      <c r="K89" t="inlineStr">
        <is>
          <t>Louis Vuitton Brown Leather Men Belt with Black V Buckle</t>
        </is>
      </c>
      <c r="L89" t="inlineStr">
        <is>
          <t>{"id":"chatcmpl-DZRcXfwIM5Wnce8grpfjiFaJI8qKR","object":"chat.completion","created":1777340025,"model":"gpt-5-chat-2025-10-03","choices":[{"index":0,"message":{"role":"assistant","content":"Louis Vuitton classic brown men’s belt crafted from grained leather, featuring sleek black metal V buckle for a modern luxury look, perfect for business or casual wear.","refusal":null,"annotations":[]},"logprobs":null,"finish_reason":"stop"}],"usage":{"prompt_tokens":894,"completion_tokens":33,"total_tokens":927,"prompt_tokens_details":{"cached_tokens":0,"audio_tokens":0},"completion_tokens_details":{"reasoning_tokens":0,"audio_tokens":0,"accepted_prediction_tokens":0,"rejected_prediction_tokens":0}},"service_tier":"default","system_fingerprint":"fp_ad66631dec"}</t>
        </is>
      </c>
      <c r="M89" t="inlineStr">
        <is>
          <t>{"alt-svc":"h3=\":443\"; ma=2592000","apim-request-id":"6a3266c7-8de3-47c0-a805-45699850c89c","azureml-model-session":"d20260405221325-2e8d5e76","cache-control":"no-cache","connection":"close","content-length":"978","content-type":"application/json","date":"Tue, 28 Apr 2026 01:33:46 GMT","server":"Caddy","skip-error-remapping":"true","strict-transport-security":"max-age=31536000; includeSubDomains; preload","x-content-type-options":"nosniff","x-ms-client-request-id":"Not-Set","x-ms-is-spilled-over":"false","x-ms-rai-invoked":"false","x-ms-region":"East US","x-new-api-version":"0.4.35","x-oneapi-request-id":"20260428013344924053208268d9d6h0fjL8Do","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9b7495a9-0ff4-4771-8fb6-78d4e2fad693"}</t>
        </is>
      </c>
      <c r="N89" t="inlineStr">
        <is>
          <t>Louis Vuitton classic brown men’s belt crafted from grained leather, featuring sleek black metal V buckle for a modern luxury look, perfect for business or casual wear.</t>
        </is>
      </c>
      <c r="O89" t="inlineStr">
        <is>
          <t>{"id":"chatcmpl-DZSZhdK2w6rRk5T7e5Vuyj3bTADZQ","object":"chat.completion","created":1777343693,"model":"gpt-5-chat-2025-10-03","choices":[{"index":0,"message":{"role":"assistant","content":"Louis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89" t="inlineStr">
        <is>
          <t>Louis Vuitton, Belt, kakobuy, kakebuy2026, kekobuysheet, kakobuysheet2026, 2026kakobuy, kakobuyspreadsheeet, kakobuylink, kakebuylist, Kakobuy MEGA Spreadsheet, kakobuysheetfind, kakobuysheetfind2026, 2026kakobuysheetfind, kakobuysheet2026</t>
        </is>
      </c>
      <c r="Q89" t="inlineStr">
        <is>
          <t>LV, Brown, Leather, Business, Business Casual, Men</t>
        </is>
      </c>
      <c r="R89" t="inlineStr">
        <is>
          <t>recvhju1Cra7av</t>
        </is>
      </c>
      <c r="S89" t="inlineStr">
        <is>
          <t>louis-vuitton-brown-leather-men-belt-black-v-buckle-recvhju1cra7av</t>
        </is>
      </c>
      <c r="T89"/>
      <c r="U89"/>
      <c r="V89"/>
      <c r="W89" t="inlineStr">
        <is>
          <t>{"id":"chatcmpl-DZR7EtQ5vYfgTWE1M45sWDbMMrDlG","object":"chat.completion","created":1777338084,"model":"gpt-5-chat-2025-10-03","choices":[{"index":0,"message":{"role":"assistant","content":"Louis Vuitton：经典系列棕色男士皮带，甄选粒面牛皮打造，黑色金属V字扣设计简约利落，展现现代奢华格调，适合商务与休闲场合佩戴。","refusal":null,"annotations":[]},"logprobs":null,"finish_reason":"stop"}],"usage":{"prompt_tokens":1309,"completion_tokens":56,"total_tokens":1365,"prompt_tokens_details":{"cached_tokens":0,"audio_tokens":0},"completion_tokens_details":{"reasoning_tokens":0,"audio_tokens":0,"accepted_prediction_tokens":0,"rejected_prediction_tokens":0}},"service_tier":"default","system_fingerprint":"fp_ad66631dec"}</t>
        </is>
      </c>
      <c r="X89" t="inlineStr">
        <is>
          <t>Louis Vuitton：经典系列棕色男士皮带，甄选粒面牛皮打造，黑色金属V字扣设计简约利落，展现现代奢华格调，适合商务与休闲场合佩戴。</t>
        </is>
      </c>
    </row>
    <row r="90" ht="25.5" customHeight="1">
      <c r="A90">
        <v>1654975475</v>
      </c>
      <c r="B90">
        <v>7624499792</v>
      </c>
      <c r="C90" s="2" t="str">
        <f>=HYPERLINK("https://weidian.com/item.html?itemID=7624499792", "https://weidian.com/item.html?itemID=7624499792")</f>
        <v>https://weidian.com/item.html?itemID=7624499792</v>
      </c>
      <c r="D90"/>
      <c r="E90" s="2" t="str">
        <f>=HYPERLINK("https://si.geilicdn.com/pcitem2014204438-59590000019ad9cc93fb0a23041a_1512_2016.jpg?w=640&amp;h=640", "https://si.geilicdn.com/pcitem2014204438-59590000019ad9cc93fb0a23041a_1512_2016.jpg?w=640&amp;h=640")</f>
        <v>https://si.geilicdn.com/pcitem2014204438-59590000019ad9cc93fb0a23041a_1512_2016.jpg?w=640&amp;h=640</v>
      </c>
      <c r="F90" t="inlineStr">
        <is>
          <t>Accessories</t>
        </is>
      </c>
      <c r="G90" t="inlineStr">
        <is>
          <t>Dior</t>
        </is>
      </c>
      <c r="H90">
        <v>460</v>
      </c>
      <c r="I90">
        <v>66.67</v>
      </c>
      <c r="J90" t="inlineStr">
        <is>
          <t>{"id":"chatcmpl-DZSL2dhLDZ5UueMwMLmo5QarS2aOy","object":"chat.completion","created":1777342784,"model":"gpt-5-chat-2025-10-03","choices":[{"index":0,"message":{"role":"assistant","content":"Dior Oblique Leather Belt Black White CD Buckle","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is>
      </c>
      <c r="K90" t="inlineStr">
        <is>
          <t>Dior Oblique Leather Belt Black White CD Buckle</t>
        </is>
      </c>
      <c r="L90" t="inlineStr">
        <is>
          <t>{"id":"chatcmpl-DZReyiUGHf3rYRfbZ5uqbJg7yyxSS","object":"chat.completion","created":1777340176,"model":"gpt-5-chat-2025-10-03","choices":[{"index":0,"message":{"role":"assistant","content":"Dior Oblique black and white leather belt with silver CD round buckle, showcasing elegant vintage French style. Unisex design exudes refined taste and modern sophistication.","refusal":null,"annotations":[]},"logprobs":null,"finish_reason":"stop"}],"usage":{"prompt_tokens":884,"completion_tokens":33,"total_tokens":917,"prompt_tokens_details":{"cached_tokens":0,"audio_tokens":0},"completion_tokens_details":{"reasoning_tokens":0,"audio_tokens":0,"accepted_prediction_tokens":0,"rejected_prediction_tokens":0}},"service_tier":"default","system_fingerprint":"fp_ad66631dec"}</t>
        </is>
      </c>
      <c r="M90" t="inlineStr">
        <is>
          <t>{"alt-svc":"h3=\":443\"; ma=2592000","apim-request-id":"32d37c9c-8398-4022-a5a0-20bf9cb8abb4","azureml-model-session":"d20260402084046-4209e968","cache-control":"no-cache","connection":"close","content-length":"981","content-type":"application/json","date":"Tue, 28 Apr 2026 01:36:18 GMT","server":"Caddy","skip-error-remapping":"true","strict-transport-security":"max-age=31536000; includeSubDomains; preload","x-content-type-options":"nosniff","x-ms-client-request-id":"Not-Set","x-ms-is-spilled-over":"false","x-ms-rai-invoked":"false","x-ms-region":"West US","x-new-api-version":"0.4.35","x-oneapi-request-id":"202604280136155145797978268d9d699tVJnFO","x-ratelimit-abusepenalty-active":"False","x-ratelimit-key":"gpt-5-chat-global","x-ratelimit-limit-requests":"1000","x-ratelimit-limit-tokens":"1000000","x-ratelimit-remaining-requests":"999","x-ratelimit-remaining-tokens":"998354","x-ratelimit-renewalperiod-requests":"60","x-ratelimit-renewalperiod-tokens":"60","x-ratelimit-reset-requests":"60","x-ratelimit-reset-tokens":"98","x-request-id":"30112464-cc42-40ab-8e8b-b81eaef29c61"}</t>
        </is>
      </c>
      <c r="N90" t="inlineStr">
        <is>
          <t>Dior Oblique black and white leather belt with silver CD round buckle, showcasing elegant vintage French style. Unisex design exudes refined taste and modern sophistication.</t>
        </is>
      </c>
      <c r="O90" t="inlineStr">
        <is>
          <t>{"id":"chatcmpl-DZSU6BZSyR3hL7aq79Y4AW5F50tbB","object":"chat.completion","created":1777343346,"model":"gpt-5-chat-2025-10-03","choices":[{"index":0,"message":{"role":"assistant","content":"Dior,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0" t="inlineStr">
        <is>
          <t>Dior, belt, kakobuy, kakebuy2026, kekobuysheet, kakobuysheet2026, 2026kakobuy, kakobuyspreadsheeet, kakobuylink, kakebuylist, Kakobuy MEGA Spreadsheet, kakobuysheetfind, kakobuysheetfind2026, 2026kakobuysheetfind, kakobuysheet2026</t>
        </is>
      </c>
      <c r="Q90" t="inlineStr">
        <is>
          <t>Dior, Dior Oblique, Leather, Black, White, Unisex</t>
        </is>
      </c>
      <c r="R90" t="inlineStr">
        <is>
          <t>recvhju1CrU76o</t>
        </is>
      </c>
      <c r="S90" t="inlineStr">
        <is>
          <t>dior-oblique-leather-belt-cd-buckle-recvhju1crU76o</t>
        </is>
      </c>
      <c r="T90"/>
      <c r="U90"/>
      <c r="V90"/>
      <c r="W90" t="inlineStr">
        <is>
          <t>{"id":"chatcmpl-DZR7oebll8apmjG2AcZdcAzVqaBV3","object":"chat.completion","created":1777338120,"model":"gpt-5-chat-2025-10-03","choices":[{"index":0,"message":{"role":"assistant","content":"Dior：Oblique黑白印花皮革腰带，饰以银色CD圆环扣设计，展现优雅复古法式风格，男女皆宜，彰显精致品味与现代格调。","refusal":null,"annotations":[]},"logprobs":null,"finish_reason":"stop"}],"usage":{"prompt_tokens":1299,"completion_tokens":51,"total_tokens":1350,"prompt_tokens_details":{"cached_tokens":1280,"audio_tokens":0},"completion_tokens_details":{"reasoning_tokens":0,"audio_tokens":0,"accepted_prediction_tokens":0,"rejected_prediction_tokens":0}},"service_tier":"default","system_fingerprint":"fp_ad66631dec"}</t>
        </is>
      </c>
      <c r="X90" t="inlineStr">
        <is>
          <t>Dior：Oblique黑白印花皮革腰带，饰以银色CD圆环扣设计，展现优雅复古法式风格，男女皆宜，彰显精致品味与现代格调。</t>
        </is>
      </c>
    </row>
    <row r="91" ht="25.5" customHeight="1">
      <c r="A91">
        <v>1654975475</v>
      </c>
      <c r="B91">
        <v>7621618221</v>
      </c>
      <c r="C91" s="2" t="str">
        <f>=HYPERLINK("https://weidian.com/item.html?itemID=7621618221", "https://weidian.com/item.html?itemID=7621618221")</f>
        <v>https://weidian.com/item.html?itemID=7621618221</v>
      </c>
      <c r="D91"/>
      <c r="E91" s="2" t="str">
        <f>=HYPERLINK("https://si.geilicdn.com/pcitem2014204438-5ee40000019ad9ec91380a23057e_1512_2016.jpg?w=640&amp;h=640", "https://si.geilicdn.com/pcitem2014204438-5ee40000019ad9ec91380a23057e_1512_2016.jpg?w=640&amp;h=640")</f>
        <v>https://si.geilicdn.com/pcitem2014204438-5ee40000019ad9ec91380a23057e_1512_2016.jpg?w=640&amp;h=640</v>
      </c>
      <c r="F91" t="inlineStr">
        <is>
          <t>Accessories</t>
        </is>
      </c>
      <c r="G91" t="inlineStr">
        <is>
          <t>Louis Vuitton</t>
        </is>
      </c>
      <c r="H91">
        <v>460</v>
      </c>
      <c r="I91">
        <v>66.67</v>
      </c>
      <c r="J91" t="inlineStr">
        <is>
          <t>{"id":"chatcmpl-DZSGtscowiIJ5MSeDKOLx9DjwDnNd","object":"chat.completion","created":1777342527,"model":"gpt-5-chat-2025-10-03","choices":[{"index":0,"message":{"role":"assistant","content":"Louis Vuitton Black Monogram Leather Belt Gold Buckle","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91" t="inlineStr">
        <is>
          <t>Louis Vuitton Black Monogram Leather Belt Gold Buckle</t>
        </is>
      </c>
      <c r="L91" t="inlineStr">
        <is>
          <t>{"id":"chatcmpl-DZRi8oaAfVnksdJxO5LtmFJXeC34R","object":"chat.completion","created":1777340372,"model":"gpt-5-chat-2025-10-03","choices":[{"index":0,"message":{"role":"assistant","content":"Louis Vuitton black Monogram embossed leather belt with gold LV buckle, fine-grain cowhide texture, timeless luxury design for men and women, perfect for business or casual wear.","refusal":null,"annotations":[]},"logprobs":null,"finish_reason":"stop"}],"usage":{"prompt_tokens":896,"completion_tokens":36,"total_tokens":932,"prompt_tokens_details":{"cached_tokens":0,"audio_tokens":0},"completion_tokens_details":{"reasoning_tokens":0,"audio_tokens":0,"accepted_prediction_tokens":0,"rejected_prediction_tokens":0}},"service_tier":"default","system_fingerprint":"fp_ad66631dec"}</t>
        </is>
      </c>
      <c r="M91" t="inlineStr">
        <is>
          <t>{"alt-svc":"h3=\":443\"; ma=2592000","apim-request-id":"226a3b3e-7975-47b6-8165-33e5d67f1878","azureml-model-session":"d20260405212659-a9daa006","cache-control":"no-cache","connection":"close","content-length":"986","content-type":"application/json","date":"Tue, 28 Apr 2026 01:39:33 GMT","server":"nginx","skip-error-remapping":"true","strict-transport-security":"max-age=31536000; includeSubDomains; preload","via":"1.1 Caddy","x-content-type-options":"nosniff","x-ms-client-request-id":"Not-Set","x-ms-is-spilled-over":"false","x-ms-rai-invoked":"false","x-ms-region":"East US","x-new-api-version":"0.4.35","x-oneapi-request-id":"202604280139318268297228268d9d6XibKbBHR","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1fc25e60-fbfb-48b0-9c2a-eac9913e5416"}</t>
        </is>
      </c>
      <c r="N91" t="inlineStr">
        <is>
          <t>Louis Vuitton black Monogram embossed leather belt with gold LV buckle, fine-grain cowhide texture, timeless luxury design for men and women, perfect for business or casual wear.</t>
        </is>
      </c>
      <c r="O91" t="inlineStr">
        <is>
          <t>{"id":"chatcmpl-DZSWguvPZulAe9C3xm4pMa2tbusRB","object":"chat.completion","created":1777343506,"model":"gpt-5-chat-2025-10-03","choices":[{"index":0,"message":{"role":"assistant","content":"Louis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1" t="inlineStr">
        <is>
          <t>Louis Vuitton, Belt, kakobuy, kakebuy2026, kekobuysheet, kakobuysheet2026, 2026kakobuy, kakobuyspreadsheeet, kakobuylink, kakebuylist, Kakobuy MEGA Spreadsheet, kakobuysheetfind, kakobuysheetfind2026, 2026kakobuysheetfind, kakobuysheet2026</t>
        </is>
      </c>
      <c r="Q91" t="inlineStr">
        <is>
          <t>LV, Leather, Gold, Men's And Women's, Business</t>
        </is>
      </c>
      <c r="R91" t="inlineStr">
        <is>
          <t>recvhju1Cr5H2R</t>
        </is>
      </c>
      <c r="S91" t="inlineStr">
        <is>
          <t>louis-vuitton-black-monogram-leather-belt-gold-buckle-recvhju1cr5h2r</t>
        </is>
      </c>
      <c r="T91"/>
      <c r="U91"/>
      <c r="V91"/>
      <c r="W91" t="inlineStr">
        <is>
          <t>{"id":"chatcmpl-DZRC9xPokJ0z0o3amylAqDbB1xlQP","object":"chat.completion","created":1777338389,"model":"gpt-5-chat-2025-10-03","choices":[{"index":0,"message":{"role":"assistant","content":"Louis Vuitton：黑色Monogram压纹皮质腰带，搭配金色LV字母金属扣，细腻粒面牛皮材质质感出众，简约奢华设计彰显品牌格调，适合男女通用商务休闲穿搭。","refusal":null,"annotations":[]},"logprobs":null,"finish_reason":"stop"}],"usage":{"prompt_tokens":1299,"completion_tokens":63,"total_tokens":1362,"prompt_tokens_details":{"cached_tokens":0,"audio_tokens":0},"completion_tokens_details":{"reasoning_tokens":0,"audio_tokens":0,"accepted_prediction_tokens":0,"rejected_prediction_tokens":0}},"service_tier":"default","system_fingerprint":"fp_ad66631dec"}</t>
        </is>
      </c>
      <c r="X91" t="inlineStr">
        <is>
          <t>Louis Vuitton：黑色Monogram压纹皮质腰带，搭配金色LV字母金属扣，细腻粒面牛皮材质质感出众，简约奢华设计彰显品牌格调，适合男女通用商务休闲穿搭。</t>
        </is>
      </c>
    </row>
    <row r="92" ht="25.5" customHeight="1">
      <c r="A92">
        <v>1654975475</v>
      </c>
      <c r="B92">
        <v>7621608653</v>
      </c>
      <c r="C92" s="2" t="str">
        <f>=HYPERLINK("https://weidian.com/item.html?itemID=7621608653", "https://weidian.com/item.html?itemID=7621608653")</f>
        <v>https://weidian.com/item.html?itemID=7621608653</v>
      </c>
      <c r="D92"/>
      <c r="E92" s="2" t="str">
        <f>=HYPERLINK("https://si.geilicdn.com/pcitem2014204438-50e00000019ad9f0f8c90a20e7c7_1076_1076.jpg?w=640&amp;h=640", "https://si.geilicdn.com/pcitem2014204438-50e00000019ad9f0f8c90a20e7c7_1076_1076.jpg?w=640&amp;h=640")</f>
        <v>https://si.geilicdn.com/pcitem2014204438-50e00000019ad9f0f8c90a20e7c7_1076_1076.jpg?w=640&amp;h=640</v>
      </c>
      <c r="F92" t="inlineStr">
        <is>
          <t>Accessories</t>
        </is>
      </c>
      <c r="G92" t="inlineStr">
        <is>
          <t>Fendi</t>
        </is>
      </c>
      <c r="H92">
        <v>460</v>
      </c>
      <c r="I92">
        <v>66.67</v>
      </c>
      <c r="J92" t="inlineStr">
        <is>
          <t>{"id":"chatcmpl-DZSLdVh8vZGGFdgJZcG3de0wPCMqA","object":"chat.completion","created":1777342821,"model":"gpt-5-chat-2025-10-03","choices":[{"index":0,"message":{"role":"assistant","content":"Fendi Men Black Leather Belt Gold FF Buckle","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92" t="inlineStr">
        <is>
          <t>Fendi Men Black Leather Belt Gold FF Buckle</t>
        </is>
      </c>
      <c r="L92" t="inlineStr">
        <is>
          <t>{"id":"chatcmpl-DZRk503zQLQLTbWi8t35OehQFZiyx","object":"chat.completion","created":1777340493,"model":"gpt-5-chat-2025-10-03","choices":[{"index":0,"message":{"role":"assistant","content":"Fendi Men’s Black FF Logo Leather Belt with Gold Double F Buckle, crafted from genuine leather, blends Italian luxury with modern strength, ideal for both business and casual elegance.","refusal":null,"annotations":[]},"logprobs":null,"finish_reason":"stop"}],"usage":{"prompt_tokens":906,"completion_tokens":37,"total_tokens":943,"prompt_tokens_details":{"cached_tokens":0,"audio_tokens":0},"completion_tokens_details":{"reasoning_tokens":0,"audio_tokens":0,"accepted_prediction_tokens":0,"rejected_prediction_tokens":0}},"service_tier":"default","system_fingerprint":"fp_ad66631dec"}</t>
        </is>
      </c>
      <c r="M92" t="inlineStr">
        <is>
          <t>{"alt-svc":"h3=\":443\"; ma=2592000","apim-request-id":"fba4b8a9-9822-4738-a865-a8bb3ce709b3","azureml-model-session":"d20260402075109-1fc5a0ec","cache-control":"no-cache","connection":"close","content-length":"994","content-type":"application/json","date":"Tue, 28 Apr 2026 01:41:34 GMT","server":"nginx","skip-error-remapping":"true","strict-transport-security":"max-age=31536000; includeSubDomains; preload","via":"1.1 Caddy","x-content-type-options":"nosniff","x-ms-client-request-id":"Not-Set","x-ms-is-spilled-over":"false","x-ms-rai-invoked":"false","x-ms-region":"West US","x-new-api-version":"0.4.35","x-oneapi-request-id":"202604280141321422289008268d9d69Fe4ZPnN","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344abd65-5fe4-4935-b14d-a77828e73f8b"}</t>
        </is>
      </c>
      <c r="N92" t="inlineStr">
        <is>
          <t>Fendi Men’s Black FF Logo Leather Belt with Gold Double F Buckle, crafted from genuine leather, blends Italian luxury with modern strength, ideal for both business and casual elegance.</t>
        </is>
      </c>
      <c r="O92" t="inlineStr">
        <is>
          <t>{"id":"chatcmpl-DZSV5hZ4UERtqGgOAmbxk0nycTE7R","object":"chat.completion","created":1777343407,"model":"gpt-5-chat-2025-10-03","choices":[{"index":0,"message":{"role":"assistant","content":"Fend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2" t="inlineStr">
        <is>
          <t>Fendi,Belt,kakobuy,kakebuy2026,kekobuysheet,kakobuysheet2026,2026kakobuy,kakobuyspreadsheeet,kakobuylink,kakebuylist,Kakobuy MEGA Spreadsheet,kakobuysheetfind,kakobuysheetfind2026,2026kakobuysheetfind,kakobuysheet2026</t>
        </is>
      </c>
      <c r="Q92" t="inlineStr">
        <is>
          <t>Black, Leather, Genuine Leather, Gold, Business</t>
        </is>
      </c>
      <c r="R92" t="inlineStr">
        <is>
          <t>recvhju1CrmtZj</t>
        </is>
      </c>
      <c r="S92" t="inlineStr">
        <is>
          <t>fendi-men-black-leather-belt-gold-ff-buckle-recvhju1crmtzj</t>
        </is>
      </c>
      <c r="T92"/>
      <c r="U92"/>
      <c r="V92"/>
      <c r="W92" t="inlineStr">
        <is>
          <t>{"id":"chatcmpl-DZRCEqSmmz99vH5i1Q0JqQdX9wUvX","object":"chat.completion","created":1777338394,"model":"gpt-5-chat-2025-10-03","choices":[{"index":0,"message":{"role":"assistant","content":"Fendi：黑色FF字母图腾皮质男士腰带，真皮材质搭配金属双F扣设计，彰显意式奢华格调，质感硬朗，适合商务与休闲造型，展现典雅与力量并存的现代风范。","refusal":null,"annotations":[]},"logprobs":null,"finish_reason":"stop"}],"usage":{"prompt_tokens":1309,"completion_tokens":68,"total_tokens":1377,"prompt_tokens_details":{"cached_tokens":1280,"audio_tokens":0},"completion_tokens_details":{"reasoning_tokens":0,"audio_tokens":0,"accepted_prediction_tokens":0,"rejected_prediction_tokens":0}},"service_tier":"default","system_fingerprint":"fp_ad66631dec"}</t>
        </is>
      </c>
      <c r="X92" t="inlineStr">
        <is>
          <t>Fendi：黑色FF字母图腾皮质男士腰带，真皮材质搭配金属双F扣设计，彰显意式奢华格调，质感硬朗，适合商务与休闲造型，展现典雅与力量并存的现代风范。</t>
        </is>
      </c>
    </row>
    <row r="93" ht="25.5" customHeight="1">
      <c r="A93">
        <v>1654975475</v>
      </c>
      <c r="B93">
        <v>7623706224</v>
      </c>
      <c r="C93" s="2" t="str">
        <f>=HYPERLINK("https://weidian.com/item.html?itemID=7623706224", "https://weidian.com/item.html?itemID=7623706224")</f>
        <v>https://weidian.com/item.html?itemID=7623706224</v>
      </c>
      <c r="D93"/>
      <c r="E93" s="2" t="str">
        <f>=HYPERLINK("https://si.geilicdn.com/pcitem2014204438-600a0000019ad9d74ca10a2315ef_1512_2016.jpg?w=640&amp;h=640", "https://si.geilicdn.com/pcitem2014204438-600a0000019ad9d74ca10a2315ef_1512_2016.jpg?w=640&amp;h=640")</f>
        <v>https://si.geilicdn.com/pcitem2014204438-600a0000019ad9d74ca10a2315ef_1512_2016.jpg?w=640&amp;h=640</v>
      </c>
      <c r="F93" t="inlineStr">
        <is>
          <t>Accessories</t>
        </is>
      </c>
      <c r="G93" t="inlineStr">
        <is>
          <t>Louis Vuitton</t>
        </is>
      </c>
      <c r="H93">
        <v>460</v>
      </c>
      <c r="I93">
        <v>66.67</v>
      </c>
      <c r="J93" t="inlineStr">
        <is>
          <t>{"id":"chatcmpl-DZSLH3uJq9bePigzBODNoFdIB2gdf","object":"chat.completion","created":1777342799,"model":"gpt-5-chat-2025-10-03","choices":[{"index":0,"message":{"role":"assistant","content":"Louis Vuitton Taupe Leather V Buckle Unisex Bel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93" t="inlineStr">
        <is>
          <t>Louis Vuitton Taupe Leather V Buckle Unisex Belt</t>
        </is>
      </c>
      <c r="L93" t="inlineStr">
        <is>
          <t>{"id":"chatcmpl-DZReEzQ0ckeJdGmrKRSBX6G1ebX64","object":"chat.completion","created":1777340130,"model":"gpt-5-chat-2025-10-03","choices":[{"index":0,"message":{"role":"assistant","content":"Louis Vuitton taupe leather belt with signature V metal buckle, crafted from premium grained calfskin. Unisex minimalist design for business or casual wear, showcasing timeless elegance and luxury craftsmanship.","refusal":null,"annotations":[]},"logprobs":null,"finish_reason":"stop"}],"usage":{"prompt_tokens":906,"completion_tokens":38,"total_tokens":944,"prompt_tokens_details":{"cached_tokens":0,"audio_tokens":0},"completion_tokens_details":{"reasoning_tokens":0,"audio_tokens":0,"accepted_prediction_tokens":0,"rejected_prediction_tokens":0}},"service_tier":"default","system_fingerprint":"fp_ad66631dec"}</t>
        </is>
      </c>
      <c r="M93" t="inlineStr">
        <is>
          <t>{"alt-svc":"h3=\":443\"; ma=2592000","apim-request-id":"ebeb0714-cb01-4e68-9dba-f7f652d0b937","azureml-model-session":"d20260405234249-f9874baf","cache-control":"no-cache","connection":"close","content-length":"1019","content-type":"application/json","date":"Tue, 28 Apr 2026 01:35:32 GMT","server":"Caddy","skip-error-remapping":"true","strict-transport-security":"max-age=31536000; includeSubDomains; preload","x-content-type-options":"nosniff","x-ms-client-request-id":"Not-Set","x-ms-is-spilled-over":"false","x-ms-rai-invoked":"false","x-ms-region":"Poland Central","x-new-api-version":"0.4.35","x-oneapi-request-id":"202604280135298675304888268d9d6fDEEF8HD","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33baeb1c-b6e6-4d91-bae5-8aede36c80a1"}</t>
        </is>
      </c>
      <c r="N93" t="inlineStr">
        <is>
          <t>Louis Vuitton taupe leather belt with signature V metal buckle, crafted from premium grained calfskin. Unisex minimalist design for business or casual wear, showcasing timeless elegance and luxury craftsmanship.</t>
        </is>
      </c>
      <c r="O93" t="inlineStr">
        <is>
          <t>{"id":"chatcmpl-DZSZ5BAHQmZQguu8j4OQMMHXdJVks","object":"chat.completion","created":1777343655,"model":"gpt-5-chat-2025-10-03","choices":[{"index":0,"message":{"role":"assistant","content":"Louis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3" t="inlineStr">
        <is>
          <t>Louis Vuitton, belt, kakobuy, kakebuy2026, kekobuysheet, kakobuysheet2026, 2026kakobuy, kakobuyspreadsheeet, kakobuylink, kakebuylist, Kakobuy MEGA Spreadsheet, kakobuysheetfind, kakobuysheetfind2026, 2026kakobuysheetfind, kakobuysheet2026</t>
        </is>
      </c>
      <c r="Q93" t="inlineStr">
        <is>
          <t>LV, Leather, Minimalist, Unisex, Business Casual, Taupe</t>
        </is>
      </c>
      <c r="R93" t="inlineStr">
        <is>
          <t>recvhju1CriSRS</t>
        </is>
      </c>
      <c r="S93" t="inlineStr">
        <is>
          <t>louis-vuitton-taupe-leather-v-buckle-unisex-belt-recvhju1CriSRS</t>
        </is>
      </c>
      <c r="T93"/>
      <c r="U93"/>
      <c r="V93"/>
      <c r="W93" t="inlineStr">
        <is>
          <t>{"id":"chatcmpl-DZRAKA1J5UGVyVMwGP7nTH2kWpCLe","object":"chat.completion","created":1777338276,"model":"gpt-5-chat-2025-10-03","choices":[{"index":0,"message":{"role":"assistant","content":"Louis Vuitton：灰褐色V形金属扣皮质腰带，选用优质粒面牛皮，极简设计彰显现代奢华质感，男女皆宜，适合商务与休闲场合，融合品牌标志性元素与精湛工艺，尽显优雅格调。","refusal":null,"annotations":[]},"logprobs":null,"finish_reason":"stop"}],"usage":{"prompt_tokens":1301,"completion_tokens":72,"total_tokens":1373,"prompt_tokens_details":{"cached_tokens":0,"audio_tokens":0},"completion_tokens_details":{"reasoning_tokens":0,"audio_tokens":0,"accepted_prediction_tokens":0,"rejected_prediction_tokens":0}},"service_tier":"default","system_fingerprint":"fp_ad66631dec"}</t>
        </is>
      </c>
      <c r="X93" t="inlineStr">
        <is>
          <t>Louis Vuitton：灰褐色V形金属扣皮质腰带，选用优质粒面牛皮，极简设计彰显现代奢华质感，男女皆宜，适合商务与休闲场合，融合品牌标志性元素与精湛工艺，尽显优雅格调。</t>
        </is>
      </c>
    </row>
    <row r="94" ht="25.5" customHeight="1">
      <c r="A94">
        <v>1654975475</v>
      </c>
      <c r="B94">
        <v>7621527365</v>
      </c>
      <c r="C94" s="2" t="str">
        <f>=HYPERLINK("https://weidian.com/item.html?itemID=7621527365", "https://weidian.com/item.html?itemID=7621527365")</f>
        <v>https://weidian.com/item.html?itemID=7621527365</v>
      </c>
      <c r="D94"/>
      <c r="E94" s="2" t="str">
        <f>=HYPERLINK("https://si.geilicdn.com/pcitem2014204438-55fb0000019ad9f214a20a8134f0_1512_2016.jpg?w=640&amp;h=640", "https://si.geilicdn.com/pcitem2014204438-55fb0000019ad9f214a20a8134f0_1512_2016.jpg?w=640&amp;h=640")</f>
        <v>https://si.geilicdn.com/pcitem2014204438-55fb0000019ad9f214a20a8134f0_1512_2016.jpg?w=640&amp;h=640</v>
      </c>
      <c r="F94" t="inlineStr">
        <is>
          <t>Accessories</t>
        </is>
      </c>
      <c r="G94" t="inlineStr">
        <is>
          <t>Louis Vuitton</t>
        </is>
      </c>
      <c r="H94">
        <v>460</v>
      </c>
      <c r="I94">
        <v>66.67</v>
      </c>
      <c r="J94" t="inlineStr">
        <is>
          <t>{"id":"chatcmpl-DZSIOk162Qps70lweuBqSGqbjZQWf","object":"chat.completion","created":1777342620,"model":"gpt-5-chat-2025-10-03","choices":[{"index":0,"message":{"role":"assistant","content":"Louis Vuitton Monogram Black Blue Leather LV Buckle Belt","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94" t="inlineStr">
        <is>
          <t>Louis Vuitton Monogram Black Blue Leather LV Buckle Belt</t>
        </is>
      </c>
      <c r="L94" t="inlineStr">
        <is>
          <t>{"id":"chatcmpl-DZRl3cUwI45Uqe12sFOHVWOH3lu1h","object":"chat.completion","created":1777340553,"model":"gpt-5-chat-2025-10-03","choices":[{"index":0,"message":{"role":"assistant","content":"Louis Vuitton Monogram black and blue leather belt with signature LV metal buckle, unisex luxury design, timeless elegance, perfect for casual or formal wear, stylish and versatile accessory.","refusal":null,"annotations":[]},"logprobs":null,"finish_reason":"stop"}],"usage":{"prompt_tokens":881,"completion_tokens":36,"total_tokens":917,"prompt_tokens_details":{"cached_tokens":0,"audio_tokens":0},"completion_tokens_details":{"reasoning_tokens":0,"audio_tokens":0,"accepted_prediction_tokens":0,"rejected_prediction_tokens":0}},"service_tier":"default","system_fingerprint":"fp_ad66631dec"}</t>
        </is>
      </c>
      <c r="M94" t="inlineStr">
        <is>
          <t>{"alt-svc":"h3=\":443\"; ma=2592000","apim-request-id":"3f27cbcd-0225-4d5f-b2fa-736def10ccaf","azureml-model-session":"d20260402075109-1fc5a0ec","cache-control":"no-cache","connection":"close","content-length":"999","content-type":"application/json","date":"Tue, 28 Apr 2026 01:42:36 GMT","server":"Caddy","skip-error-remapping":"true","strict-transport-security":"max-age=31536000; includeSubDomains; preload","x-content-type-options":"nosniff","x-ms-client-request-id":"Not-Set","x-ms-is-spilled-over":"false","x-ms-rai-invoked":"false","x-ms-region":"Sweden Central","x-new-api-version":"0.4.35","x-oneapi-request-id":"202604280142328834111048268d9d6vMP7qXXE","x-ratelimit-abusepenalty-active":"False","x-ratelimit-key":"gpt-5-chat-global","x-ratelimit-limit-requests":"1000","x-ratelimit-limit-tokens":"1000000","x-ratelimit-remaining-requests":"999","x-ratelimit-remaining-tokens":"998357","x-ratelimit-renewalperiod-requests":"60","x-ratelimit-renewalperiod-tokens":"60","x-ratelimit-reset-requests":"60","x-ratelimit-reset-tokens":"98","x-request-id":"8b5a1a5f-39a5-4976-add9-eacd5c7451eb"}</t>
        </is>
      </c>
      <c r="N94" t="inlineStr">
        <is>
          <t>Louis Vuitton Monogram black and blue leather belt with signature LV metal buckle, unisex luxury design, timeless elegance, perfect for casual or formal wear, stylish and versatile accessory.</t>
        </is>
      </c>
      <c r="O94" t="inlineStr">
        <is>
          <t>{"id":"chatcmpl-DZSVl0HCN2u6WPT0XfI9QQtIMqFhU","object":"chat.completion","created":1777343449,"model":"gpt-5-chat-2025-10-03","choices":[{"index":0,"message":{"role":"assistant","content":"Louis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4" t="inlineStr">
        <is>
          <t>Louis Vuitton, Accessories, kakobuy, kakebuy2026, kekobuysheet, kakobuysheet2026, 2026kakobuy, kakobuyspreadsheeet, kakobuylink, kakebuylist, Kakobuy MEGA Spreadsheet, kakobuysheetfind, kakobuysheetfind2026, 2026kakobuysheetfind, kakobuysheet2026</t>
        </is>
      </c>
      <c r="Q94" t="inlineStr">
        <is>
          <t>LV, Leather, Black Blue, Elegant, Unisex, Versatile</t>
        </is>
      </c>
      <c r="R94" t="inlineStr">
        <is>
          <t>recvhju1CrqYT8</t>
        </is>
      </c>
      <c r="S94" t="inlineStr">
        <is>
          <t>louis-vuitton-monogram-black-blue-leather-lv-buckle-belt-recvhju1crqyt8</t>
        </is>
      </c>
      <c r="T94"/>
      <c r="U94"/>
      <c r="V94"/>
      <c r="W94" t="inlineStr">
        <is>
          <t>{"id":"chatcmpl-DZRAYwCa7B3UuPJy6fqSK4upkN8QH","object":"chat.completion","created":1777338290,"model":"gpt-5-chat-2025-10-03","choices":[{"index":0,"message":{"role":"assistant","content":"Louis Vuitton：Monogram系列黑蓝配色皮革腰带，经典LV图腾搭配金属扣设计，彰显简约奢华风格，男女皆宜，时尚百搭。","refusal":null,"annotations":[]},"logprobs":null,"finish_reason":"stop"}],"usage":{"prompt_tokens":1303,"completion_tokens":46,"total_tokens":1349,"prompt_tokens_details":{"cached_tokens":0,"audio_tokens":0},"completion_tokens_details":{"reasoning_tokens":0,"audio_tokens":0,"accepted_prediction_tokens":0,"rejected_prediction_tokens":0}},"service_tier":"default","system_fingerprint":"fp_ad66631dec"}</t>
        </is>
      </c>
      <c r="X94" t="inlineStr">
        <is>
          <t>Louis Vuitton：Monogram系列黑蓝配色皮革腰带，经典LV图腾搭配金属扣设计，彰显简约奢华风格，男女皆宜，时尚百搭。</t>
        </is>
      </c>
    </row>
    <row r="95" ht="25.5" customHeight="1">
      <c r="A95">
        <v>1654975475</v>
      </c>
      <c r="B95">
        <v>7623842474</v>
      </c>
      <c r="C95" s="2" t="str">
        <f>=HYPERLINK("https://weidian.com/item.html?itemID=7623842474", "https://weidian.com/item.html?itemID=7623842474")</f>
        <v>https://weidian.com/item.html?itemID=7623842474</v>
      </c>
      <c r="D95"/>
      <c r="E95" s="2" t="str">
        <f>=HYPERLINK("https://si.geilicdn.com/pcitem2014204438-61070000019ad85411b90a23037f_2160_2160.jpg?w=640&amp;h=640", "https://si.geilicdn.com/pcitem2014204438-61070000019ad85411b90a23037f_2160_2160.jpg?w=640&amp;h=640")</f>
        <v>https://si.geilicdn.com/pcitem2014204438-61070000019ad85411b90a23037f_2160_2160.jpg?w=640&amp;h=640</v>
      </c>
      <c r="F95" t="inlineStr">
        <is>
          <t>Accessories</t>
        </is>
      </c>
      <c r="G95" t="inlineStr">
        <is>
          <t>Louis Vuitton</t>
        </is>
      </c>
      <c r="H95">
        <v>600</v>
      </c>
      <c r="I95">
        <v>86.96</v>
      </c>
      <c r="J95" t="inlineStr">
        <is>
          <t>{"id":"chatcmpl-DZSMydfQk3JNaRqPBsHtL98GvXECW","object":"chat.completion","created":1777342904,"model":"gpt-5-chat-2025-10-03","choices":[{"index":0,"message":{"role":"assistant","content":"Louis Vuitton Damier Graphite Belt Wallet Set","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95" t="inlineStr">
        <is>
          <t>Louis Vuitton Damier Graphite Belt Wallet Set</t>
        </is>
      </c>
      <c r="L95" t="inlineStr">
        <is>
          <t>{"id":"chatcmpl-DZReHDdnTeK7xgbe6Dxuxny8RopQe","object":"chat.completion","created":1777340133,"model":"gpt-5-chat-2025-10-03","choices":[{"index":0,"message":{"role":"assistant","content":"Louis Vuitton Damier Graphite Men’s Belt and Wallet Set, crafted from premium cowhide leather with gold LV buckle, fusing modern elegance and French luxury for business and daily style.","refusal":null,"annotations":[]},"logprobs":null,"finish_reason":"stop"}],"usage":{"prompt_tokens":898,"completion_tokens":38,"total_tokens":936,"prompt_tokens_details":{"cached_tokens":0,"audio_tokens":0},"completion_tokens_details":{"reasoning_tokens":0,"audio_tokens":0,"accepted_prediction_tokens":0,"rejected_prediction_tokens":0}},"service_tier":"default","system_fingerprint":"fp_ad66631dec"}</t>
        </is>
      </c>
      <c r="M95" t="inlineStr">
        <is>
          <t>{"alt-svc":"h3=\":443\"; ma=2592000","apim-request-id":"c32e8bbe-4d44-4c10-ade0-dda921be335b","azureml-model-session":"d20260402075109-1fc5a0ec","cache-control":"no-cache","connection":"close","content-length":"995","content-type":"application/json","date":"Tue, 28 Apr 2026 01:35:35 GMT","server":"nginx","skip-error-remapping":"true","strict-transport-security":"max-age=31536000; includeSubDomains; preload","via":"1.1 Caddy","x-content-type-options":"nosniff","x-ms-client-request-id":"Not-Set","x-ms-is-spilled-over":"false","x-ms-rai-invoked":"false","x-ms-region":"West US","x-new-api-version":"0.4.35","x-oneapi-request-id":"202604280135327884984788268d9d6mHEFi97M","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f418b6b2-9b2c-4874-93d7-d748e112c813"}</t>
        </is>
      </c>
      <c r="N95" t="inlineStr">
        <is>
          <t>Louis Vuitton Damier Graphite Men’s Belt and Wallet Set, crafted from premium cowhide leather with gold LV buckle, fusing modern elegance and French luxury for business and daily style.</t>
        </is>
      </c>
      <c r="O95" t="inlineStr">
        <is>
          <t>{"id":"chatcmpl-DZSZX9DOWWpB4MGttcpJbwQXJbhTX","object":"chat.completion","created":1777343683,"model":"gpt-5-chat-2025-10-03","choices":[{"index":0,"message":{"role":"assistant","content":"Louis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5" t="inlineStr">
        <is>
          <t>Louis Vuitton, Accessories, kakobuy, kakebuy2026, kekobuysheet, kakobuysheet2026, 2026kakobuy, kakobuyspreadsheeet, kakobuylink, kakebuylist, Kakobuy MEGA Spreadsheet, kakobuysheetfind, kakobuysheetfind2026, 2026kakobuysheetfind, kakobuysheet2026</t>
        </is>
      </c>
      <c r="Q95" t="inlineStr">
        <is>
          <t>LV, Cowhide, Gold, Business, Men, Elegant</t>
        </is>
      </c>
      <c r="R95" t="inlineStr">
        <is>
          <t>recvhju1Cr3ccm</t>
        </is>
      </c>
      <c r="S95" t="inlineStr">
        <is>
          <t>louis-vuitton-damier-graphite-belt-wallet-recvhju1cr3ccm</t>
        </is>
      </c>
      <c r="T95"/>
      <c r="U95"/>
      <c r="V95"/>
      <c r="W95" t="inlineStr">
        <is>
          <t>{"id":"chatcmpl-DZR9T5lOF3MUGyxHuRmh8eMIzXVlX","object":"chat.completion","created":1777338223,"model":"gpt-5-chat-2025-10-03","choices":[{"index":0,"message":{"role":"assistant","content":"Louis Vuitton：Damier Graphite 黑灰格纹系列男士皮带钱包套装，甄选头层牛皮材质搭配金色LV标扣，展现现代绅士奢华格调，商务与日常兼具，彰显品牌经典法式优雅。","refusal":null,"annotations":[]},"logprobs":null,"finish_reason":"stop"}],"usage":{"prompt_tokens":1297,"completion_tokens":66,"total_tokens":1363,"prompt_tokens_details":{"cached_tokens":0,"audio_tokens":0},"completion_tokens_details":{"reasoning_tokens":0,"audio_tokens":0,"accepted_prediction_tokens":0,"rejected_prediction_tokens":0}},"service_tier":"default","system_fingerprint":"fp_ad66631dec"}</t>
        </is>
      </c>
      <c r="X95" t="inlineStr">
        <is>
          <t>Louis Vuitton：Damier Graphite 黑灰格纹系列男士皮带钱包套装，甄选头层牛皮材质搭配金色LV标扣，展现现代绅士奢华格调，商务与日常兼具，彰显品牌经典法式优雅。</t>
        </is>
      </c>
    </row>
    <row r="96" ht="25.5" customHeight="1">
      <c r="A96">
        <v>1654975475</v>
      </c>
      <c r="B96">
        <v>7620823557</v>
      </c>
      <c r="C96" s="2" t="str">
        <f>=HYPERLINK("https://weidian.com/item.html?itemID=7620823557", "https://weidian.com/item.html?itemID=7620823557")</f>
        <v>https://weidian.com/item.html?itemID=7620823557</v>
      </c>
      <c r="D96"/>
      <c r="E96" s="2" t="str">
        <f>=HYPERLINK("https://si.geilicdn.com/pcitem2014204438-5e2d0000019ad856f7cc0a23047e_1080_1080.jpg?w=640&amp;h=640", "https://si.geilicdn.com/pcitem2014204438-5e2d0000019ad856f7cc0a23047e_1080_1080.jpg?w=640&amp;h=640")</f>
        <v>https://si.geilicdn.com/pcitem2014204438-5e2d0000019ad856f7cc0a23047e_1080_1080.jpg?w=640&amp;h=640</v>
      </c>
      <c r="F96" t="inlineStr">
        <is>
          <t>Accessories</t>
        </is>
      </c>
      <c r="G96" t="inlineStr">
        <is>
          <t>Hermes</t>
        </is>
      </c>
      <c r="H96">
        <v>410</v>
      </c>
      <c r="I96">
        <v>59.42</v>
      </c>
      <c r="J96" t="inlineStr">
        <is>
          <t>{"id":"chatcmpl-DZSNT0xvRy2nGCTwSd1FlBR9cjLSN","object":"chat.completion","created":1777342935,"model":"gpt-5-chat-2025-10-03","choices":[{"index":0,"message":{"role":"assistant","content":"Hermes Black Knight Leather Belt Men Matte Buckle","refusal":null,"annotations":[]},"logprobs":null,"finish_reason":"stop"}],"usage":{"prompt_tokens":883,"completion_tokens":11,"total_tokens":894,"prompt_tokens_details":{"cached_tokens":0,"audio_tokens":0},"completion_tokens_details":{"reasoning_tokens":0,"audio_tokens":0,"accepted_prediction_tokens":0,"rejected_prediction_tokens":0}},"service_tier":"default","system_fingerprint":"fp_ad66631dec"}</t>
        </is>
      </c>
      <c r="K96" t="inlineStr">
        <is>
          <t>Hermes Black Knight Leather Belt Men Matte Buckle</t>
        </is>
      </c>
      <c r="L96" t="inlineStr">
        <is>
          <t>{"id":"chatcmpl-DZRdaOWYlJtq4NWDfLxAEt7ciqVrP","object":"chat.completion","created":1777340090,"model":"gpt-5-chat-2025-10-03","choices":[{"index":0,"message":{"role":"assistant","content":"Hermes Black Knight Motif Leather Belt – crafted from premium top-grain cowhide with a matte black oval buckle featuring the classic knight emblem. Elegant, durable, perfect for business or casual style.","refusal":null,"annotations":[]},"logprobs":null,"finish_reason":"stop"}],"usage":{"prompt_tokens":922,"completion_tokens":41,"total_tokens":963,"prompt_tokens_details":{"cached_tokens":0,"audio_tokens":0},"completion_tokens_details":{"reasoning_tokens":0,"audio_tokens":0,"accepted_prediction_tokens":0,"rejected_prediction_tokens":0}},"service_tier":"default","system_fingerprint":"fp_ad66631dec"}</t>
        </is>
      </c>
      <c r="M96" t="inlineStr">
        <is>
          <t>{"alt-svc":"h3=\":443\"; ma=2592000","apim-request-id":"e0a00947-852c-446e-b53e-8e27a0695c20","azureml-model-session":"d20260402083108-57a85543","cache-control":"no-cache","connection":"close","content-length":"1013","content-type":"application/json","date":"Tue, 28 Apr 2026 01:34:52 GMT","server":"nginx","skip-error-remapping":"true","strict-transport-security":"max-age=31536000; includeSubDomains; preload","via":"1.1 Caddy","x-content-type-options":"nosniff","x-ms-client-request-id":"Not-Set","x-ms-is-spilled-over":"false","x-ms-rai-invoked":"false","x-ms-region":"West US","x-new-api-version":"0.4.35","x-oneapi-request-id":"202604280134492820604618268d9d6UCxDaV5o","x-ratelimit-abusepenalty-active":"False","x-ratelimit-key":"gpt-5-chat-global","x-ratelimit-limit-requests":"1000","x-ratelimit-limit-tokens":"1000000","x-ratelimit-remaining-requests":"998","x-ratelimit-remaining-tokens":"997605","x-ratelimit-renewalperiod-requests":"60","x-ratelimit-renewalperiod-tokens":"60","x-ratelimit-reset-requests":"105","x-ratelimit-reset-tokens":"143","x-request-id":"8970e23f-e0df-46e7-ab2a-956853f04555"}</t>
        </is>
      </c>
      <c r="N96" t="inlineStr">
        <is>
          <t>Hermes Black Knight Motif Leather Belt – crafted from premium top-grain cowhide with a matte black oval buckle featuring the classic knight emblem. Elegant, durable, perfect for business or casual style.</t>
        </is>
      </c>
      <c r="O96" t="inlineStr">
        <is>
          <t>{"id":"chatcmpl-DZSb0fBq7MXwmiKDValG3pA7N3pwZ","object":"chat.completion","created":1777343774,"model":"gpt-5-chat-2025-10-03","choices":[{"index":0,"message":{"role":"assistant","content":"Hermes,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6" t="inlineStr">
        <is>
          <t>Hermes,Accessories,kakobuy,kakebuy2026,kekobuysheet,kakobuysheet2026,2026kakobuy,kakobuyspreadsheeet,kakobuylink,kakebuylist,Kakobuy MEGA Spreadsheet,kakobuysheetfind,kakobuysheetfind2026,2026kakobuysheetfind,kakobuysheet2026</t>
        </is>
      </c>
      <c r="Q96"/>
      <c r="R96" t="inlineStr">
        <is>
          <t>recvhju1CrIDPl</t>
        </is>
      </c>
      <c r="S96" t="inlineStr">
        <is>
          <t>hermes-black-knight-leather-belt-matte-buckle-recvhju1cr</t>
        </is>
      </c>
      <c r="T96"/>
      <c r="U96"/>
      <c r="V96"/>
      <c r="W96" t="inlineStr">
        <is>
          <t>{"id":"chatcmpl-DZRCzmiHPxOKpHE02HAEqkqmsX65g","object":"chat.completion","created":1777338441,"model":"gpt-5-chat-2025-10-03","choices":[{"index":0,"message":{"role":"assistant","content":"Hermes：黑色骑士图腾牛皮腰带，甄选头层真皮材质，质感细腻柔韧，搭配哑黑椭圆扣头饰以经典骑士徽章元素，彰显品牌雅致格调。简约硬朗设计，适合商务与休闲场合，男士优雅必备精品配饰。","refusal":null,"annotations":[]},"logprobs":null,"finish_reason":"stop"}],"usage":{"prompt_tokens":1305,"completion_tokens":86,"total_tokens":1391,"prompt_tokens_details":{"cached_tokens":0,"audio_tokens":0},"completion_tokens_details":{"reasoning_tokens":0,"audio_tokens":0,"accepted_prediction_tokens":0,"rejected_prediction_tokens":0}},"service_tier":"default","system_fingerprint":"fp_ad66631dec"}</t>
        </is>
      </c>
      <c r="X96" t="inlineStr">
        <is>
          <t>Hermes：黑色骑士图腾牛皮腰带，甄选头层真皮材质，质感细腻柔韧，搭配哑黑椭圆扣头饰以经典骑士徽章元素，彰显品牌雅致格调。简约硬朗设计，适合商务与休闲场合，男士优雅必备精品配饰。</t>
        </is>
      </c>
    </row>
    <row r="97" ht="25.5" customHeight="1">
      <c r="A97">
        <v>1654975475</v>
      </c>
      <c r="B97">
        <v>7623840784</v>
      </c>
      <c r="C97" s="2" t="str">
        <f>=HYPERLINK("https://weidian.com/item.html?itemID=7623840784", "https://weidian.com/item.html?itemID=7623840784")</f>
        <v>https://weidian.com/item.html?itemID=7623840784</v>
      </c>
      <c r="D97"/>
      <c r="E97" s="2" t="str">
        <f>=HYPERLINK("https://si.geilicdn.com/pcitem2014204438-60f40000019ad8604d2d0a23047e_1442_1922.jpg?w=640&amp;h=640", "https://si.geilicdn.com/pcitem2014204438-60f40000019ad8604d2d0a23047e_1442_1922.jpg?w=640&amp;h=640")</f>
        <v>https://si.geilicdn.com/pcitem2014204438-60f40000019ad8604d2d0a23047e_1442_1922.jpg?w=640&amp;h=640</v>
      </c>
      <c r="F97" t="inlineStr">
        <is>
          <t>Accessories</t>
        </is>
      </c>
      <c r="G97" t="inlineStr">
        <is>
          <t>Hermes</t>
        </is>
      </c>
      <c r="H97">
        <v>460</v>
      </c>
      <c r="I97">
        <v>66.67</v>
      </c>
      <c r="J97" t="inlineStr">
        <is>
          <t>{"id":"chatcmpl-DZSIhwN98Di2KNBzupF6HZ8pTShDV","object":"chat.completion","created":1777342639,"model":"gpt-5-chat-2025-10-03","choices":[{"index":0,"message":{"role":"assistant","content":"Hermes 38mm Reversible Togo Leather H Buckle Belt","refusal":null,"annotations":[]},"logprobs":null,"finish_reason":"stop"}],"usage":{"prompt_tokens":889,"completion_tokens":15,"total_tokens":904,"prompt_tokens_details":{"cached_tokens":0,"audio_tokens":0},"completion_tokens_details":{"reasoning_tokens":0,"audio_tokens":0,"accepted_prediction_tokens":0,"rejected_prediction_tokens":0}},"service_tier":"default","system_fingerprint":"fp_ad66631dec"}</t>
        </is>
      </c>
      <c r="K97" t="inlineStr">
        <is>
          <t>Hermes 38mm Reversible Togo Leather H Buckle Belt</t>
        </is>
      </c>
      <c r="L97" t="inlineStr">
        <is>
          <t>{"id":"chatcmpl-DZRdJlx44wJur2bihNmFlmkgz5Q3C","object":"chat.completion","created":1777340073,"model":"gpt-5-chat-2025-10-03","choices":[{"index":0,"message":{"role":"assistant","content":"Hermes 38mm Reversible Belt with Iconic Silver H Buckle, Made from Premium Togo Calfskin Leather, Gray and Black Sides, Unisex, Elegant French Luxury for Modern Urban Style.","refusal":null,"annotations":[]},"logprobs":null,"finish_reason":"stop"}],"usage":{"prompt_tokens":894,"completion_tokens":44,"total_tokens":938,"prompt_tokens_details":{"cached_tokens":0,"audio_tokens":0},"completion_tokens_details":{"reasoning_tokens":0,"audio_tokens":0,"accepted_prediction_tokens":0,"rejected_prediction_tokens":0}},"service_tier":"default","system_fingerprint":"fp_ad66631dec"}</t>
        </is>
      </c>
      <c r="M97" t="inlineStr">
        <is>
          <t>{"alt-svc":"h3=\":443\"; ma=2592000","apim-request-id":"20e85bce-04fd-41db-8aeb-d835b3310e03","azureml-model-session":"d20260405225800-40f19e54","cache-control":"no-cache","connection":"close","content-length":"981","content-type":"application/json","date":"Tue, 28 Apr 2026 01:34:35 GMT","server":"nginx","skip-error-remapping":"true","strict-transport-security":"max-age=31536000; includeSubDomains; preload","via":"1.1 Caddy","x-content-type-options":"nosniff","x-ms-client-request-id":"Not-Set","x-ms-is-spilled-over":"false","x-ms-rai-invoked":"false","x-ms-region":"Poland Central","x-new-api-version":"0.4.35","x-oneapi-request-id":"202604280134306003210318268d9d6J8NQ0pLD","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992d67bb-2126-46cd-8ef9-cfaaa22c156c"}</t>
        </is>
      </c>
      <c r="N97" t="inlineStr">
        <is>
          <t>Hermes 38mm Reversible Belt with Iconic Silver H Buckle, Made from Premium Togo Calfskin Leather, Gray and Black Sides, Unisex, Elegant French Luxury for Modern Urban Style.</t>
        </is>
      </c>
      <c r="O97" t="inlineStr">
        <is>
          <t>{"id":"chatcmpl-DZSZLZe2j9c96C9F3uSWGniBGadrh","object":"chat.completion","created":1777343671,"model":"gpt-5-chat-2025-10-03","choices":[{"index":0,"message":{"role":"assistant","content":"Hermes,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7" t="inlineStr">
        <is>
          <t>Hermes, Belt, kakobuy, kakebuy2026, kekobuysheet, kakobuysheet2026, 2026kakobuy, kakobuyspreadsheeet, kakobuylink, kakebuylist, Kakobuy MEGA Spreadsheet, kakobuysheetfind, kakobuysheetfind2026, 2026kakobuysheetfind, kakobuysheet2026</t>
        </is>
      </c>
      <c r="Q97"/>
      <c r="R97" t="inlineStr">
        <is>
          <t>recvhju1Cr29gy</t>
        </is>
      </c>
      <c r="S97" t="inlineStr">
        <is>
          <t>hermes-38mm-reversible-togo-leather-h-buckle-belt-recvhju1cr29gy</t>
        </is>
      </c>
      <c r="T97"/>
      <c r="U97"/>
      <c r="V97"/>
      <c r="W97" t="inlineStr">
        <is>
          <t>{"id":"chatcmpl-DZR8d3vfZLVonpBHktp9sQwPRz6ds","object":"chat.completion","created":1777338171,"model":"gpt-5-chat-2025-10-03","choices":[{"index":0,"message":{"role":"assistant","content":"Hermes：38mm双面皮带，经典银色H字扣设计，甄选Togo小牛皮材质，灰黑双色可换，简约优雅，男女通用，展现法式高端质感与现代都市风格。","refusal":null,"annotations":[]},"logprobs":null,"finish_reason":"stop"}],"usage":{"prompt_tokens":1303,"completion_tokens":59,"total_tokens":1362,"prompt_tokens_details":{"cached_tokens":0,"audio_tokens":0},"completion_tokens_details":{"reasoning_tokens":0,"audio_tokens":0,"accepted_prediction_tokens":0,"rejected_prediction_tokens":0}},"service_tier":"default","system_fingerprint":"fp_ad66631dec"}</t>
        </is>
      </c>
      <c r="X97" t="inlineStr">
        <is>
          <t>Hermes：38mm双面皮带，经典银色H字扣设计，甄选Togo小牛皮材质，灰黑双色可换，简约优雅，男女通用，展现法式高端质感与现代都市风格。</t>
        </is>
      </c>
    </row>
    <row r="98" ht="25.5" customHeight="1">
      <c r="A98">
        <v>1654975475</v>
      </c>
      <c r="B98">
        <v>7620904095</v>
      </c>
      <c r="C98" s="2" t="str">
        <f>=HYPERLINK("https://weidian.com/item.html?itemID=7620904095", "https://weidian.com/item.html?itemID=7620904095")</f>
        <v>https://weidian.com/item.html?itemID=7620904095</v>
      </c>
      <c r="D98"/>
      <c r="E98" s="2" t="str">
        <f>=HYPERLINK("https://si.geilicdn.com/pcitem2014204438-52d10000019ad85de1b40a239646_1442_1922.jpg?w=640&amp;h=640", "https://si.geilicdn.com/pcitem2014204438-52d10000019ad85de1b40a239646_1442_1922.jpg?w=640&amp;h=640")</f>
        <v>https://si.geilicdn.com/pcitem2014204438-52d10000019ad85de1b40a239646_1442_1922.jpg?w=640&amp;h=640</v>
      </c>
      <c r="F98" t="inlineStr">
        <is>
          <t>Accessories</t>
        </is>
      </c>
      <c r="G98" t="inlineStr">
        <is>
          <t>Versace</t>
        </is>
      </c>
      <c r="H98">
        <v>460</v>
      </c>
      <c r="I98">
        <v>66.67</v>
      </c>
      <c r="J98" t="inlineStr">
        <is>
          <t>{"id":"chatcmpl-DZSNU26K6Vt74ysEm7NmpXeL6zVd4","object":"chat.completion","created":1777342936,"model":"gpt-5-chat-2025-10-03","choices":[{"index":0,"message":{"role":"assistant","content":"Versace Grey Leather Belt Black Medusa Buckle Unisex","refusal":null,"annotations":[]},"logprobs":null,"finish_reason":"stop"}],"usage":{"prompt_tokens":865,"completion_tokens":13,"total_tokens":878,"prompt_tokens_details":{"cached_tokens":0,"audio_tokens":0},"completion_tokens_details":{"reasoning_tokens":0,"audio_tokens":0,"accepted_prediction_tokens":0,"rejected_prediction_tokens":0}},"service_tier":"default","system_fingerprint":"fp_ad66631dec"}</t>
        </is>
      </c>
      <c r="K98" t="inlineStr">
        <is>
          <t>Versace Grey Leather Belt Black Medusa Buckle Unisex</t>
        </is>
      </c>
      <c r="L98" t="inlineStr">
        <is>
          <t>{"id":"chatcmpl-DZRe1W05b93xO1qW50jWFHscwzlfN","object":"chat.completion","created":1777340117,"model":"gpt-5-chat-2025-10-03","choices":[{"index":0,"message":{"role":"assistant","content":"Versace Grey Leather Belt with iconic black Medusa buckle, unisex Italian luxury design, modern and elegant, perfect for elevating any urban fashion outfit.","refusal":null,"annotations":[]},"logprobs":null,"finish_reason":"stop"}],"usage":{"prompt_tokens":897,"completion_tokens":32,"total_tokens":929,"prompt_tokens_details":{"cached_tokens":0,"audio_tokens":0},"completion_tokens_details":{"reasoning_tokens":0,"audio_tokens":0,"accepted_prediction_tokens":0,"rejected_prediction_tokens":0}},"service_tier":"default","system_fingerprint":"fp_ad66631dec"}</t>
        </is>
      </c>
      <c r="M98" t="inlineStr">
        <is>
          <t>{"alt-svc":"h3=\":443\"; ma=2592000","apim-request-id":"594f20ce-22c1-4e81-a96b-38faf6b3a8dc","azureml-model-session":"d20260402084046-4209e968","cache-control":"no-cache","connection":"close","content-length":"964","content-type":"application/json","date":"Tue, 28 Apr 2026 01:35:18 GMT","server":"nginx","skip-error-remapping":"true","strict-transport-security":"max-age=31536000; includeSubDomains; preload","via":"1.1 Caddy","x-content-type-options":"nosniff","x-ms-client-request-id":"Not-Set","x-ms-is-spilled-over":"false","x-ms-rai-invoked":"false","x-ms-region":"Poland Central","x-new-api-version":"0.4.35","x-oneapi-request-id":"202604280135153974539578268d9d6IWjkAeVH","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00df9328-02f0-4c91-8429-f978fc782391"}</t>
        </is>
      </c>
      <c r="N98" t="inlineStr">
        <is>
          <t>Versace Grey Leather Belt with iconic black Medusa buckle, unisex Italian luxury design, modern and elegant, perfect for elevating any urban fashion outfit.</t>
        </is>
      </c>
      <c r="O98" t="inlineStr">
        <is>
          <t>{"id":"chatcmpl-DZSXQYGjGuxZMRlJJKOKRBYYzYc9z","object":"chat.completion","created":1777343552,"model":"gpt-5-chat-2025-10-03","choices":[{"index":0,"message":{"role":"assistant","content":"Versace,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8" t="inlineStr">
        <is>
          <t>Versace,Belt,kakobuy,kakebuy2026,kekobuysheet,kakobuysheet2026,2026kakobuy,kakobuyspreadsheeet,kakobuylink,kakebuylist,Kakobuy MEGA Spreadsheet,kakobuysheetfind,kakobuysheetfind2026,2026kakobuysheetfind,kakobuysheet2026</t>
        </is>
      </c>
      <c r="Q98"/>
      <c r="R98" t="inlineStr">
        <is>
          <t>recvhju1CrKXAN</t>
        </is>
      </c>
      <c r="S98" t="inlineStr">
        <is>
          <t>versace-grey-leather-belt-medusa-buckle-recvhju1crkxa</t>
        </is>
      </c>
      <c r="T98"/>
      <c r="U98"/>
      <c r="V98"/>
      <c r="W98" t="inlineStr">
        <is>
          <t>{"id":"chatcmpl-DZR7TJZNIBECrscp9ZZ29ty7CD5VY","object":"chat.completion","created":1777338099,"model":"gpt-5-chat-2025-10-03","choices":[{"index":0,"message":{"role":"assistant","content":"Versace：灰色真皮腰带，饰以标志性美杜莎黑色金属扣，意式奢华设计，低调又张扬，适合男女通用，彰显摩登优雅格调，完美点缀都市时尚穿搭。","refusal":null,"annotations":[]},"logprobs":null,"finish_reason":"stop"}],"usage":{"prompt_tokens":1299,"completion_tokens":64,"total_tokens":1363,"prompt_tokens_details":{"cached_tokens":0,"audio_tokens":0},"completion_tokens_details":{"reasoning_tokens":0,"audio_tokens":0,"accepted_prediction_tokens":0,"rejected_prediction_tokens":0}},"service_tier":"default","system_fingerprint":"fp_ad66631dec"}</t>
        </is>
      </c>
      <c r="X98" t="inlineStr">
        <is>
          <t>Versace：灰色真皮腰带，饰以标志性美杜莎黑色金属扣，意式奢华设计，低调又张扬，适合男女通用，彰显摩登优雅格调，完美点缀都市时尚穿搭。</t>
        </is>
      </c>
    </row>
    <row r="99" ht="25.5" customHeight="1">
      <c r="A99">
        <v>1654975475</v>
      </c>
      <c r="B99">
        <v>7623828606</v>
      </c>
      <c r="C99" s="2" t="str">
        <f>=HYPERLINK("https://weidian.com/item.html?itemID=7623828606", "https://weidian.com/item.html?itemID=7623828606")</f>
        <v>https://weidian.com/item.html?itemID=7623828606</v>
      </c>
      <c r="D99"/>
      <c r="E99" s="2" t="str">
        <f>=HYPERLINK("https://si.geilicdn.com/pcitem2014204438-6d4f0000019ad86f0a300a2303ee_1080_810.jpg?w=640&amp;h=640", "https://si.geilicdn.com/pcitem2014204438-6d4f0000019ad86f0a300a2303ee_1080_810.jpg?w=640&amp;h=640")</f>
        <v>https://si.geilicdn.com/pcitem2014204438-6d4f0000019ad86f0a300a2303ee_1080_810.jpg?w=640&amp;h=640</v>
      </c>
      <c r="F99" t="inlineStr">
        <is>
          <t>Accessories</t>
        </is>
      </c>
      <c r="G99" t="inlineStr">
        <is>
          <t>Salvatore Ferragamo</t>
        </is>
      </c>
      <c r="H99">
        <v>460</v>
      </c>
      <c r="I99">
        <v>66.67</v>
      </c>
      <c r="J99" t="inlineStr">
        <is>
          <t>{"id":"chatcmpl-DZSJRr4xhu3rClc5NA2omDIKr3Q1q","object":"chat.completion","created":1777342685,"model":"gpt-5-chat-2025-10-03","choices":[{"index":0,"message":{"role":"assistant","content":"Salvatore Ferragamo Gancini Reversible Black Leather Belt","refusal":null,"annotations":[]},"logprobs":null,"finish_reason":"stop"}],"usage":{"prompt_tokens":600,"completion_tokens":14,"total_tokens":614,"prompt_tokens_details":{"cached_tokens":0,"audio_tokens":0},"completion_tokens_details":{"reasoning_tokens":0,"audio_tokens":0,"accepted_prediction_tokens":0,"rejected_prediction_tokens":0}},"service_tier":"default","system_fingerprint":"fp_ad66631dec"}</t>
        </is>
      </c>
      <c r="K99" t="inlineStr">
        <is>
          <t>Salvatore Ferragamo Gancini Reversible Black Leather Belt</t>
        </is>
      </c>
      <c r="L99" t="inlineStr">
        <is>
          <t>{"id":"chatcmpl-DZRdVDJoZ2sp8WrnR2prGU9CAxeIm","object":"chat.completion","created":1777340085,"model":"gpt-5-chat-2025-10-03","choices":[{"index":0,"message":{"role":"assistant","content":"Salvatore Ferragamo Gancini reversible black leather belt with sleek metal buckle, crafted from premium cowhide for refined Italian elegance—perfect for modern gentleman’s daily and business style.","refusal":null,"annotations":[]},"logprobs":null,"finish_reason":"stop"}],"usage":{"prompt_tokens":622,"completion_tokens":38,"total_tokens":660,"prompt_tokens_details":{"cached_tokens":0,"audio_tokens":0},"completion_tokens_details":{"reasoning_tokens":0,"audio_tokens":0,"accepted_prediction_tokens":0,"rejected_prediction_tokens":0}},"service_tier":"default","system_fingerprint":"fp_ad66631dec"}</t>
        </is>
      </c>
      <c r="M99" t="inlineStr">
        <is>
          <t>{"alt-svc":"h3=\":443\"; ma=2592000","apim-request-id":"cc885477-fbc1-4351-b189-7f3f49db9715","azureml-model-session":"d20260405221325-2e8d5e76","cache-control":"no-cache","connection":"close","content-length":"1009","content-type":"application/json","date":"Tue, 28 Apr 2026 01:34:46 GMT","server":"nginx","skip-error-remapping":"true","strict-transport-security":"max-age=31536000; includeSubDomains; preload","via":"1.1 Caddy","x-content-type-options":"nosniff","x-ms-client-request-id":"Not-Set","x-ms-is-spilled-over":"false","x-ms-rai-invoked":"false","x-ms-region":"Central US","x-new-api-version":"0.4.35","x-oneapi-request-id":"202604280134451750394498268d9d6xZ3vZrI2","x-ratelimit-abusepenalty-active":"False","x-ratelimit-key":"gpt-5-chat-global","x-ratelimit-limit-requests":"1000","x-ratelimit-limit-tokens":"1000000","x-ratelimit-remaining-requests":"999","x-ratelimit-remaining-tokens":"998614","x-ratelimit-renewalperiod-requests":"60","x-ratelimit-renewalperiod-tokens":"60","x-ratelimit-reset-requests":"60","x-ratelimit-reset-tokens":"83","x-request-id":"4a0cd993-8af3-4649-b70c-c97a0ee7a50f"}</t>
        </is>
      </c>
      <c r="N99" t="inlineStr">
        <is>
          <t>Salvatore Ferragamo Gancini reversible black leather belt with sleek metal buckle, crafted from premium cowhide for refined Italian elegance—perfect for modern gentleman’s daily and business style.</t>
        </is>
      </c>
      <c r="O99" t="inlineStr">
        <is>
          <t>{"id":"chatcmpl-DZSaM7SIfT7anjCDuLJs8FhBFubPF","object":"chat.completion","created":1777343734,"model":"gpt-5-chat-2025-10-03","choices":[{"index":0,"message":{"role":"assistant","content":"Salvatore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505,"completion_tokens":94,"total_tokens":599,"prompt_tokens_details":{"cached_tokens":0,"audio_tokens":0},"completion_tokens_details":{"reasoning_tokens":0,"audio_tokens":0,"accepted_prediction_tokens":0,"rejected_prediction_tokens":0}},"service_tier":"default","system_fingerprint":"fp_ad66631dec"}</t>
        </is>
      </c>
      <c r="P99" t="inlineStr">
        <is>
          <t>Salvatore Ferragamo, Accessories, kakobuy, kakebuy2026, kekobuysheet, kakobuysheet2026, 2026kakobuy, kakobuyspreadsheeet, kakobuylink, kakebuylist, Kakobuy MEGA Spreadsheet, kakobuysheetfind, kakobuysheetfind2026, 2026kakobuysheetfind, kakobuysheet2026</t>
        </is>
      </c>
      <c r="Q99" t="inlineStr">
        <is>
          <t>Leather, Black, Business, Business Formal, Cowhide, Genuine Leather</t>
        </is>
      </c>
      <c r="R99" t="inlineStr">
        <is>
          <t>recvhju1Crm8RX</t>
        </is>
      </c>
      <c r="S99" t="inlineStr">
        <is>
          <t>ferragamo-gancini-reversible-black-leather-belt-recvhju1crm8rx</t>
        </is>
      </c>
      <c r="T99"/>
      <c r="U99"/>
      <c r="V99"/>
      <c r="W99" t="inlineStr">
        <is>
          <t>{"id":"chatcmpl-DZR8JBQtFl90bl7c3YeD7UbSZR74Q","object":"chat.completion","created":1777338151,"model":"gpt-5-chat-2025-10-03","choices":[{"index":0,"message":{"role":"assistant","content":"Salvatore Ferragamo：Gancini系列黑色双面皮带，采用优质头层牛皮与金属扣设计，低调雅致彰显品牌经典格调，意式简约风格，适合现代绅士日常与商务场合佩戴。","refusal":null,"annotations":[]},"logprobs":null,"finish_reason":"stop"}],"usage":{"prompt_tokens":1029,"completion_tokens":64,"total_tokens":1093,"prompt_tokens_details":{"cached_tokens":0,"audio_tokens":0},"completion_tokens_details":{"reasoning_tokens":0,"audio_tokens":0,"accepted_prediction_tokens":0,"rejected_prediction_tokens":0}},"service_tier":"default","system_fingerprint":"fp_ad66631dec"}</t>
        </is>
      </c>
      <c r="X99" t="inlineStr">
        <is>
          <t>Salvatore Ferragamo：Gancini系列黑色双面皮带，采用优质头层牛皮与金属扣设计，低调雅致彰显品牌经典格调，意式简约风格，适合现代绅士日常与商务场合佩戴。</t>
        </is>
      </c>
    </row>
    <row r="100" ht="25.5" customHeight="1">
      <c r="A100">
        <v>1654975475</v>
      </c>
      <c r="B100">
        <v>7622567446</v>
      </c>
      <c r="C100" s="2" t="str">
        <f>=HYPERLINK("https://weidian.com/item.html?itemID=7622567446", "https://weidian.com/item.html?itemID=7622567446")</f>
        <v>https://weidian.com/item.html?itemID=7622567446</v>
      </c>
      <c r="D100"/>
      <c r="E100" s="2" t="str">
        <f>=HYPERLINK("https://si.geilicdn.com/pcitem2014204438-58780000019ad848061b0a230115_1080_1080.jpg?w=640&amp;h=640", "https://si.geilicdn.com/pcitem2014204438-58780000019ad848061b0a230115_1080_1080.jpg?w=640&amp;h=640")</f>
        <v>https://si.geilicdn.com/pcitem2014204438-58780000019ad848061b0a230115_1080_1080.jpg?w=640&amp;h=640</v>
      </c>
      <c r="F100" t="inlineStr">
        <is>
          <t>Accessories</t>
        </is>
      </c>
      <c r="G100" t="inlineStr">
        <is>
          <t>Versace</t>
        </is>
      </c>
      <c r="H100">
        <v>520</v>
      </c>
      <c r="I100">
        <v>75.36</v>
      </c>
      <c r="J100" t="inlineStr">
        <is>
          <t>{"id":"chatcmpl-DZSJsNTrIhlbya4ulStmwmmiy9E7O","object":"chat.completion","created":1777342712,"model":"gpt-5-chat-2025-10-03","choices":[{"index":0,"message":{"role":"assistant","content":"Versace Men’s Dark Brown Leather Belt Set Dual Buckles","refusal":null,"annotations":[]},"logprobs":null,"finish_reason":"stop"}],"usage":{"prompt_tokens":879,"completion_tokens":13,"total_tokens":892,"prompt_tokens_details":{"cached_tokens":0,"audio_tokens":0},"completion_tokens_details":{"reasoning_tokens":0,"audio_tokens":0,"accepted_prediction_tokens":0,"rejected_prediction_tokens":0}},"service_tier":"default","system_fingerprint":"fp_ad66631dec"}</t>
        </is>
      </c>
      <c r="K100" t="inlineStr">
        <is>
          <t>Versace Men’s Dark Brown Leather Belt Set Dual Buckles</t>
        </is>
      </c>
      <c r="L100" t="inlineStr">
        <is>
          <t>{"id":"chatcmpl-DZReW4Q5enGgFR1BrlS2xK2dzgSdf","object":"chat.completion","created":1777340148,"model":"gpt-5-chat-2025-10-03","choices":[{"index":0,"message":{"role":"assistant","content":"Versace Men’s Classic Dark Brown Leather Belt Set, crafted from premium cowhide with dual gold and silver buckles and signature Medusa emblem, perfect for business or casual Italian luxury style.","refusal":null,"annotations":[]},"logprobs":null,"finish_reason":"stop"}],"usage":{"prompt_tokens":903,"completion_tokens":39,"total_tokens":942,"prompt_tokens_details":{"cached_tokens":0,"audio_tokens":0},"completion_tokens_details":{"reasoning_tokens":0,"audio_tokens":0,"accepted_prediction_tokens":0,"rejected_prediction_tokens":0}},"service_tier":"default","system_fingerprint":"fp_ad66631dec"}</t>
        </is>
      </c>
      <c r="M100" t="inlineStr">
        <is>
          <t>{"alt-svc":"h3=\":443\"; ma=2592000","apim-request-id":"7296ebbb-cfd7-4405-8287-38a44b957f53","azureml-model-session":"d20260402084046-4209e968","cache-control":"no-cache","connection":"close","content-length":"1005","content-type":"application/json","date":"Tue, 28 Apr 2026 01:35:50 GMT","server":"nginx","skip-error-remapping":"true","strict-transport-security":"max-age=31536000; includeSubDomains; preload","via":"1.1 Caddy","x-content-type-options":"nosniff","x-ms-client-request-id":"Not-Set","x-ms-is-spilled-over":"false","x-ms-rai-invoked":"false","x-ms-region":"West US","x-new-api-version":"0.4.35","x-oneapi-request-id":"202604280135474007096208268d9d6gEpjhDDY","x-ratelimit-abusepenalty-active":"False","x-ratelimit-key":"gpt-5-chat-global","x-ratelimit-limit-requests":"1000","x-ratelimit-limit-tokens":"1000000","x-ratelimit-remaining-requests":"999","x-ratelimit-remaining-tokens":"998335","x-ratelimit-renewalperiod-requests":"60","x-ratelimit-renewalperiod-tokens":"60","x-ratelimit-reset-requests":"60","x-ratelimit-reset-tokens":"99","x-request-id":"20007dcf-e5cb-403f-a8df-f039559651c0"}</t>
        </is>
      </c>
      <c r="N100" t="inlineStr">
        <is>
          <t>Versace Men’s Classic Dark Brown Leather Belt Set, crafted from premium cowhide with dual gold and silver buckles and signature Medusa emblem, perfect for business or casual Italian luxury style.</t>
        </is>
      </c>
      <c r="O100" t="inlineStr">
        <is>
          <t>{"id":"chatcmpl-DZSUagUqry8TMkkXdBUp2r3qPBzhH","object":"chat.completion","created":1777343376,"model":"gpt-5-chat-2025-10-03","choices":[{"index":0,"message":{"role":"assistant","content":"Versace,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00" t="inlineStr">
        <is>
          <t>Versace, Accessories, kakobuy, kakebuy2026, kekobuysheet, kakobuysheet2026, 2026kakobuy, kakobuyspreadsheeet, kakobuylink, kakebuylist, Kakobuy MEGA Spreadsheet, kakobuysheetfind, kakobuysheetfind2026, 2026kakobuysheetfind, kakobuysheet2026</t>
        </is>
      </c>
      <c r="Q100" t="inlineStr">
        <is>
          <t>Leather, Cowhide, Brown, Business, Business Casual, Men</t>
        </is>
      </c>
      <c r="R100" t="inlineStr">
        <is>
          <t>recvhju1CrCPuP</t>
        </is>
      </c>
      <c r="S100" t="inlineStr">
        <is>
          <t>versace-dark-brown-leather-belt-dual-buckles-recvhju1crpupu</t>
        </is>
      </c>
      <c r="T100"/>
      <c r="U100"/>
      <c r="V100"/>
      <c r="W100" t="inlineStr">
        <is>
          <t>{"id":"chatcmpl-DZR6zWhOh4FKNi9WZwmZcYkyhA5Rn","object":"chat.completion","created":1777338069,"model":"gpt-5-chat-2025-10-03","choices":[{"index":0,"message":{"role":"assistant","content":"Versace：经典系列深棕色男款真皮腰带套装，甄选头层牛皮材质，搭配金色与银色双扣设计，Medusa标志彰显奢华艺术风格，兼顾商务与休闲穿搭，展现品牌意式高定魅力。","refusal":null,"annotations":[]},"logprobs":null,"finish_reason":"stop"}],"usage":{"prompt_tokens":1295,"completion_tokens":72,"total_tokens":1367,"prompt_tokens_details":{"cached_tokens":0,"audio_tokens":0},"completion_tokens_details":{"reasoning_tokens":0,"audio_tokens":0,"accepted_prediction_tokens":0,"rejected_prediction_tokens":0}},"service_tier":"default","system_fingerprint":"fp_ad66631dec"}</t>
        </is>
      </c>
      <c r="X100" t="inlineStr">
        <is>
          <t>Versace：经典系列深棕色男款真皮腰带套装，甄选头层牛皮材质，搭配金色与银色双扣设计，Medusa标志彰显奢华艺术风格，兼顾商务与休闲穿搭，展现品牌意式高定魅力。</t>
        </is>
      </c>
    </row>
    <row r="101" ht="25.5" customHeight="1">
      <c r="A101">
        <v>1654975475</v>
      </c>
      <c r="B101">
        <v>7623852126</v>
      </c>
      <c r="C101" s="2" t="str">
        <f>=HYPERLINK("https://weidian.com/item.html?itemID=7623852126", "https://weidian.com/item.html?itemID=7623852126")</f>
        <v>https://weidian.com/item.html?itemID=7623852126</v>
      </c>
      <c r="D101"/>
      <c r="E101" s="2" t="str">
        <f>=HYPERLINK("https://si.geilicdn.com/pcitem2014204438-5af20000019ad851a1e80a230115_1536_2048.jpg?w=640&amp;h=640", "https://si.geilicdn.com/pcitem2014204438-5af20000019ad851a1e80a230115_1536_2048.jpg?w=640&amp;h=640")</f>
        <v>https://si.geilicdn.com/pcitem2014204438-5af20000019ad851a1e80a230115_1536_2048.jpg?w=640&amp;h=640</v>
      </c>
      <c r="F101" t="inlineStr">
        <is>
          <t>Accessories</t>
        </is>
      </c>
      <c r="G101" t="inlineStr">
        <is>
          <t>Saint Laurent</t>
        </is>
      </c>
      <c r="H101">
        <v>460</v>
      </c>
      <c r="I101">
        <v>66.67</v>
      </c>
      <c r="J101" t="inlineStr">
        <is>
          <t>{"id":"chatcmpl-DZSMH96g80XIxgpL705Myu7YQrQ2G","object":"chat.completion","created":1777342861,"model":"gpt-5-chat-2025-10-03","choices":[{"index":0,"message":{"role":"assistant","content":"Saint Laurent Black Croc Embossed Leather Belt","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01" t="inlineStr">
        <is>
          <t>Saint Laurent Black Croc Embossed Leather Belt</t>
        </is>
      </c>
      <c r="L101" t="inlineStr">
        <is>
          <t>{"id":"chatcmpl-DZRjvafSNm6djg5G6NH39SPJaeII0","object":"chat.completion","created":1777340483,"model":"gpt-5-chat-2025-10-03","choices":[{"index":0,"message":{"role":"assistant","content":"Saint Laurent black crocodile-embossed leather belt with silver square buckle, crafted from premium cowhide leather. Unisex luxury accessory with modern Parisian style for chic urban fashion.","refusal":null,"annotations":[]},"logprobs":null,"finish_reason":"stop"}],"usage":{"prompt_tokens":905,"completion_tokens":38,"total_tokens":943,"prompt_tokens_details":{"cached_tokens":0,"audio_tokens":0},"completion_tokens_details":{"reasoning_tokens":0,"audio_tokens":0,"accepted_prediction_tokens":0,"rejected_prediction_tokens":0}},"service_tier":"default","system_fingerprint":"fp_ad66631dec"}</t>
        </is>
      </c>
      <c r="M101" t="inlineStr">
        <is>
          <t>{"alt-svc":"h3=\":443\"; ma=2592000","apim-request-id":"b78fa511-dfc1-40f5-b1ef-c7060e270485","azureml-model-session":"d20260402075109-1fc5a0ec","cache-control":"no-cache","connection":"close","content-length":"999","content-type":"application/json","date":"Tue, 28 Apr 2026 01:41:24 GMT","server":"Caddy","skip-error-remapping":"true","strict-transport-security":"max-age=31536000; includeSubDomains; preload","x-content-type-options":"nosniff","x-ms-client-request-id":"Not-Set","x-ms-is-spilled-over":"false","x-ms-rai-invoked":"false","x-ms-region":"West US","x-new-api-version":"0.4.35","x-oneapi-request-id":"202604280141221985137108268d9d6EfKBNEwY","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846f196d-060c-4474-956a-502e0d458177"}</t>
        </is>
      </c>
      <c r="N101" t="inlineStr">
        <is>
          <t>Saint Laurent black crocodile-embossed leather belt with silver square buckle, crafted from premium cowhide leather. Unisex luxury accessory with modern Parisian style for chic urban fashion.</t>
        </is>
      </c>
      <c r="O101" t="inlineStr">
        <is>
          <t>{"id":"chatcmpl-DZSYF1YnYFVlxa96kMFhQNOBFFQJw","object":"chat.completion","created":1777343603,"model":"gpt-5-chat-2025-10-03","choices":[{"index":0,"message":{"role":"assistant","content":"Saint Laurent,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01" t="inlineStr">
        <is>
          <t>Saint Laurent, Belt, kakobuy, kakebuy2026, kekobuysheet, kakobuysheet2026, 2026kakobuy, kakobuyspreadsheeet, kakobuylink, kakebuylist, Kakobuy MEGA Spreadsheet, kakobuysheetfind, kakobuysheetfind2026, 2026kakobuysheetfind, kakobuysheet2026</t>
        </is>
      </c>
      <c r="Q101" t="inlineStr">
        <is>
          <t>Unisex, Crocodile Pattern, Black, Silver, Cowhide, Leather</t>
        </is>
      </c>
      <c r="R101" t="inlineStr">
        <is>
          <t>recvhju1CrzTPV</t>
        </is>
      </c>
      <c r="S101" t="inlineStr">
        <is>
          <t>saint-laurent-black-croc-embossed-leather-belt-recvhju1crztpv</t>
        </is>
      </c>
      <c r="T101"/>
      <c r="U101"/>
      <c r="V101"/>
      <c r="W101" t="inlineStr">
        <is>
          <t>{"id":"chatcmpl-DZRA9Iff9022NLPWcPcHavKFiotOz","object":"chat.completion","created":1777338265,"model":"gpt-5-chat-2025-10-03","choices":[{"index":0,"message":{"role":"assistant","content":"Saint Laurent 黑色鳄纹皮质腰带，甄选优质牛皮材质，搭配银色方形金属扣，简约又奢华。极具巴黎先锋设计风格，展现品牌标志性摩登气质，男女通用款，适合都市时尚穿搭。","refusal":null,"annotations":[]},"logprobs":null,"finish_reason":"stop"}],"usage":{"prompt_tokens":1299,"completion_tokens":72,"total_tokens":1371,"prompt_tokens_details":{"cached_tokens":1280,"audio_tokens":0},"completion_tokens_details":{"reasoning_tokens":0,"audio_tokens":0,"accepted_prediction_tokens":0,"rejected_prediction_tokens":0}},"service_tier":"default","system_fingerprint":"fp_ad66631dec"}</t>
        </is>
      </c>
      <c r="X101" t="inlineStr">
        <is>
          <t>Saint Laurent 黑色鳄纹皮质腰带，甄选优质牛皮材质，搭配银色方形金属扣，简约又奢华。极具巴黎先锋设计风格，展现品牌标志性摩登气质，男女通用款，适合都市时尚穿搭。</t>
        </is>
      </c>
    </row>
    <row r="102" ht="25.5" customHeight="1">
      <c r="A102">
        <v>1654975475</v>
      </c>
      <c r="B102">
        <v>7623872008</v>
      </c>
      <c r="C102" s="2" t="str">
        <f>=HYPERLINK("https://weidian.com/item.html?itemID=7623872008", "https://weidian.com/item.html?itemID=7623872008")</f>
        <v>https://weidian.com/item.html?itemID=7623872008</v>
      </c>
      <c r="D102"/>
      <c r="E102" s="2" t="str">
        <f>=HYPERLINK("https://si.geilicdn.com/pcitem2014204438-618e0000019ad854da9f0a23038e_2160_2160.jpg?w=640&amp;h=640", "https://si.geilicdn.com/pcitem2014204438-618e0000019ad854da9f0a23038e_2160_2160.jpg?w=640&amp;h=640")</f>
        <v>https://si.geilicdn.com/pcitem2014204438-618e0000019ad854da9f0a23038e_2160_2160.jpg?w=640&amp;h=640</v>
      </c>
      <c r="F102" t="inlineStr">
        <is>
          <t>Accessories</t>
        </is>
      </c>
      <c r="G102" t="inlineStr">
        <is>
          <t>Louis Vuitton</t>
        </is>
      </c>
      <c r="H102">
        <v>600</v>
      </c>
      <c r="I102">
        <v>86.96</v>
      </c>
      <c r="J102" t="inlineStr">
        <is>
          <t>{"id":"chatcmpl-DZSIb48qAApJmwOPBtjjFvaQR9EKC","object":"chat.completion","created":1777342633,"model":"gpt-5-chat-2025-10-03","choices":[{"index":0,"message":{"role":"assistant","content":"Louis Vuitton Monogram Brown Leather Belt Set","refusal":null,"annotations":[]},"logprobs":null,"finish_reason":"stop"}],"usage":{"prompt_tokens":871,"completion_tokens":9,"total_tokens":880,"prompt_tokens_details":{"cached_tokens":0,"audio_tokens":0},"completion_tokens_details":{"reasoning_tokens":0,"audio_tokens":0,"accepted_prediction_tokens":0,"rejected_prediction_tokens":0}},"service_tier":"default","system_fingerprint":"fp_ad66631dec"}</t>
        </is>
      </c>
      <c r="K102" t="inlineStr">
        <is>
          <t>Louis Vuitton Monogram Brown Leather Belt Set</t>
        </is>
      </c>
      <c r="L102" t="inlineStr">
        <is>
          <t>{"id":"chatcmpl-DZRdErxuv1rsWw2mrPYSp8mPxAWWX","object":"chat.completion","created":1777340068,"model":"gpt-5-chat-2025-10-03","choices":[{"index":0,"message":{"role":"assistant","content":"Louis Vuitton Monogram Brown Men's Belt Set – crafted from top-grain leather and polished steel buckle, blending French luxury with modern style for the ultimate gentleman’s business look.","refusal":null,"annotations":[]},"logprobs":null,"finish_reason":"stop"}],"usage":{"prompt_tokens":887,"completion_tokens":35,"total_tokens":922,"prompt_tokens_details":{"cached_tokens":0,"audio_tokens":0},"completion_tokens_details":{"reasoning_tokens":0,"audio_tokens":0,"accepted_prediction_tokens":0,"rejected_prediction_tokens":0}},"service_tier":"default","system_fingerprint":"fp_ad66631dec"}</t>
        </is>
      </c>
      <c r="M102" t="inlineStr">
        <is>
          <t>{"alt-svc":"h3=\":443\"; ma=2592000","apim-request-id":"a05f39a0-ffd8-44b8-ae89-fd7369f8b3a9","azureml-model-session":"d20260405212659-a9daa006","cache-control":"no-cache","connection":"close","content-length":"1000","content-type":"application/json","date":"Tue, 28 Apr 2026 01:34:29 GMT","server":"Caddy","skip-error-remapping":"true","strict-transport-security":"max-age=31536000; includeSubDomains; preload","x-content-type-options":"nosniff","x-ms-client-request-id":"Not-Set","x-ms-is-spilled-over":"false","x-ms-rai-invoked":"false","x-ms-region":"East US","x-new-api-version":"0.4.35","x-oneapi-request-id":"202604280134275650288538268d9d6memc3Cti","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3d107f51-2654-4ce6-a8c4-a9c668502650"}</t>
        </is>
      </c>
      <c r="N102" t="inlineStr">
        <is>
          <t>Louis Vuitton Monogram Brown Men's Belt Set – crafted from top-grain leather and polished steel buckle, blending French luxury with modern style for the ultimate gentleman’s business look.</t>
        </is>
      </c>
      <c r="O102" t="inlineStr">
        <is>
          <t>{"id":"chatcmpl-DZSZos4pCtZhUp597U5WkX74lcpgV","object":"chat.completion","created":1777343700,"model":"gpt-5-chat-2025-10-03","choices":[{"index":0,"message":{"role":"assistant","content":"Louis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02" t="inlineStr">
        <is>
          <t>Louis Vuitton, Accessories, kakobuy, kakebuy2026, kekobuysheet, kakobuysheet2026, 2026kakobuy, kakobuyspreadsheeet, kakobuylink, kakebuylist, Kakobuy MEGA Spreadsheet, kakobuysheetfind, kakobuysheetfind2026, 2026kakobuysheetfind, kakobuysheet2026</t>
        </is>
      </c>
      <c r="Q102" t="inlineStr">
        <is>
          <t>LV, Leather, Business, Black, Men</t>
        </is>
      </c>
      <c r="R102" t="inlineStr">
        <is>
          <t>recvhju1CrQSag</t>
        </is>
      </c>
      <c r="S102" t="inlineStr">
        <is>
          <t>louis-vuitton-monogram-brown-leather-belt-recvhju1crqsag</t>
        </is>
      </c>
      <c r="T102"/>
      <c r="U102"/>
      <c r="V102"/>
      <c r="W102" t="inlineStr">
        <is>
          <t>{"id":"chatcmpl-DZRDGDWh8sbMSvuS9nxqeUNuqxuJG","object":"chat.completion","created":1777338458,"model":"gpt-5-chat-2025-10-03","choices":[{"index":0,"message":{"role":"assistant","content":"Louis Vuitton：经典Monogram棕色男士腰带套装，采用头层牛皮与精钢扣设计，展现法式奢华与现代质感，时尚商务风格尽显绅士魅力。","refusal":null,"annotations":[]},"logprobs":null,"finish_reason":"stop"}],"usage":{"prompt_tokens":1301,"completion_tokens":53,"total_tokens":1354,"prompt_tokens_details":{"cached_tokens":0,"audio_tokens":0},"completion_tokens_details":{"reasoning_tokens":0,"audio_tokens":0,"accepted_prediction_tokens":0,"rejected_prediction_tokens":0}},"service_tier":"default","system_fingerprint":"fp_ad66631dec"}</t>
        </is>
      </c>
      <c r="X102" t="inlineStr">
        <is>
          <t>Louis Vuitton：经典Monogram棕色男士腰带套装，采用头层牛皮与精钢扣设计，展现法式奢华与现代质感，时尚商务风格尽显绅士魅力。</t>
        </is>
      </c>
    </row>
    <row r="103" ht="25.5" customHeight="1">
      <c r="A103">
        <v>1654975475</v>
      </c>
      <c r="B103">
        <v>7620878163</v>
      </c>
      <c r="C103" s="2" t="str">
        <f>=HYPERLINK("https://weidian.com/item.html?itemID=7620878163", "https://weidian.com/item.html?itemID=7620878163")</f>
        <v>https://weidian.com/item.html?itemID=7620878163</v>
      </c>
      <c r="D103"/>
      <c r="E103" s="2" t="str">
        <f>=HYPERLINK("https://si.geilicdn.com/pcitem2014204438-3b4f0000019ad85fd4860a20e2c5_1442_1922.jpg?w=640&amp;h=640", "https://si.geilicdn.com/pcitem2014204438-3b4f0000019ad85fd4860a20e2c5_1442_1922.jpg?w=640&amp;h=640")</f>
        <v>https://si.geilicdn.com/pcitem2014204438-3b4f0000019ad85fd4860a20e2c5_1442_1922.jpg?w=640&amp;h=640</v>
      </c>
      <c r="F103" t="inlineStr">
        <is>
          <t>Accessories</t>
        </is>
      </c>
      <c r="G103" t="inlineStr">
        <is>
          <t>Hermes</t>
        </is>
      </c>
      <c r="H103">
        <v>460</v>
      </c>
      <c r="I103">
        <v>66.67</v>
      </c>
      <c r="J103" t="inlineStr">
        <is>
          <t>{"id":"chatcmpl-DZSHuuJnKXGRehSvK5neCYlnUjM4I","object":"chat.completion","created":1777342590,"model":"gpt-5-chat-2025-10-03","choices":[{"index":0,"message":{"role":"assistant","content":"Hermes 38mm Blue Togo Leather Gold H Belt","refusal":null,"annotations":[]},"logprobs":null,"finish_reason":"stop"}],"usage":{"prompt_tokens":804,"completion_tokens":13,"total_tokens":817,"prompt_tokens_details":{"cached_tokens":0,"audio_tokens":0},"completion_tokens_details":{"reasoning_tokens":0,"audio_tokens":0,"accepted_prediction_tokens":0,"rejected_prediction_tokens":0}},"service_tier":"default","system_fingerprint":"fp_ad66631dec"}</t>
        </is>
      </c>
      <c r="K103" t="inlineStr">
        <is>
          <t>Hermes 38mm Blue Togo Leather Gold H Belt</t>
        </is>
      </c>
      <c r="L103"/>
      <c r="M103"/>
      <c r="N103"/>
      <c r="O103" t="inlineStr">
        <is>
          <t>{"id":"chatcmpl-DZSaRrz250FTOM5rOj3D0zCDJQnwh","object":"chat.completion","created":1777343739,"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3" t="inlineStr">
        <is>
          <t>Hermes,Belt,kakobuy,kakebuy2026,kekobuysheet,kakobuysheet2026,2026kakobuy,kakobuyspreadsheeet,kakobuylink,kakebuylist,Kakobuy MEGA Spreadsheet,kakobuysheetfind,kakobuysheetfind2026,2026kakobuysheetfind,kakobuysheet2026</t>
        </is>
      </c>
      <c r="Q103"/>
      <c r="R103" t="inlineStr">
        <is>
          <t>recvhju1CrYsAD</t>
        </is>
      </c>
      <c r="S103" t="inlineStr">
        <is>
          <t>hermes-38mm-blue-togo-leather-gold-h-belt-recvhju1crysad</t>
        </is>
      </c>
      <c r="T103"/>
      <c r="U103"/>
      <c r="V103"/>
      <c r="W103" t="inlineStr">
        <is>
          <t>{"id":"chatcmpl-DZRBWZvrwCTRbLAEkV626DclyQpBw","object":"chat.completion","created":1777338350,"model":"gpt-5-chat-2025-10-03","choices":[{"index":0,"message":{"role":"assistant","content":"Hermes：蓝色Togo皮38mm金色H扣皮带，选用奢华牛皮材质，纹理细腻质感出众，搭配经典金属扣设计，彰显优雅格调，男女皆宜，适合商务与日常时尚穿搭。","refusal":null,"annotations":[]},"logprobs":null,"finish_reason":"stop"}],"usage":{"prompt_tokens":1307,"completion_tokens":68,"total_tokens":1375,"prompt_tokens_details":{"cached_tokens":0,"audio_tokens":0},"completion_tokens_details":{"reasoning_tokens":0,"audio_tokens":0,"accepted_prediction_tokens":0,"rejected_prediction_tokens":0}},"service_tier":"default","system_fingerprint":"fp_ad66631dec"}</t>
        </is>
      </c>
      <c r="X103" t="inlineStr">
        <is>
          <t>Hermes：蓝色Togo皮38mm金色H扣皮带，选用奢华牛皮材质，纹理细腻质感出众，搭配经典金属扣设计，彰显优雅格调，男女皆宜，适合商务与日常时尚穿搭。</t>
        </is>
      </c>
    </row>
    <row r="104" ht="25.5" customHeight="1">
      <c r="A104">
        <v>1654975475</v>
      </c>
      <c r="B104">
        <v>7623870310</v>
      </c>
      <c r="C104" s="2" t="str">
        <f>=HYPERLINK("https://weidian.com/item.html?itemID=7623870310", "https://weidian.com/item.html?itemID=7623870310")</f>
        <v>https://weidian.com/item.html?itemID=7623870310</v>
      </c>
      <c r="D104"/>
      <c r="E104" s="2" t="str">
        <f>=HYPERLINK("https://si.geilicdn.com/pcitem2014204438-68190000019ad86250b20a8133cc_1440_1920.jpg?w=640&amp;h=640", "https://si.geilicdn.com/pcitem2014204438-68190000019ad86250b20a8133cc_1440_1920.jpg?w=640&amp;h=640")</f>
        <v>https://si.geilicdn.com/pcitem2014204438-68190000019ad86250b20a8133cc_1440_1920.jpg?w=640&amp;h=640</v>
      </c>
      <c r="F104" t="inlineStr">
        <is>
          <t>Accessories</t>
        </is>
      </c>
      <c r="G104" t="inlineStr">
        <is>
          <t>Burberry</t>
        </is>
      </c>
      <c r="H104">
        <v>460</v>
      </c>
      <c r="I104">
        <v>66.67</v>
      </c>
      <c r="J104" t="inlineStr">
        <is>
          <t>{"id":"chatcmpl-DZSLMnHtPGZmADXfHoJCpRtmM3wgF","object":"chat.completion","created":1777342804,"model":"gpt-5-chat-2025-10-03","choices":[{"index":0,"message":{"role":"assistant","content":"Burberry TB Brown Leather Belt Gold Buckle","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104" t="inlineStr">
        <is>
          <t>Burberry TB Brown Leather Belt Gold Buckle</t>
        </is>
      </c>
      <c r="L104" t="inlineStr">
        <is>
          <t>{"id":"chatcmpl-DZRkTJjfjbCZpEePHzUMsC9WBSz1H","object":"chat.completion","created":1777340517,"model":"gpt-5-chat-2025-10-03","choices":[{"index":0,"message":{"role":"assistant","content":"Burberry TB Series Caramel Brown Leather Belt with Gold Double B Buckle, crafted from premium smooth cowhide, featuring fine stitching and timeless British elegance for men and women.","refusal":null,"annotations":[]},"logprobs":null,"finish_reason":"stop"}],"usage":{"prompt_tokens":911,"completion_tokens":36,"total_tokens":947,"prompt_tokens_details":{"cached_tokens":0,"audio_tokens":0},"completion_tokens_details":{"reasoning_tokens":0,"audio_tokens":0,"accepted_prediction_tokens":0,"rejected_prediction_tokens":0}},"service_tier":"default","system_fingerprint":"fp_ad66631dec"}</t>
        </is>
      </c>
      <c r="M104" t="inlineStr">
        <is>
          <t>{"alt-svc":"h3=\":443\"; ma=2592000","apim-request-id":"1ed7f030-94e4-4a1d-b12d-06b38329054a","azureml-model-session":"d20260405234249-f9874baf","cache-control":"no-cache","connection":"close","content-length":"991","content-type":"application/json","date":"Tue, 28 Apr 2026 01:41:58 GMT","server":"nginx","skip-error-remapping":"true","strict-transport-security":"max-age=31536000; includeSubDomains; preload","via":"1.1 Caddy","x-content-type-options":"nosniff","x-ms-client-request-id":"Not-Set","x-ms-is-spilled-over":"false","x-ms-rai-invoked":"false","x-ms-region":"East US","x-new-api-version":"0.4.35","x-oneapi-request-id":"202604280141566797580538268d9d6p2XGHNcM","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1c303b7c-2f13-4239-83b2-07507c10eb0c"}</t>
        </is>
      </c>
      <c r="N104" t="inlineStr">
        <is>
          <t>Burberry TB Series Caramel Brown Leather Belt with Gold Double B Buckle, crafted from premium smooth cowhide, featuring fine stitching and timeless British elegance for men and women.</t>
        </is>
      </c>
      <c r="O104" t="inlineStr">
        <is>
          <t>{"id":"chatcmpl-DZSY1l2kpZwvJ16YbPMWv8D2u7lDP","object":"chat.completion","created":1777343589,"model":"gpt-5-chat-2025-10-03","choices":[{"index":0,"message":{"role":"assistant","content":"Burberry,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4" t="inlineStr">
        <is>
          <t>Burberry,Belt,kakobuy,kakebuy2026,kekobuysheet,kakobuysheet2026,2026kakobuy,kakobuyspreadsheeet,kakobuylink,kakebuylist,Kakobuy MEGA Spreadsheet,kakobuysheetfind,kakobuysheetfind2026,2026kakobuysheetfind,kakobuysheet2026</t>
        </is>
      </c>
      <c r="Q104" t="inlineStr">
        <is>
          <t>Leather, Gold, Cowhide, Elegant, Unisex</t>
        </is>
      </c>
      <c r="R104" t="inlineStr">
        <is>
          <t>recvhju1Cr1VQS</t>
        </is>
      </c>
      <c r="S104" t="inlineStr">
        <is>
          <t>burberry-tb-brown-leather-belt-gold-buckle-recvhju1cr1vqs</t>
        </is>
      </c>
      <c r="T104"/>
      <c r="U104"/>
      <c r="V104"/>
      <c r="W104" t="inlineStr">
        <is>
          <t>{"id":"chatcmpl-DZR7LSa5YnoySHjh4CcTQAjf7aFFg","object":"chat.completion","created":1777338091,"model":"gpt-5-chat-2025-10-03","choices":[{"index":0,"message":{"role":"assistant","content":"Burberry：经典TB系列焦糖棕色皮质腰带，甄选优质光滑牛皮，搭配金色双B标志金属扣，展现英伦简约奢华格调。精致缝线设计凸显工艺细节，男女皆宜，适合现代都市优雅风格搭配。","refusal":null,"annotations":[]},"logprobs":null,"finish_reason":"stop"}],"usage":{"prompt_tokens":1297,"completion_tokens":79,"total_tokens":1376,"prompt_tokens_details":{"cached_tokens":0,"audio_tokens":0},"completion_tokens_details":{"reasoning_tokens":0,"audio_tokens":0,"accepted_prediction_tokens":0,"rejected_prediction_tokens":0}},"service_tier":"default","system_fingerprint":"fp_ad66631dec"}</t>
        </is>
      </c>
      <c r="X104" t="inlineStr">
        <is>
          <t>Burberry：经典TB系列焦糖棕色皮质腰带，甄选优质光滑牛皮，搭配金色双B标志金属扣，展现英伦简约奢华格调。精致缝线设计凸显工艺细节，男女皆宜，适合现代都市优雅风格搭配。</t>
        </is>
      </c>
    </row>
    <row r="105" ht="25.5" customHeight="1">
      <c r="A105">
        <v>1654975475</v>
      </c>
      <c r="B105">
        <v>7623880148</v>
      </c>
      <c r="C105" s="2" t="str">
        <f>=HYPERLINK("https://weidian.com/item.html?itemID=7623880148", "https://weidian.com/item.html?itemID=7623880148")</f>
        <v>https://weidian.com/item.html?itemID=7623880148</v>
      </c>
      <c r="D105"/>
      <c r="E105" s="2" t="str">
        <f>=HYPERLINK("https://si.geilicdn.com/pcitem2014204438-67390000019ad85f4afb0a8133cc_1512_2016.jpg?w=640&amp;h=640", "https://si.geilicdn.com/pcitem2014204438-67390000019ad85f4afb0a8133cc_1512_2016.jpg?w=640&amp;h=640")</f>
        <v>https://si.geilicdn.com/pcitem2014204438-67390000019ad85f4afb0a8133cc_1512_2016.jpg?w=640&amp;h=640</v>
      </c>
      <c r="F105" t="inlineStr">
        <is>
          <t>Accessories</t>
        </is>
      </c>
      <c r="G105" t="inlineStr">
        <is>
          <t>Hermes</t>
        </is>
      </c>
      <c r="H105">
        <v>460</v>
      </c>
      <c r="I105">
        <v>66.67</v>
      </c>
      <c r="J105" t="inlineStr">
        <is>
          <t>{"id":"chatcmpl-DZSKEhnqns0N8Ah7IKKiJBsfm4XaJ","object":"chat.completion","created":1777342734,"model":"gpt-5-chat-2025-10-03","choices":[{"index":0,"message":{"role":"assistant","content":"Hermes Reversible Brown Leather Belt Gold H Buckle","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105" t="inlineStr">
        <is>
          <t>Hermes Reversible Brown Leather Belt Gold H Buckle</t>
        </is>
      </c>
      <c r="L105" t="inlineStr">
        <is>
          <t>{"id":"chatcmpl-DZRdte3obyjjscQse5wsqrGi6yQjY","object":"chat.completion","created":1777340109,"model":"gpt-5-chat-2025-10-03","choices":[{"index":0,"message":{"role":"assistant","content":"Hermes Classic Reversible Brown Leather Belt, crafted from premium cowhide with signature gold H buckle. Timeless and elegant, perfect for men and women, ideal for both business and casual wear.","refusal":null,"annotations":[]},"logprobs":null,"finish_reason":"stop"}],"usage":{"prompt_tokens":907,"completion_tokens":40,"total_tokens":947,"prompt_tokens_details":{"cached_tokens":0,"audio_tokens":0},"completion_tokens_details":{"reasoning_tokens":0,"audio_tokens":0,"accepted_prediction_tokens":0,"rejected_prediction_tokens":0}},"service_tier":"default","system_fingerprint":"fp_ad66631dec"}</t>
        </is>
      </c>
      <c r="M105" t="inlineStr">
        <is>
          <t>{"alt-svc":"h3=\":443\"; ma=2592000","apim-request-id":"03fb5c9e-3d6b-4285-ac6d-9b36cc2feed4","azureml-model-session":"d20260402075109-1fc5a0ec","cache-control":"no-cache","connection":"close","content-length":"1002","content-type":"application/json","date":"Tue, 28 Apr 2026 01:35:10 GMT","server":"Caddy","skip-error-remapping":"true","strict-transport-security":"max-age=31536000; includeSubDomains; preload","x-content-type-options":"nosniff","x-ms-client-request-id":"Not-Set","x-ms-is-spilled-over":"false","x-ms-rai-invoked":"false","x-ms-region":"East US 2","x-new-api-version":"0.4.35","x-oneapi-request-id":"202604280135086372013868268d9d63qFr0Ueh","x-ratelimit-abusepenalty-active":"False","x-ratelimit-key":"gpt-5-chat-global","x-ratelimit-limit-requests":"1000","x-ratelimit-limit-tokens":"1000000","x-ratelimit-remaining-requests":"999","x-ratelimit-remaining-tokens":"998331","x-ratelimit-renewalperiod-requests":"60","x-ratelimit-renewalperiod-tokens":"60","x-ratelimit-reset-requests":"60","x-ratelimit-reset-tokens":"100","x-request-id":"65e21fc8-563d-4173-b395-5b008304d485"}</t>
        </is>
      </c>
      <c r="N105" t="inlineStr">
        <is>
          <t>Hermes Classic Reversible Brown Leather Belt, crafted from premium cowhide with signature gold H buckle. Timeless and elegant, perfect for men and women, ideal for both business and casual wear.</t>
        </is>
      </c>
      <c r="O105" t="inlineStr">
        <is>
          <t>{"id":"chatcmpl-DZSYXYVICCg7GI52OeDrn5VTIhozR","object":"chat.completion","created":1777343621,"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5" t="inlineStr">
        <is>
          <t>Hermes,Belt,kakobuy,kakebuy2026,kekobuysheet,kakobuysheet2026,2026kakobuy,kakobuyspreadsheeet,kakobuylink,kakebuylist,Kakobuy MEGA Spreadsheet,kakobuysheetfind,kakobuysheetfind2026,2026kakobuysheetfind,kakobuysheet2026</t>
        </is>
      </c>
      <c r="Q105"/>
      <c r="R105" t="inlineStr">
        <is>
          <t>recvhju1CrIzTY</t>
        </is>
      </c>
      <c r="S105" t="inlineStr">
        <is>
          <t>hermes-reversible-brown-leather-belt-gold-h-buckle-recvhju1cr1zty</t>
        </is>
      </c>
      <c r="T105"/>
      <c r="U105"/>
      <c r="V105"/>
      <c r="W105" t="inlineStr">
        <is>
          <t>{"id":"chatcmpl-DZR65jF7Jsj9mUugpcGnWLLs93PKj","object":"chat.completion","created":1777338013,"model":"gpt-5-chat-2025-10-03","choices":[{"index":0,"message":{"role":"assistant","content":"Hermes：经典系列深棕色双面皮质腰带，甄选头层牛皮打造，配以标志性金色H字母扣，设计简约大气，彰显法式优雅格调。适合男女通用，商务与休闲皆宜，体现现代都市精致品味。","refusal":null,"annotations":[]},"logprobs":null,"finish_reason":"stop"}],"usage":{"prompt_tokens":1299,"completion_tokens":74,"total_tokens":1373,"prompt_tokens_details":{"cached_tokens":0,"audio_tokens":0},"completion_tokens_details":{"reasoning_tokens":0,"audio_tokens":0,"accepted_prediction_tokens":0,"rejected_prediction_tokens":0}},"service_tier":"default","system_fingerprint":"fp_ad66631dec"}</t>
        </is>
      </c>
      <c r="X105" t="inlineStr">
        <is>
          <t>Hermes：经典系列深棕色双面皮质腰带，甄选头层牛皮打造，配以标志性金色H字母扣，设计简约大气，彰显法式优雅格调。适合男女通用，商务与休闲皆宜，体现现代都市精致品味。</t>
        </is>
      </c>
    </row>
    <row r="106" ht="25.5" customHeight="1">
      <c r="A106">
        <v>1654975475</v>
      </c>
      <c r="B106">
        <v>7623844446</v>
      </c>
      <c r="C106" s="2" t="str">
        <f>=HYPERLINK("https://weidian.com/item.html?itemID=7623844446", "https://weidian.com/item.html?itemID=7623844446")</f>
        <v>https://weidian.com/item.html?itemID=7623844446</v>
      </c>
      <c r="D106"/>
      <c r="E106" s="2" t="str">
        <f>=HYPERLINK("https://si.geilicdn.com/pcitem2014204438-650f0000019ad861c6540a2301b4_1440_1920.jpg?w=640&amp;h=640", "https://si.geilicdn.com/pcitem2014204438-650f0000019ad861c6540a2301b4_1440_1920.jpg?w=640&amp;h=640")</f>
        <v>https://si.geilicdn.com/pcitem2014204438-650f0000019ad861c6540a2301b4_1440_1920.jpg?w=640&amp;h=640</v>
      </c>
      <c r="F106" t="inlineStr">
        <is>
          <t>Accessories</t>
        </is>
      </c>
      <c r="G106" t="inlineStr">
        <is>
          <t>Burberry</t>
        </is>
      </c>
      <c r="H106">
        <v>460</v>
      </c>
      <c r="I106">
        <v>66.67</v>
      </c>
      <c r="J106" t="inlineStr">
        <is>
          <t>{"id":"chatcmpl-DZSMJ1uv76dzHWR5PfvhNfFhgsA51","object":"chat.completion","created":1777342863,"model":"gpt-5-chat-2025-10-03","choices":[{"index":0,"message":{"role":"assistant","content":"Burberry Black Leather Belt Silver TB Buckle","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06" t="inlineStr">
        <is>
          <t>Burberry Black Leather Belt Silver TB Buckle</t>
        </is>
      </c>
      <c r="L106" t="inlineStr">
        <is>
          <t>{"id":"chatcmpl-DZRgx6sNVAVi2DrlJmyQjmMN04ksg","object":"chat.completion","created":1777340299,"model":"gpt-5-chat-2025-10-03","choices":[{"index":0,"message":{"role":"assistant","content":"Burberry Classic Black Leather Belt with Silver TB Logo Buckle, crafted from premium genuine leather. Unisex design, elegant British style, ideal for business or casual wear.","refusal":null,"annotations":[]},"logprobs":null,"finish_reason":"stop"}],"usage":{"prompt_tokens":906,"completion_tokens":35,"total_tokens":941,"prompt_tokens_details":{"cached_tokens":0,"audio_tokens":0},"completion_tokens_details":{"reasoning_tokens":0,"audio_tokens":0,"accepted_prediction_tokens":0,"rejected_prediction_tokens":0}},"service_tier":"default","system_fingerprint":"fp_ad66631dec"}</t>
        </is>
      </c>
      <c r="M106" t="inlineStr">
        <is>
          <t>{"alt-svc":"h3=\":443\"; ma=2592000","apim-request-id":"7437c375-9a61-4af7-98ef-9abedfe13c66","azureml-model-session":"d20260402075109-1fc5a0ec","cache-control":"no-cache","connection":"close","content-length":"982","content-type":"application/json","date":"Tue, 28 Apr 2026 01:38:20 GMT","server":"nginx","skip-error-remapping":"true","strict-transport-security":"max-age=31536000; includeSubDomains; preload","via":"1.1 Caddy","x-content-type-options":"nosniff","x-ms-client-request-id":"Not-Set","x-ms-is-spilled-over":"false","x-ms-rai-invoked":"false","x-ms-region":"East US","x-new-api-version":"0.4.35","x-oneapi-request-id":"20260428013818703947178268d9d6eJ7594G9","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44608085-c7e9-43ff-8799-44ca2d329daa"}</t>
        </is>
      </c>
      <c r="N106" t="inlineStr">
        <is>
          <t>Burberry Classic Black Leather Belt with Silver TB Logo Buckle, crafted from premium genuine leather. Unisex design, elegant British style, ideal for business or casual wear.</t>
        </is>
      </c>
      <c r="O106" t="inlineStr">
        <is>
          <t>{"id":"chatcmpl-DZSbRVjPFAtCwMcecHBAkCvyVXxsA","object":"chat.completion","created":1777343801,"model":"gpt-5-chat-2025-10-03","choices":[{"index":0,"message":{"role":"assistant","content":"Burberry,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6" t="inlineStr">
        <is>
          <t>Burberry,Belt,kakobuy,kakebuy2026,kekobuysheet,kakobuysheet2026,2026kakobuy,kakobuyspreadsheeet,kakobuylink,kakebuylist,Kakobuy MEGA Spreadsheet,kakobuysheetfind,kakobuysheetfind2026,2026kakobuysheetfind,kakobuysheet2026</t>
        </is>
      </c>
      <c r="Q106" t="inlineStr">
        <is>
          <t>Genuine Leather, Black, Silver, Elegant, Business, Unisex</t>
        </is>
      </c>
      <c r="R106" t="inlineStr">
        <is>
          <t>recvhju1Cr5S3f</t>
        </is>
      </c>
      <c r="S106" t="inlineStr">
        <is>
          <t>burberry-black-leather-belt-silver-tb-buckle-recvhju1cr5s3f</t>
        </is>
      </c>
      <c r="T106"/>
      <c r="U106"/>
      <c r="V106"/>
      <c r="W106" t="inlineStr">
        <is>
          <t>{"id":"chatcmpl-DZRAxGwXeSAuCRipfdnjyPBpDoXmh","object":"chat.completion","created":1777338315,"model":"gpt-5-chat-2025-10-03","choices":[{"index":0,"message":{"role":"assistant","content":"Burberry：经典黑色皮质腰带，饰以银色TB字母标识扣，甄选优质真皮材质，彰显英伦雅致格调。简约线条与现代设计融合，男女皆宜，适合多场景搭配，尽显高端时尚品味。","refusal":null,"annotations":[]},"logprobs":null,"finish_reason":"stop"}],"usage":{"prompt_tokens":1301,"completion_tokens":72,"total_tokens":1373,"prompt_tokens_details":{"cached_tokens":0,"audio_tokens":0},"completion_tokens_details":{"reasoning_tokens":0,"audio_tokens":0,"accepted_prediction_tokens":0,"rejected_prediction_tokens":0}},"service_tier":"default","system_fingerprint":"fp_ad66631dec"}</t>
        </is>
      </c>
      <c r="X106" t="inlineStr">
        <is>
          <t>Burberry：经典黑色皮质腰带，饰以银色TB字母标识扣，甄选优质真皮材质，彰显英伦雅致格调。简约线条与现代设计融合，男女皆宜，适合多场景搭配，尽显高端时尚品味。</t>
        </is>
      </c>
    </row>
    <row r="107" ht="25.5" customHeight="1">
      <c r="A107">
        <v>1654975475</v>
      </c>
      <c r="B107">
        <v>7620667841</v>
      </c>
      <c r="C107" s="2" t="str">
        <f>=HYPERLINK("https://weidian.com/item.html?itemID=7620667841", "https://weidian.com/item.html?itemID=7620667841")</f>
        <v>https://weidian.com/item.html?itemID=7620667841</v>
      </c>
      <c r="D107"/>
      <c r="E107" s="2" t="str">
        <f>=HYPERLINK("https://si.geilicdn.com/pcitem2014204438-72b10000019ad86e08120a2315ef_1080_1080.jpg?w=640&amp;h=640", "https://si.geilicdn.com/pcitem2014204438-72b10000019ad86e08120a2315ef_1080_1080.jpg?w=640&amp;h=640")</f>
        <v>https://si.geilicdn.com/pcitem2014204438-72b10000019ad86e08120a2315ef_1080_1080.jpg?w=640&amp;h=640</v>
      </c>
      <c r="F107" t="inlineStr">
        <is>
          <t>Accessories</t>
        </is>
      </c>
      <c r="G107" t="inlineStr">
        <is>
          <t>Louis Vuitton</t>
        </is>
      </c>
      <c r="H107">
        <v>580</v>
      </c>
      <c r="I107">
        <v>84.06</v>
      </c>
      <c r="J107" t="inlineStr">
        <is>
          <t>{"id":"chatcmpl-DZSKvl4u3N6RqDbRlhIzPFgLVu0BW","object":"chat.completion","created":1777342777,"model":"gpt-5-chat-2025-10-03","choices":[{"index":0,"message":{"role":"assistant","content":"Louis Vuitton Epi Black Leather Clutch Belt Set","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07" t="inlineStr">
        <is>
          <t>Louis Vuitton Epi Black Leather Clutch Belt Set</t>
        </is>
      </c>
      <c r="L107" t="inlineStr">
        <is>
          <t>{"id":"chatcmpl-DZRilWloxdq99aoJUmNyUTGh1jzU0","object":"chat.completion","created":1777340411,"model":"gpt-5-chat-2025-10-03","choices":[{"index":0,"message":{"role":"assistant","content":"Louis Vuitton Epi Black Leather Clutch and Belt Set, crafted from textured cowhide with signature LV metal buckle, embodying timeless luxury for men’s business and casual style.","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ad66631dec"}</t>
        </is>
      </c>
      <c r="M107" t="inlineStr">
        <is>
          <t>{"alt-svc":"h3=\":443\"; ma=2592000","apim-request-id":"4a9f00d7-da0a-423d-8fb7-b32f724362c7","azureml-model-session":"d20260405234249-f9874baf","cache-control":"no-cache","connection":"close","content-length":"987","content-type":"application/json","date":"Tue, 28 Apr 2026 01:40:13 GMT","server":"nginx","skip-error-remapping":"true","strict-transport-security":"max-age=31536000; includeSubDomains; preload","via":"1.1 Caddy","x-content-type-options":"nosniff","x-ms-client-request-id":"Not-Set","x-ms-is-spilled-over":"false","x-ms-rai-invoked":"false","x-ms-region":"Poland Central","x-new-api-version":"0.4.35","x-oneapi-request-id":"202604280140105251588188268d9d6P6ixCaqg","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739d8010-3814-44c7-989d-b4a6a1dcd12c"}</t>
        </is>
      </c>
      <c r="N107" t="inlineStr">
        <is>
          <t>Louis Vuitton Epi Black Leather Clutch and Belt Set, crafted from textured cowhide with signature LV metal buckle, embodying timeless luxury for men’s business and casual style.</t>
        </is>
      </c>
      <c r="O107" t="inlineStr">
        <is>
          <t>{"id":"chatcmpl-DZSXNgpSzwlmW6Yw7yo2PEOBtQlOc","object":"chat.completion","created":1777343549,"model":"gpt-5-chat-2025-10-03","choices":[{"index":0,"message":{"role":"assistant","content":"Louis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07" t="inlineStr">
        <is>
          <t>Louis Vuitton, Accessories, kakobuy, kakebuy2026, kekobuysheet, kakobuysheet2026, 2026kakobuy, kakobuyspreadsheeet, kakobuylink, kakebuylist, Kakobuy MEGA Spreadsheet, kakobuysheetfind, kakobuysheetfind2026, 2026kakobuysheetfind, kakobuysheet2026</t>
        </is>
      </c>
      <c r="Q107" t="inlineStr">
        <is>
          <t>LV, Leather, Business, Men</t>
        </is>
      </c>
      <c r="R107" t="inlineStr">
        <is>
          <t>recvhju1CreRZ6</t>
        </is>
      </c>
      <c r="S107" t="inlineStr">
        <is>
          <t>louis-vuitton-epi-black-leather-clutch-belt-recvhju1crrz6</t>
        </is>
      </c>
      <c r="T107"/>
      <c r="U107"/>
      <c r="V107"/>
      <c r="W107" t="inlineStr">
        <is>
          <t>{"id":"chatcmpl-DZRCtk4CaiuRAKi38pHZxbTn9qoHR","object":"chat.completion","created":1777338435,"model":"gpt-5-chat-2025-10-03","choices":[{"index":0,"message":{"role":"assistant","content":"Louis Vuitton：Epi系列黑色手包与腰带套装，甄选纹理牛皮材质，配以金属LV标志扣设计，简约奢华风格，男士商务休闲皆宜，彰显品牌经典格调与现代品味。","refusal":null,"annotations":[]},"logprobs":null,"finish_reason":"stop"}],"usage":{"prompt_tokens":1299,"completion_tokens":64,"total_tokens":1363,"prompt_tokens_details":{"cached_tokens":0,"audio_tokens":0},"completion_tokens_details":{"reasoning_tokens":0,"audio_tokens":0,"accepted_prediction_tokens":0,"rejected_prediction_tokens":0}},"service_tier":"default","system_fingerprint":"fp_ad66631dec"}</t>
        </is>
      </c>
      <c r="X107" t="inlineStr">
        <is>
          <t>Louis Vuitton：Epi系列黑色手包与腰带套装，甄选纹理牛皮材质，配以金属LV标志扣设计，简约奢华风格，男士商务休闲皆宜，彰显品牌经典格调与现代品味。</t>
        </is>
      </c>
    </row>
    <row r="108" ht="25.5" customHeight="1">
      <c r="A108">
        <v>1654975475</v>
      </c>
      <c r="B108">
        <v>7620613985</v>
      </c>
      <c r="C108" s="2" t="str">
        <f>=HYPERLINK("https://weidian.com/item.html?itemID=7620613985", "https://weidian.com/item.html?itemID=7620613985")</f>
        <v>https://weidian.com/item.html?itemID=7620613985</v>
      </c>
      <c r="D108"/>
      <c r="E108" s="2" t="str">
        <f>=HYPERLINK("https://si.geilicdn.com/pcitem2014204438-1f420000019ad86e64740a21146b_1512_2016.jpg?w=640&amp;h=640", "https://si.geilicdn.com/pcitem2014204438-1f420000019ad86e64740a21146b_1512_2016.jpg?w=640&amp;h=640")</f>
        <v>https://si.geilicdn.com/pcitem2014204438-1f420000019ad86e64740a21146b_1512_2016.jpg?w=640&amp;h=640</v>
      </c>
      <c r="F108" t="inlineStr">
        <is>
          <t>Accessories</t>
        </is>
      </c>
      <c r="G108" t="inlineStr">
        <is>
          <t>Gucci</t>
        </is>
      </c>
      <c r="H108">
        <v>460</v>
      </c>
      <c r="I108">
        <v>66.67</v>
      </c>
      <c r="J108" t="inlineStr">
        <is>
          <t>{"id":"chatcmpl-DZSKmO4vp9O6BcU8k6t6JnqHMI7qk","object":"chat.completion","created":1777342768,"model":"gpt-5-chat-2025-10-03","choices":[{"index":0,"message":{"role":"assistant","content":"Gucci Blue Leather Belt Double G Black Buckle Unisex","refusal":null,"annotations":[]},"logprobs":null,"finish_reason":"stop"}],"usage":{"prompt_tokens":873,"completion_tokens":13,"total_tokens":886,"prompt_tokens_details":{"cached_tokens":0,"audio_tokens":0},"completion_tokens_details":{"reasoning_tokens":0,"audio_tokens":0,"accepted_prediction_tokens":0,"rejected_prediction_tokens":0}},"service_tier":"default","system_fingerprint":"fp_ad66631dec"}</t>
        </is>
      </c>
      <c r="K108" t="inlineStr">
        <is>
          <t>Gucci Blue Leather Belt Double G Black Buckle Unisex</t>
        </is>
      </c>
      <c r="L108" t="inlineStr">
        <is>
          <t>{"id":"chatcmpl-DZRg2lOjQZ6v55UGxFE8fIEDEc4I4","object":"chat.completion","created":1777340242,"model":"gpt-5-chat-2025-10-03","choices":[{"index":0,"message":{"role":"assistant","content":"Gucci Blue Leather Belt with Signature Double G Black Metal Buckle, Unisex Luxury Design for Business and Casual Style, Showcasing Modern Elegance and Sophisticated Taste.","refusal":null,"annotations":[]},"logprobs":null,"finish_reason":"stop"}],"usage":{"prompt_tokens":898,"completion_tokens":36,"total_tokens":934,"prompt_tokens_details":{"cached_tokens":0,"audio_tokens":0},"completion_tokens_details":{"reasoning_tokens":0,"audio_tokens":0,"accepted_prediction_tokens":0,"rejected_prediction_tokens":0}},"service_tier":"default","system_fingerprint":"fp_ad66631dec"}</t>
        </is>
      </c>
      <c r="M108" t="inlineStr">
        <is>
          <t>{"alt-svc":"h3=\":443\"; ma=2592000","apim-request-id":"e6c601f2-9649-4e58-86b8-26c835ad3a76","azureml-model-session":"d20260405234249-f9874baf","cache-control":"no-cache","connection":"close","content-length":"979","content-type":"application/json","date":"Tue, 28 Apr 2026 01:37:22 GMT","server":"nginx","skip-error-remapping":"true","strict-transport-security":"max-age=31536000; includeSubDomains; preload","via":"1.1 Caddy","x-content-type-options":"nosniff","x-ms-client-request-id":"Not-Set","x-ms-is-spilled-over":"false","x-ms-rai-invoked":"false","x-ms-region":"Central US","x-new-api-version":"0.4.35","x-oneapi-request-id":"202604280137212194726578268d9d6qHw0M2tU","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7f297625-1ae7-41ee-861d-f3204ca8e255"}</t>
        </is>
      </c>
      <c r="N108" t="inlineStr">
        <is>
          <t>Gucci Blue Leather Belt with Signature Double G Black Metal Buckle, Unisex Luxury Design for Business and Casual Style, Showcasing Modern Elegance and Sophisticated Taste.</t>
        </is>
      </c>
      <c r="O108" t="inlineStr">
        <is>
          <t>{"id":"chatcmpl-DZSVizFQ2NCf2AlgQF0mM1Apw05Ye","object":"chat.completion","created":1777343446,"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8" t="inlineStr">
        <is>
          <t>Gucci,Accessories,kakobuy,kakebuy2026,kekobuysheet,kakobuysheet2026,2026kakobuy,kakobuyspreadsheeet,kakobuylink,kakebuylist,Kakobuy MEGA Spreadsheet,kakobuysheetfind,kakobuysheetfind2026,2026kakobuysheetfind,kakobuysheet2026</t>
        </is>
      </c>
      <c r="Q108" t="inlineStr">
        <is>
          <t>Leather, Blue, Business, Unisex</t>
        </is>
      </c>
      <c r="R108" t="inlineStr">
        <is>
          <t>recvhju1CrSgio</t>
        </is>
      </c>
      <c r="S108" t="inlineStr">
        <is>
          <t>gucci-blue-leather-belt-double-g-black-buckle-recvhju1crsgio</t>
        </is>
      </c>
      <c r="T108"/>
      <c r="U108"/>
      <c r="V108"/>
      <c r="W108" t="inlineStr">
        <is>
          <t>{"id":"chatcmpl-DZR9DjQQiOLEUJEqCB7ZKvL7C8tSm","object":"chat.completion","created":1777338207,"model":"gpt-5-chat-2025-10-03","choices":[{"index":0,"message":{"role":"assistant","content":"Gucci：蓝色质感皮革腰带，搭配标志性双G黑色金属扣，简约奢华设计，彰显现代都市风格，男女皆宜，适用于商务与休闲穿搭，展现精致品味与优雅格调。","refusal":null,"annotations":[]},"logprobs":null,"finish_reason":"stop"}],"usage":{"prompt_tokens":1299,"completion_tokens":65,"total_tokens":1364,"prompt_tokens_details":{"cached_tokens":0,"audio_tokens":0},"completion_tokens_details":{"reasoning_tokens":0,"audio_tokens":0,"accepted_prediction_tokens":0,"rejected_prediction_tokens":0}},"service_tier":"default","system_fingerprint":"fp_ad66631dec"}</t>
        </is>
      </c>
      <c r="X108" t="inlineStr">
        <is>
          <t>Gucci：蓝色质感皮革腰带，搭配标志性双G黑色金属扣，简约奢华设计，彰显现代都市风格，男女皆宜，适用于商务与休闲穿搭，展现精致品味与优雅格调。</t>
        </is>
      </c>
    </row>
    <row r="109" ht="25.5" customHeight="1">
      <c r="A109">
        <v>1654975475</v>
      </c>
      <c r="B109">
        <v>7620856967</v>
      </c>
      <c r="C109" s="2" t="str">
        <f>=HYPERLINK("https://weidian.com/item.html?itemID=7620856967", "https://weidian.com/item.html?itemID=7620856967")</f>
        <v>https://weidian.com/item.html?itemID=7620856967</v>
      </c>
      <c r="D109"/>
      <c r="E109" s="2" t="str">
        <f>=HYPERLINK("https://si.geilicdn.com/pcitem2014204438-65300000019ad862dbac0a23037f_1440_1920.jpg?w=640&amp;h=640", "https://si.geilicdn.com/pcitem2014204438-65300000019ad862dbac0a23037f_1440_1920.jpg?w=640&amp;h=640")</f>
        <v>https://si.geilicdn.com/pcitem2014204438-65300000019ad862dbac0a23037f_1440_1920.jpg?w=640&amp;h=640</v>
      </c>
      <c r="F109" t="inlineStr">
        <is>
          <t>Accessories</t>
        </is>
      </c>
      <c r="G109" t="inlineStr">
        <is>
          <t>Burberry</t>
        </is>
      </c>
      <c r="H109">
        <v>460</v>
      </c>
      <c r="I109">
        <v>66.67</v>
      </c>
      <c r="J109" t="inlineStr">
        <is>
          <t>{"id":"chatcmpl-DZSHYeL3eQFLmEqliLjOlMEdbb2rL","object":"chat.completion","created":1777342568,"model":"gpt-5-chat-2025-10-03","choices":[{"index":0,"message":{"role":"assistant","content":"Burberry Black TB Buckle Calfskin Leather Belt","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09" t="inlineStr">
        <is>
          <t>Burberry Black TB Buckle Calfskin Leather Belt</t>
        </is>
      </c>
      <c r="L109" t="inlineStr">
        <is>
          <t>{"id":"chatcmpl-DZRgkwhT9Co1031D3FtWiK4zX2CHQ","object":"chat.completion","created":1777340286,"model":"gpt-5-chat-2025-10-03","choices":[{"index":0,"message":{"role":"assistant","content":"Burberry Black TB Leather Belt – Crafted from fine textured calfskin, featuring a signature TB metal buckle. Unisex, perfect for business or casual wear, showcasing timeless British elegance.","refusal":null,"annotations":[]},"logprobs":null,"finish_reason":"stop"}],"usage":{"prompt_tokens":897,"completion_tokens":37,"total_tokens":934,"prompt_tokens_details":{"cached_tokens":0,"audio_tokens":0},"completion_tokens_details":{"reasoning_tokens":0,"audio_tokens":0,"accepted_prediction_tokens":0,"rejected_prediction_tokens":0}},"service_tier":"default","system_fingerprint":"fp_ad66631dec"}</t>
        </is>
      </c>
      <c r="M109" t="inlineStr">
        <is>
          <t>{"alt-svc":"h3=\":443\"; ma=2592000","apim-request-id":"f3336ffe-dcba-4246-b02e-18bc0a476297","azureml-model-session":"d20260402075109-1fc5a0ec","cache-control":"no-cache","connection":"close","content-length":"1001","content-type":"application/json","date":"Tue, 28 Apr 2026 01:38:08 GMT","server":"nginx","skip-error-remapping":"true","strict-transport-security":"max-age=31536000; includeSubDomains; preload","via":"1.1 Caddy","x-content-type-options":"nosniff","x-ms-client-request-id":"Not-Set","x-ms-is-spilled-over":"false","x-ms-rai-invoked":"false","x-ms-region":"Sweden Central","x-new-api-version":"0.4.35","x-oneapi-request-id":"202604280138058322819068268d9d6r8ylc8tb","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a4acf953-3e8f-4766-9613-2f774bf948cd"}</t>
        </is>
      </c>
      <c r="N109" t="inlineStr">
        <is>
          <t>Burberry Black TB Leather Belt – Crafted from fine textured calfskin, featuring a signature TB metal buckle. Unisex, perfect for business or casual wear, showcasing timeless British elegance.</t>
        </is>
      </c>
      <c r="O109" t="inlineStr">
        <is>
          <t>{"id":"chatcmpl-DZSYt9iKOnYXPrxY8ycP68KUgSbgp","object":"chat.completion","created":1777343643,"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9" t="inlineStr">
        <is>
          <t>Burberry,Accessories,kakobuy,kakebuy2026,kekobuysheet,kakobuysheet2026,2026kakobuy,kakobuyspreadsheeet,kakobuylink,kakebuylist,Kakobuy MEGA Spreadsheet,kakobuysheetfind,kakobuysheetfind2026,2026kakobuysheetfind,kakobuysheet2026</t>
        </is>
      </c>
      <c r="Q109" t="inlineStr">
        <is>
          <t>Leather, Unisex, Business, Business Casual, Black, Elegant</t>
        </is>
      </c>
      <c r="R109" t="inlineStr">
        <is>
          <t>recvhju1CrL1Sd</t>
        </is>
      </c>
      <c r="S109" t="inlineStr">
        <is>
          <t>burberry-black-tb-buckle-calfskin-leather-belt-recvhju1crl1sd</t>
        </is>
      </c>
      <c r="T109"/>
      <c r="U109"/>
      <c r="V109"/>
      <c r="W109" t="inlineStr">
        <is>
          <t>{"id":"chatcmpl-DZR918Mafr9KywhtuJwxGElHVwNxM","object":"chat.completion","created":1777338195,"model":"gpt-5-chat-2025-10-03","choices":[{"index":0,"message":{"role":"assistant","content":"Burberry：黑色经典TB金属扣真皮腰带，甄选细腻纹理牛皮材质，简约设计彰显英伦格调，男女皆宜，适合现代都市通勤或休闲穿搭，尽显高级质感与品牌格调。","refusal":null,"annotations":[]},"logprobs":null,"finish_reason":"stop"}],"usage":{"prompt_tokens":1297,"completion_tokens":65,"total_tokens":1362,"prompt_tokens_details":{"cached_tokens":0,"audio_tokens":0},"completion_tokens_details":{"reasoning_tokens":0,"audio_tokens":0,"accepted_prediction_tokens":0,"rejected_prediction_tokens":0}},"service_tier":"default","system_fingerprint":"fp_ad66631dec"}</t>
        </is>
      </c>
      <c r="X109" t="inlineStr">
        <is>
          <t>Burberry：黑色经典TB金属扣真皮腰带，甄选细腻纹理牛皮材质，简约设计彰显英伦格调，男女皆宜，适合现代都市通勤或休闲穿搭，尽显高级质感与品牌格调。</t>
        </is>
      </c>
    </row>
    <row r="110" ht="25.5" customHeight="1">
      <c r="A110">
        <v>1654975475</v>
      </c>
      <c r="B110">
        <v>7620598019</v>
      </c>
      <c r="C110" s="2" t="str">
        <f>=HYPERLINK("https://weidian.com/item.html?itemID=7620598019", "https://weidian.com/item.html?itemID=7620598019")</f>
        <v>https://weidian.com/item.html?itemID=7620598019</v>
      </c>
      <c r="D110"/>
      <c r="E110" s="2" t="str">
        <f>=HYPERLINK("https://si.geilicdn.com/pcitem2014204438-64690000019ad8559daf0a8133cc_2160_2160.jpg?w=640&amp;h=640", "https://si.geilicdn.com/pcitem2014204438-64690000019ad8559daf0a8133cc_2160_2160.jpg?w=640&amp;h=640")</f>
        <v>https://si.geilicdn.com/pcitem2014204438-64690000019ad8559daf0a8133cc_2160_2160.jpg?w=640&amp;h=640</v>
      </c>
      <c r="F110" t="inlineStr">
        <is>
          <t>Accessories</t>
        </is>
      </c>
      <c r="G110" t="inlineStr">
        <is>
          <t>Louis Vuitton</t>
        </is>
      </c>
      <c r="H110">
        <v>600</v>
      </c>
      <c r="I110">
        <v>86.96</v>
      </c>
      <c r="J110" t="inlineStr">
        <is>
          <t>{"id":"chatcmpl-DZSHb0lSfxevPuUdzU0JrClNkhRI1","object":"chat.completion","created":1777342571,"model":"gpt-5-chat-2025-10-03","choices":[{"index":0,"message":{"role":"assistant","content":"Louis Vuitton Damier Black Belt and Wallet Set","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10" t="inlineStr">
        <is>
          <t>Louis Vuitton Damier Black Belt and Wallet Set</t>
        </is>
      </c>
      <c r="L110" t="inlineStr">
        <is>
          <t>{"id":"chatcmpl-DZRgbT6CgjS7ln5kqPCna7QKh33ST","object":"chat.completion","created":1777340277,"model":"gpt-5-chat-2025-10-03","choices":[{"index":0,"message":{"role":"assistant","content":"Louis Vuitton Black Checked Belt and Wallet Set crafted from premium cowhide leather and stainless steel, featuring classic Damier design for elegant style, perfect for business or casual sophistication.","refusal":null,"annotations":[]},"logprobs":null,"finish_reason":"stop"}],"usage":{"prompt_tokens":895,"completion_tokens":35,"total_tokens":930,"prompt_tokens_details":{"cached_tokens":0,"audio_tokens":0},"completion_tokens_details":{"reasoning_tokens":0,"audio_tokens":0,"accepted_prediction_tokens":0,"rejected_prediction_tokens":0}},"service_tier":"default","system_fingerprint":"fp_ad66631dec"}</t>
        </is>
      </c>
      <c r="M110" t="inlineStr">
        <is>
          <t>{"alt-svc":"h3=\":443\"; ma=2592000","apim-request-id":"7731ae91-4186-4eff-bc7c-fb16c6dea923","azureml-model-session":"d20260405234249-f9874baf","cache-control":"no-cache","connection":"close","content-length":"1011","content-type":"application/json","date":"Tue, 28 Apr 2026 01:37:58 GMT","server":"nginx","skip-error-remapping":"true","strict-transport-security":"max-age=31536000; includeSubDomains; preload","via":"1.1 Caddy","x-content-type-options":"nosniff","x-ms-client-request-id":"Not-Set","x-ms-is-spilled-over":"false","x-ms-rai-invoked":"false","x-ms-region":"West US","x-new-api-version":"0.4.35","x-oneapi-request-id":"202604280137569722257658268d9d6CLInNjln","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c27fb68a-7bed-4204-ad4d-dc8605fd96b0"}</t>
        </is>
      </c>
      <c r="N110" t="inlineStr">
        <is>
          <t>Louis Vuitton Black Checked Belt and Wallet Set crafted from premium cowhide leather and stainless steel, featuring classic Damier design for elegant style, perfect for business or casual sophistication.</t>
        </is>
      </c>
      <c r="O110" t="inlineStr">
        <is>
          <t>{"id":"chatcmpl-DZSYfPqFs0qfVL8E5J2TUbJN4WLkj","object":"chat.completion","created":1777343629,"model":"gpt-5-chat-2025-10-03","choices":[{"index":0,"message":{"role":"assistant","content":"Louis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10" t="inlineStr">
        <is>
          <t>Louis Vuitton, Accessories, kakobuy, kakebuy2026, kekobuysheet, kakobuysheet2026, 2026kakobuy, kakobuyspreadsheeet, kakobuylink, kakebuylist, Kakobuy MEGA Spreadsheet, kakobuysheetfind, kakobuysheetfind2026, 2026kakobuysheetfind, kakobuysheet2026</t>
        </is>
      </c>
      <c r="Q110" t="inlineStr">
        <is>
          <t>LV, Cowhide, Leather, Elegant, Business</t>
        </is>
      </c>
      <c r="R110" t="inlineStr">
        <is>
          <t>recvhju1CrI1ER</t>
        </is>
      </c>
      <c r="S110" t="inlineStr">
        <is>
          <t>louis-vuitton-damier-black-belt-wallet-recvhju1cri1er</t>
        </is>
      </c>
      <c r="T110"/>
      <c r="U110"/>
      <c r="V110"/>
      <c r="W110" t="inlineStr">
        <is>
          <t>{"id":"chatcmpl-DZR63iF2lBAtfX0bOwXLcXNf8xDyM","object":"chat.completion","created":1777338011,"model":"gpt-5-chat-2025-10-03","choices":[{"index":0,"message":{"role":"assistant","content":"Louis Vuitton 黑色格纹腰带套装，甄选头层牛皮与精钢扣头打造，经典棋盘格纹钱包设计彰显品牌优雅品味，商务与休闲兼具，尽显男士奢华格调与精致气场。","refusal":null,"annotations":[]},"logprobs":null,"finish_reason":"stop"}],"usage":{"prompt_tokens":1297,"completion_tokens":63,"total_tokens":1360,"prompt_tokens_details":{"cached_tokens":0,"audio_tokens":0},"completion_tokens_details":{"reasoning_tokens":0,"audio_tokens":0,"accepted_prediction_tokens":0,"rejected_prediction_tokens":0}},"service_tier":"default","system_fingerprint":"fp_ad66631dec"}</t>
        </is>
      </c>
      <c r="X110" t="inlineStr">
        <is>
          <t>Louis Vuitton 黑色格纹腰带套装，甄选头层牛皮与精钢扣头打造，经典棋盘格纹钱包设计彰显品牌优雅品味，商务与休闲兼具，尽显男士奢华格调与精致气场。</t>
        </is>
      </c>
    </row>
    <row r="111" ht="25.5" customHeight="1">
      <c r="A111">
        <v>1654975475</v>
      </c>
      <c r="B111">
        <v>7623811540</v>
      </c>
      <c r="C111" s="2" t="str">
        <f>=HYPERLINK("https://weidian.com/item.html?itemID=7623811540", "https://weidian.com/item.html?itemID=7623811540")</f>
        <v>https://weidian.com/item.html?itemID=7623811540</v>
      </c>
      <c r="D111"/>
      <c r="E111" s="2" t="str">
        <f>=HYPERLINK("https://si.geilicdn.com/pcitem2014204438-64b80000019ad86133870a23037f_1440_1920.jpg?w=640&amp;h=640", "https://si.geilicdn.com/pcitem2014204438-64b80000019ad86133870a23037f_1440_1920.jpg?w=640&amp;h=640")</f>
        <v>https://si.geilicdn.com/pcitem2014204438-64b80000019ad86133870a23037f_1440_1920.jpg?w=640&amp;h=640</v>
      </c>
      <c r="F111" t="inlineStr">
        <is>
          <t>Accessories</t>
        </is>
      </c>
      <c r="G111" t="inlineStr">
        <is>
          <t>Gucci</t>
        </is>
      </c>
      <c r="H111">
        <v>460</v>
      </c>
      <c r="I111">
        <v>66.67</v>
      </c>
      <c r="J111" t="inlineStr">
        <is>
          <t>{"id":"chatcmpl-DZSMCt0kHcIOFAU2vK5WSGKJn5Dbt","object":"chat.completion","created":1777342856,"model":"gpt-5-chat-2025-10-03","choices":[{"index":0,"message":{"role":"assistant","content":"Gucci Grey GG Leather Belt Silver Buckle Unisex","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111" t="inlineStr">
        <is>
          <t>Gucci Grey GG Leather Belt Silver Buckle Unisex</t>
        </is>
      </c>
      <c r="L111" t="inlineStr">
        <is>
          <t>{"id":"chatcmpl-DZRg9K6AIkTFciHkziXKvLEipOb0o","object":"chat.completion","created":1777340249,"model":"gpt-5-chat-2025-10-03","choices":[{"index":0,"message":{"role":"assistant","content":"Gucci Grey GG Pattern Leather Belt with Shiny Silver Double G Cutout Buckle, Fine Texture, Unisex, Italian Minimalist Style, Showcasing Modern Luxury and Elegant Taste.","refusal":null,"annotations":[]},"logprobs":null,"finish_reason":"stop"}],"usage":{"prompt_tokens":894,"completion_tokens":39,"total_tokens":933,"prompt_tokens_details":{"cached_tokens":0,"audio_tokens":0},"completion_tokens_details":{"reasoning_tokens":0,"audio_tokens":0,"accepted_prediction_tokens":0,"rejected_prediction_tokens":0}},"service_tier":"default","system_fingerprint":"fp_ad66631dec"}</t>
        </is>
      </c>
      <c r="M111" t="inlineStr">
        <is>
          <t>{"alt-svc":"h3=\":443\"; ma=2592000","apim-request-id":"d52dc90c-1f26-45c7-b98b-f0c2c7881ae2","azureml-model-session":"d20260405234249-f9874baf","cache-control":"no-cache","connection":"close","content-length":"976","content-type":"application/json","date":"Tue, 28 Apr 2026 01:37:30 GMT","server":"nginx","skip-error-remapping":"true","strict-transport-security":"max-age=31536000; includeSubDomains; preload","via":"1.1 Caddy","x-content-type-options":"nosniff","x-ms-client-request-id":"Not-Set","x-ms-is-spilled-over":"false","x-ms-rai-invoked":"false","x-ms-region":"East US 2","x-new-api-version":"0.4.35","x-oneapi-request-id":"202604280137279188091878268d9d6i72Uknnz","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ef7c4a3c-4e25-9fc3-9328-03cef5cd7fc6"}</t>
        </is>
      </c>
      <c r="N111" t="inlineStr">
        <is>
          <t>Gucci Grey GG Pattern Leather Belt with Shiny Silver Double G Cutout Buckle, Fine Texture, Unisex, Italian Minimalist Style, Showcasing Modern Luxury and Elegant Taste.</t>
        </is>
      </c>
      <c r="O111" t="inlineStr">
        <is>
          <t>{"id":"chatcmpl-DZScKOeuXBuLBqvusXNf3KVEOpBzZ","object":"chat.completion","created":1777343856,"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1" t="inlineStr">
        <is>
          <t>Gucci,Accessories,kakobuy,kakebuy2026,kekobuysheet,kakobuysheet2026,2026kakobuy,kakobuyspreadsheeet,kakobuylink,kakebuylist,Kakobuy MEGA Spreadsheet,kakobuysheetfind,kakobuysheetfind2026,2026kakobuysheetfind,kakobuysheet2026</t>
        </is>
      </c>
      <c r="Q111" t="inlineStr">
        <is>
          <t>Gucci X Adidas, Grey, Leather, Minimalist, Unisex, Elegant</t>
        </is>
      </c>
      <c r="R111" t="inlineStr">
        <is>
          <t>recvhju1Crzpye</t>
        </is>
      </c>
      <c r="S111" t="inlineStr">
        <is>
          <t>gucci-grey-gg-leather-belt-silver-buckle-unisex-recvhju1crzpye</t>
        </is>
      </c>
      <c r="T111"/>
      <c r="U111"/>
      <c r="V111"/>
      <c r="W111" t="inlineStr">
        <is>
          <t>{"id":"chatcmpl-DZRBx8VnRGJ4Y1iyNiCaLhiT2uVrg","object":"chat.completion","created":1777338377,"model":"gpt-5-chat-2025-10-03","choices":[{"index":0,"message":{"role":"assistant","content":"Gucci：灰色GG图腾皮革腰带，配亮银圆形双G镂空扣，质感细腻高档。融合经典意式简约设计，适合男女通用，彰显现代奢华格调与优雅品味。","refusal":null,"annotations":[]},"logprobs":null,"finish_reason":"stop"}],"usage":{"prompt_tokens":1297,"completion_tokens":62,"total_tokens":1359,"prompt_tokens_details":{"cached_tokens":0,"audio_tokens":0},"completion_tokens_details":{"reasoning_tokens":0,"audio_tokens":0,"accepted_prediction_tokens":0,"rejected_prediction_tokens":0}},"service_tier":"default","system_fingerprint":"fp_ad66631dec"}</t>
        </is>
      </c>
      <c r="X111" t="inlineStr">
        <is>
          <t>Gucci：灰色GG图腾皮革腰带，配亮银圆形双G镂空扣，质感细腻高档。融合经典意式简约设计，适合男女通用，彰显现代奢华格调与优雅品味。</t>
        </is>
      </c>
    </row>
    <row r="112" ht="25.5" customHeight="1">
      <c r="A112">
        <v>1654975475</v>
      </c>
      <c r="B112">
        <v>7620923973</v>
      </c>
      <c r="C112" s="2" t="str">
        <f>=HYPERLINK("https://weidian.com/item.html?itemID=7620923973", "https://weidian.com/item.html?itemID=7620923973")</f>
        <v>https://weidian.com/item.html?itemID=7620923973</v>
      </c>
      <c r="D112"/>
      <c r="E112" s="2" t="str">
        <f>=HYPERLINK("https://si.geilicdn.com/pcitem2014204438-53970000019ad860bb100a239646_1440_1920.jpg?w=640&amp;h=640", "https://si.geilicdn.com/pcitem2014204438-53970000019ad860bb100a239646_1440_1920.jpg?w=640&amp;h=640")</f>
        <v>https://si.geilicdn.com/pcitem2014204438-53970000019ad860bb100a239646_1440_1920.jpg?w=640&amp;h=640</v>
      </c>
      <c r="F112" t="inlineStr">
        <is>
          <t>Accessories</t>
        </is>
      </c>
      <c r="G112" t="inlineStr">
        <is>
          <t>Gucci</t>
        </is>
      </c>
      <c r="H112">
        <v>460</v>
      </c>
      <c r="I112">
        <v>66.67</v>
      </c>
      <c r="J112" t="inlineStr">
        <is>
          <t>{"id":"chatcmpl-DZSIwMV5ltFnFx7vPjQAqw7jlIpII","object":"chat.completion","created":1777342654,"model":"gpt-5-chat-2025-10-03","choices":[{"index":0,"message":{"role":"assistant","content":"Gucci GG Beige Leather Belt Gold Buckle Unisex","refusal":null,"annotations":[]},"logprobs":null,"finish_reason":"stop"}],"usage":{"prompt_tokens":865,"completion_tokens":12,"total_tokens":877,"prompt_tokens_details":{"cached_tokens":0,"audio_tokens":0},"completion_tokens_details":{"reasoning_tokens":0,"audio_tokens":0,"accepted_prediction_tokens":0,"rejected_prediction_tokens":0}},"service_tier":"default","system_fingerprint":"fp_ad66631dec"}</t>
        </is>
      </c>
      <c r="K112" t="inlineStr">
        <is>
          <t>Gucci GG Beige Leather Belt Gold Buckle Unisex</t>
        </is>
      </c>
      <c r="L112" t="inlineStr">
        <is>
          <t>{"id":"chatcmpl-DZRlFyCF2KO7cS9xnREx962kSwrkE","object":"chat.completion","created":1777340565,"model":"gpt-5-chat-2025-10-03","choices":[{"index":0,"message":{"role":"assistant","content":"Gucci Classic GG Monogram Beige Leather Belt with Gold Double G Round Buckle, Unisex Italian Vintage Style, Elegant and Timeless Fashion Accessory.","refusal":null,"annotations":[]},"logprobs":null,"finish_reason":"stop"}],"usage":{"prompt_tokens":876,"completion_tokens":32,"total_tokens":908,"prompt_tokens_details":{"cached_tokens":0,"audio_tokens":0},"completion_tokens_details":{"reasoning_tokens":0,"audio_tokens":0,"accepted_prediction_tokens":0,"rejected_prediction_tokens":0}},"service_tier":"default","system_fingerprint":"fp_ad66631dec"}</t>
        </is>
      </c>
      <c r="M112" t="inlineStr">
        <is>
          <t>{"alt-svc":"h3=\":443\"; ma=2592000","apim-request-id":"da6ee5b4-55df-490d-b311-314e87290203","azureml-model-session":"d20260405234249-f9874baf","cache-control":"no-cache","connection":"close","content-length":"955","content-type":"application/json","date":"Tue, 28 Apr 2026 01:42:47 GMT","server":"Caddy","skip-error-remapping":"true","strict-transport-security":"max-age=31536000; includeSubDomains; preload","x-content-type-options":"nosniff","x-ms-client-request-id":"Not-Set","x-ms-is-spilled-over":"false","x-ms-rai-invoked":"false","x-ms-region":"Sweden Central","x-new-api-version":"0.4.35","x-oneapi-request-id":"202604280142443695513938268d9d6fvoV08a6","x-ratelimit-abusepenalty-active":"False","x-ratelimit-key":"gpt-5-chat-global","x-ratelimit-limit-requests":"1000","x-ratelimit-limit-tokens":"1000000","x-ratelimit-remaining-requests":"999","x-ratelimit-remaining-tokens":"998362","x-ratelimit-renewalperiod-requests":"60","x-ratelimit-renewalperiod-tokens":"60","x-ratelimit-reset-requests":"60","x-ratelimit-reset-tokens":"98","x-request-id":"562c16ca-3c82-4da9-afc3-998b284109ba"}</t>
        </is>
      </c>
      <c r="N112" t="inlineStr">
        <is>
          <t>Gucci Classic GG Monogram Beige Leather Belt with Gold Double G Round Buckle, Unisex Italian Vintage Style, Elegant and Timeless Fashion Accessory.</t>
        </is>
      </c>
      <c r="O112" t="inlineStr">
        <is>
          <t>{"id":"chatcmpl-DZSUwBfuWHuZQZYPVZse34Uw8DZcx","object":"chat.completion","created":1777343398,"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2" t="inlineStr">
        <is>
          <t>Gucci,Accessories,kakobuy,kakebuy2026,kekobuysheet,kakobuysheet2026,2026kakobuy,kakobuyspreadsheeet,kakobuylink,kakebuylist,Kakobuy MEGA Spreadsheet,kakobuysheetfind,kakobuysheetfind2026,2026kakobuysheetfind,kakobuysheet2026</t>
        </is>
      </c>
      <c r="Q112" t="inlineStr">
        <is>
          <t>Beige, Leather, Gold, Vintage, Unisex</t>
        </is>
      </c>
      <c r="R112" t="inlineStr">
        <is>
          <t>recvhju1CrwBJf</t>
        </is>
      </c>
      <c r="S112" t="inlineStr">
        <is>
          <t>gucci-gg-beige-leather-belt-gold-buckle-recvhju1crwbjf</t>
        </is>
      </c>
      <c r="T112"/>
      <c r="U112"/>
      <c r="V112"/>
      <c r="W112" t="inlineStr">
        <is>
          <t>{"id":"chatcmpl-DZRAsxAB5FZAQxmIOPHu9Chekj4sp","object":"chat.completion","created":1777338310,"model":"gpt-5-chat-2025-10-03","choices":[{"index":0,"message":{"role":"assistant","content":"Gucci：经典GG老花系列米色皮革腰带，配以金色双G圆扣设计，意式复古格调，男女通用款，彰显优雅与格调。","refusal":null,"annotations":[]},"logprobs":null,"finish_reason":"stop"}],"usage":{"prompt_tokens":1293,"completion_tokens":46,"total_tokens":1339,"prompt_tokens_details":{"cached_tokens":0,"audio_tokens":0},"completion_tokens_details":{"reasoning_tokens":0,"audio_tokens":0,"accepted_prediction_tokens":0,"rejected_prediction_tokens":0}},"service_tier":"default","system_fingerprint":"fp_ad66631dec"}</t>
        </is>
      </c>
      <c r="X112" t="inlineStr">
        <is>
          <t>Gucci：经典GG老花系列米色皮革腰带，配以金色双G圆扣设计，意式复古格调，男女通用款，彰显优雅与格调。</t>
        </is>
      </c>
    </row>
    <row r="113" ht="25.5" customHeight="1">
      <c r="A113">
        <v>1654975475</v>
      </c>
      <c r="B113">
        <v>7620827303</v>
      </c>
      <c r="C113" s="2" t="str">
        <f>=HYPERLINK("https://weidian.com/item.html?itemID=7620827303", "https://weidian.com/item.html?itemID=7620827303")</f>
        <v>https://weidian.com/item.html?itemID=7620827303</v>
      </c>
      <c r="D113"/>
      <c r="E113" s="2" t="str">
        <f>=HYPERLINK("https://si.geilicdn.com/pcitem2014204438-37cc0000019ad85354e00a20e2c5_1440_1920.jpg?w=640&amp;h=640", "https://si.geilicdn.com/pcitem2014204438-37cc0000019ad85354e00a20e2c5_1440_1920.jpg?w=640&amp;h=640")</f>
        <v>https://si.geilicdn.com/pcitem2014204438-37cc0000019ad85354e00a20e2c5_1440_1920.jpg?w=640&amp;h=640</v>
      </c>
      <c r="F113" t="inlineStr">
        <is>
          <t>Accessories</t>
        </is>
      </c>
      <c r="G113" t="inlineStr">
        <is>
          <t>Gucci</t>
        </is>
      </c>
      <c r="H113">
        <v>460</v>
      </c>
      <c r="I113">
        <v>66.67</v>
      </c>
      <c r="J113" t="inlineStr">
        <is>
          <t>{"id":"chatcmpl-DZSJco9zgAgYueFA4DmbIFkJWRJuq","object":"chat.completion","created":1777342696,"model":"gpt-5-chat-2025-10-03","choices":[{"index":0,"message":{"role":"assistant","content":"Gucci Black Leather Belt Silver Double G Buckle","refusal":null,"annotations":[]},"logprobs":null,"finish_reason":"stop"}],"usage":{"prompt_tokens":865,"completion_tokens":11,"total_tokens":876,"prompt_tokens_details":{"cached_tokens":0,"audio_tokens":0},"completion_tokens_details":{"reasoning_tokens":0,"audio_tokens":0,"accepted_prediction_tokens":0,"rejected_prediction_tokens":0}},"service_tier":"default","system_fingerprint":"fp_ad66631dec"}</t>
        </is>
      </c>
      <c r="K113" t="inlineStr">
        <is>
          <t>Gucci Black Leather Belt Silver Double G Buckle</t>
        </is>
      </c>
      <c r="L113" t="inlineStr">
        <is>
          <t>{"id":"chatcmpl-DZRiKtquKkAGjmftcnHQlaXt77fRc","object":"chat.completion","created":1777340384,"model":"gpt-5-chat-2025-10-03","choices":[{"index":0,"message":{"role":"assistant","content":"Gucci Black Embossed Leather Belt with Engraved Silver Double G Buckle, Italian Luxury Unisex Design, Classic Style Meets Modern Elegance.","refusal":null,"annotations":[]},"logprobs":null,"finish_reason":"stop"}],"usage":{"prompt_tokens":881,"completion_tokens":32,"total_tokens":913,"prompt_tokens_details":{"cached_tokens":0,"audio_tokens":0},"completion_tokens_details":{"reasoning_tokens":0,"audio_tokens":0,"accepted_prediction_tokens":0,"rejected_prediction_tokens":0}},"service_tier":"default","system_fingerprint":"fp_ad66631dec"}</t>
        </is>
      </c>
      <c r="M113" t="inlineStr">
        <is>
          <t>{"alt-svc":"h3=\":443\"; ma=2592000","apim-request-id":"07e2f619-e65f-4831-bc06-a50fc6d7968e","azureml-model-session":"d20260402075109-1fc5a0ec","cache-control":"no-cache","connection":"close","content-length":"946","content-type":"application/json","date":"Tue, 28 Apr 2026 01:39:45 GMT","server":"Caddy","skip-error-remapping":"true","strict-transport-security":"max-age=31536000; includeSubDomains; preload","x-content-type-options":"nosniff","x-ms-client-request-id":"Not-Set","x-ms-is-spilled-over":"false","x-ms-rai-invoked":"false","x-ms-region":"South Central US","x-new-api-version":"0.4.35","x-oneapi-request-id":"202604280139436339773428268d9d6eKPJnxBI","x-ratelimit-abusepenalty-active":"False","x-ratelimit-key":"gpt-5-chat-global","x-ratelimit-limit-requests":"1000","x-ratelimit-limit-tokens":"1000000","x-ratelimit-remaining-requests":"999","x-ratelimit-remaining-tokens":"998357","x-ratelimit-renewalperiod-requests":"60","x-ratelimit-renewalperiod-tokens":"60","x-ratelimit-reset-requests":"60","x-ratelimit-reset-tokens":"98","x-request-id":"2950f4ce-e02b-4dad-9fdf-79ac485283bd"}</t>
        </is>
      </c>
      <c r="N113" t="inlineStr">
        <is>
          <t>Gucci Black Embossed Leather Belt with Engraved Silver Double G Buckle, Italian Luxury Unisex Design, Classic Style Meets Modern Elegance.</t>
        </is>
      </c>
      <c r="O113" t="inlineStr">
        <is>
          <t>{"id":"chatcmpl-DZSVMf0sGnKuvwkdivzh45gwX0D0V","object":"chat.completion","created":1777343424,"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3" t="inlineStr">
        <is>
          <t>Gucci,Accessories,kakobuy,kakebuy2026,kekobuysheet,kakobuysheet2026,2026kakobuy,kakobuyspreadsheeet,kakobuylink,kakebuylist,Kakobuy MEGA Spreadsheet,kakobuysheetfind,kakobuysheetfind2026,2026kakobuysheetfind,kakobuysheet2026</t>
        </is>
      </c>
      <c r="Q113" t="inlineStr">
        <is>
          <t>Leather, Black, Silver, Classic, Unisex, High End</t>
        </is>
      </c>
      <c r="R113" t="inlineStr">
        <is>
          <t>recvhju1Cr2Ck0</t>
        </is>
      </c>
      <c r="S113" t="inlineStr">
        <is>
          <t>gucci-black-leather-belt-silver-double-g-buckle-recvhju1cr2ck0</t>
        </is>
      </c>
      <c r="T113"/>
      <c r="U113"/>
      <c r="V113"/>
      <c r="W113" t="inlineStr">
        <is>
          <t>{"id":"chatcmpl-DZRCI4IXdduewQEUfqHl5SGoWYh4l","object":"chat.completion","created":1777338398,"model":"gpt-5-chat-2025-10-03","choices":[{"index":0,"message":{"role":"assistant","content":"Gucci：黑色压纹皮革腰带，饰以雕刻银色双G金属扣，意式奢华设计，男女通用，彰显经典格调与现代优雅。","refusal":null,"annotations":[]},"logprobs":null,"finish_reason":"stop"}],"usage":{"prompt_tokens":1303,"completion_tokens":46,"total_tokens":1349,"prompt_tokens_details":{"cached_tokens":0,"audio_tokens":0},"completion_tokens_details":{"reasoning_tokens":0,"audio_tokens":0,"accepted_prediction_tokens":0,"rejected_prediction_tokens":0}},"service_tier":"default","system_fingerprint":"fp_ad66631dec"}</t>
        </is>
      </c>
      <c r="X113" t="inlineStr">
        <is>
          <t>Gucci：黑色压纹皮革腰带，饰以雕刻银色双G金属扣，意式奢华设计，男女通用，彰显经典格调与现代优雅。</t>
        </is>
      </c>
    </row>
    <row r="114" ht="25.5" customHeight="1">
      <c r="A114">
        <v>1654975475</v>
      </c>
      <c r="B114">
        <v>7623881962</v>
      </c>
      <c r="C114" s="2" t="str">
        <f>=HYPERLINK("https://weidian.com/item.html?itemID=7623881962", "https://weidian.com/item.html?itemID=7623881962")</f>
        <v>https://weidian.com/item.html?itemID=7623881962</v>
      </c>
      <c r="D114"/>
      <c r="E114" s="2" t="str">
        <f>=HYPERLINK("https://si.geilicdn.com/pcitem2014204438-54830000019ad856513f0a20e7c7_2160_2160.jpg?w=640&amp;h=640", "https://si.geilicdn.com/pcitem2014204438-54830000019ad856513f0a20e7c7_2160_2160.jpg?w=640&amp;h=640")</f>
        <v>https://si.geilicdn.com/pcitem2014204438-54830000019ad856513f0a20e7c7_2160_2160.jpg?w=640&amp;h=640</v>
      </c>
      <c r="F114" t="inlineStr">
        <is>
          <t>Accessories</t>
        </is>
      </c>
      <c r="G114" t="inlineStr">
        <is>
          <t>Louis Vuitton</t>
        </is>
      </c>
      <c r="H114">
        <v>600</v>
      </c>
      <c r="I114">
        <v>86.96</v>
      </c>
      <c r="J114" t="inlineStr">
        <is>
          <t>{"id":"chatcmpl-DZSKLgThlofeaHktG2OxHG7JX8KQ5","object":"chat.completion","created":1777342741,"model":"gpt-5-chat-2025-10-03","choices":[{"index":0,"message":{"role":"assistant","content":"Louis Vuitton Monogram Belt and Wallet Set Gold Buckle","refusal":null,"annotations":[]},"logprobs":null,"finish_reason":"stop"}],"usage":{"prompt_tokens":861,"completion_tokens":12,"total_tokens":873,"prompt_tokens_details":{"cached_tokens":0,"audio_tokens":0},"completion_tokens_details":{"reasoning_tokens":0,"audio_tokens":0,"accepted_prediction_tokens":0,"rejected_prediction_tokens":0}},"service_tier":"default","system_fingerprint":"fp_ad66631dec"}</t>
        </is>
      </c>
      <c r="K114" t="inlineStr">
        <is>
          <t>Louis Vuitton Monogram Belt and Wallet Set Gold Buckle</t>
        </is>
      </c>
      <c r="L114" t="inlineStr">
        <is>
          <t>{"id":"chatcmpl-DZRhUjItFGOdaWizb4MWBslueqc3S","object":"chat.completion","created":1777340332,"model":"gpt-5-chat-2025-10-03","choices":[{"index":0,"message":{"role":"assistant","content":"Louis Vuitton Monogram Brown Leather Belt and Wallet Set with Gold LV Buckle, luxury unisex design embodying timeless French elegance and refined style.","refusal":null,"annotations":[]},"logprobs":null,"finish_reason":"stop"}],"usage":{"prompt_tokens":883,"completion_tokens":30,"total_tokens":913,"prompt_tokens_details":{"cached_tokens":0,"audio_tokens":0},"completion_tokens_details":{"reasoning_tokens":0,"audio_tokens":0,"accepted_prediction_tokens":0,"rejected_prediction_tokens":0}},"service_tier":"default","system_fingerprint":"fp_ad66631dec"}</t>
        </is>
      </c>
      <c r="M114" t="inlineStr">
        <is>
          <t>{"alt-svc":"h3=\":443\"; ma=2592000","apim-request-id":"3484b892-70b4-42d8-81dd-0555703423b0","azureml-model-session":"d20260405234249-f9874baf","cache-control":"no-cache","connection":"close","content-length":"960","content-type":"application/json","date":"Tue, 28 Apr 2026 01:38:52 GMT","server":"Caddy","skip-error-remapping":"true","strict-transport-security":"max-age=31536000; includeSubDomains; preload","x-content-type-options":"nosniff","x-ms-client-request-id":"Not-Set","x-ms-is-spilled-over":"false","x-ms-rai-invoked":"false","x-ms-region":"South Central US","x-new-api-version":"0.4.35","x-oneapi-request-id":"202604280138513459368708268d9d6nwOels0E","x-ratelimit-abusepenalty-active":"False","x-ratelimit-key":"gpt-5-chat-global","x-ratelimit-limit-requests":"1000","x-ratelimit-limit-tokens":"1000000","x-ratelimit-remaining-requests":"999","x-ratelimit-remaining-tokens":"998355","x-ratelimit-renewalperiod-requests":"60","x-ratelimit-renewalperiod-tokens":"60","x-ratelimit-reset-requests":"60","x-ratelimit-reset-tokens":"98","x-request-id":"563dc255-ec48-4ea3-8304-4cd7de700615"}</t>
        </is>
      </c>
      <c r="N114" t="inlineStr">
        <is>
          <t>Louis Vuitton Monogram Brown Leather Belt and Wallet Set with Gold LV Buckle, luxury unisex design embodying timeless French elegance and refined style.</t>
        </is>
      </c>
      <c r="O114" t="inlineStr">
        <is>
          <t>{"id":"chatcmpl-DZSYvLjdqzpoiQOi3xzPNy9PspwKx","object":"chat.completion","created":1777343645,"model":"gpt-5-chat-2025-10-03","choices":[{"index":0,"message":{"role":"assistant","content":"Louis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14" t="inlineStr">
        <is>
          <t>Louis Vuitton, Accessories, kakobuy, kakebuy2026, kekobuysheet, kakobuysheet2026, 2026kakobuy, kakobuyspreadsheeet, kakobuylink, kakebuylist, Kakobuy MEGA Spreadsheet, kakobuysheetfind, kakobuysheetfind2026, 2026kakobuysheetfind, kakobuysheet2026</t>
        </is>
      </c>
      <c r="Q114" t="inlineStr">
        <is>
          <t>LV, Leather, Gold, Unisex, Elegant, High End</t>
        </is>
      </c>
      <c r="R114" t="inlineStr">
        <is>
          <t>recvhju1CrDTvC</t>
        </is>
      </c>
      <c r="S114" t="inlineStr">
        <is>
          <t>louis-vuitton-monogram-belt-wallet-gold-buckle-recvhju1crdtvc</t>
        </is>
      </c>
      <c r="T114"/>
      <c r="U114"/>
      <c r="V114"/>
      <c r="W114" t="inlineStr">
        <is>
          <t>{"id":"chatcmpl-DZR8pQPT307YM1bwyRm0uABSJi1rw","object":"chat.completion","created":1777338183,"model":"gpt-5-chat-2025-10-03","choices":[{"index":0,"message":{"role":"assistant","content":"Louis Vuitton：经典Monogram棕色真皮腰带与钱包套装，金色LV扣设计，简约奢华风格，男女皆宜，彰显永恒法式优雅与格调。","refusal":null,"annotations":[]},"logprobs":null,"finish_reason":"stop"}],"usage":{"prompt_tokens":1301,"completion_tokens":49,"total_tokens":1350,"prompt_tokens_details":{"cached_tokens":0,"audio_tokens":0},"completion_tokens_details":{"reasoning_tokens":0,"audio_tokens":0,"accepted_prediction_tokens":0,"rejected_prediction_tokens":0}},"service_tier":"default","system_fingerprint":"fp_ad66631dec"}</t>
        </is>
      </c>
      <c r="X114" t="inlineStr">
        <is>
          <t>Louis Vuitton：经典Monogram棕色真皮腰带与钱包套装，金色LV扣设计，简约奢华风格，男女皆宜，彰显永恒法式优雅与格调。</t>
        </is>
      </c>
    </row>
    <row r="115" ht="25.5" customHeight="1">
      <c r="A115">
        <v>1654975475</v>
      </c>
      <c r="B115">
        <v>7623872216</v>
      </c>
      <c r="C115" s="2" t="str">
        <f>=HYPERLINK("https://weidian.com/item.html?itemID=7623872216", "https://weidian.com/item.html?itemID=7623872216")</f>
        <v>https://weidian.com/item.html?itemID=7623872216</v>
      </c>
      <c r="D115"/>
      <c r="E115" s="2" t="str">
        <f>=HYPERLINK("https://si.geilicdn.com/pcitem2014204438-5d750000019ad85ea4ba0a2102c5_1442_1922.jpg?w=640&amp;h=640", "https://si.geilicdn.com/pcitem2014204438-5d750000019ad85ea4ba0a2102c5_1442_1922.jpg?w=640&amp;h=640")</f>
        <v>https://si.geilicdn.com/pcitem2014204438-5d750000019ad85ea4ba0a2102c5_1442_1922.jpg?w=640&amp;h=640</v>
      </c>
      <c r="F115" t="inlineStr">
        <is>
          <t>Accessories</t>
        </is>
      </c>
      <c r="G115" t="inlineStr">
        <is>
          <t>Versace</t>
        </is>
      </c>
      <c r="H115">
        <v>460</v>
      </c>
      <c r="I115">
        <v>66.67</v>
      </c>
      <c r="J115" t="inlineStr">
        <is>
          <t>{"id":"chatcmpl-DZSJA61xTmw0zH8EkHtrfkNJ05w3E","object":"chat.completion","created":1777342668,"model":"gpt-5-chat-2025-10-03","choices":[{"index":0,"message":{"role":"assistant","content":"Versace Light Blue Leather Belt Medusa Silver Buckle","refusal":null,"annotations":[]},"logprobs":null,"finish_reason":"stop"}],"usage":{"prompt_tokens":869,"completion_tokens":12,"total_tokens":881,"prompt_tokens_details":{"cached_tokens":0,"audio_tokens":0},"completion_tokens_details":{"reasoning_tokens":0,"audio_tokens":0,"accepted_prediction_tokens":0,"rejected_prediction_tokens":0}},"service_tier":"default","system_fingerprint":"fp_ad66631dec"}</t>
        </is>
      </c>
      <c r="K115" t="inlineStr">
        <is>
          <t>Versace Light Blue Leather Belt Medusa Silver Buckle</t>
        </is>
      </c>
      <c r="L115" t="inlineStr">
        <is>
          <t>{"id":"chatcmpl-DZRkljdhwA5d0AOxwgYQix1VgZTvP","object":"chat.completion","created":1777340535,"model":"gpt-5-chat-2025-10-03","choices":[{"index":0,"message":{"role":"assistant","content":"Versace Light Blue Leather Belt with Iconic Medusa Silver Buckle, Unisex Luxury Italian Design, Modern Elegance and Power, Perfect for Fashion Lovers Worldwide.","refusal":null,"annotations":[]},"logprobs":null,"finish_reason":"stop"}],"usage":{"prompt_tokens":888,"completion_tokens":34,"total_tokens":922,"prompt_tokens_details":{"cached_tokens":0,"audio_tokens":0},"completion_tokens_details":{"reasoning_tokens":0,"audio_tokens":0,"accepted_prediction_tokens":0,"rejected_prediction_tokens":0}},"service_tier":"default","system_fingerprint":"fp_ad66631dec"}</t>
        </is>
      </c>
      <c r="M115" t="inlineStr">
        <is>
          <t>{"alt-svc":"h3=\":443\"; ma=2592000","apim-request-id":"778a1823-5965-4504-90c5-4bace463dcad","azureml-model-session":"d20260405234249-f9874baf","cache-control":"no-cache","connection":"close","content-length":"968","content-type":"application/json","date":"Tue, 28 Apr 2026 01:42:16 GMT","server":"Caddy","skip-error-remapping":"true","strict-transport-security":"max-age=31536000; includeSubDomains; preload","x-content-type-options":"nosniff","x-ms-client-request-id":"Not-Set","x-ms-is-spilled-over":"false","x-ms-rai-invoked":"false","x-ms-region":"Central US","x-new-api-version":"0.4.35","x-oneapi-request-id":"202604280142143231783118268d9d6otAH8Pxq","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b4f879fd-fc5d-4fb6-960d-12fa1b30cc64"}</t>
        </is>
      </c>
      <c r="N115" t="inlineStr">
        <is>
          <t>Versace Light Blue Leather Belt with Iconic Medusa Silver Buckle, Unisex Luxury Italian Design, Modern Elegance and Power, Perfect for Fashion Lovers Worldwide.</t>
        </is>
      </c>
      <c r="O115" t="inlineStr">
        <is>
          <t>{"id":"chatcmpl-DZSUvTiZB9IrvEaDdM5TIEWisisxH","object":"chat.completion","created":1777343397,"model":"gpt-5-chat-2025-10-03","choices":[{"index":0,"message":{"role":"assistant","content":"Versace,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5" t="inlineStr">
        <is>
          <t>Versace,Belt,kakobuy,kakebuy2026,kekobuysheet,kakobuysheet2026,2026kakobuy,kakobuyspreadsheeet,kakobuylink,kakebuylist,Kakobuy MEGA Spreadsheet,kakobuysheetfind,kakobuysheetfind2026,2026kakobuysheetfind,kakobuysheet2026</t>
        </is>
      </c>
      <c r="Q115"/>
      <c r="R115" t="inlineStr">
        <is>
          <t>recvhju1CrSOOk</t>
        </is>
      </c>
      <c r="S115" t="inlineStr">
        <is>
          <t>versace-light-blue-leather-belt-medusa-silver-buckle-recvhju1crsoook</t>
        </is>
      </c>
      <c r="T115"/>
      <c r="U115"/>
      <c r="V115"/>
      <c r="W115" t="inlineStr">
        <is>
          <t>{"id":"chatcmpl-DZRCByHngAu3jkKY3tAcAqxL2atT3","object":"chat.completion","created":1777338391,"model":"gpt-5-chat-2025-10-03","choices":[{"index":0,"message":{"role":"assistant","content":"Versace：淡蓝色皮革腰带，配以标志性美杜莎银色金属扣，简约奢华设计，意式高定风格，男女皆宜，彰显现代优雅与力量感。","refusal":null,"annotations":[]},"logprobs":null,"finish_reason":"stop"}],"usage":{"prompt_tokens":1303,"completion_tokens":53,"total_tokens":1356,"prompt_tokens_details":{"cached_tokens":1280,"audio_tokens":0},"completion_tokens_details":{"reasoning_tokens":0,"audio_tokens":0,"accepted_prediction_tokens":0,"rejected_prediction_tokens":0}},"service_tier":"default","system_fingerprint":"fp_ad66631dec"}</t>
        </is>
      </c>
      <c r="X115" t="inlineStr">
        <is>
          <t>Versace：淡蓝色皮革腰带，配以标志性美杜莎银色金属扣，简约奢华设计，意式高定风格，男女皆宜，彰显现代优雅与力量感。</t>
        </is>
      </c>
    </row>
    <row r="116" ht="25.5" customHeight="1">
      <c r="A116">
        <v>1654975475</v>
      </c>
      <c r="B116">
        <v>7620951843</v>
      </c>
      <c r="C116" s="2" t="str">
        <f>=HYPERLINK("https://weidian.com/item.html?itemID=7620951843", "https://weidian.com/item.html?itemID=7620951843")</f>
        <v>https://weidian.com/item.html?itemID=7620951843</v>
      </c>
      <c r="D116"/>
      <c r="E116" s="2" t="str">
        <f>=HYPERLINK("https://si.geilicdn.com/pcitem2014204438-678a0000019ad86f70640a81347d_1440_1920.jpg?w=640&amp;h=640", "https://si.geilicdn.com/pcitem2014204438-678a0000019ad86f70640a81347d_1440_1920.jpg?w=640&amp;h=640")</f>
        <v>https://si.geilicdn.com/pcitem2014204438-678a0000019ad86f70640a81347d_1440_1920.jpg?w=640&amp;h=640</v>
      </c>
      <c r="F116" t="inlineStr">
        <is>
          <t>Accessories</t>
        </is>
      </c>
      <c r="G116" t="inlineStr">
        <is>
          <t>Ermenegildo Zegna</t>
        </is>
      </c>
      <c r="H116">
        <v>502</v>
      </c>
      <c r="I116">
        <v>72.75</v>
      </c>
      <c r="J116" t="inlineStr">
        <is>
          <t>{"id":"chatcmpl-DZSK7FeemRtZrr7aAl3QCQvqYIbjL","object":"chat.completion","created":1777342727,"model":"gpt-5-chat-2025-10-03","choices":[{"index":0,"message":{"role":"assistant","content":"Ermenegildo Zegna Dark Brown Woven Leather Belt","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ad66631dec"}</t>
        </is>
      </c>
      <c r="K116" t="inlineStr">
        <is>
          <t>Ermenegildo Zegna Dark Brown Woven Leather Belt</t>
        </is>
      </c>
      <c r="L116" t="inlineStr">
        <is>
          <t>{"id":"chatcmpl-DZRjVvUsZn4GmDush76yFTHgzFeX3","object":"chat.completion","created":1777340457,"model":"gpt-5-chat-2025-10-03","choices":[{"index":0,"message":{"role":"assistant","content":"Ermenegildo Zegna dark brown woven leather belt, crafted from premium cowhide and elastic fabric with a sleek metal buckle, blends Italian elegance for both business and casual men’s wear.","refusal":null,"annotations":[]},"logprobs":null,"finish_reason":"stop"}],"usage":{"prompt_tokens":898,"completion_tokens":39,"total_tokens":937,"prompt_tokens_details":{"cached_tokens":0,"audio_tokens":0},"completion_tokens_details":{"reasoning_tokens":0,"audio_tokens":0,"accepted_prediction_tokens":0,"rejected_prediction_tokens":0}},"service_tier":"default","system_fingerprint":"fp_ad66631dec"}</t>
        </is>
      </c>
      <c r="M116" t="inlineStr">
        <is>
          <t>{"alt-svc":"h3=\":443\"; ma=2592000","apim-request-id":"4ec1aef8-14e6-45e5-9471-83a8dd4c6de3","azureml-model-session":"d20260402074105-51db401e","cache-control":"no-cache","connection":"close","content-length":"998","content-type":"application/json","date":"Tue, 28 Apr 2026 01:40:57 GMT","server":"Caddy","skip-error-remapping":"true","strict-transport-security":"max-age=31536000; includeSubDomains; preload","x-content-type-options":"nosniff","x-ms-client-request-id":"Not-Set","x-ms-is-spilled-over":"false","x-ms-rai-invoked":"false","x-ms-region":"North Central US","x-new-api-version":"0.4.35","x-oneapi-request-id":"20260428014056127289458268d9d6449NNSYS","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a1547c0c-813f-435c-9cb6-79a765b4b841"}</t>
        </is>
      </c>
      <c r="N116" t="inlineStr">
        <is>
          <t>Ermenegildo Zegna dark brown woven leather belt, crafted from premium cowhide and elastic fabric with a sleek metal buckle, blends Italian elegance for both business and casual men’s wear.</t>
        </is>
      </c>
      <c r="O116" t="inlineStr">
        <is>
          <t>{"id":"chatcmpl-DZSUAwu5DthL6ti3NT9ozBEAIulWy","object":"chat.completion","created":1777343350,"model":"gpt-5-chat-2025-10-03","choices":[{"index":0,"message":{"role":"assistant","content":"Ermenegildo Zegna,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95,"total_tokens":881,"prompt_tokens_details":{"cached_tokens":0,"audio_tokens":0},"completion_tokens_details":{"reasoning_tokens":0,"audio_tokens":0,"accepted_prediction_tokens":0,"rejected_prediction_tokens":0}},"service_tier":"default","system_fingerprint":"fp_ad66631dec"}</t>
        </is>
      </c>
      <c r="P116" t="inlineStr">
        <is>
          <t>Ermenegildo Zegna, Accessories, kakobuy, kakebuy2026, kekobuysheet, kakobuysheet2026, 2026kakobuy, kakobuyspreadsheeet, kakobuylink, kakebuylist, Kakobuy MEGA Spreadsheet, kakobuysheetfind, kakobuysheetfind2026, 2026kakobuysheetfind, kakobuysheet2026</t>
        </is>
      </c>
      <c r="Q116" t="inlineStr">
        <is>
          <t>Brown, Leather, Business, Men, Cowhide</t>
        </is>
      </c>
      <c r="R116" t="inlineStr">
        <is>
          <t>recvhju1CrhTSj</t>
        </is>
      </c>
      <c r="S116" t="inlineStr">
        <is>
          <t>zegna-dark-brown-woven-leather-belt-recvhju1crhtsj</t>
        </is>
      </c>
      <c r="T116"/>
      <c r="U116"/>
      <c r="V116"/>
      <c r="W116" t="inlineStr">
        <is>
          <t>{"id":"chatcmpl-DZR6xhNnON6ytv0S8stjnIiosP6er","object":"chat.completion","created":1777338067,"model":"gpt-5-chat-2025-10-03","choices":[{"index":0,"message":{"role":"assistant","content":"Ermenegildo Zegna深咖啡编织皮革腰带，精选牛皮与弹性织物融合设计，金属扣头简约优雅，展现意式精致品味，商务休闲皆宜，男士百搭精品配饰。","refusal":null,"annotations":[]},"logprobs":null,"finish_reason":"stop"}],"usage":{"prompt_tokens":1307,"completion_tokens":61,"total_tokens":1368,"prompt_tokens_details":{"cached_tokens":0,"audio_tokens":0},"completion_tokens_details":{"reasoning_tokens":0,"audio_tokens":0,"accepted_prediction_tokens":0,"rejected_prediction_tokens":0}},"service_tier":"default","system_fingerprint":"fp_ad66631dec"}</t>
        </is>
      </c>
      <c r="X116" t="inlineStr">
        <is>
          <t>Ermenegildo Zegna深咖啡编织皮革腰带，精选牛皮与弹性织物融合设计，金属扣头简约优雅，展现意式精致品味，商务休闲皆宜，男士百搭精品配饰。</t>
        </is>
      </c>
    </row>
    <row r="117" ht="25.5" customHeight="1">
      <c r="A117">
        <v>1654975475</v>
      </c>
      <c r="B117">
        <v>7620793223</v>
      </c>
      <c r="C117" s="2" t="str">
        <f>=HYPERLINK("https://weidian.com/item.html?itemID=7620793223", "https://weidian.com/item.html?itemID=7620793223")</f>
        <v>https://weidian.com/item.html?itemID=7620793223</v>
      </c>
      <c r="D117"/>
      <c r="E117" s="2" t="str">
        <f>=HYPERLINK("https://si.geilicdn.com/pcitem2014204438-5ca10000019ad846dcea0a20e284_1080_1080.jpg?w=750&amp;h=750&amp;cp=1", "https://si.geilicdn.com/pcitem2014204438-5ca10000019ad846dcea0a20e284_1080_1080.jpg?w=750&amp;h=750&amp;cp=1")</f>
        <v>https://si.geilicdn.com/pcitem2014204438-5ca10000019ad846dcea0a20e284_1080_1080.jpg?w=750&amp;h=750&amp;cp=1</v>
      </c>
      <c r="F117" t="inlineStr">
        <is>
          <t>Accessories</t>
        </is>
      </c>
      <c r="G117" t="inlineStr">
        <is>
          <t>Burberry</t>
        </is>
      </c>
      <c r="H117">
        <v>520</v>
      </c>
      <c r="I117">
        <v>75.36</v>
      </c>
      <c r="J117" t="inlineStr">
        <is>
          <t>{"id":"chatcmpl-DZSJyuyzrVoZUFAyGDDId7uanIXpS","object":"chat.completion","created":1777342718,"model":"gpt-5-chat-2025-10-03","choices":[{"index":0,"message":{"role":"assistant","content":"Burberry Classic Black Leather Belt Gift Set Men","refusal":null,"annotations":[]},"logprobs":null,"finish_reason":"stop"}],"usage":{"prompt_tokens":869,"completion_tokens":10,"total_tokens":879,"prompt_tokens_details":{"cached_tokens":0,"audio_tokens":0},"completion_tokens_details":{"reasoning_tokens":0,"audio_tokens":0,"accepted_prediction_tokens":0,"rejected_prediction_tokens":0}},"service_tier":"default","system_fingerprint":"fp_ad66631dec"}</t>
        </is>
      </c>
      <c r="K117" t="inlineStr">
        <is>
          <t>Burberry Classic Black Leather Belt Gift Set Men</t>
        </is>
      </c>
      <c r="L117" t="inlineStr">
        <is>
          <t>{"id":"chatcmpl-DZRcupmI9EGg6dWMyj7VEtEsdybXd","object":"chat.completion","created":1777340048,"model":"gpt-5-chat-2025-10-03","choices":[{"index":0,"message":{"role":"assistant","content":"Burberry Classic Black Leather Belt Gift Set, crafted from premium cowhide with original steel buckles and gold knight emblem, showcasing British elegance for business and casual style.","refusal":null,"annotations":[]},"logprobs":null,"finish_reason":"stop"}],"usage":{"prompt_tokens":909,"completion_tokens":34,"total_tokens":943,"prompt_tokens_details":{"cached_tokens":0,"audio_tokens":0},"completion_tokens_details":{"reasoning_tokens":0,"audio_tokens":0,"accepted_prediction_tokens":0,"rejected_prediction_tokens":0}},"service_tier":"default","system_fingerprint":"fp_ad66631dec"}</t>
        </is>
      </c>
      <c r="M117" t="inlineStr">
        <is>
          <t>{"alt-svc":"h3=\":443\"; ma=2592000","apim-request-id":"15aea783-3d02-401f-b445-187e1065e0a4","azureml-model-session":"d20260405234249-f9874baf","cache-control":"no-cache","connection":"close","content-length":"993","content-type":"application/json","date":"Tue, 28 Apr 2026 01:34:09 GMT","server":"nginx","skip-error-remapping":"true","strict-transport-security":"max-age=31536000; includeSubDomains; preload","via":"1.1 Caddy","x-content-type-options":"nosniff","x-ms-client-request-id":"Not-Set","x-ms-is-spilled-over":"false","x-ms-rai-invoked":"false","x-ms-region":"East US 2","x-new-api-version":"0.4.35","x-oneapi-request-id":"202604280134075277376078268d9d6wAfmALMq","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d8768854-4c40-4e87-af7b-78aa91b447d3"}</t>
        </is>
      </c>
      <c r="N117" t="inlineStr">
        <is>
          <t>Burberry Classic Black Leather Belt Gift Set, crafted from premium cowhide with original steel buckles and gold knight emblem, showcasing British elegance for business and casual style.</t>
        </is>
      </c>
      <c r="O117" t="inlineStr">
        <is>
          <t>{"id":"chatcmpl-DZSbM85vvubvcSWRNVX3xXc81qV20","object":"chat.completion","created":1777343796,"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7" t="inlineStr">
        <is>
          <t>Burberry,Accessories,kakobuy,kakebuy2026,kekobuysheet,kakobuysheet2026,2026kakobuy,kakobuyspreadsheeet,kakobuylink,kakebuylist,Kakobuy MEGA Spreadsheet,kakobuysheetfind,kakobuysheetfind2026,2026kakobuysheetfind,kakobuysheet2026</t>
        </is>
      </c>
      <c r="Q117" t="inlineStr">
        <is>
          <t>Black, Cowhide, Leather, Elegant, Business</t>
        </is>
      </c>
      <c r="R117" t="inlineStr">
        <is>
          <t>recvhju1CrN7Qj</t>
        </is>
      </c>
      <c r="S117" t="inlineStr">
        <is>
          <t>burberry-classic-black-leather-belt-recvhju1crn7qj</t>
        </is>
      </c>
      <c r="T117"/>
      <c r="U117"/>
      <c r="V117"/>
      <c r="W117" t="inlineStr">
        <is>
          <t>{"id":"chatcmpl-DZRA2Lyn8OcUMlVrGtmAdafYDDAcJ","object":"chat.completion","created":1777338258,"model":"gpt-5-chat-2025-10-03","choices":[{"index":0,"message":{"role":"assistant","content":"Burberry经典黑色皮带礼盒，甄选头层牛皮搭配原单钢扣，缀以金色骑士徽标，简约奢华质感。英伦设计风格，彰显品牌精致工艺，商务休闲皆宜，男士百搭配饰首选。","refusal":null,"annotations":[]},"logprobs":null,"finish_reason":"stop"}],"usage":{"prompt_tokens":1307,"completion_tokens":72,"total_tokens":1379,"prompt_tokens_details":{"cached_tokens":0,"audio_tokens":0},"completion_tokens_details":{"reasoning_tokens":0,"audio_tokens":0,"accepted_prediction_tokens":0,"rejected_prediction_tokens":0}},"service_tier":"default","system_fingerprint":"fp_ad66631dec"}</t>
        </is>
      </c>
      <c r="X117" t="inlineStr">
        <is>
          <t>Burberry经典黑色皮带礼盒，甄选头层牛皮搭配原单钢扣，缀以金色骑士徽标，简约奢华质感。英伦设计风格，彰显品牌精致工艺，商务休闲皆宜，男士百搭配饰首选。</t>
        </is>
      </c>
    </row>
    <row r="118" ht="25.5" customHeight="1">
      <c r="A118">
        <v>1654975475</v>
      </c>
      <c r="B118">
        <v>7623759476</v>
      </c>
      <c r="C118" s="2" t="str">
        <f>=HYPERLINK("https://weidian.com/item.html?itemID=7623759476", "https://weidian.com/item.html?itemID=7623759476")</f>
        <v>https://weidian.com/item.html?itemID=7623759476</v>
      </c>
      <c r="D118"/>
      <c r="E118" s="2" t="str">
        <f>=HYPERLINK("https://si.geilicdn.com/pcitem2014204438-51600000019ad84a4f8a0a20e7c7_1080_1080.jpg?w=640&amp;h=640", "https://si.geilicdn.com/pcitem2014204438-51600000019ad84a4f8a0a20e7c7_1080_1080.jpg?w=640&amp;h=640")</f>
        <v>https://si.geilicdn.com/pcitem2014204438-51600000019ad84a4f8a0a20e7c7_1080_1080.jpg?w=640&amp;h=640</v>
      </c>
      <c r="F118" t="inlineStr">
        <is>
          <t>Accessories</t>
        </is>
      </c>
      <c r="G118" t="inlineStr">
        <is>
          <t>Louis Vuitton</t>
        </is>
      </c>
      <c r="H118">
        <v>520</v>
      </c>
      <c r="I118">
        <v>75.36</v>
      </c>
      <c r="J118" t="inlineStr">
        <is>
          <t>{"id":"chatcmpl-DZSKQmnWX2Br0MVh1ChniN8XMyIMQ","object":"chat.completion","created":1777342746,"model":"gpt-5-chat-2025-10-03","choices":[{"index":0,"message":{"role":"assistant","content":"Louis Vuitton Double Buckle Black Leather Belt","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18" t="inlineStr">
        <is>
          <t>Louis Vuitton Double Buckle Black Leather Belt</t>
        </is>
      </c>
      <c r="L118" t="inlineStr">
        <is>
          <t>{"id":"chatcmpl-DZRgJDyhlDCaF4Z9J6Zdy014POEIw","object":"chat.completion","created":1777340259,"model":"gpt-5-chat-2025-10-03","choices":[{"index":0,"message":{"role":"assistant","content":"Louis Vuitton Classic Double Buckle Black Leather Belt features premium cowhide and iconic LV metal buckle, perfect for business or casual style, showcasing luxury French craftsmanship and elegance.","refusal":null,"annotations":[]},"logprobs":null,"finish_reason":"stop"}],"usage":{"prompt_tokens":909,"completion_tokens":34,"total_tokens":943,"prompt_tokens_details":{"cached_tokens":0,"audio_tokens":0},"completion_tokens_details":{"reasoning_tokens":0,"audio_tokens":0,"accepted_prediction_tokens":0,"rejected_prediction_tokens":0}},"service_tier":"default","system_fingerprint":"fp_ad66631dec"}</t>
        </is>
      </c>
      <c r="M118" t="inlineStr">
        <is>
          <t>{"alt-svc":"h3=\":443\"; ma=2592000","apim-request-id":"4bc4f7fd-1c29-4e56-bfd2-5146da5e775b","azureml-model-session":"d20260405234249-f9874baf","cache-control":"no-cache","connection":"close","content-length":"1006","content-type":"application/json","date":"Tue, 28 Apr 2026 01:37:40 GMT","server":"Caddy","skip-error-remapping":"true","strict-transport-security":"max-age=31536000; includeSubDomains; preload","x-content-type-options":"nosniff","x-ms-client-request-id":"Not-Set","x-ms-is-spilled-over":"false","x-ms-rai-invoked":"false","x-ms-region":"West US","x-new-api-version":"0.4.35","x-oneapi-request-id":"202604280137384472973398268d9d6AWJjsKEI","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21e5de27-d3cf-4952-9c43-77a7ea13ae92"}</t>
        </is>
      </c>
      <c r="N118" t="inlineStr">
        <is>
          <t>Louis Vuitton Classic Double Buckle Black Leather Belt features premium cowhide and iconic LV metal buckle, perfect for business or casual style, showcasing luxury French craftsmanship and elegance.</t>
        </is>
      </c>
      <c r="O118" t="inlineStr">
        <is>
          <t>{"id":"chatcmpl-DZSaB8HTMYMJ47r5T0Z2lLY5OnjLs","object":"chat.completion","created":1777343723,"model":"gpt-5-chat-2025-10-03","choices":[{"index":0,"message":{"role":"assistant","content":"Louis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18" t="inlineStr">
        <is>
          <t>Louis Vuitton, Accessories, kakobuy, kakebuy2026, kekobuysheet, kakobuysheet2026, 2026kakobuy, kakobuyspreadsheeet, kakobuylink, kakebuylist, Kakobuy MEGA Spreadsheet, kakobuysheetfind, kakobuysheetfind2026, 2026kakobuysheetfind, kakobuysheet2026</t>
        </is>
      </c>
      <c r="Q118" t="inlineStr">
        <is>
          <t>LV, Cowhide, Leather, Business, Elegant</t>
        </is>
      </c>
      <c r="R118" t="inlineStr">
        <is>
          <t>recvhju1CrRozy</t>
        </is>
      </c>
      <c r="S118" t="inlineStr">
        <is>
          <t>louis-vuitton-double-buckle-black-leather-belt-recvhju1crrozy</t>
        </is>
      </c>
      <c r="T118"/>
      <c r="U118"/>
      <c r="V118"/>
      <c r="W118" t="inlineStr">
        <is>
          <t>{"id":"chatcmpl-DZR9uXpNLOpP741CdMpjI4Xx8344i","object":"chat.completion","created":1777338250,"model":"gpt-5-chat-2025-10-03","choices":[{"index":0,"message":{"role":"assistant","content":"Louis Vuitton：经典双扣款黑色真皮腰带，甄选头层牛皮搭配金属LV字母扣，展现极致奢华质感。简约优雅设计，男女皆宜，适合商务与休闲场合，彰显法式精工与时尚格调。","refusal":null,"annotations":[]},"logprobs":null,"finish_reason":"stop"}],"usage":{"prompt_tokens":1307,"completion_tokens":72,"total_tokens":1379,"prompt_tokens_details":{"cached_tokens":1280,"audio_tokens":0},"completion_tokens_details":{"reasoning_tokens":0,"audio_tokens":0,"accepted_prediction_tokens":0,"rejected_prediction_tokens":0}},"service_tier":"default","system_fingerprint":"fp_ad66631dec"}</t>
        </is>
      </c>
      <c r="X118" t="inlineStr">
        <is>
          <t>Louis Vuitton：经典双扣款黑色真皮腰带，甄选头层牛皮搭配金属LV字母扣，展现极致奢华质感。简约优雅设计，男女皆宜，适合商务与休闲场合，彰显法式精工与时尚格调。</t>
        </is>
      </c>
    </row>
    <row r="119" ht="25.5" customHeight="1">
      <c r="A119">
        <v>1654975475</v>
      </c>
      <c r="B119">
        <v>7623885600</v>
      </c>
      <c r="C119" s="2" t="str">
        <f>=HYPERLINK("https://weidian.com/item.html?itemID=7623885600", "https://weidian.com/item.html?itemID=7623885600")</f>
        <v>https://weidian.com/item.html?itemID=7623885600</v>
      </c>
      <c r="D119"/>
      <c r="E119" s="2" t="str">
        <f>=HYPERLINK("https://si.geilicdn.com/pcitem2014204438-4f300000019ad84c03a90a20e273_1440_1920.jpg?w=640&amp;h=640", "https://si.geilicdn.com/pcitem2014204438-4f300000019ad84c03a90a20e273_1440_1920.jpg?w=640&amp;h=640")</f>
        <v>https://si.geilicdn.com/pcitem2014204438-4f300000019ad84c03a90a20e273_1440_1920.jpg?w=640&amp;h=640</v>
      </c>
      <c r="F119" t="inlineStr">
        <is>
          <t>Accessories</t>
        </is>
      </c>
      <c r="G119" t="inlineStr">
        <is>
          <t>Gucci</t>
        </is>
      </c>
      <c r="H119">
        <v>460</v>
      </c>
      <c r="I119">
        <v>66.67</v>
      </c>
      <c r="J119" t="inlineStr">
        <is>
          <t>{"id":"chatcmpl-DZSNLYnDBcybRn9yioL0OTv1jq3wM","object":"chat.completion","created":1777342927,"model":"gpt-5-chat-2025-10-03","choices":[{"index":0,"message":{"role":"assistant","content":"Gucci GG Light Khaki Leather Belt Silver Buckle Unisex","refusal":null,"annotations":[]},"logprobs":null,"finish_reason":"stop"}],"usage":{"prompt_tokens":877,"completion_tokens":14,"total_tokens":891,"prompt_tokens_details":{"cached_tokens":0,"audio_tokens":0},"completion_tokens_details":{"reasoning_tokens":0,"audio_tokens":0,"accepted_prediction_tokens":0,"rejected_prediction_tokens":0}},"service_tier":"default","system_fingerprint":"fp_ad66631dec"}</t>
        </is>
      </c>
      <c r="K119" t="inlineStr">
        <is>
          <t>Gucci GG Light Khaki Leather Belt Silver Buckle Unisex</t>
        </is>
      </c>
      <c r="L119" t="inlineStr">
        <is>
          <t>{"id":"chatcmpl-DZRdDSIQ1JuRxDaWyBpdQfBx8lLJz","object":"chat.completion","created":1777340067,"model":"gpt-5-chat-2025-10-03","choices":[{"index":0,"message":{"role":"assistant","content":"Gucci Classic GG Pattern Light Khaki Leather Belt with Shiny Silver Double G Round Buckle, unisex design blending vintage and modern Italian elegance, perfect for business and casual styles.","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119" t="inlineStr">
        <is>
          <t>{"alt-svc":"h3=\":443\"; ma=2592000","apim-request-id":"d9f05429-9f72-4dc8-b9a8-577a1119fe45","azureml-model-session":"d20260402074105-51db401e","cache-control":"no-cache","connection":"close","content-length":"998","content-type":"application/json","date":"Tue, 28 Apr 2026 01:34:28 GMT","server":"Caddy","skip-error-remapping":"true","strict-transport-security":"max-age=31536000; includeSubDomains; preload","x-content-type-options":"nosniff","x-ms-client-request-id":"Not-Set","x-ms-is-spilled-over":"false","x-ms-rai-invoked":"false","x-ms-region":"South Central US","x-new-api-version":"0.4.35","x-oneapi-request-id":"202604280134261168915258268d9d69usjN5us","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ace51869-3144-4a18-bac2-08807ae82c44"}</t>
        </is>
      </c>
      <c r="N119" t="inlineStr">
        <is>
          <t>Gucci Classic GG Pattern Light Khaki Leather Belt with Shiny Silver Double G Round Buckle, unisex design blending vintage and modern Italian elegance, perfect for business and casual styles.</t>
        </is>
      </c>
      <c r="O119" t="inlineStr">
        <is>
          <t>{"id":"chatcmpl-DZSaJZViKknAHoNQXvoQ28LeVVmKm","object":"chat.completion","created":1777343731,"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9" t="inlineStr">
        <is>
          <t>Gucci,Accessories,kakobuy,kakebuy2026,kekobuysheet,kakobuysheet2026,2026kakobuy,kakobuyspreadsheeet,kakobuylink,kakebuylist,Kakobuy MEGA Spreadsheet,kakobuysheetfind,kakobuysheetfind2026,2026kakobuysheetfind,kakobuysheet2026</t>
        </is>
      </c>
      <c r="Q119" t="inlineStr">
        <is>
          <t>Leather, Vintage, Business, Unisex, Silver</t>
        </is>
      </c>
      <c r="R119" t="inlineStr">
        <is>
          <t>recvhju1CrPhrC</t>
        </is>
      </c>
      <c r="S119" t="inlineStr">
        <is>
          <t>gucci-gg-light-khaki-leather-belt-silver-buckle-recvhju1crphrc</t>
        </is>
      </c>
      <c r="T119"/>
      <c r="U119"/>
      <c r="V119"/>
      <c r="W119" t="inlineStr">
        <is>
          <t>{"id":"chatcmpl-DZRBkd1zevsBaKbmkVlA9zHdM1IbZ","object":"chat.completion","created":1777338364,"model":"gpt-5-chat-2025-10-03","choices":[{"index":0,"message":{"role":"assistant","content":"Gucci经典GG图腾浅卡其皮革腰带，配以亮银双G圆形金属扣，彰显典雅意式格调，男女皆宜，复古与现代融合，适合商务与休闲造型。","refusal":null,"annotations":[]},"logprobs":null,"finish_reason":"stop"}],"usage":{"prompt_tokens":1301,"completion_tokens":55,"total_tokens":1356,"prompt_tokens_details":{"cached_tokens":0,"audio_tokens":0},"completion_tokens_details":{"reasoning_tokens":0,"audio_tokens":0,"accepted_prediction_tokens":0,"rejected_prediction_tokens":0}},"service_tier":"default","system_fingerprint":"fp_ad66631dec"}</t>
        </is>
      </c>
      <c r="X119" t="inlineStr">
        <is>
          <t>Gucci经典GG图腾浅卡其皮革腰带，配以亮银双G圆形金属扣，彰显典雅意式格调，男女皆宜，复古与现代融合，适合商务与休闲造型。</t>
        </is>
      </c>
    </row>
    <row r="120" ht="25.5" customHeight="1">
      <c r="A120">
        <v>1654975475</v>
      </c>
      <c r="B120">
        <v>7620835145</v>
      </c>
      <c r="C120" s="2" t="str">
        <f>=HYPERLINK("https://weidian.com/item.html?itemID=7620835145", "https://weidian.com/item.html?itemID=7620835145")</f>
        <v>https://weidian.com/item.html?itemID=7620835145</v>
      </c>
      <c r="D120"/>
      <c r="E120" s="2" t="str">
        <f>=HYPERLINK("https://si.geilicdn.com/pcitem2014204438-30db0000019ad85261730a210139_1440_1920.jpg?w=640&amp;h=640", "https://si.geilicdn.com/pcitem2014204438-30db0000019ad85261730a210139_1440_1920.jpg?w=640&amp;h=640")</f>
        <v>https://si.geilicdn.com/pcitem2014204438-30db0000019ad85261730a210139_1440_1920.jpg?w=640&amp;h=640</v>
      </c>
      <c r="F120" t="inlineStr">
        <is>
          <t>Accessories</t>
        </is>
      </c>
      <c r="G120" t="inlineStr">
        <is>
          <t>Gucci</t>
        </is>
      </c>
      <c r="H120">
        <v>460</v>
      </c>
      <c r="I120">
        <v>66.67</v>
      </c>
      <c r="J120" t="inlineStr">
        <is>
          <t>{"id":"chatcmpl-DZSL7R8ym5UUfMl3njC2c2bFbea8R","object":"chat.completion","created":1777342789,"model":"gpt-5-chat-2025-10-03","choices":[{"index":0,"message":{"role":"assistant","content":"Gucci GG Supreme Beige Leather Belt Silver Buckle Unisex","refusal":null,"annotations":[]},"logprobs":null,"finish_reason":"stop"}],"usage":{"prompt_tokens":863,"completion_tokens":13,"total_tokens":876,"prompt_tokens_details":{"cached_tokens":0,"audio_tokens":0},"completion_tokens_details":{"reasoning_tokens":0,"audio_tokens":0,"accepted_prediction_tokens":0,"rejected_prediction_tokens":0}},"service_tier":"default","system_fingerprint":"fp_ad66631dec"}</t>
        </is>
      </c>
      <c r="K120" t="inlineStr">
        <is>
          <t>Gucci GG Supreme Beige Leather Belt Silver Buckle Unisex</t>
        </is>
      </c>
      <c r="L120" t="inlineStr">
        <is>
          <t>{"id":"chatcmpl-DZRdpy2sVtwpdpp9jZGgvHqIztm2k","object":"chat.completion","created":1777340105,"model":"gpt-5-chat-2025-10-03","choices":[{"index":0,"message":{"role":"assistant","content":"Gucci GG Supreme beige leather belt with silver cutout double G buckle, unisex design, timeless luxury style, showcasing Italian elegance and fashion sophistication.","refusal":null,"annotations":[]},"logprobs":null,"finish_reason":"stop"}],"usage":{"prompt_tokens":880,"completion_tokens":31,"total_tokens":911,"prompt_tokens_details":{"cached_tokens":0,"audio_tokens":0},"completion_tokens_details":{"reasoning_tokens":0,"audio_tokens":0,"accepted_prediction_tokens":0,"rejected_prediction_tokens":0}},"service_tier":"default","system_fingerprint":"fp_ad66631dec"}</t>
        </is>
      </c>
      <c r="M120" t="inlineStr">
        <is>
          <t>{"alt-svc":"h3=\":443\"; ma=2592000","apim-request-id":"c295040f-d6ec-4271-a003-d5f7315bfa0e","azureml-model-session":"d20260402083108-57a85543","cache-control":"no-cache","connection":"close","content-length":"973","content-type":"application/json","date":"Tue, 28 Apr 2026 01:35:06 GMT","server":"nginx","skip-error-remapping":"true","strict-transport-security":"max-age=31536000; includeSubDomains; preload","via":"1.1 Caddy","x-content-type-options":"nosniff","x-ms-client-request-id":"Not-Set","x-ms-is-spilled-over":"false","x-ms-rai-invoked":"false","x-ms-region":"East US 2","x-new-api-version":"0.4.35","x-oneapi-request-id":"202604280135041745758168268d9d6JX9086Y4","x-ratelimit-abusepenalty-active":"False","x-ratelimit-key":"gpt-5-chat-global","x-ratelimit-limit-requests":"1000","x-ratelimit-limit-tokens":"1000000","x-ratelimit-remaining-requests":"999","x-ratelimit-remaining-tokens":"998358","x-ratelimit-renewalperiod-requests":"60","x-ratelimit-renewalperiod-tokens":"60","x-ratelimit-reset-requests":"60","x-ratelimit-reset-tokens":"98","x-request-id":"10663519-526b-4d34-a841-0a92a537121b"}</t>
        </is>
      </c>
      <c r="N120" t="inlineStr">
        <is>
          <t>Gucci GG Supreme beige leather belt with silver cutout double G buckle, unisex design, timeless luxury style, showcasing Italian elegance and fashion sophistication.</t>
        </is>
      </c>
      <c r="O120" t="inlineStr">
        <is>
          <t>{"id":"chatcmpl-DZSYfAjQrjIabdJC6VzG6MfyHIzlk","object":"chat.completion","created":1777343629,"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20" t="inlineStr">
        <is>
          <t>Gucci,Belt,kakobuy,kakebuy2026,kekobuysheet,kakobuysheet2026,2026kakobuy,kakobuyspreadsheeet,kakobuylink,kakebuylist,Kakobuy MEGA Spreadsheet,kakobuysheetfind,kakobuysheetfind2026,2026kakobuysheetfind,kakobuysheet2026</t>
        </is>
      </c>
      <c r="Q120" t="inlineStr">
        <is>
          <t>Leather, Beige, Silver, Unisex, Elegant</t>
        </is>
      </c>
      <c r="R120" t="inlineStr">
        <is>
          <t>recvhju1Crgd3c</t>
        </is>
      </c>
      <c r="S120" t="inlineStr">
        <is>
          <t>gucci-gg-supreme-beige-leather-belt-silver-buckle-unisex-recvhju1crgd3c</t>
        </is>
      </c>
      <c r="T120"/>
      <c r="U120"/>
      <c r="V120"/>
      <c r="W120" t="inlineStr">
        <is>
          <t>{"id":"chatcmpl-DZRDGgnHTYXeVXkH5Ql136d1qER6r","object":"chat.completion","created":1777338458,"model":"gpt-5-chat-2025-10-03","choices":[{"index":0,"message":{"role":"assistant","content":"Gucci：经典GG Supreme米棕色印花真皮腰带，银色镂空双G扣设计，简约奢华风格，男女皆宜，彰显意式时尚品味。","refusal":null,"annotations":[]},"logprobs":null,"finish_reason":"stop"}],"usage":{"prompt_tokens":1295,"completion_tokens":49,"total_tokens":1344,"prompt_tokens_details":{"cached_tokens":0,"audio_tokens":0},"completion_tokens_details":{"reasoning_tokens":0,"audio_tokens":0,"accepted_prediction_tokens":0,"rejected_prediction_tokens":0}},"service_tier":"default","system_fingerprint":"fp_ad66631dec"}</t>
        </is>
      </c>
      <c r="X120" t="inlineStr">
        <is>
          <t>Gucci：经典GG Supreme米棕色印花真皮腰带，银色镂空双G扣设计，简约奢华风格，男女皆宜，彰显意式时尚品味。</t>
        </is>
      </c>
    </row>
    <row r="121" ht="25.5" customHeight="1">
      <c r="A121">
        <v>1654975475</v>
      </c>
      <c r="B121">
        <v>7620807211</v>
      </c>
      <c r="C121" s="2" t="str">
        <f>=HYPERLINK("https://weidian.com/item.html?itemID=7620807211", "https://weidian.com/item.html?itemID=7620807211")</f>
        <v>https://weidian.com/item.html?itemID=7620807211</v>
      </c>
      <c r="D121"/>
      <c r="E121" s="2" t="str">
        <f>=HYPERLINK("https://si.geilicdn.com/pcitem2014204438-58c10000019ad849288d0a230115_1080_1080.jpg?w=640&amp;h=640", "https://si.geilicdn.com/pcitem2014204438-58c10000019ad849288d0a230115_1080_1080.jpg?w=640&amp;h=640")</f>
        <v>https://si.geilicdn.com/pcitem2014204438-58c10000019ad849288d0a230115_1080_1080.jpg?w=640&amp;h=640</v>
      </c>
      <c r="F121" t="inlineStr">
        <is>
          <t>Accessories</t>
        </is>
      </c>
      <c r="G121" t="inlineStr">
        <is>
          <t>Louis Vuitton</t>
        </is>
      </c>
      <c r="H121">
        <v>520</v>
      </c>
      <c r="I121">
        <v>75.3623188405797</v>
      </c>
      <c r="J121" t="inlineStr">
        <is>
          <t>{"id":"chatcmpl-DZSKv8VvWAgBCRUInTEmjCsNjcEy7","object":"chat.completion","created":1777342777,"model":"gpt-5-chat-2025-10-03","choices":[{"index":0,"message":{"role":"assistant","content":"Louis Vuitton Monogram Black Reversible Leather Belt Set","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121" t="inlineStr">
        <is>
          <t>Louis Vuitton Monogram Black Reversible Leather Belt Set</t>
        </is>
      </c>
      <c r="L121" t="inlineStr">
        <is>
          <t>{"id":"chatcmpl-DZReICkZ5o50Bge4u7K977wymEJON","object":"chat.completion","created":1777340134,"model":"gpt-5-chat-2025-10-03","choices":[{"index":0,"message":{"role":"assistant","content":"Louis Vuitton Monogram Black Men’s Reversible Leather Belt Set with Dual LV Buckles, crafted from premium cowhide leather, sleek and luxurious design for both business and casual style.","refusal":null,"annotations":[]},"logprobs":null,"finish_reason":"stop"}],"usage":{"prompt_tokens":885,"completion_tokens":37,"total_tokens":922,"prompt_tokens_details":{"cached_tokens":0,"audio_tokens":0},"completion_tokens_details":{"reasoning_tokens":0,"audio_tokens":0,"accepted_prediction_tokens":0,"rejected_prediction_tokens":0}},"service_tier":"default","system_fingerprint":"fp_ad66631dec"}</t>
        </is>
      </c>
      <c r="M121" t="inlineStr">
        <is>
          <t>{"alt-svc":"h3=\":443\"; ma=2592000","apim-request-id":"22f4e7b9-7746-479e-8485-72d6192cee4a","azureml-model-session":"d20260402075109-1fc5a0ec","cache-control":"no-cache","connection":"close","content-length":"995","content-type":"application/json","date":"Tue, 28 Apr 2026 01:35:35 GMT","server":"Caddy","skip-error-remapping":"true","strict-transport-security":"max-age=31536000; includeSubDomains; preload","x-content-type-options":"nosniff","x-ms-client-request-id":"Not-Set","x-ms-is-spilled-over":"false","x-ms-rai-invoked":"false","x-ms-region":"East US","x-new-api-version":"0.4.35","x-oneapi-request-id":"202604280135338134815028268d9d6B2XeygPQ","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0025bb31-4cee-41cc-8b2f-088047c8aa60"}</t>
        </is>
      </c>
      <c r="N121" t="inlineStr">
        <is>
          <t>Louis Vuitton Monogram Black Men’s Reversible Leather Belt Set with Dual LV Buckles, crafted from premium cowhide leather, sleek and luxurious design for both business and casual style.</t>
        </is>
      </c>
      <c r="O121" t="inlineStr">
        <is>
          <t>{"id":"chatcmpl-DZSUIIJq1K9MPycBn5iMgObmEcfrx","object":"chat.completion","created":1777343358,"model":"gpt-5-chat-2025-10-03","choices":[{"index":0,"message":{"role":"assistant","content":"Louis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1" t="inlineStr">
        <is>
          <t>Louis Vuitton, Accessories, kakobuy, kakebuy2026, kekobuysheet, kakobuysheet2026, 2026kakobuy, kakobuyspreadsheeet, kakobuylink, kakebuylist, Kakobuy MEGA Spreadsheet, kakobuysheetfind, kakobuysheetfind2026, 2026kakobuysheetfind, kakobuysheet2026</t>
        </is>
      </c>
      <c r="Q121" t="inlineStr">
        <is>
          <t>LV, Cowhide, Leather, Business, Men</t>
        </is>
      </c>
      <c r="R121" t="inlineStr">
        <is>
          <t>recvhju1CrsEww</t>
        </is>
      </c>
      <c r="S121" t="inlineStr">
        <is>
          <t>louis-vuitton-monogram-black-reversible-leather-belt-recvhju1crseww</t>
        </is>
      </c>
      <c r="T121"/>
      <c r="U121"/>
      <c r="V121"/>
      <c r="W121" t="inlineStr">
        <is>
          <t>{"id":"chatcmpl-DZRARuf6z2uXYumVjF3maG6lwYjBA","object":"chat.completion","created":1777338283,"model":"gpt-5-chat-2025-10-03","choices":[{"index":0,"message":{"role":"assistant","content":"Louis Vuitton：Monogram黑色男士可替换双扣腰带，甄选头层牛皮搭配金属LV扣，简约奢华设计，彰显经典法式格调，商务休闲皆宜。","refusal":null,"annotations":[]},"logprobs":null,"finish_reason":"stop"}],"usage":{"prompt_tokens":1297,"completion_tokens":53,"total_tokens":1350,"prompt_tokens_details":{"cached_tokens":0,"audio_tokens":0},"completion_tokens_details":{"reasoning_tokens":0,"audio_tokens":0,"accepted_prediction_tokens":0,"rejected_prediction_tokens":0}},"service_tier":"default","system_fingerprint":"fp_ad66631dec"}</t>
        </is>
      </c>
      <c r="X121" t="inlineStr">
        <is>
          <t>Louis Vuitton：Monogram黑色男士可替换双扣腰带，甄选头层牛皮搭配金属LV扣，简约奢华设计，彰显经典法式格调，商务休闲皆宜。</t>
        </is>
      </c>
    </row>
    <row r="122" ht="25.5" customHeight="1">
      <c r="A122">
        <v>1654975475</v>
      </c>
      <c r="B122">
        <v>7620727687</v>
      </c>
      <c r="C122" s="2" t="str">
        <f>=HYPERLINK("https://weidian.com/item.html?itemID=7620727687", "https://weidian.com/item.html?itemID=7620727687")</f>
        <v>https://weidian.com/item.html?itemID=7620727687</v>
      </c>
      <c r="D122"/>
      <c r="E122" s="2" t="str">
        <f>=HYPERLINK("https://si.geilicdn.com/pcitem2014204438-257c0000019ad8489cc80a811411_1080_1080.jpg?w=640&amp;h=640", "https://si.geilicdn.com/pcitem2014204438-257c0000019ad8489cc80a811411_1080_1080.jpg?w=640&amp;h=640")</f>
        <v>https://si.geilicdn.com/pcitem2014204438-257c0000019ad8489cc80a811411_1080_1080.jpg?w=640&amp;h=640</v>
      </c>
      <c r="F122" t="inlineStr">
        <is>
          <t>Accessories</t>
        </is>
      </c>
      <c r="G122" t="inlineStr">
        <is>
          <t>Louis Vuitton</t>
        </is>
      </c>
      <c r="H122">
        <v>520</v>
      </c>
      <c r="I122">
        <v>75.36</v>
      </c>
      <c r="J122" t="inlineStr">
        <is>
          <t>{"id":"chatcmpl-DZSIfuRJXipM4AiAbaR088YhoeR8i","object":"chat.completion","created":1777342637,"model":"gpt-5-chat-2025-10-03","choices":[{"index":0,"message":{"role":"assistant","content":"Louis Vuitton Black Leather Men’s Double Buckle Belt","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122" t="inlineStr">
        <is>
          <t>Louis Vuitton Black Leather Men’s Double Buckle Belt</t>
        </is>
      </c>
      <c r="L122" t="inlineStr">
        <is>
          <t>{"id":"chatcmpl-DZRfFrza9QAcXKDksk65s7qZ1DPm4","object":"chat.completion","created":1777340193,"model":"gpt-5-chat-2025-10-03","choices":[{"index":0,"message":{"role":"assistant","content":"Louis Vuitton Classic Double Buckle Black Top-Grain Leather Belt with Steel LV Logo Buckle, Elegant Luxury Design for Men’s Business and Casual Wear, Showcasing Timeless Modern Style.","refusal":null,"annotations":[]},"logprobs":null,"finish_reason":"stop"}],"usage":{"prompt_tokens":894,"completion_tokens":39,"total_tokens":933,"prompt_tokens_details":{"cached_tokens":0,"audio_tokens":0},"completion_tokens_details":{"reasoning_tokens":0,"audio_tokens":0,"accepted_prediction_tokens":0,"rejected_prediction_tokens":0}},"service_tier":"default","system_fingerprint":"fp_ad66631dec"}</t>
        </is>
      </c>
      <c r="M122" t="inlineStr">
        <is>
          <t>{"alt-svc":"h3=\":443\"; ma=2592000","apim-request-id":"528b311c-7c36-4348-a9fe-007bff1e8ae3","azureml-model-session":"d20260402075109-1fc5a0ec","cache-control":"no-cache","connection":"close","content-length":"993","content-type":"application/json","date":"Tue, 28 Apr 2026 01:36:35 GMT","server":"nginx","skip-error-remapping":"true","strict-transport-security":"max-age=31536000; includeSubDomains; preload","via":"1.1 Caddy","x-content-type-options":"nosniff","x-ms-client-request-id":"Not-Set","x-ms-is-spilled-over":"false","x-ms-rai-invoked":"false","x-ms-region":"Sweden Central","x-new-api-version":"0.4.35","x-oneapi-request-id":"202604280136327382065978268d9d6W1G0IrBI","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37c1539a-0b76-4fc2-b52b-d0500037d7ff"}</t>
        </is>
      </c>
      <c r="N122" t="inlineStr">
        <is>
          <t>Louis Vuitton Classic Double Buckle Black Top-Grain Leather Belt with Steel LV Logo Buckle, Elegant Luxury Design for Men’s Business and Casual Wear, Showcasing Timeless Modern Style.</t>
        </is>
      </c>
      <c r="O122" t="inlineStr">
        <is>
          <t>{"id":"chatcmpl-DZSWL8zV5ggHvqT8SPjbIdmTEr0Oz","object":"chat.completion","created":1777343485,"model":"gpt-5-chat-2025-10-03","choices":[{"index":0,"message":{"role":"assistant","content":"Louis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2" t="inlineStr">
        <is>
          <t>Louis Vuitton, Accessories, kakobuy, kakebuy2026, kekobuysheet, kakobuysheet2026, 2026kakobuy, kakobuyspreadsheeet, kakobuylink, kakebuylist, Kakobuy MEGA Spreadsheet, kakobuysheetfind, kakobuysheetfind2026, 2026kakobuysheetfind, kakobuysheet2026</t>
        </is>
      </c>
      <c r="Q122" t="inlineStr">
        <is>
          <t>LV, Men, Business, Leather, Elegant</t>
        </is>
      </c>
      <c r="R122" t="inlineStr">
        <is>
          <t>recvhju1CrRoXJ</t>
        </is>
      </c>
      <c r="S122" t="inlineStr">
        <is>
          <t>louis-vuitton-black-leather-men-double-buckle-belt-recvhju1crroxj</t>
        </is>
      </c>
      <c r="T122"/>
      <c r="U122"/>
      <c r="V122"/>
      <c r="W122" t="inlineStr">
        <is>
          <t>{"id":"chatcmpl-DZRAbb539XW68wtUHogvoDO0Vt3XS","object":"chat.completion","created":1777338293,"model":"gpt-5-chat-2025-10-03","choices":[{"index":0,"message":{"role":"assistant","content":"Louis Vuitton：经典双扣黑色头层牛皮腰带，配以镀钢LV标志扣头，奢华质感彰显品牌格调，男士商务与休闲皆宜，简约时尚设计，诠释现代优雅风范。","refusal":null,"annotations":[]},"logprobs":null,"finish_reason":"stop"}],"usage":{"prompt_tokens":1297,"completion_tokens":62,"total_tokens":1359,"prompt_tokens_details":{"cached_tokens":0,"audio_tokens":0},"completion_tokens_details":{"reasoning_tokens":0,"audio_tokens":0,"accepted_prediction_tokens":0,"rejected_prediction_tokens":0}},"service_tier":"default","system_fingerprint":"fp_ad66631dec"}</t>
        </is>
      </c>
      <c r="X122" t="inlineStr">
        <is>
          <t>Louis Vuitton：经典双扣黑色头层牛皮腰带，配以镀钢LV标志扣头，奢华质感彰显品牌格调，男士商务与休闲皆宜，简约时尚设计，诠释现代优雅风范。</t>
        </is>
      </c>
    </row>
    <row r="123" ht="25.5" customHeight="1">
      <c r="A123">
        <v>1654975475</v>
      </c>
      <c r="B123">
        <v>7623773574</v>
      </c>
      <c r="C123" s="2" t="str">
        <f>=HYPERLINK("https://weidian.com/item.html?itemID=7623773574", "https://weidian.com/item.html?itemID=7623773574")</f>
        <v>https://weidian.com/item.html?itemID=7623773574</v>
      </c>
      <c r="D123"/>
      <c r="E123" s="2" t="str">
        <f>=HYPERLINK("https://si.geilicdn.com/pcitem2014204438-630a0000019ad8506d160a8133cc_1440_1920.jpg?w=640&amp;h=640", "https://si.geilicdn.com/pcitem2014204438-630a0000019ad8506d160a8133cc_1440_1920.jpg?w=640&amp;h=640")</f>
        <v>https://si.geilicdn.com/pcitem2014204438-630a0000019ad8506d160a8133cc_1440_1920.jpg?w=640&amp;h=640</v>
      </c>
      <c r="F123" t="inlineStr">
        <is>
          <t>Accessories</t>
        </is>
      </c>
      <c r="G123" t="inlineStr">
        <is>
          <t>Gucci</t>
        </is>
      </c>
      <c r="H123">
        <v>460</v>
      </c>
      <c r="I123">
        <v>66.67</v>
      </c>
      <c r="J123" t="inlineStr">
        <is>
          <t>{"id":"chatcmpl-DZSLMA4r2Gawl2IQPN7k9j9KziGeD","object":"chat.completion","created":1777342804,"model":"gpt-5-chat-2025-10-03","choices":[{"index":0,"message":{"role":"assistant","content":"Gucci GG Supreme Beige Leather Belt Unisex","refusal":null,"annotations":[]},"logprobs":null,"finish_reason":"stop"}],"usage":{"prompt_tokens":865,"completion_tokens":10,"total_tokens":875,"prompt_tokens_details":{"cached_tokens":0,"audio_tokens":0},"completion_tokens_details":{"reasoning_tokens":0,"audio_tokens":0,"accepted_prediction_tokens":0,"rejected_prediction_tokens":0}},"service_tier":"default","system_fingerprint":"fp_ad66631dec"}</t>
        </is>
      </c>
      <c r="K123" t="inlineStr">
        <is>
          <t>Gucci GG Supreme Beige Leather Belt Unisex</t>
        </is>
      </c>
      <c r="L123" t="inlineStr">
        <is>
          <t>{"id":"chatcmpl-DZRkEVLE99FSEwtHmvrqF6TMwEgPT","object":"chat.completion","created":1777340502,"model":"gpt-5-chat-2025-10-03","choices":[{"index":0,"message":{"role":"assistant","content":"Gucci GG Supreme Beige Leather Belt with Black Double G Buckle, Italian minimalist style, luxurious texture, unisex design, showcasing vintage and modern elegance.","refusal":null,"annotations":[]},"logprobs":null,"finish_reason":"stop"}],"usage":{"prompt_tokens":886,"completion_tokens":32,"total_tokens":918,"prompt_tokens_details":{"cached_tokens":0,"audio_tokens":0},"completion_tokens_details":{"reasoning_tokens":0,"audio_tokens":0,"accepted_prediction_tokens":0,"rejected_prediction_tokens":0}},"service_tier":"default","system_fingerprint":"fp_ad66631dec"}</t>
        </is>
      </c>
      <c r="M123" t="inlineStr">
        <is>
          <t>{"alt-svc":"h3=\":443\"; ma=2592000","apim-request-id":"b42cc764-299a-4536-8c13-50dee47e4db4","azureml-model-session":"d20260405234249-f9874baf","cache-control":"no-cache","connection":"close","content-length":"971","content-type":"application/json","date":"Tue, 28 Apr 2026 01:41:42 GMT","server":"Caddy","skip-error-remapping":"true","strict-transport-security":"max-age=31536000; includeSubDomains; preload","x-content-type-options":"nosniff","x-ms-client-request-id":"Not-Set","x-ms-is-spilled-over":"false","x-ms-rai-invoked":"false","x-ms-region":"West US","x-new-api-version":"0.4.35","x-oneapi-request-id":"20260428014141102027068268d9d6d4rP25vr","x-ratelimit-abusepenalty-active":"False","x-ratelimit-key":"gpt-5-chat-global","x-ratelimit-limit-requests":"1000","x-ratelimit-limit-tokens":"1000000","x-ratelimit-remaining-requests":"999","x-ratelimit-remaining-tokens":"998352","x-ratelimit-renewalperiod-requests":"60","x-ratelimit-renewalperiod-tokens":"60","x-ratelimit-reset-requests":"60","x-ratelimit-reset-tokens":"98","x-request-id":"a3ee3142-ed87-45f5-aa0b-0f192c95c6dc"}</t>
        </is>
      </c>
      <c r="N123" t="inlineStr">
        <is>
          <t>Gucci GG Supreme Beige Leather Belt with Black Double G Buckle, Italian minimalist style, luxurious texture, unisex design, showcasing vintage and modern elegance.</t>
        </is>
      </c>
      <c r="O123" t="inlineStr">
        <is>
          <t>{"id":"chatcmpl-DZScEi1anM9XNG8ZnwDIYADEZrh7g","object":"chat.completion","created":1777343850,"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23" t="inlineStr">
        <is>
          <t>Gucci,Accessories,kakobuy,kakebuy2026,kekobuysheet,kakobuysheet2026,2026kakobuy,kakobuyspreadsheeet,kakobuylink,kakebuylist,Kakobuy MEGA Spreadsheet,kakobuysheetfind,kakobuysheetfind2026,2026kakobuysheetfind,kakobuysheet2026</t>
        </is>
      </c>
      <c r="Q123" t="inlineStr">
        <is>
          <t>Gucci X Adidas, Beige, Minimalist, Vintage, Unisex, Leather</t>
        </is>
      </c>
      <c r="R123" t="inlineStr">
        <is>
          <t>recvhju1CrEmnX</t>
        </is>
      </c>
      <c r="S123" t="inlineStr">
        <is>
          <t>gucci-gg-supreme-beige-leather-belt-recvhju1cremnx</t>
        </is>
      </c>
      <c r="T123"/>
      <c r="U123"/>
      <c r="V123"/>
      <c r="W123" t="inlineStr">
        <is>
          <t>{"id":"chatcmpl-DZR7spUlY5k9fuk79vesp7bfRUHXP","object":"chat.completion","created":1777338124,"model":"gpt-5-chat-2025-10-03","choices":[{"index":0,"message":{"role":"assistant","content":"Gucci：经典GG Supreme系列米色印花皮革腰带，配以黑色双G金属扣，意式简约风格，质感奢华男女通用款，彰显复古摩登品味。","refusal":null,"annotations":[]},"logprobs":null,"finish_reason":"stop"}],"usage":{"prompt_tokens":1299,"completion_tokens":53,"total_tokens":1352,"prompt_tokens_details":{"cached_tokens":0,"audio_tokens":0},"completion_tokens_details":{"reasoning_tokens":0,"audio_tokens":0,"accepted_prediction_tokens":0,"rejected_prediction_tokens":0}},"service_tier":"default","system_fingerprint":"fp_ad66631dec"}</t>
        </is>
      </c>
      <c r="X123" t="inlineStr">
        <is>
          <t>Gucci：经典GG Supreme系列米色印花皮革腰带，配以黑色双G金属扣，意式简约风格，质感奢华男女通用款，彰显复古摩登品味。</t>
        </is>
      </c>
    </row>
    <row r="124" ht="25.5" customHeight="1">
      <c r="A124">
        <v>1654975475</v>
      </c>
      <c r="B124">
        <v>7623815010</v>
      </c>
      <c r="C124" s="2" t="str">
        <f>=HYPERLINK("https://weidian.com/item.html?itemID=7623815010", "https://weidian.com/item.html?itemID=7623815010")</f>
        <v>https://weidian.com/item.html?itemID=7623815010</v>
      </c>
      <c r="D124"/>
      <c r="E124" s="2" t="str">
        <f>=HYPERLINK("https://si.geilicdn.com/pcitem2014204438-5abb0000019ad85103910a230115_1080_1080.jpg?w=640&amp;h=640", "https://si.geilicdn.com/pcitem2014204438-5abb0000019ad85103910a230115_1080_1080.jpg?w=640&amp;h=640")</f>
        <v>https://si.geilicdn.com/pcitem2014204438-5abb0000019ad85103910a230115_1080_1080.jpg?w=640&amp;h=640</v>
      </c>
      <c r="F124" t="inlineStr">
        <is>
          <t>Accessories</t>
        </is>
      </c>
      <c r="G124" t="inlineStr">
        <is>
          <t>Gucci</t>
        </is>
      </c>
      <c r="H124">
        <v>460</v>
      </c>
      <c r="I124">
        <v>66.67</v>
      </c>
      <c r="J124" t="inlineStr">
        <is>
          <t>{"id":"chatcmpl-DZSII0Z748T3b1fdSYlqvR0e7i2qW","object":"chat.completion","created":1777342614,"model":"gpt-5-chat-2025-10-03","choices":[{"index":0,"message":{"role":"assistant","content":"Gucci White Leather Belt Double G Buckle Unisex Fashion","refusal":null,"annotations":[]},"logprobs":null,"finish_reason":"stop"}],"usage":{"prompt_tokens":871,"completion_tokens":13,"total_tokens":884,"prompt_tokens_details":{"cached_tokens":0,"audio_tokens":0},"completion_tokens_details":{"reasoning_tokens":0,"audio_tokens":0,"accepted_prediction_tokens":0,"rejected_prediction_tokens":0}},"service_tier":"default","system_fingerprint":"fp_ad66631dec"}</t>
        </is>
      </c>
      <c r="K124" t="inlineStr">
        <is>
          <t>Gucci White Leather Belt Double G Buckle Unisex Fashion</t>
        </is>
      </c>
      <c r="L124" t="inlineStr">
        <is>
          <t>{"id":"chatcmpl-DZRcQPXcgFw5VP01xN4qjeNW2MFb2","object":"chat.completion","created":1777340018,"model":"gpt-5-chat-2025-10-03","choices":[{"index":0,"message":{"role":"assistant","content":"Gucci White Leather Belt with Signature Double G Buckle, crafted from premium cowhide for a soft feel. Unisex minimalist design adds luxurious Italian elegance to any outfit.","refusal":null,"annotations":[]},"logprobs":null,"finish_reason":"stop"}],"usage":{"prompt_tokens":920,"completion_tokens":35,"total_tokens":955,"prompt_tokens_details":{"cached_tokens":0,"audio_tokens":0},"completion_tokens_details":{"reasoning_tokens":0,"audio_tokens":0,"accepted_prediction_tokens":0,"rejected_prediction_tokens":0}},"service_tier":"default","system_fingerprint":"fp_ad66631dec"}</t>
        </is>
      </c>
      <c r="M124" t="inlineStr">
        <is>
          <t>{"alt-svc":"h3=\":443\"; ma=2592000","apim-request-id":"f09b64ef-e321-4165-b8db-4a82770a78e4","azureml-model-session":"d20260405234249-f9874baf","cache-control":"no-cache","connection":"close","content-length":"982","content-type":"application/json","date":"Tue, 28 Apr 2026 01:33:39 GMT","server":"Caddy","skip-error-remapping":"true","strict-transport-security":"max-age=31536000; includeSubDomains; preload","x-content-type-options":"nosniff","x-ms-client-request-id":"Not-Set","x-ms-is-spilled-over":"false","x-ms-rai-invoked":"false","x-ms-region":"Sweden Central","x-new-api-version":"0.4.35","x-oneapi-request-id":"202604280133368639473408268d9d66ihendy0","x-ratelimit-abusepenalty-active":"False","x-ratelimit-key":"gpt-5-chat-global","x-ratelimit-limit-requests":"1000","x-ratelimit-limit-tokens":"1000000","x-ratelimit-remaining-requests":"999","x-ratelimit-remaining-tokens":"998318","x-ratelimit-renewalperiod-requests":"60","x-ratelimit-renewalperiod-tokens":"60","x-ratelimit-reset-requests":"60","x-ratelimit-reset-tokens":"100","x-request-id":"83dee73c-28f0-425f-a834-f5b4f24d6542"}</t>
        </is>
      </c>
      <c r="N124" t="inlineStr">
        <is>
          <t>Gucci White Leather Belt with Signature Double G Buckle, crafted from premium cowhide for a soft feel. Unisex minimalist design adds luxurious Italian elegance to any outfit.</t>
        </is>
      </c>
      <c r="O124" t="inlineStr">
        <is>
          <t>{"id":"chatcmpl-DZSZhri4YD2tVmNDyQpK44JWA7pJK","object":"chat.completion","created":1777343693,"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24" t="inlineStr">
        <is>
          <t>Gucci,Accessories,kakobuy,kakebuy2026,kekobuysheet,kakobuysheet2026,2026kakobuy,kakobuyspreadsheeet,kakobuylink,kakebuylist,Kakobuy MEGA Spreadsheet,kakobuysheetfind,kakobuysheetfind2026,2026kakobuysheetfind,kakobuysheet2026</t>
        </is>
      </c>
      <c r="Q124" t="inlineStr">
        <is>
          <t>Unisex, Minimalist, Elegant, Leather, Cowhide, White</t>
        </is>
      </c>
      <c r="R124" t="inlineStr">
        <is>
          <t>recvhju1CrjqVF</t>
        </is>
      </c>
      <c r="S124" t="inlineStr">
        <is>
          <t>gucci-white-leather-belt-double-g-buckle-recvhju1crjqvf</t>
        </is>
      </c>
      <c r="T124"/>
      <c r="U124"/>
      <c r="V124"/>
      <c r="W124" t="inlineStr">
        <is>
          <t>{"id":"chatcmpl-DZR7xta1l3FRr25Os40kXieLybRlS","object":"chat.completion","created":1777338129,"model":"gpt-5-chat-2025-10-03","choices":[{"index":0,"message":{"role":"assistant","content":"Gucci：白色双G标志皮革腰带，甄选优质牛皮材质，触感细腻柔软。经典极简设计搭配象征品牌的立体双G金属扣头，彰显奢华质感与现代格调。男女皆宜，适配多种穿搭场景，尽显意式优雅与时尚态度。","refusal":null,"annotations":[]},"logprobs":null,"finish_reason":"stop"}],"usage":{"prompt_tokens":1295,"completion_tokens":89,"total_tokens":1384,"prompt_tokens_details":{"cached_tokens":0,"audio_tokens":0},"completion_tokens_details":{"reasoning_tokens":0,"audio_tokens":0,"accepted_prediction_tokens":0,"rejected_prediction_tokens":0}},"service_tier":"default","system_fingerprint":"fp_ad66631dec"}</t>
        </is>
      </c>
      <c r="X124" t="inlineStr">
        <is>
          <t>Gucci：白色双G标志皮革腰带，甄选优质牛皮材质，触感细腻柔软。经典极简设计搭配象征品牌的立体双G金属扣头，彰显奢华质感与现代格调。男女皆宜，适配多种穿搭场景，尽显意式优雅与时尚态度。</t>
        </is>
      </c>
    </row>
    <row r="125" ht="25.5" customHeight="1">
      <c r="A125">
        <v>1654975475</v>
      </c>
      <c r="B125">
        <v>7623765466</v>
      </c>
      <c r="C125" s="2" t="str">
        <f>=HYPERLINK("https://weidian.com/item.html?itemID=7623765466", "https://weidian.com/item.html?itemID=7623765466")</f>
        <v>https://weidian.com/item.html?itemID=7623765466</v>
      </c>
      <c r="D125"/>
      <c r="E125" s="2" t="str">
        <f>=HYPERLINK("https://si.geilicdn.com/pcitem2014204438-55b80000019ad84778f70a20e672_1080_1080.jpg?w=640&amp;h=640", "https://si.geilicdn.com/pcitem2014204438-55b80000019ad84778f70a20e672_1080_1080.jpg?w=640&amp;h=640")</f>
        <v>https://si.geilicdn.com/pcitem2014204438-55b80000019ad84778f70a20e672_1080_1080.jpg?w=640&amp;h=640</v>
      </c>
      <c r="F125" t="inlineStr">
        <is>
          <t>Accessories</t>
        </is>
      </c>
      <c r="G125" t="inlineStr">
        <is>
          <t>Hermes</t>
        </is>
      </c>
      <c r="H125">
        <v>520</v>
      </c>
      <c r="I125">
        <v>75.36</v>
      </c>
      <c r="J125" t="inlineStr">
        <is>
          <t>{"id":"chatcmpl-DZSHF8OjxHT7QIuCrFmqs6DLa985J","object":"chat.completion","created":1777342549,"model":"gpt-5-chat-2025-10-03","choices":[{"index":0,"message":{"role":"assistant","content":"Hermes Orange H Buckle Leather Double Belt Set","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ad66631dec"}</t>
        </is>
      </c>
      <c r="K125" t="inlineStr">
        <is>
          <t>Hermes Orange H Buckle Leather Double Belt Set</t>
        </is>
      </c>
      <c r="L125" t="inlineStr">
        <is>
          <t>{"id":"chatcmpl-DZRk9HHCTlnxPaWl854NoaDZAI5p7","object":"chat.completion","created":1777340497,"model":"gpt-5-chat-2025-10-03","choices":[{"index":0,"message":{"role":"assistant","content":"Hermes Classic Orange H Buckle Double Belt Gift Set, crafted from top-grain leather with stainless steel buckles. Simple yet elegant, perfect for business or casual wear, unisex luxury French style.","refusal":null,"annotations":[]},"logprobs":null,"finish_reason":"stop"}],"usage":{"prompt_tokens":904,"completion_tokens":42,"total_tokens":946,"prompt_tokens_details":{"cached_tokens":0,"audio_tokens":0},"completion_tokens_details":{"reasoning_tokens":0,"audio_tokens":0,"accepted_prediction_tokens":0,"rejected_prediction_tokens":0}},"service_tier":"default","system_fingerprint":"fp_ad66631dec"}</t>
        </is>
      </c>
      <c r="M125" t="inlineStr">
        <is>
          <t>{"alt-svc":"h3=\":443\"; ma=2592000","apim-request-id":"734fc1b7-4162-417a-a85f-7a5f71887d0d","azureml-model-session":"d20260402075109-1fc5a0ec","cache-control":"no-cache","connection":"close","content-length":"1006","content-type":"application/json","date":"Tue, 28 Apr 2026 01:41:39 GMT","server":"nginx","skip-error-remapping":"true","strict-transport-security":"max-age=31536000; includeSubDomains; preload","via":"1.1 Caddy","x-content-type-options":"nosniff","x-ms-client-request-id":"Not-Set","x-ms-is-spilled-over":"false","x-ms-rai-invoked":"false","x-ms-region":"Poland Central","x-new-api-version":"0.4.35","x-oneapi-request-id":"202604280141363726242458268d9d6uIgzHNkW","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4067505d-1a8e-4e89-a4e9-18d89c6c76b4"}</t>
        </is>
      </c>
      <c r="N125" t="inlineStr">
        <is>
          <t>Hermes Classic Orange H Buckle Double Belt Gift Set, crafted from top-grain leather with stainless steel buckles. Simple yet elegant, perfect for business or casual wear, unisex luxury French style.</t>
        </is>
      </c>
      <c r="O125" t="inlineStr">
        <is>
          <t>{"id":"chatcmpl-DZSa2ZCWhazb0wXqwsPPjgIOi1Sj1","object":"chat.completion","created":1777343714,"model":"gpt-5-chat-2025-10-03","choices":[{"index":0,"message":{"role":"assistant","content":"Hermes,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5" t="inlineStr">
        <is>
          <t>Hermes, Belt, kakobuy, kakebuy2026, kekobuysheet, kakobuysheet2026, 2026kakobuy, kakobuyspreadsheeet, kakobuylink, kakebuylist, Kakobuy MEGA Spreadsheet, kakobuysheetfind, kakobuysheetfind2026, 2026kakobuysheetfind, kakobuysheet2026</t>
        </is>
      </c>
      <c r="Q125"/>
      <c r="R125" t="inlineStr">
        <is>
          <t>recvhju1Cruu7I</t>
        </is>
      </c>
      <c r="S125" t="inlineStr">
        <is>
          <t>hermes-orange-h-buckle-leather-double-belt-set-recvhju1cruu7i</t>
        </is>
      </c>
      <c r="T125"/>
      <c r="U125"/>
      <c r="V125"/>
      <c r="W125" t="inlineStr">
        <is>
          <t>{"id":"chatcmpl-DZRA8GuHLQwE3zzTgb4mkQ4mngoFj","object":"chat.completion","created":1777338264,"model":"gpt-5-chat-2025-10-03","choices":[{"index":0,"message":{"role":"assistant","content":"Hermes：经典橙色H扣双扣头皮带礼盒，甄选头层牛皮材质搭配不锈钢扣具，设计简约大气，商务休闲皆宜，彰显法式奢华格调，男女皆可佩戴，尽显优雅品味。","refusal":null,"annotations":[]},"logprobs":null,"finish_reason":"stop"}],"usage":{"prompt_tokens":1299,"completion_tokens":71,"total_tokens":1370,"prompt_tokens_details":{"cached_tokens":0,"audio_tokens":0},"completion_tokens_details":{"reasoning_tokens":0,"audio_tokens":0,"accepted_prediction_tokens":0,"rejected_prediction_tokens":0}},"service_tier":"default","system_fingerprint":"fp_ad66631dec"}</t>
        </is>
      </c>
      <c r="X125" t="inlineStr">
        <is>
          <t>Hermes：经典橙色H扣双扣头皮带礼盒，甄选头层牛皮材质搭配不锈钢扣具，设计简约大气，商务休闲皆宜，彰显法式奢华格调，男女皆可佩戴，尽显优雅品味。</t>
        </is>
      </c>
    </row>
    <row r="126" ht="25.5" customHeight="1">
      <c r="A126">
        <v>1654975475</v>
      </c>
      <c r="B126">
        <v>7620834787</v>
      </c>
      <c r="C126" s="2" t="str">
        <f>=HYPERLINK("https://weidian.com/item.html?itemID=7620834787", "https://weidian.com/item.html?itemID=7620834787")</f>
        <v>https://weidian.com/item.html?itemID=7620834787</v>
      </c>
      <c r="D126"/>
      <c r="E126" s="2" t="str">
        <f>=HYPERLINK("https://si.geilicdn.com/pcitem2014204438-043d0000019ad849ba300a2103bd_1080_1080.jpg?w=640&amp;h=640", "https://si.geilicdn.com/pcitem2014204438-043d0000019ad849ba300a2103bd_1080_1080.jpg?w=640&amp;h=640")</f>
        <v>https://si.geilicdn.com/pcitem2014204438-043d0000019ad849ba300a2103bd_1080_1080.jpg?w=640&amp;h=640</v>
      </c>
      <c r="F126" t="inlineStr">
        <is>
          <t>Accessories</t>
        </is>
      </c>
      <c r="G126" t="inlineStr">
        <is>
          <t>Louis Vuitton</t>
        </is>
      </c>
      <c r="H126">
        <v>520</v>
      </c>
      <c r="I126">
        <v>75.36</v>
      </c>
      <c r="J126" t="inlineStr">
        <is>
          <t>{"id":"chatcmpl-DZSLUxIYVekG8Ygsx3Pw8qhG5oCZw","object":"chat.completion","created":1777342812,"model":"gpt-5-chat-2025-10-03","choices":[{"index":0,"message":{"role":"assistant","content":"Louis Vuitton Black Leather Double Buckle Belt Set","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26" t="inlineStr">
        <is>
          <t>Louis Vuitton Black Leather Double Buckle Belt Set</t>
        </is>
      </c>
      <c r="L126" t="inlineStr">
        <is>
          <t>{"id":"chatcmpl-DZRfij7c0YhCPqjSZDNKVPUK6YAV1","object":"chat.completion","created":1777340222,"model":"gpt-5-chat-2025-10-03","choices":[{"index":0,"message":{"role":"assistant","content":"Louis Vuitton Classic Double Buckle Leather Belt Gift Set – Black genuine leather strap with gold LV metal buckles, minimalist luxury design for men and women, highlighting refined craftsmanship.","refusal":null,"annotations":[]},"logprobs":null,"finish_reason":"stop"}],"usage":{"prompt_tokens":886,"completion_tokens":35,"total_tokens":921,"prompt_tokens_details":{"cached_tokens":0,"audio_tokens":0},"completion_tokens_details":{"reasoning_tokens":0,"audio_tokens":0,"accepted_prediction_tokens":0,"rejected_prediction_tokens":0}},"service_tier":"default","system_fingerprint":"fp_ad66631dec"}</t>
        </is>
      </c>
      <c r="M126" t="inlineStr">
        <is>
          <t>{"alt-svc":"h3=\":443\"; ma=2592000","apim-request-id":"e105c3d8-7867-4c00-9c30-843102448f1d","azureml-model-session":"d20260405221325-2e8d5e76","cache-control":"no-cache","connection":"close","content-length":"1005","content-type":"application/json","date":"Tue, 28 Apr 2026 01:37:03 GMT","server":"nginx","skip-error-remapping":"true","strict-transport-security":"max-age=31536000; includeSubDomains; preload","via":"1.1 Caddy","x-content-type-options":"nosniff","x-ms-client-request-id":"Not-Set","x-ms-is-spilled-over":"false","x-ms-rai-invoked":"false","x-ms-region":"Central US","x-new-api-version":"0.4.35","x-oneapi-request-id":"202604280137018218771928268d9d6WGHLnNbN","x-ratelimit-abusepenalty-active":"False","x-ratelimit-key":"gpt-5-chat-global","x-ratelimit-limit-requests":"1000","x-ratelimit-limit-tokens":"1000000","x-ratelimit-remaining-requests":"999","x-ratelimit-remaining-tokens":"998352","x-ratelimit-renewalperiod-requests":"60","x-ratelimit-renewalperiod-tokens":"60","x-ratelimit-reset-requests":"60","x-ratelimit-reset-tokens":"98","x-request-id":"ce9081e9-f7a7-42e9-8801-25a6e4678379"}</t>
        </is>
      </c>
      <c r="N126" t="inlineStr">
        <is>
          <t>Louis Vuitton Classic Double Buckle Leather Belt Gift Set – Black genuine leather strap with gold LV metal buckles, minimalist luxury design for men and women, highlighting refined craftsmanship.</t>
        </is>
      </c>
      <c r="O126" t="inlineStr">
        <is>
          <t>{"id":"chatcmpl-DZSXgJAy02BWiw5SXAiMdUfhcq5xM","object":"chat.completion","created":1777343568,"model":"gpt-5-chat-2025-10-03","choices":[{"index":0,"message":{"role":"assistant","content":"Louis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6" t="inlineStr">
        <is>
          <t>Louis Vuitton, Accessories, kakobuy, kakebuy2026, kekobuysheet, kakobuysheet2026, 2026kakobuy, kakobuyspreadsheeet, kakobuylink, kakebuylist, Kakobuy MEGA Spreadsheet, kakobuysheetfind, kakobuysheetfind2026, 2026kakobuysheetfind, kakobuysheet2026</t>
        </is>
      </c>
      <c r="Q126" t="inlineStr">
        <is>
          <t>LV, Genuine Leather, Minimalist, Black, Gold, Unisex</t>
        </is>
      </c>
      <c r="R126" t="inlineStr">
        <is>
          <t>recvhju1CrHBvs</t>
        </is>
      </c>
      <c r="S126" t="inlineStr">
        <is>
          <t>louis-vuitton-black-leather-double-buckle-belt-recvhju1crhbvs</t>
        </is>
      </c>
      <c r="T126"/>
      <c r="U126"/>
      <c r="V126"/>
      <c r="W126" t="inlineStr">
        <is>
          <t>{"id":"chatcmpl-DZR672JEAsWLYjR8KanuOY62FLptJ","object":"chat.completion","created":1777338015,"model":"gpt-5-chat-2025-10-03","choices":[{"index":0,"message":{"role":"assistant","content":"Louis Vuitton：经典双扣头皮带礼盒，黑色真皮带身搭配金属LV字母扣，简约奢华质感，男女通用款，彰显时尚格调与品牌精致工艺。","refusal":null,"annotations":[]},"logprobs":null,"finish_reason":"stop"}],"usage":{"prompt_tokens":1297,"completion_tokens":54,"total_tokens":1351,"prompt_tokens_details":{"cached_tokens":0,"audio_tokens":0},"completion_tokens_details":{"reasoning_tokens":0,"audio_tokens":0,"accepted_prediction_tokens":0,"rejected_prediction_tokens":0}},"service_tier":"default","system_fingerprint":"fp_ad66631dec"}</t>
        </is>
      </c>
      <c r="X126" t="inlineStr">
        <is>
          <t>Louis Vuitton：经典双扣头皮带礼盒，黑色真皮带身搭配金属LV字母扣，简约奢华质感，男女通用款，彰显时尚格调与品牌精致工艺。</t>
        </is>
      </c>
    </row>
    <row r="127" ht="25.5" customHeight="1">
      <c r="A127">
        <v>1654975475</v>
      </c>
      <c r="B127">
        <v>7623781420</v>
      </c>
      <c r="C127" s="2" t="str">
        <f>=HYPERLINK("https://weidian.com/item.html?itemID=7623781420", "https://weidian.com/item.html?itemID=7623781420")</f>
        <v>https://weidian.com/item.html?itemID=7623781420</v>
      </c>
      <c r="D127"/>
      <c r="E127" s="2" t="str">
        <f>=HYPERLINK("https://si.geilicdn.com/pcitem2014204438-51260000019ad84b6ee50a239846_1080_1080.jpg?w=640&amp;h=640", "https://si.geilicdn.com/pcitem2014204438-51260000019ad84b6ee50a239846_1080_1080.jpg?w=640&amp;h=640")</f>
        <v>https://si.geilicdn.com/pcitem2014204438-51260000019ad84b6ee50a239846_1080_1080.jpg?w=640&amp;h=640</v>
      </c>
      <c r="F127" t="inlineStr">
        <is>
          <t>Accessories</t>
        </is>
      </c>
      <c r="G127" t="inlineStr">
        <is>
          <t>Salvatore Ferragamo</t>
        </is>
      </c>
      <c r="H127">
        <v>520</v>
      </c>
      <c r="I127">
        <v>75.36</v>
      </c>
      <c r="J127" t="inlineStr">
        <is>
          <t>{"id":"chatcmpl-DZSLhGZY27sJzBPPCPprMNswzJUou","object":"chat.completion","created":1777342825,"model":"gpt-5-chat-2025-10-03","choices":[{"index":0,"message":{"role":"assistant","content":"Salvatore Ferragamo Gancini Reversible Black Leather Belt","refusal":null,"annotations":[]},"logprobs":null,"finish_reason":"stop"}],"usage":{"prompt_tokens":880,"completion_tokens":14,"total_tokens":894,"prompt_tokens_details":{"cached_tokens":0,"audio_tokens":0},"completion_tokens_details":{"reasoning_tokens":0,"audio_tokens":0,"accepted_prediction_tokens":0,"rejected_prediction_tokens":0}},"service_tier":"default","system_fingerprint":"fp_ad66631dec"}</t>
        </is>
      </c>
      <c r="K127" t="inlineStr">
        <is>
          <t>Salvatore Ferragamo Gancini Reversible Black Leather Belt</t>
        </is>
      </c>
      <c r="L127" t="inlineStr">
        <is>
          <t>{"id":"chatcmpl-DZRcl49XcVFtU70Q3nVEQrxHfXa0j","object":"chat.completion","created":1777340039,"model":"gpt-5-chat-2025-10-03","choices":[{"index":0,"message":{"role":"assistant","content":"Salvatore Ferragamo Gancini black leather reversible belt with gold and gunmetal interchangeable buckles, crafted from genuine top-grain leather for timeless Italian luxury and unisex elegance.","refusal":null,"annotations":[]},"logprobs":null,"finish_reason":"stop"}],"usage":{"prompt_tokens":904,"completion_tokens":38,"total_tokens":942,"prompt_tokens_details":{"cached_tokens":0,"audio_tokens":0},"completion_tokens_details":{"reasoning_tokens":0,"audio_tokens":0,"accepted_prediction_tokens":0,"rejected_prediction_tokens":0}},"service_tier":"default","system_fingerprint":"fp_ad66631dec"}</t>
        </is>
      </c>
      <c r="M127" t="inlineStr">
        <is>
          <t>{"alt-svc":"h3=\":443\"; ma=2592000","apim-request-id":"f907ad88-44ac-49bc-b3fc-b5b0495a049d","azureml-model-session":"d20260402075109-1fc5a0ec","cache-control":"no-cache","connection":"close","content-length":"1001","content-type":"application/json","date":"Tue, 28 Apr 2026 01:34:00 GMT","server":"Caddy","skip-error-remapping":"true","strict-transport-security":"max-age=31536000; includeSubDomains; preload","x-content-type-options":"nosniff","x-ms-client-request-id":"Not-Set","x-ms-is-spilled-over":"false","x-ms-rai-invoked":"false","x-ms-region":"South Central US","x-new-api-version":"0.4.35","x-oneapi-request-id":"202604280133579418357118268d9d6zFEKcluW","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219534f1-7ce8-442d-9e27-9a27f17a888b"}</t>
        </is>
      </c>
      <c r="N127" t="inlineStr">
        <is>
          <t>Salvatore Ferragamo Gancini black leather reversible belt with gold and gunmetal interchangeable buckles, crafted from genuine top-grain leather for timeless Italian luxury and unisex elegance.</t>
        </is>
      </c>
      <c r="O127" t="inlineStr">
        <is>
          <t>{"id":"chatcmpl-DZSWvgSStXJcnc8GwDfszvMqBu8ku","object":"chat.completion","created":1777343521,"model":"gpt-5-chat-2025-10-03","choices":[{"index":0,"message":{"role":"assistant","content":"Salvatore Ferragamo,Accessories,kakobuy,kakebuy2026,kekobuysheet,kakobuysheet2026,2026kakobuy,kakobuyspreadsheeet,kakobuylink,kakebuylist,Kakobuy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127" t="inlineStr">
        <is>
          <t>Salvatore Ferragamo,Accessories,kakobuy,kakebuy2026,kekobuysheet,kakobuysheet2026,2026kakobuy,kakobuyspreadsheeet,kakobuylink,kakebuylist,Kakobuy MEGA Spreadsheet,kakobuysheetfind,kakobuysheetfind2026,2026kakobuysheetfind,kakobuysheet2026</t>
        </is>
      </c>
      <c r="Q127"/>
      <c r="R127" t="inlineStr">
        <is>
          <t>recvhju1Cr5Rsx</t>
        </is>
      </c>
      <c r="S127" t="inlineStr">
        <is>
          <t>ferragamo-gancini-reversible-black-leather-belt-recvhju1cr5rsx</t>
        </is>
      </c>
      <c r="T127"/>
      <c r="U127"/>
      <c r="V127"/>
      <c r="W127" t="inlineStr">
        <is>
          <t>{"id":"chatcmpl-DZR7DiM62WrJWROcNeCqWdKidPL1i","object":"chat.completion","created":1777338083,"model":"gpt-5-chat-2025-10-03","choices":[{"index":0,"message":{"role":"assistant","content":"Salvatore Ferragamo：Gancini系列黑色可替换双扣皮带，甄选头层牛皮搭配镀金与枪色钢扣设计，意式简约奢华风格，彰显绅士品味，适合男女通用商务休闲穿搭。","refusal":null,"annotations":[]},"logprobs":null,"finish_reason":"stop"}],"usage":{"prompt_tokens":1303,"completion_tokens":69,"total_tokens":1372,"prompt_tokens_details":{"cached_tokens":0,"audio_tokens":0},"completion_tokens_details":{"reasoning_tokens":0,"audio_tokens":0,"accepted_prediction_tokens":0,"rejected_prediction_tokens":0}},"service_tier":"default","system_fingerprint":"fp_ad66631dec"}</t>
        </is>
      </c>
      <c r="X127" t="inlineStr">
        <is>
          <t>Salvatore Ferragamo：Gancini系列黑色可替换双扣皮带，甄选头层牛皮搭配镀金与枪色钢扣设计，意式简约奢华风格，彰显绅士品味，适合男女通用商务休闲穿搭。</t>
        </is>
      </c>
    </row>
    <row r="128" ht="25.5" customHeight="1">
      <c r="A128">
        <v>1654975475</v>
      </c>
      <c r="B128">
        <v>7620838671</v>
      </c>
      <c r="C128" s="2" t="str">
        <f>=HYPERLINK("https://weidian.com/item.html?itemID=7620838671", "https://weidian.com/item.html?itemID=7620838671")</f>
        <v>https://weidian.com/item.html?itemID=7620838671</v>
      </c>
      <c r="D128"/>
      <c r="E128" s="2" t="str">
        <f>=HYPERLINK("https://si.geilicdn.com/pcitem2014204438-51820000019ad84adaad0a20e7c7_1080_1080.jpg?w=640&amp;h=640", "https://si.geilicdn.com/pcitem2014204438-51820000019ad84adaad0a20e7c7_1080_1080.jpg?w=640&amp;h=640")</f>
        <v>https://si.geilicdn.com/pcitem2014204438-51820000019ad84adaad0a20e7c7_1080_1080.jpg?w=640&amp;h=640</v>
      </c>
      <c r="F128" t="inlineStr">
        <is>
          <t>Accessories</t>
        </is>
      </c>
      <c r="G128" t="inlineStr">
        <is>
          <t>Salvatore Ferragamo</t>
        </is>
      </c>
      <c r="H128">
        <v>520</v>
      </c>
      <c r="I128">
        <v>75.36</v>
      </c>
      <c r="J128" t="inlineStr">
        <is>
          <t>{"id":"chatcmpl-DZSLEg4foHRw154iOcOHmhmV3cNp9","object":"chat.completion","created":1777342796,"model":"gpt-5-chat-2025-10-03","choices":[{"index":0,"message":{"role":"assistant","content":"Salvatore Ferragamo Men Double Gancini Leather Belt Brown","refusal":null,"annotations":[]},"logprobs":null,"finish_reason":"stop"}],"usage":{"prompt_tokens":888,"completion_tokens":14,"total_tokens":902,"prompt_tokens_details":{"cached_tokens":0,"audio_tokens":0},"completion_tokens_details":{"reasoning_tokens":0,"audio_tokens":0,"accepted_prediction_tokens":0,"rejected_prediction_tokens":0}},"service_tier":"default","system_fingerprint":"fp_ad66631dec"}</t>
        </is>
      </c>
      <c r="K128" t="inlineStr">
        <is>
          <t>Salvatore Ferragamo Men Double Gancini Leather Belt Brown</t>
        </is>
      </c>
      <c r="L128" t="inlineStr">
        <is>
          <t>{"id":"chatcmpl-DZRihYwGafTvxikXnyUMzpyuMvBGJ","object":"chat.completion","created":1777340407,"model":"gpt-5-chat-2025-10-03","choices":[{"index":0,"message":{"role":"assistant","content":"Salvatore Ferragamo Men’s Double Gancini Belt in Caramel Brown, premium full-grain leather with steel buckles, Italian minimalist design, elegant business style, timeless luxury for modern gentlemen.","refusal":null,"annotations":[]},"logprobs":null,"finish_reason":"stop"}],"usage":{"prompt_tokens":892,"completion_tokens":42,"total_tokens":934,"prompt_tokens_details":{"cached_tokens":0,"audio_tokens":0},"completion_tokens_details":{"reasoning_tokens":0,"audio_tokens":0,"accepted_prediction_tokens":0,"rejected_prediction_tokens":0}},"service_tier":"default","system_fingerprint":"fp_ad66631dec"}</t>
        </is>
      </c>
      <c r="M128" t="inlineStr">
        <is>
          <t>{"alt-svc":"h3=\":443\"; ma=2592000","apim-request-id":"da280544-5f4b-4f4d-8e8a-101a94bddcf2","azureml-model-session":"d20260402075109-1fc5a0ec","cache-control":"no-cache","connection":"close","content-length":"1009","content-type":"application/json","date":"Tue, 28 Apr 2026 01:40:08 GMT","server":"nginx","skip-error-remapping":"true","strict-transport-security":"max-age=31536000; includeSubDomains; preload","via":"1.1 Caddy","x-content-type-options":"nosniff","x-ms-client-request-id":"Not-Set","x-ms-is-spilled-over":"false","x-ms-rai-invoked":"false","x-ms-region":"East US","x-new-api-version":"0.4.35","x-oneapi-request-id":"202604280140061521194588268d9d6EsmBS4xC","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e344a620-d3cf-4cbd-ac5e-27f828d4499a"}</t>
        </is>
      </c>
      <c r="N128" t="inlineStr">
        <is>
          <t>Salvatore Ferragamo Men’s Double Gancini Belt in Caramel Brown, premium full-grain leather with steel buckles, Italian minimalist design, elegant business style, timeless luxury for modern gentlemen.</t>
        </is>
      </c>
      <c r="O128" t="inlineStr">
        <is>
          <t>{"id":"chatcmpl-DZSYs4VzK8OWcLUgzq2cg8x4jff1B","object":"chat.completion","created":1777343642,"model":"gpt-5-chat-2025-10-03","choices":[{"index":0,"message":{"role":"assistant","content":"Salvatore Ferragamo,Accessories,kakobuy,kakebuy2026,kekobuysheet,kakobuysheet2026,2026kakobuy,kakobuyspreadsheeet,kakobuylink,kakebuylist,Kakobuy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128" t="inlineStr">
        <is>
          <t>Salvatore Ferragamo,Accessories,kakobuy,kakebuy2026,kekobuysheet,kakobuysheet2026,2026kakobuy,kakobuyspreadsheeet,kakobuylink,kakebuylist,Kakobuy MEGA Spreadsheet,kakobuysheetfind,kakobuysheetfind2026,2026kakobuysheetfind,kakobuysheet2026</t>
        </is>
      </c>
      <c r="Q128" t="inlineStr">
        <is>
          <t>Leather, Minimalist, Business, Elegant, Brown, Men</t>
        </is>
      </c>
      <c r="R128" t="inlineStr">
        <is>
          <t>recvhju1Cr3hKy</t>
        </is>
      </c>
      <c r="S128" t="inlineStr">
        <is>
          <t>ferragamo-double-gancini-leather-belt-brown-recvhju1cr3hky</t>
        </is>
      </c>
      <c r="T128"/>
      <c r="U128"/>
      <c r="V128"/>
      <c r="W128" t="inlineStr">
        <is>
          <t>{"id":"chatcmpl-DZR6YEOFm8fwPEXCTRamxEaE4N8Ex","object":"chat.completion","created":1777338042,"model":"gpt-5-chat-2025-10-03","choices":[{"index":0,"message":{"role":"assistant","content":"Salvatore Ferragamo：双扣系列焦糖棕配金属钢扣头层牛皮腰带，意式简约设计，典雅商务风格，男士百搭精品，彰显品牌经典质感与现代格调。","refusal":null,"annotations":[]},"logprobs":null,"finish_reason":"stop"}],"usage":{"prompt_tokens":1307,"completion_tokens":55,"total_tokens":1362,"prompt_tokens_details":{"cached_tokens":0,"audio_tokens":0},"completion_tokens_details":{"reasoning_tokens":0,"audio_tokens":0,"accepted_prediction_tokens":0,"rejected_prediction_tokens":0}},"service_tier":"default","system_fingerprint":"fp_ad66631dec"}</t>
        </is>
      </c>
      <c r="X128" t="inlineStr">
        <is>
          <t>Salvatore Ferragamo：双扣系列焦糖棕配金属钢扣头层牛皮腰带，意式简约设计，典雅商务风格，男士百搭精品，彰显品牌经典质感与现代格调。</t>
        </is>
      </c>
    </row>
    <row r="129" ht="25.5" customHeight="1">
      <c r="A129">
        <v>1654975475</v>
      </c>
      <c r="B129">
        <v>7620938019</v>
      </c>
      <c r="C129" s="2" t="str">
        <f>=HYPERLINK("https://weidian.com/item.html?itemID=7620938019", "https://weidian.com/item.html?itemID=7620938019")</f>
        <v>https://weidian.com/item.html?itemID=7620938019</v>
      </c>
      <c r="D129"/>
      <c r="E129" s="2" t="str">
        <f>=HYPERLINK("https://si.geilicdn.com/pcitem2014204438-71940000019ad87548640a23111a_1080_1080.jpg?w=640&amp;h=640", "https://si.geilicdn.com/pcitem2014204438-71940000019ad87548640a23111a_1080_1080.jpg?w=640&amp;h=640")</f>
        <v>https://si.geilicdn.com/pcitem2014204438-71940000019ad87548640a23111a_1080_1080.jpg?w=640&amp;h=640</v>
      </c>
      <c r="F129" t="inlineStr">
        <is>
          <t>Accessories</t>
        </is>
      </c>
      <c r="G129" t="inlineStr">
        <is>
          <t>Louis Vuitton</t>
        </is>
      </c>
      <c r="H129">
        <v>680</v>
      </c>
      <c r="I129">
        <v>98.55</v>
      </c>
      <c r="J129" t="inlineStr">
        <is>
          <t>{"id":"chatcmpl-DZSJcxRyyVvsk4pnyX2an4QOSvvSP","object":"chat.completion","created":1777342696,"model":"gpt-5-chat-2025-10-03","choices":[{"index":0,"message":{"role":"assistant","content":"Louis Vuitton Monogram Brown Leather Men Belt","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29" t="inlineStr">
        <is>
          <t>Louis Vuitton Monogram Brown Leather Men Belt</t>
        </is>
      </c>
      <c r="L129" t="inlineStr">
        <is>
          <t>{"id":"chatcmpl-DZRjtl3SIGQauyXhorrfjhblpJf7B","object":"chat.completion","created":1777340481,"model":"gpt-5-chat-2025-10-03","choices":[{"index":0,"message":{"role":"assistant","content":"Louis Vuitton Classic Monogram Brown Men’s Belt, crafted from premium cowhide leather with a silver LV buckle, exuding timeless French luxury for business or casual wear.","refusal":null,"annotations":[]},"logprobs":null,"finish_reason":"stop"}],"usage":{"prompt_tokens":890,"completion_tokens":34,"total_tokens":924,"prompt_tokens_details":{"cached_tokens":0,"audio_tokens":0},"completion_tokens_details":{"reasoning_tokens":0,"audio_tokens":0,"accepted_prediction_tokens":0,"rejected_prediction_tokens":0}},"service_tier":"default","system_fingerprint":"fp_ad66631dec"}</t>
        </is>
      </c>
      <c r="M129" t="inlineStr">
        <is>
          <t>{"alt-svc":"h3=\":443\"; ma=2592000","apim-request-id":"b389a23b-70f4-4a78-8dc9-a6cb11dc0eb1","azureml-model-session":"d20260405234249-f9874baf","cache-control":"no-cache","connection":"close","content-length":"980","content-type":"application/json","date":"Tue, 28 Apr 2026 01:41:22 GMT","server":"nginx","skip-error-remapping":"true","strict-transport-security":"max-age=31536000; includeSubDomains; preload","via":"1.1 Caddy","x-content-type-options":"nosniff","x-ms-client-request-id":"Not-Set","x-ms-is-spilled-over":"false","x-ms-rai-invoked":"false","x-ms-region":"West US","x-new-api-version":"0.4.35","x-oneapi-request-id":"202604280141202339764558268d9d6jevBBr1B","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aa26afe4-33cb-42c6-9265-20aceb95bc24"}</t>
        </is>
      </c>
      <c r="N129" t="inlineStr">
        <is>
          <t>Louis Vuitton Classic Monogram Brown Men’s Belt, crafted from premium cowhide leather with a silver LV buckle, exuding timeless French luxury for business or casual wear.</t>
        </is>
      </c>
      <c r="O129" t="inlineStr">
        <is>
          <t>{"id":"chatcmpl-DZSZ7Oo9OIHHqxOTbCMsMDCNHDUsp","object":"chat.completion","created":1777343657,"model":"gpt-5-chat-2025-10-03","choices":[{"index":0,"message":{"role":"assistant","content":"Louis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9" t="inlineStr">
        <is>
          <t>Louis Vuitton, Accessories, kakobuy, kakebuy2026, kekobuysheet, kakobuysheet2026, 2026kakobuy, kakobuyspreadsheeet, kakobuylink, kakebuylist, Kakobuy MEGA Spreadsheet, kakobuysheetfind, kakobuysheetfind2026, 2026kakobuysheetfind, kakobuysheet2026</t>
        </is>
      </c>
      <c r="Q129" t="inlineStr">
        <is>
          <t>LV, Cowhide, Leather, Brown, Silver, Men</t>
        </is>
      </c>
      <c r="R129" t="inlineStr">
        <is>
          <t>recvhju1Crroiq</t>
        </is>
      </c>
      <c r="S129" t="inlineStr">
        <is>
          <t>louis-vuitton-monogram-brown-leather-men-belt-recvhju1crroiq</t>
        </is>
      </c>
      <c r="T129"/>
      <c r="U129"/>
      <c r="V129"/>
      <c r="W129" t="inlineStr">
        <is>
          <t>{"id":"chatcmpl-DZR85hexxebwrSS6HZ4js9r0cedgO","object":"chat.completion","created":1777338137,"model":"gpt-5-chat-2025-10-03","choices":[{"index":0,"message":{"role":"assistant","content":"Louis Vuitton：经典Monogram棕色男士皮带，优质头层牛皮材质搭配银色LV字母扣，彰显奢华品味与永恒法式时尚，适合商务与休闲多场合佩戴。","refusal":null,"annotations":[]},"logprobs":null,"finish_reason":"stop"}],"usage":{"prompt_tokens":1295,"completion_tokens":59,"total_tokens":1354,"prompt_tokens_details":{"cached_tokens":1280,"audio_tokens":0},"completion_tokens_details":{"reasoning_tokens":0,"audio_tokens":0,"accepted_prediction_tokens":0,"rejected_prediction_tokens":0}},"service_tier":"default","system_fingerprint":"fp_ad66631dec"}</t>
        </is>
      </c>
      <c r="X129" t="inlineStr">
        <is>
          <t>Louis Vuitton：经典Monogram棕色男士皮带，优质头层牛皮材质搭配银色LV字母扣，彰显奢华品味与永恒法式时尚，适合商务与休闲多场合佩戴。</t>
        </is>
      </c>
    </row>
    <row r="130" ht="25.5" customHeight="1">
      <c r="A130">
        <v>1654975475</v>
      </c>
      <c r="B130">
        <v>7623830560</v>
      </c>
      <c r="C130" s="2" t="str">
        <f>=HYPERLINK("https://weidian.com/item.html?itemID=7623830560", "https://weidian.com/item.html?itemID=7623830560")</f>
        <v>https://weidian.com/item.html?itemID=7623830560</v>
      </c>
      <c r="D130"/>
      <c r="E130" s="2" t="str">
        <f>=HYPERLINK("https://si.geilicdn.com/pcitem2014204438-72a70000019ad8789cf80a23111a_1440_1440.jpg?w=640&amp;h=640", "https://si.geilicdn.com/pcitem2014204438-72a70000019ad8789cf80a23111a_1440_1440.jpg?w=640&amp;h=640")</f>
        <v>https://si.geilicdn.com/pcitem2014204438-72a70000019ad8789cf80a23111a_1440_1440.jpg?w=640&amp;h=640</v>
      </c>
      <c r="F130" t="inlineStr">
        <is>
          <t>Accessories</t>
        </is>
      </c>
      <c r="G130" t="inlineStr">
        <is>
          <t>Dior</t>
        </is>
      </c>
      <c r="H130">
        <v>460</v>
      </c>
      <c r="I130">
        <v>66.67</v>
      </c>
      <c r="J130" t="inlineStr">
        <is>
          <t>{"id":"chatcmpl-DZSJv8w2oUmus6gfycsSLkoHgNqzj","object":"chat.completion","created":1777342715,"model":"gpt-5-chat-2025-10-03","choices":[{"index":0,"message":{"role":"assistant","content":"Dior Grey Oblique Leather Belt Silver CD Buckle","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30" t="inlineStr">
        <is>
          <t>Dior Grey Oblique Leather Belt Silver CD Buckle</t>
        </is>
      </c>
      <c r="L130" t="inlineStr">
        <is>
          <t>{"id":"chatcmpl-DZRgqkIl0zEPiTSyNM1GlpKHhJZZW","object":"chat.completion","created":1777340292,"model":"gpt-5-chat-2025-10-03","choices":[{"index":0,"message":{"role":"assistant","content":"Dior Grey Oblique Leather Belt with Silver CD Buckle, featuring classic logo monogram design, unisex style, elegant vintage charm, versatile fashion accessory showing refined luxury craftsmanship.","refusal":null,"annotations":[]},"logprobs":null,"finish_reason":"stop"}],"usage":{"prompt_tokens":888,"completion_tokens":37,"total_tokens":925,"prompt_tokens_details":{"cached_tokens":0,"audio_tokens":0},"completion_tokens_details":{"reasoning_tokens":0,"audio_tokens":0,"accepted_prediction_tokens":0,"rejected_prediction_tokens":0}},"service_tier":"default","system_fingerprint":"fp_ad66631dec"}</t>
        </is>
      </c>
      <c r="M130" t="inlineStr">
        <is>
          <t>{"alt-svc":"h3=\":443\"; ma=2592000","apim-request-id":"5cc750e2-e121-48aa-bc33-115d78d448ab","azureml-model-session":"d20260402075109-1fc5a0ec","cache-control":"no-cache","connection":"close","content-length":"1004","content-type":"application/json","date":"Tue, 28 Apr 2026 01:38:13 GMT","server":"Caddy","skip-error-remapping":"true","strict-transport-security":"max-age=31536000; includeSubDomains; preload","x-content-type-options":"nosniff","x-ms-client-request-id":"Not-Set","x-ms-is-spilled-over":"false","x-ms-rai-invoked":"false","x-ms-region":"North Central US","x-new-api-version":"0.4.35","x-oneapi-request-id":"202604280138119008052558268d9d6i18IlZgr","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9fbc9382-222f-421c-874f-173b793d702a"}</t>
        </is>
      </c>
      <c r="N130" t="inlineStr">
        <is>
          <t>Dior Grey Oblique Leather Belt with Silver CD Buckle, featuring classic logo monogram design, unisex style, elegant vintage charm, versatile fashion accessory showing refined luxury craftsmanship.</t>
        </is>
      </c>
      <c r="O130" t="inlineStr">
        <is>
          <t>{"id":"chatcmpl-DZSUfy5hg6phd0SZ8GQtPavRUJ4kS","object":"chat.completion","created":1777343381,"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30" t="inlineStr">
        <is>
          <t>Dior,Belt,kakobuy,kakebuy2026,kekobuysheet,kakobuysheet2026,2026kakobuy,kakobuyspreadsheeet,kakobuylink,kakebuylist,Kakobuy MEGA Spreadsheet,kakobuysheetfind,kakobuysheetfind2026,2026kakobuysheetfind,kakobuysheet2026</t>
        </is>
      </c>
      <c r="Q130" t="inlineStr">
        <is>
          <t>Dior, Grey, Leather, Unisex, Elegant, Vintage</t>
        </is>
      </c>
      <c r="R130" t="inlineStr">
        <is>
          <t>recvhju1CrGJq7</t>
        </is>
      </c>
      <c r="S130" t="inlineStr">
        <is>
          <t>dior-grey-oblique-leather-belt-silver-cd-buckle-recvhju1crgjq7</t>
        </is>
      </c>
      <c r="T130"/>
      <c r="U130"/>
      <c r="V130"/>
      <c r="W130" t="inlineStr">
        <is>
          <t>{"id":"chatcmpl-DZRDIClaD7rl6CGj94Xsehm5TE2SX","object":"chat.completion","created":1777338460,"model":"gpt-5-chat-2025-10-03","choices":[{"index":0,"message":{"role":"assistant","content":"Dior：灰色Oblique老花系列皮革腰带，饰银色CD金属扣，经典logo图腾设计，展现复古摩登格调，男女皆宜，优雅百搭彰显品牌高定质感。","refusal":null,"annotations":[]},"logprobs":null,"finish_reason":"stop"}],"usage":{"prompt_tokens":1299,"completion_tokens":55,"total_tokens":1354,"prompt_tokens_details":{"cached_tokens":0,"audio_tokens":0},"completion_tokens_details":{"reasoning_tokens":0,"audio_tokens":0,"accepted_prediction_tokens":0,"rejected_prediction_tokens":0}},"service_tier":"default","system_fingerprint":"fp_ad66631dec"}</t>
        </is>
      </c>
      <c r="X130" t="inlineStr">
        <is>
          <t>Dior：灰色Oblique老花系列皮革腰带，饰银色CD金属扣，经典logo图腾设计，展现复古摩登格调，男女皆宜，优雅百搭彰显品牌高定质感。</t>
        </is>
      </c>
    </row>
    <row r="131" ht="25.5" customHeight="1">
      <c r="A131">
        <v>1654975475</v>
      </c>
      <c r="B131">
        <v>7619589515</v>
      </c>
      <c r="C131" s="2" t="str">
        <f>=HYPERLINK("https://weidian.com/item.html?itemID=7619589515", "https://weidian.com/item.html?itemID=7619589515")</f>
        <v>https://weidian.com/item.html?itemID=7619589515</v>
      </c>
      <c r="D131"/>
      <c r="E131" s="2" t="str">
        <f>=HYPERLINK("https://si.geilicdn.com/pcitem2014204438-5ae50000019ad879aaa70a239646_1080_1080.jpg?w=640&amp;h=640", "https://si.geilicdn.com/pcitem2014204438-5ae50000019ad879aaa70a239646_1080_1080.jpg?w=640&amp;h=640")</f>
        <v>https://si.geilicdn.com/pcitem2014204438-5ae50000019ad879aaa70a239646_1080_1080.jpg?w=640&amp;h=640</v>
      </c>
      <c r="F131" t="inlineStr">
        <is>
          <t>Accessories</t>
        </is>
      </c>
      <c r="G131" t="inlineStr">
        <is>
          <t>Hermes</t>
        </is>
      </c>
      <c r="H131">
        <v>460</v>
      </c>
      <c r="I131">
        <v>66.67</v>
      </c>
      <c r="J131" t="inlineStr">
        <is>
          <t>{"id":"chatcmpl-DZSM9y5rQH3Tmjy8paxkxXVIpwqnh","object":"chat.completion","created":1777342853,"model":"gpt-5-chat-2025-10-03","choices":[{"index":0,"message":{"role":"assistant","content":"Hermes H Buckle Reversible Leather Belt Black Green","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131" t="inlineStr">
        <is>
          <t>Hermes H Buckle Reversible Leather Belt Black Green</t>
        </is>
      </c>
      <c r="L131" t="inlineStr">
        <is>
          <t>{"id":"chatcmpl-DZRcP3nFnaTBdtyghLukvokoGY16e","object":"chat.completion","created":1777340017,"model":"gpt-5-chat-2025-10-03","choices":[{"index":0,"message":{"role":"assistant","content":"Hermes Classic H Buckle Reversible Belt, black-green calfskin leather, gold-tone hardware, unisex French vintage style, perfect for business or casual wear, luxury and timeless elegance.","refusal":null,"annotations":[]},"logprobs":null,"finish_reason":"stop"}],"usage":{"prompt_tokens":900,"completion_tokens":39,"total_tokens":939,"prompt_tokens_details":{"cached_tokens":0,"audio_tokens":0},"completion_tokens_details":{"reasoning_tokens":0,"audio_tokens":0,"accepted_prediction_tokens":0,"rejected_prediction_tokens":0}},"service_tier":"default","system_fingerprint":"fp_ad66631dec"}</t>
        </is>
      </c>
      <c r="M131" t="inlineStr">
        <is>
          <t>{"alt-svc":"h3=\":443\"; ma=2592000","apim-request-id":"9f80debb-3c10-4906-bc38-bd3059a8303f","azureml-model-session":"d20260402083108-57a85543","cache-control":"no-cache","connection":"close","content-length":"994","content-type":"application/json","date":"Tue, 28 Apr 2026 01:33:39 GMT","server":"nginx","skip-error-remapping":"true","strict-transport-security":"max-age=31536000; includeSubDomains; preload","via":"1.1 Caddy","x-content-type-options":"nosniff","x-ms-client-request-id":"Not-Set","x-ms-is-spilled-over":"false","x-ms-rai-invoked":"false","x-ms-region":"Poland Central","x-new-api-version":"0.4.35","x-oneapi-request-id":"202604280133371240280388268d9d6lil8jGTa","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c6003a36-6061-4b4a-ad8c-1cd5bef6c48a"}</t>
        </is>
      </c>
      <c r="N131" t="inlineStr">
        <is>
          <t>Hermes Classic H Buckle Reversible Belt, black-green calfskin leather, gold-tone hardware, unisex French vintage style, perfect for business or casual wear, luxury and timeless elegance.</t>
        </is>
      </c>
      <c r="O131" t="inlineStr">
        <is>
          <t>{"id":"chatcmpl-DZSVoHdTtYu2iGevSql36ExrF248E","object":"chat.completion","created":1777343452,"model":"gpt-5-chat-2025-10-03","choices":[{"index":0,"message":{"role":"assistant","content":"Hermes,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1" t="inlineStr">
        <is>
          <t>Hermes, Belt, kakobuy, kakebuy2026, kekobuysheet, kakobuysheet2026, 2026kakobuy, kakobuyspreadsheeet, kakobuylink, kakebuylist, Kakobuy MEGA Spreadsheet, kakobuysheetfind, kakobuysheetfind2026, 2026kakobuysheetfind, kakobuysheet2026</t>
        </is>
      </c>
      <c r="Q131"/>
      <c r="R131" t="inlineStr">
        <is>
          <t>recvhju1Cr64nQ</t>
        </is>
      </c>
      <c r="S131" t="inlineStr">
        <is>
          <t>hermes-h-buckle-reversible-leather-belt-black-green-recvhju1cr64nq</t>
        </is>
      </c>
      <c r="T131"/>
      <c r="U131"/>
      <c r="V131"/>
      <c r="W131" t="inlineStr">
        <is>
          <t>{"id":"chatcmpl-DZR6T2O504zv3n5FyzZGUek6BAfbP","object":"chat.completion","created":1777338037,"model":"gpt-5-chat-2025-10-03","choices":[{"index":0,"message":{"role":"assistant","content":"Hermes：经典H扣双面皮带，黑绿拼色设计，甄选小牛皮材质，搭配金色金属扣头，简约优雅彰显奢华质感，男女皆宜，法式复古风格，百搭商务休闲造型之选。","refusal":null,"annotations":[]},"logprobs":null,"finish_reason":"stop"}],"usage":{"prompt_tokens":1295,"completion_tokens":69,"total_tokens":1364,"prompt_tokens_details":{"cached_tokens":0,"audio_tokens":0},"completion_tokens_details":{"reasoning_tokens":0,"audio_tokens":0,"accepted_prediction_tokens":0,"rejected_prediction_tokens":0}},"service_tier":"default","system_fingerprint":"fp_ad66631dec"}</t>
        </is>
      </c>
      <c r="X131" t="inlineStr">
        <is>
          <t>Hermes：经典H扣双面皮带，黑绿拼色设计，甄选小牛皮材质，搭配金色金属扣头，简约优雅彰显奢华质感，男女皆宜，法式复古风格，百搭商务休闲造型之选。</t>
        </is>
      </c>
    </row>
    <row r="132" ht="25.5" customHeight="1">
      <c r="A132">
        <v>1654975475</v>
      </c>
      <c r="B132">
        <v>7620892445</v>
      </c>
      <c r="C132" s="2" t="str">
        <f>=HYPERLINK("https://weidian.com/item.html?itemID=7620892445", "https://weidian.com/item.html?itemID=7620892445")</f>
        <v>https://weidian.com/item.html?itemID=7620892445</v>
      </c>
      <c r="D132"/>
      <c r="E132" s="2" t="str">
        <f>=HYPERLINK("https://si.geilicdn.com/pcitem2014204438-5c690000019ad87eaea00a239646_1080_1080.jpg?w=640&amp;h=640", "https://si.geilicdn.com/pcitem2014204438-5c690000019ad87eaea00a239646_1080_1080.jpg?w=640&amp;h=640")</f>
        <v>https://si.geilicdn.com/pcitem2014204438-5c690000019ad87eaea00a239646_1080_1080.jpg?w=640&amp;h=640</v>
      </c>
      <c r="F132" t="inlineStr">
        <is>
          <t>Accessories</t>
        </is>
      </c>
      <c r="G132" t="inlineStr">
        <is>
          <t>Gucci</t>
        </is>
      </c>
      <c r="H132">
        <v>460</v>
      </c>
      <c r="I132">
        <v>66.67</v>
      </c>
      <c r="J132" t="inlineStr">
        <is>
          <t>{"id":"chatcmpl-DZSNdfKIgkDdQ8aBYUPx3OuIt6paT","object":"chat.completion","created":1777342945,"model":"gpt-5-chat-2025-10-03","choices":[{"index":0,"message":{"role":"assistant","content":"Gucci Black Leather Belt Gold Double G Buckle","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32" t="inlineStr">
        <is>
          <t>Gucci Black Leather Belt Gold Double G Buckle</t>
        </is>
      </c>
      <c r="L132" t="inlineStr">
        <is>
          <t>{"id":"chatcmpl-DZRecMpjk2S0TzNPXLj8SSb9Yg9if","object":"chat.completion","created":1777340154,"model":"gpt-5-chat-2025-10-03","choices":[{"index":0,"message":{"role":"assistant","content":"Gucci Black Leather Belt with Gold Double G Buckle, crafted in Italy for timeless luxury. Unisex design blends vintage elegance and modern sophistication for an iconic fashion statement.","refusal":null,"annotations":[]},"logprobs":null,"finish_reason":"stop"}],"usage":{"prompt_tokens":898,"completion_tokens":35,"total_tokens":933,"prompt_tokens_details":{"cached_tokens":0,"audio_tokens":0},"completion_tokens_details":{"reasoning_tokens":0,"audio_tokens":0,"accepted_prediction_tokens":0,"rejected_prediction_tokens":0}},"service_tier":"default","system_fingerprint":"fp_ad66631dec"}</t>
        </is>
      </c>
      <c r="M132" t="inlineStr">
        <is>
          <t>{"alt-svc":"h3=\":443\"; ma=2592000","apim-request-id":"8d2bbbc8-2d51-41e9-b07f-762f93ea96b3","azureml-model-session":"d20260402075109-1fc5a0ec","cache-control":"no-cache","connection":"close","content-length":"994","content-type":"application/json","date":"Tue, 28 Apr 2026 01:35:56 GMT","server":"Caddy","skip-error-remapping":"true","strict-transport-security":"max-age=31536000; includeSubDomains; preload","x-content-type-options":"nosniff","x-ms-client-request-id":"Not-Set","x-ms-is-spilled-over":"false","x-ms-rai-invoked":"false","x-ms-region":"Sweden Central","x-new-api-version":"0.4.35","x-oneapi-request-id":"202604280135531696255528268d9d6HyoP2XBe","x-ratelimit-abusepenalty-active":"False","x-ratelimit-key":"gpt-5-chat-global","x-ratelimit-limit-requests":"1000","x-ratelimit-limit-tokens":"1000000","x-ratelimit-remaining-requests":"999","x-ratelimit-remaining-tokens":"997183","x-ratelimit-renewalperiod-requests":"60","x-ratelimit-renewalperiod-tokens":"60","x-ratelimit-reset-requests":"89","x-ratelimit-reset-tokens":"169","x-request-id":"380904e2-2375-4edb-a793-358d2d7547d3"}</t>
        </is>
      </c>
      <c r="N132" t="inlineStr">
        <is>
          <t>Gucci Black Leather Belt with Gold Double G Buckle, crafted in Italy for timeless luxury. Unisex design blends vintage elegance and modern sophistication for an iconic fashion statement.</t>
        </is>
      </c>
      <c r="O132" t="inlineStr">
        <is>
          <t>{"id":"chatcmpl-DZSbQkBi7lYchJosn0dD6z39WWUS0","object":"chat.completion","created":1777343800,"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32" t="inlineStr">
        <is>
          <t>Gucci,Accessories,kakobuy,kakebuy2026,kekobuysheet,kakobuysheet2026,2026kakobuy,kakobuyspreadsheeet,kakobuylink,kakebuylist,Kakobuy MEGA Spreadsheet,kakobuysheetfind,kakobuysheetfind2026,2026kakobuysheetfind,kakobuysheet2026</t>
        </is>
      </c>
      <c r="Q132" t="inlineStr">
        <is>
          <t>Black, Leather, Unisex, Vintage, Elegant, Modern</t>
        </is>
      </c>
      <c r="R132" t="inlineStr">
        <is>
          <t>recvhju1CrLy0e</t>
        </is>
      </c>
      <c r="S132" t="inlineStr">
        <is>
          <t>gucci-black-leather-belt-gold-double-g-buckle-recvhju1crly0e</t>
        </is>
      </c>
      <c r="T132"/>
      <c r="U132"/>
      <c r="V132"/>
      <c r="W132" t="inlineStr">
        <is>
          <t>{"id":"chatcmpl-DZRDOwoREuoLhr9C6qdlQBZfX881d","object":"chat.completion","created":1777338466,"model":"gpt-5-chat-2025-10-03","choices":[{"index":0,"message":{"role":"assistant","content":"Gucci：经典黑色真皮腰带，配以金色双G标志扣，采用意式工艺精制，质感细腻彰显奢华格调，男女皆宜，复古优雅风格，完美演绎永恒时尚魅力。","refusal":null,"annotations":[]},"logprobs":null,"finish_reason":"stop"}],"usage":{"prompt_tokens":1297,"completion_tokens":66,"total_tokens":1363,"prompt_tokens_details":{"cached_tokens":0,"audio_tokens":0},"completion_tokens_details":{"reasoning_tokens":0,"audio_tokens":0,"accepted_prediction_tokens":0,"rejected_prediction_tokens":0}},"service_tier":"default","system_fingerprint":"fp_ad66631dec"}</t>
        </is>
      </c>
      <c r="X132" t="inlineStr">
        <is>
          <t>Gucci：经典黑色真皮腰带，配以金色双G标志扣，采用意式工艺精制，质感细腻彰显奢华格调，男女皆宜，复古优雅风格，完美演绎永恒时尚魅力。</t>
        </is>
      </c>
    </row>
    <row r="133" ht="25.5" customHeight="1">
      <c r="A133">
        <v>1654975475</v>
      </c>
      <c r="B133">
        <v>7620849177</v>
      </c>
      <c r="C133" s="2" t="str">
        <f>=HYPERLINK("https://weidian.com/item.html?itemID=7620849177", "https://weidian.com/item.html?itemID=7620849177")</f>
        <v>https://weidian.com/item.html?itemID=7620849177</v>
      </c>
      <c r="D133"/>
      <c r="E133" s="2" t="str">
        <f>=HYPERLINK("https://si.geilicdn.com/pcitem2014204438-65f20000019ad88087de0a20e672_2160_2880.jpg?w=640&amp;h=640", "https://si.geilicdn.com/pcitem2014204438-65f20000019ad88087de0a20e672_2160_2880.jpg?w=640&amp;h=640")</f>
        <v>https://si.geilicdn.com/pcitem2014204438-65f20000019ad88087de0a20e672_2160_2880.jpg?w=640&amp;h=640</v>
      </c>
      <c r="F133" t="inlineStr">
        <is>
          <t>Accessories</t>
        </is>
      </c>
      <c r="G133" t="inlineStr">
        <is>
          <t>Gucci</t>
        </is>
      </c>
      <c r="H133">
        <v>410</v>
      </c>
      <c r="I133">
        <v>59.42</v>
      </c>
      <c r="J133" t="inlineStr">
        <is>
          <t>{"id":"chatcmpl-DZSIk46OvuHXfCLRKJlBbEmR4vP7c","object":"chat.completion","created":1777342642,"model":"gpt-5-chat-2025-10-03","choices":[{"index":0,"message":{"role":"assistant","content":"Gucci Classic Leather Belt Dual Buckles GG Logo 3.8cm","refusal":null,"annotations":[]},"logprobs":null,"finish_reason":"stop"}],"usage":{"prompt_tokens":875,"completion_tokens":16,"total_tokens":891,"prompt_tokens_details":{"cached_tokens":0,"audio_tokens":0},"completion_tokens_details":{"reasoning_tokens":0,"audio_tokens":0,"accepted_prediction_tokens":0,"rejected_prediction_tokens":0}},"service_tier":"default","system_fingerprint":"fp_ad66631dec"}</t>
        </is>
      </c>
      <c r="K133" t="inlineStr">
        <is>
          <t>Gucci Classic Leather Belt Dual Buckles GG Logo 3.8cm</t>
        </is>
      </c>
      <c r="L133" t="inlineStr">
        <is>
          <t>{"id":"chatcmpl-DZRiwaRBWq223yI7TXwXQfgNwfNP1","object":"chat.completion","created":1777340422,"model":"gpt-5-chat-2025-10-03","choices":[{"index":0,"message":{"role":"assistant","content":"Gucci Classic Black Leather Belt with Dual Buckles, 3.8cm slide design, featuring iconic GG metal logo, unisex style, Italian craftsmanship combining elegance and functionality.","refusal":null,"annotations":[]},"logprobs":null,"finish_reason":"stop"}],"usage":{"prompt_tokens":887,"completion_tokens":37,"total_tokens":924,"prompt_tokens_details":{"cached_tokens":0,"audio_tokens":0},"completion_tokens_details":{"reasoning_tokens":0,"audio_tokens":0,"accepted_prediction_tokens":0,"rejected_prediction_tokens":0}},"service_tier":"default","system_fingerprint":"fp_ad66631dec"}</t>
        </is>
      </c>
      <c r="M133" t="inlineStr">
        <is>
          <t>{"alt-svc":"h3=\":443\"; ma=2592000","apim-request-id":"a072bf1d-7c7d-4c19-b4e7-d5f52de361f5","azureml-model-session":"d20260402074105-51db401e","cache-control":"no-cache","connection":"close","content-length":"985","content-type":"application/json","date":"Tue, 28 Apr 2026 01:40:24 GMT","server":"Caddy","skip-error-remapping":"true","strict-transport-security":"max-age=31536000; includeSubDomains; preload","x-content-type-options":"nosniff","x-ms-client-request-id":"Not-Set","x-ms-is-spilled-over":"false","x-ms-rai-invoked":"false","x-ms-region":"Sweden Central","x-new-api-version":"0.4.35","x-oneapi-request-id":"202604280140217144080048268d9d6xpjQTEQm","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3b639624-b169-4a13-943a-d245035afe78"}</t>
        </is>
      </c>
      <c r="N133" t="inlineStr">
        <is>
          <t>Gucci Classic Black Leather Belt with Dual Buckles, 3.8cm slide design, featuring iconic GG metal logo, unisex style, Italian craftsmanship combining elegance and functionality.</t>
        </is>
      </c>
      <c r="O133" t="inlineStr">
        <is>
          <t>{"id":"chatcmpl-DZSZeeGVue7sTmzGD8C4aOKnap35W","object":"chat.completion","created":1777343690,"model":"gpt-5-chat-2025-10-03","choices":[{"index":0,"message":{"role":"assistant","content":"Gucci,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3" t="inlineStr">
        <is>
          <t>Gucci, Accessories, kakobuy, kakebuy2026, kekobuysheet, kakobuysheet2026, 2026kakobuy, kakobuyspreadsheeet, kakobuylink, kakebuylist, Kakobuy MEGA Spreadsheet, kakobuysheetfind, kakobuysheetfind2026, 2026kakobuysheetfind, kakobuysheet2026</t>
        </is>
      </c>
      <c r="Q133" t="inlineStr">
        <is>
          <t>Black, Leather, Unisex, Elegant</t>
        </is>
      </c>
      <c r="R133" t="inlineStr">
        <is>
          <t>recvhju1CrKIcF</t>
        </is>
      </c>
      <c r="S133" t="inlineStr">
        <is>
          <t>gucci-classic-leather-belt-dual-buckles-gg-logo-38cm-recvhju1crkicf</t>
        </is>
      </c>
      <c r="T133"/>
      <c r="U133"/>
      <c r="V133"/>
      <c r="W133" t="inlineStr">
        <is>
          <t>{"id":"chatcmpl-DZRBKMbXvD08Z4PFoXgCz2reiwv2s","object":"chat.completion","created":1777338338,"model":"gpt-5-chat-2025-10-03","choices":[{"index":0,"message":{"role":"assistant","content":"Gucci：经典黑色双扣头牛皮腰带，3.8cm宽滑道设计，金属GG标志彰显品牌格调，男女通用，意式精工打造时尚与实用兼备配饰。","refusal":null,"annotations":[]},"logprobs":null,"finish_reason":"stop"}],"usage":{"prompt_tokens":1299,"completion_tokens":54,"total_tokens":1353,"prompt_tokens_details":{"cached_tokens":0,"audio_tokens":0},"completion_tokens_details":{"reasoning_tokens":0,"audio_tokens":0,"accepted_prediction_tokens":0,"rejected_prediction_tokens":0}},"service_tier":"default","system_fingerprint":"fp_ad66631dec"}</t>
        </is>
      </c>
      <c r="X133" t="inlineStr">
        <is>
          <t>Gucci：经典黑色双扣头牛皮腰带，3.8cm宽滑道设计，金属GG标志彰显品牌格调，男女通用，意式精工打造时尚与实用兼备配饰。</t>
        </is>
      </c>
    </row>
    <row r="134" ht="25.5" customHeight="1">
      <c r="A134">
        <v>1654975475</v>
      </c>
      <c r="B134">
        <v>7623926008</v>
      </c>
      <c r="C134" s="2" t="str">
        <f>=HYPERLINK("https://weidian.com/item.html?itemID=7623926008", "https://weidian.com/item.html?itemID=7623926008")</f>
        <v>https://weidian.com/item.html?itemID=7623926008</v>
      </c>
      <c r="D134"/>
      <c r="E134" s="2" t="str">
        <f>=HYPERLINK("https://si.geilicdn.com/pcitem2014204438-68870000019ad8820d7b0a230115_1080_1080.jpg?w=640&amp;h=640", "https://si.geilicdn.com/pcitem2014204438-68870000019ad8820d7b0a230115_1080_1080.jpg?w=640&amp;h=640")</f>
        <v>https://si.geilicdn.com/pcitem2014204438-68870000019ad8820d7b0a230115_1080_1080.jpg?w=640&amp;h=640</v>
      </c>
      <c r="F134" t="inlineStr">
        <is>
          <t>Accessories</t>
        </is>
      </c>
      <c r="G134" t="inlineStr">
        <is>
          <t>Louis Vuitton</t>
        </is>
      </c>
      <c r="H134">
        <v>410</v>
      </c>
      <c r="I134">
        <v>59.42</v>
      </c>
      <c r="J134" t="inlineStr">
        <is>
          <t>{"id":"chatcmpl-DZSLvDgvEjyVPwIyVroeHKrQel8BI","object":"chat.completion","created":1777342839,"model":"gpt-5-chat-2025-10-03","choices":[{"index":0,"message":{"role":"assistant","content":"Louis Vuitton Damier White Gray Leather Belt","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34" t="inlineStr">
        <is>
          <t>Louis Vuitton Damier White Gray Leather Belt</t>
        </is>
      </c>
      <c r="L134" t="inlineStr">
        <is>
          <t>{"id":"chatcmpl-DZRhosjkLa5MLy0et4eiI3Hi7Kltk","object":"chat.completion","created":1777340352,"model":"gpt-5-chat-2025-10-03","choices":[{"index":0,"message":{"role":"assistant","content":"Louis Vuitton Damier white and gray leather belt with gold-tone LV buckle, exuding French luxury and modern elegance. Stylish unisex accessory perfect for urban chic fashion.","refusal":null,"annotations":[]},"logprobs":null,"finish_reason":"stop"}],"usage":{"prompt_tokens":883,"completion_tokens":34,"total_tokens":917,"prompt_tokens_details":{"cached_tokens":0,"audio_tokens":0},"completion_tokens_details":{"reasoning_tokens":0,"audio_tokens":0,"accepted_prediction_tokens":0,"rejected_prediction_tokens":0}},"service_tier":"default","system_fingerprint":"fp_ad66631dec"}</t>
        </is>
      </c>
      <c r="M134" t="inlineStr">
        <is>
          <t>{"alt-svc":"h3=\":443\"; ma=2592000","apim-request-id":"baeed582-f026-4a36-8c5c-5a4bebc3ed91","azureml-model-session":"d20260405221325-2e8d5e76","cache-control":"no-cache","connection":"close","content-length":"982","content-type":"application/json","date":"Tue, 28 Apr 2026 01:39:13 GMT","server":"nginx","skip-error-remapping":"true","strict-transport-security":"max-age=31536000; includeSubDomains; preload","via":"1.1 Caddy","x-content-type-options":"nosniff","x-ms-client-request-id":"Not-Set","x-ms-is-spilled-over":"false","x-ms-rai-invoked":"false","x-ms-region":"East US 2","x-new-api-version":"0.4.35","x-oneapi-request-id":"202604280139111345149528268d9d6xWNOLDHr","x-ratelimit-abusepenalty-active":"False","x-ratelimit-key":"gpt-5-chat-global","x-ratelimit-limit-requests":"1000","x-ratelimit-limit-tokens":"1000000","x-ratelimit-remaining-requests":"999","x-ratelimit-remaining-tokens":"998355","x-ratelimit-renewalperiod-requests":"60","x-ratelimit-renewalperiod-tokens":"60","x-ratelimit-reset-requests":"60","x-ratelimit-reset-tokens":"98","x-request-id":"49d41aa4-70f2-49bf-8a91-db7e243df8cd"}</t>
        </is>
      </c>
      <c r="N134" t="inlineStr">
        <is>
          <t>Louis Vuitton Damier white and gray leather belt with gold-tone LV buckle, exuding French luxury and modern elegance. Stylish unisex accessory perfect for urban chic fashion.</t>
        </is>
      </c>
      <c r="O134" t="inlineStr">
        <is>
          <t>{"id":"chatcmpl-DZSaphlQwH7FzJwvJHaeDrIW5iWhm","object":"chat.completion","created":1777343763,"model":"gpt-5-chat-2025-10-03","choices":[{"index":0,"message":{"role":"assistant","content":"Louis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4" t="inlineStr">
        <is>
          <t>Louis Vuitton, Accessories, kakobuy, kakebuy2026, kekobuysheet, kakobuysheet2026, 2026kakobuy, kakobuyspreadsheeet, kakobuylink, kakebuylist, Kakobuy MEGA Spreadsheet, kakobuysheetfind, kakobuysheetfind2026, 2026kakobuysheetfind, kakobuysheet2026</t>
        </is>
      </c>
      <c r="Q134" t="inlineStr">
        <is>
          <t>LV, Leather, Gold, Elegant, Unisex, High End</t>
        </is>
      </c>
      <c r="R134" t="inlineStr">
        <is>
          <t>recvhju1CrgP3c</t>
        </is>
      </c>
      <c r="S134" t="inlineStr">
        <is>
          <t>louis-vuitton-damier-white-gray-leather-belt-recvhju1crgp3c</t>
        </is>
      </c>
      <c r="T134"/>
      <c r="U134"/>
      <c r="V134"/>
      <c r="W134" t="inlineStr">
        <is>
          <t>{"id":"chatcmpl-DZRDdPUSi6s79KGMk9BKcL9PBw3Kl","object":"chat.completion","created":1777338481,"model":"gpt-5-chat-2025-10-03","choices":[{"index":0,"message":{"role":"assistant","content":"Louis Vuitton：Damier白灰格纹皮革腰带，镀金LV字母扣设计，彰显法式奢华质感，简约优雅男女皆宜，都市摩登风格配饰。","refusal":null,"annotations":[]},"logprobs":null,"finish_reason":"stop"}],"usage":{"prompt_tokens":1299,"completion_tokens":50,"total_tokens":1349,"prompt_tokens_details":{"cached_tokens":0,"audio_tokens":0},"completion_tokens_details":{"reasoning_tokens":0,"audio_tokens":0,"accepted_prediction_tokens":0,"rejected_prediction_tokens":0}},"service_tier":"default","system_fingerprint":"fp_ad66631dec"}</t>
        </is>
      </c>
      <c r="X134" t="inlineStr">
        <is>
          <t>Louis Vuitton：Damier白灰格纹皮革腰带，镀金LV字母扣设计，彰显法式奢华质感，简约优雅男女皆宜，都市摩登风格配饰。</t>
        </is>
      </c>
    </row>
    <row r="135" ht="25.5" customHeight="1">
      <c r="A135">
        <v>1654975475</v>
      </c>
      <c r="B135">
        <v>7620940037</v>
      </c>
      <c r="C135" s="2" t="str">
        <f>=HYPERLINK("https://weidian.com/item.html?itemID=7620940037", "https://weidian.com/item.html?itemID=7620940037")</f>
        <v>https://weidian.com/item.html?itemID=7620940037</v>
      </c>
      <c r="D135"/>
      <c r="E135" s="2" t="str">
        <f>=HYPERLINK("https://si.geilicdn.com/pcitem2014204438-6ed30000019ad8879dab0a81347d_1440_1920.jpg?w=640&amp;h=640", "https://si.geilicdn.com/pcitem2014204438-6ed30000019ad8879dab0a81347d_1440_1920.jpg?w=640&amp;h=640")</f>
        <v>https://si.geilicdn.com/pcitem2014204438-6ed30000019ad8879dab0a81347d_1440_1920.jpg?w=640&amp;h=640</v>
      </c>
      <c r="F135" t="inlineStr">
        <is>
          <t>Accessories</t>
        </is>
      </c>
      <c r="G135" t="inlineStr">
        <is>
          <t>Gucci</t>
        </is>
      </c>
      <c r="H135">
        <v>460</v>
      </c>
      <c r="I135">
        <v>66.67</v>
      </c>
      <c r="J135" t="inlineStr">
        <is>
          <t>{"id":"chatcmpl-DZSHcyh3CZDFioFK4JgtExsf7gjQx","object":"chat.completion","created":1777342572,"model":"gpt-5-chat-2025-10-03","choices":[{"index":0,"message":{"role":"assistant","content":"Gucci Grey Black GG Leather Belt Double G Buckle","refusal":null,"annotations":[]},"logprobs":null,"finish_reason":"stop"}],"usage":{"prompt_tokens":869,"completion_tokens":12,"total_tokens":881,"prompt_tokens_details":{"cached_tokens":0,"audio_tokens":0},"completion_tokens_details":{"reasoning_tokens":0,"audio_tokens":0,"accepted_prediction_tokens":0,"rejected_prediction_tokens":0}},"service_tier":"default","system_fingerprint":"fp_ad66631dec"}</t>
        </is>
      </c>
      <c r="K135" t="inlineStr">
        <is>
          <t>Gucci Grey Black GG Leather Belt Double G Buckle</t>
        </is>
      </c>
      <c r="L135" t="inlineStr">
        <is>
          <t>{"id":"chatcmpl-DZResGN4HkSzDJGyu8M58FrWKTWMw","object":"chat.completion","created":1777340170,"model":"gpt-5-chat-2025-10-03","choices":[{"index":0,"message":{"role":"assistant","content":"Gucci Grey Black GG Monogram Leather Belt with Iconic Double G Buckle, Crafted from Premium Leather, Elegant Unisex Design for Business or Casual Urban Style.","refusal":null,"annotations":[]},"logprobs":null,"finish_reason":"stop"}],"usage":{"prompt_tokens":895,"completion_tokens":34,"total_tokens":929,"prompt_tokens_details":{"cached_tokens":0,"audio_tokens":0},"completion_tokens_details":{"reasoning_tokens":0,"audio_tokens":0,"accepted_prediction_tokens":0,"rejected_prediction_tokens":0}},"service_tier":"default","system_fingerprint":"fp_ad66631dec"}</t>
        </is>
      </c>
      <c r="M135" t="inlineStr">
        <is>
          <t>{"alt-svc":"h3=\":443\"; ma=2592000","apim-request-id":"7bfee0ac-a4f2-4f64-99ae-d988cde72b35","azureml-model-session":"d20260402074105-51db401e","cache-control":"no-cache","connection":"close","content-length":"966","content-type":"application/json","date":"Tue, 28 Apr 2026 01:36:11 GMT","server":"Caddy","skip-error-remapping":"true","strict-transport-security":"max-age=31536000; includeSubDomains; preload","x-content-type-options":"nosniff","x-ms-client-request-id":"Not-Set","x-ms-is-spilled-over":"false","x-ms-rai-invoked":"false","x-ms-region":"East US 2","x-new-api-version":"0.4.35","x-oneapi-request-id":"202604280136096551151328268d9d6SUyMMXVW","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1cf3704c-c3f5-4037-9d3f-1987a8325a3a"}</t>
        </is>
      </c>
      <c r="N135" t="inlineStr">
        <is>
          <t>Gucci Grey Black GG Monogram Leather Belt with Iconic Double G Buckle, Crafted from Premium Leather, Elegant Unisex Design for Business or Casual Urban Style.</t>
        </is>
      </c>
      <c r="O135" t="inlineStr">
        <is>
          <t>{"id":"chatcmpl-DZSY1crQfZnj3osv3ZUqxBumw6GF8","object":"chat.completion","created":1777343589,"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35" t="inlineStr">
        <is>
          <t>Gucci,Belt,kakobuy,kakebuy2026,kekobuysheet,kakobuysheet2026,2026kakobuy,kakobuyspreadsheeet,kakobuylink,kakebuylist,Kakobuy MEGA Spreadsheet,kakobuysheetfind,kakobuysheetfind2026,2026kakobuysheetfind,kakobuysheet2026</t>
        </is>
      </c>
      <c r="Q135" t="inlineStr">
        <is>
          <t>Leather, Elegant, Unisex, Business, Black</t>
        </is>
      </c>
      <c r="R135" t="inlineStr">
        <is>
          <t>recvhju1Cr2Hvw</t>
        </is>
      </c>
      <c r="S135" t="inlineStr">
        <is>
          <t>gucci-grey-black-gg-leather-belt-double-g-buckle-recvhju1cr2hvw</t>
        </is>
      </c>
      <c r="T135"/>
      <c r="U135"/>
      <c r="V135"/>
      <c r="W135" t="inlineStr">
        <is>
          <t>{"id":"chatcmpl-DZR7h7TASUBy5jqSDnAI6MFypDC5A","object":"chat.completion","created":1777338113,"model":"gpt-5-chat-2025-10-03","choices":[{"index":0,"message":{"role":"assistant","content":"Gucci：经典灰黑色GG图腾皮带，精选优质皮革材质搭配标志性双G金属扣，简约奢华设计，彰显品牌高雅品味，男女皆宜，适合现代都市商务与休闲穿搭。","refusal":null,"annotations":[]},"logprobs":null,"finish_reason":"stop"}],"usage":{"prompt_tokens":1299,"completion_tokens":62,"total_tokens":1361,"prompt_tokens_details":{"cached_tokens":0,"audio_tokens":0},"completion_tokens_details":{"reasoning_tokens":0,"audio_tokens":0,"accepted_prediction_tokens":0,"rejected_prediction_tokens":0}},"service_tier":"default","system_fingerprint":"fp_ad66631dec"}</t>
        </is>
      </c>
      <c r="X135" t="inlineStr">
        <is>
          <t>Gucci：经典灰黑色GG图腾皮带，精选优质皮革材质搭配标志性双G金属扣，简约奢华设计，彰显品牌高雅品味，男女皆宜，适合现代都市商务与休闲穿搭。</t>
        </is>
      </c>
    </row>
    <row r="136" ht="25.5" customHeight="1">
      <c r="A136">
        <v>1654975475</v>
      </c>
      <c r="B136">
        <v>7620924153</v>
      </c>
      <c r="C136" s="2" t="str">
        <f>=HYPERLINK("https://weidian.com/item.html?itemID=7620924153", "https://weidian.com/item.html?itemID=7620924153")</f>
        <v>https://weidian.com/item.html?itemID=7620924153</v>
      </c>
      <c r="D136"/>
      <c r="E136" s="2" t="str">
        <f>=HYPERLINK("https://si.geilicdn.com/pcitem2014204438-75690000019ad889ff800a2303ee_1080_1080.jpg?w=640&amp;h=640", "https://si.geilicdn.com/pcitem2014204438-75690000019ad889ff800a2303ee_1080_1080.jpg?w=640&amp;h=640")</f>
        <v>https://si.geilicdn.com/pcitem2014204438-75690000019ad889ff800a2303ee_1080_1080.jpg?w=640&amp;h=640</v>
      </c>
      <c r="F136" t="inlineStr">
        <is>
          <t>Accessories</t>
        </is>
      </c>
      <c r="G136" t="inlineStr">
        <is>
          <t>Salvatore Ferragamo</t>
        </is>
      </c>
      <c r="H136">
        <v>460</v>
      </c>
      <c r="I136">
        <v>66.67</v>
      </c>
      <c r="J136" t="inlineStr">
        <is>
          <t>{"id":"chatcmpl-DZSHVkbyzcBMUDUWbgCFbjfP2DAAx","object":"chat.completion","created":1777342565,"model":"gpt-5-chat-2025-10-03","choices":[{"index":0,"message":{"role":"assistant","content":"Salvatore Ferragamo Black Gancini Men’s Leather Belt","refusal":null,"annotations":[]},"logprobs":null,"finish_reason":"stop"}],"usage":{"prompt_tokens":884,"completion_tokens":14,"total_tokens":898,"prompt_tokens_details":{"cached_tokens":0,"audio_tokens":0},"completion_tokens_details":{"reasoning_tokens":0,"audio_tokens":0,"accepted_prediction_tokens":0,"rejected_prediction_tokens":0}},"service_tier":"default","system_fingerprint":"fp_ad66631dec"}</t>
        </is>
      </c>
      <c r="K136" t="inlineStr">
        <is>
          <t>Salvatore Ferragamo Black Gancini Men’s Leather Belt</t>
        </is>
      </c>
      <c r="L136" t="inlineStr">
        <is>
          <t>{"id":"chatcmpl-DZRiFh5gaXg6CRMwkA52nnN66XOSy","object":"chat.completion","created":1777340379,"model":"gpt-5-chat-2025-10-03","choices":[{"index":0,"message":{"role":"assistant","content":"Salvatore Ferragamo Black Gancini Men’s Leather Belt, crafted from premium textured leather with matte double buckle design, embodies timeless Italian elegance and modern luxury for both business and casual wear.","refusal":null,"annotations":[]},"logprobs":null,"finish_reason":"stop"}],"usage":{"prompt_tokens":905,"completion_tokens":40,"total_tokens":945,"prompt_tokens_details":{"cached_tokens":0,"audio_tokens":0},"completion_tokens_details":{"reasoning_tokens":0,"audio_tokens":0,"accepted_prediction_tokens":0,"rejected_prediction_tokens":0}},"service_tier":"default","system_fingerprint":"fp_ad66631dec"}</t>
        </is>
      </c>
      <c r="M136" t="inlineStr">
        <is>
          <t>{"alt-svc":"h3=\":443\"; ma=2592000","apim-request-id":"2f967910-cfa2-402d-9a76-91a5c713654e","azureml-model-session":"d20260402074105-51db401e","cache-control":"no-cache","connection":"close","content-length":"1022","content-type":"application/json","date":"Tue, 28 Apr 2026 01:39:40 GMT","server":"nginx","skip-error-remapping":"true","strict-transport-security":"max-age=31536000; includeSubDomains; preload","via":"1.1 Caddy","x-content-type-options":"nosniff","x-ms-client-request-id":"Not-Set","x-ms-is-spilled-over":"false","x-ms-rai-invoked":"false","x-ms-region":"Poland Central","x-new-api-version":"0.4.35","x-oneapi-request-id":"202604280139371626640358268d9d6x7xDFuE6","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6fa96615-9d41-455a-a8b4-5b8a18e9290e"}</t>
        </is>
      </c>
      <c r="N136" t="inlineStr">
        <is>
          <t>Salvatore Ferragamo Black Gancini Men’s Leather Belt, crafted from premium textured leather with matte double buckle design, embodies timeless Italian elegance and modern luxury for both business and casual wear.</t>
        </is>
      </c>
      <c r="O136" t="inlineStr">
        <is>
          <t>{"id":"chatcmpl-DZSWA8redUIpVxZlOcsRCNryCtlYi","object":"chat.completion","created":1777343474,"model":"gpt-5-chat-2025-10-03","choices":[{"index":0,"message":{"role":"assistant","content":"Salvatore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36" t="inlineStr">
        <is>
          <t>Salvatore Ferragamo, Accessories, kakobuy, kakebuy2026, kekobuysheet, kakobuysheet2026, 2026kakobuy, kakobuyspreadsheeet, kakobuylink, kakebuylist, Kakobuy MEGA Spreadsheet, kakobuysheetfind, kakobuysheetfind2026, 2026kakobuysheetfind, kakobuysheet2026</t>
        </is>
      </c>
      <c r="Q136"/>
      <c r="R136" t="inlineStr">
        <is>
          <t>recvhju1CroGDK</t>
        </is>
      </c>
      <c r="S136" t="inlineStr">
        <is>
          <t>ferragamo-black-gancini-leather-belt-recvhju1crogdk</t>
        </is>
      </c>
      <c r="T136"/>
      <c r="U136"/>
      <c r="V136"/>
      <c r="W136" t="inlineStr">
        <is>
          <t>{"id":"chatcmpl-DZR8ETZH99PN5WWx5m8DW2WHsMFxa","object":"chat.completion","created":1777338146,"model":"gpt-5-chat-2025-10-03","choices":[{"index":0,"message":{"role":"assistant","content":"Salvatore Ferragamo：黑色Gancini系列男士皮质腰带，选用高级纹理皮革材质，配以标志性哑光金属双扣设计，简约奢华风格，展现品牌经典意式优雅与现代质感，商务休闲皆宜。","refusal":null,"annotations":[]},"logprobs":null,"finish_reason":"stop"}],"usage":{"prompt_tokens":1301,"completion_tokens":71,"total_tokens":1372,"prompt_tokens_details":{"cached_tokens":0,"audio_tokens":0},"completion_tokens_details":{"reasoning_tokens":0,"audio_tokens":0,"accepted_prediction_tokens":0,"rejected_prediction_tokens":0}},"service_tier":"default","system_fingerprint":"fp_ad66631dec"}</t>
        </is>
      </c>
      <c r="X136" t="inlineStr">
        <is>
          <t>Salvatore Ferragamo：黑色Gancini系列男士皮质腰带，选用高级纹理皮革材质，配以标志性哑光金属双扣设计，简约奢华风格，展现品牌经典意式优雅与现代质感，商务休闲皆宜。</t>
        </is>
      </c>
    </row>
    <row r="137" ht="25.5" customHeight="1">
      <c r="A137">
        <v>1654975475</v>
      </c>
      <c r="B137">
        <v>7620886439</v>
      </c>
      <c r="C137" s="2" t="str">
        <f>=HYPERLINK("https://weidian.com/item.html?itemID=7620886439", "https://weidian.com/item.html?itemID=7620886439")</f>
        <v>https://weidian.com/item.html?itemID=7620886439</v>
      </c>
      <c r="D137"/>
      <c r="E137" s="2" t="str">
        <f>=HYPERLINK("https://si.geilicdn.com/pcitem2014204438-73450000019ad87014570a2315ef_1512_2016.jpg?w=640&amp;h=640", "https://si.geilicdn.com/pcitem2014204438-73450000019ad87014570a2315ef_1512_2016.jpg?w=640&amp;h=640")</f>
        <v>https://si.geilicdn.com/pcitem2014204438-73450000019ad87014570a2315ef_1512_2016.jpg?w=640&amp;h=640</v>
      </c>
      <c r="F137" t="inlineStr">
        <is>
          <t>Accessories</t>
        </is>
      </c>
      <c r="G137" t="inlineStr">
        <is>
          <t>Gucci</t>
        </is>
      </c>
      <c r="H137">
        <v>460</v>
      </c>
      <c r="I137">
        <v>66.67</v>
      </c>
      <c r="J137" t="inlineStr">
        <is>
          <t>{"id":"chatcmpl-DZSLeur4iJXc3wydyRxm0oFka0YWh","object":"chat.completion","created":1777342822,"model":"gpt-5-chat-2025-10-03","choices":[{"index":0,"message":{"role":"assistant","content":"Gucci Blue GG Leather Belt Silver Double G Buckle","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is>
      </c>
      <c r="K137" t="inlineStr">
        <is>
          <t>Gucci Blue GG Leather Belt Silver Double G Buckle</t>
        </is>
      </c>
      <c r="L137" t="inlineStr">
        <is>
          <t>{"id":"chatcmpl-DZRcpW1OcS6uuiKLVYKijhDCJHAz8","object":"chat.completion","created":1777340043,"model":"gpt-5-chat-2025-10-03","choices":[{"index":0,"message":{"role":"assistant","content":"Gucci Blue GG Leather Belt with Silver Double G Buckle, inspired by Italian craftsmanship. Unisex, minimalist yet luxurious style showcasing modern elegance and premium quality.","refusal":null,"annotations":[]},"logprobs":null,"finish_reason":"stop"}],"usage":{"prompt_tokens":887,"completion_tokens":33,"total_tokens":920,"prompt_tokens_details":{"cached_tokens":0,"audio_tokens":0},"completion_tokens_details":{"reasoning_tokens":0,"audio_tokens":0,"accepted_prediction_tokens":0,"rejected_prediction_tokens":0}},"service_tier":"default","system_fingerprint":"fp_ad66631dec"}</t>
        </is>
      </c>
      <c r="M137" t="inlineStr">
        <is>
          <t>{"alt-svc":"h3=\":443\"; ma=2592000","apim-request-id":"26e1412e-9046-4c92-a392-305d4bc5d65f","azureml-model-session":"d20260405234249-f9874baf","cache-control":"no-cache","connection":"close","content-length":"985","content-type":"application/json","date":"Tue, 28 Apr 2026 01:34:06 GMT","server":"Caddy","skip-error-remapping":"true","strict-transport-security":"max-age=31536000; includeSubDomains; preload","x-content-type-options":"nosniff","x-ms-client-request-id":"Not-Set","x-ms-is-spilled-over":"false","x-ms-rai-invoked":"false","x-ms-region":"Poland Central","x-new-api-version":"0.4.35","x-oneapi-request-id":"202604280134025699866328268d9d6hR3U1cY3","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26b80dfe-2435-4ff4-a039-021987fcfc7e"}</t>
        </is>
      </c>
      <c r="N137" t="inlineStr">
        <is>
          <t>Gucci Blue GG Leather Belt with Silver Double G Buckle, inspired by Italian craftsmanship. Unisex, minimalist yet luxurious style showcasing modern elegance and premium quality.</t>
        </is>
      </c>
      <c r="O137" t="inlineStr">
        <is>
          <t>{"id":"chatcmpl-DZSVwbT7FeI9pip8A9cjFP2M6NYeJ","object":"chat.completion","created":1777343460,"model":"gpt-5-chat-2025-10-03","choices":[{"index":0,"message":{"role":"assistant","content":"Gucci,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7" t="inlineStr">
        <is>
          <t>Gucci, belt, kakobuy, kakebuy2026, kekobuysheet, kakobuysheet2026, 2026kakobuy, kakobuyspreadsheeet, kakobuylink, kakebuylist, Kakobuy MEGA Spreadsheet, kakobuysheetfind, kakobuysheetfind2026, 2026kakobuysheetfind, kakobuysheet2026</t>
        </is>
      </c>
      <c r="Q137" t="inlineStr">
        <is>
          <t>Blue, Leather, Minimalist, Unisex, High End, Silver</t>
        </is>
      </c>
      <c r="R137" t="inlineStr">
        <is>
          <t>recvhju1Cr4JIr</t>
        </is>
      </c>
      <c r="S137" t="inlineStr">
        <is>
          <t>gucci-blue-gg-leather-belt-silver-double-g-buckle-recvhju1cr4jir</t>
        </is>
      </c>
      <c r="T137"/>
      <c r="U137"/>
      <c r="V137"/>
      <c r="W137" t="inlineStr">
        <is>
          <t>{"id":"chatcmpl-DZRDgeZHoZGpLCkIcJKI0j0JM0i5x","object":"chat.completion","created":1777338484,"model":"gpt-5-chat-2025-10-03","choices":[{"index":0,"message":{"role":"assistant","content":"Gucci：蓝色GG印花皮革腰带，经典双G银色金属扣设计，灵感源自意大利精湛工艺，简约奢华风格，男女皆宜，彰显现代优雅品味。","refusal":null,"annotations":[]},"logprobs":null,"finish_reason":"stop"}],"usage":{"prompt_tokens":1295,"completion_tokens":56,"total_tokens":1351,"prompt_tokens_details":{"cached_tokens":1280,"audio_tokens":0},"completion_tokens_details":{"reasoning_tokens":0,"audio_tokens":0,"accepted_prediction_tokens":0,"rejected_prediction_tokens":0}},"service_tier":"default","system_fingerprint":"fp_ad66631dec"}</t>
        </is>
      </c>
      <c r="X137" t="inlineStr">
        <is>
          <t>Gucci：蓝色GG印花皮革腰带，经典双G银色金属扣设计，灵感源自意大利精湛工艺，简约奢华风格，男女皆宜，彰显现代优雅品味。</t>
        </is>
      </c>
    </row>
    <row r="138" ht="25.5" customHeight="1">
      <c r="A138">
        <v>1654975475</v>
      </c>
      <c r="B138">
        <v>7620840765</v>
      </c>
      <c r="C138" s="2" t="str">
        <f>=HYPERLINK("https://weidian.com/item.html?itemID=7620840765", "https://weidian.com/item.html?itemID=7620840765")</f>
        <v>https://weidian.com/item.html?itemID=7620840765</v>
      </c>
      <c r="D138"/>
      <c r="E138" s="2" t="str">
        <f>=HYPERLINK("https://si.geilicdn.com/pcitem2014204438-6bf70000019ad86fb51e0a8133cc_1512_2016.jpg?w=640&amp;h=640", "https://si.geilicdn.com/pcitem2014204438-6bf70000019ad86fb51e0a8133cc_1512_2016.jpg?w=640&amp;h=640")</f>
        <v>https://si.geilicdn.com/pcitem2014204438-6bf70000019ad86fb51e0a8133cc_1512_2016.jpg?w=640&amp;h=640</v>
      </c>
      <c r="F138" t="inlineStr">
        <is>
          <t>Accessories</t>
        </is>
      </c>
      <c r="G138" t="inlineStr">
        <is>
          <t>Gucci</t>
        </is>
      </c>
      <c r="H138">
        <v>460</v>
      </c>
      <c r="I138">
        <v>66.67</v>
      </c>
      <c r="J138" t="inlineStr">
        <is>
          <t>{"id":"chatcmpl-DZSIvBaCY1ZZ2DDfeHErFccprubyU","object":"chat.completion","created":1777342653,"model":"gpt-5-chat-2025-10-03","choices":[{"index":0,"message":{"role":"assistant","content":"Gucci Blue GG Leather Belt Double G Buckle","refusal":null,"annotations":[]},"logprobs":null,"finish_reason":"stop"}],"usage":{"prompt_tokens":859,"completion_tokens":11,"total_tokens":870,"prompt_tokens_details":{"cached_tokens":0,"audio_tokens":0},"completion_tokens_details":{"reasoning_tokens":0,"audio_tokens":0,"accepted_prediction_tokens":0,"rejected_prediction_tokens":0}},"service_tier":"default","system_fingerprint":"fp_ad66631dec"}</t>
        </is>
      </c>
      <c r="K138" t="inlineStr">
        <is>
          <t>Gucci Blue GG Leather Belt Double G Buckle</t>
        </is>
      </c>
      <c r="L138" t="inlineStr">
        <is>
          <t>{"id":"chatcmpl-DZRcv8uEVVttfAxqZssXfYP12bINJ","object":"chat.completion","created":1777340049,"model":"gpt-5-chat-2025-10-03","choices":[{"index":0,"message":{"role":"assistant","content":"Gucci Blue GG Leather Belt with classic Double G metal buckle, unisex luxury accessory offering modern Italian style and premium elegance for any occasion.","refusal":null,"annotations":[]},"logprobs":null,"finish_reason":"stop"}],"usage":{"prompt_tokens":881,"completion_tokens":29,"total_tokens":910,"prompt_tokens_details":{"cached_tokens":0,"audio_tokens":0},"completion_tokens_details":{"reasoning_tokens":0,"audio_tokens":0,"accepted_prediction_tokens":0,"rejected_prediction_tokens":0}},"service_tier":"default","system_fingerprint":"fp_ad66631dec"}</t>
        </is>
      </c>
      <c r="M138" t="inlineStr">
        <is>
          <t>{"alt-svc":"h3=\":443\"; ma=2592000","apim-request-id":"659904f8-5964-4704-8ac0-645931970bed","azureml-model-session":"d20260405234249-f9874baf","cache-control":"no-cache","connection":"close","content-length":"963","content-type":"application/json","date":"Tue, 28 Apr 2026 01:34:10 GMT","server":"Caddy","skip-error-remapping":"true","strict-transport-security":"max-age=31536000; includeSubDomains; preload","x-content-type-options":"nosniff","x-ms-client-request-id":"Not-Set","x-ms-is-spilled-over":"false","x-ms-rai-invoked":"false","x-ms-region":"East US 2","x-new-api-version":"0.4.35","x-oneapi-request-id":"202604280134086301694418268d9d6nr5d0INz","x-ratelimit-abusepenalty-active":"False","x-ratelimit-key":"gpt-5-chat-global","x-ratelimit-limit-requests":"1000","x-ratelimit-limit-tokens":"1000000","x-ratelimit-remaining-requests":"999","x-ratelimit-remaining-tokens":"998357","x-ratelimit-renewalperiod-requests":"60","x-ratelimit-renewalperiod-tokens":"60","x-ratelimit-reset-requests":"60","x-ratelimit-reset-tokens":"98","x-request-id":"bb28f448-fb7b-485a-bcf3-58283ee298a9"}</t>
        </is>
      </c>
      <c r="N138" t="inlineStr">
        <is>
          <t>Gucci Blue GG Leather Belt with classic Double G metal buckle, unisex luxury accessory offering modern Italian style and premium elegance for any occasion.</t>
        </is>
      </c>
      <c r="O138" t="inlineStr">
        <is>
          <t>{"id":"chatcmpl-DZSaVGctEEIFUR0yy1yHRCbe7MUBH","object":"chat.completion","created":1777343743,"model":"gpt-5-chat-2025-10-03","choices":[{"index":0,"message":{"role":"assistant","content":"Gucci,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8" t="inlineStr">
        <is>
          <t>Gucci, belt, kakobuy, kakebuy2026, kekobuysheet, kakobuysheet2026, 2026kakobuy, kakobuyspreadsheeet, kakobuylink, kakebuylist, Kakobuy MEGA Spreadsheet, kakobuysheetfind, kakobuysheetfind2026, 2026kakobuysheetfind, kakobuysheet2026</t>
        </is>
      </c>
      <c r="Q138" t="inlineStr">
        <is>
          <t>Gucci Superstar, Blue, Leather, Unisex, Elegant, High End</t>
        </is>
      </c>
      <c r="R138" t="inlineStr">
        <is>
          <t>recvhju1CrztOt</t>
        </is>
      </c>
      <c r="S138" t="inlineStr">
        <is>
          <t>gucci-blue-gg-leather-belt-double-g-buckle-recvhju1crztot</t>
        </is>
      </c>
      <c r="T138"/>
      <c r="U138"/>
      <c r="V138"/>
      <c r="W138" t="inlineStr">
        <is>
          <t>{"id":"chatcmpl-DZR98pE0aFxfVKFz9WqEQiyxe2ZRL","object":"chat.completion","created":1777338202,"model":"gpt-5-chat-2025-10-03","choices":[{"index":0,"message":{"role":"assistant","content":"Gucci：蓝色GG系列皮革腰带，采用经典双G金属扣设计，简约奢华风格，男女皆宜，彰显现代意式格调与高端品味。","refusal":null,"annotations":[]},"logprobs":null,"finish_reason":"stop"}],"usage":{"prompt_tokens":1301,"completion_tokens":47,"total_tokens":1348,"prompt_tokens_details":{"cached_tokens":0,"audio_tokens":0},"completion_tokens_details":{"reasoning_tokens":0,"audio_tokens":0,"accepted_prediction_tokens":0,"rejected_prediction_tokens":0}},"service_tier":"default","system_fingerprint":"fp_ad66631dec"}</t>
        </is>
      </c>
      <c r="X138" t="inlineStr">
        <is>
          <t>Gucci：蓝色GG系列皮革腰带，采用经典双G金属扣设计，简约奢华风格，男女皆宜，彰显现代意式格调与高端品味。</t>
        </is>
      </c>
    </row>
    <row r="139" ht="25.5" customHeight="1">
      <c r="A139">
        <v>1654975475</v>
      </c>
      <c r="B139">
        <v>7620882601</v>
      </c>
      <c r="C139" s="2" t="str">
        <f>=HYPERLINK("https://weidian.com/item.html?itemID=7620882601", "https://weidian.com/item.html?itemID=7620882601")</f>
        <v>https://weidian.com/item.html?itemID=7620882601</v>
      </c>
      <c r="D139"/>
      <c r="E139" s="2" t="str">
        <f>=HYPERLINK("https://si.geilicdn.com/pcitem2014204438-3bdc0000019ad878189d0a210139_1080_1080.jpg?w=640&amp;h=640", "https://si.geilicdn.com/pcitem2014204438-3bdc0000019ad878189d0a210139_1080_1080.jpg?w=640&amp;h=640")</f>
        <v>https://si.geilicdn.com/pcitem2014204438-3bdc0000019ad878189d0a210139_1080_1080.jpg?w=640&amp;h=640</v>
      </c>
      <c r="F139" t="inlineStr">
        <is>
          <t>Accessories</t>
        </is>
      </c>
      <c r="G139" t="inlineStr">
        <is>
          <t>Louis Vuitton</t>
        </is>
      </c>
      <c r="H139">
        <v>680</v>
      </c>
      <c r="I139">
        <v>98.55</v>
      </c>
      <c r="J139" t="inlineStr">
        <is>
          <t>{"id":"chatcmpl-DZSHijhSKGoZevZnzUhjTHgi2ndk2","object":"chat.completion","created":1777342578,"model":"gpt-5-chat-2025-10-03","choices":[{"index":0,"message":{"role":"assistant","content":"Louis Vuitton Black Leather Belt Gold LV Buckle","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39" t="inlineStr">
        <is>
          <t>Louis Vuitton Black Leather Belt Gold LV Buckle</t>
        </is>
      </c>
      <c r="L139" t="inlineStr">
        <is>
          <t>{"id":"chatcmpl-DZRdyF1EtOEtURb2AUbTOacd9fuKV","object":"chat.completion","created":1777340114,"model":"gpt-5-chat-2025-10-03","choices":[{"index":0,"message":{"role":"assistant","content":"Louis Vuitton Black Monogram Embossed Leather Belt with Gold LV Buckle, unisex luxury design, perfect for business or casual wear, adding timeless French elegance to any outfit.","refusal":null,"annotations":[]},"logprobs":null,"finish_reason":"stop"}],"usage":{"prompt_tokens":887,"completion_tokens":37,"total_tokens":924,"prompt_tokens_details":{"cached_tokens":0,"audio_tokens":0},"completion_tokens_details":{"reasoning_tokens":0,"audio_tokens":0,"accepted_prediction_tokens":0,"rejected_prediction_tokens":0}},"service_tier":"default","system_fingerprint":"fp_ad66631dec"}</t>
        </is>
      </c>
      <c r="M139" t="inlineStr">
        <is>
          <t>{"alt-svc":"h3=\":443\"; ma=2592000","apim-request-id":"c566b52c-5de0-4b28-bd17-950963d1358f","azureml-model-session":"d20260402074105-51db401e","cache-control":"no-cache","connection":"close","content-length":"985","content-type":"application/json","date":"Tue, 28 Apr 2026 01:35:16 GMT","server":"nginx","skip-error-remapping":"true","strict-transport-security":"max-age=31536000; includeSubDomains; preload","via":"1.1 Caddy","x-content-type-options":"nosniff","x-ms-client-request-id":"Not-Set","x-ms-is-spilled-over":"false","x-ms-rai-invoked":"false","x-ms-region":"West US","x-new-api-version":"0.4.35","x-oneapi-request-id":"202604280135137974646588268d9d6e3BIPRPS","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04ff1b1f-de99-498b-8e1e-7a8214332b84"}</t>
        </is>
      </c>
      <c r="N139" t="inlineStr">
        <is>
          <t>Louis Vuitton Black Monogram Embossed Leather Belt with Gold LV Buckle, unisex luxury design, perfect for business or casual wear, adding timeless French elegance to any outfit.</t>
        </is>
      </c>
      <c r="O139" t="inlineStr">
        <is>
          <t>{"id":"chatcmpl-DZSWcp2CCcyiSOlj3xxFEcVbsAgOK","object":"chat.completion","created":1777343502,"model":"gpt-5-chat-2025-10-03","choices":[{"index":0,"message":{"role":"assistant","content":"Louis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9" t="inlineStr">
        <is>
          <t>Louis Vuitton, Accessories, kakobuy, kakebuy2026, kekobuysheet, kakobuysheet2026, 2026kakobuy, kakobuyspreadsheeet, kakobuylink, kakebuylist, Kakobuy MEGA Spreadsheet, kakobuysheetfind, kakobuysheetfind2026, 2026kakobuysheetfind, kakobuysheet2026</t>
        </is>
      </c>
      <c r="Q139" t="inlineStr">
        <is>
          <t>LV, Leather, Black, Gold, Unisex, Elegant</t>
        </is>
      </c>
      <c r="R139" t="inlineStr">
        <is>
          <t>recvhju1CrjvXi</t>
        </is>
      </c>
      <c r="S139" t="inlineStr">
        <is>
          <t>louis-vuitton-black-leather-belt-gold-lv-buckle-recvhju1crjvxi</t>
        </is>
      </c>
      <c r="T139"/>
      <c r="U139"/>
      <c r="V139"/>
      <c r="W139" t="inlineStr">
        <is>
          <t>{"id":"chatcmpl-DZRD7OsmvLeib5AqA3QT75K1jUr4d","object":"chat.completion","created":1777338449,"model":"gpt-5-chat-2025-10-03","choices":[{"index":0,"message":{"role":"assistant","content":"Louis Vuitton：经典黑色Monogram压花皮革腰带，搭配金色LV字母扣，简约奢华设计，男女皆宜，彰显法式时尚格调，适合商务与日常穿搭。","refusal":null,"annotations":[]},"logprobs":null,"finish_reason":"stop"}],"usage":{"prompt_tokens":1299,"completion_tokens":54,"total_tokens":1353,"prompt_tokens_details":{"cached_tokens":0,"audio_tokens":0},"completion_tokens_details":{"reasoning_tokens":0,"audio_tokens":0,"accepted_prediction_tokens":0,"rejected_prediction_tokens":0}},"service_tier":"default","system_fingerprint":"fp_ad66631dec"}</t>
        </is>
      </c>
      <c r="X139" t="inlineStr">
        <is>
          <t>Louis Vuitton：经典黑色Monogram压花皮革腰带，搭配金色LV字母扣，简约奢华设计，男女皆宜，彰显法式时尚格调，适合商务与日常穿搭。</t>
        </is>
      </c>
    </row>
    <row r="140" ht="25.5" customHeight="1">
      <c r="A140">
        <v>1654975475</v>
      </c>
      <c r="B140">
        <v>7620890443</v>
      </c>
      <c r="C140" s="2" t="str">
        <f>=HYPERLINK("https://weidian.com/item.html?itemID=7620890443", "https://weidian.com/item.html?itemID=7620890443")</f>
        <v>https://weidian.com/item.html?itemID=7620890443</v>
      </c>
      <c r="D140"/>
      <c r="E140" s="2" t="str">
        <f>=HYPERLINK("https://si.geilicdn.com/pcitem2014204438-645e0000019ad87782ac0a8134f0_1080_1080.jpg?w=640&amp;h=640", "https://si.geilicdn.com/pcitem2014204438-645e0000019ad87782ac0a8134f0_1080_1080.jpg?w=640&amp;h=640")</f>
        <v>https://si.geilicdn.com/pcitem2014204438-645e0000019ad87782ac0a8134f0_1080_1080.jpg?w=640&amp;h=640</v>
      </c>
      <c r="F140" t="inlineStr">
        <is>
          <t>Accessories</t>
        </is>
      </c>
      <c r="G140" t="inlineStr">
        <is>
          <t>Louis Vuitton</t>
        </is>
      </c>
      <c r="H140">
        <v>680</v>
      </c>
      <c r="I140">
        <v>98.55</v>
      </c>
      <c r="J140" t="inlineStr">
        <is>
          <t>{"id":"chatcmpl-DZSGwGGrkdIKoGT3YppqUMwQdNEOV","object":"chat.completion","created":1777342530,"model":"gpt-5-chat-2025-10-03","choices":[{"index":0,"message":{"role":"assistant","content":"Louis Vuitton Black Monogram Leather Belt for Men","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40" t="inlineStr">
        <is>
          <t>Louis Vuitton Black Monogram Leather Belt for Men</t>
        </is>
      </c>
      <c r="L140" t="inlineStr">
        <is>
          <t>{"id":"chatcmpl-DZRdxnMeXSQ3FK9HFzR1elgDYmf5P","object":"chat.completion","created":1777340113,"model":"gpt-5-chat-2025-10-03","choices":[{"index":0,"message":{"role":"assistant","content":"Louis Vuitton Classic Black Monogram Leather Belt with Silver LV Buckle, minimalist luxury design for modern gentlemen, perfect for business or casual wear, unisex and timeless style.","refusal":null,"annotations":[]},"logprobs":null,"finish_reason":"stop"}],"usage":{"prompt_tokens":884,"completion_tokens":35,"total_tokens":919,"prompt_tokens_details":{"cached_tokens":0,"audio_tokens":0},"completion_tokens_details":{"reasoning_tokens":0,"audio_tokens":0,"accepted_prediction_tokens":0,"rejected_prediction_tokens":0}},"service_tier":"default","system_fingerprint":"fp_ad66631dec"}</t>
        </is>
      </c>
      <c r="M140" t="inlineStr">
        <is>
          <t>{"alt-svc":"h3=\":443\"; ma=2592000","apim-request-id":"47566e3f-bde4-4ca5-a225-821b42b17ce1","azureml-model-session":"d20260405234249-f9874baf","cache-control":"no-cache","connection":"close","content-length":"991","content-type":"application/json","date":"Tue, 28 Apr 2026 01:35:13 GMT","server":"nginx","skip-error-remapping":"true","strict-transport-security":"max-age=31536000; includeSubDomains; preload","via":"1.1 Caddy","x-content-type-options":"nosniff","x-ms-client-request-id":"Not-Set","x-ms-is-spilled-over":"false","x-ms-rai-invoked":"false","x-ms-region":"Central US","x-new-api-version":"0.4.35","x-oneapi-request-id":"202604280135122299674168268d9d6OKbwUVt4","x-ratelimit-abusepenalty-active":"False","x-ratelimit-key":"gpt-5-chat-global","x-ratelimit-limit-requests":"1000","x-ratelimit-limit-tokens":"1000000","x-ratelimit-remaining-requests":"999","x-ratelimit-remaining-tokens":"998354","x-ratelimit-renewalperiod-requests":"60","x-ratelimit-renewalperiod-tokens":"60","x-ratelimit-reset-requests":"60","x-ratelimit-reset-tokens":"98","x-request-id":"a29153db-f43c-430e-8959-d927c4664666"}</t>
        </is>
      </c>
      <c r="N140" t="inlineStr">
        <is>
          <t>Louis Vuitton Classic Black Monogram Leather Belt with Silver LV Buckle, minimalist luxury design for modern gentlemen, perfect for business or casual wear, unisex and timeless style.</t>
        </is>
      </c>
      <c r="O140" t="inlineStr">
        <is>
          <t>{"id":"chatcmpl-DZSWDNlMYa6VMPiBEWCPdyQaTqoLP","object":"chat.completion","created":1777343477,"model":"gpt-5-chat-2025-10-03","choices":[{"index":0,"message":{"role":"assistant","content":"Louis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0" t="inlineStr">
        <is>
          <t>Louis Vuitton, Belt, kakobuy, kakebuy2026, kekobuysheet, kakobuysheet2026, 2026kakobuy, kakobuyspreadsheeet, kakobuylink, kakebuylist, Kakobuy MEGA Spreadsheet, kakobuysheetfind, kakobuysheetfind2026, 2026kakobuysheetfind, kakobuysheet2026</t>
        </is>
      </c>
      <c r="Q140" t="inlineStr">
        <is>
          <t>LV, Black, Leather, Minimalist, Unisex, Business Casual</t>
        </is>
      </c>
      <c r="R140" t="inlineStr">
        <is>
          <t>recvhju1CrRWau</t>
        </is>
      </c>
      <c r="S140" t="inlineStr">
        <is>
          <t>louis-vuitton-black-monogram-leather-belt-men-recvhju1CrRWau</t>
        </is>
      </c>
      <c r="T140"/>
      <c r="U140"/>
      <c r="V140"/>
      <c r="W140" t="inlineStr">
        <is>
          <t>{"id":"chatcmpl-DZRAhPwHYv5ebzp73m3bZJXcTFAL0","object":"chat.completion","created":1777338299,"model":"gpt-5-chat-2025-10-03","choices":[{"index":0,"message":{"role":"assistant","content":"Louis Vuitton：经典黑色Monogram皮革腰带，配银色LV标志扣，简约奢华设计，彰显现代绅士格调，百搭商务休闲风，男女通用款。","refusal":null,"annotations":[]},"logprobs":null,"finish_reason":"stop"}],"usage":{"prompt_tokens":1301,"completion_tokens":50,"total_tokens":1351,"prompt_tokens_details":{"cached_tokens":1280,"audio_tokens":0},"completion_tokens_details":{"reasoning_tokens":0,"audio_tokens":0,"accepted_prediction_tokens":0,"rejected_prediction_tokens":0}},"service_tier":"default","system_fingerprint":"fp_ad66631dec"}</t>
        </is>
      </c>
      <c r="X140" t="inlineStr">
        <is>
          <t>Louis Vuitton：经典黑色Monogram皮革腰带，配银色LV标志扣，简约奢华设计，彰显现代绅士格调，百搭商务休闲风，男女通用款。</t>
        </is>
      </c>
    </row>
    <row r="141" ht="25.5" customHeight="1">
      <c r="A141">
        <v>1654975475</v>
      </c>
      <c r="B141">
        <v>7623939738</v>
      </c>
      <c r="C141" s="2" t="str">
        <f>=HYPERLINK("https://weidian.com/item.html?itemID=7623939738", "https://weidian.com/item.html?itemID=7623939738")</f>
        <v>https://weidian.com/item.html?itemID=7623939738</v>
      </c>
      <c r="D141"/>
      <c r="E141" s="2" t="str">
        <f>=HYPERLINK("https://si.geilicdn.com/pcitem2014204438-48580000019ad88afa750a2304aa_720_960.jpg?w=640&amp;h=640", "https://si.geilicdn.com/pcitem2014204438-48580000019ad88afa750a2304aa_720_960.jpg?w=640&amp;h=640")</f>
        <v>https://si.geilicdn.com/pcitem2014204438-48580000019ad88afa750a2304aa_720_960.jpg?w=640&amp;h=640</v>
      </c>
      <c r="F141" t="inlineStr">
        <is>
          <t>Accessories</t>
        </is>
      </c>
      <c r="G141" t="inlineStr">
        <is>
          <t>Louis Vuitton</t>
        </is>
      </c>
      <c r="H141">
        <v>480</v>
      </c>
      <c r="I141">
        <v>69.5797101449275</v>
      </c>
      <c r="J141" t="inlineStr">
        <is>
          <t>{"id":"chatcmpl-DZSLHuG26lRWF1x5Nq15cbEihKt1Z","object":"chat.completion","created":1777342799,"model":"gpt-5-chat-2025-10-03","choices":[{"index":0,"message":{"role":"assistant","content":"Louis Vuitton Multicolor Black Leather Belt for Men","refusal":null,"annotations":[]},"logprobs":null,"finish_reason":"stop"}],"usage":{"prompt_tokens":867,"completion_tokens":10,"total_tokens":877,"prompt_tokens_details":{"cached_tokens":0,"audio_tokens":0},"completion_tokens_details":{"reasoning_tokens":0,"audio_tokens":0,"accepted_prediction_tokens":0,"rejected_prediction_tokens":0}},"service_tier":"default","system_fingerprint":"fp_ad66631dec"}</t>
        </is>
      </c>
      <c r="K141" t="inlineStr">
        <is>
          <t>Louis Vuitton Multicolor Black Leather Belt for Men</t>
        </is>
      </c>
      <c r="L141" t="inlineStr">
        <is>
          <t>{"id":"chatcmpl-DZRiYWTThIffNPAZHFtZcfcf1HwLM","object":"chat.completion","created":1777340398,"model":"gpt-5-chat-2025-10-03","choices":[{"index":0,"message":{"role":"assistant","content":"Louis Vuitton Monogram Multicolor Black Men's Belt with gold LV buckle, premium leather, vibrant iconic print, modern luxury style, showcasing refined elegance and fashion sophistication.","refusal":null,"annotations":[]},"logprobs":null,"finish_reason":"stop"}],"usage":{"prompt_tokens":887,"completion_tokens":33,"total_tokens":920,"prompt_tokens_details":{"cached_tokens":0,"audio_tokens":0},"completion_tokens_details":{"reasoning_tokens":0,"audio_tokens":0,"accepted_prediction_tokens":0,"rejected_prediction_tokens":0}},"service_tier":"default","system_fingerprint":"fp_ad66631dec"}</t>
        </is>
      </c>
      <c r="M141" t="inlineStr">
        <is>
          <t>{"alt-svc":"h3=\":443\"; ma=2592000","apim-request-id":"9cd4aa38-df54-45ee-be91-a960bc7c3122","azureml-model-session":"d20260405234249-f9874baf","cache-control":"no-cache","connection":"close","content-length":"995","content-type":"application/json","date":"Tue, 28 Apr 2026 01:39:58 GMT","server":"nginx","skip-error-remapping":"true","strict-transport-security":"max-age=31536000; includeSubDomains; preload","via":"1.1 Caddy","x-content-type-options":"nosniff","x-ms-client-request-id":"Not-Set","x-ms-is-spilled-over":"false","x-ms-rai-invoked":"false","x-ms-region":"East US 2","x-new-api-version":"0.4.35","x-oneapi-request-id":"202604280139569385185868268d9d6A9GYXTVF","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b8222a86-7a61-4ecb-87ef-d269415c54d4"}</t>
        </is>
      </c>
      <c r="N141" t="inlineStr">
        <is>
          <t>Louis Vuitton Monogram Multicolor Black Men's Belt with gold LV buckle, premium leather, vibrant iconic print, modern luxury style, showcasing refined elegance and fashion sophistication.</t>
        </is>
      </c>
      <c r="O141" t="inlineStr">
        <is>
          <t>{"id":"chatcmpl-DZSXZNWd67liFtTcIA47DxPrzSXMr","object":"chat.completion","created":1777343561,"model":"gpt-5-chat-2025-10-03","choices":[{"index":0,"message":{"role":"assistant","content":"Louis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1" t="inlineStr">
        <is>
          <t>Louis Vuitton, Accessories, kakobuy, kakebuy2026, kekobuysheet, kakobuysheet2026, 2026kakobuy, kakobuyspreadsheeet, kakobuylink, kakebuylist, Kakobuy MEGA Spreadsheet, kakobuysheetfind, kakobuysheetfind2026, 2026kakobuysheetfind, kakobuysheet2026</t>
        </is>
      </c>
      <c r="Q141" t="inlineStr">
        <is>
          <t>LV, Men, Leather, Modern, Gold</t>
        </is>
      </c>
      <c r="R141" t="inlineStr">
        <is>
          <t>recvhju1CrFYwZ</t>
        </is>
      </c>
      <c r="S141" t="inlineStr">
        <is>
          <t>louis-vuitton-multicolor-black-leather-belt-recvhju1crfywz</t>
        </is>
      </c>
      <c r="T141"/>
      <c r="U141"/>
      <c r="V141"/>
      <c r="W141" t="inlineStr">
        <is>
          <t>{"id":"chatcmpl-DZR726Y6XHlLavlL0epafjO95IK0C","object":"chat.completion","created":1777338072,"model":"gpt-5-chat-2025-10-03","choices":[{"index":0,"message":{"role":"assistant","content":"Louis Vuitton：Monogram Multicolor 黑色男士皮带，经典彩色印花搭配金色LV字母扣，饰以优质牛皮材质，现代奢华风格设计，彰显高端品味与时尚格调。","refusal":null,"annotations":[]},"logprobs":null,"finish_reason":"stop"}],"usage":{"prompt_tokens":1291,"completion_tokens":58,"total_tokens":1349,"prompt_tokens_details":{"cached_tokens":0,"audio_tokens":0},"completion_tokens_details":{"reasoning_tokens":0,"audio_tokens":0,"accepted_prediction_tokens":0,"rejected_prediction_tokens":0}},"service_tier":"default","system_fingerprint":"fp_ad66631dec"}</t>
        </is>
      </c>
      <c r="X141" t="inlineStr">
        <is>
          <t>Louis Vuitton：Monogram Multicolor 黑色男士皮带，经典彩色印花搭配金色LV字母扣，饰以优质牛皮材质，现代奢华风格设计，彰显高端品味与时尚格调。</t>
        </is>
      </c>
    </row>
    <row r="142" ht="25.5" customHeight="1">
      <c r="A142">
        <v>1654975475</v>
      </c>
      <c r="B142">
        <v>7623921988</v>
      </c>
      <c r="C142" s="2" t="str">
        <f>=HYPERLINK("https://weidian.com/item.html?itemID=7623921988", "https://weidian.com/item.html?itemID=7623921988")</f>
        <v>https://weidian.com/item.html?itemID=7623921988</v>
      </c>
      <c r="D142"/>
      <c r="E142" s="2" t="str">
        <f>=HYPERLINK("https://si.geilicdn.com/pcitem2014204438-5e650000019ad87a3c500a239846_1080_1080.jpg?w=640&amp;h=640", "https://si.geilicdn.com/pcitem2014204438-5e650000019ad87a3c500a239846_1080_1080.jpg?w=640&amp;h=640")</f>
        <v>https://si.geilicdn.com/pcitem2014204438-5e650000019ad87a3c500a239846_1080_1080.jpg?w=640&amp;h=640</v>
      </c>
      <c r="F142" t="inlineStr">
        <is>
          <t>Accessories</t>
        </is>
      </c>
      <c r="G142" t="inlineStr">
        <is>
          <t>Gucci</t>
        </is>
      </c>
      <c r="H142">
        <v>460</v>
      </c>
      <c r="I142">
        <v>66.67</v>
      </c>
      <c r="J142" t="inlineStr">
        <is>
          <t>{"id":"chatcmpl-DZSJmCDpuWTUhOr1xvtizHJCg4Lub","object":"chat.completion","created":1777342706,"model":"gpt-5-chat-2025-10-03","choices":[{"index":0,"message":{"role":"assistant","content":"Gucci Reversible Leather Belt Black Brown Double G Buckle","refusal":null,"annotations":[]},"logprobs":null,"finish_reason":"stop"}],"usage":{"prompt_tokens":879,"completion_tokens":13,"total_tokens":892,"prompt_tokens_details":{"cached_tokens":0,"audio_tokens":0},"completion_tokens_details":{"reasoning_tokens":0,"audio_tokens":0,"accepted_prediction_tokens":0,"rejected_prediction_tokens":0}},"service_tier":"default","system_fingerprint":"fp_ad66631dec"}</t>
        </is>
      </c>
      <c r="K142" t="inlineStr">
        <is>
          <t>Gucci Reversible Leather Belt Black Brown Double G Buckle</t>
        </is>
      </c>
      <c r="L142" t="inlineStr">
        <is>
          <t>{"id":"chatcmpl-DZRhWzT0W5ahYxuXJEbEAECFa8amK","object":"chat.completion","created":1777340334,"model":"gpt-5-chat-2025-10-03","choices":[{"index":0,"message":{"role":"assistant","content":"Gucci Classic Reversible Leather Belt in Black and Brown with Signature Double G Buckle, Unisex Design, Luxurious Texture, Minimalist Style, Perfect for Urban Chic and Everyday Fashion.","refusal":null,"annotations":[]},"logprobs":null,"finish_reason":"stop"}],"usage":{"prompt_tokens":890,"completion_tokens":39,"total_tokens":929,"prompt_tokens_details":{"cached_tokens":0,"audio_tokens":0},"completion_tokens_details":{"reasoning_tokens":0,"audio_tokens":0,"accepted_prediction_tokens":0,"rejected_prediction_tokens":0}},"service_tier":"default","system_fingerprint":"fp_ad66631dec"}</t>
        </is>
      </c>
      <c r="M142" t="inlineStr">
        <is>
          <t>{"alt-svc":"h3=\":443\"; ma=2592000","apim-request-id":"74669743-8ec0-499d-8128-e9e84b3b6f11","azureml-model-session":"d20260402075109-1fc5a0ec","cache-control":"no-cache","connection":"close","content-length":"993","content-type":"application/json","date":"Tue, 28 Apr 2026 01:38:56 GMT","server":"Caddy","skip-error-remapping":"true","strict-transport-security":"max-age=31536000; includeSubDomains; preload","x-content-type-options":"nosniff","x-ms-client-request-id":"Not-Set","x-ms-is-spilled-over":"false","x-ms-rai-invoked":"false","x-ms-region":"North Central US","x-new-api-version":"0.4.35","x-oneapi-request-id":"202604280138541171513618268d9d6FlJIIoWx","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296756e8-76f6-4d16-aaf6-f55a43b42040"}</t>
        </is>
      </c>
      <c r="N142" t="inlineStr">
        <is>
          <t>Gucci Classic Reversible Leather Belt in Black and Brown with Signature Double G Buckle, Unisex Design, Luxurious Texture, Minimalist Style, Perfect for Urban Chic and Everyday Fashion.</t>
        </is>
      </c>
      <c r="O142" t="inlineStr">
        <is>
          <t>{"id":"chatcmpl-DZSUvjItkOzXRoIE20MqHHq20yccZ","object":"chat.completion","created":1777343397,"model":"gpt-5-chat-2025-10-03","choices":[{"index":0,"message":{"role":"assistant","content":"Gucci,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2" t="inlineStr">
        <is>
          <t>Gucci, belt, kakobuy, kakebuy2026, kekobuysheet, kakobuysheet2026, 2026kakobuy, kakobuyspreadsheeet, kakobuylink, kakebuylist, Kakobuy MEGA Spreadsheet, kakobuysheetfind, kakobuysheetfind2026, 2026kakobuysheetfind, kakobuysheet2026</t>
        </is>
      </c>
      <c r="Q142" t="inlineStr">
        <is>
          <t>Black, Brown, Leather, Minimalist, Unisex</t>
        </is>
      </c>
      <c r="R142" t="inlineStr">
        <is>
          <t>recvhju1CrTihu</t>
        </is>
      </c>
      <c r="S142" t="inlineStr">
        <is>
          <t>gucci-reversible-leather-belt-black-brown-double-g-buckle-recvhju1crtihu</t>
        </is>
      </c>
      <c r="T142"/>
      <c r="U142"/>
      <c r="V142"/>
      <c r="W142" t="inlineStr">
        <is>
          <t>{"id":"chatcmpl-DZR9FXM1QAwlovCg73piKoBLmmsZF","object":"chat.completion","created":1777338209,"model":"gpt-5-chat-2025-10-03","choices":[{"index":0,"message":{"role":"assistant","content":"Gucci：经典黑棕双面真皮腰带，搭配标志性双G金属扣设计，质感高级，简约大方，彰显时尚格调，男女皆宜，都市轻奢风格经典单品。","refusal":null,"annotations":[]},"logprobs":null,"finish_reason":"stop"}],"usage":{"prompt_tokens":1299,"completion_tokens":57,"total_tokens":1356,"prompt_tokens_details":{"cached_tokens":0,"audio_tokens":0},"completion_tokens_details":{"reasoning_tokens":0,"audio_tokens":0,"accepted_prediction_tokens":0,"rejected_prediction_tokens":0}},"service_tier":"default","system_fingerprint":"fp_ad66631dec"}</t>
        </is>
      </c>
      <c r="X142" t="inlineStr">
        <is>
          <t>Gucci：经典黑棕双面真皮腰带，搭配标志性双G金属扣设计，质感高级，简约大方，彰显时尚格调，男女皆宜，都市轻奢风格经典单品。</t>
        </is>
      </c>
    </row>
    <row r="143" ht="25.5" customHeight="1">
      <c r="A143">
        <v>1654975475</v>
      </c>
      <c r="B143">
        <v>7623576078</v>
      </c>
      <c r="C143" s="2" t="str">
        <f>=HYPERLINK("https://weidian.com/item.html?itemID=7623576078", "https://weidian.com/item.html?itemID=7623576078")</f>
        <v>https://weidian.com/item.html?itemID=7623576078</v>
      </c>
      <c r="D143"/>
      <c r="E143" s="2" t="str">
        <f>=HYPERLINK("https://si.geilicdn.com/pcitem2014204438-6db70000019ad87fde310a23037f_1080_1080.jpg?w=640&amp;h=640", "https://si.geilicdn.com/pcitem2014204438-6db70000019ad87fde310a23037f_1080_1080.jpg?w=640&amp;h=640")</f>
        <v>https://si.geilicdn.com/pcitem2014204438-6db70000019ad87fde310a23037f_1080_1080.jpg?w=640&amp;h=640</v>
      </c>
      <c r="F143" t="inlineStr">
        <is>
          <t>Accessories</t>
        </is>
      </c>
      <c r="G143" t="inlineStr">
        <is>
          <t>Hermes</t>
        </is>
      </c>
      <c r="H143">
        <v>460</v>
      </c>
      <c r="I143">
        <v>66.67</v>
      </c>
      <c r="J143" t="inlineStr">
        <is>
          <t>{"id":"chatcmpl-DZSHybvBYi5S8qaMlbQWxPkTtRxLG","object":"chat.completion","created":1777342594,"model":"gpt-5-chat-2025-10-03","choices":[{"index":0,"message":{"role":"assistant","content":"Hermes Black Leather Belt Gold H Buckle","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43" t="inlineStr">
        <is>
          <t>Hermes Black Leather Belt Gold H Buckle</t>
        </is>
      </c>
      <c r="L143" t="inlineStr">
        <is>
          <t>{"id":"chatcmpl-DZRhITUrPzjqm3saBB6ISJ9WsyDjd","object":"chat.completion","created":1777340320,"model":"gpt-5-chat-2025-10-03","choices":[{"index":0,"message":{"role":"assistant","content":"Hermes Black Embossed Leather Belt with Gold Double H Buckle, showcasing luxury craftsmanship and timeless elegance for both men and women, perfect for business or casual wear.","refusal":null,"annotations":[]},"logprobs":null,"finish_reason":"stop"}],"usage":{"prompt_tokens":889,"completion_tokens":35,"total_tokens":924,"prompt_tokens_details":{"cached_tokens":0,"audio_tokens":0},"completion_tokens_details":{"reasoning_tokens":0,"audio_tokens":0,"accepted_prediction_tokens":0,"rejected_prediction_tokens":0}},"service_tier":"default","system_fingerprint":"fp_ad66631dec"}</t>
        </is>
      </c>
      <c r="M143" t="inlineStr">
        <is>
          <t>{"alt-svc":"h3=\":443\"; ma=2592000","apim-request-id":"66575329-ffae-4d79-a93f-893362332b55","azureml-model-session":"d20260405234249-f9874baf","cache-control":"no-cache","connection":"close","content-length":"984","content-type":"application/json","date":"Tue, 28 Apr 2026 01:38:42 GMT","server":"Caddy","skip-error-remapping":"true","strict-transport-security":"max-age=31536000; includeSubDomains; preload","x-content-type-options":"nosniff","x-ms-client-request-id":"Not-Set","x-ms-is-spilled-over":"false","x-ms-rai-invoked":"false","x-ms-region":"Poland Central","x-new-api-version":"0.4.35","x-oneapi-request-id":"202604280138384791410158268d9d6uKuPMMYd","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7271044b-d018-4fbc-9422-3a05f405fe2e"}</t>
        </is>
      </c>
      <c r="N143" t="inlineStr">
        <is>
          <t>Hermes Black Embossed Leather Belt with Gold Double H Buckle, showcasing luxury craftsmanship and timeless elegance for both men and women, perfect for business or casual wear.</t>
        </is>
      </c>
      <c r="O143" t="inlineStr">
        <is>
          <t>{"id":"chatcmpl-DZSXPFc73rlxbwUA0Pg3AobHsxpbH","object":"chat.completion","created":1777343551,"model":"gpt-5-chat-2025-10-03","choices":[{"index":0,"message":{"role":"assistant","content":"Hermes,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3" t="inlineStr">
        <is>
          <t>Hermes, Belt, kakobuy, kakebuy2026, kekobuysheet, kakobuysheet2026, 2026kakobuy, kakobuyspreadsheeet, kakobuylink, kakebuylist, Kakobuy MEGA Spreadsheet, kakobuysheetfind, kakobuysheetfind2026, 2026kakobuysheetfind, kakobuysheet2026</t>
        </is>
      </c>
      <c r="Q143"/>
      <c r="R143" t="inlineStr">
        <is>
          <t>recvhju1CrITk1</t>
        </is>
      </c>
      <c r="S143" t="inlineStr">
        <is>
          <t>hermes-black-leather-belt-gold-h-buckle-recvhju1crITk1</t>
        </is>
      </c>
      <c r="T143"/>
      <c r="U143"/>
      <c r="V143"/>
      <c r="W143" t="inlineStr">
        <is>
          <t>{"id":"chatcmpl-DZRAtVi7hTS9wIZsdpZRODTaJEquY","object":"chat.completion","created":1777338311,"model":"gpt-5-chat-2025-10-03","choices":[{"index":0,"message":{"role":"assistant","content":"Hermes：黑色雕纹皮质腰带，金色双H金属扣设计，彰显奢华格调与细腻工艺，适合男女商务与休闲穿搭，经典优雅风格尽显现代品味。","refusal":null,"annotations":[]},"logprobs":null,"finish_reason":"stop"}],"usage":{"prompt_tokens":1297,"completion_tokens":57,"total_tokens":1354,"prompt_tokens_details":{"cached_tokens":0,"audio_tokens":0},"completion_tokens_details":{"reasoning_tokens":0,"audio_tokens":0,"accepted_prediction_tokens":0,"rejected_prediction_tokens":0}},"service_tier":"default","system_fingerprint":"fp_ad66631dec"}</t>
        </is>
      </c>
      <c r="X143" t="inlineStr">
        <is>
          <t>Hermes：黑色雕纹皮质腰带，金色双H金属扣设计，彰显奢华格调与细腻工艺，适合男女商务与休闲穿搭，经典优雅风格尽显现代品味。</t>
        </is>
      </c>
    </row>
    <row r="144" ht="25.5" customHeight="1">
      <c r="A144">
        <v>1654975475</v>
      </c>
      <c r="B144">
        <v>7623927958</v>
      </c>
      <c r="C144" s="2" t="str">
        <f>=HYPERLINK("https://weidian.com/item.html?itemID=7623927958", "https://weidian.com/item.html?itemID=7623927958")</f>
        <v>https://weidian.com/item.html?itemID=7623927958</v>
      </c>
      <c r="D144"/>
      <c r="E144" s="2" t="str">
        <f>=HYPERLINK("https://si.geilicdn.com/pcitem2014204438-6edd0000019ad882f27c0a23038e_1080_1080.jpg?w=640&amp;h=640", "https://si.geilicdn.com/pcitem2014204438-6edd0000019ad882f27c0a23038e_1080_1080.jpg?w=640&amp;h=640")</f>
        <v>https://si.geilicdn.com/pcitem2014204438-6edd0000019ad882f27c0a23038e_1080_1080.jpg?w=640&amp;h=640</v>
      </c>
      <c r="F144" t="inlineStr">
        <is>
          <t>Accessories</t>
        </is>
      </c>
      <c r="G144" t="inlineStr">
        <is>
          <t>Louis Vuitton</t>
        </is>
      </c>
      <c r="H144">
        <v>410</v>
      </c>
      <c r="I144">
        <v>59.42</v>
      </c>
      <c r="J144" t="inlineStr">
        <is>
          <t>{"id":"chatcmpl-DZSKXlyScVPXPVJpvIqwMLZWEGogj","object":"chat.completion","created":1777342753,"model":"gpt-5-chat-2025-10-03","choices":[{"index":0,"message":{"role":"assistant","content":"Louis Vuitton Damier Grey Black Men’s Belt","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144" t="inlineStr">
        <is>
          <t>Louis Vuitton Damier Grey Black Men’s Belt</t>
        </is>
      </c>
      <c r="L144" t="inlineStr">
        <is>
          <t>{"id":"chatcmpl-DZRdwgZfmjONYMkvDWssSTgfBLFsX","object":"chat.completion","created":1777340112,"model":"gpt-5-chat-2025-10-03","choices":[{"index":0,"message":{"role":"assistant","content":"Louis Vuitton Men’s Belt in Black Grey Damier, crafted from Monogram coated canvas with dual LV metal buckle, offering timeless elegance and refined luxury for business or casual wear.","refusal":null,"annotations":[]},"logprobs":null,"finish_reason":"stop"}],"usage":{"prompt_tokens":900,"completion_tokens":36,"total_tokens":936,"prompt_tokens_details":{"cached_tokens":0,"audio_tokens":0},"completion_tokens_details":{"reasoning_tokens":0,"audio_tokens":0,"accepted_prediction_tokens":0,"rejected_prediction_tokens":0}},"service_tier":"default","system_fingerprint":"fp_ad66631dec"}</t>
        </is>
      </c>
      <c r="M144" t="inlineStr">
        <is>
          <t>{"alt-svc":"h3=\":443\"; ma=2592000","apim-request-id":"02f3736b-e809-4280-b16f-3105c790fa7b","azureml-model-session":"d20260402074105-51db401e","cache-control":"no-cache","connection":"close","content-length":"994","content-type":"application/json","date":"Tue, 28 Apr 2026 01:35:13 GMT","server":"nginx","skip-error-remapping":"true","strict-transport-security":"max-age=31536000; includeSubDomains; preload","via":"1.1 Caddy","x-content-type-options":"nosniff","x-ms-client-request-id":"Not-Set","x-ms-is-spilled-over":"false","x-ms-rai-invoked":"false","x-ms-region":"Poland Central","x-new-api-version":"0.4.35","x-oneapi-request-id":"202604280135102935003588268d9d6OlUSQR1g","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830a3316-4045-44fd-8d3d-1463076ca58f"}</t>
        </is>
      </c>
      <c r="N144" t="inlineStr">
        <is>
          <t>Louis Vuitton Men’s Belt in Black Grey Damier, crafted from Monogram coated canvas with dual LV metal buckle, offering timeless elegance and refined luxury for business or casual wear.</t>
        </is>
      </c>
      <c r="O144" t="inlineStr">
        <is>
          <t>{"id":"chatcmpl-DZSVdmdzqkQFO66SyiLI3737pYEr8","object":"chat.completion","created":1777343441,"model":"gpt-5-chat-2025-10-03","choices":[{"index":0,"message":{"role":"assistant","content":"Louis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4" t="inlineStr">
        <is>
          <t>Louis Vuitton, Accessories, kakobuy, kakebuy2026, kekobuysheet, kakobuysheet2026, 2026kakobuy, kakobuyspreadsheeet, kakobuylink, kakebuylist, Kakobuy MEGA Spreadsheet, kakobuysheetfind, kakobuysheetfind2026, 2026kakobuysheetfind, kakobuysheet2026</t>
        </is>
      </c>
      <c r="Q144" t="inlineStr">
        <is>
          <t>LV, Leather, Business, Men</t>
        </is>
      </c>
      <c r="R144" t="inlineStr">
        <is>
          <t>recvhju1CrdnzR</t>
        </is>
      </c>
      <c r="S144" t="inlineStr">
        <is>
          <t>louis-vuitton-damier-grey-black-men-belt-recvhju1crdnzr</t>
        </is>
      </c>
      <c r="T144"/>
      <c r="U144"/>
      <c r="V144"/>
      <c r="W144" t="inlineStr">
        <is>
          <t>{"id":"chatcmpl-DZRCvtWuOQr1x90DmfPz4EaPhu5Uq","object":"chat.completion","created":1777338437,"model":"gpt-5-chat-2025-10-03","choices":[{"index":0,"message":{"role":"assistant","content":"Louis Vuitton：黑灰棋盘格男士皮带，甄选Monogram涂层帆布搭配金属LV双扣设计，典雅稳重，彰显都市绅士格调，适合商务与休闲场合，打造低调奢华风格。","refusal":null,"annotations":[]},"logprobs":null,"finish_reason":"stop"}],"usage":{"prompt_tokens":1301,"completion_tokens":66,"total_tokens":1367,"prompt_tokens_details":{"cached_tokens":0,"audio_tokens":0},"completion_tokens_details":{"reasoning_tokens":0,"audio_tokens":0,"accepted_prediction_tokens":0,"rejected_prediction_tokens":0}},"service_tier":"default","system_fingerprint":"fp_ad66631dec"}</t>
        </is>
      </c>
      <c r="X144" t="inlineStr">
        <is>
          <t>Louis Vuitton：黑灰棋盘格男士皮带，甄选Monogram涂层帆布搭配金属LV双扣设计，典雅稳重，彰显都市绅士格调，适合商务与休闲场合，打造低调奢华风格。</t>
        </is>
      </c>
    </row>
    <row r="145" ht="25.5" customHeight="1">
      <c r="A145">
        <v>1654975475</v>
      </c>
      <c r="B145">
        <v>7620888515</v>
      </c>
      <c r="C145" s="2" t="str">
        <f>=HYPERLINK("https://weidian.com/item.html?itemID=7620888515", "https://weidian.com/item.html?itemID=7620888515")</f>
        <v>https://weidian.com/item.html?itemID=7620888515</v>
      </c>
      <c r="D145"/>
      <c r="E145" s="2" t="str">
        <f>=HYPERLINK("https://si.geilicdn.com/pcitem2014204438-6fc50000019ad885aafc0a23038e_1080_1080.jpg?w=640&amp;h=640", "https://si.geilicdn.com/pcitem2014204438-6fc50000019ad885aafc0a23038e_1080_1080.jpg?w=640&amp;h=640")</f>
        <v>https://si.geilicdn.com/pcitem2014204438-6fc50000019ad885aafc0a23038e_1080_1080.jpg?w=640&amp;h=640</v>
      </c>
      <c r="F145" t="inlineStr">
        <is>
          <t>Accessories</t>
        </is>
      </c>
      <c r="G145" t="inlineStr">
        <is>
          <t>Louis Vuitton</t>
        </is>
      </c>
      <c r="H145">
        <v>410</v>
      </c>
      <c r="I145">
        <v>59.42</v>
      </c>
      <c r="J145" t="inlineStr">
        <is>
          <t>{"id":"chatcmpl-DZSI06g2VdcQVJWpqbUB8f6fdjrdA","object":"chat.completion","created":1777342596,"model":"gpt-5-chat-2025-10-03","choices":[{"index":0,"message":{"role":"assistant","content":"Louis Vuitton Damier Ebene Leather Belt Gold Buckle Men","refusal":null,"annotations":[]},"logprobs":null,"finish_reason":"stop"}],"usage":{"prompt_tokens":861,"completion_tokens":12,"total_tokens":873,"prompt_tokens_details":{"cached_tokens":0,"audio_tokens":0},"completion_tokens_details":{"reasoning_tokens":0,"audio_tokens":0,"accepted_prediction_tokens":0,"rejected_prediction_tokens":0}},"service_tier":"default","system_fingerprint":"fp_ad66631dec"}</t>
        </is>
      </c>
      <c r="K145" t="inlineStr">
        <is>
          <t>Louis Vuitton Damier Ebene Leather Belt Gold Buckle Men</t>
        </is>
      </c>
      <c r="L145" t="inlineStr">
        <is>
          <t>{"id":"chatcmpl-DZReaSGixne5ZstzBr7T0h5J00kSv","object":"chat.completion","created":1777340152,"model":"gpt-5-chat-2025-10-03","choices":[{"index":0,"message":{"role":"assistant","content":"Louis Vuitton Damier Ebene brown leather belt with gold LV buckle, classic luxury design for men, elegant versatile accessory showcasing French style and modern sophistication.","refusal":null,"annotations":[]},"logprobs":null,"finish_reason":"stop"}],"usage":{"prompt_tokens":892,"completion_tokens":30,"total_tokens":922,"prompt_tokens_details":{"cached_tokens":0,"audio_tokens":0},"completion_tokens_details":{"reasoning_tokens":0,"audio_tokens":0,"accepted_prediction_tokens":0,"rejected_prediction_tokens":0}},"service_tier":"default","system_fingerprint":"fp_ad66631dec"}</t>
        </is>
      </c>
      <c r="M145" t="inlineStr">
        <is>
          <t>{"alt-svc":"h3=\":443\"; ma=2592000","apim-request-id":"ab1f02bb-4bf8-4eed-a35b-13cd99399e7c","azureml-model-session":"d20260405221325-2e8d5e76","cache-control":"no-cache","connection":"close","content-length":"984","content-type":"application/json","date":"Tue, 28 Apr 2026 01:35:53 GMT","server":"nginx","skip-error-remapping":"true","strict-transport-security":"max-age=31536000; includeSubDomains; preload","via":"1.1 Caddy","x-content-type-options":"nosniff","x-ms-client-request-id":"Not-Set","x-ms-is-spilled-over":"false","x-ms-rai-invoked":"false","x-ms-region":"Poland Central","x-new-api-version":"0.4.35","x-oneapi-request-id":"202604280135504869285408268d9d6YSOtttSQ","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0c6296b9-b0fe-4933-b107-1651583a21e0"}</t>
        </is>
      </c>
      <c r="N145" t="inlineStr">
        <is>
          <t>Louis Vuitton Damier Ebene brown leather belt with gold LV buckle, classic luxury design for men, elegant versatile accessory showcasing French style and modern sophistication.</t>
        </is>
      </c>
      <c r="O145" t="inlineStr">
        <is>
          <t>{"id":"chatcmpl-DZScAsJ64UII3mphQPVwAKhUf9Tqc","object":"chat.completion","created":1777343846,"model":"gpt-5-chat-2025-10-03","choices":[{"index":0,"message":{"role":"assistant","content":"Louis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45" t="inlineStr">
        <is>
          <t>Louis Vuitton,Accessories,kakobuy,kakebuy2026,kekobuysheet,kakobuysheet2026,2026kakobuy,kakobuyspreadsheeet,kakobuylink,kakebuylist,Kakobuy MEGA Spreadsheet,kakobuysheetfind,kakobuysheetfind2026,2026kakobuysheetfind,kakobuysheet2026</t>
        </is>
      </c>
      <c r="Q145" t="inlineStr">
        <is>
          <t>LV, Leather, Brown, Gold, Classic, Men</t>
        </is>
      </c>
      <c r="R145" t="inlineStr">
        <is>
          <t>recvhju1Cr3XT0</t>
        </is>
      </c>
      <c r="S145" t="inlineStr">
        <is>
          <t>louis-vuitton-damier-ebene-leather-belt-gold-buckle-men-recvhju1cr3xt0</t>
        </is>
      </c>
      <c r="T145"/>
      <c r="U145"/>
      <c r="V145"/>
      <c r="W145" t="inlineStr">
        <is>
          <t>{"id":"chatcmpl-DZRCdExEI9IrXCimv16VmCvldGn0a","object":"chat.completion","created":1777338419,"model":"gpt-5-chat-2025-10-03","choices":[{"index":0,"message":{"role":"assistant","content":"Louis Vuitton：经典Damier Ebene棋盘格棕色皮革腰带，镀金LV字母扣设计，质感细腻奢华，男士优雅百搭款，彰显法式时尚魅力与现代格调。","refusal":null,"annotations":[]},"logprobs":null,"finish_reason":"stop"}],"usage":{"prompt_tokens":1301,"completion_tokens":58,"total_tokens":1359,"prompt_tokens_details":{"cached_tokens":0,"audio_tokens":0},"completion_tokens_details":{"reasoning_tokens":0,"audio_tokens":0,"accepted_prediction_tokens":0,"rejected_prediction_tokens":0}},"service_tier":"default","system_fingerprint":"fp_ad66631dec"}</t>
        </is>
      </c>
      <c r="X145" t="inlineStr">
        <is>
          <t>Louis Vuitton：经典Damier Ebene棋盘格棕色皮革腰带，镀金LV字母扣设计，质感细腻奢华，男士优雅百搭款，彰显法式时尚魅力与现代格调。</t>
        </is>
      </c>
    </row>
    <row r="146" ht="25.5" customHeight="1">
      <c r="A146">
        <v>1654975475</v>
      </c>
      <c r="B146">
        <v>7620944055</v>
      </c>
      <c r="C146" s="2" t="str">
        <f>=HYPERLINK("https://weidian.com/item.html?itemID=7620944055", "https://weidian.com/item.html?itemID=7620944055")</f>
        <v>https://weidian.com/item.html?itemID=7620944055</v>
      </c>
      <c r="D146"/>
      <c r="E146" s="2" t="str">
        <f>=HYPERLINK("https://si.geilicdn.com/pcitem2014204438-609a0000019ad888246e0a20e273_1531_1920.jpg?w=640&amp;h=640", "https://si.geilicdn.com/pcitem2014204438-609a0000019ad888246e0a20e273_1531_1920.jpg?w=640&amp;h=640")</f>
        <v>https://si.geilicdn.com/pcitem2014204438-609a0000019ad888246e0a20e273_1531_1920.jpg?w=640&amp;h=640</v>
      </c>
      <c r="F146" t="inlineStr">
        <is>
          <t>Accessories</t>
        </is>
      </c>
      <c r="G146" t="inlineStr">
        <is>
          <t>Louis Vuitton</t>
        </is>
      </c>
      <c r="H146">
        <v>460</v>
      </c>
      <c r="I146">
        <v>66.67</v>
      </c>
      <c r="J146" t="inlineStr">
        <is>
          <t>{"id":"chatcmpl-DZSKbJmCEtDXa2rHbWimw2hYkl4su","object":"chat.completion","created":1777342757,"model":"gpt-5-chat-2025-10-03","choices":[{"index":0,"message":{"role":"assistant","content":"Louis Vuitton Damier Ebene Gold Buckle Leather Belt","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46" t="inlineStr">
        <is>
          <t>Louis Vuitton Damier Ebene Gold Buckle Leather Belt</t>
        </is>
      </c>
      <c r="L146" t="inlineStr">
        <is>
          <t>{"id":"chatcmpl-DZRgFHTXmdOlHWVhWLqPDUrkzrQi6","object":"chat.completion","created":1777340255,"model":"gpt-5-chat-2025-10-03","choices":[{"index":0,"message":{"role":"assistant","content":"Louis Vuitton Damier Ebene brown checkered leather belt with signature LV gold buckle, crafted from premium cowhide, unisex design, timeless luxury accessory for elegant everyday style.","refusal":null,"annotations":[]},"logprobs":null,"finish_reason":"stop"}],"usage":{"prompt_tokens":887,"completion_tokens":35,"total_tokens":922,"prompt_tokens_details":{"cached_tokens":0,"audio_tokens":0},"completion_tokens_details":{"reasoning_tokens":0,"audio_tokens":0,"accepted_prediction_tokens":0,"rejected_prediction_tokens":0}},"service_tier":"default","system_fingerprint":"fp_ad66631dec"}</t>
        </is>
      </c>
      <c r="M146" t="inlineStr">
        <is>
          <t>{"alt-svc":"h3=\":443\"; ma=2592000","apim-request-id":"f57ae939-4f32-48ad-ae68-34c1485e751e","azureml-model-session":"d20260402083108-57a85543","cache-control":"no-cache","connection":"close","content-length":"993","content-type":"application/json","date":"Tue, 28 Apr 2026 01:37:36 GMT","server":"nginx","skip-error-remapping":"true","strict-transport-security":"max-age=31536000; includeSubDomains; preload","via":"1.1 Caddy","x-content-type-options":"nosniff","x-ms-client-request-id":"Not-Set","x-ms-is-spilled-over":"false","x-ms-rai-invoked":"false","x-ms-region":"East US 2","x-new-api-version":"0.4.35","x-oneapi-request-id":"202604280137346838767218268d9d6o9FichmC","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7ea5cdaf-9c99-45fa-8ff6-7d62f23488e1"}</t>
        </is>
      </c>
      <c r="N146" t="inlineStr">
        <is>
          <t>Louis Vuitton Damier Ebene brown checkered leather belt with signature LV gold buckle, crafted from premium cowhide, unisex design, timeless luxury accessory for elegant everyday style.</t>
        </is>
      </c>
      <c r="O146" t="inlineStr">
        <is>
          <t>{"id":"chatcmpl-DZSajfBRdYevLfheh1JcthTbOFlGc","object":"chat.completion","created":1777343757,"model":"gpt-5-chat-2025-10-03","choices":[{"index":0,"message":{"role":"assistant","content":"Louis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6" t="inlineStr">
        <is>
          <t>Louis Vuitton, accessories, kakobuy, kakebuy2026, kekobuysheet, kakobuysheet2026, 2026kakobuy, kakobuyspreadsheeet, kakobuylink, kakebuylist, Kakobuy MEGA Spreadsheet, kakobuysheetfind, kakobuysheetfind2026, 2026kakobuysheetfind, kakobuysheet2026</t>
        </is>
      </c>
      <c r="Q146" t="inlineStr">
        <is>
          <t>LV, Cowhide, Leather, Unisex, Elegant, Gold</t>
        </is>
      </c>
      <c r="R146" t="inlineStr">
        <is>
          <t>recvhju1CrRc7k</t>
        </is>
      </c>
      <c r="S146" t="inlineStr">
        <is>
          <t>louis-vuitton-damier-ebene-gold-buckle-leather-belt-recvhju1crrc7kk</t>
        </is>
      </c>
      <c r="T146"/>
      <c r="U146"/>
      <c r="V146"/>
      <c r="W146" t="inlineStr">
        <is>
          <t>{"id":"chatcmpl-DZR9McpdOTuf4GgU19pIS2XXyhKxL","object":"chat.completion","created":1777338216,"model":"gpt-5-chat-2025-10-03","choices":[{"index":0,"message":{"role":"assistant","content":"Louis Vuitton：Damier Ebene 棕色棋盘格皮带，采用优质牛皮材质，金属LV标志扣设计，展现经典奢华质感，适合男女皆宜，时尚优雅百搭。","refusal":null,"annotations":[]},"logprobs":null,"finish_reason":"stop"}],"usage":{"prompt_tokens":1299,"completion_tokens":54,"total_tokens":1353,"prompt_tokens_details":{"cached_tokens":1280,"audio_tokens":0},"completion_tokens_details":{"reasoning_tokens":0,"audio_tokens":0,"accepted_prediction_tokens":0,"rejected_prediction_tokens":0}},"service_tier":"default","system_fingerprint":"fp_ad66631dec"}</t>
        </is>
      </c>
      <c r="X146" t="inlineStr">
        <is>
          <t>Louis Vuitton：Damier Ebene 棕色棋盘格皮带，采用优质牛皮材质，金属LV标志扣设计，展现经典奢华质感，适合男女皆宜，时尚优雅百搭。</t>
        </is>
      </c>
    </row>
    <row r="147" ht="25.5" customHeight="1">
      <c r="A147">
        <v>1654975475</v>
      </c>
      <c r="B147">
        <v>7623943680</v>
      </c>
      <c r="C147" s="2" t="str">
        <f>=HYPERLINK("https://weidian.com/item.html?itemID=7623943680", "https://weidian.com/item.html?itemID=7623943680")</f>
        <v>https://weidian.com/item.html?itemID=7623943680</v>
      </c>
      <c r="D147"/>
      <c r="E147" s="2" t="str">
        <f>=HYPERLINK("https://si.geilicdn.com/pcitem2014204438-7bee0000019ad88c28a80a2315ef_1440_1920.jpg?w=640&amp;h=640", "https://si.geilicdn.com/pcitem2014204438-7bee0000019ad88c28a80a2315ef_1440_1920.jpg?w=640&amp;h=640")</f>
        <v>https://si.geilicdn.com/pcitem2014204438-7bee0000019ad88c28a80a2315ef_1440_1920.jpg?w=640&amp;h=640</v>
      </c>
      <c r="F147" t="inlineStr">
        <is>
          <t>Accessories</t>
        </is>
      </c>
      <c r="G147" t="inlineStr">
        <is>
          <t>Fendi</t>
        </is>
      </c>
      <c r="H147">
        <v>496</v>
      </c>
      <c r="I147">
        <v>71.88</v>
      </c>
      <c r="J147" t="inlineStr">
        <is>
          <t>{"id":"chatcmpl-DZSJVe4GlTFnDWVseODP9EJWGUcyc","object":"chat.completion","created":1777342689,"model":"gpt-5-chat-2025-10-03","choices":[{"index":0,"message":{"role":"assistant","content":"Fendi FF Logo Black Leather Men’s Belt","refusal":null,"annotations":[]},"logprobs":null,"finish_reason":"stop"}],"usage":{"prompt_tokens":861,"completion_tokens":10,"total_tokens":871,"prompt_tokens_details":{"cached_tokens":0,"audio_tokens":0},"completion_tokens_details":{"reasoning_tokens":0,"audio_tokens":0,"accepted_prediction_tokens":0,"rejected_prediction_tokens":0}},"service_tier":"default","system_fingerprint":"fp_ad66631dec"}</t>
        </is>
      </c>
      <c r="K147" t="inlineStr">
        <is>
          <t>Fendi FF Logo Black Leather Men’s Belt</t>
        </is>
      </c>
      <c r="L147" t="inlineStr">
        <is>
          <t>{"id":"chatcmpl-DZReSWTlMhYHaQJtSOx8Oc7DxhKj3","object":"chat.completion","created":1777340144,"model":"gpt-5-chat-2025-10-03","choices":[{"index":0,"message":{"role":"assistant","content":"Fendi Men’s Black FF Logo Leather Belt, embossed cowhide with metal double F buckle, minimalist luxury design showing Italian style and modern elegance.","refusal":null,"annotations":[]},"logprobs":null,"finish_reason":"stop"}],"usage":{"prompt_tokens":885,"completion_tokens":30,"total_tokens":915,"prompt_tokens_details":{"cached_tokens":0,"audio_tokens":0},"completion_tokens_details":{"reasoning_tokens":0,"audio_tokens":0,"accepted_prediction_tokens":0,"rejected_prediction_tokens":0}},"service_tier":"default","system_fingerprint":"fp_ad66631dec"}</t>
        </is>
      </c>
      <c r="M147" t="inlineStr">
        <is>
          <t>{"alt-svc":"h3=\":443\"; ma=2592000","apim-request-id":"93552d0e-6a63-4b64-9d5a-2f4b87d47194","azureml-model-session":"d20260405212659-a9daa006","cache-control":"no-cache","connection":"close","content-length":"962","content-type":"application/json","date":"Tue, 28 Apr 2026 01:35:46 GMT","server":"Caddy","skip-error-remapping":"true","strict-transport-security":"max-age=31536000; includeSubDomains; preload","x-content-type-options":"nosniff","x-ms-client-request-id":"Not-Set","x-ms-is-spilled-over":"false","x-ms-rai-invoked":"false","x-ms-region":"Sweden Central","x-new-api-version":"0.4.35","x-oneapi-request-id":"202604280135426699067828268d9d6ARzh2kpy","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6bb95623-9c9f-4d1c-ae3e-a84093e9292b"}</t>
        </is>
      </c>
      <c r="N147" t="inlineStr">
        <is>
          <t>Fendi Men’s Black FF Logo Leather Belt, embossed cowhide with metal double F buckle, minimalist luxury design showing Italian style and modern elegance.</t>
        </is>
      </c>
      <c r="O147" t="inlineStr">
        <is>
          <t>{"id":"chatcmpl-DZSWm0HsgEk3uDU7FuoCxeC9Mcg5g","object":"chat.completion","created":1777343512,"model":"gpt-5-chat-2025-10-03","choices":[{"index":0,"message":{"role":"assistant","content":"Fendi,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7" t="inlineStr">
        <is>
          <t>Fendi, Accessories, kakobuy, kakebuy2026, kekobuysheet, kakobuysheet2026, 2026kakobuy, kakobuyspreadsheeet, kakobuylink, kakebuylist, Kakobuy MEGA Spreadsheet, kakobuysheetfind, kakobuysheetfind2026, 2026kakobuysheetfind, kakobuysheet2026</t>
        </is>
      </c>
      <c r="Q147" t="inlineStr">
        <is>
          <t>Black, Leather, Cowhide, Minimalist, Men, Modern</t>
        </is>
      </c>
      <c r="R147" t="inlineStr">
        <is>
          <t>recvhju1Cr9zXv</t>
        </is>
      </c>
      <c r="S147" t="inlineStr">
        <is>
          <t>fendi-ff-logo-black-leather-men-belt-recvhju1cr9zxv</t>
        </is>
      </c>
      <c r="T147"/>
      <c r="U147"/>
      <c r="V147"/>
      <c r="W147" t="inlineStr">
        <is>
          <t>{"id":"chatcmpl-DZR7Yl29eBo3CSz1dhgquOm0uz7vM","object":"chat.completion","created":1777338104,"model":"gpt-5-chat-2025-10-03","choices":[{"index":0,"message":{"role":"assistant","content":"Fendi：黑色FF标志皮质腰带，精选压纹牛皮搭配金属双F扣头，极简奢华设计，男士经典款，彰显意式格调与现代优雅。","refusal":null,"annotations":[]},"logprobs":null,"finish_reason":"stop"}],"usage":{"prompt_tokens":1301,"completion_tokens":51,"total_tokens":1352,"prompt_tokens_details":{"cached_tokens":0,"audio_tokens":0},"completion_tokens_details":{"reasoning_tokens":0,"audio_tokens":0,"accepted_prediction_tokens":0,"rejected_prediction_tokens":0}},"service_tier":"default","system_fingerprint":"fp_ad66631dec"}</t>
        </is>
      </c>
      <c r="X147" t="inlineStr">
        <is>
          <t>Fendi：黑色FF标志皮质腰带，精选压纹牛皮搭配金属双F扣头，极简奢华设计，男士经典款，彰显意式格调与现代优雅。</t>
        </is>
      </c>
    </row>
    <row r="148" ht="25.5" customHeight="1">
      <c r="A148">
        <v>1654975475</v>
      </c>
      <c r="B148">
        <v>7623874376</v>
      </c>
      <c r="C148" s="2" t="str">
        <f>=HYPERLINK("https://weidian.com/item.html?itemID=7623874376", "https://weidian.com/item.html?itemID=7623874376")</f>
        <v>https://weidian.com/item.html?itemID=7623874376</v>
      </c>
      <c r="D148"/>
      <c r="E148" s="2" t="str">
        <f>=HYPERLINK("https://si.geilicdn.com/pcitem2014204438-2fce0000019ad8713aed0a231316_1080_1080.jpg?w=640&amp;h=640", "https://si.geilicdn.com/pcitem2014204438-2fce0000019ad8713aed0a231316_1080_1080.jpg?w=640&amp;h=640")</f>
        <v>https://si.geilicdn.com/pcitem2014204438-2fce0000019ad8713aed0a231316_1080_1080.jpg?w=640&amp;h=640</v>
      </c>
      <c r="F148" t="inlineStr">
        <is>
          <t>Accessories</t>
        </is>
      </c>
      <c r="G148" t="inlineStr">
        <is>
          <t>Louis Vuitton</t>
        </is>
      </c>
      <c r="H148">
        <v>580</v>
      </c>
      <c r="I148">
        <v>84.06</v>
      </c>
      <c r="J148" t="inlineStr">
        <is>
          <t>{"id":"chatcmpl-DZSHDo27AGxhxmOYJPKXHdIPEjda7","object":"chat.completion","created":1777342547,"model":"gpt-5-chat-2025-10-03","choices":[{"index":0,"message":{"role":"assistant","content":"Louis Vuitton Monogram Eclipse Black Gray Clutch","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48" t="inlineStr">
        <is>
          <t>Louis Vuitton Monogram Eclipse Black Gray Clutch</t>
        </is>
      </c>
      <c r="L148" t="inlineStr">
        <is>
          <t>{"id":"chatcmpl-DZRdwtEbIVpvBMZQ6CTzwVU6OYx5w","object":"chat.completion","created":1777340112,"model":"gpt-5-chat-2025-10-03","choices":[{"index":0,"message":{"role":"assistant","content":"Louis Vuitton Men’s Monogram Eclipse Black and Gray Clutch, crafted from premium coated canvas with signature LV pattern and silver stripe design, blending modern elegance, style, and practicality.","refusal":null,"annotations":[]},"logprobs":null,"finish_reason":"stop"}],"usage":{"prompt_tokens":894,"completion_tokens":37,"total_tokens":931,"prompt_tokens_details":{"cached_tokens":0,"audio_tokens":0},"completion_tokens_details":{"reasoning_tokens":0,"audio_tokens":0,"accepted_prediction_tokens":0,"rejected_prediction_tokens":0}},"service_tier":"default","system_fingerprint":"fp_ad66631dec"}</t>
        </is>
      </c>
      <c r="M148" t="inlineStr">
        <is>
          <t>{"alt-svc":"h3=\":443\"; ma=2592000","apim-request-id":"240d2e1e-ff36-4859-bfb1-084aafefbc99","azureml-model-session":"d20260402083108-57a85543","cache-control":"no-cache","connection":"close","content-length":"1007","content-type":"application/json","date":"Tue, 28 Apr 2026 01:35:13 GMT","server":"nginx","skip-error-remapping":"true","strict-transport-security":"max-age=31536000; includeSubDomains; preload","via":"1.1 Caddy","x-content-type-options":"nosniff","x-ms-client-request-id":"Not-Set","x-ms-is-spilled-over":"false","x-ms-rai-invoked":"false","x-ms-region":"West US","x-new-api-version":"0.4.35","x-oneapi-request-id":"202604280135112591438638268d9d61o3Kbr2u","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663e6529-1fd6-4acd-a9ad-c56f925f3c2d"}</t>
        </is>
      </c>
      <c r="N148" t="inlineStr">
        <is>
          <t>Louis Vuitton Men’s Monogram Eclipse Black and Gray Clutch, crafted from premium coated canvas with signature LV pattern and silver stripe design, blending modern elegance, style, and practicality.</t>
        </is>
      </c>
      <c r="O148" t="inlineStr">
        <is>
          <t>{"id":"chatcmpl-DZSWh4FkENOApczDDADaWBRxGCo3Y","object":"chat.completion","created":1777343507,"model":"gpt-5-chat-2025-10-03","choices":[{"index":0,"message":{"role":"assistant","content":"Louis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8" t="inlineStr">
        <is>
          <t>Louis Vuitton, Accessories, kakobuy, kakebuy2026, kekobuysheet, kakobuysheet2026, 2026kakobuy, kakobuyspreadsheeet, kakobuylink, kakebuylist, Kakobuy MEGA Spreadsheet, kakobuysheetfind, kakobuysheetfind2026, 2026kakobuysheetfind, kakobuysheet2026</t>
        </is>
      </c>
      <c r="Q148" t="inlineStr">
        <is>
          <t>LV, Black, Grey, Men, Modern, Elegant</t>
        </is>
      </c>
      <c r="R148" t="inlineStr">
        <is>
          <t>recvhju1Crsjnn</t>
        </is>
      </c>
      <c r="S148" t="inlineStr">
        <is>
          <t>louis-vuitton-monogram-eclipse-black-gray-clutch-recvhju1crsjnn</t>
        </is>
      </c>
      <c r="T148"/>
      <c r="U148"/>
      <c r="V148"/>
      <c r="W148" t="inlineStr">
        <is>
          <t>{"id":"chatcmpl-DZR6SbjzG8lM0cktHkl9Ke3kjhO9Z","object":"chat.completion","created":1777338036,"model":"gpt-5-chat-2025-10-03","choices":[{"index":0,"message":{"role":"assistant","content":"Louis Vuitton：男士黑灰色Monogram Eclipse系列手包，采用高级涂层帆布材质，点缀经典花纹与银色条纹设计，彰显现代绅士格调，简约大方兼具时尚与实用。","refusal":null,"annotations":[]},"logprobs":null,"finish_reason":"stop"}],"usage":{"prompt_tokens":1299,"completion_tokens":61,"total_tokens":1360,"prompt_tokens_details":{"cached_tokens":1280,"audio_tokens":0},"completion_tokens_details":{"reasoning_tokens":0,"audio_tokens":0,"accepted_prediction_tokens":0,"rejected_prediction_tokens":0}},"service_tier":"default","system_fingerprint":"fp_ad66631dec"}</t>
        </is>
      </c>
      <c r="X148" t="inlineStr">
        <is>
          <t>Louis Vuitton：男士黑灰色Monogram Eclipse系列手包，采用高级涂层帆布材质，点缀经典花纹与银色条纹设计，彰显现代绅士格调，简约大方兼具时尚与实用。</t>
        </is>
      </c>
    </row>
    <row r="149" ht="25.5" customHeight="1">
      <c r="A149">
        <v>1654975475</v>
      </c>
      <c r="B149">
        <v>7623866464</v>
      </c>
      <c r="C149" s="2" t="str">
        <f>=HYPERLINK("https://weidian.com/item.html?itemID=7623866464", "https://weidian.com/item.html?itemID=7623866464")</f>
        <v>https://weidian.com/item.html?itemID=7623866464</v>
      </c>
      <c r="D149"/>
      <c r="E149" s="2" t="str">
        <f>=HYPERLINK("https://si.geilicdn.com/pcitem2014204438-5df10000019ad876f8fe0a20e7c7_1080_1080.jpg?w=640&amp;h=640", "https://si.geilicdn.com/pcitem2014204438-5df10000019ad876f8fe0a20e7c7_1080_1080.jpg?w=640&amp;h=640")</f>
        <v>https://si.geilicdn.com/pcitem2014204438-5df10000019ad876f8fe0a20e7c7_1080_1080.jpg?w=640&amp;h=640</v>
      </c>
      <c r="F149" t="inlineStr">
        <is>
          <t>Accessories</t>
        </is>
      </c>
      <c r="G149" t="inlineStr">
        <is>
          <t>Louis Vuitton</t>
        </is>
      </c>
      <c r="H149">
        <v>680</v>
      </c>
      <c r="I149">
        <v>98.55</v>
      </c>
      <c r="J149" t="inlineStr">
        <is>
          <t>{"id":"chatcmpl-DZSLsM63JpbmNdWfqzPImOZ0cWGgX","object":"chat.completion","created":1777342836,"model":"gpt-5-chat-2025-10-03","choices":[{"index":0,"message":{"role":"assistant","content":"Louis Vuitton Monogram Light Brown Leather Belt","refusal":null,"annotations":[]},"logprobs":null,"finish_reason":"stop"}],"usage":{"prompt_tokens":867,"completion_tokens":9,"total_tokens":876,"prompt_tokens_details":{"cached_tokens":0,"audio_tokens":0},"completion_tokens_details":{"reasoning_tokens":0,"audio_tokens":0,"accepted_prediction_tokens":0,"rejected_prediction_tokens":0}},"service_tier":"default","system_fingerprint":"fp_ad66631dec"}</t>
        </is>
      </c>
      <c r="K149" t="inlineStr">
        <is>
          <t>Louis Vuitton Monogram Light Brown Leather Belt</t>
        </is>
      </c>
      <c r="L149" t="inlineStr">
        <is>
          <t>{"id":"chatcmpl-DZRk70ws5H9eAxsBGJaUjEWTp5gIt","object":"chat.completion","created":1777340495,"model":"gpt-5-chat-2025-10-03","choices":[{"index":0,"message":{"role":"assistant","content":"Louis Vuitton Monogram Light Brown Leather Belt, crafted from textured cowhide with gold LV buckle, unisex luxury design showcasing timeless French elegance and modern fashion style.","refusal":null,"annotations":[]},"logprobs":null,"finish_reason":"stop"}],"usage":{"prompt_tokens":894,"completion_tokens":33,"total_tokens":927,"prompt_tokens_details":{"cached_tokens":0,"audio_tokens":0},"completion_tokens_details":{"reasoning_tokens":0,"audio_tokens":0,"accepted_prediction_tokens":0,"rejected_prediction_tokens":0}},"service_tier":"default","system_fingerprint":"fp_ad66631dec"}</t>
        </is>
      </c>
      <c r="M149" t="inlineStr">
        <is>
          <t>{"alt-svc":"h3=\":443\"; ma=2592000","apim-request-id":"4857ab5a-e001-455e-b1f6-371f35e6d3a9","azureml-model-session":"d20260405212659-a9daa006","cache-control":"no-cache","connection":"close","content-length":"990","content-type":"application/json","date":"Tue, 28 Apr 2026 01:41:36 GMT","server":"nginx","skip-error-remapping":"true","strict-transport-security":"max-age=31536000; includeSubDomains; preload","via":"1.1 Caddy","x-content-type-options":"nosniff","x-ms-client-request-id":"Not-Set","x-ms-is-spilled-over":"false","x-ms-rai-invoked":"false","x-ms-region":"East US 2","x-new-api-version":"0.4.35","x-oneapi-request-id":"202604280141343118011148268d9d6PSNAmZw4","x-ratelimit-abusepenalty-active":"False","x-ratelimit-key":"gpt-5-chat-global","x-ratelimit-limit-requests":"1000","x-ratelimit-limit-tokens":"1000000","x-ratelimit-remaining-requests":"999","x-ratelimit-remaining-tokens":"986819","x-ratelimit-renewalperiod-requests":"60","x-ratelimit-renewalperiod-tokens":"60","x-ratelimit-reset-requests":"60","x-ratelimit-reset-tokens":"790","x-request-id":"65dcac28-bb12-4cd1-afbc-d09a4a2c72ee"}</t>
        </is>
      </c>
      <c r="N149" t="inlineStr">
        <is>
          <t>Louis Vuitton Monogram Light Brown Leather Belt, crafted from textured cowhide with gold LV buckle, unisex luxury design showcasing timeless French elegance and modern fashion style.</t>
        </is>
      </c>
      <c r="O149" t="inlineStr">
        <is>
          <t>{"id":"chatcmpl-DZSYIs2hTWvIPJRtCVxaSV4JZvYqr","object":"chat.completion","created":1777343606,"model":"gpt-5-chat-2025-10-03","choices":[{"index":0,"message":{"role":"assistant","content":"Louis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9" t="inlineStr">
        <is>
          <t>Louis Vuitton, Accessories, kakobuy, kakebuy2026, kekobuysheet, kakobuysheet2026, 2026kakobuy, kakobuyspreadsheeet, kakobuylink, kakebuylist, Kakobuy MEGA Spreadsheet, kakobuysheetfind, kakobuysheetfind2026, 2026kakobuysheetfind, kakobuysheet2026</t>
        </is>
      </c>
      <c r="Q149" t="inlineStr">
        <is>
          <t>LV, Leather, Gold, Unisex, Elegant, Fashion</t>
        </is>
      </c>
      <c r="R149" t="inlineStr">
        <is>
          <t>recvhju1CrLR7g</t>
        </is>
      </c>
      <c r="S149" t="inlineStr">
        <is>
          <t>louis-vuitton-monogram-light-brown-leather-belt-recvhju1crlr7g</t>
        </is>
      </c>
      <c r="T149"/>
      <c r="U149"/>
      <c r="V149"/>
      <c r="W149" t="inlineStr">
        <is>
          <t>{"id":"chatcmpl-DZRBymhR6Jka51iHfwmc61ncBmlqU","object":"chat.completion","created":1777338378,"model":"gpt-5-chat-2025-10-03","choices":[{"index":0,"message":{"role":"assistant","content":"Louis Vuitton：Monogram浅棕色皮质腰带，甄选颗粒纹牛皮，配金色LV字母扣，简约奢华设计，男女皆宜，彰显经典法式格调与当代时尚品味。","refusal":null,"annotations":[]},"logprobs":null,"finish_reason":"stop"}],"usage":{"prompt_tokens":1305,"completion_tokens":58,"total_tokens":1363,"prompt_tokens_details":{"cached_tokens":0,"audio_tokens":0},"completion_tokens_details":{"reasoning_tokens":0,"audio_tokens":0,"accepted_prediction_tokens":0,"rejected_prediction_tokens":0}},"service_tier":"default","system_fingerprint":"fp_ad66631dec"}</t>
        </is>
      </c>
      <c r="X149" t="inlineStr">
        <is>
          <t>Louis Vuitton：Monogram浅棕色皮质腰带，甄选颗粒纹牛皮，配金色LV字母扣，简约奢华设计，男女皆宜，彰显经典法式格调与当代时尚品味。</t>
        </is>
      </c>
    </row>
    <row r="150" ht="25.5" customHeight="1">
      <c r="A150">
        <v>1654975475</v>
      </c>
      <c r="B150">
        <v>7620916235</v>
      </c>
      <c r="C150" s="2" t="str">
        <f>=HYPERLINK("https://weidian.com/item.html?itemID=7620916235", "https://weidian.com/item.html?itemID=7620916235")</f>
        <v>https://weidian.com/item.html?itemID=7620916235</v>
      </c>
      <c r="D150"/>
      <c r="E150" s="2" t="str">
        <f>=HYPERLINK("https://si.geilicdn.com/pcitem2014204438-6aea0000019ad87917700a207569_1440_1440.jpg?w=640&amp;h=640", "https://si.geilicdn.com/pcitem2014204438-6aea0000019ad87917700a207569_1440_1440.jpg?w=640&amp;h=640")</f>
        <v>https://si.geilicdn.com/pcitem2014204438-6aea0000019ad87917700a207569_1440_1440.jpg?w=640&amp;h=640</v>
      </c>
      <c r="F150" t="inlineStr">
        <is>
          <t>Accessories</t>
        </is>
      </c>
      <c r="G150" t="inlineStr">
        <is>
          <t>Dior</t>
        </is>
      </c>
      <c r="H150">
        <v>460</v>
      </c>
      <c r="I150">
        <v>66.67</v>
      </c>
      <c r="J150" t="inlineStr">
        <is>
          <t>{"id":"chatcmpl-DZSK6RHmuZ11FOHC72f8YeYgh4OWo","object":"chat.completion","created":1777342726,"model":"gpt-5-chat-2025-10-03","choices":[{"index":0,"message":{"role":"assistant","content":"Dior Oblique Blue Grey Canvas CD Buckle Belt","refusal":null,"annotations":[]},"logprobs":null,"finish_reason":"stop"}],"usage":{"prompt_tokens":863,"completion_tokens":12,"total_tokens":875,"prompt_tokens_details":{"cached_tokens":0,"audio_tokens":0},"completion_tokens_details":{"reasoning_tokens":0,"audio_tokens":0,"accepted_prediction_tokens":0,"rejected_prediction_tokens":0}},"service_tier":"default","system_fingerprint":"fp_ad66631dec"}</t>
        </is>
      </c>
      <c r="K150" t="inlineStr">
        <is>
          <t>Dior Oblique Blue Grey Canvas CD Buckle Belt</t>
        </is>
      </c>
      <c r="L150" t="inlineStr">
        <is>
          <t>{"id":"chatcmpl-DZRjgjU63z716ELQAWYjvi5zYl4Mo","object":"chat.completion","created":1777340468,"model":"gpt-5-chat-2025-10-03","choices":[{"index":0,"message":{"role":"assistant","content":"Dior Oblique Blue-Grey Canvas Belt with Silver CD Buckle, vintage-inspired unisex design blending French haute couture elegance and modern fashion sophistication.","refusal":null,"annotations":[]},"logprobs":null,"finish_reason":"stop"}],"usage":{"prompt_tokens":881,"completion_tokens":31,"total_tokens":912,"prompt_tokens_details":{"cached_tokens":0,"audio_tokens":0},"completion_tokens_details":{"reasoning_tokens":0,"audio_tokens":0,"accepted_prediction_tokens":0,"rejected_prediction_tokens":0}},"service_tier":"default","system_fingerprint":"fp_ad66631dec"}</t>
        </is>
      </c>
      <c r="M150" t="inlineStr">
        <is>
          <t>{"alt-svc":"h3=\":443\"; ma=2592000","apim-request-id":"b49f9c19-09ee-44a9-9abe-b0062be5f7bf","azureml-model-session":"d20260405234249-f9874baf","cache-control":"no-cache","connection":"close","content-length":"970","content-type":"application/json","date":"Tue, 28 Apr 2026 01:41:09 GMT","server":"nginx","skip-error-remapping":"true","strict-transport-security":"max-age=31536000; includeSubDomains; preload","via":"1.1 Caddy","x-content-type-options":"nosniff","x-ms-client-request-id":"Not-Set","x-ms-is-spilled-over":"false","x-ms-rai-invoked":"false","x-ms-region":"North Central US","x-new-api-version":"0.4.35","x-oneapi-request-id":"202604280141078900910868268d9d6F4EcU8e9","x-ratelimit-abusepenalty-active":"False","x-ratelimit-key":"gpt-5-chat-global","x-ratelimit-limit-requests":"1000","x-ratelimit-limit-tokens":"1000000","x-ratelimit-remaining-requests":"999","x-ratelimit-remaining-tokens":"998357","x-ratelimit-renewalperiod-requests":"60","x-ratelimit-renewalperiod-tokens":"60","x-ratelimit-reset-requests":"60","x-ratelimit-reset-tokens":"98","x-request-id":"522f85bf-9234-4d16-8f0b-3cf2a05a69e6"}</t>
        </is>
      </c>
      <c r="N150" t="inlineStr">
        <is>
          <t>Dior Oblique Blue-Grey Canvas Belt with Silver CD Buckle, vintage-inspired unisex design blending French haute couture elegance and modern fashion sophistication.</t>
        </is>
      </c>
      <c r="O150" t="inlineStr">
        <is>
          <t>{"id":"chatcmpl-DZSX02HQy06mg6QskHhS7K2q6Q9VT","object":"chat.completion","created":1777343526,"model":"gpt-5-chat-2025-10-03","choices":[{"index":0,"message":{"role":"assistant","content":"Dior,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0" t="inlineStr">
        <is>
          <t>Dior, Belt, kakobuy, kakebuy2026, kekobuysheet, kakobuysheet2026, 2026kakobuy, kakobuyspreadsheeet, kakobuylink, kakebuylist, Kakobuy MEGA Spreadsheet, kakobuysheetfind, kakobuysheetfind2026, 2026kakobuysheetfind, kakobuysheet2026</t>
        </is>
      </c>
      <c r="Q150" t="inlineStr">
        <is>
          <t>Dior, Dior Oblique, Blue Grey, Canvas, Vintage, Unisex</t>
        </is>
      </c>
      <c r="R150" t="inlineStr">
        <is>
          <t>recvhju1CrhAUn</t>
        </is>
      </c>
      <c r="S150" t="inlineStr">
        <is>
          <t>dior-oblique-blue-grey-canvas-cd-buckle-belt-recvhju1crhaun</t>
        </is>
      </c>
      <c r="T150"/>
      <c r="U150"/>
      <c r="V150"/>
      <c r="W150" t="inlineStr">
        <is>
          <t>{"id":"chatcmpl-DZR6UARaJFfIw95341BY94AImjLcW","object":"chat.completion","created":1777338038,"model":"gpt-5-chat-2025-10-03","choices":[{"index":0,"message":{"role":"assistant","content":"Dior：Oblique蓝灰色印花帆布皮带，配银色CD金属扣，复古优雅设计，男女皆宜，展现法式高定格调与现代时尚气质。","refusal":null,"annotations":[]},"logprobs":null,"finish_reason":"stop"}],"usage":{"prompt_tokens":1295,"completion_tokens":50,"total_tokens":1345,"prompt_tokens_details":{"cached_tokens":0,"audio_tokens":0},"completion_tokens_details":{"reasoning_tokens":0,"audio_tokens":0,"accepted_prediction_tokens":0,"rejected_prediction_tokens":0}},"service_tier":"default","system_fingerprint":"fp_ad66631dec"}</t>
        </is>
      </c>
      <c r="X150" t="inlineStr">
        <is>
          <t>Dior：Oblique蓝灰色印花帆布皮带，配银色CD金属扣，复古优雅设计，男女皆宜，展现法式高定格调与现代时尚气质。</t>
        </is>
      </c>
    </row>
    <row r="151" ht="25.5" customHeight="1">
      <c r="A151">
        <v>1654975475</v>
      </c>
      <c r="B151">
        <v>7623860648</v>
      </c>
      <c r="C151" s="2" t="str">
        <f>=HYPERLINK("https://weidian.com/item.html?itemID=7623860648", "https://weidian.com/item.html?itemID=7623860648")</f>
        <v>https://weidian.com/item.html?itemID=7623860648</v>
      </c>
      <c r="D151"/>
      <c r="E151" s="2" t="str">
        <f>=HYPERLINK("https://si.geilicdn.com/pcitem2014204438-5c940000019ad87f44760a239646_1080_1080.jpg?w=640&amp;h=640", "https://si.geilicdn.com/pcitem2014204438-5c940000019ad87f44760a239646_1080_1080.jpg?w=640&amp;h=640")</f>
        <v>https://si.geilicdn.com/pcitem2014204438-5c940000019ad87f44760a239646_1080_1080.jpg?w=640&amp;h=640</v>
      </c>
      <c r="F151" t="inlineStr">
        <is>
          <t>Accessories</t>
        </is>
      </c>
      <c r="G151" t="inlineStr">
        <is>
          <t>Hermes</t>
        </is>
      </c>
      <c r="H151">
        <v>460</v>
      </c>
      <c r="I151">
        <v>66.67</v>
      </c>
      <c r="J151" t="inlineStr">
        <is>
          <t>{"id":"chatcmpl-DZSHap71ddwG3gQyFH6x6e5xjQFab","object":"chat.completion","created":1777342570,"model":"gpt-5-chat-2025-10-03","choices":[{"index":0,"message":{"role":"assistant","content":"Hermes H Buckle Black Leather Belt Unisex Luxury","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151" t="inlineStr">
        <is>
          <t>Hermes H Buckle Black Leather Belt Unisex Luxury</t>
        </is>
      </c>
      <c r="L151" t="inlineStr">
        <is>
          <t>{"id":"chatcmpl-DZRkWirIoz64ja5Kyk3OqibrdIqqU","object":"chat.completion","created":1777340520,"model":"gpt-5-chat-2025-10-03","choices":[{"index":0,"message":{"role":"assistant","content":"Hermès Black H Buckle Leather Belt, crafted from premium calfskin with geometric embossed texture and sleek metal H clasp. Unisex luxury accessory for both business and casual elegance.","refusal":null,"annotations":[]},"logprobs":null,"finish_reason":"stop"}],"usage":{"prompt_tokens":894,"completion_tokens":36,"total_tokens":930,"prompt_tokens_details":{"cached_tokens":0,"audio_tokens":0},"completion_tokens_details":{"reasoning_tokens":0,"audio_tokens":0,"accepted_prediction_tokens":0,"rejected_prediction_tokens":0}},"service_tier":"default","system_fingerprint":"fp_ad66631dec"}</t>
        </is>
      </c>
      <c r="M151" t="inlineStr">
        <is>
          <t>{"alt-svc":"h3=\":443\"; ma=2592000","apim-request-id":"d46d677b-5213-4a11-bc44-4ff30f105685","azureml-model-session":"d20260402074105-51db401e","cache-control":"no-cache","connection":"close","content-length":"994","content-type":"application/json","date":"Tue, 28 Apr 2026 01:42:01 GMT","server":"Caddy","skip-error-remapping":"true","strict-transport-security":"max-age=31536000; includeSubDomains; preload","x-content-type-options":"nosniff","x-ms-client-request-id":"Not-Set","x-ms-is-spilled-over":"false","x-ms-rai-invoked":"false","x-ms-region":"North Central US","x-new-api-version":"0.4.35","x-oneapi-request-id":"202604280141594313689668268d9d6D2cQSa3v","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1d1a3488-3fa8-4aa5-b265-2d8eadc0b739"}</t>
        </is>
      </c>
      <c r="N151" t="inlineStr">
        <is>
          <t>Hermès Black H Buckle Leather Belt, crafted from premium calfskin with geometric embossed texture and sleek metal H clasp. Unisex luxury accessory for both business and casual elegance.</t>
        </is>
      </c>
      <c r="O151" t="inlineStr">
        <is>
          <t>{"id":"chatcmpl-DZSYOK1H2sYnH1O6mAU4og2xt0Q0h","object":"chat.completion","created":1777343612,"model":"gpt-5-chat-2025-10-03","choices":[{"index":0,"message":{"role":"assistant","content":"Hermes,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1" t="inlineStr">
        <is>
          <t>Hermes, Belt, kakobuy, kakebuy2026, kekobuysheet, kakobuysheet2026, 2026kakobuy, kakobuyspreadsheeet, kakobuylink, kakebuylist, Kakobuy MEGA Spreadsheet, kakobuysheetfind, kakobuysheetfind2026, 2026kakobuysheetfind, kakobuysheet2026</t>
        </is>
      </c>
      <c r="Q151"/>
      <c r="R151" t="inlineStr">
        <is>
          <t>recvhju1Crq1xP</t>
        </is>
      </c>
      <c r="S151" t="inlineStr">
        <is>
          <t>hermes-h-buckle-black-leather-belt-recvhju1crq1xp</t>
        </is>
      </c>
      <c r="T151"/>
      <c r="U151"/>
      <c r="V151"/>
      <c r="W151" t="inlineStr">
        <is>
          <t>{"id":"chatcmpl-DZR7efIekpRdcf1wgl5JvsNHgWrzr","object":"chat.completion","created":1777338110,"model":"gpt-5-chat-2025-10-03","choices":[{"index":0,"message":{"role":"assistant","content":"Hermès：黑色H扣皮质腰带，精选牛皮材质，几何浮雕纹理搭配金属H字扣设计，低调奢华，展现现代法式优雅格调，适合男女通用，商务休闲皆宜。","refusal":null,"annotations":[]},"logprobs":null,"finish_reason":"stop"}],"usage":{"prompt_tokens":1297,"completion_tokens":62,"total_tokens":1359,"prompt_tokens_details":{"cached_tokens":0,"audio_tokens":0},"completion_tokens_details":{"reasoning_tokens":0,"audio_tokens":0,"accepted_prediction_tokens":0,"rejected_prediction_tokens":0}},"service_tier":"default","system_fingerprint":"fp_ad66631dec"}</t>
        </is>
      </c>
      <c r="X151" t="inlineStr">
        <is>
          <t>Hermès：黑色H扣皮质腰带，精选牛皮材质，几何浮雕纹理搭配金属H字扣设计，低调奢华，展现现代法式优雅格调，适合男女通用，商务休闲皆宜。</t>
        </is>
      </c>
    </row>
    <row r="152" ht="25.5" customHeight="1">
      <c r="A152">
        <v>1654975475</v>
      </c>
      <c r="B152">
        <v>7622567536</v>
      </c>
      <c r="C152" s="2" t="str">
        <f>=HYPERLINK("https://weidian.com/item.html?itemID=7622567536", "https://weidian.com/item.html?itemID=7622567536")</f>
        <v>https://weidian.com/item.html?itemID=7622567536</v>
      </c>
      <c r="D152"/>
      <c r="E152" s="2" t="str">
        <f>=HYPERLINK("https://si.geilicdn.com/pcitem2014204438-6ad80000019ad8894dec0a230115_1512_2016.jpg?w=640&amp;h=640", "https://si.geilicdn.com/pcitem2014204438-6ad80000019ad8894dec0a230115_1512_2016.jpg?w=640&amp;h=640")</f>
        <v>https://si.geilicdn.com/pcitem2014204438-6ad80000019ad8894dec0a230115_1512_2016.jpg?w=640&amp;h=640</v>
      </c>
      <c r="F152" t="inlineStr">
        <is>
          <t>Accessories</t>
        </is>
      </c>
      <c r="G152" t="inlineStr">
        <is>
          <t>Louis Vuitton</t>
        </is>
      </c>
      <c r="H152">
        <v>460</v>
      </c>
      <c r="I152">
        <v>66.67</v>
      </c>
      <c r="J152" t="inlineStr">
        <is>
          <t>{"id":"chatcmpl-DZSIw5lFnURaNoCo7C8j1wjBwWjDx","object":"chat.completion","created":1777342654,"model":"gpt-5-chat-2025-10-03","choices":[{"index":0,"message":{"role":"assistant","content":"Louis Vuitton Monogram Leather Belt Gold Buckle","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52" t="inlineStr">
        <is>
          <t>Louis Vuitton Monogram Leather Belt Gold Buckle</t>
        </is>
      </c>
      <c r="L152" t="inlineStr">
        <is>
          <t>{"id":"chatcmpl-DZRl1dmjulOEazBlxhdcG0TIOnEmy","object":"chat.completion","created":1777340551,"model":"gpt-5-chat-2025-10-03","choices":[{"index":0,"message":{"role":"assistant","content":"Louis Vuitton Monogram brown leather belt featuring signature canvas and gold floral cutout logo buckle, unisex style for daily or business wear, showcasing French luxury and timeless craftsmanship.","refusal":null,"annotations":[]},"logprobs":null,"finish_reason":"stop"}],"usage":{"prompt_tokens":912,"completion_tokens":35,"total_tokens":947,"prompt_tokens_details":{"cached_tokens":0,"audio_tokens":0},"completion_tokens_details":{"reasoning_tokens":0,"audio_tokens":0,"accepted_prediction_tokens":0,"rejected_prediction_tokens":0}},"service_tier":"default","system_fingerprint":"fp_ad66631dec"}</t>
        </is>
      </c>
      <c r="M152" t="inlineStr">
        <is>
          <t>{"alt-svc":"h3=\":443\"; ma=2592000","apim-request-id":"a04a6d75-051f-4880-9c7a-2d9e9b8817fa","azureml-model-session":"d20260405234249-f9874baf","cache-control":"no-cache","connection":"close","content-length":"1006","content-type":"application/json","date":"Tue, 28 Apr 2026 01:42:32 GMT","server":"Caddy","skip-error-remapping":"true","strict-transport-security":"max-age=31536000; includeSubDomains; preload","x-content-type-options":"nosniff","x-ms-client-request-id":"Not-Set","x-ms-is-spilled-over":"false","x-ms-rai-invoked":"false","x-ms-region":"East US 2","x-new-api-version":"0.4.35","x-oneapi-request-id":"20260428014230102633708268d9d61SaWqQaY","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3099ef32-531e-4d26-b1c7-92bd306543d2"}</t>
        </is>
      </c>
      <c r="N152" t="inlineStr">
        <is>
          <t>Louis Vuitton Monogram brown leather belt featuring signature canvas and gold floral cutout logo buckle, unisex style for daily or business wear, showcasing French luxury and timeless craftsmanship.</t>
        </is>
      </c>
      <c r="O152" t="inlineStr">
        <is>
          <t>{"id":"chatcmpl-DZSYhaxoomqoVNsa4rgfG7CHwIHXG","object":"chat.completion","created":1777343631,"model":"gpt-5-chat-2025-10-03","choices":[{"index":0,"message":{"role":"assistant","content":"Louis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2" t="inlineStr">
        <is>
          <t>Louis Vuitton, Accessories, kakobuy, kakebuy2026, kekobuysheet, kakobuysheet2026, 2026kakobuy, kakobuyspreadsheeet, kakobuylink, kakebuylist, Kakobuy MEGA Spreadsheet, kakobuysheetfind, kakobuysheetfind2026, 2026kakobuysheetfind, kakobuysheet2026</t>
        </is>
      </c>
      <c r="Q152" t="inlineStr">
        <is>
          <t>LV, Leather, Brown, Gold, Business Casual, Unisex</t>
        </is>
      </c>
      <c r="R152" t="inlineStr">
        <is>
          <t>recvhju1Crtv3n</t>
        </is>
      </c>
      <c r="S152" t="inlineStr">
        <is>
          <t>louis-vuitton-monogram-leather-belt-gold-buckle-recvhju1crtv3n</t>
        </is>
      </c>
      <c r="T152"/>
      <c r="U152"/>
      <c r="V152"/>
      <c r="W152" t="inlineStr">
        <is>
          <t>{"id":"chatcmpl-DZR8Z2bLjHoTM7aOlZQ0PnCnUKcQi","object":"chat.completion","created":1777338167,"model":"gpt-5-chat-2025-10-03","choices":[{"index":0,"message":{"role":"assistant","content":"Louis Vuitton：Monogram棕色皮革腰带，采用经典老花帆布材质，搭配金色花形镂空Logo扣头设计，彰显法式奢华与现代优雅气质。男女皆宜款式，适合日常与商务穿搭，展现品牌百年工艺与时尚格调。","refusal":null,"annotations":[]},"logprobs":null,"finish_reason":"stop"}],"usage":{"prompt_tokens":1297,"completion_tokens":80,"total_tokens":1377,"prompt_tokens_details":{"cached_tokens":1280,"audio_tokens":0},"completion_tokens_details":{"reasoning_tokens":0,"audio_tokens":0,"accepted_prediction_tokens":0,"rejected_prediction_tokens":0}},"service_tier":"default","system_fingerprint":"fp_ad66631dec"}</t>
        </is>
      </c>
      <c r="X152" t="inlineStr">
        <is>
          <t>Louis Vuitton：Monogram棕色皮革腰带，采用经典老花帆布材质，搭配金色花形镂空Logo扣头设计，彰显法式奢华与现代优雅气质。男女皆宜款式，适合日常与商务穿搭，展现品牌百年工艺与时尚格调。</t>
        </is>
      </c>
    </row>
    <row r="153" ht="25.5" customHeight="1">
      <c r="A153">
        <v>1654975475</v>
      </c>
      <c r="B153">
        <v>7620857133</v>
      </c>
      <c r="C153" s="2" t="str">
        <f>=HYPERLINK("https://weidian.com/item.html?itemID=7620857133", "https://weidian.com/item.html?itemID=7620857133")</f>
        <v>https://weidian.com/item.html?itemID=7620857133</v>
      </c>
      <c r="D153"/>
      <c r="E153" s="2" t="str">
        <f>=HYPERLINK("https://si.geilicdn.com/pcitem2014204438-78890000019ad88b93ae0a23111a_1440_1920.jpg?w=640&amp;h=640", "https://si.geilicdn.com/pcitem2014204438-78890000019ad88b93ae0a23111a_1440_1920.jpg?w=640&amp;h=640")</f>
        <v>https://si.geilicdn.com/pcitem2014204438-78890000019ad88b93ae0a23111a_1440_1920.jpg?w=640&amp;h=640</v>
      </c>
      <c r="F153" t="inlineStr">
        <is>
          <t>Accessories</t>
        </is>
      </c>
      <c r="G153" t="inlineStr">
        <is>
          <t>Alfred Dunhill</t>
        </is>
      </c>
      <c r="H153">
        <v>460</v>
      </c>
      <c r="I153">
        <v>66.67</v>
      </c>
      <c r="J153" t="inlineStr">
        <is>
          <t>{"id":"chatcmpl-DZSKv1gNVACbTmlHDDgAuceIs9xUZ","object":"chat.completion","created":1777342777,"model":"gpt-5-chat-2025-10-03","choices":[{"index":0,"message":{"role":"assistant","content":"Alfred Dunhill Black Leather Men’s Belt","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53" t="inlineStr">
        <is>
          <t>Alfred Dunhill Black Leather Men’s Belt</t>
        </is>
      </c>
      <c r="L153" t="inlineStr">
        <is>
          <t>{"id":"chatcmpl-DZRi4Zoq1qRb2PoTsY8bWJ6HWNeqt","object":"chat.completion","created":1777340368,"model":"gpt-5-chat-2025-10-03","choices":[{"index":0,"message":{"role":"assistant","content":"Alfred Dunhill Black Genuine Leather Men’s Belt, crafted from premium cowhide with a polished square metal buckle, exuding British elegance for business or casual wear.","refusal":null,"annotations":[]},"logprobs":null,"finish_reason":"stop"}],"usage":{"prompt_tokens":899,"completion_tokens":34,"total_tokens":933,"prompt_tokens_details":{"cached_tokens":0,"audio_tokens":0},"completion_tokens_details":{"reasoning_tokens":0,"audio_tokens":0,"accepted_prediction_tokens":0,"rejected_prediction_tokens":0}},"service_tier":"default","system_fingerprint":"fp_ad66631dec"}</t>
        </is>
      </c>
      <c r="M153" t="inlineStr">
        <is>
          <t>{"alt-svc":"h3=\":443\"; ma=2592000","apim-request-id":"85aed41f-b531-4821-9c16-bbd498793e36","azureml-model-session":"d20260405234249-f9874baf","cache-control":"no-cache","connection":"close","content-length":"978","content-type":"application/json","date":"Tue, 28 Apr 2026 01:39:30 GMT","server":"nginx","skip-error-remapping":"true","strict-transport-security":"max-age=31536000; includeSubDomains; preload","via":"1.1 Caddy","x-content-type-options":"nosniff","x-ms-client-request-id":"Not-Set","x-ms-is-spilled-over":"false","x-ms-rai-invoked":"false","x-ms-region":"Poland Central","x-new-api-version":"0.4.35","x-oneapi-request-id":"202604280139274179620778268d9d6GMUW76ho","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12aca610-216b-4fee-befa-629073702103"}</t>
        </is>
      </c>
      <c r="N153" t="inlineStr">
        <is>
          <t>Alfred Dunhill Black Genuine Leather Men’s Belt, crafted from premium cowhide with a polished square metal buckle, exuding British elegance for business or casual wear.</t>
        </is>
      </c>
      <c r="O153" t="inlineStr">
        <is>
          <t>{"id":"chatcmpl-DZSaXnGtiidtKDJlW6J8nn0bHRpP0","object":"chat.completion","created":1777343745,"model":"gpt-5-chat-2025-10-03","choices":[{"index":0,"message":{"role":"assistant","content":"Alfred Dunhill,Accessories,kakobuy,kakebuy2026,kekobuysheet,kakobuysheet2026,2026kakobuy,kakobuyspreadsheeet,kakobuylink,kakebuylist,Kakobuy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ad66631dec"}</t>
        </is>
      </c>
      <c r="P153" t="inlineStr">
        <is>
          <t>Alfred Dunhill,Accessories,kakobuy,kakebuy2026,kekobuysheet,kakobuysheet2026,2026kakobuy,kakobuyspreadsheeet,kakobuylink,kakebuylist,Kakobuy MEGA Spreadsheet,kakobuysheetfind,kakobuysheetfind2026,2026kakobuysheetfind,kakobuysheet2026</t>
        </is>
      </c>
      <c r="Q153" t="inlineStr">
        <is>
          <t>Black, Genuine Leather, Cowhide, Business, Men, Leather</t>
        </is>
      </c>
      <c r="R153" t="inlineStr">
        <is>
          <t>recvhju1CrCIGY</t>
        </is>
      </c>
      <c r="S153" t="inlineStr">
        <is>
          <t>dunhill-black-leather-men-belt-recvhju1cr cigy</t>
        </is>
      </c>
      <c r="T153"/>
      <c r="U153"/>
      <c r="V153"/>
      <c r="W153" t="inlineStr">
        <is>
          <t>{"id":"chatcmpl-DZRAlRuUlYrpTtVCMnaZobALfHFcl","object":"chat.completion","created":1777338303,"model":"gpt-5-chat-2025-10-03","choices":[{"index":0,"message":{"role":"assistant","content":"Alfred Dunhill：黑色真皮男士腰带，采用优质牛皮材质搭配抛光金属方扣设计，简约绅士风格，彰显英伦格调，适合商务与休闲场合，尽显高雅品味。","refusal":null,"annotations":[]},"logprobs":null,"finish_reason":"stop"}],"usage":{"prompt_tokens":1303,"completion_tokens":64,"total_tokens":1367,"prompt_tokens_details":{"cached_tokens":0,"audio_tokens":0},"completion_tokens_details":{"reasoning_tokens":0,"audio_tokens":0,"accepted_prediction_tokens":0,"rejected_prediction_tokens":0}},"service_tier":"default","system_fingerprint":"fp_ad66631dec"}</t>
        </is>
      </c>
      <c r="X153" t="inlineStr">
        <is>
          <t>Alfred Dunhill：黑色真皮男士腰带，采用优质牛皮材质搭配抛光金属方扣设计，简约绅士风格，彰显英伦格调，适合商务与休闲场合，尽显高雅品味。</t>
        </is>
      </c>
    </row>
    <row r="154" ht="25.5" customHeight="1">
      <c r="A154">
        <v>1654975475</v>
      </c>
      <c r="B154">
        <v>7623842814</v>
      </c>
      <c r="C154" s="2" t="str">
        <f>=HYPERLINK("https://weidian.com/item.html?itemID=7623842814", "https://weidian.com/item.html?itemID=7623842814")</f>
        <v>https://weidian.com/item.html?itemID=7623842814</v>
      </c>
      <c r="D154"/>
      <c r="E154" s="2" t="str">
        <f>=HYPERLINK("https://si.geilicdn.com/pcitem2014204438-684e0000019ad870e1b50a20e284_1080_1080.jpg?w=640&amp;h=640", "https://si.geilicdn.com/pcitem2014204438-684e0000019ad870e1b50a20e284_1080_1080.jpg?w=640&amp;h=640")</f>
        <v>https://si.geilicdn.com/pcitem2014204438-684e0000019ad870e1b50a20e284_1080_1080.jpg?w=640&amp;h=640</v>
      </c>
      <c r="F154" t="inlineStr">
        <is>
          <t>Accessories</t>
        </is>
      </c>
      <c r="G154" t="inlineStr">
        <is>
          <t>Louis Vuitton</t>
        </is>
      </c>
      <c r="H154">
        <v>580</v>
      </c>
      <c r="I154">
        <v>84.06</v>
      </c>
      <c r="J154" t="inlineStr">
        <is>
          <t>{"id":"chatcmpl-DZSMHFpOkT9caxyiJGfc7bDAqs4wH","object":"chat.completion","created":1777342861,"model":"gpt-5-chat-2025-10-03","choices":[{"index":0,"message":{"role":"assistant","content":"Louis Vuitton Damier Graphite Clutch and Belt Set","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54" t="inlineStr">
        <is>
          <t>Louis Vuitton Damier Graphite Clutch and Belt Set</t>
        </is>
      </c>
      <c r="L154" t="inlineStr">
        <is>
          <t>{"id":"chatcmpl-DZRcXfwjMg1NnbczLMOjFImZzF8kz","object":"chat.completion","created":1777340025,"model":"gpt-5-chat-2025-10-03","choices":[{"index":0,"message":{"role":"assistant","content":"Louis Vuitton Damier Graphite clutch with matching LV buckle belt, crafted from premium leather and iconic canvas, sleek design with purple-gray gradient logo for a refined, modern urban look.","refusal":null,"annotations":[]},"logprobs":null,"finish_reason":"stop"}],"usage":{"prompt_tokens":914,"completion_tokens":37,"total_tokens":951,"prompt_tokens_details":{"cached_tokens":0,"audio_tokens":0},"completion_tokens_details":{"reasoning_tokens":0,"audio_tokens":0,"accepted_prediction_tokens":0,"rejected_prediction_tokens":0}},"service_tier":"default","system_fingerprint":"fp_ad66631dec"}</t>
        </is>
      </c>
      <c r="M154" t="inlineStr">
        <is>
          <t>{"alt-svc":"h3=\":443\"; ma=2592000","apim-request-id":"bd5debd1-0610-472f-948f-61401c898af2","azureml-model-session":"d20260402083108-57a85543","cache-control":"no-cache","connection":"close","content-length":"1000","content-type":"application/json","date":"Tue, 28 Apr 2026 01:33:47 GMT","server":"Caddy","skip-error-remapping":"true","strict-transport-security":"max-age=31536000; includeSubDomains; preload","x-content-type-options":"nosniff","x-ms-client-request-id":"Not-Set","x-ms-is-spilled-over":"false","x-ms-rai-invoked":"false","x-ms-region":"West US","x-new-api-version":"0.4.35","x-oneapi-request-id":"202604280133448789088608268d9d6AntnfnwW","x-ratelimit-abusepenalty-active":"False","x-ratelimit-key":"gpt-5-chat-global","x-ratelimit-limit-requests":"1000","x-ratelimit-limit-tokens":"1000000","x-ratelimit-remaining-requests":"999","x-ratelimit-remaining-tokens":"990420","x-ratelimit-renewalperiod-requests":"60","x-ratelimit-renewalperiod-tokens":"60","x-ratelimit-reset-requests":"60","x-ratelimit-reset-tokens":"574","x-request-id":"dc269241-71f3-473b-810f-5a2d09a3fe5e"}</t>
        </is>
      </c>
      <c r="N154" t="inlineStr">
        <is>
          <t>Louis Vuitton Damier Graphite clutch with matching LV buckle belt, crafted from premium leather and iconic canvas, sleek design with purple-gray gradient logo for a refined, modern urban look.</t>
        </is>
      </c>
      <c r="O154" t="inlineStr">
        <is>
          <t>{"id":"chatcmpl-DZSXs46eCKJm7xMfu7oRkpiEyQCMY","object":"chat.completion","created":1777343580,"model":"gpt-5-chat-2025-10-03","choices":[{"index":0,"message":{"role":"assistant","content":"Louis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4" t="inlineStr">
        <is>
          <t>Louis Vuitton, Accessories, kakobuy, kakebuy2026, kekobuysheet, kakobuysheet2026, 2026kakobuy, kakobuyspreadsheeet, kakobuylink, kakebuylist, Kakobuy MEGA Spreadsheet, kakobuysheetfind, kakobuysheetfind2026, 2026kakobuysheetfind, kakobuysheet2026</t>
        </is>
      </c>
      <c r="Q154" t="inlineStr">
        <is>
          <t>LV, Leather, Canvas, Gradient, Modern</t>
        </is>
      </c>
      <c r="R154" t="inlineStr">
        <is>
          <t>recvhju1CrSDzZ</t>
        </is>
      </c>
      <c r="S154" t="inlineStr">
        <is>
          <t>louis-vuitton-damier-graphite-clutch-belt-recvhju1cr</t>
        </is>
      </c>
      <c r="T154"/>
      <c r="U154"/>
      <c r="V154"/>
      <c r="W154" t="inlineStr">
        <is>
          <t>{"id":"chatcmpl-DZRACp8YoKi3HkH7h93wHLAULL1PG","object":"chat.completion","created":1777338268,"model":"gpt-5-chat-2025-10-03","choices":[{"index":0,"message":{"role":"assistant","content":"Louis Vuitton：棋盘格灰黑手包，采用高级皮革与标志性帆布材质，紫灰渐变品牌字样点缀前幅，设计简洁利落兼具摩登质感，配套腰带金属LV扣彰显精致品味，男士优雅都市风，休闲与商务皆宜。","refusal":null,"annotations":[]},"logprobs":null,"finish_reason":"stop"}],"usage":{"prompt_tokens":1301,"completion_tokens":80,"total_tokens":1381,"prompt_tokens_details":{"cached_tokens":1280,"audio_tokens":0},"completion_tokens_details":{"reasoning_tokens":0,"audio_tokens":0,"accepted_prediction_tokens":0,"rejected_prediction_tokens":0}},"service_tier":"default","system_fingerprint":"fp_ad66631dec"}</t>
        </is>
      </c>
      <c r="X154" t="inlineStr">
        <is>
          <t>Louis Vuitton：棋盘格灰黑手包，采用高级皮革与标志性帆布材质，紫灰渐变品牌字样点缀前幅，设计简洁利落兼具摩登质感，配套腰带金属LV扣彰显精致品味，男士优雅都市风，休闲与商务皆宜。</t>
        </is>
      </c>
    </row>
    <row r="155" ht="25.5" customHeight="1">
      <c r="A155">
        <v>1654975475</v>
      </c>
      <c r="B155">
        <v>7623868442</v>
      </c>
      <c r="C155" s="2" t="str">
        <f>=HYPERLINK("https://weidian.com/item.html?itemID=7623868442", "https://weidian.com/item.html?itemID=7623868442")</f>
        <v>https://weidian.com/item.html?itemID=7623868442</v>
      </c>
      <c r="D155"/>
      <c r="E155" s="2" t="str">
        <f>=HYPERLINK("https://si.geilicdn.com/pcitem2014204438-21820000019ad87669810a21146b_1080_1080.jpg?w=640&amp;h=640", "https://si.geilicdn.com/pcitem2014204438-21820000019ad87669810a21146b_1080_1080.jpg?w=640&amp;h=640")</f>
        <v>https://si.geilicdn.com/pcitem2014204438-21820000019ad87669810a21146b_1080_1080.jpg?w=640&amp;h=640</v>
      </c>
      <c r="F155" t="inlineStr">
        <is>
          <t>Accessories</t>
        </is>
      </c>
      <c r="G155" t="inlineStr">
        <is>
          <t>Louis Vuitton</t>
        </is>
      </c>
      <c r="H155">
        <v>680</v>
      </c>
      <c r="I155">
        <v>98.55</v>
      </c>
      <c r="J155" t="inlineStr">
        <is>
          <t>{"id":"chatcmpl-DZSLwrGkjKgnQZX0oAdAuNJ8A7NEe","object":"chat.completion","created":1777342840,"model":"gpt-5-chat-2025-10-03","choices":[{"index":0,"message":{"role":"assistant","content":"Louis Vuitton Monogram Beige Leather LV Buckle Belt","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55" t="inlineStr">
        <is>
          <t>Louis Vuitton Monogram Beige Leather LV Buckle Belt</t>
        </is>
      </c>
      <c r="L155" t="inlineStr">
        <is>
          <t>{"id":"chatcmpl-DZRfK1bt9oepenxrVwE9mxr9UZyny","object":"chat.completion","created":1777340198,"model":"gpt-5-chat-2025-10-03","choices":[{"index":0,"message":{"role":"assistant","content":"Louis Vuitton Monogram Beige Leather Belt, crafted from textured calfskin with a gold LV buckle. Unisex, sleek and luxurious, this modern design adds sophistication to any outfit.","refusal":null,"annotations":[]},"logprobs":null,"finish_reason":"stop"}],"usage":{"prompt_tokens":904,"completion_tokens":36,"total_tokens":940,"prompt_tokens_details":{"cached_tokens":0,"audio_tokens":0},"completion_tokens_details":{"reasoning_tokens":0,"audio_tokens":0,"accepted_prediction_tokens":0,"rejected_prediction_tokens":0}},"service_tier":"default","system_fingerprint":"fp_ad66631dec"}</t>
        </is>
      </c>
      <c r="M155" t="inlineStr">
        <is>
          <t>{"alt-svc":"h3=\":443\"; ma=2592000","apim-request-id":"dd204876-b22e-4df7-a491-491145b8f75a","azureml-model-session":"d20260405234249-f9874baf","cache-control":"no-cache","connection":"close","content-length":"987","content-type":"application/json","date":"Tue, 28 Apr 2026 01:36:38 GMT","server":"Caddy","skip-error-remapping":"true","strict-transport-security":"max-age=31536000; includeSubDomains; preload","x-content-type-options":"nosniff","x-ms-client-request-id":"Not-Set","x-ms-is-spilled-over":"false","x-ms-rai-invoked":"false","x-ms-region":"South Central US","x-new-api-version":"0.4.35","x-oneapi-request-id":"202604280136373731912628268d9d65MuQR7Z7","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97a9240f-9d54-4912-9124-773c3f672995"}</t>
        </is>
      </c>
      <c r="N155" t="inlineStr">
        <is>
          <t>Louis Vuitton Monogram Beige Leather Belt, crafted from textured calfskin with a gold LV buckle. Unisex, sleek and luxurious, this modern design adds sophistication to any outfit.</t>
        </is>
      </c>
      <c r="O155" t="inlineStr">
        <is>
          <t>{"id":"chatcmpl-DZSb5Cc6JNEm1fopbyD3Z4ulDQp6m","object":"chat.completion","created":1777343779,"model":"gpt-5-chat-2025-10-03","choices":[{"index":0,"message":{"role":"assistant","content":"Louis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5" t="inlineStr">
        <is>
          <t>Louis Vuitton, Accessories, kakobuy, kakebuy2026, kekobuysheet, kakobuysheet2026, 2026kakobuy, kakobuyspreadsheeet, kakobuylink, kakebuylist, Kakobuy MEGA Spreadsheet, kakobuysheetfind, kakobuysheetfind2026, 2026kakobuysheetfind, kakobuysheet2026</t>
        </is>
      </c>
      <c r="Q155" t="inlineStr">
        <is>
          <t>LV, Leather, Beige, Gold, Unisex, Modern</t>
        </is>
      </c>
      <c r="R155" t="inlineStr">
        <is>
          <t>recvhju1CrnJr7</t>
        </is>
      </c>
      <c r="S155" t="inlineStr">
        <is>
          <t>louis-vuitton-monogram-beige-leather-lv-buckle-belt-recvhju1crnjr7</t>
        </is>
      </c>
      <c r="T155"/>
      <c r="U155"/>
      <c r="V155"/>
      <c r="W155" t="inlineStr">
        <is>
          <t>{"id":"chatcmpl-DZRECXqL3SUuTpG0RWGcEcOyFMuuC","object":"chat.completion","created":1777338516,"model":"gpt-5-chat-2025-10-03","choices":[{"index":0,"message":{"role":"assistant","content":"Louis Vuitton：Monogram系列米杏色真皮腰带，甄选颗粒纹牛皮材质，搭配金色LV标志扣头，简约奢华设计彰显高级质感。男女通用款，现代都市风格兼具时尚与实用，展现品牌优雅格调。","refusal":null,"annotations":[]},"logprobs":null,"finish_reason":"stop"}],"usage":{"prompt_tokens":1295,"completion_tokens":73,"total_tokens":1368,"prompt_tokens_details":{"cached_tokens":0,"audio_tokens":0},"completion_tokens_details":{"reasoning_tokens":0,"audio_tokens":0,"accepted_prediction_tokens":0,"rejected_prediction_tokens":0}},"service_tier":"default","system_fingerprint":"fp_ad66631dec"}</t>
        </is>
      </c>
      <c r="X155" t="inlineStr">
        <is>
          <t>Louis Vuitton：Monogram系列米杏色真皮腰带，甄选颗粒纹牛皮材质，搭配金色LV标志扣头，简约奢华设计彰显高级质感。男女通用款，现代都市风格兼具时尚与实用，展现品牌优雅格调。</t>
        </is>
      </c>
    </row>
    <row r="156" ht="25.5" customHeight="1">
      <c r="A156">
        <v>1654975475</v>
      </c>
      <c r="B156">
        <v>7620884217</v>
      </c>
      <c r="C156" s="2" t="str">
        <f>=HYPERLINK("https://weidian.com/item.html?itemID=7620884217", "https://weidian.com/item.html?itemID=7620884217")</f>
        <v>https://weidian.com/item.html?itemID=7620884217</v>
      </c>
      <c r="D156"/>
      <c r="E156" s="2" t="str">
        <f>=HYPERLINK("https://si.geilicdn.com/pcitem2014204438-5d920000019ad875de890a20e7c7_1080_1080.jpg?w=640&amp;h=640", "https://si.geilicdn.com/pcitem2014204438-5d920000019ad875de890a20e7c7_1080_1080.jpg?w=640&amp;h=640")</f>
        <v>https://si.geilicdn.com/pcitem2014204438-5d920000019ad875de890a20e7c7_1080_1080.jpg?w=640&amp;h=640</v>
      </c>
      <c r="F156" t="inlineStr">
        <is>
          <t>Accessories</t>
        </is>
      </c>
      <c r="G156" t="inlineStr">
        <is>
          <t>Louis Vuitton</t>
        </is>
      </c>
      <c r="H156">
        <v>680</v>
      </c>
      <c r="I156">
        <v>98.55</v>
      </c>
      <c r="J156" t="inlineStr">
        <is>
          <t>{"id":"chatcmpl-DZSLVrfBQxmSn1QQUrNed4heopLNF","object":"chat.completion","created":1777342813,"model":"gpt-5-chat-2025-10-03","choices":[{"index":0,"message":{"role":"assistant","content":"Louis Vuitton Monogram Leather Belt Gold Buckle","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56" t="inlineStr">
        <is>
          <t>Louis Vuitton Monogram Leather Belt Gold Buckle</t>
        </is>
      </c>
      <c r="L156" t="inlineStr">
        <is>
          <t>{"id":"chatcmpl-DZRfeZ96cauZpM4wjXs0W4xTkiGXd","object":"chat.completion","created":1777340218,"model":"gpt-5-chat-2025-10-03","choices":[{"index":0,"message":{"role":"assistant","content":"Louis Vuitton Men’s Belt in classic Monogram canvas with gold LV buckle, crafted from premium leather. A timeless design blending luxury and versatility for both business and casual looks.","refusal":null,"annotations":[]},"logprobs":null,"finish_reason":"stop"}],"usage":{"prompt_tokens":907,"completion_tokens":35,"total_tokens":942,"prompt_tokens_details":{"cached_tokens":0,"audio_tokens":0},"completion_tokens_details":{"reasoning_tokens":0,"audio_tokens":0,"accepted_prediction_tokens":0,"rejected_prediction_tokens":0}},"service_tier":"default","system_fingerprint":"fp_ad66631dec"}</t>
        </is>
      </c>
      <c r="M156" t="inlineStr">
        <is>
          <t>{"alt-svc":"h3=\":443\"; ma=2592000","apim-request-id":"733d554f-71a4-4eab-8abc-94655312ec5d","azureml-model-session":"d20260402083108-57a85543","cache-control":"no-cache","connection":"close","content-length":"998","content-type":"application/json","date":"Tue, 28 Apr 2026 01:37:00 GMT","server":"nginx","skip-error-remapping":"true","strict-transport-security":"max-age=31536000; includeSubDomains; preload","via":"1.1 Caddy","x-content-type-options":"nosniff","x-ms-client-request-id":"Not-Set","x-ms-is-spilled-over":"false","x-ms-rai-invoked":"false","x-ms-region":"North Central US","x-new-api-version":"0.4.35","x-oneapi-request-id":"202604280136576741578178268d9d6VUm5VRan","x-ratelimit-abusepenalty-active":"False","x-ratelimit-key":"gpt-5-chat-global","x-ratelimit-limit-requests":"1000","x-ratelimit-limit-tokens":"1000000","x-ratelimit-remaining-requests":"999","x-ratelimit-remaining-tokens":"998331","x-ratelimit-renewalperiod-requests":"60","x-ratelimit-renewalperiod-tokens":"60","x-ratelimit-reset-requests":"60","x-ratelimit-reset-tokens":"100","x-request-id":"5160175a-c311-4b7d-86ba-09b91f756cca"}</t>
        </is>
      </c>
      <c r="N156" t="inlineStr">
        <is>
          <t>Louis Vuitton Men’s Belt in classic Monogram canvas with gold LV buckle, crafted from premium leather. A timeless design blending luxury and versatility for both business and casual looks.</t>
        </is>
      </c>
      <c r="O156" t="inlineStr">
        <is>
          <t>{"id":"chatcmpl-DZSXSLGBPixmirZRIq3wpGV7xIrLu","object":"chat.completion","created":1777343554,"model":"gpt-5-chat-2025-10-03","choices":[{"index":0,"message":{"role":"assistant","content":"Louis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6" t="inlineStr">
        <is>
          <t>Louis Vuitton, Accessories, kakobuy, kakebuy2026, kekobuysheet, kakobuysheet2026, 2026kakobuy, kakobuyspreadsheeet, kakobuylink, kakebuylist, Kakobuy MEGA Spreadsheet, kakobuysheetfind, kakobuysheetfind2026, 2026kakobuysheetfind, kakobuysheet2026</t>
        </is>
      </c>
      <c r="Q156" t="inlineStr">
        <is>
          <t>LV, Leather, Business, Men, Versatile</t>
        </is>
      </c>
      <c r="R156" t="inlineStr">
        <is>
          <t>recvhju1Crxswi</t>
        </is>
      </c>
      <c r="S156" t="inlineStr">
        <is>
          <t>louis-vuitton-monogram-leather-belt-gold-buckle-recvhju1crxswi</t>
        </is>
      </c>
      <c r="T156"/>
      <c r="U156"/>
      <c r="V156"/>
      <c r="W156" t="inlineStr">
        <is>
          <t>{"id":"chatcmpl-DZRAVwX7HYk97SDgeI2nwt6qe05dn","object":"chat.completion","created":1777338287,"model":"gpt-5-chat-2025-10-03","choices":[{"index":0,"message":{"role":"assistant","content":"Louis Vuitton：经典Monogram老花棕色男士皮带，采用优质皮革材质，配以金色LV字母扣，彰显品牌奢华格调。简约大气设计融合现代工艺，适配商务与休闲造型，完美诠释经典法式优雅。","refusal":null,"annotations":[]},"logprobs":null,"finish_reason":"stop"}],"usage":{"prompt_tokens":1301,"completion_tokens":73,"total_tokens":1374,"prompt_tokens_details":{"cached_tokens":0,"audio_tokens":0},"completion_tokens_details":{"reasoning_tokens":0,"audio_tokens":0,"accepted_prediction_tokens":0,"rejected_prediction_tokens":0}},"service_tier":"default","system_fingerprint":"fp_ad66631dec"}</t>
        </is>
      </c>
      <c r="X156" t="inlineStr">
        <is>
          <t>Louis Vuitton：经典Monogram老花棕色男士皮带，采用优质皮革材质，配以金色LV字母扣，彰显品牌奢华格调。简约大气设计融合现代工艺，适配商务与休闲造型，完美诠释经典法式优雅。</t>
        </is>
      </c>
    </row>
    <row r="157" ht="25.5" customHeight="1">
      <c r="A157">
        <v>1654975475</v>
      </c>
      <c r="B157">
        <v>7623929906</v>
      </c>
      <c r="C157" s="2" t="str">
        <f>=HYPERLINK("https://weidian.com/item.html?itemID=7623929906", "https://weidian.com/item.html?itemID=7623929906")</f>
        <v>https://weidian.com/item.html?itemID=7623929906</v>
      </c>
      <c r="D157"/>
      <c r="E157" s="2" t="str">
        <f>=HYPERLINK("https://si.geilicdn.com/pcitem2014204438-141c0000019ad8827f610a2103bd_1080_1080.jpg?w=640&amp;h=640", "https://si.geilicdn.com/pcitem2014204438-141c0000019ad8827f610a2103bd_1080_1080.jpg?w=640&amp;h=640")</f>
        <v>https://si.geilicdn.com/pcitem2014204438-141c0000019ad8827f610a2103bd_1080_1080.jpg?w=640&amp;h=640</v>
      </c>
      <c r="F157" t="inlineStr">
        <is>
          <t>Accessories</t>
        </is>
      </c>
      <c r="G157" t="inlineStr">
        <is>
          <t>Louis Vuitton</t>
        </is>
      </c>
      <c r="H157">
        <v>410</v>
      </c>
      <c r="I157">
        <v>59.42</v>
      </c>
      <c r="J157" t="inlineStr">
        <is>
          <t>{"id":"chatcmpl-DZSILszeoS8rO1sDcHuunt3t1l7kQ","object":"chat.completion","created":1777342617,"model":"gpt-5-chat-2025-10-03","choices":[{"index":0,"message":{"role":"assistant","content":"Louis Vuitton Monogram Brown Leather LV Buckle Belt","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57" t="inlineStr">
        <is>
          <t>Louis Vuitton Monogram Brown Leather LV Buckle Belt</t>
        </is>
      </c>
      <c r="L157" t="inlineStr">
        <is>
          <t>{"id":"chatcmpl-DZReCLOhkLjllT7Q0Hs2dXGGJahaT","object":"chat.completion","created":1777340128,"model":"gpt-5-chat-2025-10-03","choices":[{"index":0,"message":{"role":"assistant","content":"Louis Vuitton Monogram brown leather belt with signature LV gold buckle, crafted from premium cowhide, stylish and versatile for men and women, embodying luxury and modern urban elegance.","refusal":null,"annotations":[]},"logprobs":null,"finish_reason":"stop"}],"usage":{"prompt_tokens":899,"completion_tokens":36,"total_tokens":935,"prompt_tokens_details":{"cached_tokens":0,"audio_tokens":0},"completion_tokens_details":{"reasoning_tokens":0,"audio_tokens":0,"accepted_prediction_tokens":0,"rejected_prediction_tokens":0}},"service_tier":"default","system_fingerprint":"fp_ad66631dec"}</t>
        </is>
      </c>
      <c r="M157" t="inlineStr">
        <is>
          <t>{"alt-svc":"h3=\":443\"; ma=2592000","apim-request-id":"de7ec19d-417d-4140-a76a-10571e5d16e6","azureml-model-session":"d20260402075109-1fc5a0ec","cache-control":"no-cache","connection":"close","content-length":"995","content-type":"application/json","date":"Tue, 28 Apr 2026 01:35:31 GMT","server":"nginx","skip-error-remapping":"true","strict-transport-security":"max-age=31536000; includeSubDomains; preload","via":"1.1 Caddy","x-content-type-options":"nosniff","x-ms-client-request-id":"Not-Set","x-ms-is-spilled-over":"false","x-ms-rai-invoked":"false","x-ms-region":"Sweden Central","x-new-api-version":"0.4.35","x-oneapi-request-id":"202604280135272958282198268d9d6uf6HeNZa","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43afb1b8-2ebe-4257-9318-8801334e1036"}</t>
        </is>
      </c>
      <c r="N157" t="inlineStr">
        <is>
          <t>Louis Vuitton Monogram brown leather belt with signature LV gold buckle, crafted from premium cowhide, stylish and versatile for men and women, embodying luxury and modern urban elegance.</t>
        </is>
      </c>
      <c r="O157" t="inlineStr">
        <is>
          <t>{"id":"chatcmpl-DZSVQrcVc2W6TTE03Js0Nvm5PTzuo","object":"chat.completion","created":1777343428,"model":"gpt-5-chat-2025-10-03","choices":[{"index":0,"message":{"role":"assistant","content":"Louis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7" t="inlineStr">
        <is>
          <t>Louis Vuitton, Accessories, kakobuy, kakebuy2026, kekobuysheet, kakobuysheet2026, 2026kakobuy, kakobuyspreadsheeet, kakobuylink, kakebuylist, Kakobuy MEGA Spreadsheet, kakobuysheetfind, kakobuysheetfind2026, 2026kakobuysheetfind, kakobuysheet2026</t>
        </is>
      </c>
      <c r="Q157" t="inlineStr">
        <is>
          <t>LV, Leather, Brown, Gold, Unisex, High End</t>
        </is>
      </c>
      <c r="R157" t="inlineStr">
        <is>
          <t>recvhju1CraZdY</t>
        </is>
      </c>
      <c r="S157" t="inlineStr">
        <is>
          <t>louis-vuitton-monogram-brown-leather-lv-buckle-belt-recvhju1crazy</t>
        </is>
      </c>
      <c r="T157"/>
      <c r="U157"/>
      <c r="V157"/>
      <c r="W157" t="inlineStr">
        <is>
          <t>{"id":"chatcmpl-DZRCNU6yWAX550lCMD2ewjT9AUpO9","object":"chat.completion","created":1777338403,"model":"gpt-5-chat-2025-10-03","choices":[{"index":0,"message":{"role":"assistant","content":"Louis Vuitton：Monogram棕色皮革腰带，饰以标志性LV金属扣，经典老花图案彰显奢华格调，优质牛皮材质手感细腻，时尚百搭男女皆宜，展现现代都市精英品味。","refusal":null,"annotations":[]},"logprobs":null,"finish_reason":"stop"}],"usage":{"prompt_tokens":1299,"completion_tokens":66,"total_tokens":1365,"prompt_tokens_details":{"cached_tokens":0,"audio_tokens":0},"completion_tokens_details":{"reasoning_tokens":0,"audio_tokens":0,"accepted_prediction_tokens":0,"rejected_prediction_tokens":0}},"service_tier":"default","system_fingerprint":"fp_ad66631dec"}</t>
        </is>
      </c>
      <c r="X157" t="inlineStr">
        <is>
          <t>Louis Vuitton：Monogram棕色皮革腰带，饰以标志性LV金属扣，经典老花图案彰显奢华格调，优质牛皮材质手感细腻，时尚百搭男女皆宜，展现现代都市精英品味。</t>
        </is>
      </c>
    </row>
    <row r="158" ht="25.5" customHeight="1">
      <c r="A158">
        <v>1654975475</v>
      </c>
      <c r="B158">
        <v>7620963699</v>
      </c>
      <c r="C158" s="2" t="str">
        <f>=HYPERLINK("https://weidian.com/item.html?itemID=7620963699", "https://weidian.com/item.html?itemID=7620963699")</f>
        <v>https://weidian.com/item.html?itemID=7620963699</v>
      </c>
      <c r="D158"/>
      <c r="E158" s="2" t="str">
        <f>=HYPERLINK("https://si.geilicdn.com/pcitem2014204438-6fe50000019ad886d4140a2301b4_1080_1080.jpg?w=640&amp;h=640", "https://si.geilicdn.com/pcitem2014204438-6fe50000019ad886d4140a2301b4_1080_1080.jpg?w=640&amp;h=640")</f>
        <v>https://si.geilicdn.com/pcitem2014204438-6fe50000019ad886d4140a2301b4_1080_1080.jpg?w=640&amp;h=640</v>
      </c>
      <c r="F158" t="inlineStr">
        <is>
          <t>Accessories</t>
        </is>
      </c>
      <c r="G158" t="inlineStr">
        <is>
          <t>Louis Vuitton</t>
        </is>
      </c>
      <c r="H158">
        <v>410</v>
      </c>
      <c r="I158">
        <v>59.42</v>
      </c>
      <c r="J158" t="inlineStr">
        <is>
          <t>{"id":"chatcmpl-DZSIh5OswyWsKiZWGC2qk4zSwuYiT","object":"chat.completion","created":1777342639,"model":"gpt-5-chat-2025-10-03","choices":[{"index":0,"message":{"role":"assistant","content":"Louis Vuitton Monogram Eclipse Men's Leather Belt","refusal":null,"annotations":[]},"logprobs":null,"finish_reason":"stop"}],"usage":{"prompt_tokens":863,"completion_tokens":9,"total_tokens":872,"prompt_tokens_details":{"cached_tokens":0,"audio_tokens":0},"completion_tokens_details":{"reasoning_tokens":0,"audio_tokens":0,"accepted_prediction_tokens":0,"rejected_prediction_tokens":0}},"service_tier":"default","system_fingerprint":"fp_ad66631dec"}</t>
        </is>
      </c>
      <c r="K158" t="inlineStr">
        <is>
          <t>Louis Vuitton Monogram Eclipse Men's Leather Belt</t>
        </is>
      </c>
      <c r="L158" t="inlineStr">
        <is>
          <t>{"id":"chatcmpl-DZRhgX7jLIXLpeeYERQUds4SnUTyk","object":"chat.completion","created":1777340344,"model":"gpt-5-chat-2025-10-03","choices":[{"index":0,"message":{"role":"assistant","content":"Louis Vuitton Monogram Eclipse men's belt in gray-black grained cowhide leather with signature LV buckle, modern minimalist style showcasing luxury elegance and timeless fashion.","refusal":null,"annotations":[]},"logprobs":null,"finish_reason":"stop"}],"usage":{"prompt_tokens":889,"completion_tokens":31,"total_tokens":920,"prompt_tokens_details":{"cached_tokens":0,"audio_tokens":0},"completion_tokens_details":{"reasoning_tokens":0,"audio_tokens":0,"accepted_prediction_tokens":0,"rejected_prediction_tokens":0}},"service_tier":"default","system_fingerprint":"fp_ad66631dec"}</t>
        </is>
      </c>
      <c r="M158" t="inlineStr">
        <is>
          <t>{"alt-svc":"h3=\":443\"; ma=2592000","apim-request-id":"41d5fd12-e6f7-473b-a753-180f57c4939d","azureml-model-session":"d20260402074105-51db401e","cache-control":"no-cache","connection":"close","content-length":"986","content-type":"application/json","date":"Tue, 28 Apr 2026 01:39:06 GMT","server":"nginx","skip-error-remapping":"true","strict-transport-security":"max-age=31536000; includeSubDomains; preload","via":"1.1 Caddy","x-content-type-options":"nosniff","x-ms-client-request-id":"Not-Set","x-ms-is-spilled-over":"false","x-ms-rai-invoked":"false","x-ms-region":"Sweden Central","x-new-api-version":"0.4.35","x-oneapi-request-id":"202604280139031161234618268d9d659s60afs","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4500b1ce-97b7-4e1a-bb90-ba2519b90972"}</t>
        </is>
      </c>
      <c r="N158" t="inlineStr">
        <is>
          <t>Louis Vuitton Monogram Eclipse men's belt in gray-black grained cowhide leather with signature LV buckle, modern minimalist style showcasing luxury elegance and timeless fashion.</t>
        </is>
      </c>
      <c r="O158" t="inlineStr">
        <is>
          <t>{"id":"chatcmpl-DZSW79QTtpD48YunXfWmjFwidlsQG","object":"chat.completion","created":1777343471,"model":"gpt-5-chat-2025-10-03","choices":[{"index":0,"message":{"role":"assistant","content":"Louis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8" t="inlineStr">
        <is>
          <t>Louis Vuitton, Accessories, kakobuy, kakebuy2026, kekobuysheet, kakobuysheet2026, 2026kakobuy, kakobuyspreadsheeet, kakobuylink, kakebuylist, Kakobuy MEGA Spreadsheet, kakobuysheetfind, kakobuysheetfind2026, 2026kakobuysheetfind, kakobuysheet2026</t>
        </is>
      </c>
      <c r="Q158" t="inlineStr">
        <is>
          <t>LV, Cowhide, Cow Leather, Minimalist, Modern, Men</t>
        </is>
      </c>
      <c r="R158" t="inlineStr">
        <is>
          <t>recvhju1Crbyg9</t>
        </is>
      </c>
      <c r="S158" t="inlineStr">
        <is>
          <t>louis-vuitton-monogram-eclipse-leather-belt-recvhju1crbyg9</t>
        </is>
      </c>
      <c r="T158"/>
      <c r="U158"/>
      <c r="V158"/>
      <c r="W158" t="inlineStr">
        <is>
          <t>{"id":"chatcmpl-DZR64In47LHvR5hkuUFbz2hV0BZPv","object":"chat.completion","created":1777338012,"model":"gpt-5-chat-2025-10-03","choices":[{"index":0,"message":{"role":"assistant","content":"Louis Vuitton：经典Monogram Eclipse灰黑配色男士皮带，粒面牛皮材质搭配金属LV字母扣，现代简约风格演绎优雅品味，彰显时尚格调与质感。","refusal":null,"annotations":[]},"logprobs":null,"finish_reason":"stop"}],"usage":{"prompt_tokens":1301,"completion_tokens":55,"total_tokens":1356,"prompt_tokens_details":{"cached_tokens":0,"audio_tokens":0},"completion_tokens_details":{"reasoning_tokens":0,"audio_tokens":0,"accepted_prediction_tokens":0,"rejected_prediction_tokens":0}},"service_tier":"default","system_fingerprint":"fp_ad66631dec"}</t>
        </is>
      </c>
      <c r="X158" t="inlineStr">
        <is>
          <t>Louis Vuitton：经典Monogram Eclipse灰黑配色男士皮带，粒面牛皮材质搭配金属LV字母扣，现代简约风格演绎优雅品味，彰显时尚格调与质感。</t>
        </is>
      </c>
    </row>
    <row r="159" ht="25.5" customHeight="1">
      <c r="A159">
        <v>1654975475</v>
      </c>
      <c r="B159">
        <v>7620872755</v>
      </c>
      <c r="C159" s="2" t="str">
        <f>=HYPERLINK("https://weidian.com/item.html?itemID=7620872755", "https://weidian.com/item.html?itemID=7620872755")</f>
        <v>https://weidian.com/item.html?itemID=7620872755</v>
      </c>
      <c r="D159"/>
      <c r="E159" s="2" t="str">
        <f>=HYPERLINK("https://si.geilicdn.com/pcitem2014204438-69a10000019ad888b0050a8134f0_1074_1074.jpg?w=640&amp;h=640", "https://si.geilicdn.com/pcitem2014204438-69a10000019ad888b0050a8134f0_1074_1074.jpg?w=640&amp;h=640")</f>
        <v>https://si.geilicdn.com/pcitem2014204438-69a10000019ad888b0050a8134f0_1074_1074.jpg?w=640&amp;h=640</v>
      </c>
      <c r="F159" t="inlineStr">
        <is>
          <t>Accessories</t>
        </is>
      </c>
      <c r="G159" t="inlineStr">
        <is>
          <t>Versace</t>
        </is>
      </c>
      <c r="H159">
        <v>460</v>
      </c>
      <c r="I159">
        <v>66.67</v>
      </c>
      <c r="J159" t="inlineStr">
        <is>
          <t>{"id":"chatcmpl-DZSJrPb1PINhfNWAneSkRaLbQ2Yvl","object":"chat.completion","created":1777342711,"model":"gpt-5-chat-2025-10-03","choices":[{"index":0,"message":{"role":"assistant","content":"Versace Black Leather Belt Gold Buckle Men","refusal":null,"annotations":[]},"logprobs":null,"finish_reason":"stop"}],"usage":{"prompt_tokens":865,"completion_tokens":10,"total_tokens":875,"prompt_tokens_details":{"cached_tokens":0,"audio_tokens":0},"completion_tokens_details":{"reasoning_tokens":0,"audio_tokens":0,"accepted_prediction_tokens":0,"rejected_prediction_tokens":0}},"service_tier":"default","system_fingerprint":"fp_ad66631dec"}</t>
        </is>
      </c>
      <c r="K159" t="inlineStr">
        <is>
          <t>Versace Black Leather Belt Gold Buckle Men</t>
        </is>
      </c>
      <c r="L159" t="inlineStr">
        <is>
          <t>{"id":"chatcmpl-DZRdcX6mT7JH4yZMVqPBUUKlAzEiM","object":"chat.completion","created":1777340092,"model":"gpt-5-chat-2025-10-03","choices":[{"index":0,"message":{"role":"assistant","content":"Versace Black Leather Belt with Gold Geometric Double G Buckle, elegant Italian design for men, perfect for business or casual wear, luxury fashion accessory.","refusal":null,"annotations":[]},"logprobs":null,"finish_reason":"stop"}],"usage":{"prompt_tokens":882,"completion_tokens":32,"total_tokens":914,"prompt_tokens_details":{"cached_tokens":0,"audio_tokens":0},"completion_tokens_details":{"reasoning_tokens":0,"audio_tokens":0,"accepted_prediction_tokens":0,"rejected_prediction_tokens":0}},"service_tier":"default","system_fingerprint":"fp_ad66631dec"}</t>
        </is>
      </c>
      <c r="M159" t="inlineStr">
        <is>
          <t>{"alt-svc":"h3=\":443\"; ma=2592000","apim-request-id":"3d9ed936-ba60-4278-bfec-dc738d81ff36","azureml-model-session":"d20260405221325-2e8d5e76","cache-control":"no-cache","connection":"close","content-length":"966","content-type":"application/json","date":"Tue, 28 Apr 2026 01:34:54 GMT","server":"nginx","skip-error-remapping":"true","strict-transport-security":"max-age=31536000; includeSubDomains; preload","via":"1.1 Caddy","x-content-type-options":"nosniff","x-ms-client-request-id":"Not-Set","x-ms-is-spilled-over":"false","x-ms-rai-invoked":"false","x-ms-region":"Sweden Central","x-new-api-version":"0.4.35","x-oneapi-request-id":"20260428013451665975058268d9d6cDRj4tvT","x-ratelimit-abusepenalty-active":"False","x-ratelimit-key":"gpt-5-chat-global","x-ratelimit-limit-requests":"1000","x-ratelimit-limit-tokens":"1000000","x-ratelimit-remaining-requests":"999","x-ratelimit-remaining-tokens":"998356","x-ratelimit-renewalperiod-requests":"60","x-ratelimit-renewalperiod-tokens":"60","x-ratelimit-reset-requests":"60","x-ratelimit-reset-tokens":"98","x-request-id":"248a2dcf-f545-45a8-81bb-74502ef81254"}</t>
        </is>
      </c>
      <c r="N159" t="inlineStr">
        <is>
          <t>Versace Black Leather Belt with Gold Geometric Double G Buckle, elegant Italian design for men, perfect for business or casual wear, luxury fashion accessory.</t>
        </is>
      </c>
      <c r="O159" t="inlineStr">
        <is>
          <t>{"id":"chatcmpl-DZSYIupTKLln0ZwfQCogwkrnOduea","object":"chat.completion","created":1777343606,"model":"gpt-5-chat-2025-10-03","choices":[{"index":0,"message":{"role":"assistant","content":"Versace,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59" t="inlineStr">
        <is>
          <t>Versace,Accessories,kakobuy,kakebuy2026,kekobuysheet,kakobuysheet2026,2026kakobuy,kakobuyspreadsheeet,kakobuylink,kakebuylist,Kakobuy MEGA Spreadsheet,kakobuysheetfind,kakobuysheetfind2026,2026kakobuysheetfind,kakobuysheet2026</t>
        </is>
      </c>
      <c r="Q159"/>
      <c r="R159" t="inlineStr">
        <is>
          <t>recvhju1Crej7y</t>
        </is>
      </c>
      <c r="S159" t="inlineStr">
        <is>
          <t>versace-black-leather-belt-gold-buckle-men-recvhju1crej7y</t>
        </is>
      </c>
      <c r="T159"/>
      <c r="U159"/>
      <c r="V159"/>
      <c r="W159" t="inlineStr">
        <is>
          <t>{"id":"chatcmpl-DZR9mSdNwqlCpb7J4ZEPpV8SNZXIY","object":"chat.completion","created":1777338242,"model":"gpt-5-chat-2025-10-03","choices":[{"index":0,"message":{"role":"assistant","content":"Versace：黑色真皮腰带，金色几何双G扣设计，优雅奢华质感，彰显意式简约男士格调，适合商务与休闲穿搭。","refusal":null,"annotations":[]},"logprobs":null,"finish_reason":"stop"}],"usage":{"prompt_tokens":1301,"completion_tokens":48,"total_tokens":1349,"prompt_tokens_details":{"cached_tokens":1280,"audio_tokens":0},"completion_tokens_details":{"reasoning_tokens":0,"audio_tokens":0,"accepted_prediction_tokens":0,"rejected_prediction_tokens":0}},"service_tier":"default","system_fingerprint":"fp_ad66631dec"}</t>
        </is>
      </c>
      <c r="X159" t="inlineStr">
        <is>
          <t>Versace：黑色真皮腰带，金色几何双G扣设计，优雅奢华质感，彰显意式简约男士格调，适合商务与休闲穿搭。</t>
        </is>
      </c>
    </row>
    <row r="160" ht="25.5" customHeight="1">
      <c r="A160">
        <v>1654975475</v>
      </c>
      <c r="B160">
        <v>7620906335</v>
      </c>
      <c r="C160" s="2" t="str">
        <f>=HYPERLINK("https://weidian.com/item.html?itemID=7620906335", "https://weidian.com/item.html?itemID=7620906335")</f>
        <v>https://weidian.com/item.html?itemID=7620906335</v>
      </c>
      <c r="D160"/>
      <c r="E160" s="2" t="str">
        <f>=HYPERLINK("https://si.geilicdn.com/pcitem2014204438-5f560000019ad88a7de80a231177_1440_1920.jpg?w=640&amp;h=640", "https://si.geilicdn.com/pcitem2014204438-5f560000019ad88a7de80a231177_1440_1920.jpg?w=640&amp;h=640")</f>
        <v>https://si.geilicdn.com/pcitem2014204438-5f560000019ad88a7de80a231177_1440_1920.jpg?w=640&amp;h=640</v>
      </c>
      <c r="F160" t="inlineStr">
        <is>
          <t>Accessories</t>
        </is>
      </c>
      <c r="G160" t="inlineStr">
        <is>
          <t>Louis Vuitton</t>
        </is>
      </c>
      <c r="H160">
        <v>480</v>
      </c>
      <c r="I160">
        <v>69.5797101449275</v>
      </c>
      <c r="J160" t="inlineStr">
        <is>
          <t>{"id":"chatcmpl-DZSKRjRXgjPPEUMgaEyyKj947p4w7","object":"chat.completion","created":1777342747,"model":"gpt-5-chat-2025-10-03","choices":[{"index":0,"message":{"role":"assistant","content":"Louis Vuitton Multicolor White Leather LV Belt","refusal":null,"annotations":[]},"logprobs":null,"finish_reason":"stop"}],"usage":{"prompt_tokens":881,"completion_tokens":9,"total_tokens":890,"prompt_tokens_details":{"cached_tokens":0,"audio_tokens":0},"completion_tokens_details":{"reasoning_tokens":0,"audio_tokens":0,"accepted_prediction_tokens":0,"rejected_prediction_tokens":0}},"service_tier":"default","system_fingerprint":"fp_ad66631dec"}</t>
        </is>
      </c>
      <c r="K160" t="inlineStr">
        <is>
          <t>Louis Vuitton Multicolor White Leather LV Belt</t>
        </is>
      </c>
      <c r="L160" t="inlineStr">
        <is>
          <t>{"id":"chatcmpl-DZRhtMMu85fNPqX90oZUUTBvqd8AW","object":"chat.completion","created":1777340357,"model":"gpt-5-chat-2025-10-03","choices":[{"index":0,"message":{"role":"assistant","content":"Louis Vuitton Monogram Multicolor White Leather Belt with Iconic LV Logo and Gold Buckle, Unisex Design, Vintage Luxury Style, Showcasing Exquisite Craftsmanship and Contemporary Elegance.","refusal":null,"annotations":[]},"logprobs":null,"finish_reason":"stop"}],"usage":{"prompt_tokens":892,"completion_tokens":40,"total_tokens":932,"prompt_tokens_details":{"cached_tokens":0,"audio_tokens":0},"completion_tokens_details":{"reasoning_tokens":0,"audio_tokens":0,"accepted_prediction_tokens":0,"rejected_prediction_tokens":0}},"service_tier":"default","system_fingerprint":"fp_ad66631dec"}</t>
        </is>
      </c>
      <c r="M160" t="inlineStr">
        <is>
          <t>{"alt-svc":"h3=\":443\"; ma=2592000","apim-request-id":"554d7f55-e27e-4301-9a49-60a84cf283c2","azureml-model-session":"d20260405221325-2e8d5e76","cache-control":"no-cache","connection":"close","content-length":"996","content-type":"application/json","date":"Tue, 28 Apr 2026 01:39:18 GMT","server":"Caddy","skip-error-remapping":"true","strict-transport-security":"max-age=31536000; includeSubDomains; preload","x-content-type-options":"nosniff","x-ms-client-request-id":"Not-Set","x-ms-is-spilled-over":"false","x-ms-rai-invoked":"false","x-ms-region":"North Central US","x-new-api-version":"0.4.35","x-oneapi-request-id":"202604280139163876775498268d9d6uKrq9EYJ","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e607c8f2-8145-4165-a174-16f0fc7d64fd"}</t>
        </is>
      </c>
      <c r="N160" t="inlineStr">
        <is>
          <t>Louis Vuitton Monogram Multicolor White Leather Belt with Iconic LV Logo and Gold Buckle, Unisex Design, Vintage Luxury Style, Showcasing Exquisite Craftsmanship and Contemporary Elegance.</t>
        </is>
      </c>
      <c r="O160" t="inlineStr">
        <is>
          <t>{"id":"chatcmpl-DZSW2eUrPQ3U19UVARDCg5a7XMKsC","object":"chat.completion","created":1777343466,"model":"gpt-5-chat-2025-10-03","choices":[{"index":0,"message":{"role":"assistant","content":"Louis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0" t="inlineStr">
        <is>
          <t>Louis Vuitton, belt, kakobuy, kakebuy2026, kekobuysheet, kakobuysheet2026, 2026kakobuy, kakobuyspreadsheeet, kakobuylink, kakebuylist, Kakobuy MEGA Spreadsheet, kakobuysheetfind, kakobuysheetfind2026, 2026kakobuysheetfind, kakobuysheet2026</t>
        </is>
      </c>
      <c r="Q160" t="inlineStr">
        <is>
          <t>LV, Leather, White, Gold, Vintage, Unisex</t>
        </is>
      </c>
      <c r="R160" t="inlineStr">
        <is>
          <t>recvhju1CrzsCC</t>
        </is>
      </c>
      <c r="S160" t="inlineStr">
        <is>
          <t>louis-vuitton-multicolor-white-leather-lv-belt-recvhju1crzscc</t>
        </is>
      </c>
      <c r="T160"/>
      <c r="U160"/>
      <c r="V160"/>
      <c r="W160" t="inlineStr">
        <is>
          <t>{"id":"chatcmpl-DZRBlPnxq5Fu7deWKlNkWi9VkS2b7","object":"chat.completion","created":1777338365,"model":"gpt-5-chat-2025-10-03","choices":[{"index":0,"message":{"role":"assistant","content":"Louis Vuitton：Monogram Multicolor 白色皮革腰带，经典LV字母Logo图腾，金属扣设计，彰显时尚格调，男女皆宜，复古奢华风格，尽显品牌高端工艺与现代魅力。","refusal":null,"annotations":[]},"logprobs":null,"finish_reason":"stop"}],"usage":{"prompt_tokens":1299,"completion_tokens":59,"total_tokens":1358,"prompt_tokens_details":{"cached_tokens":0,"audio_tokens":0},"completion_tokens_details":{"reasoning_tokens":0,"audio_tokens":0,"accepted_prediction_tokens":0,"rejected_prediction_tokens":0}},"service_tier":"default","system_fingerprint":"fp_ad66631dec"}</t>
        </is>
      </c>
      <c r="X160" t="inlineStr">
        <is>
          <t>Louis Vuitton：Monogram Multicolor 白色皮革腰带，经典LV字母Logo图腾，金属扣设计，彰显时尚格调，男女皆宜，复古奢华风格，尽显品牌高端工艺与现代魅力。</t>
        </is>
      </c>
    </row>
    <row r="161" ht="25.5" customHeight="1">
      <c r="A161">
        <v>1654975475</v>
      </c>
      <c r="B161">
        <v>7620829571</v>
      </c>
      <c r="C161" s="2" t="str">
        <f>=HYPERLINK("https://weidian.com/item.html?itemID=7620829571", "https://weidian.com/item.html?itemID=7620829571")</f>
        <v>https://weidian.com/item.html?itemID=7620829571</v>
      </c>
      <c r="D161"/>
      <c r="E161" s="2" t="str">
        <f>=HYPERLINK("https://si.geilicdn.com/pcitem2014204438-624d0000019ad87084f20a8134f0_1080_1080.jpg?w=640&amp;h=640", "https://si.geilicdn.com/pcitem2014204438-624d0000019ad87084f20a8134f0_1080_1080.jpg?w=640&amp;h=640")</f>
        <v>https://si.geilicdn.com/pcitem2014204438-624d0000019ad87084f20a8134f0_1080_1080.jpg?w=640&amp;h=640</v>
      </c>
      <c r="F161" t="inlineStr">
        <is>
          <t>Accessories</t>
        </is>
      </c>
      <c r="G161" t="inlineStr">
        <is>
          <t>Louis Vuitton</t>
        </is>
      </c>
      <c r="H161">
        <v>580</v>
      </c>
      <c r="I161">
        <v>84.06</v>
      </c>
      <c r="J161" t="inlineStr">
        <is>
          <t>{"id":"chatcmpl-DZSJQwGhTaVwVdvbHCeR6kSSvtD42","object":"chat.completion","created":1777342684,"model":"gpt-5-chat-2025-10-03","choices":[{"index":0,"message":{"role":"assistant","content":"Louis Vuitton Monogram Brown Leather Clutch Bag","refusal":null,"annotations":[]},"logprobs":null,"finish_reason":"stop"}],"usage":{"prompt_tokens":865,"completion_tokens":10,"total_tokens":875,"prompt_tokens_details":{"cached_tokens":0,"audio_tokens":0},"completion_tokens_details":{"reasoning_tokens":0,"audio_tokens":0,"accepted_prediction_tokens":0,"rejected_prediction_tokens":0}},"service_tier":"default","system_fingerprint":"fp_ad66631dec"}</t>
        </is>
      </c>
      <c r="K161" t="inlineStr">
        <is>
          <t>Louis Vuitton Monogram Brown Leather Clutch Bag</t>
        </is>
      </c>
      <c r="L161" t="inlineStr">
        <is>
          <t>{"id":"chatcmpl-DZRd9hVeRhsYRDrfzDik23rpYlSS2","object":"chat.completion","created":1777340063,"model":"gpt-5-chat-2025-10-03","choices":[{"index":0,"message":{"role":"assistant","content":"Louis Vuitton Monogram Brown Clutch Bag crafted from premium leather with classic LV pattern, zip closure, and detachable wrist strap for elegant daily or casual use.","refusal":null,"annotations":[]},"logprobs":null,"finish_reason":"stop"}],"usage":{"prompt_tokens":898,"completion_tokens":32,"total_tokens":930,"prompt_tokens_details":{"cached_tokens":0,"audio_tokens":0},"completion_tokens_details":{"reasoning_tokens":0,"audio_tokens":0,"accepted_prediction_tokens":0,"rejected_prediction_tokens":0}},"service_tier":"default","system_fingerprint":"fp_ad66631dec"}</t>
        </is>
      </c>
      <c r="M161" t="inlineStr">
        <is>
          <t>{"alt-svc":"h3=\":443\"; ma=2592000","apim-request-id":"97f93618-6e69-4d13-960f-09549ced9433","azureml-model-session":"d20260405221325-2e8d5e76","cache-control":"no-cache","connection":"close","content-length":"974","content-type":"application/json","date":"Tue, 28 Apr 2026 01:34:24 GMT","server":"nginx","skip-error-remapping":"true","strict-transport-security":"max-age=31536000; includeSubDomains; preload","via":"1.1 Caddy","x-content-type-options":"nosniff","x-ms-client-request-id":"Not-Set","x-ms-is-spilled-over":"false","x-ms-rai-invoked":"false","x-ms-region":"Poland Central","x-new-api-version":"0.4.35","x-oneapi-request-id":"202604280134223389669258268d9d6gEYksCHS","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f581fed4-df72-4cf9-9331-693786007ebf"}</t>
        </is>
      </c>
      <c r="N161" t="inlineStr">
        <is>
          <t>Louis Vuitton Monogram Brown Clutch Bag crafted from premium leather with classic LV pattern, zip closure, and detachable wrist strap for elegant daily or casual use.</t>
        </is>
      </c>
      <c r="O161" t="inlineStr">
        <is>
          <t>{"id":"chatcmpl-DZSa5pR6IPQyOGpAW5aYym4AX8saW","object":"chat.completion","created":1777343717,"model":"gpt-5-chat-2025-10-03","choices":[{"index":0,"message":{"role":"assistant","content":"Louis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1" t="inlineStr">
        <is>
          <t>Louis Vuitton,Accessories,kakobuy,kakebuy2026,kekobuysheet,kakobuysheet2026,2026kakobuy,kakobuyspreadsheeet,kakobuylink,kakebuylist,Kakobuy MEGA Spreadsheet,kakobuysheetfind,kakobuysheetfind2026,2026kakobuysheetfind,kakobuysheet2026</t>
        </is>
      </c>
      <c r="Q161" t="inlineStr">
        <is>
          <t>LV, Leather, Brown, Elegant</t>
        </is>
      </c>
      <c r="R161" t="inlineStr">
        <is>
          <t>recvhju1CrY4SR</t>
        </is>
      </c>
      <c r="S161" t="inlineStr">
        <is>
          <t>louis-vuitton-monogram-brown-leather-clutch-recvhju1cry4sr</t>
        </is>
      </c>
      <c r="T161"/>
      <c r="U161"/>
      <c r="V161"/>
      <c r="W161" t="inlineStr">
        <is>
          <t>{"id":"chatcmpl-DZRCmaUUF8pkZIdkMoJ4LmiCpn6vP","object":"chat.completion","created":1777338428,"model":"gpt-5-chat-2025-10-03","choices":[{"index":0,"message":{"role":"assistant","content":"Louis Vuitton：Monogram棕色手包，采用经典老花图案与优质牛皮材质打造，时尚简约设计，配拉链收口与可拆卸腕带，彰显轻奢格调，适合男女通勤与休闲场合。","refusal":null,"annotations":[]},"logprobs":null,"finish_reason":"stop"}],"usage":{"prompt_tokens":1301,"completion_tokens":64,"total_tokens":1365,"prompt_tokens_details":{"cached_tokens":0,"audio_tokens":0},"completion_tokens_details":{"reasoning_tokens":0,"audio_tokens":0,"accepted_prediction_tokens":0,"rejected_prediction_tokens":0}},"service_tier":"default","system_fingerprint":"fp_ad66631dec"}</t>
        </is>
      </c>
      <c r="X161" t="inlineStr">
        <is>
          <t>Louis Vuitton：Monogram棕色手包，采用经典老花图案与优质牛皮材质打造，时尚简约设计，配拉链收口与可拆卸腕带，彰显轻奢格调，适合男女通勤与休闲场合。</t>
        </is>
      </c>
    </row>
    <row r="162" ht="25.5" customHeight="1">
      <c r="A162">
        <v>1654975475</v>
      </c>
      <c r="B162">
        <v>7620878229</v>
      </c>
      <c r="C162" s="2" t="str">
        <f>=HYPERLINK("https://weidian.com/item.html?itemID=7620878229", "https://weidian.com/item.html?itemID=7620878229")</f>
        <v>https://weidian.com/item.html?itemID=7620878229</v>
      </c>
      <c r="D162"/>
      <c r="E162" s="2" t="str">
        <f>=HYPERLINK("https://si.geilicdn.com/pcitem2014204438-2f120000019ad86eb84e0a231316_1440_1920.jpg?w=640&amp;h=640", "https://si.geilicdn.com/pcitem2014204438-2f120000019ad86eb84e0a231316_1440_1920.jpg?w=640&amp;h=640")</f>
        <v>https://si.geilicdn.com/pcitem2014204438-2f120000019ad86eb84e0a231316_1440_1920.jpg?w=640&amp;h=640</v>
      </c>
      <c r="F162" t="inlineStr">
        <is>
          <t>Accessories</t>
        </is>
      </c>
      <c r="G162" t="inlineStr">
        <is>
          <t>Ermenegildo Zegna</t>
        </is>
      </c>
      <c r="H162">
        <v>502</v>
      </c>
      <c r="I162">
        <v>72.75</v>
      </c>
      <c r="J162" t="inlineStr">
        <is>
          <t>{"id":"chatcmpl-DZSM4n08Ppp89EQGp9BvuU3ETfMTq","object":"chat.completion","created":1777342848,"model":"gpt-5-chat-2025-10-03","choices":[{"index":0,"message":{"role":"assistant","content":"Ermenegildo Zegna Black Braided Leather Belt","refusal":null,"annotations":[]},"logprobs":null,"finish_reason":"stop"}],"usage":{"prompt_tokens":883,"completion_tokens":12,"total_tokens":895,"prompt_tokens_details":{"cached_tokens":0,"audio_tokens":0},"completion_tokens_details":{"reasoning_tokens":0,"audio_tokens":0,"accepted_prediction_tokens":0,"rejected_prediction_tokens":0}},"service_tier":"default","system_fingerprint":"fp_ad66631dec"}</t>
        </is>
      </c>
      <c r="K162" t="inlineStr">
        <is>
          <t>Ermenegildo Zegna Black Braided Leather Belt</t>
        </is>
      </c>
      <c r="L162" t="inlineStr">
        <is>
          <t>{"id":"chatcmpl-DZRf4pueKVzNQh4apF4Dxka5HJvKB","object":"chat.completion","created":1777340182,"model":"gpt-5-chat-2025-10-03","choices":[{"index":0,"message":{"role":"assistant","content":"Ermenegildo Zegna black braided leather belt crafted from premium elastic fabric and genuine leather, featuring a sleek metal buckle for a refined Italian gentleman style—ideal for business or casual wear.","refusal":null,"annotations":[]},"logprobs":null,"finish_reason":"stop"}],"usage":{"prompt_tokens":902,"completion_tokens":39,"total_tokens":941,"prompt_tokens_details":{"cached_tokens":0,"audio_tokens":0},"completion_tokens_details":{"reasoning_tokens":0,"audio_tokens":0,"accepted_prediction_tokens":0,"rejected_prediction_tokens":0}},"service_tier":"default","system_fingerprint":"fp_ad66631dec"}</t>
        </is>
      </c>
      <c r="M162" t="inlineStr">
        <is>
          <t>{"alt-svc":"h3=\":443\"; ma=2592000","apim-request-id":"68205450-c8ee-42ce-8de5-d5ddd6f980b3","azureml-model-session":"d20260402074105-51db401e","cache-control":"no-cache","connection":"close","content-length":"1015","content-type":"application/json","date":"Tue, 28 Apr 2026 01:36:23 GMT","server":"nginx","skip-error-remapping":"true","strict-transport-security":"max-age=31536000; includeSubDomains; preload","via":"1.1 Caddy","x-content-type-options":"nosniff","x-ms-client-request-id":"Not-Set","x-ms-is-spilled-over":"false","x-ms-rai-invoked":"false","x-ms-region":"East US 2","x-new-api-version":"0.4.35","x-oneapi-request-id":"202604280136211321798988268d9d6hLoANCkV","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70198200-c6d9-4607-abfb-b938f34f7314"}</t>
        </is>
      </c>
      <c r="N162" t="inlineStr">
        <is>
          <t>Ermenegildo Zegna black braided leather belt crafted from premium elastic fabric and genuine leather, featuring a sleek metal buckle for a refined Italian gentleman style—ideal for business or casual wear.</t>
        </is>
      </c>
      <c r="O162" t="inlineStr">
        <is>
          <t>{"id":"chatcmpl-DZSZFfwKQI8RPxIqTZIBuH3yHYhgA","object":"chat.completion","created":1777343665,"model":"gpt-5-chat-2025-10-03","choices":[{"index":0,"message":{"role":"assistant","content":"Ermenegildo Zegna,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95,"total_tokens":881,"prompt_tokens_details":{"cached_tokens":0,"audio_tokens":0},"completion_tokens_details":{"reasoning_tokens":0,"audio_tokens":0,"accepted_prediction_tokens":0,"rejected_prediction_tokens":0}},"service_tier":"default","system_fingerprint":"fp_ad66631dec"}</t>
        </is>
      </c>
      <c r="P162" t="inlineStr">
        <is>
          <t>Ermenegildo Zegna, Accessories, kakobuy, kakebuy2026, kekobuysheet, kakobuysheet2026, 2026kakobuy, kakobuyspreadsheeet, kakobuylink, kakebuylist, Kakobuy MEGA Spreadsheet, kakobuysheetfind, kakobuysheetfind2026, 2026kakobuysheetfind, kakobuysheet2026</t>
        </is>
      </c>
      <c r="Q162" t="inlineStr">
        <is>
          <t>Black, Genuine Leather, Elastic, Business, Leather</t>
        </is>
      </c>
      <c r="R162" t="inlineStr">
        <is>
          <t>recvhju1CrJxxC</t>
        </is>
      </c>
      <c r="S162" t="inlineStr">
        <is>
          <t>zegna-black-braided-leather-belt-recvhju1crjxxc</t>
        </is>
      </c>
      <c r="T162"/>
      <c r="U162"/>
      <c r="V162"/>
      <c r="W162" t="inlineStr">
        <is>
          <t>{"id":"chatcmpl-DZRDt2knThZSenIf4dzN04W6mPgOB","object":"chat.completion","created":1777338497,"model":"gpt-5-chat-2025-10-03","choices":[{"index":0,"message":{"role":"assistant","content":"Ermenegildo Zegna黑色编织皮革腰带，甄选优质弹力织料与真皮拼接，配以金属扣头设计，简约优雅，展现意式绅士格调，适合男士商务与休闲穿搭。","refusal":null,"annotations":[]},"logprobs":null,"finish_reason":"stop"}],"usage":{"prompt_tokens":1307,"completion_tokens":65,"total_tokens":1372,"prompt_tokens_details":{"cached_tokens":0,"audio_tokens":0},"completion_tokens_details":{"reasoning_tokens":0,"audio_tokens":0,"accepted_prediction_tokens":0,"rejected_prediction_tokens":0}},"service_tier":"default","system_fingerprint":"fp_ad66631dec"}</t>
        </is>
      </c>
      <c r="X162" t="inlineStr">
        <is>
          <t>Ermenegildo Zegna黑色编织皮革腰带，甄选优质弹力织料与真皮拼接，配以金属扣头设计，简约优雅，展现意式绅士格调，适合男士商务与休闲穿搭。</t>
        </is>
      </c>
    </row>
    <row r="163" ht="25.5" customHeight="1">
      <c r="A163">
        <v>1654975475</v>
      </c>
      <c r="B163">
        <v>7623937732</v>
      </c>
      <c r="C163" s="2" t="str">
        <f>=HYPERLINK("https://weidian.com/item.html?itemID=7623937732", "https://weidian.com/item.html?itemID=7623937732")</f>
        <v>https://weidian.com/item.html?itemID=7623937732</v>
      </c>
      <c r="D163"/>
      <c r="E163" s="2" t="str">
        <f>=HYPERLINK("https://si.geilicdn.com/pcitem2014204438-6c620000019ad87e0df40a207569_1080_1080.jpg?w=640&amp;h=640", "https://si.geilicdn.com/pcitem2014204438-6c620000019ad87e0df40a207569_1080_1080.jpg?w=640&amp;h=640")</f>
        <v>https://si.geilicdn.com/pcitem2014204438-6c620000019ad87e0df40a207569_1080_1080.jpg?w=640&amp;h=640</v>
      </c>
      <c r="F163" t="inlineStr">
        <is>
          <t>Accessories</t>
        </is>
      </c>
      <c r="G163" t="inlineStr">
        <is>
          <t>Gucci</t>
        </is>
      </c>
      <c r="H163">
        <v>460</v>
      </c>
      <c r="I163">
        <v>66.67</v>
      </c>
      <c r="J163" t="inlineStr">
        <is>
          <t>{"id":"chatcmpl-DZSIT19OJ3dcTj0einHeBRagmKUdL","object":"chat.completion","created":1777342625,"model":"gpt-5-chat-2025-10-03","choices":[{"index":0,"message":{"role":"assistant","content":"Gucci Black Leather Belt Silver Double G Buckle","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63" t="inlineStr">
        <is>
          <t>Gucci Black Leather Belt Silver Double G Buckle</t>
        </is>
      </c>
      <c r="L163" t="inlineStr">
        <is>
          <t>{"id":"chatcmpl-DZRdicGPytBEx5zpX3U9tHzJ8xVx1","object":"chat.completion","created":1777340098,"model":"gpt-5-chat-2025-10-03","choices":[{"index":0,"message":{"role":"assistant","content":"Gucci Black Leather Belt with Silver Double G Buckle, crafted from premium Italian leather, featuring elegant texture and iconic design. Unisex luxury accessory for modern urban style.","refusal":null,"annotations":[]},"logprobs":null,"finish_reason":"stop"}],"usage":{"prompt_tokens":902,"completion_tokens":35,"total_tokens":937,"prompt_tokens_details":{"cached_tokens":0,"audio_tokens":0},"completion_tokens_details":{"reasoning_tokens":0,"audio_tokens":0,"accepted_prediction_tokens":0,"rejected_prediction_tokens":0}},"service_tier":"default","system_fingerprint":"fp_ad66631dec"}</t>
        </is>
      </c>
      <c r="M163" t="inlineStr">
        <is>
          <t>{"alt-svc":"h3=\":443\"; ma=2592000","apim-request-id":"823e93be-4ce6-411f-a302-9a6b640475ca","azureml-model-session":"d20260405234249-f9874baf","cache-control":"no-cache","connection":"close","content-length":"992","content-type":"application/json","date":"Tue, 28 Apr 2026 01:34:58 GMT","server":"nginx","skip-error-remapping":"true","strict-transport-security":"max-age=31536000; includeSubDomains; preload","via":"1.1 Caddy","x-content-type-options":"nosniff","x-ms-client-request-id":"Not-Set","x-ms-is-spilled-over":"false","x-ms-rai-invoked":"false","x-ms-region":"Central US","x-new-api-version":"0.4.35","x-oneapi-request-id":"202604280134567746251218268d9d6oE1g75TT","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74e48fd9-ee38-48a8-a3f5-9f2827ad0fdd"}</t>
        </is>
      </c>
      <c r="N163" t="inlineStr">
        <is>
          <t>Gucci Black Leather Belt with Silver Double G Buckle, crafted from premium Italian leather, featuring elegant texture and iconic design. Unisex luxury accessory for modern urban style.</t>
        </is>
      </c>
      <c r="O163" t="inlineStr">
        <is>
          <t>{"id":"chatcmpl-DZSXP6gFngIaG5Ecqelvy3YJ1kn5X","object":"chat.completion","created":1777343551,"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3" t="inlineStr">
        <is>
          <t>Gucci,Accessories,kakobuy,kakebuy2026,kekobuysheet,kakobuysheet2026,2026kakobuy,kakobuyspreadsheeet,kakobuylink,kakebuylist,Kakobuy MEGA Spreadsheet,kakobuysheetfind,kakobuysheetfind2026,2026kakobuysheetfind,kakobuysheet2026</t>
        </is>
      </c>
      <c r="Q163" t="inlineStr">
        <is>
          <t>Gucci Superstar, Black, Leather, Elegant, Unisex</t>
        </is>
      </c>
      <c r="R163" t="inlineStr">
        <is>
          <t>recvhju1CrWyGo</t>
        </is>
      </c>
      <c r="S163" t="inlineStr">
        <is>
          <t>gucci-black-leather-belt-silver-double-g-buckle-recvhju1crwygo</t>
        </is>
      </c>
      <c r="T163"/>
      <c r="U163"/>
      <c r="V163"/>
      <c r="W163" t="inlineStr">
        <is>
          <t>{"id":"chatcmpl-DZR95m61Oic69YJZCOOPss8PPlBEC","object":"chat.completion","created":1777338199,"model":"gpt-5-chat-2025-10-03","choices":[{"index":0,"message":{"role":"assistant","content":"Gucci：黑色真皮双G银扣腰带，甄选奢华皮革材质，精致纹理与标志性双G金属扣相映成辉，简约大气中彰显意式优雅，男女皆宜，适合现代都市时尚穿搭。","refusal":null,"annotations":[]},"logprobs":null,"finish_reason":"stop"}],"usage":{"prompt_tokens":1299,"completion_tokens":69,"total_tokens":1368,"prompt_tokens_details":{"cached_tokens":1280,"audio_tokens":0},"completion_tokens_details":{"reasoning_tokens":0,"audio_tokens":0,"accepted_prediction_tokens":0,"rejected_prediction_tokens":0}},"service_tier":"default","system_fingerprint":"fp_ad66631dec"}</t>
        </is>
      </c>
      <c r="X163" t="inlineStr">
        <is>
          <t>Gucci：黑色真皮双G银扣腰带，甄选奢华皮革材质，精致纹理与标志性双G金属扣相映成辉，简约大气中彰显意式优雅，男女皆宜，适合现代都市时尚穿搭。</t>
        </is>
      </c>
    </row>
    <row r="164" ht="25.5" customHeight="1">
      <c r="A164">
        <v>1654975475</v>
      </c>
      <c r="B164">
        <v>7623862250</v>
      </c>
      <c r="C164" s="2" t="str">
        <f>=HYPERLINK("https://weidian.com/item.html?itemID=7623862250", "https://weidian.com/item.html?itemID=7623862250")</f>
        <v>https://weidian.com/item.html?itemID=7623862250</v>
      </c>
      <c r="D164"/>
      <c r="E164" s="2" t="str">
        <f>=HYPERLINK("https://si.geilicdn.com/pcitem2014204438-71350000019ad88165e10a8133cc_2160_2880.jpg?w=640&amp;h=640", "https://si.geilicdn.com/pcitem2014204438-71350000019ad88165e10a8133cc_2160_2880.jpg?w=640&amp;h=640")</f>
        <v>https://si.geilicdn.com/pcitem2014204438-71350000019ad88165e10a8133cc_2160_2880.jpg?w=640&amp;h=640</v>
      </c>
      <c r="F164" t="inlineStr">
        <is>
          <t>Accessories</t>
        </is>
      </c>
      <c r="G164" t="inlineStr">
        <is>
          <t>Gucci</t>
        </is>
      </c>
      <c r="H164">
        <v>410</v>
      </c>
      <c r="I164">
        <v>59.42</v>
      </c>
      <c r="J164" t="inlineStr">
        <is>
          <t>{"id":"chatcmpl-DZSJkWF0woU0jpLpJAZRwLY7aKhJ0","object":"chat.completion","created":1777342704,"model":"gpt-5-chat-2025-10-03","choices":[{"index":0,"message":{"role":"assistant","content":"Gucci Black Leather Double Buckle Belt 3.8cm","refusal":null,"annotations":[]},"logprobs":null,"finish_reason":"stop"}],"usage":{"prompt_tokens":887,"completion_tokens":14,"total_tokens":901,"prompt_tokens_details":{"cached_tokens":0,"audio_tokens":0},"completion_tokens_details":{"reasoning_tokens":0,"audio_tokens":0,"accepted_prediction_tokens":0,"rejected_prediction_tokens":0}},"service_tier":"default","system_fingerprint":"fp_ad66631dec"}</t>
        </is>
      </c>
      <c r="K164" t="inlineStr">
        <is>
          <t>Gucci Black Leather Double Buckle Belt 3.8cm</t>
        </is>
      </c>
      <c r="L164" t="inlineStr">
        <is>
          <t>{"id":"chatcmpl-DZRdCvlLAenffyESkROyDy64ccRkH","object":"chat.completion","created":1777340066,"model":"gpt-5-chat-2025-10-03","choices":[{"index":0,"message":{"role":"assistant","content":"Gucci Classic Black Leather Double-Buckle Belt, 3.8cm wide, features glossy texture with gold and silver G logo buckles, perfect for both business and casual looks, showcasing Italian luxury style.","refusal":null,"annotations":[]},"logprobs":null,"finish_reason":"stop"}],"usage":{"prompt_tokens":887,"completion_tokens":43,"total_tokens":930,"prompt_tokens_details":{"cached_tokens":0,"audio_tokens":0},"completion_tokens_details":{"reasoning_tokens":0,"audio_tokens":0,"accepted_prediction_tokens":0,"rejected_prediction_tokens":0}},"service_tier":"default","system_fingerprint":"fp_ad66631dec"}</t>
        </is>
      </c>
      <c r="M164" t="inlineStr">
        <is>
          <t>{"alt-svc":"h3=\":443\"; ma=2592000","apim-request-id":"7254648c-103d-45e8-a5ba-d560287ad626","azureml-model-session":"d20260402074105-51db401e","cache-control":"no-cache","connection":"close","content-length":"1005","content-type":"application/json","date":"Tue, 28 Apr 2026 01:34:28 GMT","server":"nginx","skip-error-remapping":"true","strict-transport-security":"max-age=31536000; includeSubDomains; preload","via":"1.1 Caddy","x-content-type-options":"nosniff","x-ms-client-request-id":"Not-Set","x-ms-is-spilled-over":"false","x-ms-rai-invoked":"false","x-ms-region":"Sweden Central","x-new-api-version":"0.4.35","x-oneapi-request-id":"202604280134251346133468268d9d6PkBhcVci","x-ratelimit-abusepenalty-active":"False","x-ratelimit-key":"gpt-5-chat-global","x-ratelimit-limit-requests":"1000","x-ratelimit-limit-tokens":"1000000","x-ratelimit-remaining-requests":"999","x-ratelimit-remaining-tokens":"998077","x-ratelimit-renewalperiod-requests":"60","x-ratelimit-renewalperiod-tokens":"60","x-ratelimit-reset-requests":"90","x-ratelimit-reset-tokens":"115","x-request-id":"2e358c87-f0e3-4b20-9614-7e8ec7a2847c"}</t>
        </is>
      </c>
      <c r="N164" t="inlineStr">
        <is>
          <t>Gucci Classic Black Leather Double-Buckle Belt, 3.8cm wide, features glossy texture with gold and silver G logo buckles, perfect for both business and casual looks, showcasing Italian luxury style.</t>
        </is>
      </c>
      <c r="O164" t="inlineStr">
        <is>
          <t>{"id":"chatcmpl-DZSauGxxQcWeRxc3AIvQ7kEfImSCq","object":"chat.completion","created":1777343768,"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4" t="inlineStr">
        <is>
          <t>Gucci,Accessories,kakobuy,kakebuy2026,kekobuysheet,kakobuysheet2026,2026kakobuy,kakobuyspreadsheeet,kakobuylink,kakebuylist,Kakobuy MEGA Spreadsheet,kakobuysheetfind,kakobuysheetfind2026,2026kakobuysheetfind,kakobuysheet2026</t>
        </is>
      </c>
      <c r="Q164" t="inlineStr">
        <is>
          <t>Leather, Black, Gold, Business</t>
        </is>
      </c>
      <c r="R164" t="inlineStr">
        <is>
          <t>recvhju1Cr1eao</t>
        </is>
      </c>
      <c r="S164" t="inlineStr">
        <is>
          <t>gucci-black-leather-double-buckle-belt-38cm-recvhju1cr1eao</t>
        </is>
      </c>
      <c r="T164"/>
      <c r="U164"/>
      <c r="V164"/>
      <c r="W164" t="inlineStr">
        <is>
          <t>{"id":"chatcmpl-DZRB3sBtNjoaNOD5iPLsAq6F2VbcO","object":"chat.completion","created":1777338321,"model":"gpt-5-chat-2025-10-03","choices":[{"index":0,"message":{"role":"assistant","content":"Gucci：经典黑色牛皮双扣腰带，光泽质感搭配金银G字标志扣头，3.8cm宽滑道设计，商务与休闲兼具，彰显意式奢华格调。","refusal":null,"annotations":[]},"logprobs":null,"finish_reason":"stop"}],"usage":{"prompt_tokens":1297,"completion_tokens":55,"total_tokens":1352,"prompt_tokens_details":{"cached_tokens":1280,"audio_tokens":0},"completion_tokens_details":{"reasoning_tokens":0,"audio_tokens":0,"accepted_prediction_tokens":0,"rejected_prediction_tokens":0}},"service_tier":"default","system_fingerprint":"fp_ad66631dec"}</t>
        </is>
      </c>
      <c r="X164" t="inlineStr">
        <is>
          <t>Gucci：经典黑色牛皮双扣腰带，光泽质感搭配金银G字标志扣头，3.8cm宽滑道设计，商务与休闲兼具，彰显意式奢华格调。</t>
        </is>
      </c>
    </row>
    <row r="165" ht="25.5" customHeight="1">
      <c r="A165">
        <v>1654975475</v>
      </c>
      <c r="B165">
        <v>7623943658</v>
      </c>
      <c r="C165" s="2" t="str">
        <f>=HYPERLINK("https://weidian.com/item.html?itemID=7623943658", "https://weidian.com/item.html?itemID=7623943658")</f>
        <v>https://weidian.com/item.html?itemID=7623943658</v>
      </c>
      <c r="D165"/>
      <c r="E165" s="2" t="str">
        <f>=HYPERLINK("https://si.geilicdn.com/pcitem2014204438-72c70000019ad88669180a23057e_1080_1080.jpg?w=640&amp;h=640", "https://si.geilicdn.com/pcitem2014204438-72c70000019ad88669180a23057e_1080_1080.jpg?w=640&amp;h=640")</f>
        <v>https://si.geilicdn.com/pcitem2014204438-72c70000019ad88669180a23057e_1080_1080.jpg?w=640&amp;h=640</v>
      </c>
      <c r="F165" t="inlineStr">
        <is>
          <t>Accessories</t>
        </is>
      </c>
      <c r="G165" t="inlineStr">
        <is>
          <t>Louis Vuitton</t>
        </is>
      </c>
      <c r="H165">
        <v>410</v>
      </c>
      <c r="I165">
        <v>59.42</v>
      </c>
      <c r="J165" t="inlineStr">
        <is>
          <t>{"id":"chatcmpl-DZSHgedeMZYLeAo2oz2zmfiixFAhI","object":"chat.completion","created":1777342576,"model":"gpt-5-chat-2025-10-03","choices":[{"index":0,"message":{"role":"assistant","content":"Louis Vuitton Monogram Eclipse Black Leather Belt","refusal":null,"annotations":[]},"logprobs":null,"finish_reason":"stop"}],"usage":{"prompt_tokens":867,"completion_tokens":9,"total_tokens":876,"prompt_tokens_details":{"cached_tokens":0,"audio_tokens":0},"completion_tokens_details":{"reasoning_tokens":0,"audio_tokens":0,"accepted_prediction_tokens":0,"rejected_prediction_tokens":0}},"service_tier":"default","system_fingerprint":"fp_ad66631dec"}</t>
        </is>
      </c>
      <c r="K165" t="inlineStr">
        <is>
          <t>Louis Vuitton Monogram Eclipse Black Leather Belt</t>
        </is>
      </c>
      <c r="L165" t="inlineStr">
        <is>
          <t>{"id":"chatcmpl-DZRdZC4xy4raApjfXvmseWvpidpBg","object":"chat.completion","created":1777340089,"model":"gpt-5-chat-2025-10-03","choices":[{"index":0,"message":{"role":"assistant","content":"Louis Vuitton Monogram Eclipse Black Men's Belt in premium cowhide leather with iconic silver LV buckle, exuding understated luxury and modern elegance for business and casual wear.","refusal":null,"annotations":[]},"logprobs":null,"finish_reason":"stop"}],"usage":{"prompt_tokens":889,"completion_tokens":33,"total_tokens":922,"prompt_tokens_details":{"cached_tokens":0,"audio_tokens":0},"completion_tokens_details":{"reasoning_tokens":0,"audio_tokens":0,"accepted_prediction_tokens":0,"rejected_prediction_tokens":0}},"service_tier":"default","system_fingerprint":"fp_ad66631dec"}</t>
        </is>
      </c>
      <c r="M165" t="inlineStr">
        <is>
          <t>{"alt-svc":"h3=\":443\"; ma=2592000","apim-request-id":"0a277e84-6aaf-4ed4-a68b-da2c662a454f","azureml-model-session":"d20260402075109-1fc5a0ec","cache-control":"no-cache","connection":"close","content-length":"989","content-type":"application/json","date":"Tue, 28 Apr 2026 01:34:50 GMT","server":"nginx","skip-error-remapping":"true","strict-transport-security":"max-age=31536000; includeSubDomains; preload","via":"1.1 Caddy","x-content-type-options":"nosniff","x-ms-client-request-id":"Not-Set","x-ms-is-spilled-over":"false","x-ms-rai-invoked":"false","x-ms-region":"South Central US","x-new-api-version":"0.4.35","x-oneapi-request-id":"202604280134486807878848268d9d6cWbtm96J","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cadd41ca-4a30-46d0-8746-f8286f59eb45"}</t>
        </is>
      </c>
      <c r="N165" t="inlineStr">
        <is>
          <t>Louis Vuitton Monogram Eclipse Black Men's Belt in premium cowhide leather with iconic silver LV buckle, exuding understated luxury and modern elegance for business and casual wear.</t>
        </is>
      </c>
      <c r="O165" t="inlineStr">
        <is>
          <t>{"id":"chatcmpl-DZSVNrV0lyyldpi9u83VRnAAprywW","object":"chat.completion","created":1777343425,"model":"gpt-5-chat-2025-10-03","choices":[{"index":0,"message":{"role":"assistant","content":"Louis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5" t="inlineStr">
        <is>
          <t>Louis Vuitton, Accessories, kakobuy, kakebuy2026, kekobuysheet, kakobuysheet2026, 2026kakobuy, kakobuyspreadsheeet, kakobuylink, kakebuylist, Kakobuy MEGA Spreadsheet, kakobuysheetfind, kakobuysheetfind2026, 2026kakobuysheetfind, kakobuysheet2026</t>
        </is>
      </c>
      <c r="Q165" t="inlineStr">
        <is>
          <t>LV, Cowhide, Silver, Business Casual, Men, Leather</t>
        </is>
      </c>
      <c r="R165" t="inlineStr">
        <is>
          <t>recvhju1Cr3CLs</t>
        </is>
      </c>
      <c r="S165" t="inlineStr">
        <is>
          <t>louis-vuitton-monogram-eclipse-black-leather-belt-recvhju1cr3cls</t>
        </is>
      </c>
      <c r="T165"/>
      <c r="U165"/>
      <c r="V165"/>
      <c r="W165" t="inlineStr">
        <is>
          <t>{"id":"chatcmpl-DZR7l2D16d0X19EJUUWAPlsKXfk7w","object":"chat.completion","created":1777338117,"model":"gpt-5-chat-2025-10-03","choices":[{"index":0,"message":{"role":"assistant","content":"Louis Vuitton：Monogram Eclipse黑色男士皮带，采用高级牛皮材质，标志性LV银色字母扣设计，低调奢华彰显现代绅士品味，适合商务与休闲场合佩戴。","refusal":null,"annotations":[]},"logprobs":null,"finish_reason":"stop"}],"usage":{"prompt_tokens":1297,"completion_tokens":57,"total_tokens":1354,"prompt_tokens_details":{"cached_tokens":0,"audio_tokens":0},"completion_tokens_details":{"reasoning_tokens":0,"audio_tokens":0,"accepted_prediction_tokens":0,"rejected_prediction_tokens":0}},"service_tier":"default","system_fingerprint":"fp_ad66631dec"}</t>
        </is>
      </c>
      <c r="X165" t="inlineStr">
        <is>
          <t>Louis Vuitton：Monogram Eclipse黑色男士皮带，采用高级牛皮材质，标志性LV银色字母扣设计，低调奢华彰显现代绅士品味，适合商务与休闲场合佩戴。</t>
        </is>
      </c>
    </row>
    <row r="166" ht="25.5" customHeight="1">
      <c r="A166">
        <v>1654975475</v>
      </c>
      <c r="B166">
        <v>7620953941</v>
      </c>
      <c r="C166" s="2" t="str">
        <f>=HYPERLINK("https://weidian.com/item.html?itemID=7620953941", "https://weidian.com/item.html?itemID=7620953941")</f>
        <v>https://weidian.com/item.html?itemID=7620953941</v>
      </c>
      <c r="D166"/>
      <c r="E166" s="2" t="str">
        <f>=HYPERLINK("https://si.geilicdn.com/pcitem2014204438-287e0000019ad88c961b0a21146b_1440_1920.jpg?w=640&amp;h=640", "https://si.geilicdn.com/pcitem2014204438-287e0000019ad88c961b0a21146b_1440_1920.jpg?w=640&amp;h=640")</f>
        <v>https://si.geilicdn.com/pcitem2014204438-287e0000019ad88c961b0a21146b_1440_1920.jpg?w=640&amp;h=640</v>
      </c>
      <c r="F166" t="inlineStr">
        <is>
          <t>Accessories</t>
        </is>
      </c>
      <c r="G166" t="inlineStr">
        <is>
          <t>Dior</t>
        </is>
      </c>
      <c r="H166">
        <v>490</v>
      </c>
      <c r="I166">
        <v>71.01</v>
      </c>
      <c r="J166" t="inlineStr">
        <is>
          <t>{"id":"chatcmpl-DZSLaD9QZt0VGCeRxajrzegxtlmCR","object":"chat.completion","created":1777342818,"model":"gpt-5-chat-2025-10-03","choices":[{"index":0,"message":{"role":"assistant","content":"Dior Oblique Black CD Buckle Men Leather Belt","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is>
      </c>
      <c r="K166" t="inlineStr">
        <is>
          <t>Dior Oblique Black CD Buckle Men Leather Belt</t>
        </is>
      </c>
      <c r="L166" t="inlineStr">
        <is>
          <t>{"id":"chatcmpl-DZReuQ0ij1fbvBNz1MEmWhv3Z9Ltq","object":"chat.completion","created":1777340172,"model":"gpt-5-chat-2025-10-03","choices":[{"index":0,"message":{"role":"assistant","content":"Dior Oblique Black Men’s Leather Belt features the iconic CD buckle, offering understated luxury with modern elegance and timeless style. Perfect designer accessory for refined looks.","refusal":null,"annotations":[]},"logprobs":null,"finish_reason":"stop"}],"usage":{"prompt_tokens":873,"completion_tokens":33,"total_tokens":906,"prompt_tokens_details":{"cached_tokens":0,"audio_tokens":0},"completion_tokens_details":{"reasoning_tokens":0,"audio_tokens":0,"accepted_prediction_tokens":0,"rejected_prediction_tokens":0}},"service_tier":"default","system_fingerprint":"fp_ad66631dec"}</t>
        </is>
      </c>
      <c r="M166" t="inlineStr">
        <is>
          <t>{"alt-svc":"h3=\":443\"; ma=2592000","apim-request-id":"b03fdffd-c591-473a-aee0-c526fd33fd6f","azureml-model-session":"d20260402074105-51db401e","cache-control":"no-cache","connection":"close","content-length":"993","content-type":"application/json","date":"Tue, 28 Apr 2026 01:36:14 GMT","server":"nginx","skip-error-remapping":"true","strict-transport-security":"max-age=31536000; includeSubDomains; preload","via":"1.1 Caddy","x-content-type-options":"nosniff","x-ms-client-request-id":"Not-Set","x-ms-is-spilled-over":"false","x-ms-rai-invoked":"false","x-ms-region":"Poland Central","x-new-api-version":"0.4.35","x-oneapi-request-id":"202604280136111501459118268d9d6hkgCCUBC","x-ratelimit-abusepenalty-active":"False","x-ratelimit-key":"gpt-5-chat-global","x-ratelimit-limit-requests":"1000","x-ratelimit-limit-tokens":"1000000","x-ratelimit-remaining-requests":"999","x-ratelimit-remaining-tokens":"998365","x-ratelimit-renewalperiod-requests":"60","x-ratelimit-renewalperiod-tokens":"60","x-ratelimit-reset-requests":"60","x-ratelimit-reset-tokens":"98","x-request-id":"6ed62783-d613-4593-9a30-f50ddf3c4666"}</t>
        </is>
      </c>
      <c r="N166" t="inlineStr">
        <is>
          <t>Dior Oblique Black Men’s Leather Belt features the iconic CD buckle, offering understated luxury with modern elegance and timeless style. Perfect designer accessory for refined looks.</t>
        </is>
      </c>
      <c r="O166" t="inlineStr">
        <is>
          <t>{"id":"chatcmpl-DZSWX5cRMPXWWF1vo3UpayKZ7JHNX","object":"chat.completion","created":1777343497,"model":"gpt-5-chat-2025-10-03","choices":[{"index":0,"message":{"role":"assistant","content":"Dior,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6" t="inlineStr">
        <is>
          <t>Dior, Belt, kakobuy, kakebuy2026, kekobuysheet, kakobuysheet2026, 2026kakobuy, kakobuyspreadsheeet, kakobuylink, kakebuylist, Kakobuy MEGA Spreadsheet, kakobuysheetfind, kakobuysheetfind2026, 2026kakobuysheetfind, kakobuysheet2026</t>
        </is>
      </c>
      <c r="Q166" t="inlineStr">
        <is>
          <t>Dior, Dior Oblique, Black, Leather, Men, Elegant</t>
        </is>
      </c>
      <c r="R166" t="inlineStr">
        <is>
          <t>recvhju1CrMNuu</t>
        </is>
      </c>
      <c r="S166" t="inlineStr">
        <is>
          <t>dior-oblique-black-cd-buckle-leather-belt-recvhju1crmnuu</t>
        </is>
      </c>
      <c r="T166"/>
      <c r="U166"/>
      <c r="V166"/>
      <c r="W166" t="inlineStr">
        <is>
          <t>{"id":"chatcmpl-DZRE05F7DKpQhCOYcjGwRS04pRbBX","object":"chat.completion","created":1777338504,"model":"gpt-5-chat-2025-10-03","choices":[{"index":0,"message":{"role":"assistant","content":"Dior：Oblique系列黑色男士皮革腰带，经典CD字母扣设计，低调奢华质感，展现现代优雅风范。","refusal":null,"annotations":[]},"logprobs":null,"finish_reason":"stop"}],"usage":{"prompt_tokens":1301,"completion_tokens":39,"total_tokens":1340,"prompt_tokens_details":{"cached_tokens":0,"audio_tokens":0},"completion_tokens_details":{"reasoning_tokens":0,"audio_tokens":0,"accepted_prediction_tokens":0,"rejected_prediction_tokens":0}},"service_tier":"default","system_fingerprint":"fp_ad66631dec"}</t>
        </is>
      </c>
      <c r="X166" t="inlineStr">
        <is>
          <t>Dior：Oblique系列黑色男士皮革腰带，经典CD字母扣设计，低调奢华质感，展现现代优雅风范。</t>
        </is>
      </c>
    </row>
    <row r="167" ht="25.5" customHeight="1">
      <c r="A167">
        <v>1654975475</v>
      </c>
      <c r="B167">
        <v>7623705808</v>
      </c>
      <c r="C167" s="2" t="str">
        <f>=HYPERLINK("https://weidian.com/item.html?itemID=7623705808", "https://weidian.com/item.html?itemID=7623705808")</f>
        <v>https://weidian.com/item.html?itemID=7623705808</v>
      </c>
      <c r="D167"/>
      <c r="E167" s="2" t="str">
        <f>=HYPERLINK("https://si.geilicdn.com/pcitem2014204438-6c3a0000019ad894100e0a20e672_1440_1440.jpg?w=640&amp;h=640", "https://si.geilicdn.com/pcitem2014204438-6c3a0000019ad894100e0a20e672_1440_1440.jpg?w=640&amp;h=640")</f>
        <v>https://si.geilicdn.com/pcitem2014204438-6c3a0000019ad894100e0a20e672_1440_1440.jpg?w=640&amp;h=640</v>
      </c>
      <c r="F167" t="inlineStr">
        <is>
          <t>Accessories</t>
        </is>
      </c>
      <c r="G167" t="inlineStr">
        <is>
          <t>Fendi</t>
        </is>
      </c>
      <c r="H167">
        <v>500</v>
      </c>
      <c r="I167">
        <v>72.46</v>
      </c>
      <c r="J167" t="inlineStr">
        <is>
          <t>{"id":"chatcmpl-DZSMOg6HaTzVu9Lncy8GO1XOLY0BX","object":"chat.completion","created":1777342868,"model":"gpt-5-chat-2025-10-03","choices":[{"index":0,"message":{"role":"assistant","content":"Fendi FF Gray Leather Reversible Gold Buckle Belt","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is>
      </c>
      <c r="K167" t="inlineStr">
        <is>
          <t>Fendi FF Gray Leather Reversible Gold Buckle Belt</t>
        </is>
      </c>
      <c r="L167" t="inlineStr">
        <is>
          <t>{"id":"chatcmpl-DZRcRDOSK4bvdXNVlWrdMjebp3Tku","object":"chat.completion","created":1777340019,"model":"gpt-5-chat-2025-10-03","choices":[{"index":0,"message":{"role":"assistant","content":"Fendi FF Classic Gray Leather Reversible Belt with Gold Logo Buckle, Italian Minimalist Luxury Design, Unisex Fashion Accessory for Modern High-End Style.","refusal":null,"annotations":[]},"logprobs":null,"finish_reason":"stop"}],"usage":{"prompt_tokens":888,"completion_tokens":33,"total_tokens":921,"prompt_tokens_details":{"cached_tokens":0,"audio_tokens":0},"completion_tokens_details":{"reasoning_tokens":0,"audio_tokens":0,"accepted_prediction_tokens":0,"rejected_prediction_tokens":0}},"service_tier":"default","system_fingerprint":"fp_ad66631dec"}</t>
        </is>
      </c>
      <c r="M167" t="inlineStr">
        <is>
          <t>{"alt-svc":"h3=\":443\"; ma=2592000","apim-request-id":"ff4e1148-fcd0-451b-bc2b-381d4e0ba69a","azureml-model-session":"d20260405221325-2e8d5e76","cache-control":"no-cache","connection":"close","content-length":"962","content-type":"application/json","date":"Tue, 28 Apr 2026 01:33:42 GMT","server":"Caddy","skip-error-remapping":"true","strict-transport-security":"max-age=31536000; includeSubDomains; preload","x-content-type-options":"nosniff","x-ms-client-request-id":"Not-Set","x-ms-is-spilled-over":"false","x-ms-rai-invoked":"false","x-ms-region":"Sweden Central","x-new-api-version":"0.4.35","x-oneapi-request-id":"202604280133378308357878268d9d6SDfpuzhc","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3f67b5f8-a4c5-4457-9b6e-523a0c1a4f6e"}</t>
        </is>
      </c>
      <c r="N167" t="inlineStr">
        <is>
          <t>Fendi FF Classic Gray Leather Reversible Belt with Gold Logo Buckle, Italian Minimalist Luxury Design, Unisex Fashion Accessory for Modern High-End Style.</t>
        </is>
      </c>
      <c r="O167" t="inlineStr">
        <is>
          <t>{"id":"chatcmpl-DZSbcPxgkTtT1gcGoXrDyU6B2OZ5F","object":"chat.completion","created":1777343812,"model":"gpt-5-chat-2025-10-03","choices":[{"index":0,"message":{"role":"assistant","content":"Fendi,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7" t="inlineStr">
        <is>
          <t>Fendi, belt, kakobuy, kakebuy2026, kekobuysheet, kakobuysheet2026, 2026kakobuy, kakobuyspreadsheeet, kakobuylink, kakebuylist, Kakobuy MEGA Spreadsheet, kakobuysheetfind, kakobuysheetfind2026, 2026kakobuysheetfind, kakobuysheet2026</t>
        </is>
      </c>
      <c r="Q167"/>
      <c r="R167" t="inlineStr">
        <is>
          <t>recvhju1Cri8N5</t>
        </is>
      </c>
      <c r="S167" t="inlineStr">
        <is>
          <t>fendi-ff-gray-leather-reversible-gold-buckle-belt-recvhju1cri8n5</t>
        </is>
      </c>
      <c r="T167"/>
      <c r="U167"/>
      <c r="V167"/>
      <c r="W167" t="inlineStr">
        <is>
          <t>{"id":"chatcmpl-DZR5zJl7v7YQdF2y9DKaSoKQP5Kzv","object":"chat.completion","created":1777338007,"model":"gpt-5-chat-2025-10-03","choices":[{"index":0,"message":{"role":"assistant","content":"Fendi：经典FF系列灰色真皮腰带，正反双面可调设计，配以金色方形Logo扣，意式简约奢华风格，男女皆宜，彰显现代高定品味。","refusal":null,"annotations":[]},"logprobs":null,"finish_reason":"stop"}],"usage":{"prompt_tokens":1303,"completion_tokens":53,"total_tokens":1356,"prompt_tokens_details":{"cached_tokens":0,"audio_tokens":0},"completion_tokens_details":{"reasoning_tokens":0,"audio_tokens":0,"accepted_prediction_tokens":0,"rejected_prediction_tokens":0}},"service_tier":"default","system_fingerprint":"fp_ad66631dec"}</t>
        </is>
      </c>
      <c r="X167" t="inlineStr">
        <is>
          <t>Fendi：经典FF系列灰色真皮腰带，正反双面可调设计，配以金色方形Logo扣，意式简约奢华风格，男女皆宜，彰显现代高定品味。</t>
        </is>
      </c>
    </row>
    <row r="168" ht="25.5" customHeight="1">
      <c r="A168">
        <v>1654975475</v>
      </c>
      <c r="B168">
        <v>7623817552</v>
      </c>
      <c r="C168" s="2" t="str">
        <f>=HYPERLINK("https://weidian.com/item.html?itemID=7623817552", "https://weidian.com/item.html?itemID=7623817552")</f>
        <v>https://weidian.com/item.html?itemID=7623817552</v>
      </c>
      <c r="D168"/>
      <c r="E168" s="2" t="str">
        <f>=HYPERLINK("https://si.geilicdn.com/pcitem2014204438-3b2f0000019ad89605780a231316_1440_1440.jpg?w=640&amp;h=640", "https://si.geilicdn.com/pcitem2014204438-3b2f0000019ad89605780a231316_1440_1440.jpg?w=640&amp;h=640")</f>
        <v>https://si.geilicdn.com/pcitem2014204438-3b2f0000019ad89605780a231316_1440_1440.jpg?w=640&amp;h=640</v>
      </c>
      <c r="F168" t="inlineStr">
        <is>
          <t>Accessories</t>
        </is>
      </c>
      <c r="G168" t="inlineStr">
        <is>
          <t>Hermes</t>
        </is>
      </c>
      <c r="H168">
        <v>480</v>
      </c>
      <c r="I168">
        <v>69.5797101449275</v>
      </c>
      <c r="J168" t="inlineStr">
        <is>
          <t>{"id":"chatcmpl-DZSIN7kr6KesNnDtT8k9sRwomAevi","object":"chat.completion","created":1777342619,"model":"gpt-5-chat-2025-10-03","choices":[{"index":0,"message":{"role":"assistant","content":"Hermes H Buckle Deep Blue Leather Belt","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168" t="inlineStr">
        <is>
          <t>Hermes H Buckle Deep Blue Leather Belt</t>
        </is>
      </c>
      <c r="L168" t="inlineStr">
        <is>
          <t>{"id":"chatcmpl-DZRcV1HZvpgwJniqxeMdasIV53Tmy","object":"chat.completion","created":1777340023,"model":"gpt-5-chat-2025-10-03","choices":[{"index":0,"message":{"role":"assistant","content":"Hermès Classic H Buckle Belt in Deep Blue Calfskin, featuring a sleek silver-tone buckle. Unisex design combines refined craftsmanship and modern elegance for a timeless French luxury style.","refusal":null,"annotations":[]},"logprobs":null,"finish_reason":"stop"}],"usage":{"prompt_tokens":906,"completion_tokens":38,"total_tokens":944,"prompt_tokens_details":{"cached_tokens":0,"audio_tokens":0},"completion_tokens_details":{"reasoning_tokens":0,"audio_tokens":0,"accepted_prediction_tokens":0,"rejected_prediction_tokens":0}},"service_tier":"default","system_fingerprint":"fp_ad66631dec"}</t>
        </is>
      </c>
      <c r="M168" t="inlineStr">
        <is>
          <t>{"alt-svc":"h3=\":443\"; ma=2592000","apim-request-id":"6d9d2f70-9117-41a2-bed7-f9fa1661a201","azureml-model-session":"d20260402075109-1fc5a0ec","cache-control":"no-cache","connection":"close","content-length":"999","content-type":"application/json","date":"Tue, 28 Apr 2026 01:33:44 GMT","server":"nginx","skip-error-remapping":"true","strict-transport-security":"max-age=31536000; includeSubDomains; preload","via":"1.1 Caddy","x-content-type-options":"nosniff","x-ms-client-request-id":"Not-Set","x-ms-is-spilled-over":"false","x-ms-rai-invoked":"false","x-ms-region":"Sweden Central","x-new-api-version":"0.4.35","x-oneapi-request-id":"202604280133419468969618268d9d6HSx1cNOa","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3ecaec04-9224-4618-bc58-bec467d4259a"}</t>
        </is>
      </c>
      <c r="N168" t="inlineStr">
        <is>
          <t>Hermès Classic H Buckle Belt in Deep Blue Calfskin, featuring a sleek silver-tone buckle. Unisex design combines refined craftsmanship and modern elegance for a timeless French luxury style.</t>
        </is>
      </c>
      <c r="O168" t="inlineStr">
        <is>
          <t>{"id":"chatcmpl-DZSZ24DZNPilfwJ4wCtY1rppPDhWd","object":"chat.completion","created":1777343652,"model":"gpt-5-chat-2025-10-03","choices":[{"index":0,"message":{"role":"assistant","content":"Hermes,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8" t="inlineStr">
        <is>
          <t>Hermes, Belt, kakobuy, kakebuy2026, kekobuysheet, kakobuysheet2026, 2026kakobuy, kakobuyspreadsheeet, kakobuylink, kakebuylist, Kakobuy MEGA Spreadsheet, kakobuysheetfind, kakobuysheetfind2026, 2026kakobuysheetfind, kakobuysheet2026</t>
        </is>
      </c>
      <c r="Q168"/>
      <c r="R168" t="inlineStr">
        <is>
          <t>recvhju1CrLsfY</t>
        </is>
      </c>
      <c r="S168" t="inlineStr">
        <is>
          <t>hermes-h-buckle-deep-blue-leather-belt-recvhju1crlsfy</t>
        </is>
      </c>
      <c r="T168"/>
      <c r="U168"/>
      <c r="V168"/>
      <c r="W168" t="inlineStr">
        <is>
          <t>{"id":"chatcmpl-DZREFwqZkeBnL5zLECW8rjhUT5MME","object":"chat.completion","created":1777338519,"model":"gpt-5-chat-2025-10-03","choices":[{"index":0,"message":{"role":"assistant","content":"Hermès：经典H扣深蓝色真皮腰带，甄选优质小牛皮材质，搭配银色金属扣设计，简约大气彰显法式优雅。男女通用款，精致工艺融合现代都市风格，展现高端品味与时尚格调。","refusal":null,"annotations":[]},"logprobs":null,"finish_reason":"stop"}],"usage":{"prompt_tokens":1299,"completion_tokens":73,"total_tokens":1372,"prompt_tokens_details":{"cached_tokens":0,"audio_tokens":0},"completion_tokens_details":{"reasoning_tokens":0,"audio_tokens":0,"accepted_prediction_tokens":0,"rejected_prediction_tokens":0}},"service_tier":"default","system_fingerprint":"fp_ad66631dec"}</t>
        </is>
      </c>
      <c r="X168" t="inlineStr">
        <is>
          <t>Hermès：经典H扣深蓝色真皮腰带，甄选优质小牛皮材质，搭配银色金属扣设计，简约大气彰显法式优雅。男女通用款，精致工艺融合现代都市风格，展现高端品味与时尚格调。</t>
        </is>
      </c>
    </row>
    <row r="169" ht="25.5" customHeight="1">
      <c r="A169">
        <v>1654975475</v>
      </c>
      <c r="B169">
        <v>7620864931</v>
      </c>
      <c r="C169" s="2" t="str">
        <f>=HYPERLINK("https://weidian.com/item.html?itemID=7620864931", "https://weidian.com/item.html?itemID=7620864931")</f>
        <v>https://weidian.com/item.html?itemID=7620864931</v>
      </c>
      <c r="D169"/>
      <c r="E169" s="2" t="str">
        <f>=HYPERLINK("https://si.geilicdn.com/pcitem2014204438-710a0000019ad88e81580a81347d_1440_1920.jpg?w=640&amp;h=640", "https://si.geilicdn.com/pcitem2014204438-710a0000019ad88e81580a81347d_1440_1920.jpg?w=640&amp;h=640")</f>
        <v>https://si.geilicdn.com/pcitem2014204438-710a0000019ad88e81580a81347d_1440_1920.jpg?w=640&amp;h=640</v>
      </c>
      <c r="F169" t="inlineStr">
        <is>
          <t>Accessories</t>
        </is>
      </c>
      <c r="G169" t="inlineStr">
        <is>
          <t>Dior</t>
        </is>
      </c>
      <c r="H169">
        <v>480</v>
      </c>
      <c r="I169">
        <v>69.5797101449275</v>
      </c>
      <c r="J169" t="inlineStr">
        <is>
          <t>{"id":"chatcmpl-DZSNVjApZmCS4Rk4ZMbgnJ6HYJEM6","object":"chat.completion","created":1777342937,"model":"gpt-5-chat-2025-10-03","choices":[{"index":0,"message":{"role":"assistant","content":"Dior Oblique Blue Reversible Leather CD Buckle Belt","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ad66631dec"}</t>
        </is>
      </c>
      <c r="K169" t="inlineStr">
        <is>
          <t>Dior Oblique Blue Reversible Leather CD Buckle Belt</t>
        </is>
      </c>
      <c r="L169" t="inlineStr">
        <is>
          <t>{"id":"chatcmpl-DZRjw0QNlbS1Py0wTQi20oIUzvya4","object":"chat.completion","created":1777340484,"model":"gpt-5-chat-2025-10-03","choices":[{"index":0,"message":{"role":"assistant","content":"Dior Oblique Blue Reversible Leather Belt blends jacquard canvas and smooth calfskin, featuring iconic CD metal buckle, offering elegant vintage style for men and women, perfect for modern city fashion.","refusal":null,"annotations":[]},"logprobs":null,"finish_reason":"stop"}],"usage":{"prompt_tokens":897,"completion_tokens":41,"total_tokens":938,"prompt_tokens_details":{"cached_tokens":0,"audio_tokens":0},"completion_tokens_details":{"reasoning_tokens":0,"audio_tokens":0,"accepted_prediction_tokens":0,"rejected_prediction_tokens":0}},"service_tier":"default","system_fingerprint":"fp_ad66631dec"}</t>
        </is>
      </c>
      <c r="M169" t="inlineStr">
        <is>
          <t>{"alt-svc":"h3=\":443\"; ma=2592000","apim-request-id":"b75b9040-b710-47db-bd29-754c9408296f","azureml-model-session":"d20260402075109-1fc5a0ec","cache-control":"no-cache","connection":"close","content-length":"1010","content-type":"application/json","date":"Tue, 28 Apr 2026 01:41:25 GMT","server":"nginx","skip-error-remapping":"true","strict-transport-security":"max-age=31536000; includeSubDomains; preload","via":"1.1 Caddy","x-content-type-options":"nosniff","x-ms-client-request-id":"Not-Set","x-ms-is-spilled-over":"false","x-ms-rai-invoked":"false","x-ms-region":"Poland Central","x-new-api-version":"0.4.35","x-oneapi-request-id":"202604280141226020766878268d9d6LOOsVO3Z","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2c146f4c-0ca3-4066-abcb-598951d7c948"}</t>
        </is>
      </c>
      <c r="N169" t="inlineStr">
        <is>
          <t>Dior Oblique Blue Reversible Leather Belt blends jacquard canvas and smooth calfskin, featuring iconic CD metal buckle, offering elegant vintage style for men and women, perfect for modern city fashion.</t>
        </is>
      </c>
      <c r="O169" t="inlineStr">
        <is>
          <t>{"id":"chatcmpl-DZSbdCXPoLmW8ZnpkGxaBnM9Rcwcs","object":"chat.completion","created":1777343813,"model":"gpt-5-chat-2025-10-03","choices":[{"index":0,"message":{"role":"assistant","content":"Dior,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9" t="inlineStr">
        <is>
          <t>Dior, Belt, kakobuy, kakebuy2026, kekobuysheet, kakobuysheet2026, 2026kakobuy, kakobuyspreadsheeet, kakobuylink, kakebuylist, Kakobuy MEGA Spreadsheet, kakobuysheetfind, kakobuysheetfind2026, 2026kakobuysheetfind, kakobuysheet2026</t>
        </is>
      </c>
      <c r="Q169" t="inlineStr">
        <is>
          <t>Dior, Dior Oblique, Blue, Leather, Elegant, Vintage</t>
        </is>
      </c>
      <c r="R169" t="inlineStr">
        <is>
          <t>recvhju1Crnjm2</t>
        </is>
      </c>
      <c r="S169" t="inlineStr">
        <is>
          <t>dior-oblique-blue-reversible-leather-cd-buckle-belt-recvhju1crnjm2</t>
        </is>
      </c>
      <c r="T169"/>
      <c r="U169"/>
      <c r="V169"/>
      <c r="W169" t="inlineStr">
        <is>
          <t>{"id":"chatcmpl-DZRBb8g2AXZeGnAR5XaMMpdWpCUqC","object":"chat.completion","created":1777338355,"model":"gpt-5-chat-2025-10-03","choices":[{"index":0,"message":{"role":"assistant","content":"Dior：Oblique系列深蓝色双面皮革腰带，采用经典提花帆布与光滑牛皮拼接设计，金属CD标志扣彰显品牌识别度，复古优雅风格，男女皆宜，适合现代都市穿搭。","refusal":null,"annotations":[]},"logprobs":null,"finish_reason":"stop"}],"usage":{"prompt_tokens":1299,"completion_tokens":64,"total_tokens":1363,"prompt_tokens_details":{"cached_tokens":1280,"audio_tokens":0},"completion_tokens_details":{"reasoning_tokens":0,"audio_tokens":0,"accepted_prediction_tokens":0,"rejected_prediction_tokens":0}},"service_tier":"default","system_fingerprint":"fp_ad66631dec"}</t>
        </is>
      </c>
      <c r="X169" t="inlineStr">
        <is>
          <t>Dior：Oblique系列深蓝色双面皮革腰带，采用经典提花帆布与光滑牛皮拼接设计，金属CD标志扣彰显品牌识别度，复古优雅风格，男女皆宜，适合现代都市穿搭。</t>
        </is>
      </c>
    </row>
    <row r="170" ht="25.5" customHeight="1">
      <c r="A170">
        <v>1654975475</v>
      </c>
      <c r="B170">
        <v>7620888563</v>
      </c>
      <c r="C170" s="2" t="str">
        <f>=HYPERLINK("https://weidian.com/item.html?itemID=7620888563", "https://weidian.com/item.html?itemID=7620888563")</f>
        <v>https://weidian.com/item.html?itemID=7620888563</v>
      </c>
      <c r="D170"/>
      <c r="E170" s="2" t="str">
        <f>=HYPERLINK("https://si.geilicdn.com/pcitem2014204438-6bcf0000019ad88f25e10a2102c5_1440_1920.jpg?w=640&amp;h=640", "https://si.geilicdn.com/pcitem2014204438-6bcf0000019ad88f25e10a2102c5_1440_1920.jpg?w=640&amp;h=640")</f>
        <v>https://si.geilicdn.com/pcitem2014204438-6bcf0000019ad88f25e10a2102c5_1440_1920.jpg?w=640&amp;h=640</v>
      </c>
      <c r="F170" t="inlineStr">
        <is>
          <t>Accessories</t>
        </is>
      </c>
      <c r="G170" t="inlineStr">
        <is>
          <t>Dior</t>
        </is>
      </c>
      <c r="H170">
        <v>480</v>
      </c>
      <c r="I170">
        <v>69.5797101449275</v>
      </c>
      <c r="J170" t="inlineStr">
        <is>
          <t>{"id":"chatcmpl-DZSKYY8bnBuDpkcPJyFRHNe3TIWgM","object":"chat.completion","created":1777342754,"model":"gpt-5-chat-2025-10-03","choices":[{"index":0,"message":{"role":"assistant","content":"Dior Oblique Deep Blue Leather Gold Buckle Belt","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170" t="inlineStr">
        <is>
          <t>Dior Oblique Deep Blue Leather Gold Buckle Belt</t>
        </is>
      </c>
      <c r="L170" t="inlineStr">
        <is>
          <t>{"id":"chatcmpl-DZRg6Fcr8VPkYEsCrhQSCL56SXmPP","object":"chat.completion","created":1777340246,"model":"gpt-5-chat-2025-10-03","choices":[{"index":0,"message":{"role":"assistant","content":"Dior Oblique Men’s Belt in Deep Blue, crafted from premium leather and jacquard canvas with a gold-tone CD buckle, exuding vintage elegance for both business and casual wear.","refusal":null,"annotations":[]},"logprobs":null,"finish_reason":"stop"}],"usage":{"prompt_tokens":901,"completion_tokens":39,"total_tokens":940,"prompt_tokens_details":{"cached_tokens":0,"audio_tokens":0},"completion_tokens_details":{"reasoning_tokens":0,"audio_tokens":0,"accepted_prediction_tokens":0,"rejected_prediction_tokens":0}},"service_tier":"default","system_fingerprint":"fp_ad66631dec"}</t>
        </is>
      </c>
      <c r="M170" t="inlineStr">
        <is>
          <t>{"alt-svc":"h3=\":443\"; ma=2592000","apim-request-id":"73969c71-4c53-4bc9-bada-4e839d104261","azureml-model-session":"d20260402074105-51db401e","cache-control":"no-cache","connection":"close","content-length":"984","content-type":"application/json","date":"Tue, 28 Apr 2026 01:37:27 GMT","server":"Caddy","skip-error-remapping":"true","strict-transport-security":"max-age=31536000; includeSubDomains; preload","x-content-type-options":"nosniff","x-ms-client-request-id":"Not-Set","x-ms-is-spilled-over":"false","x-ms-rai-invoked":"false","x-ms-region":"Central US","x-new-api-version":"0.4.35","x-oneapi-request-id":"202604280137251055454138268d9d6liSUl3qv","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c589f8c7-9dae-40ea-8b05-f483e58a48c8"}</t>
        </is>
      </c>
      <c r="N170" t="inlineStr">
        <is>
          <t>Dior Oblique Men’s Belt in Deep Blue, crafted from premium leather and jacquard canvas with a gold-tone CD buckle, exuding vintage elegance for both business and casual wear.</t>
        </is>
      </c>
      <c r="O170" t="inlineStr">
        <is>
          <t>{"id":"chatcmpl-DZSYns0xval8uvoniK2yJZUsJI90i","object":"chat.completion","created":1777343637,"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0" t="inlineStr">
        <is>
          <t>Dior,Belt,kakobuy,kakebuy2026,kekobuysheet,kakobuysheet2026,2026kakobuy,kakobuyspreadsheeet,kakobuylink,kakebuylist,Kakobuy MEGA Spreadsheet,kakobuysheetfind,kakobuysheetfind2026,2026kakobuysheetfind,kakobuysheet2026</t>
        </is>
      </c>
      <c r="Q170" t="inlineStr">
        <is>
          <t>Dior, Dior Oblique, Leather, Vintage, Men</t>
        </is>
      </c>
      <c r="R170" t="inlineStr">
        <is>
          <t>recvhju1CrxcTx</t>
        </is>
      </c>
      <c r="S170" t="inlineStr">
        <is>
          <t>dior-oblique-deep-blue-leather-gold-buckle-belt-recvhju1crxctx</t>
        </is>
      </c>
      <c r="T170"/>
      <c r="U170"/>
      <c r="V170"/>
      <c r="W170" t="inlineStr">
        <is>
          <t>{"id":"chatcmpl-DZR6zkPkAZK5lr3IfgDe9RHLBQK5K","object":"chat.completion","created":1777338069,"model":"gpt-5-chat-2025-10-03","choices":[{"index":0,"message":{"role":"assistant","content":"Dior：Oblique系列深蓝色男士皮带，采用优质皮革与经典提花帆布拼接，镀金CD字母扣设计彰显品牌标志性优雅，复古摩登风格，适合商务与休闲场合佩戴。","refusal":null,"annotations":[]},"logprobs":null,"finish_reason":"stop"}],"usage":{"prompt_tokens":1305,"completion_tokens":65,"total_tokens":1370,"prompt_tokens_details":{"cached_tokens":0,"audio_tokens":0},"completion_tokens_details":{"reasoning_tokens":0,"audio_tokens":0,"accepted_prediction_tokens":0,"rejected_prediction_tokens":0}},"service_tier":"default","system_fingerprint":"fp_ad66631dec"}</t>
        </is>
      </c>
      <c r="X170" t="inlineStr">
        <is>
          <t>Dior：Oblique系列深蓝色男士皮带，采用优质皮革与经典提花帆布拼接，镀金CD字母扣设计彰显品牌标志性优雅，复古摩登风格，适合商务与休闲场合佩戴。</t>
        </is>
      </c>
    </row>
    <row r="171" ht="25.5" customHeight="1">
      <c r="A171">
        <v>1654975475</v>
      </c>
      <c r="B171">
        <v>7620898427</v>
      </c>
      <c r="C171" s="2" t="str">
        <f>=HYPERLINK("https://weidian.com/item.html?itemID=7620898427", "https://weidian.com/item.html?itemID=7620898427")</f>
        <v>https://weidian.com/item.html?itemID=7620898427</v>
      </c>
      <c r="D171"/>
      <c r="E171" s="2" t="str">
        <f>=HYPERLINK("https://si.geilicdn.com/pcitem2014204438-4b490000019ad89483a60a2304aa_1440_1440.jpg?w=640&amp;h=640", "https://si.geilicdn.com/pcitem2014204438-4b490000019ad89483a60a2304aa_1440_1440.jpg?w=640&amp;h=640")</f>
        <v>https://si.geilicdn.com/pcitem2014204438-4b490000019ad89483a60a2304aa_1440_1440.jpg?w=640&amp;h=640</v>
      </c>
      <c r="F171" t="inlineStr">
        <is>
          <t>Accessories</t>
        </is>
      </c>
      <c r="G171" t="inlineStr">
        <is>
          <t>Fendi</t>
        </is>
      </c>
      <c r="H171">
        <v>500</v>
      </c>
      <c r="I171">
        <v>72.46</v>
      </c>
      <c r="J171" t="inlineStr">
        <is>
          <t>{"id":"chatcmpl-DZSM2FaG3sU0DjiQNZx2ObJIIU4tA","object":"chat.completion","created":1777342846,"model":"gpt-5-chat-2025-10-03","choices":[{"index":0,"message":{"role":"assistant","content":"Fendi Classic Black Leather Reversible Belt for Men","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71" t="inlineStr">
        <is>
          <t>Fendi Classic Black Leather Reversible Belt for Men</t>
        </is>
      </c>
      <c r="L171" t="inlineStr">
        <is>
          <t>{"id":"chatcmpl-DZRjAdM3xCqMBDgngTP5F3VvgB0v1","object":"chat.completion","created":1777340436,"model":"gpt-5-chat-2025-10-03","choices":[{"index":0,"message":{"role":"assistant","content":"Fendi Classic Black Reversible Belt crafted from premium cowhide leather, featuring a gold FF metal buckle and logo-pattern lining. Stylish men’s accessory for business or casual wear.","refusal":null,"annotations":[]},"logprobs":null,"finish_reason":"stop"}],"usage":{"prompt_tokens":918,"completion_tokens":36,"total_tokens":954,"prompt_tokens_details":{"cached_tokens":0,"audio_tokens":0},"completion_tokens_details":{"reasoning_tokens":0,"audio_tokens":0,"accepted_prediction_tokens":0,"rejected_prediction_tokens":0}},"service_tier":"default","system_fingerprint":"fp_ad66631dec"}</t>
        </is>
      </c>
      <c r="M171" t="inlineStr">
        <is>
          <t>{"alt-svc":"h3=\":443\"; ma=2592000","apim-request-id":"c633fd78-ef49-4800-8b0f-f2bb89ebb2d6","azureml-model-session":"d20260405234249-f9874baf","cache-control":"no-cache","connection":"close","content-length":"994","content-type":"application/json","date":"Tue, 28 Apr 2026 01:40:36 GMT","server":"nginx","skip-error-remapping":"true","strict-transport-security":"max-age=31536000; includeSubDomains; preload","via":"1.1 Caddy","x-content-type-options":"nosniff","x-ms-client-request-id":"Not-Set","x-ms-is-spilled-over":"false","x-ms-rai-invoked":"false","x-ms-region":"Central US","x-new-api-version":"0.4.35","x-oneapi-request-id":"202604280140351447174848268d9d66EdDgbDl","x-ratelimit-abusepenalty-active":"False","x-ratelimit-key":"gpt-5-chat-global","x-ratelimit-limit-requests":"1000","x-ratelimit-limit-tokens":"1000000","x-ratelimit-remaining-requests":"999","x-ratelimit-remaining-tokens":"998320","x-ratelimit-renewalperiod-requests":"60","x-ratelimit-renewalperiod-tokens":"60","x-ratelimit-reset-requests":"60","x-ratelimit-reset-tokens":"100","x-request-id":"8d22919b-58af-4cfa-9195-5050a52bacd0"}</t>
        </is>
      </c>
      <c r="N171" t="inlineStr">
        <is>
          <t>Fendi Classic Black Reversible Belt crafted from premium cowhide leather, featuring a gold FF metal buckle and logo-pattern lining. Stylish men’s accessory for business or casual wear.</t>
        </is>
      </c>
      <c r="O171" t="inlineStr">
        <is>
          <t>{"id":"chatcmpl-DZScOTgnnW19BRhpNJBs4rNKJheDS","object":"chat.completion","created":1777343860,"model":"gpt-5-chat-2025-10-03","choices":[{"index":0,"message":{"role":"assistant","content":"Fend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1" t="inlineStr">
        <is>
          <t>Fendi,Belt,kakobuy,kakebuy2026,kekobuysheet,kakobuysheet2026,2026kakobuy,kakobuyspreadsheeet,kakobuylink,kakebuylist,Kakobuy MEGA Spreadsheet,kakobuysheetfind,kakobuysheetfind2026,2026kakobuysheetfind,kakobuysheet2026</t>
        </is>
      </c>
      <c r="Q171" t="inlineStr">
        <is>
          <t>Black, Cowhide, Leather, Business, Men, Classic</t>
        </is>
      </c>
      <c r="R171" t="inlineStr">
        <is>
          <t>recvhju1Cr44QO</t>
        </is>
      </c>
      <c r="S171" t="inlineStr">
        <is>
          <t>fendi-classic-black-leather-reversible-belt-men-recvhju1cr44qo</t>
        </is>
      </c>
      <c r="T171"/>
      <c r="U171"/>
      <c r="V171"/>
      <c r="W171" t="inlineStr">
        <is>
          <t>{"id":"chatcmpl-DZR7det6tfERmLLCnGz5YAsiNAa8s","object":"chat.completion","created":1777338109,"model":"gpt-5-chat-2025-10-03","choices":[{"index":0,"message":{"role":"assistant","content":"Fendi：经典黑色双面腰带，甄选头层牛皮材质，搭配金色FF标志金属扣，内衬字母图腾设计，简约大气中彰显奢华质感。男士时尚百搭单品，适合商务与休闲场合，尽显品牌高级工艺与摩登格调。","refusal":null,"annotations":[]},"logprobs":null,"finish_reason":"stop"}],"usage":{"prompt_tokens":1299,"completion_tokens":85,"total_tokens":1384,"prompt_tokens_details":{"cached_tokens":0,"audio_tokens":0},"completion_tokens_details":{"reasoning_tokens":0,"audio_tokens":0,"accepted_prediction_tokens":0,"rejected_prediction_tokens":0}},"service_tier":"default","system_fingerprint":"fp_ad66631dec"}</t>
        </is>
      </c>
      <c r="X171" t="inlineStr">
        <is>
          <t>Fendi：经典黑色双面腰带，甄选头层牛皮材质，搭配金色FF标志金属扣，内衬字母图腾设计，简约大气中彰显奢华质感。男士时尚百搭单品，适合商务与休闲场合，尽显品牌高级工艺与摩登格调。</t>
        </is>
      </c>
    </row>
    <row r="172" ht="25.5" customHeight="1">
      <c r="A172">
        <v>1654975475</v>
      </c>
      <c r="B172">
        <v>7623852730</v>
      </c>
      <c r="C172" s="2" t="str">
        <f>=HYPERLINK("https://weidian.com/item.html?itemID=7623852730", "https://weidian.com/item.html?itemID=7623852730")</f>
        <v>https://weidian.com/item.html?itemID=7623852730</v>
      </c>
      <c r="D172"/>
      <c r="E172" s="2" t="str">
        <f>=HYPERLINK("https://si.geilicdn.com/pcitem2014204438-7b600000019ad894ef560a23111a_1440_1440.jpg?w=640&amp;h=640", "https://si.geilicdn.com/pcitem2014204438-7b600000019ad894ef560a23111a_1440_1440.jpg?w=640&amp;h=640")</f>
        <v>https://si.geilicdn.com/pcitem2014204438-7b600000019ad894ef560a23111a_1440_1440.jpg?w=640&amp;h=640</v>
      </c>
      <c r="F172" t="inlineStr">
        <is>
          <t>Accessories</t>
        </is>
      </c>
      <c r="G172" t="inlineStr">
        <is>
          <t>Hermes</t>
        </is>
      </c>
      <c r="H172">
        <v>480</v>
      </c>
      <c r="I172">
        <v>69.5797101449275</v>
      </c>
      <c r="J172" t="inlineStr">
        <is>
          <t>{"id":"chatcmpl-DZSMiijm3FJMoIEdXeRwAkXlOjwk1","object":"chat.completion","created":1777342888,"model":"gpt-5-chat-2025-10-03","choices":[{"index":0,"message":{"role":"assistant","content":"Hermes Blue Epsom Leather H Buckle Belt","refusal":null,"annotations":[]},"logprobs":null,"finish_reason":"stop"}],"usage":{"prompt_tokens":861,"completion_tokens":12,"total_tokens":873,"prompt_tokens_details":{"cached_tokens":0,"audio_tokens":0},"completion_tokens_details":{"reasoning_tokens":0,"audio_tokens":0,"accepted_prediction_tokens":0,"rejected_prediction_tokens":0}},"service_tier":"default","system_fingerprint":"fp_ad66631dec"}</t>
        </is>
      </c>
      <c r="K172" t="inlineStr">
        <is>
          <t>Hermes Blue Epsom Leather H Buckle Belt</t>
        </is>
      </c>
      <c r="L172" t="inlineStr">
        <is>
          <t>{"id":"chatcmpl-DZRhJONw1wFkDuGIQwnEcWQYOP4dw","object":"chat.completion","created":1777340321,"model":"gpt-5-chat-2025-10-03","choices":[{"index":0,"message":{"role":"assistant","content":"Hermès Blue Epsom Leather H Buckle Belt, unisex minimalist metal design, showcasing modern urban elegance, timeless and classic luxury accessory.","refusal":null,"annotations":[]},"logprobs":null,"finish_reason":"stop"}],"usage":{"prompt_tokens":870,"completion_tokens":30,"total_tokens":900,"prompt_tokens_details":{"cached_tokens":0,"audio_tokens":0},"completion_tokens_details":{"reasoning_tokens":0,"audio_tokens":0,"accepted_prediction_tokens":0,"rejected_prediction_tokens":0}},"service_tier":"default","system_fingerprint":"fp_ad66631dec"}</t>
        </is>
      </c>
      <c r="M172" t="inlineStr">
        <is>
          <t>{"alt-svc":"h3=\":443\"; ma=2592000","apim-request-id":"a1a12af7-80ad-4b37-b1c8-340f7ef5ef58","azureml-model-session":"d20260402074105-51db401e","cache-control":"no-cache","connection":"close","content-length":"954","content-type":"application/json","date":"Tue, 28 Apr 2026 01:38:42 GMT","server":"nginx","skip-error-remapping":"true","strict-transport-security":"max-age=31536000; includeSubDomains; preload","via":"1.1 Caddy","x-content-type-options":"nosniff","x-ms-client-request-id":"Not-Set","x-ms-is-spilled-over":"false","x-ms-rai-invoked":"false","x-ms-region":"West US","x-new-api-version":"0.4.35","x-oneapi-request-id":"202604280138406755867648268d9d6AlWUp3Z4","x-ratelimit-abusepenalty-active":"False","x-ratelimit-key":"gpt-5-chat-global","x-ratelimit-limit-requests":"1000","x-ratelimit-limit-tokens":"1000000","x-ratelimit-remaining-requests":"999","x-ratelimit-remaining-tokens":"998368","x-ratelimit-renewalperiod-requests":"60","x-ratelimit-renewalperiod-tokens":"60","x-ratelimit-reset-requests":"60","x-ratelimit-reset-tokens":"97","x-request-id":"b3d63fb6-c5cf-40fc-8fdc-ea25f8ead4b8"}</t>
        </is>
      </c>
      <c r="N172" t="inlineStr">
        <is>
          <t>Hermès Blue Epsom Leather H Buckle Belt, unisex minimalist metal design, showcasing modern urban elegance, timeless and classic luxury accessory.</t>
        </is>
      </c>
      <c r="O172" t="inlineStr">
        <is>
          <t>{"id":"chatcmpl-DZSWflbqcovPIDQsBSoXhdfkLB1CH","object":"chat.completion","created":1777343505,"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2" t="inlineStr">
        <is>
          <t>Hermes,Belt,kakobuy,kakebuy2026,kekobuysheet,kakobuysheet2026,2026kakobuy,kakobuyspreadsheeet,kakobuylink,kakebuylist,Kakobuy MEGA Spreadsheet,kakobuysheetfind,kakobuysheetfind2026,2026kakobuysheetfind,kakobuysheet2026</t>
        </is>
      </c>
      <c r="Q172"/>
      <c r="R172" t="inlineStr">
        <is>
          <t>recvhju1CruNx4</t>
        </is>
      </c>
      <c r="S172" t="inlineStr">
        <is>
          <t>hermes-blue-epsom-leather-h-buckle-belt-recvhju1cru nx4</t>
        </is>
      </c>
      <c r="T172"/>
      <c r="U172"/>
      <c r="V172"/>
      <c r="W172" t="inlineStr">
        <is>
          <t>{"id":"chatcmpl-DZRBSTdjpcr7k3Zv8qbqLji2Bp4Mo","object":"chat.completion","created":1777338346,"model":"gpt-5-chat-2025-10-03","choices":[{"index":0,"message":{"role":"assistant","content":"Hermès：蓝色Epsom皮革H字扣腰带，极简金属设计彰显现代都市格调，男女皆宜，经典优雅款。","refusal":null,"annotations":[]},"logprobs":null,"finish_reason":"stop"}],"usage":{"prompt_tokens":1297,"completion_tokens":38,"total_tokens":1335,"prompt_tokens_details":{"cached_tokens":0,"audio_tokens":0},"completion_tokens_details":{"reasoning_tokens":0,"audio_tokens":0,"accepted_prediction_tokens":0,"rejected_prediction_tokens":0}},"service_tier":"default","system_fingerprint":"fp_ad66631dec"}</t>
        </is>
      </c>
      <c r="X172" t="inlineStr">
        <is>
          <t>Hermès：蓝色Epsom皮革H字扣腰带，极简金属设计彰显现代都市格调，男女皆宜，经典优雅款。</t>
        </is>
      </c>
    </row>
    <row r="173" ht="25.5" customHeight="1">
      <c r="A173">
        <v>1654975475</v>
      </c>
      <c r="B173">
        <v>7623941734</v>
      </c>
      <c r="C173" s="2" t="str">
        <f>=HYPERLINK("https://weidian.com/item.html?itemID=7623941734", "https://weidian.com/item.html?itemID=7623941734")</f>
        <v>https://weidian.com/item.html?itemID=7623941734</v>
      </c>
      <c r="D173"/>
      <c r="E173" s="2" t="str">
        <f>=HYPERLINK("https://si.geilicdn.com/pcitem2014204438-42860000019ad88dee2f0a210139_1440_1920.jpg?w=640&amp;h=640", "https://si.geilicdn.com/pcitem2014204438-42860000019ad88dee2f0a210139_1440_1920.jpg?w=640&amp;h=640")</f>
        <v>https://si.geilicdn.com/pcitem2014204438-42860000019ad88dee2f0a210139_1440_1920.jpg?w=640&amp;h=640</v>
      </c>
      <c r="F173" t="inlineStr">
        <is>
          <t>Accessories</t>
        </is>
      </c>
      <c r="G173" t="inlineStr">
        <is>
          <t>Dior</t>
        </is>
      </c>
      <c r="H173">
        <v>480</v>
      </c>
      <c r="I173">
        <v>69.5797101449275</v>
      </c>
      <c r="J173" t="inlineStr">
        <is>
          <t>{"id":"chatcmpl-DZSNFS9Zua1MjvT7CAtdpjjnLInfQ","object":"chat.completion","created":1777342921,"model":"gpt-5-chat-2025-10-03","choices":[{"index":0,"message":{"role":"assistant","content":"Dior Men Oblique Blue Leather Belt Gold CD Buckle","refusal":null,"annotations":[]},"logprobs":null,"finish_reason":"stop"}],"usage":{"prompt_tokens":869,"completion_tokens":13,"total_tokens":882,"prompt_tokens_details":{"cached_tokens":0,"audio_tokens":0},"completion_tokens_details":{"reasoning_tokens":0,"audio_tokens":0,"accepted_prediction_tokens":0,"rejected_prediction_tokens":0}},"service_tier":"default","system_fingerprint":"fp_ad66631dec"}</t>
        </is>
      </c>
      <c r="K173" t="inlineStr">
        <is>
          <t>Dior Men Oblique Blue Leather Belt Gold CD Buckle</t>
        </is>
      </c>
      <c r="L173" t="inlineStr">
        <is>
          <t>{"id":"chatcmpl-DZReNTovPgXRtC0qrpHRjo0un0BU5","object":"chat.completion","created":1777340139,"model":"gpt-5-chat-2025-10-03","choices":[{"index":0,"message":{"role":"assistant","content":"Dior Men’s Oblique Blue Leather Belt blends signature jacquard canvas with genuine leather, featuring a gold CD buckle for a refined, vintage-inspired modern style.","refusal":null,"annotations":[]},"logprobs":null,"finish_reason":"stop"}],"usage":{"prompt_tokens":882,"completion_tokens":34,"total_tokens":916,"prompt_tokens_details":{"cached_tokens":0,"audio_tokens":0},"completion_tokens_details":{"reasoning_tokens":0,"audio_tokens":0,"accepted_prediction_tokens":0,"rejected_prediction_tokens":0}},"service_tier":"default","system_fingerprint":"fp_ad66631dec"}</t>
        </is>
      </c>
      <c r="M173" t="inlineStr">
        <is>
          <t>{"alt-svc":"h3=\":443\"; ma=2592000","apim-request-id":"a3692570-7fce-4bbd-a0c2-9532f29c4efd","azureml-model-session":"d20260402083108-57a85543","cache-control":"no-cache","connection":"close","content-length":"974","content-type":"application/json","date":"Tue, 28 Apr 2026 01:35:40 GMT","server":"Caddy","skip-error-remapping":"true","strict-transport-security":"max-age=31536000; includeSubDomains; preload","x-content-type-options":"nosniff","x-ms-client-request-id":"Not-Set","x-ms-is-spilled-over":"false","x-ms-rai-invoked":"false","x-ms-region":"West US","x-new-api-version":"0.4.35","x-oneapi-request-id":"202604280135378805891818268d9d6InMH0iGl","x-ratelimit-abusepenalty-active":"False","x-ratelimit-key":"gpt-5-chat-global","x-ratelimit-limit-requests":"1000","x-ratelimit-limit-tokens":"1000000","x-ratelimit-remaining-requests":"999","x-ratelimit-remaining-tokens":"998356","x-ratelimit-renewalperiod-requests":"60","x-ratelimit-renewalperiod-tokens":"60","x-ratelimit-reset-requests":"60","x-ratelimit-reset-tokens":"98","x-request-id":"d403de0e-73df-45c9-b892-f9da950017ce"}</t>
        </is>
      </c>
      <c r="N173" t="inlineStr">
        <is>
          <t>Dior Men’s Oblique Blue Leather Belt blends signature jacquard canvas with genuine leather, featuring a gold CD buckle for a refined, vintage-inspired modern style.</t>
        </is>
      </c>
      <c r="O173" t="inlineStr">
        <is>
          <t>{"id":"chatcmpl-DZSUFW1P4rSnYI24QqXeuJjb2gp7B","object":"chat.completion","created":1777343355,"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3" t="inlineStr">
        <is>
          <t>Dior,Belt,kakobuy,kakebuy2026,kekobuysheet,kakobuysheet2026,2026kakobuy,kakobuyspreadsheeet,kakobuylink,kakebuylist,Kakobuy MEGA Spreadsheet,kakobuysheetfind,kakobuysheetfind2026,2026kakobuysheetfind,kakobuysheet2026</t>
        </is>
      </c>
      <c r="Q173" t="inlineStr">
        <is>
          <t>Dior, Dior Oblique, Blue, Leather, Genuine Leather, Vintage</t>
        </is>
      </c>
      <c r="R173" t="inlineStr">
        <is>
          <t>recvhju1Crpi8F</t>
        </is>
      </c>
      <c r="S173" t="inlineStr">
        <is>
          <t>dior-men-oblique-blue-leather-belt-gold-cd-buckle-recvhju1crpi8f</t>
        </is>
      </c>
      <c r="T173"/>
      <c r="U173"/>
      <c r="V173"/>
      <c r="W173" t="inlineStr">
        <is>
          <t>{"id":"chatcmpl-DZR6YpieyFEfVbvIjkgUbLxKMQa3G","object":"chat.completion","created":1777338042,"model":"gpt-5-chat-2025-10-03","choices":[{"index":0,"message":{"role":"assistant","content":"Dior：Oblique系列蓝色男士皮革腰带，采用经典提花帆布与真皮拼接设计，金色CD字母扣彰显优雅格调，复古摩登风格。","refusal":null,"annotations":[]},"logprobs":null,"finish_reason":"stop"}],"usage":{"prompt_tokens":1297,"completion_tokens":50,"total_tokens":1347,"prompt_tokens_details":{"cached_tokens":0,"audio_tokens":0},"completion_tokens_details":{"reasoning_tokens":0,"audio_tokens":0,"accepted_prediction_tokens":0,"rejected_prediction_tokens":0}},"service_tier":"default","system_fingerprint":"fp_ad66631dec"}</t>
        </is>
      </c>
      <c r="X173" t="inlineStr">
        <is>
          <t>Dior：Oblique系列蓝色男士皮革腰带，采用经典提花帆布与真皮拼接设计，金色CD字母扣彰显优雅格调，复古摩登风格。</t>
        </is>
      </c>
    </row>
    <row r="174" ht="25.5" customHeight="1">
      <c r="A174">
        <v>1654975475</v>
      </c>
      <c r="B174">
        <v>7620863007</v>
      </c>
      <c r="C174" s="2" t="str">
        <f>=HYPERLINK("https://weidian.com/item.html?itemID=7620863007", "https://weidian.com/item.html?itemID=7620863007")</f>
        <v>https://weidian.com/item.html?itemID=7620863007</v>
      </c>
      <c r="D174"/>
      <c r="E174" s="2" t="str">
        <f>=HYPERLINK("https://si.geilicdn.com/pcitem2014204438-7a350000019ad891bcd00a23041a_720_960.jpg?w=640&amp;h=640", "https://si.geilicdn.com/pcitem2014204438-7a350000019ad891bcd00a23041a_720_960.jpg?w=640&amp;h=640")</f>
        <v>https://si.geilicdn.com/pcitem2014204438-7a350000019ad891bcd00a23041a_720_960.jpg?w=640&amp;h=640</v>
      </c>
      <c r="F174" t="inlineStr">
        <is>
          <t>Accessories</t>
        </is>
      </c>
      <c r="G174" t="inlineStr">
        <is>
          <t>Louis Vuitton</t>
        </is>
      </c>
      <c r="H174">
        <v>460</v>
      </c>
      <c r="I174">
        <v>66.67</v>
      </c>
      <c r="J174" t="inlineStr">
        <is>
          <t>{"id":"chatcmpl-DZSHYOkJRoL7PpseBbnyyMKzstiND","object":"chat.completion","created":1777342568,"model":"gpt-5-chat-2025-10-03","choices":[{"index":0,"message":{"role":"assistant","content":"Louis Vuitton Monogram Eclipse Red LV Men Belt","refusal":null,"annotations":[]},"logprobs":null,"finish_reason":"stop"}],"usage":{"prompt_tokens":859,"completion_tokens":10,"total_tokens":869,"prompt_tokens_details":{"cached_tokens":0,"audio_tokens":0},"completion_tokens_details":{"reasoning_tokens":0,"audio_tokens":0,"accepted_prediction_tokens":0,"rejected_prediction_tokens":0}},"service_tier":"default","system_fingerprint":"fp_ad66631dec"}</t>
        </is>
      </c>
      <c r="K174" t="inlineStr">
        <is>
          <t>Louis Vuitton Monogram Eclipse Red LV Men Belt</t>
        </is>
      </c>
      <c r="L174" t="inlineStr">
        <is>
          <t>{"id":"chatcmpl-DZRjk2LhJTbPpKiy3vWHl98F4bRNN","object":"chat.completion","created":1777340472,"model":"gpt-5-chat-2025-10-03","choices":[{"index":0,"message":{"role":"assistant","content":"Louis Vuitton Monogram Eclipse black and gray leather men’s belt with striking red LV metal buckle, blending timeless French craftsmanship with modern urban elegance.","refusal":null,"annotations":[]},"logprobs":null,"finish_reason":"stop"}],"usage":{"prompt_tokens":886,"completion_tokens":29,"total_tokens":915,"prompt_tokens_details":{"cached_tokens":0,"audio_tokens":0},"completion_tokens_details":{"reasoning_tokens":0,"audio_tokens":0,"accepted_prediction_tokens":0,"rejected_prediction_tokens":0}},"service_tier":"default","system_fingerprint":"fp_ad66631dec"}</t>
        </is>
      </c>
      <c r="M174" t="inlineStr">
        <is>
          <t>{"alt-svc":"h3=\":443\"; ma=2592000","apim-request-id":"16fd9c6a-88ca-4ae2-a15d-0dc81f9f9299","azureml-model-session":"d20260405234249-f9874baf","cache-control":"no-cache","connection":"close","content-length":"976","content-type":"application/json","date":"Tue, 28 Apr 2026 01:41:14 GMT","server":"nginx","skip-error-remapping":"true","strict-transport-security":"max-age=31536000; includeSubDomains; preload","via":"1.1 Caddy","x-content-type-options":"nosniff","x-ms-client-request-id":"Not-Set","x-ms-is-spilled-over":"false","x-ms-rai-invoked":"false","x-ms-region":"Poland Central","x-new-api-version":"0.4.35","x-oneapi-request-id":"202604280141113437734188268d9d66RY8DvcD","x-ratelimit-abusepenalty-active":"False","x-ratelimit-key":"gpt-5-chat-global","x-ratelimit-limit-requests":"1000","x-ratelimit-limit-tokens":"1000000","x-ratelimit-remaining-requests":"999","x-ratelimit-remaining-tokens":"998352","x-ratelimit-renewalperiod-requests":"60","x-ratelimit-renewalperiod-tokens":"60","x-ratelimit-reset-requests":"60","x-ratelimit-reset-tokens":"98","x-request-id":"22485da5-35b3-46ea-8bc2-a488a73fe9d8"}</t>
        </is>
      </c>
      <c r="N174" t="inlineStr">
        <is>
          <t>Louis Vuitton Monogram Eclipse black and gray leather men’s belt with striking red LV metal buckle, blending timeless French craftsmanship with modern urban elegance.</t>
        </is>
      </c>
      <c r="O174" t="inlineStr">
        <is>
          <t>{"id":"chatcmpl-DZSbsUlSuBVn19h3PhGXxKHJaF00A","object":"chat.completion","created":1777343828,"model":"gpt-5-chat-2025-10-03","choices":[{"index":0,"message":{"role":"assistant","content":"Louis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74" t="inlineStr">
        <is>
          <t>Louis Vuitton, Accessories, kakobuy, kakebuy2026, kekobuysheet, kakobuysheet2026, 2026kakobuy, kakobuyspreadsheeet, kakobuylink, kakebuylist, Kakobuy MEGA Spreadsheet, kakobuysheetfind, kakobuysheetfind2026, 2026kakobuysheetfind, kakobuysheet2026</t>
        </is>
      </c>
      <c r="Q174" t="inlineStr">
        <is>
          <t>LV, Leather, Black, Gray, Red, Men</t>
        </is>
      </c>
      <c r="R174" t="inlineStr">
        <is>
          <t>recvhju1CrfpiI</t>
        </is>
      </c>
      <c r="S174" t="inlineStr">
        <is>
          <t>louis-vuitton-monogram-eclipse-red-men-belt-recvhju1crfpii</t>
        </is>
      </c>
      <c r="T174"/>
      <c r="U174"/>
      <c r="V174"/>
      <c r="W174" t="inlineStr">
        <is>
          <t>{"id":"chatcmpl-DZRAyeuQOezXRULnQ6l3ZiL98j8wU","object":"chat.completion","created":1777338316,"model":"gpt-5-chat-2025-10-03","choices":[{"index":0,"message":{"role":"assistant","content":"Louis Vuitton: Monogram Eclipse系列黑灰配色男士皮革腰带，采用LV红色金属字母扣设计，低调奢华展现现代都市风格，彰显经典法式工艺与优雅品味。","refusal":null,"annotations":[]},"logprobs":null,"finish_reason":"stop"}],"usage":{"prompt_tokens":1295,"completion_tokens":55,"total_tokens":1350,"prompt_tokens_details":{"cached_tokens":0,"audio_tokens":0},"completion_tokens_details":{"reasoning_tokens":0,"audio_tokens":0,"accepted_prediction_tokens":0,"rejected_prediction_tokens":0}},"service_tier":"default","system_fingerprint":"fp_ad66631dec"}</t>
        </is>
      </c>
      <c r="X174" t="inlineStr">
        <is>
          <t>Louis Vuitton: Monogram Eclipse系列黑灰配色男士皮革腰带，采用LV红色金属字母扣设计，低调奢华展现现代都市风格，彰显经典法式工艺与优雅品味。</t>
        </is>
      </c>
    </row>
    <row r="175" ht="25.5" customHeight="1">
      <c r="A175">
        <v>1654975475</v>
      </c>
      <c r="B175">
        <v>7623935980</v>
      </c>
      <c r="C175" s="2" t="str">
        <f>=HYPERLINK("https://weidian.com/item.html?itemID=7623935980", "https://weidian.com/item.html?itemID=7623935980")</f>
        <v>https://weidian.com/item.html?itemID=7623935980</v>
      </c>
      <c r="D175"/>
      <c r="E175" s="2" t="str">
        <f>=HYPERLINK("https://si.geilicdn.com/pcitem2014204438-76dc0000019ad89393cf0a23057e_1440_1440.jpg?w=640&amp;h=640", "https://si.geilicdn.com/pcitem2014204438-76dc0000019ad89393cf0a23057e_1440_1440.jpg?w=640&amp;h=640")</f>
        <v>https://si.geilicdn.com/pcitem2014204438-76dc0000019ad89393cf0a23057e_1440_1440.jpg?w=640&amp;h=640</v>
      </c>
      <c r="F175" t="inlineStr">
        <is>
          <t>Accessories</t>
        </is>
      </c>
      <c r="G175" t="inlineStr">
        <is>
          <t>Fendi</t>
        </is>
      </c>
      <c r="H175">
        <v>500</v>
      </c>
      <c r="I175">
        <v>72.46</v>
      </c>
      <c r="J175" t="inlineStr">
        <is>
          <t>{"id":"chatcmpl-DZSN5PQTXT3AoRrkSiFhoAsIgLGAr","object":"chat.completion","created":1777342911,"model":"gpt-5-chat-2025-10-03","choices":[{"index":0,"message":{"role":"assistant","content":"Fendi Black FF Logo Reversible Leather Belt Men","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75" t="inlineStr">
        <is>
          <t>Fendi Black FF Logo Reversible Leather Belt Men</t>
        </is>
      </c>
      <c r="L175" t="inlineStr">
        <is>
          <t>{"id":"chatcmpl-DZRfyNODi7qk4ghQPkWuar7x3rwxn","object":"chat.completion","created":1777340238,"model":"gpt-5-chat-2025-10-03","choices":[{"index":0,"message":{"role":"assistant","content":"Fendi Black FF Logo Reversible Leather Belt, crafted from premium Italian cowhide with a gold Double F buckle, showcasing modern luxury and iconic style, ideal for business and casual wear.","refusal":null,"annotations":[]},"logprobs":null,"finish_reason":"stop"}],"usage":{"prompt_tokens":905,"completion_tokens":38,"total_tokens":943,"prompt_tokens_details":{"cached_tokens":0,"audio_tokens":0},"completion_tokens_details":{"reasoning_tokens":0,"audio_tokens":0,"accepted_prediction_tokens":0,"rejected_prediction_tokens":0}},"service_tier":"default","system_fingerprint":"fp_ad66631dec"}</t>
        </is>
      </c>
      <c r="M175" t="inlineStr">
        <is>
          <t>{"alt-svc":"h3=\":443\"; ma=2592000","apim-request-id":"d2cdb6be-da0d-450d-af70-c49ac4620cad","azureml-model-session":"d20260402083108-57a85543","cache-control":"no-cache","connection":"close","content-length":"997","content-type":"application/json","date":"Tue, 28 Apr 2026 01:37:20 GMT","server":"nginx","skip-error-remapping":"true","strict-transport-security":"max-age=31536000; includeSubDomains; preload","via":"1.1 Caddy","x-content-type-options":"nosniff","x-ms-client-request-id":"Not-Set","x-ms-is-spilled-over":"false","x-ms-rai-invoked":"false","x-ms-region":"Sweden Central","x-new-api-version":"0.4.35","x-oneapi-request-id":"202604280137171412704088268d9d6NWNhrnYX","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e7c1e93d-5164-41c3-a27f-8435fd45efff"}</t>
        </is>
      </c>
      <c r="N175" t="inlineStr">
        <is>
          <t>Fendi Black FF Logo Reversible Leather Belt, crafted from premium Italian cowhide with a gold Double F buckle, showcasing modern luxury and iconic style, ideal for business and casual wear.</t>
        </is>
      </c>
      <c r="O175" t="inlineStr">
        <is>
          <t>{"id":"chatcmpl-DZSaCIEABVqt9KogtotmpP4vO1P3m","object":"chat.completion","created":1777343724,"model":"gpt-5-chat-2025-10-03","choices":[{"index":0,"message":{"role":"assistant","content":"Fend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5" t="inlineStr">
        <is>
          <t>Fendi,Accessories,kakobuy,kakebuy2026,kekobuysheet,kakobuysheet2026,2026kakobuy,kakobuyspreadsheeet,kakobuylink,kakebuylist,Kakobuy MEGA Spreadsheet,kakobuysheetfind,kakobuysheetfind2026,2026kakobuysheetfind,kakobuysheet2026</t>
        </is>
      </c>
      <c r="Q175" t="inlineStr">
        <is>
          <t>Black, Leather, Cowhide, Gold, Business</t>
        </is>
      </c>
      <c r="R175" t="inlineStr">
        <is>
          <t>recvhju1Cr7Ylw</t>
        </is>
      </c>
      <c r="S175" t="inlineStr">
        <is>
          <t>fendi-black-ff-logo-reversible-leather-belt-men-recvhju1cr7ylw</t>
        </is>
      </c>
      <c r="T175"/>
      <c r="U175"/>
      <c r="V175"/>
      <c r="W175" t="inlineStr">
        <is>
          <t>{"id":"chatcmpl-DZR91MZKY8LIao4Phn4KLRuP714DJ","object":"chat.completion","created":1777338195,"model":"gpt-5-chat-2025-10-03","choices":[{"index":0,"message":{"role":"assistant","content":"Fendi：黑色FF Logo双面皮革腰带，甄选意大利头层牛皮打造，金色双F金属扣设计，彰显现代奢华与品牌标志性风格，简约大气，适合商务与休闲造型，男士典雅百搭之选。","refusal":null,"annotations":[]},"logprobs":null,"finish_reason":"stop"}],"usage":{"prompt_tokens":1299,"completion_tokens":72,"total_tokens":1371,"prompt_tokens_details":{"cached_tokens":0,"audio_tokens":0},"completion_tokens_details":{"reasoning_tokens":0,"audio_tokens":0,"accepted_prediction_tokens":0,"rejected_prediction_tokens":0}},"service_tier":"default","system_fingerprint":"fp_ad66631dec"}</t>
        </is>
      </c>
      <c r="X175" t="inlineStr">
        <is>
          <t>Fendi：黑色FF Logo双面皮革腰带，甄选意大利头层牛皮打造，金色双F金属扣设计，彰显现代奢华与品牌标志性风格，简约大气，适合商务与休闲造型，男士典雅百搭之选。</t>
        </is>
      </c>
    </row>
    <row r="176" ht="25.5" customHeight="1">
      <c r="A176">
        <v>1654975475</v>
      </c>
      <c r="B176">
        <v>7620924181</v>
      </c>
      <c r="C176" s="2" t="str">
        <f>=HYPERLINK("https://weidian.com/item.html?itemID=7620924181", "https://weidian.com/item.html?itemID=7620924181")</f>
        <v>https://weidian.com/item.html?itemID=7620924181</v>
      </c>
      <c r="D176"/>
      <c r="E176" s="2" t="str">
        <f>=HYPERLINK("https://si.geilicdn.com/pcitem2014204438-7a040000019ad89088c00a23111a_1440_1920.jpg?w=640&amp;h=640", "https://si.geilicdn.com/pcitem2014204438-7a040000019ad89088c00a23111a_1440_1920.jpg?w=640&amp;h=640")</f>
        <v>https://si.geilicdn.com/pcitem2014204438-7a040000019ad89088c00a23111a_1440_1920.jpg?w=640&amp;h=640</v>
      </c>
      <c r="F176" t="inlineStr">
        <is>
          <t>Accessories</t>
        </is>
      </c>
      <c r="G176" t="inlineStr">
        <is>
          <t>Gucci</t>
        </is>
      </c>
      <c r="H176">
        <v>480</v>
      </c>
      <c r="I176">
        <v>69.5797101449275</v>
      </c>
      <c r="J176" t="inlineStr">
        <is>
          <t>{"id":"chatcmpl-DZSJmoVVq49Zo28eEAKWcP7ErPcZB","object":"chat.completion","created":1777342706,"model":"gpt-5-chat-2025-10-03","choices":[{"index":0,"message":{"role":"assistant","content":"Gucci Black Leather Double G Belt Unisex Fashion Accessory","refusal":null,"annotations":[]},"logprobs":null,"finish_reason":"stop"}],"usage":{"prompt_tokens":885,"completion_tokens":13,"total_tokens":898,"prompt_tokens_details":{"cached_tokens":0,"audio_tokens":0},"completion_tokens_details":{"reasoning_tokens":0,"audio_tokens":0,"accepted_prediction_tokens":0,"rejected_prediction_tokens":0}},"service_tier":"default","system_fingerprint":"fp_ad66631dec"}</t>
        </is>
      </c>
      <c r="K176" t="inlineStr">
        <is>
          <t>Gucci Black Leather Double G Belt Unisex Fashion Accessory</t>
        </is>
      </c>
      <c r="L176" t="inlineStr">
        <is>
          <t>{"id":"chatcmpl-DZReLd5hpOW39w79U0noOMGZU9Rnh","object":"chat.completion","created":1777340137,"model":"gpt-5-chat-2025-10-03","choices":[{"index":0,"message":{"role":"assistant","content":"Gucci Black Double G Leather Belt crafted from premium cowhide, featuring a hollow metal GG buckle for a retro-luxury style. Unisex design, simple yet sophisticated, elevates any fashion look.","refusal":null,"annotations":[]},"logprobs":null,"finish_reason":"stop"}],"usage":{"prompt_tokens":891,"completion_tokens":42,"total_tokens":933,"prompt_tokens_details":{"cached_tokens":0,"audio_tokens":0},"completion_tokens_details":{"reasoning_tokens":0,"audio_tokens":0,"accepted_prediction_tokens":0,"rejected_prediction_tokens":0}},"service_tier":"default","system_fingerprint":"fp_ad66631dec"}</t>
        </is>
      </c>
      <c r="M176" t="inlineStr">
        <is>
          <t>{"alt-svc":"h3=\":443\"; ma=2592000","apim-request-id":"72e903dd-d1a0-4025-9008-39e08a42b8ff","azureml-model-session":"d20260402074105-51db401e","cache-control":"no-cache","connection":"close","content-length":"1000","content-type":"application/json","date":"Tue, 28 Apr 2026 01:35:40 GMT","server":"Caddy","skip-error-remapping":"true","strict-transport-security":"max-age=31536000; includeSubDomains; preload","x-content-type-options":"nosniff","x-ms-client-request-id":"Not-Set","x-ms-is-spilled-over":"false","x-ms-rai-invoked":"false","x-ms-region":"Sweden Central","x-new-api-version":"0.4.35","x-oneapi-request-id":"20260428013536323027528268d9d6pRoUYxyR","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1c944876-f40f-423c-9ef5-997ddbf82da5"}</t>
        </is>
      </c>
      <c r="N176" t="inlineStr">
        <is>
          <t>Gucci Black Double G Leather Belt crafted from premium cowhide, featuring a hollow metal GG buckle for a retro-luxury style. Unisex design, simple yet sophisticated, elevates any fashion look.</t>
        </is>
      </c>
      <c r="O176" t="inlineStr">
        <is>
          <t>{"id":"chatcmpl-DZSZLj80T41lTEW1zlSjTJZcAMk3g","object":"chat.completion","created":1777343671,"model":"gpt-5-chat-2025-10-03","choices":[{"index":0,"message":{"role":"assistant","content":"Gucci,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76" t="inlineStr">
        <is>
          <t>Gucci, belt, kakobuy, kakebuy2026, kekobuysheet, kakobuysheet2026, 2026kakobuy, kakobuyspreadsheeet, kakobuylink, kakebuylist, Kakobuy MEGA Spreadsheet, kakobuysheetfind, kakobuysheetfind2026, 2026kakobuysheetfind, kakobuysheet2026</t>
        </is>
      </c>
      <c r="Q176" t="inlineStr">
        <is>
          <t>Cowhide, Leather, Retro, Unisex, Simple</t>
        </is>
      </c>
      <c r="R176" t="inlineStr">
        <is>
          <t>recvhju1CrdpJC</t>
        </is>
      </c>
      <c r="S176" t="inlineStr">
        <is>
          <t>gucci-black-leather-double-g-belt-recvhju1crdpjc</t>
        </is>
      </c>
      <c r="T176"/>
      <c r="U176"/>
      <c r="V176"/>
      <c r="W176" t="inlineStr">
        <is>
          <t>{"id":"chatcmpl-DZRCYOmPaRnUjAnQrNJs6KxLWNVED","object":"chat.completion","created":1777338414,"model":"gpt-5-chat-2025-10-03","choices":[{"index":0,"message":{"role":"assistant","content":"Gucci：黑色双G系列皮质腰带，精选细腻牛皮材质搭配镂空金属GG扣，彰显复古奢华格调，男女皆宜，简约中透显高端时尚魅力。","refusal":null,"annotations":[]},"logprobs":null,"finish_reason":"stop"}],"usage":{"prompt_tokens":1299,"completion_tokens":58,"total_tokens":1357,"prompt_tokens_details":{"cached_tokens":0,"audio_tokens":0},"completion_tokens_details":{"reasoning_tokens":0,"audio_tokens":0,"accepted_prediction_tokens":0,"rejected_prediction_tokens":0}},"service_tier":"default","system_fingerprint":"fp_ad66631dec"}</t>
        </is>
      </c>
      <c r="X176" t="inlineStr">
        <is>
          <t>Gucci：黑色双G系列皮质腰带，精选细腻牛皮材质搭配镂空金属GG扣，彰显复古奢华格调，男女皆宜，简约中透显高端时尚魅力。</t>
        </is>
      </c>
    </row>
    <row r="177" ht="25.5" customHeight="1">
      <c r="A177">
        <v>1654975475</v>
      </c>
      <c r="B177">
        <v>7623886346</v>
      </c>
      <c r="C177" s="2" t="str">
        <f>=HYPERLINK("https://weidian.com/item.html?itemID=7623886346", "https://weidian.com/item.html?itemID=7623886346")</f>
        <v>https://weidian.com/item.html?itemID=7623886346</v>
      </c>
      <c r="D177"/>
      <c r="E177" s="2" t="str">
        <f>=HYPERLINK("https://si.geilicdn.com/pcitem2014204438-636a0000019ad891309e0a20e273_1440_1920.jpg?w=640&amp;h=640", "https://si.geilicdn.com/pcitem2014204438-636a0000019ad891309e0a20e273_1440_1920.jpg?w=640&amp;h=640")</f>
        <v>https://si.geilicdn.com/pcitem2014204438-636a0000019ad891309e0a20e273_1440_1920.jpg?w=640&amp;h=640</v>
      </c>
      <c r="F177" t="inlineStr">
        <is>
          <t>Accessories</t>
        </is>
      </c>
      <c r="G177" t="inlineStr">
        <is>
          <t>Louis Vuitton</t>
        </is>
      </c>
      <c r="H177">
        <v>502</v>
      </c>
      <c r="I177">
        <v>72.75</v>
      </c>
      <c r="J177" t="inlineStr">
        <is>
          <t>{"id":"chatcmpl-DZSGzF2EESwUETomVNEC81RCMuIZM","object":"chat.completion","created":1777342533,"model":"gpt-5-chat-2025-10-03","choices":[{"index":0,"message":{"role":"assistant","content":"Louis Vuitton Monogram Reversible Brown Leather LV Belt","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77" t="inlineStr">
        <is>
          <t>Louis Vuitton Monogram Reversible Brown Leather LV Belt</t>
        </is>
      </c>
      <c r="L177" t="inlineStr">
        <is>
          <t>{"id":"chatcmpl-DZRdGPpxfKNQVzwrHK6ZLazRUtj0T","object":"chat.completion","created":1777340070,"model":"gpt-5-chat-2025-10-03","choices":[{"index":0,"message":{"role":"assistant","content":"Louis Vuitton Monogram reversible brown leather belt with LV buckle, crafted from premium cowhide, inner monogram lining, unisex minimalist luxury design, timeless elegance and durability.","refusal":null,"annotations":[]},"logprobs":null,"finish_reason":"stop"}],"usage":{"prompt_tokens":925,"completion_tokens":35,"total_tokens":960,"prompt_tokens_details":{"cached_tokens":0,"audio_tokens":0},"completion_tokens_details":{"reasoning_tokens":0,"audio_tokens":0,"accepted_prediction_tokens":0,"rejected_prediction_tokens":0}},"service_tier":"default","system_fingerprint":"fp_ad66631dec"}</t>
        </is>
      </c>
      <c r="M177" t="inlineStr">
        <is>
          <t>{"alt-svc":"h3=\":443\"; ma=2592000","apim-request-id":"bc25fdfd-1c63-489d-b798-915fdb7fefb5","azureml-model-session":"d20260402075109-1fc5a0ec","cache-control":"no-cache","connection":"close","content-length":"996","content-type":"application/json","date":"Tue, 28 Apr 2026 01:34:31 GMT","server":"nginx","skip-error-remapping":"true","strict-transport-security":"max-age=31536000; includeSubDomains; preload","via":"1.1 Caddy","x-content-type-options":"nosniff","x-ms-client-request-id":"Not-Set","x-ms-is-spilled-over":"false","x-ms-rai-invoked":"false","x-ms-region":"East US","x-new-api-version":"0.4.35","x-oneapi-request-id":"202604280134293313874258268d9d6dYl22XNw","x-ratelimit-abusepenalty-active":"False","x-ratelimit-key":"gpt-5-chat-global","x-ratelimit-limit-requests":"1000","x-ratelimit-limit-tokens":"1000000","x-ratelimit-remaining-requests":"999","x-ratelimit-remaining-tokens":"998313","x-ratelimit-renewalperiod-requests":"60","x-ratelimit-renewalperiod-tokens":"60","x-ratelimit-reset-requests":"60","x-ratelimit-reset-tokens":"101","x-request-id":"977a5ec6-046c-49bc-bb15-81831ee5b41e"}</t>
        </is>
      </c>
      <c r="N177" t="inlineStr">
        <is>
          <t>Louis Vuitton Monogram reversible brown leather belt with LV buckle, crafted from premium cowhide, inner monogram lining, unisex minimalist luxury design, timeless elegance and durability.</t>
        </is>
      </c>
      <c r="O177" t="inlineStr">
        <is>
          <t>{"id":"chatcmpl-DZSaEePWXt4iyzhOP3cIQ9jab50Fr","object":"chat.completion","created":1777343726,"model":"gpt-5-chat-2025-10-03","choices":[{"index":0,"message":{"role":"assistant","content":"Louis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77" t="inlineStr">
        <is>
          <t>Louis Vuitton, belt, kakobuy, kakebuy2026, kekobuysheet, kakobuysheet2026, 2026kakobuy, kakobuyspreadsheeet, kakobuylink, kakebuylist, Kakobuy MEGA Spreadsheet, kakobuysheetfind, kakobuysheetfind2026, 2026kakobuysheetfind, kakobuysheet2026</t>
        </is>
      </c>
      <c r="Q177" t="inlineStr">
        <is>
          <t>LV, Cowhide, Leather, Unisex, Minimalist, Elegant</t>
        </is>
      </c>
      <c r="R177" t="inlineStr">
        <is>
          <t>recvhju1CrlxJ1</t>
        </is>
      </c>
      <c r="S177" t="inlineStr">
        <is>
          <t>louis-vuitton-monogram-reversible-brown-leather-lv-belt-recvhju1crlxj1</t>
        </is>
      </c>
      <c r="T177"/>
      <c r="U177"/>
      <c r="V177"/>
      <c r="W177" t="inlineStr">
        <is>
          <t>{"id":"chatcmpl-DZRChpof97LWByaWBQBA5EjqFqy0A","object":"chat.completion","created":1777338423,"model":"gpt-5-chat-2025-10-03","choices":[{"index":0,"message":{"role":"assistant","content":"Louis Vuitton：Monogram 系列棕色双面皮革腰带，以经典 LV 字母扣饰点缀，选用头层牛皮材质，质感细腻耐用。内衬品牌经典老花图腾，兼具时尚与实用功能；简约精致设计适合男女通用，现代奢华风格演绎品牌百年优雅品味。","refusal":null,"annotations":[]},"logprobs":null,"finish_reason":"stop"}],"usage":{"prompt_tokens":1299,"completion_tokens":92,"total_tokens":1391,"prompt_tokens_details":{"cached_tokens":1280,"audio_tokens":0},"completion_tokens_details":{"reasoning_tokens":0,"audio_tokens":0,"accepted_prediction_tokens":0,"rejected_prediction_tokens":0}},"service_tier":"default","system_fingerprint":"fp_ad66631dec"}</t>
        </is>
      </c>
      <c r="X177" t="inlineStr">
        <is>
          <t>Louis Vuitton：Monogram 系列棕色双面皮革腰带，以经典 LV 字母扣饰点缀，选用头层牛皮材质，质感细腻耐用。内衬品牌经典老花图腾，兼具时尚与实用功能；简约精致设计适合男女通用，现代奢华风格演绎品牌百年优雅品味。</t>
        </is>
      </c>
    </row>
    <row r="178" ht="25.5" customHeight="1">
      <c r="A178">
        <v>1654975475</v>
      </c>
      <c r="B178">
        <v>7620849257</v>
      </c>
      <c r="C178" s="2" t="str">
        <f>=HYPERLINK("https://weidian.com/item.html?itemID=7620849257", "https://weidian.com/item.html?itemID=7620849257")</f>
        <v>https://weidian.com/item.html?itemID=7620849257</v>
      </c>
      <c r="D178"/>
      <c r="E178" s="2" t="str">
        <f>=HYPERLINK("https://si.geilicdn.com/pcitem2014204438-76b80000019ad89315410a8133cc_720_960.jpg?w=640&amp;h=640", "https://si.geilicdn.com/pcitem2014204438-76b80000019ad89315410a8133cc_720_960.jpg?w=640&amp;h=640")</f>
        <v>https://si.geilicdn.com/pcitem2014204438-76b80000019ad89315410a8133cc_720_960.jpg?w=640&amp;h=640</v>
      </c>
      <c r="F178" t="inlineStr">
        <is>
          <t>Accessories</t>
        </is>
      </c>
      <c r="G178" t="inlineStr">
        <is>
          <t>Louis Vuitton</t>
        </is>
      </c>
      <c r="H178">
        <v>460</v>
      </c>
      <c r="I178">
        <v>66.67</v>
      </c>
      <c r="J178" t="inlineStr">
        <is>
          <t>{"id":"chatcmpl-DZSHuiuwJjpr1WctEce89umbv7DfG","object":"chat.completion","created":1777342590,"model":"gpt-5-chat-2025-10-03","choices":[{"index":0,"message":{"role":"assistant","content":"Louis Vuitton Monogram Brown Leather LV Buckle Belt","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178" t="inlineStr">
        <is>
          <t>Louis Vuitton Monogram Brown Leather LV Buckle Belt</t>
        </is>
      </c>
      <c r="L178" t="inlineStr">
        <is>
          <t>{"id":"chatcmpl-DZRh8KgBkqJRibbPdjwdxchWT66yw","object":"chat.completion","created":1777340310,"model":"gpt-5-chat-2025-10-03","choices":[{"index":0,"message":{"role":"assistant","content":"Louis Vuitton Monogram Brown Leather Belt with Gold LV Logo Buckle, timeless luxury style for men and women, elegant, versatile and perfect for any fashion occasion.","refusal":null,"annotations":[]},"logprobs":null,"finish_reason":"stop"}],"usage":{"prompt_tokens":870,"completion_tokens":33,"total_tokens":903,"prompt_tokens_details":{"cached_tokens":0,"audio_tokens":0},"completion_tokens_details":{"reasoning_tokens":0,"audio_tokens":0,"accepted_prediction_tokens":0,"rejected_prediction_tokens":0}},"service_tier":"default","system_fingerprint":"fp_ad66631dec"}</t>
        </is>
      </c>
      <c r="M178" t="inlineStr">
        <is>
          <t>{"alt-svc":"h3=\":443\"; ma=2592000","apim-request-id":"94fcb87e-da55-4599-b697-bc044f7d3abe","azureml-model-session":"d20260405234249-f9874baf","cache-control":"no-cache","connection":"close","content-length":"973","content-type":"application/json","date":"Tue, 28 Apr 2026 01:38:30 GMT","server":"Caddy","skip-error-remapping":"true","strict-transport-security":"max-age=31536000; includeSubDomains; preload","x-content-type-options":"nosniff","x-ms-client-request-id":"Not-Set","x-ms-is-spilled-over":"false","x-ms-rai-invoked":"false","x-ms-region":"South Central US","x-new-api-version":"0.4.35","x-oneapi-request-id":"202604280138291541859098268d9d6AWs1PR8g","x-ratelimit-abusepenalty-active":"False","x-ratelimit-key":"gpt-5-chat-global","x-ratelimit-limit-requests":"1000","x-ratelimit-limit-tokens":"1000000","x-ratelimit-remaining-requests":"999","x-ratelimit-remaining-tokens":"998368","x-ratelimit-renewalperiod-requests":"60","x-ratelimit-renewalperiod-tokens":"60","x-ratelimit-reset-requests":"60","x-ratelimit-reset-tokens":"97","x-request-id":"e4f83a86-1bc4-41bc-8646-c474c5fda5cb"}</t>
        </is>
      </c>
      <c r="N178" t="inlineStr">
        <is>
          <t>Louis Vuitton Monogram Brown Leather Belt with Gold LV Logo Buckle, timeless luxury style for men and women, elegant, versatile and perfect for any fashion occasion.</t>
        </is>
      </c>
      <c r="O178" t="inlineStr">
        <is>
          <t>{"id":"chatcmpl-DZSX2efnjcDDF8lWNPaqozcN0tQEF","object":"chat.completion","created":1777343528,"model":"gpt-5-chat-2025-10-03","choices":[{"index":0,"message":{"role":"assistant","content":"Louis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8" t="inlineStr">
        <is>
          <t>Louis Vuitton,Accessories,kakobuy,kakebuy2026,kekobuysheet,kakobuysheet2026,2026kakobuy,kakobuyspreadsheeet,kakobuylink,kakebuylist,Kakobuy MEGA Spreadsheet,kakobuysheetfind,kakobuysheetfind2026,2026kakobuysheetfind,kakobuysheet2026</t>
        </is>
      </c>
      <c r="Q178" t="inlineStr">
        <is>
          <t>LV, Leather, Brown, Gold, Elegant, Unisex</t>
        </is>
      </c>
      <c r="R178" t="inlineStr">
        <is>
          <t>recvhju1CrHZKs</t>
        </is>
      </c>
      <c r="S178" t="inlineStr">
        <is>
          <t>louis-vuitton-monogram-brown-leather-lv-buckle-belt-recvhju1crhzks</t>
        </is>
      </c>
      <c r="T178"/>
      <c r="U178"/>
      <c r="V178"/>
      <c r="W178" t="inlineStr">
        <is>
          <t>{"id":"chatcmpl-DZRC7KicysaUOnEz9SAPAbC0nZTAO","object":"chat.completion","created":1777338387,"model":"gpt-5-chat-2025-10-03","choices":[{"index":0,"message":{"role":"assistant","content":"Louis Vuitton：经典Monogram棕色真皮腰带，金属LV字母扣设计，彰显品牌优雅格调，男女皆宜，时尚百搭。","refusal":null,"annotations":[]},"logprobs":null,"finish_reason":"stop"}],"usage":{"prompt_tokens":1293,"completion_tokens":40,"total_tokens":1333,"prompt_tokens_details":{"cached_tokens":0,"audio_tokens":0},"completion_tokens_details":{"reasoning_tokens":0,"audio_tokens":0,"accepted_prediction_tokens":0,"rejected_prediction_tokens":0}},"service_tier":"default","system_fingerprint":"fp_ad66631dec"}</t>
        </is>
      </c>
      <c r="X178" t="inlineStr">
        <is>
          <t>Louis Vuitton：经典Monogram棕色真皮腰带，金属LV字母扣设计，彰显品牌优雅格调，男女皆宜，时尚百搭。</t>
        </is>
      </c>
    </row>
    <row r="179" ht="25.5" customHeight="1">
      <c r="A179">
        <v>1654975475</v>
      </c>
      <c r="B179">
        <v>7623830610</v>
      </c>
      <c r="C179" s="2" t="str">
        <f>=HYPERLINK("https://weidian.com/item.html?itemID=7623830610", "https://weidian.com/item.html?itemID=7623830610")</f>
        <v>https://weidian.com/item.html?itemID=7623830610</v>
      </c>
      <c r="D179"/>
      <c r="E179" s="2" t="str">
        <f>=HYPERLINK("https://si.geilicdn.com/pcitem2014204438-42480000019ad88d3aa10a210139_1440_1920.jpg?w=640&amp;h=640", "https://si.geilicdn.com/pcitem2014204438-42480000019ad88d3aa10a210139_1440_1920.jpg?w=640&amp;h=640")</f>
        <v>https://si.geilicdn.com/pcitem2014204438-42480000019ad88d3aa10a210139_1440_1920.jpg?w=640&amp;h=640</v>
      </c>
      <c r="F179" t="inlineStr">
        <is>
          <t>Accessories</t>
        </is>
      </c>
      <c r="G179" t="inlineStr">
        <is>
          <t>Dior</t>
        </is>
      </c>
      <c r="H179">
        <v>490</v>
      </c>
      <c r="I179">
        <v>71.01</v>
      </c>
      <c r="J179" t="inlineStr">
        <is>
          <t>{"id":"chatcmpl-DZSINO5IZpqhTsZTkDyLVDwGqLyHg","object":"chat.completion","created":1777342619,"model":"gpt-5-chat-2025-10-03","choices":[{"index":0,"message":{"role":"assistant","content":"Dior Oblique Black Leather Men Belt Silver Buckle","refusal":null,"annotations":[]},"logprobs":null,"finish_reason":"stop"}],"usage":{"prompt_tokens":863,"completion_tokens":12,"total_tokens":875,"prompt_tokens_details":{"cached_tokens":0,"audio_tokens":0},"completion_tokens_details":{"reasoning_tokens":0,"audio_tokens":0,"accepted_prediction_tokens":0,"rejected_prediction_tokens":0}},"service_tier":"default","system_fingerprint":"fp_ad66631dec"}</t>
        </is>
      </c>
      <c r="K179" t="inlineStr">
        <is>
          <t>Dior Oblique Black Leather Men Belt Silver Buckle</t>
        </is>
      </c>
      <c r="L179" t="inlineStr">
        <is>
          <t>{"id":"chatcmpl-DZRco3FL2alFAPJr8V0AolrDYDGZY","object":"chat.completion","created":1777340042,"model":"gpt-5-chat-2025-10-03","choices":[{"index":0,"message":{"role":"assistant","content":"Dior Oblique Black Leather Men’s Belt with Silver CD Buckle, blending vintage charm and modern elegance, perfect for business attire or everyday style.","refusal":null,"annotations":[]},"logprobs":null,"finish_reason":"stop"}],"usage":{"prompt_tokens":880,"completion_tokens":31,"total_tokens":911,"prompt_tokens_details":{"cached_tokens":0,"audio_tokens":0},"completion_tokens_details":{"reasoning_tokens":0,"audio_tokens":0,"accepted_prediction_tokens":0,"rejected_prediction_tokens":0}},"service_tier":"default","system_fingerprint":"fp_ad66631dec"}</t>
        </is>
      </c>
      <c r="M179" t="inlineStr">
        <is>
          <t>{"alt-svc":"h3=\":443\"; ma=2592000","apim-request-id":"bca79c67-c0fc-43c6-8ffe-4551b8c9a713","azureml-model-session":"d20260405221325-2e8d5e76","cache-control":"no-cache","connection":"close","content-length":"961","content-type":"application/json","date":"Tue, 28 Apr 2026 01:34:04 GMT","server":"Caddy","skip-error-remapping":"true","strict-transport-security":"max-age=31536000; includeSubDomains; preload","x-content-type-options":"nosniff","x-ms-client-request-id":"Not-Set","x-ms-is-spilled-over":"false","x-ms-rai-invoked":"false","x-ms-region":"Poland Central","x-new-api-version":"0.4.35","x-oneapi-request-id":"202604280134005393857908268d9d6A7dfgmAK","x-ratelimit-abusepenalty-active":"False","x-ratelimit-key":"gpt-5-chat-global","x-ratelimit-limit-requests":"1000","x-ratelimit-limit-tokens":"1000000","x-ratelimit-remaining-requests":"999","x-ratelimit-remaining-tokens":"998358","x-ratelimit-renewalperiod-requests":"60","x-ratelimit-renewalperiod-tokens":"60","x-ratelimit-reset-requests":"60","x-ratelimit-reset-tokens":"98","x-request-id":"842c61f6-3896-4426-99a3-62a579fc1ce6"}</t>
        </is>
      </c>
      <c r="N179" t="inlineStr">
        <is>
          <t>Dior Oblique Black Leather Men’s Belt with Silver CD Buckle, blending vintage charm and modern elegance, perfect for business attire or everyday style.</t>
        </is>
      </c>
      <c r="O179" t="inlineStr">
        <is>
          <t>{"id":"chatcmpl-DZSUBBABzKz0mTXwYlEkfsyr6bN6h","object":"chat.completion","created":1777343351,"model":"gpt-5-chat-2025-10-03","choices":[{"index":0,"message":{"role":"assistant","content":"Dior,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79" t="inlineStr">
        <is>
          <t>Dior, Accessories, kakobuy, kakebuy2026, kekobuysheet, kakobuysheet2026, 2026kakobuy, kakobuyspreadsheeet, kakobuylink, kakebuylist, Kakobuy MEGA Spreadsheet, kakobuysheetfind, kakobuysheetfind2026, 2026kakobuysheetfind, kakobuysheet2026</t>
        </is>
      </c>
      <c r="Q179" t="inlineStr">
        <is>
          <t>Dior, Dior Oblique, Black, Leather, Business, Men</t>
        </is>
      </c>
      <c r="R179" t="inlineStr">
        <is>
          <t>recvhju1Cr9jvA</t>
        </is>
      </c>
      <c r="S179" t="inlineStr">
        <is>
          <t>dior-oblique-black-leather-men-belt-silver-buckle-recvhju1cr9jva</t>
        </is>
      </c>
      <c r="T179"/>
      <c r="U179"/>
      <c r="V179"/>
      <c r="W179" t="inlineStr">
        <is>
          <t>{"id":"chatcmpl-DZRAq7h1kZt1eGF3hRKFOLXBYaepS","object":"chat.completion","created":1777338308,"model":"gpt-5-chat-2025-10-03","choices":[{"index":0,"message":{"role":"assistant","content":"Dior：Oblique系列黑色男子皮质腰带，精致CD银色金属扣，彰显现代优雅设计，复古与摩登并存，适合商务与日常造型。","refusal":null,"annotations":[]},"logprobs":null,"finish_reason":"stop"}],"usage":{"prompt_tokens":1297,"completion_tokens":48,"total_tokens":1345,"prompt_tokens_details":{"cached_tokens":0,"audio_tokens":0},"completion_tokens_details":{"reasoning_tokens":0,"audio_tokens":0,"accepted_prediction_tokens":0,"rejected_prediction_tokens":0}},"service_tier":"default","system_fingerprint":"fp_ad66631dec"}</t>
        </is>
      </c>
      <c r="X179" t="inlineStr">
        <is>
          <t>Dior：Oblique系列黑色男子皮质腰带，精致CD银色金属扣，彰显现代优雅设计，复古与摩登并存，适合商务与日常造型。</t>
        </is>
      </c>
    </row>
    <row r="180" ht="25.5" customHeight="1">
      <c r="A180">
        <v>1654975475</v>
      </c>
      <c r="B180">
        <v>7623924038</v>
      </c>
      <c r="C180" s="2" t="str">
        <f>=HYPERLINK("https://weidian.com/item.html?itemID=7623924038", "https://weidian.com/item.html?itemID=7623924038")</f>
        <v>https://weidian.com/item.html?itemID=7623924038</v>
      </c>
      <c r="D180"/>
      <c r="E180" s="2" t="str">
        <f>=HYPERLINK("https://si.geilicdn.com/pcitem2014204438-79af0000019ad88fd6850a23041a_1440_1920.jpg?w=640&amp;h=640", "https://si.geilicdn.com/pcitem2014204438-79af0000019ad88fd6850a23041a_1440_1920.jpg?w=640&amp;h=640")</f>
        <v>https://si.geilicdn.com/pcitem2014204438-79af0000019ad88fd6850a23041a_1440_1920.jpg?w=640&amp;h=640</v>
      </c>
      <c r="F180" t="inlineStr">
        <is>
          <t>Accessories</t>
        </is>
      </c>
      <c r="G180" t="inlineStr">
        <is>
          <t>Gucci</t>
        </is>
      </c>
      <c r="H180">
        <v>480</v>
      </c>
      <c r="I180">
        <v>69.5797101449275</v>
      </c>
      <c r="J180" t="inlineStr">
        <is>
          <t>{"id":"chatcmpl-DZSIkBIPhRZe1Hwwt07WVxV79MF4o","object":"chat.completion","created":1777342642,"model":"gpt-5-chat-2025-10-03","choices":[{"index":0,"message":{"role":"assistant","content":"Gucci Classic Black Leather Belt Silver GG Buckle Unisex","refusal":null,"annotations":[]},"logprobs":null,"finish_reason":"stop"}],"usage":{"prompt_tokens":869,"completion_tokens":13,"total_tokens":882,"prompt_tokens_details":{"cached_tokens":0,"audio_tokens":0},"completion_tokens_details":{"reasoning_tokens":0,"audio_tokens":0,"accepted_prediction_tokens":0,"rejected_prediction_tokens":0}},"service_tier":"default","system_fingerprint":"fp_ad66631dec"}</t>
        </is>
      </c>
      <c r="K180" t="inlineStr">
        <is>
          <t>Gucci Classic Black Leather Belt Silver GG Buckle Unisex</t>
        </is>
      </c>
      <c r="L180" t="inlineStr">
        <is>
          <t>{"id":"chatcmpl-DZRiO4URSQ4DbqH7Ip0ol4uVxwtWi","object":"chat.completion","created":1777340388,"model":"gpt-5-chat-2025-10-03","choices":[{"index":0,"message":{"role":"assistant","content":"Gucci Classic Black Leather Belt with embossed calfskin and silver Double G buckle, unisex design blending vintage charm and modern Italian style, perfect for refined everyday fashion.","refusal":null,"annotations":[]},"logprobs":null,"finish_reason":"stop"}],"usage":{"prompt_tokens":889,"completion_tokens":34,"total_tokens":923,"prompt_tokens_details":{"cached_tokens":0,"audio_tokens":0},"completion_tokens_details":{"reasoning_tokens":0,"audio_tokens":0,"accepted_prediction_tokens":0,"rejected_prediction_tokens":0}},"service_tier":"default","system_fingerprint":"fp_ad66631dec"}</t>
        </is>
      </c>
      <c r="M180" t="inlineStr">
        <is>
          <t>{"alt-svc":"h3=\":443\"; ma=2592000","apim-request-id":"1bf9844b-87b8-4a59-86ee-55bf4e37f3cf","azureml-model-session":"d20260402075109-1fc5a0ec","cache-control":"no-cache","connection":"close","content-length":"992","content-type":"application/json","date":"Tue, 28 Apr 2026 01:39:49 GMT","server":"Caddy","skip-error-remapping":"true","strict-transport-security":"max-age=31536000; includeSubDomains; preload","x-content-type-options":"nosniff","x-ms-client-request-id":"Not-Set","x-ms-is-spilled-over":"false","x-ms-rai-invoked":"false","x-ms-region":"Poland Central","x-new-api-version":"0.4.35","x-oneapi-request-id":"20260428013947801137248268d9d6uEVnP8bJ","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01ffedda-1d14-48c5-912c-c3f465d9b868"}</t>
        </is>
      </c>
      <c r="N180" t="inlineStr">
        <is>
          <t>Gucci Classic Black Leather Belt with embossed calfskin and silver Double G buckle, unisex design blending vintage charm and modern Italian style, perfect for refined everyday fashion.</t>
        </is>
      </c>
      <c r="O180" t="inlineStr">
        <is>
          <t>{"id":"chatcmpl-DZSUzVE4F7VxmtYmLwxh1zsXadHk9","object":"chat.completion","created":1777343401,"model":"gpt-5-chat-2025-10-03","choices":[{"index":0,"message":{"role":"assistant","content":"Gucci,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0" t="inlineStr">
        <is>
          <t>Gucci, belt, kakobuy, kakebuy2026, kekobuysheet, kakobuysheet2026, 2026kakobuy, kakobuyspreadsheeet, kakobuylink, kakebuylist, Kakobuy MEGA Spreadsheet, kakobuysheetfind, kakobuysheetfind2026, 2026kakobuysheetfind, kakobuysheet2026</t>
        </is>
      </c>
      <c r="Q180" t="inlineStr">
        <is>
          <t>Black, Leather, Unisex, Vintage, Classic</t>
        </is>
      </c>
      <c r="R180" t="inlineStr">
        <is>
          <t>recvhju1CrnE32</t>
        </is>
      </c>
      <c r="S180" t="inlineStr">
        <is>
          <t>gucci-classic-black-leather-belt-silver-gg-buckle-unisex-recvhju1crne32</t>
        </is>
      </c>
      <c r="T180"/>
      <c r="U180"/>
      <c r="V180"/>
      <c r="W180" t="inlineStr">
        <is>
          <t>{"id":"chatcmpl-DZRE531AYBwazM17WXnPwuwIPyL0O","object":"chat.completion","created":1777338509,"model":"gpt-5-chat-2025-10-03","choices":[{"index":0,"message":{"role":"assistant","content":"Gucci：经典系列黑色皮革腰带，采用压纹牛皮搭配银色双G金属扣，简约优雅设计彰显品牌标志，男女皆宜，复古与现代融合的意大利格调之作。","refusal":null,"annotations":[]},"logprobs":null,"finish_reason":"stop"}],"usage":{"prompt_tokens":1299,"completion_tokens":56,"total_tokens":1355,"prompt_tokens_details":{"cached_tokens":0,"audio_tokens":0},"completion_tokens_details":{"reasoning_tokens":0,"audio_tokens":0,"accepted_prediction_tokens":0,"rejected_prediction_tokens":0}},"service_tier":"default","system_fingerprint":"fp_ad66631dec"}</t>
        </is>
      </c>
      <c r="X180" t="inlineStr">
        <is>
          <t>Gucci：经典系列黑色皮革腰带，采用压纹牛皮搭配银色双G金属扣，简约优雅设计彰显品牌标志，男女皆宜，复古与现代融合的意大利格调之作。</t>
        </is>
      </c>
    </row>
    <row r="181" ht="25.5" customHeight="1">
      <c r="A181">
        <v>1654975475</v>
      </c>
      <c r="B181">
        <v>7620912377</v>
      </c>
      <c r="C181" s="2" t="str">
        <f>=HYPERLINK("https://weidian.com/item.html?itemID=7620912377", "https://weidian.com/item.html?itemID=7620912377")</f>
        <v>https://weidian.com/item.html?itemID=7620912377</v>
      </c>
      <c r="D181"/>
      <c r="E181" s="2" t="str">
        <f>=HYPERLINK("https://si.geilicdn.com/pcitem2014204438-6d9c0000019ad89581a90a8134f0_1440_1920.jpg?w=640&amp;h=640", "https://si.geilicdn.com/pcitem2014204438-6d9c0000019ad89581a90a8134f0_1440_1920.jpg?w=640&amp;h=640")</f>
        <v>https://si.geilicdn.com/pcitem2014204438-6d9c0000019ad89581a90a8134f0_1440_1920.jpg?w=640&amp;h=640</v>
      </c>
      <c r="F181" t="inlineStr">
        <is>
          <t>Accessories</t>
        </is>
      </c>
      <c r="G181" t="inlineStr">
        <is>
          <t>Gucci</t>
        </is>
      </c>
      <c r="H181">
        <v>520</v>
      </c>
      <c r="I181">
        <v>75.36</v>
      </c>
      <c r="J181" t="inlineStr">
        <is>
          <t>{"id":"chatcmpl-DZSL8dfusIyxj1SOJhdZ5K1gPZoge","object":"chat.completion","created":1777342790,"model":"gpt-5-chat-2025-10-03","choices":[{"index":0,"message":{"role":"assistant","content":"Gucci Classic Brown Leather Double G Buckle Belt","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81" t="inlineStr">
        <is>
          <t>Gucci Classic Brown Leather Double G Buckle Belt</t>
        </is>
      </c>
      <c r="L181" t="inlineStr">
        <is>
          <t>{"id":"chatcmpl-DZRjo972xn5yeYpgxjdXBk839ngs5","object":"chat.completion","created":1777340476,"model":"gpt-5-chat-2025-10-03","choices":[{"index":0,"message":{"role":"assistant","content":"Gucci Classic Brown Leather Belt crafted from premium cowhide, featuring gold-silver double G buckle, unisex design merging retro charm and modern luxury, showcasing Italian craftsmanship and timeless elegance.","refusal":null,"annotations":[]},"logprobs":null,"finish_reason":"stop"}],"usage":{"prompt_tokens":911,"completion_tokens":38,"total_tokens":949,"prompt_tokens_details":{"cached_tokens":0,"audio_tokens":0},"completion_tokens_details":{"reasoning_tokens":0,"audio_tokens":0,"accepted_prediction_tokens":0,"rejected_prediction_tokens":0}},"service_tier":"default","system_fingerprint":"fp_ad66631dec"}</t>
        </is>
      </c>
      <c r="M181" t="inlineStr">
        <is>
          <t>{"alt-svc":"h3=\":443\"; ma=2592000","apim-request-id":"5e009a20-b049-4638-b0cf-63441a041672","azureml-model-session":"d20260402074105-51db401e","cache-control":"no-cache","connection":"close","content-length":"1018","content-type":"application/json","date":"Tue, 28 Apr 2026 01:41:17 GMT","server":"nginx","skip-error-remapping":"true","strict-transport-security":"max-age=31536000; includeSubDomains; preload","via":"1.1 Caddy","x-content-type-options":"nosniff","x-ms-client-request-id":"Not-Set","x-ms-is-spilled-over":"false","x-ms-rai-invoked":"false","x-ms-region":"South Central US","x-new-api-version":"0.4.35","x-oneapi-request-id":"20260428014115765414868268d9d6oJiKT2jv","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7a659699-e75d-4b43-9a13-787aaa0766c9"}</t>
        </is>
      </c>
      <c r="N181" t="inlineStr">
        <is>
          <t>Gucci Classic Brown Leather Belt crafted from premium cowhide, featuring gold-silver double G buckle, unisex design merging retro charm and modern luxury, showcasing Italian craftsmanship and timeless elegance.</t>
        </is>
      </c>
      <c r="O181" t="inlineStr">
        <is>
          <t>{"id":"chatcmpl-DZSVUK8YeB56xI1886zyoIYYYK4z2","object":"chat.completion","created":1777343432,"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1" t="inlineStr">
        <is>
          <t>Gucci,Accessories,kakobuy,kakebuy2026,kekobuysheet,kakobuysheet2026,2026kakobuy,kakobuyspreadsheeet,kakobuylink,kakebuylist,Kakobuy MEGA Spreadsheet,kakobuysheetfind,kakobuysheetfind2026,2026kakobuysheetfind,kakobuysheet2026</t>
        </is>
      </c>
      <c r="Q181" t="inlineStr">
        <is>
          <t>Brown, Leather, Cowhide, Gold, Silver, Unisex</t>
        </is>
      </c>
      <c r="R181" t="inlineStr">
        <is>
          <t>recvhju1CrXJhw</t>
        </is>
      </c>
      <c r="S181" t="inlineStr">
        <is>
          <t>gucci-classic-brown-leather-double-g-buckle-belt-recvhju1crxjhw</t>
        </is>
      </c>
      <c r="T181"/>
      <c r="U181"/>
      <c r="V181"/>
      <c r="W181" t="inlineStr">
        <is>
          <t>{"id":"chatcmpl-DZR6SPKWBpiQXcku0u8e7gEQxUNAw","object":"chat.completion","created":1777338036,"model":"gpt-5-chat-2025-10-03","choices":[{"index":0,"message":{"role":"assistant","content":"Gucci：经典系列棕色真皮腰带，采用优质牛皮材质打造，搭配金银双色双G金属扣设计，彰显现代奢华风格，适合男女通用，复古与摩登兼具，完美演绎意式精致工艺与高端品味。","refusal":null,"annotations":[]},"logprobs":null,"finish_reason":"stop"}],"usage":{"prompt_tokens":1305,"completion_tokens":75,"total_tokens":1380,"prompt_tokens_details":{"cached_tokens":0,"audio_tokens":0},"completion_tokens_details":{"reasoning_tokens":0,"audio_tokens":0,"accepted_prediction_tokens":0,"rejected_prediction_tokens":0}},"service_tier":"default","system_fingerprint":"fp_ad66631dec"}</t>
        </is>
      </c>
      <c r="X181" t="inlineStr">
        <is>
          <t>Gucci：经典系列棕色真皮腰带，采用优质牛皮材质打造，搭配金银双色双G金属扣设计，彰显现代奢华风格，适合男女通用，复古与摩登兼具，完美演绎意式精致工艺与高端品味。</t>
        </is>
      </c>
    </row>
    <row r="182" ht="25.5" customHeight="1">
      <c r="A182">
        <v>1654975475</v>
      </c>
      <c r="B182">
        <v>7620865155</v>
      </c>
      <c r="C182" s="2" t="str">
        <f>=HYPERLINK("https://weidian.com/item.html?itemID=7620865155", "https://weidian.com/item.html?itemID=7620865155")</f>
        <v>https://weidian.com/item.html?itemID=7620865155</v>
      </c>
      <c r="D182"/>
      <c r="E182" s="2" t="str">
        <f>=HYPERLINK("https://si.geilicdn.com/pcitem2014204438-7a270000019ad8aa07530a20e284_1440_1920.jpg?w=640&amp;h=640", "https://si.geilicdn.com/pcitem2014204438-7a270000019ad8aa07530a20e284_1440_1920.jpg?w=640&amp;h=640")</f>
        <v>https://si.geilicdn.com/pcitem2014204438-7a270000019ad8aa07530a20e284_1440_1920.jpg?w=640&amp;h=640</v>
      </c>
      <c r="F182" t="inlineStr">
        <is>
          <t>Accessories</t>
        </is>
      </c>
      <c r="G182" t="inlineStr">
        <is>
          <t>Louis Vuitton</t>
        </is>
      </c>
      <c r="H182">
        <v>490</v>
      </c>
      <c r="I182">
        <v>71.01</v>
      </c>
      <c r="J182" t="inlineStr">
        <is>
          <t>{"id":"chatcmpl-DZSKX9dF28k5w5UCz7OZBB67FoD8W","object":"chat.completion","created":1777342753,"model":"gpt-5-chat-2025-10-03","choices":[{"index":0,"message":{"role":"assistant","content":"Louis Vuitton Damier Graphite Leather Men Belt","refusal":null,"annotations":[]},"logprobs":null,"finish_reason":"stop"}],"usage":{"prompt_tokens":881,"completion_tokens":10,"total_tokens":891,"prompt_tokens_details":{"cached_tokens":0,"audio_tokens":0},"completion_tokens_details":{"reasoning_tokens":0,"audio_tokens":0,"accepted_prediction_tokens":0,"rejected_prediction_tokens":0}},"service_tier":"default","system_fingerprint":"fp_ad66631dec"}</t>
        </is>
      </c>
      <c r="K182" t="inlineStr">
        <is>
          <t>Louis Vuitton Damier Graphite Leather Men Belt</t>
        </is>
      </c>
      <c r="L182" t="inlineStr">
        <is>
          <t>{"id":"chatcmpl-DZRdcMrdU8viay9tDVr5K73V8vJUz","object":"chat.completion","created":1777340092,"model":"gpt-5-chat-2025-10-03","choices":[{"index":0,"message":{"role":"assistant","content":"Louis Vuitton Damier Graphite Men’s Belt, crafted from premium leather with silver LV buckle, features black and grey geometric check pattern for a refined urban look, perfect for business or casual wear.","refusal":null,"annotations":[]},"logprobs":null,"finish_reason":"stop"}],"usage":{"prompt_tokens":898,"completion_tokens":40,"total_tokens":938,"prompt_tokens_details":{"cached_tokens":0,"audio_tokens":0},"completion_tokens_details":{"reasoning_tokens":0,"audio_tokens":0,"accepted_prediction_tokens":0,"rejected_prediction_tokens":0}},"service_tier":"default","system_fingerprint":"fp_ad66631dec"}</t>
        </is>
      </c>
      <c r="M182" t="inlineStr">
        <is>
          <t>{"alt-svc":"h3=\":443\"; ma=2592000","apim-request-id":"584c4c28-0977-4183-87f0-3773ea2d9540","azureml-model-session":"d20260402083108-57a85543","cache-control":"no-cache","connection":"close","content-length":"1014","content-type":"application/json","date":"Tue, 28 Apr 2026 01:34:53 GMT","server":"Caddy","skip-error-remapping":"true","strict-transport-security":"max-age=31536000; includeSubDomains; preload","x-content-type-options":"nosniff","x-ms-client-request-id":"Not-Set","x-ms-is-spilled-over":"false","x-ms-rai-invoked":"false","x-ms-region":"South Central US","x-new-api-version":"0.4.35","x-oneapi-request-id":"2026042801345176428968268d9d6zADZCleN","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f1543d09-8341-4ac3-b5ec-800cc2c4f684"}</t>
        </is>
      </c>
      <c r="N182" t="inlineStr">
        <is>
          <t>Louis Vuitton Damier Graphite Men’s Belt, crafted from premium leather with silver LV buckle, features black and grey geometric check pattern for a refined urban look, perfect for business or casual wear.</t>
        </is>
      </c>
      <c r="O182" t="inlineStr">
        <is>
          <t>{"id":"chatcmpl-DZSZlRkuufZuL21nF4Mq0C9zD4Lej","object":"chat.completion","created":1777343697,"model":"gpt-5-chat-2025-10-03","choices":[{"index":0,"message":{"role":"assistant","content":"Louis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2" t="inlineStr">
        <is>
          <t>Louis Vuitton,Accessories,kakobuy,kakebuy2026,kekobuysheet,kakobuysheet2026,2026kakobuy,kakobuyspreadsheeet,kakobuylink,kakebuylist,Kakobuy MEGA Spreadsheet,kakobuysheetfind,kakobuysheetfind2026,2026kakobuysheetfind,kakobuysheet2026</t>
        </is>
      </c>
      <c r="Q182" t="inlineStr">
        <is>
          <t>LV, Leather, Geometric, Black, Grey, Men</t>
        </is>
      </c>
      <c r="R182" t="inlineStr">
        <is>
          <t>recvhju1CrrkO5</t>
        </is>
      </c>
      <c r="S182" t="inlineStr">
        <is>
          <t>louis-vuitton-damier-graphite-leather-belt-recvhju1crrko5</t>
        </is>
      </c>
      <c r="T182"/>
      <c r="U182"/>
      <c r="V182"/>
      <c r="W182" t="inlineStr">
        <is>
          <t>{"id":"chatcmpl-DZRE48XRYXPqDO1ZXorGyekX5QF7Z","object":"chat.completion","created":1777338508,"model":"gpt-5-chat-2025-10-03","choices":[{"index":0,"message":{"role":"assistant","content":"Louis Vuitton：Damier Graphite系列黑灰格纹男士皮带，采用优质牛皮材质，配以银色LV金属扣饰，现代几何格纹设计彰显品牌典雅格调与都市时尚气质，适合商务与休闲穿搭。","refusal":null,"annotations":[]},"logprobs":null,"finish_reason":"stop"}],"usage":{"prompt_tokens":1299,"completion_tokens":65,"total_tokens":1364,"prompt_tokens_details":{"cached_tokens":1280,"audio_tokens":0},"completion_tokens_details":{"reasoning_tokens":0,"audio_tokens":0,"accepted_prediction_tokens":0,"rejected_prediction_tokens":0}},"service_tier":"default","system_fingerprint":"fp_ad66631dec"}</t>
        </is>
      </c>
      <c r="X182" t="inlineStr">
        <is>
          <t>Louis Vuitton：Damier Graphite系列黑灰格纹男士皮带，采用优质牛皮材质，配以银色LV金属扣饰，现代几何格纹设计彰显品牌典雅格调与都市时尚气质，适合商务与休闲穿搭。</t>
        </is>
      </c>
    </row>
    <row r="183" ht="25.5" customHeight="1">
      <c r="A183">
        <v>1654975475</v>
      </c>
      <c r="B183">
        <v>7620920433</v>
      </c>
      <c r="C183" s="2" t="str">
        <f>=HYPERLINK("https://weidian.com/item.html?itemID=7620920433", "https://weidian.com/item.html?itemID=7620920433")</f>
        <v>https://weidian.com/item.html?itemID=7620920433</v>
      </c>
      <c r="D183"/>
      <c r="E183" s="2" t="str">
        <f>=HYPERLINK("https://si.geilicdn.com/pcitem2014204438-7b200000019ad8ad59460a20e284_1440_1920.jpg?w=640&amp;h=640", "https://si.geilicdn.com/pcitem2014204438-7b200000019ad8ad59460a20e284_1440_1920.jpg?w=640&amp;h=640")</f>
        <v>https://si.geilicdn.com/pcitem2014204438-7b200000019ad8ad59460a20e284_1440_1920.jpg?w=640&amp;h=640</v>
      </c>
      <c r="F183" t="inlineStr">
        <is>
          <t>Accessories</t>
        </is>
      </c>
      <c r="G183" t="inlineStr">
        <is>
          <t>Dior</t>
        </is>
      </c>
      <c r="H183">
        <v>490</v>
      </c>
      <c r="I183">
        <v>71.01</v>
      </c>
      <c r="J183" t="inlineStr">
        <is>
          <t>{"id":"chatcmpl-DZSJmrqq8nm7ibEpk7JK9QNnCVSIF","object":"chat.completion","created":1777342706,"model":"gpt-5-chat-2025-10-03","choices":[{"index":0,"message":{"role":"assistant","content":"Dior Grey Calfskin Belt Black Metal Buckle","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183" t="inlineStr">
        <is>
          <t>Dior Grey Calfskin Belt Black Metal Buckle</t>
        </is>
      </c>
      <c r="L183" t="inlineStr">
        <is>
          <t>{"id":"chatcmpl-DZReeZpQjr4m25WdrK54ebIlGFfRz","object":"chat.completion","created":1777340156,"model":"gpt-5-chat-2025-10-03","choices":[{"index":0,"message":{"role":"assistant","content":"Dior Grey Leather Belt crafted from premium calfskin, featuring a black geometric Dior metal buckle. Modern and sleek design for business or casual wear, highlighting refined craftsmanship and elegance.","refusal":null,"annotations":[]},"logprobs":null,"finish_reason":"stop"}],"usage":{"prompt_tokens":904,"completion_tokens":36,"total_tokens":940,"prompt_tokens_details":{"cached_tokens":0,"audio_tokens":0},"completion_tokens_details":{"reasoning_tokens":0,"audio_tokens":0,"accepted_prediction_tokens":0,"rejected_prediction_tokens":0}},"service_tier":"default","system_fingerprint":"fp_ad66631dec"}</t>
        </is>
      </c>
      <c r="M183" t="inlineStr">
        <is>
          <t>{"alt-svc":"h3=\":443\"; ma=2592000","apim-request-id":"a54a5041-7f3a-449e-ac6d-9fe8a1654cbf","azureml-model-session":"d20260405221325-2e8d5e76","cache-control":"no-cache","connection":"close","content-length":"1010","content-type":"application/json","date":"Tue, 28 Apr 2026 01:35:57 GMT","server":"Caddy","skip-error-remapping":"true","strict-transport-security":"max-age=31536000; includeSubDomains; preload","x-content-type-options":"nosniff","x-ms-client-request-id":"Not-Set","x-ms-is-spilled-over":"false","x-ms-rai-invoked":"false","x-ms-region":"East US 2","x-new-api-version":"0.4.35","x-oneapi-request-id":"202604280135557488962928268d9d69vPZ0WTF","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52cb3809-6298-48dd-b70b-7c0cdc61c2c6"}</t>
        </is>
      </c>
      <c r="N183" t="inlineStr">
        <is>
          <t>Dior Grey Leather Belt crafted from premium calfskin, featuring a black geometric Dior metal buckle. Modern and sleek design for business or casual wear, highlighting refined craftsmanship and elegance.</t>
        </is>
      </c>
      <c r="O183" t="inlineStr">
        <is>
          <t>{"id":"chatcmpl-DZSZRTgRXqwXLPy5h999jXBaTiJBr","object":"chat.completion","created":1777343677,"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3" t="inlineStr">
        <is>
          <t>Dior,Belt,kakobuy,kakebuy2026,kekobuysheet,kakobuysheet2026,2026kakobuy,kakobuyspreadsheeet,kakobuylink,kakebuylist,Kakobuy MEGA Spreadsheet,kakobuysheetfind,kakobuysheetfind2026,2026kakobuysheetfind,kakobuysheet2026</t>
        </is>
      </c>
      <c r="Q183" t="inlineStr">
        <is>
          <t>Dior, Leather, Geometric, Modern, Sleek, Elegant</t>
        </is>
      </c>
      <c r="R183" t="inlineStr">
        <is>
          <t>recvhju1CrE6Yj</t>
        </is>
      </c>
      <c r="S183" t="inlineStr">
        <is>
          <t>dior-grey-calfskin-belt-recvhju1crE6Yj</t>
        </is>
      </c>
      <c r="T183"/>
      <c r="U183"/>
      <c r="V183"/>
      <c r="W183" t="inlineStr">
        <is>
          <t>{"id":"chatcmpl-DZRBlDFO76RfUhOrrcYNSBQTbPTrN","object":"chat.completion","created":1777338365,"model":"gpt-5-chat-2025-10-03","choices":[{"index":0,"message":{"role":"assistant","content":"Dior：灰色皮革腰带，采用高级牛皮材质制成，饰以黑色几何金属Dior字母扣，简约现代风格，展现男性优雅气质，适合都市商务与休闲穿搭，彰显品牌精致工艺与时尚质感。","refusal":null,"annotations":[]},"logprobs":null,"finish_reason":"stop"}],"usage":{"prompt_tokens":1299,"completion_tokens":71,"total_tokens":1370,"prompt_tokens_details":{"cached_tokens":0,"audio_tokens":0},"completion_tokens_details":{"reasoning_tokens":0,"audio_tokens":0,"accepted_prediction_tokens":0,"rejected_prediction_tokens":0}},"service_tier":"default","system_fingerprint":"fp_ad66631dec"}</t>
        </is>
      </c>
      <c r="X183" t="inlineStr">
        <is>
          <t>Dior：灰色皮革腰带，采用高级牛皮材质制成，饰以黑色几何金属Dior字母扣，简约现代风格，展现男性优雅气质，适合都市商务与休闲穿搭，彰显品牌精致工艺与时尚质感。</t>
        </is>
      </c>
    </row>
    <row r="184" ht="25.5" customHeight="1">
      <c r="A184">
        <v>1654975475</v>
      </c>
      <c r="B184">
        <v>7620898629</v>
      </c>
      <c r="C184" s="2" t="str">
        <f>=HYPERLINK("https://weidian.com/item.html?itemID=7620898629", "https://weidian.com/item.html?itemID=7620898629")</f>
        <v>https://weidian.com/item.html?itemID=7620898629</v>
      </c>
      <c r="D184"/>
      <c r="E184" s="2" t="str">
        <f>=HYPERLINK("https://si.geilicdn.com/pcitem2014204438-7cae0000019ad8b14b500a210256_1440_1920.jpg?w=640&amp;h=640", "https://si.geilicdn.com/pcitem2014204438-7cae0000019ad8b14b500a210256_1440_1920.jpg?w=640&amp;h=640")</f>
        <v>https://si.geilicdn.com/pcitem2014204438-7cae0000019ad8b14b500a210256_1440_1920.jpg?w=640&amp;h=640</v>
      </c>
      <c r="F184" t="inlineStr">
        <is>
          <t>Accessories</t>
        </is>
      </c>
      <c r="G184" t="inlineStr">
        <is>
          <t>Louis Vuitton</t>
        </is>
      </c>
      <c r="H184">
        <v>500</v>
      </c>
      <c r="I184">
        <v>72.46</v>
      </c>
      <c r="J184" t="inlineStr">
        <is>
          <t>{"id":"chatcmpl-DZSJ3sbd3sh3smxOkBu6hrHnSXNrn","object":"chat.completion","created":1777342661,"model":"gpt-5-chat-2025-10-03","choices":[{"index":0,"message":{"role":"assistant","content":"Louis Vuitton Black Leather LV Buckle Belt","refusal":null,"annotations":[]},"logprobs":null,"finish_reason":"stop"}],"usage":{"prompt_tokens":883,"completion_tokens":9,"total_tokens":892,"prompt_tokens_details":{"cached_tokens":0,"audio_tokens":0},"completion_tokens_details":{"reasoning_tokens":0,"audio_tokens":0,"accepted_prediction_tokens":0,"rejected_prediction_tokens":0}},"service_tier":"default","system_fingerprint":"fp_ad66631dec"}</t>
        </is>
      </c>
      <c r="K184" t="inlineStr">
        <is>
          <t>Louis Vuitton Black Leather LV Buckle Belt</t>
        </is>
      </c>
      <c r="L184" t="inlineStr">
        <is>
          <t>{"id":"chatcmpl-DZRj8OsA7rBdhGLqB1QtYwQWNSTfF","object":"chat.completion","created":1777340434,"model":"gpt-5-chat-2025-10-03","choices":[{"index":0,"message":{"role":"assistant","content":"Louis Vuitton black leather belt, crafted from premium grained cowhide with sleek LV buckle. A timeless, unisex accessory for business or casual wear, embodying luxury, elegance, and refined style.","refusal":null,"annotations":[]},"logprobs":null,"finish_reason":"stop"}],"usage":{"prompt_tokens":907,"completion_tokens":41,"total_tokens":948,"prompt_tokens_details":{"cached_tokens":0,"audio_tokens":0},"completion_tokens_details":{"reasoning_tokens":0,"audio_tokens":0,"accepted_prediction_tokens":0,"rejected_prediction_tokens":0}},"service_tier":"default","system_fingerprint":"fp_ad66631dec"}</t>
        </is>
      </c>
      <c r="M184" t="inlineStr">
        <is>
          <t>{"alt-svc":"h3=\":443\"; ma=2592000","apim-request-id":"62cf20a6-0163-468c-9418-d47706f5d3a3","azureml-model-session":"d20260405234249-f9874baf","cache-control":"no-cache","connection":"close","content-length":"1005","content-type":"application/json","date":"Tue, 28 Apr 2026 01:40:35 GMT","server":"nginx","skip-error-remapping":"true","strict-transport-security":"max-age=31536000; includeSubDomains; preload","via":"1.1 Caddy","x-content-type-options":"nosniff","x-ms-client-request-id":"Not-Set","x-ms-is-spilled-over":"false","x-ms-rai-invoked":"false","x-ms-region":"West US","x-new-api-version":"0.4.35","x-oneapi-request-id":"202604280140327313860218268d9d6ajfXgxIk","x-ratelimit-abusepenalty-active":"False","x-ratelimit-key":"gpt-5-chat-global","x-ratelimit-limit-requests":"1000","x-ratelimit-limit-tokens":"1000000","x-ratelimit-remaining-requests":"999","x-ratelimit-remaining-tokens":"998331","x-ratelimit-renewalperiod-requests":"60","x-ratelimit-renewalperiod-tokens":"60","x-ratelimit-reset-requests":"60","x-ratelimit-reset-tokens":"100","x-request-id":"5d0d715c-3b32-4d00-9f00-4d29f975090c"}</t>
        </is>
      </c>
      <c r="N184" t="inlineStr">
        <is>
          <t>Louis Vuitton black leather belt, crafted from premium grained cowhide with sleek LV buckle. A timeless, unisex accessory for business or casual wear, embodying luxury, elegance, and refined style.</t>
        </is>
      </c>
      <c r="O184" t="inlineStr">
        <is>
          <t>{"id":"chatcmpl-DZSavqIOIourb3Wgt1d4usWiD72Mu","object":"chat.completion","created":1777343769,"model":"gpt-5-chat-2025-10-03","choices":[{"index":0,"message":{"role":"assistant","content":"Louis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4" t="inlineStr">
        <is>
          <t>Louis Vuitton, Accessories, kakobuy, kakebuy2026, kekobuysheet, kakobuysheet2026, 2026kakobuy, kakobuyspreadsheeet, kakobuylink, kakebuylist, Kakobuy MEGA Spreadsheet, kakobuysheetfind, kakobuysheetfind2026, 2026kakobuysheetfind, kakobuysheet2026</t>
        </is>
      </c>
      <c r="Q184" t="inlineStr">
        <is>
          <t>LV, Leather, Black, Unisex, Elegant, Classic</t>
        </is>
      </c>
      <c r="R184" t="inlineStr">
        <is>
          <t>recvhju1CrTQDB</t>
        </is>
      </c>
      <c r="S184" t="inlineStr">
        <is>
          <t>lv-black-leather-buckle-belt-recvhju1crtqdb</t>
        </is>
      </c>
      <c r="T184"/>
      <c r="U184"/>
      <c r="V184"/>
      <c r="W184" t="inlineStr">
        <is>
          <t>{"id":"chatcmpl-DZRCPat8j9tvElviZqJZ8nkfRLo6e","object":"chat.completion","created":1777338405,"model":"gpt-5-chat-2025-10-03","choices":[{"index":0,"message":{"role":"assistant","content":"Louis Vuitton：黑色时尚皮革腰带，甄选优质粒面牛皮，搭配简约金属LV扣设计，质感奢华典雅。现代绅士风格，男女皆宜，彰显品牌匠心与低调品味，适合商务与休闲场合。","refusal":null,"annotations":[]},"logprobs":null,"finish_reason":"stop"}],"usage":{"prompt_tokens":1301,"completion_tokens":73,"total_tokens":1374,"prompt_tokens_details":{"cached_tokens":1280,"audio_tokens":0},"completion_tokens_details":{"reasoning_tokens":0,"audio_tokens":0,"accepted_prediction_tokens":0,"rejected_prediction_tokens":0}},"service_tier":"default","system_fingerprint":"fp_ad66631dec"}</t>
        </is>
      </c>
      <c r="X184" t="inlineStr">
        <is>
          <t>Louis Vuitton：黑色时尚皮革腰带，甄选优质粒面牛皮，搭配简约金属LV扣设计，质感奢华典雅。现代绅士风格，男女皆宜，彰显品牌匠心与低调品味，适合商务与休闲场合。</t>
        </is>
      </c>
    </row>
    <row r="185" ht="25.5" customHeight="1">
      <c r="A185">
        <v>1654975475</v>
      </c>
      <c r="B185">
        <v>7623916402</v>
      </c>
      <c r="C185" s="2" t="str">
        <f>=HYPERLINK("https://weidian.com/item.html?itemID=7623916402", "https://weidian.com/item.html?itemID=7623916402")</f>
        <v>https://weidian.com/item.html?itemID=7623916402</v>
      </c>
      <c r="D185"/>
      <c r="E185" s="2" t="str">
        <f>=HYPERLINK("https://si.geilicdn.com/pcitem2014204438-75f20000019ad8b1b5510a20e672_1442_1922.jpg?w=640&amp;h=640", "https://si.geilicdn.com/pcitem2014204438-75f20000019ad8b1b5510a20e672_1442_1922.jpg?w=640&amp;h=640")</f>
        <v>https://si.geilicdn.com/pcitem2014204438-75f20000019ad8b1b5510a20e672_1442_1922.jpg?w=640&amp;h=640</v>
      </c>
      <c r="F185" t="inlineStr">
        <is>
          <t>Accessories</t>
        </is>
      </c>
      <c r="G185" t="inlineStr">
        <is>
          <t>Montblanc</t>
        </is>
      </c>
      <c r="H185">
        <v>498</v>
      </c>
      <c r="I185">
        <v>72.17</v>
      </c>
      <c r="J185" t="inlineStr">
        <is>
          <t>{"id":"chatcmpl-DZSKSAlvs8LyU6MlfUP0oBJM4ZPWz","object":"chat.completion","created":1777342748,"model":"gpt-5-chat-2025-10-03","choices":[{"index":0,"message":{"role":"assistant","content":"Montblanc Men Black Leather Belt Silver Buckle 35mm","refusal":null,"annotations":[]},"logprobs":null,"finish_reason":"stop"}],"usage":{"prompt_tokens":878,"completion_tokens":14,"total_tokens":892,"prompt_tokens_details":{"cached_tokens":0,"audio_tokens":0},"completion_tokens_details":{"reasoning_tokens":0,"audio_tokens":0,"accepted_prediction_tokens":0,"rejected_prediction_tokens":0}},"service_tier":"default","system_fingerprint":"fp_ad66631dec"}</t>
        </is>
      </c>
      <c r="K185" t="inlineStr">
        <is>
          <t>Montblanc Men Black Leather Belt Silver Buckle 35mm</t>
        </is>
      </c>
      <c r="L185" t="inlineStr">
        <is>
          <t>{"id":"chatcmpl-DZRl1uFyaGzSAvu0DBtwZJuWlDcNS","object":"chat.completion","created":1777340551,"model":"gpt-5-chat-2025-10-03","choices":[{"index":0,"message":{"role":"assistant","content":"Montblanc Men’s 35mm Black Crocodile Embossed Leather Belt with Silver Automatic Buckle, premium genuine leather, elegant and sleek design for business or casual sophistication.","refusal":null,"annotations":[]},"logprobs":null,"finish_reason":"stop"}],"usage":{"prompt_tokens":906,"completion_tokens":38,"total_tokens":944,"prompt_tokens_details":{"cached_tokens":0,"audio_tokens":0},"completion_tokens_details":{"reasoning_tokens":0,"audio_tokens":0,"accepted_prediction_tokens":0,"rejected_prediction_tokens":0}},"service_tier":"default","system_fingerprint":"fp_ad66631dec"}</t>
        </is>
      </c>
      <c r="M185" t="inlineStr">
        <is>
          <t>{"alt-svc":"h3=\":443\"; ma=2592000","apim-request-id":"fcdfa44e-12b6-4464-b8a5-2eafafb54cf1","azureml-model-session":"d20260402075109-1fc5a0ec","cache-control":"no-cache","connection":"close","content-length":"987","content-type":"application/json","date":"Tue, 28 Apr 2026 01:42:32 GMT","server":"Caddy","skip-error-remapping":"true","strict-transport-security":"max-age=31536000; includeSubDomains; preload","x-content-type-options":"nosniff","x-ms-client-request-id":"Not-Set","x-ms-is-spilled-over":"false","x-ms-rai-invoked":"false","x-ms-region":"West US","x-new-api-version":"0.4.35","x-oneapi-request-id":"202604280142305878417308268d9d609x3W27K","x-ratelimit-abusepenalty-active":"False","x-ratelimit-key":"gpt-5-chat-global","x-ratelimit-limit-requests":"1000","x-ratelimit-limit-tokens":"1000000","x-ratelimit-remaining-requests":"999","x-ratelimit-remaining-tokens":"998138","x-ratelimit-renewalperiod-requests":"60","x-ratelimit-renewalperiod-tokens":"60","x-ratelimit-reset-requests":"78","x-ratelimit-reset-tokens":"111","x-request-id":"a13ba0ba-bff0-4590-a2cc-c423b86af70e"}</t>
        </is>
      </c>
      <c r="N185" t="inlineStr">
        <is>
          <t>Montblanc Men’s 35mm Black Crocodile Embossed Leather Belt with Silver Automatic Buckle, premium genuine leather, elegant and sleek design for business or casual sophistication.</t>
        </is>
      </c>
      <c r="O185" t="inlineStr">
        <is>
          <t>{"id":"chatcmpl-DZSabwr2RUweiIQRlEQrCqtmAD1hZ","object":"chat.completion","created":1777343749,"model":"gpt-5-chat-2025-10-03","choices":[{"index":0,"message":{"role":"assistant","content":"Montblanc,Bel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5" t="inlineStr">
        <is>
          <t>Montblanc,Belt,kakobuy,kakebuy2026,kekobuysheet,kakobuysheet2026,2026kakobuy,kakobuyspreadsheeet,kakobuylink,kakebuylist,Kakobuy MEGA Spreadsheet,kakobuysheetfind,kakobuysheetfind2026,2026kakobuysheetfind,kakobuysheet2026</t>
        </is>
      </c>
      <c r="Q185" t="inlineStr">
        <is>
          <t>Black, Genuine Leather, Elegant, Sleek, Business, Men</t>
        </is>
      </c>
      <c r="R185" t="inlineStr">
        <is>
          <t>recvhju1CrP8MG</t>
        </is>
      </c>
      <c r="S185" t="inlineStr">
        <is>
          <t>montblanc-men-black-leather-belt-silver-buckle-35mm-recvhju1crp8mg</t>
        </is>
      </c>
      <c r="T185"/>
      <c r="U185"/>
      <c r="V185"/>
      <c r="W185" t="inlineStr">
        <is>
          <t>{"id":"chatcmpl-DZRDccwtn1OL1j5qTPHd6AodV8FUP","object":"chat.completion","created":1777338480,"model":"gpt-5-chat-2025-10-03","choices":[{"index":0,"message":{"role":"assistant","content":"Montblanc：黑色鳄鱼纹35mm男士皮带，精选优质真皮搭配银色自动扣设计，彰显商务奢华质感，简约大气风格，兼具典雅与实用，适合现代绅士日常与正式场合佩戴。","refusal":null,"annotations":[]},"logprobs":null,"finish_reason":"stop"}],"usage":{"prompt_tokens":1305,"completion_tokens":70,"total_tokens":1375,"prompt_tokens_details":{"cached_tokens":1280,"audio_tokens":0},"completion_tokens_details":{"reasoning_tokens":0,"audio_tokens":0,"accepted_prediction_tokens":0,"rejected_prediction_tokens":0}},"service_tier":"default","system_fingerprint":"fp_ad66631dec"}</t>
        </is>
      </c>
      <c r="X185" t="inlineStr">
        <is>
          <t>Montblanc：黑色鳄鱼纹35mm男士皮带，精选优质真皮搭配银色自动扣设计，彰显商务奢华质感，简约大气风格，兼具典雅与实用，适合现代绅士日常与正式场合佩戴。</t>
        </is>
      </c>
    </row>
    <row r="186" ht="25.5" customHeight="1">
      <c r="A186">
        <v>1654975475</v>
      </c>
      <c r="B186">
        <v>7620863309</v>
      </c>
      <c r="C186" s="2" t="str">
        <f>=HYPERLINK("https://weidian.com/item.html?itemID=7620863309", "https://weidian.com/item.html?itemID=7620863309")</f>
        <v>https://weidian.com/item.html?itemID=7620863309</v>
      </c>
      <c r="D186"/>
      <c r="E186" s="2" t="str">
        <f>=HYPERLINK("https://si.geilicdn.com/pcitem2014204438-7d180000019ad8b292ae0a207569_1442_1922.jpg?w=640&amp;h=640", "https://si.geilicdn.com/pcitem2014204438-7d180000019ad8b292ae0a207569_1442_1922.jpg?w=640&amp;h=640")</f>
        <v>https://si.geilicdn.com/pcitem2014204438-7d180000019ad8b292ae0a207569_1442_1922.jpg?w=640&amp;h=640</v>
      </c>
      <c r="F186" t="inlineStr">
        <is>
          <t>Accessories</t>
        </is>
      </c>
      <c r="G186" t="inlineStr">
        <is>
          <t>Montblanc</t>
        </is>
      </c>
      <c r="H186">
        <v>498</v>
      </c>
      <c r="I186">
        <v>72.17</v>
      </c>
      <c r="J186" t="inlineStr">
        <is>
          <t>{"id":"chatcmpl-DZSMdG2guYl1F2sfTgS0BAnaHTbW4","object":"chat.completion","created":1777342883,"model":"gpt-5-chat-2025-10-03","choices":[{"index":0,"message":{"role":"assistant","content":"Montblanc Men Black Leather Belt 35mm Silver Buckle","refusal":null,"annotations":[]},"logprobs":null,"finish_reason":"stop"}],"usage":{"prompt_tokens":882,"completion_tokens":14,"total_tokens":896,"prompt_tokens_details":{"cached_tokens":0,"audio_tokens":0},"completion_tokens_details":{"reasoning_tokens":0,"audio_tokens":0,"accepted_prediction_tokens":0,"rejected_prediction_tokens":0}},"service_tier":"default","system_fingerprint":"fp_ad66631dec"}</t>
        </is>
      </c>
      <c r="K186" t="inlineStr">
        <is>
          <t>Montblanc Men Black Leather Belt 35mm Silver Buckle</t>
        </is>
      </c>
      <c r="L186" t="inlineStr">
        <is>
          <t>{"id":"chatcmpl-DZRgba6tpeJoNjFN0RlQvNsyY5NVi","object":"chat.completion","created":1777340277,"model":"gpt-5-chat-2025-10-03","choices":[{"index":0,"message":{"role":"assistant","content":"Montblanc Black Leather Belt for Men, 35mm width, features premium cowhide, elegant silver automatic buckle, and embossed 3D M pattern. Perfect for business or casual style.","refusal":null,"annotations":[]},"logprobs":null,"finish_reason":"stop"}],"usage":{"prompt_tokens":901,"completion_tokens":40,"total_tokens":941,"prompt_tokens_details":{"cached_tokens":0,"audio_tokens":0},"completion_tokens_details":{"reasoning_tokens":0,"audio_tokens":0,"accepted_prediction_tokens":0,"rejected_prediction_tokens":0}},"service_tier":"default","system_fingerprint":"fp_ad66631dec"}</t>
        </is>
      </c>
      <c r="M186" t="inlineStr">
        <is>
          <t>{"alt-svc":"h3=\":443\"; ma=2592000","apim-request-id":"01993d77-637e-4963-b0ac-d87b1aec3c80","azureml-model-session":"d20260402075109-1fc5a0ec","cache-control":"no-cache","connection":"close","content-length":"981","content-type":"application/json","date":"Tue, 28 Apr 2026 01:37:59 GMT","server":"Caddy","skip-error-remapping":"true","strict-transport-security":"max-age=31536000; includeSubDomains; preload","x-content-type-options":"nosniff","x-ms-client-request-id":"Not-Set","x-ms-is-spilled-over":"false","x-ms-rai-invoked":"false","x-ms-region":"Central US","x-new-api-version":"0.4.35","x-oneapi-request-id":"202604280137563082643828268d9d6P4719BYP","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ebee0078-f574-4e72-985b-ee72b7022a64"}</t>
        </is>
      </c>
      <c r="N186" t="inlineStr">
        <is>
          <t>Montblanc Black Leather Belt for Men, 35mm width, features premium cowhide, elegant silver automatic buckle, and embossed 3D M pattern. Perfect for business or casual style.</t>
        </is>
      </c>
      <c r="O186" t="inlineStr">
        <is>
          <t>{"id":"chatcmpl-DZSXByUH3SFL2wF0wBJ02nbK6k3ES","object":"chat.completion","created":1777343537,"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6" t="inlineStr">
        <is>
          <t>Montblanc,Accessories,kakobuy,kakebuy2026,kekobuysheet,kakobuysheet2026,2026kakobuy,kakobuyspreadsheeet,kakobuylink,kakebuylist,Kakobuy MEGA Spreadsheet,kakobuysheetfind,kakobuysheetfind2026,2026kakobuysheetfind,kakobuysheet2026</t>
        </is>
      </c>
      <c r="Q186" t="inlineStr">
        <is>
          <t>Leather, Business, Business Casual, Black, Men</t>
        </is>
      </c>
      <c r="R186" t="inlineStr">
        <is>
          <t>recvhju1CruEqD</t>
        </is>
      </c>
      <c r="S186" t="inlineStr">
        <is>
          <t>montblanc-black-leather-belt-35mm-silver-buckle-recvhju1cru eqd</t>
        </is>
      </c>
      <c r="T186"/>
      <c r="U186"/>
      <c r="V186"/>
      <c r="W186" t="inlineStr">
        <is>
          <t>{"id":"chatcmpl-DZRDwiM7gphFlEf28LdwfHK3QZghl","object":"chat.completion","created":1777338500,"model":"gpt-5-chat-2025-10-03","choices":[{"index":0,"message":{"role":"assistant","content":"Montblanc：黑色自动扣皮带，甄选优质牛皮材质，银色金属扣设计典雅精致，立体M字压纹尽显品牌格调，35mm宽度，商务休闲两用男士款，彰显绅士品味。","refusal":null,"annotations":[]},"logprobs":null,"finish_reason":"stop"}],"usage":{"prompt_tokens":1301,"completion_tokens":67,"total_tokens":1368,"prompt_tokens_details":{"cached_tokens":0,"audio_tokens":0},"completion_tokens_details":{"reasoning_tokens":0,"audio_tokens":0,"accepted_prediction_tokens":0,"rejected_prediction_tokens":0}},"service_tier":"default","system_fingerprint":"fp_ad66631dec"}</t>
        </is>
      </c>
      <c r="X186" t="inlineStr">
        <is>
          <t>Montblanc：黑色自动扣皮带，甄选优质牛皮材质，银色金属扣设计典雅精致，立体M字压纹尽显品牌格调，35mm宽度，商务休闲两用男士款，彰显绅士品味。</t>
        </is>
      </c>
    </row>
    <row r="187" ht="25.5" customHeight="1">
      <c r="A187">
        <v>1654975475</v>
      </c>
      <c r="B187">
        <v>7620940365</v>
      </c>
      <c r="C187" s="2" t="str">
        <f>=HYPERLINK("https://weidian.com/item.html?itemID=7620940365", "https://weidian.com/item.html?itemID=7620940365")</f>
        <v>https://weidian.com/item.html?itemID=7620940365</v>
      </c>
      <c r="D187"/>
      <c r="E187" s="2" t="str">
        <f>=HYPERLINK("https://si.geilicdn.com/pcitem2014204438-71e90000019ad8b5904b0a20e7c7_1440_1440.jpg?w=640&amp;h=640", "https://si.geilicdn.com/pcitem2014204438-71e90000019ad8b5904b0a20e7c7_1440_1440.jpg?w=640&amp;h=640")</f>
        <v>https://si.geilicdn.com/pcitem2014204438-71e90000019ad8b5904b0a20e7c7_1440_1440.jpg?w=640&amp;h=640</v>
      </c>
      <c r="F187" t="inlineStr">
        <is>
          <t>Accessories</t>
        </is>
      </c>
      <c r="G187" t="inlineStr">
        <is>
          <t>Louis Vuitton</t>
        </is>
      </c>
      <c r="H187">
        <v>460</v>
      </c>
      <c r="I187">
        <v>66.67</v>
      </c>
      <c r="J187" t="inlineStr">
        <is>
          <t>{"id":"chatcmpl-DZSGwviiMUODZyPjMtON67eWRs1ly","object":"chat.completion","created":1777342530,"model":"gpt-5-chat-2025-10-03","choices":[{"index":0,"message":{"role":"assistant","content":"Louis Vuitton Damier Graphite Leather Men Belt","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87" t="inlineStr">
        <is>
          <t>Louis Vuitton Damier Graphite Leather Men Belt</t>
        </is>
      </c>
      <c r="L187" t="inlineStr">
        <is>
          <t>{"id":"chatcmpl-DZRdCrz3UV04uy7862t6ZfC2m43j3","object":"chat.completion","created":1777340066,"model":"gpt-5-chat-2025-10-03","choices":[{"index":0,"message":{"role":"assistant","content":"Louis Vuitton Damier Graphite Men’s Belt in gray-black check pattern, crafted from premium leather with signature LV metal buckle for a luxurious, modern and durable urban style.","refusal":null,"annotations":[]},"logprobs":null,"finish_reason":"stop"}],"usage":{"prompt_tokens":892,"completion_tokens":35,"total_tokens":927,"prompt_tokens_details":{"cached_tokens":0,"audio_tokens":0},"completion_tokens_details":{"reasoning_tokens":0,"audio_tokens":0,"accepted_prediction_tokens":0,"rejected_prediction_tokens":0}},"service_tier":"default","system_fingerprint":"fp_ad66631dec"}</t>
        </is>
      </c>
      <c r="M187" t="inlineStr">
        <is>
          <t>{"alt-svc":"h3=\":443\"; ma=2592000","apim-request-id":"96f4e2b6-f7b4-4d90-9559-abf7b1cd96c4","azureml-model-session":"d20260402074105-51db401e","cache-control":"no-cache","connection":"close","content-length":"988","content-type":"application/json","date":"Tue, 28 Apr 2026 01:34:27 GMT","server":"nginx","skip-error-remapping":"true","strict-transport-security":"max-age=31536000; includeSubDomains; preload","via":"1.1 Caddy","x-content-type-options":"nosniff","x-ms-client-request-id":"Not-Set","x-ms-is-spilled-over":"false","x-ms-rai-invoked":"false","x-ms-region":"Central US","x-new-api-version":"0.4.35","x-oneapi-request-id":"202604280134252265170648268d9d6cfBpH8YV","x-ratelimit-abusepenalty-active":"False","x-ratelimit-key":"gpt-5-chat-global","x-ratelimit-limit-requests":"1000","x-ratelimit-limit-tokens":"1000000","x-ratelimit-remaining-requests":"999","x-ratelimit-remaining-tokens":"997510","x-ratelimit-renewalperiod-requests":"60","x-ratelimit-renewalperiod-tokens":"60","x-ratelimit-reset-requests":"64","x-ratelimit-reset-tokens":"149","x-request-id":"c08ac267-2831-403b-bed1-bf24b5510a33"}</t>
        </is>
      </c>
      <c r="N187" t="inlineStr">
        <is>
          <t>Louis Vuitton Damier Graphite Men’s Belt in gray-black check pattern, crafted from premium leather with signature LV metal buckle for a luxurious, modern and durable urban style.</t>
        </is>
      </c>
      <c r="O187" t="inlineStr">
        <is>
          <t>{"id":"chatcmpl-DZSUXjcz6izlnD5HcuXKlwJDMZ1JG","object":"chat.completion","created":1777343373,"model":"gpt-5-chat-2025-10-03","choices":[{"index":0,"message":{"role":"assistant","content":"Louis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7" t="inlineStr">
        <is>
          <t>Louis Vuitton, Belt, kakobuy, kakebuy2026, kekobuysheet, kakobuysheet2026, 2026kakobuy, kakobuyspreadsheeet, kakobuylink, kakebuylist, Kakobuy MEGA Spreadsheet, kakobuysheetfind, kakobuysheetfind2026, 2026kakobuysheetfind, kakobuysheet2026</t>
        </is>
      </c>
      <c r="Q187" t="inlineStr">
        <is>
          <t>LV, Leather, Gray, Modern, Men</t>
        </is>
      </c>
      <c r="R187" t="inlineStr">
        <is>
          <t>recvhju1CrfTAo</t>
        </is>
      </c>
      <c r="S187" t="inlineStr">
        <is>
          <t>louis-vuitton-damier-graphite-leather-men-belt-recvhju1crftao</t>
        </is>
      </c>
      <c r="T187"/>
      <c r="U187"/>
      <c r="V187"/>
      <c r="W187" t="inlineStr">
        <is>
          <t>{"id":"chatcmpl-DZRCOwWI6fhZi3IJvbKH2dbgurpwX","object":"chat.completion","created":1777338404,"model":"gpt-5-chat-2025-10-03","choices":[{"index":0,"message":{"role":"assistant","content":"Louis Vuitton：Damier Graphite灰黑格纹男士皮带，采用优质皮革与金属LV字母扣设计，展现奢华格调与现代都市精英风范，兼具耐用与时尚感。","refusal":null,"annotations":[]},"logprobs":null,"finish_reason":"stop"}],"usage":{"prompt_tokens":1307,"completion_tokens":55,"total_tokens":1362,"prompt_tokens_details":{"cached_tokens":1280,"audio_tokens":0},"completion_tokens_details":{"reasoning_tokens":0,"audio_tokens":0,"accepted_prediction_tokens":0,"rejected_prediction_tokens":0}},"service_tier":"default","system_fingerprint":"fp_ad66631dec"}</t>
        </is>
      </c>
      <c r="X187" t="inlineStr">
        <is>
          <t>Louis Vuitton：Damier Graphite灰黑格纹男士皮带，采用优质皮革与金属LV字母扣设计，展现奢华格调与现代都市精英风范，兼具耐用与时尚感。</t>
        </is>
      </c>
    </row>
    <row r="188" ht="25.5" customHeight="1">
      <c r="A188">
        <v>1654975475</v>
      </c>
      <c r="B188">
        <v>7620950313</v>
      </c>
      <c r="C188" s="2" t="str">
        <f>=HYPERLINK("https://weidian.com/item.html?itemID=7620950313", "https://weidian.com/item.html?itemID=7620950313")</f>
        <v>https://weidian.com/item.html?itemID=7620950313</v>
      </c>
      <c r="D188"/>
      <c r="E188" s="2" t="str">
        <f>=HYPERLINK("https://si.geilicdn.com/pcitem2014204438-7f1a0000019ad8b925800a20e284_1080_1440.jpg?w=640&amp;h=640", "https://si.geilicdn.com/pcitem2014204438-7f1a0000019ad8b925800a20e284_1080_1440.jpg?w=640&amp;h=640")</f>
        <v>https://si.geilicdn.com/pcitem2014204438-7f1a0000019ad8b925800a20e284_1080_1440.jpg?w=640&amp;h=640</v>
      </c>
      <c r="F188" t="inlineStr">
        <is>
          <t>Accessories</t>
        </is>
      </c>
      <c r="G188" t="inlineStr">
        <is>
          <t>Dior</t>
        </is>
      </c>
      <c r="H188">
        <v>510</v>
      </c>
      <c r="I188">
        <v>73.91</v>
      </c>
      <c r="J188" t="inlineStr">
        <is>
          <t>{"id":"chatcmpl-DZSMkAOKvfF0aPhSg8UyAFxmyCle3","object":"chat.completion","created":1777342890,"model":"gpt-5-chat-2025-10-03","choices":[{"index":0,"message":{"role":"assistant","content":"Dior Men Reversible Leather Belt Gray Black Italy","refusal":null,"annotations":[]},"logprobs":null,"finish_reason":"stop"}],"usage":{"prompt_tokens":887,"completion_tokens":11,"total_tokens":898,"prompt_tokens_details":{"cached_tokens":0,"audio_tokens":0},"completion_tokens_details":{"reasoning_tokens":0,"audio_tokens":0,"accepted_prediction_tokens":0,"rejected_prediction_tokens":0}},"service_tier":"default","system_fingerprint":"fp_ad66631dec"}</t>
        </is>
      </c>
      <c r="K188" t="inlineStr">
        <is>
          <t>Dior Men Reversible Leather Belt Gray Black Italy</t>
        </is>
      </c>
      <c r="L188" t="inlineStr">
        <is>
          <t>{"id":"chatcmpl-DZRi5X3NMs8ItxRpmLj2MYajWo1c4","object":"chat.completion","created":1777340369,"model":"gpt-5-chat-2025-10-03","choices":[{"index":0,"message":{"role":"assistant","content":"Dior Men's Reversible Leather Belt in Gray and Black, crafted from premium calfskin and Jacquard with iconic Oblique pattern and engraved metal buckle. Made in Italy, perfect for business or casual wear.","refusal":null,"annotations":[]},"logprobs":null,"finish_reason":"stop"}],"usage":{"prompt_tokens":914,"completion_tokens":43,"total_tokens":957,"prompt_tokens_details":{"cached_tokens":0,"audio_tokens":0},"completion_tokens_details":{"reasoning_tokens":0,"audio_tokens":0,"accepted_prediction_tokens":0,"rejected_prediction_tokens":0}},"service_tier":"default","system_fingerprint":"fp_ad66631dec"}</t>
        </is>
      </c>
      <c r="M188" t="inlineStr">
        <is>
          <t>{"alt-svc":"h3=\":443\"; ma=2592000","apim-request-id":"554c0d78-52da-4596-8abd-17077c2f1707","azureml-model-session":"d20260402074105-51db401e","cache-control":"no-cache","connection":"close","content-length":"1011","content-type":"application/json","date":"Tue, 28 Apr 2026 01:39:31 GMT","server":"Caddy","skip-error-remapping":"true","strict-transport-security":"max-age=31536000; includeSubDomains; preload","x-content-type-options":"nosniff","x-ms-client-request-id":"Not-Set","x-ms-is-spilled-over":"false","x-ms-rai-invoked":"false","x-ms-region":"West US","x-new-api-version":"0.4.35","x-oneapi-request-id":"20260428013928841434508268d9d6Oi4CepKp","x-ratelimit-abusepenalty-active":"False","x-ratelimit-key":"gpt-5-chat-global","x-ratelimit-limit-requests":"1000","x-ratelimit-limit-tokens":"1000000","x-ratelimit-remaining-requests":"999","x-ratelimit-remaining-tokens":"998324","x-ratelimit-renewalperiod-requests":"60","x-ratelimit-renewalperiod-tokens":"60","x-ratelimit-reset-requests":"60","x-ratelimit-reset-tokens":"100","x-request-id":"dc9bff81-5935-4c9b-9396-a06fc64cfa33"}</t>
        </is>
      </c>
      <c r="N188" t="inlineStr">
        <is>
          <t>Dior Men's Reversible Leather Belt in Gray and Black, crafted from premium calfskin and Jacquard with iconic Oblique pattern and engraved metal buckle. Made in Italy, perfect for business or casual wear.</t>
        </is>
      </c>
      <c r="O188" t="inlineStr">
        <is>
          <t>{"id":"chatcmpl-DZSXemb8lTAKb2D7sXaIfx6xUyJPS","object":"chat.completion","created":1777343566,"model":"gpt-5-chat-2025-10-03","choices":[{"index":0,"message":{"role":"assistant","content":"Dio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8" t="inlineStr">
        <is>
          <t>Dior,Accessories,kakobuy,kakebuy2026,kekobuysheet,kakobuysheet2026,2026kakobuy,kakobuyspreadsheeet,kakobuylink,kakebuylist,Kakobuy MEGA Spreadsheet,kakobuysheetfind,kakobuysheetfind2026,2026kakobuysheetfind,kakobuysheet2026</t>
        </is>
      </c>
      <c r="Q188" t="inlineStr">
        <is>
          <t>Dior, Leather, Gray, Black, Business, Business Casual</t>
        </is>
      </c>
      <c r="R188" t="inlineStr">
        <is>
          <t>recvhju1CrIH6F</t>
        </is>
      </c>
      <c r="S188" t="inlineStr">
        <is>
          <t>dior-men-reversible-leather-belt-gray-black-italy-recvhju1crIH6F</t>
        </is>
      </c>
      <c r="T188"/>
      <c r="U188"/>
      <c r="V188"/>
      <c r="W188" t="inlineStr">
        <is>
          <t>{"id":"chatcmpl-DZRETrNOCmVLK5xOP1TCxcI6q7ZNQ","object":"chat.completion","created":1777338533,"model":"gpt-5-chat-2025-10-03","choices":[{"index":0,"message":{"role":"assistant","content":"Dior：灰黑色男士双面皮革腰带，采用高级牛皮与Jacquard织纹材质，饰以经典Oblique图案与雕刻金属扣，简约利落彰显现代绅士风范，意大利手工打造，兼具时尚与品质感，适合商务与日常穿搭。","refusal":null,"annotations":[]},"logprobs":null,"finish_reason":"stop"}],"usage":{"prompt_tokens":1303,"completion_tokens":79,"total_tokens":1382,"prompt_tokens_details":{"cached_tokens":1280,"audio_tokens":0},"completion_tokens_details":{"reasoning_tokens":0,"audio_tokens":0,"accepted_prediction_tokens":0,"rejected_prediction_tokens":0}},"service_tier":"default","system_fingerprint":"fp_ad66631dec"}</t>
        </is>
      </c>
      <c r="X188" t="inlineStr">
        <is>
          <t>Dior：灰黑色男士双面皮革腰带，采用高级牛皮与Jacquard织纹材质，饰以经典Oblique图案与雕刻金属扣，简约利落彰显现代绅士风范，意大利手工打造，兼具时尚与品质感，适合商务与日常穿搭。</t>
        </is>
      </c>
    </row>
    <row r="189" ht="25.5" customHeight="1">
      <c r="A189">
        <v>1654975475</v>
      </c>
      <c r="B189">
        <v>7620904631</v>
      </c>
      <c r="C189" s="2" t="str">
        <f>=HYPERLINK("https://weidian.com/item.html?itemID=7620904631", "https://weidian.com/item.html?itemID=7620904631")</f>
        <v>https://weidian.com/item.html?itemID=7620904631</v>
      </c>
      <c r="D189"/>
      <c r="E189" s="2" t="str">
        <f>=HYPERLINK("https://si.geilicdn.com/pcitem2014204438-7f4e0000019ad8b983c90a210256_1080_1440.jpg?w=640&amp;h=640", "https://si.geilicdn.com/pcitem2014204438-7f4e0000019ad8b983c90a210256_1080_1440.jpg?w=640&amp;h=640")</f>
        <v>https://si.geilicdn.com/pcitem2014204438-7f4e0000019ad8b983c90a210256_1080_1440.jpg?w=640&amp;h=640</v>
      </c>
      <c r="F189" t="inlineStr">
        <is>
          <t>Accessories</t>
        </is>
      </c>
      <c r="G189" t="inlineStr">
        <is>
          <t>Dior</t>
        </is>
      </c>
      <c r="H189">
        <v>510</v>
      </c>
      <c r="I189">
        <v>73.91</v>
      </c>
      <c r="J189" t="inlineStr">
        <is>
          <t>{"id":"chatcmpl-DZSNfbTulBG7KDX5rbuGN1mK0khKv","object":"chat.completion","created":1777342947,"model":"gpt-5-chat-2025-10-03","choices":[{"index":0,"message":{"role":"assistant","content":"Dior Oblique Gray Black Leather Belt Gold Buckle Unisex","refusal":null,"annotations":[]},"logprobs":null,"finish_reason":"stop"}],"usage":{"prompt_tokens":871,"completion_tokens":14,"total_tokens":885,"prompt_tokens_details":{"cached_tokens":0,"audio_tokens":0},"completion_tokens_details":{"reasoning_tokens":0,"audio_tokens":0,"accepted_prediction_tokens":0,"rejected_prediction_tokens":0}},"service_tier":"default","system_fingerprint":"fp_ad66631dec"}</t>
        </is>
      </c>
      <c r="K189" t="inlineStr">
        <is>
          <t>Dior Oblique Gray Black Leather Belt Gold Buckle Unisex</t>
        </is>
      </c>
      <c r="L189" t="inlineStr">
        <is>
          <t>{"id":"chatcmpl-DZRco1IX9Cbo7w47qSzsXW0S0cVYx","object":"chat.completion","created":1777340042,"model":"gpt-5-chat-2025-10-03","choices":[{"index":0,"message":{"role":"assistant","content":"Dior Oblique Gray Black Monogram Leather Belt with Gold Buckle, unisex luxury accessory blending vintage and modern French elegance, perfect for refined everyday and formal style.","refusal":null,"annotations":[]},"logprobs":null,"finish_reason":"stop"}],"usage":{"prompt_tokens":902,"completion_tokens":35,"total_tokens":937,"prompt_tokens_details":{"cached_tokens":0,"audio_tokens":0},"completion_tokens_details":{"reasoning_tokens":0,"audio_tokens":0,"accepted_prediction_tokens":0,"rejected_prediction_tokens":0}},"service_tier":"default","system_fingerprint":"fp_ad66631dec"}</t>
        </is>
      </c>
      <c r="M189" t="inlineStr">
        <is>
          <t>{"alt-svc":"h3=\":443\"; ma=2592000","apim-request-id":"6428e07a-fa20-4600-a909-e58434e00cf8","azureml-model-session":"d20260402074105-51db401e","cache-control":"no-cache","connection":"close","content-length":"987","content-type":"application/json","date":"Tue, 28 Apr 2026 01:34:04 GMT","server":"nginx","skip-error-remapping":"true","strict-transport-security":"max-age=31536000; includeSubDomains; preload","via":"1.1 Caddy","x-content-type-options":"nosniff","x-ms-client-request-id":"Not-Set","x-ms-is-spilled-over":"false","x-ms-rai-invoked":"false","x-ms-region":"Sweden Central","x-new-api-version":"0.4.35","x-oneapi-request-id":"202604280134015131642288268d9d6xZ61bY6N","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6e4e633c-d9e7-4aa6-8660-2f867e2a0e33"}</t>
        </is>
      </c>
      <c r="N189" t="inlineStr">
        <is>
          <t>Dior Oblique Gray Black Monogram Leather Belt with Gold Buckle, unisex luxury accessory blending vintage and modern French elegance, perfect for refined everyday and formal style.</t>
        </is>
      </c>
      <c r="O189" t="inlineStr">
        <is>
          <t>{"id":"chatcmpl-DZSWQOfj7qblb0VskAmIXFJgLs0uX","object":"chat.completion","created":1777343490,"model":"gpt-5-chat-2025-10-03","choices":[{"index":0,"message":{"role":"assistant","content":"Dior,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9" t="inlineStr">
        <is>
          <t>Dior, belt, kakobuy, kakebuy2026, kekobuysheet, kakobuysheet2026, 2026kakobuy, kakobuyspreadsheeet, kakobuylink, kakebuylist, Kakobuy MEGA Spreadsheet, kakobuysheetfind, kakobuysheetfind2026, 2026kakobuysheetfind, kakobuysheet2026</t>
        </is>
      </c>
      <c r="Q189" t="inlineStr">
        <is>
          <t>Dior, Dior Oblique, Gray, Black, Leather, Unisex</t>
        </is>
      </c>
      <c r="R189" t="inlineStr">
        <is>
          <t>recvhju1CrP054</t>
        </is>
      </c>
      <c r="S189" t="inlineStr">
        <is>
          <t>dior-oblique-gray-black-leather-belt-gold-buckle-unisex-recvhju1crp054</t>
        </is>
      </c>
      <c r="T189"/>
      <c r="U189"/>
      <c r="V189"/>
      <c r="W189" t="inlineStr">
        <is>
          <t>{"id":"chatcmpl-DZR6e9apECu8oiCRXynbjkXcumHJR","object":"chat.completion","created":1777338048,"model":"gpt-5-chat-2025-10-03","choices":[{"index":0,"message":{"role":"assistant","content":"Dior：Oblique灰黑字母印花腰带，精选皮革材质搭配金色金属扣，展现品牌经典优雅格调。简约奢华设计适合男女通用，复古与现代并融，彰显法式高定时尚魅力。","refusal":null,"annotations":[]},"logprobs":null,"finish_reason":"stop"}],"usage":{"prompt_tokens":1303,"completion_tokens":67,"total_tokens":1370,"prompt_tokens_details":{"cached_tokens":0,"audio_tokens":0},"completion_tokens_details":{"reasoning_tokens":0,"audio_tokens":0,"accepted_prediction_tokens":0,"rejected_prediction_tokens":0}},"service_tier":"default","system_fingerprint":"fp_ad66631dec"}</t>
        </is>
      </c>
      <c r="X189" t="inlineStr">
        <is>
          <t>Dior：Oblique灰黑字母印花腰带，精选皮革材质搭配金色金属扣，展现品牌经典优雅格调。简约奢华设计适合男女通用，复古与现代并融，彰显法式高定时尚魅力。</t>
        </is>
      </c>
    </row>
    <row r="190" ht="25.5" customHeight="1">
      <c r="A190">
        <v>1654975475</v>
      </c>
      <c r="B190">
        <v>7623659918</v>
      </c>
      <c r="C190" s="2" t="str">
        <f>=HYPERLINK("https://weidian.com/item.html?itemID=7623659918", "https://weidian.com/item.html?itemID=7623659918")</f>
        <v>https://weidian.com/item.html?itemID=7623659918</v>
      </c>
      <c r="D190"/>
      <c r="E190" s="2" t="str">
        <f>=HYPERLINK("https://si.geilicdn.com/pcitem2014204438-79fd0000019ad8a97c5f0a20e284_1440_1920.jpg?w=640&amp;h=640", "https://si.geilicdn.com/pcitem2014204438-79fd0000019ad8a97c5f0a20e284_1440_1920.jpg?w=640&amp;h=640")</f>
        <v>https://si.geilicdn.com/pcitem2014204438-79fd0000019ad8a97c5f0a20e284_1440_1920.jpg?w=640&amp;h=640</v>
      </c>
      <c r="F190" t="inlineStr">
        <is>
          <t>Accessories</t>
        </is>
      </c>
      <c r="G190" t="inlineStr">
        <is>
          <t>Gucci</t>
        </is>
      </c>
      <c r="H190">
        <v>520</v>
      </c>
      <c r="I190">
        <v>75.36</v>
      </c>
      <c r="J190" t="inlineStr">
        <is>
          <t>{"id":"chatcmpl-DZSMauDPX6c7yXIYIvtL81WPTcMQU","object":"chat.completion","created":1777342880,"model":"gpt-5-chat-2025-10-03","choices":[{"index":0,"message":{"role":"assistant","content":"Gucci Black Leather Belt Gold Silver GG Buckle","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90" t="inlineStr">
        <is>
          <t>Gucci Black Leather Belt Gold Silver GG Buckle</t>
        </is>
      </c>
      <c r="L190" t="inlineStr">
        <is>
          <t>{"id":"chatcmpl-DZRdeivYYOCYv8BR8sqQcs9Ekhq9r","object":"chat.completion","created":1777340094,"model":"gpt-5-chat-2025-10-03","choices":[{"index":0,"message":{"role":"assistant","content":"Gucci Black Leather Belt with Dual-Tone Gold and Silver Double G Buckle, crafted from premium cowhide, unisex design for business or casual wear, showcasing timeless Italian elegance.","refusal":null,"annotations":[]},"logprobs":null,"finish_reason":"stop"}],"usage":{"prompt_tokens":897,"completion_tokens":38,"total_tokens":935,"prompt_tokens_details":{"cached_tokens":0,"audio_tokens":0},"completion_tokens_details":{"reasoning_tokens":0,"audio_tokens":0,"accepted_prediction_tokens":0,"rejected_prediction_tokens":0}},"service_tier":"default","system_fingerprint":"fp_ad66631dec"}</t>
        </is>
      </c>
      <c r="M190" t="inlineStr">
        <is>
          <t>{"alt-svc":"h3=\":443\"; ma=2592000","apim-request-id":"3983dd8a-a258-49f1-843b-e69263642627","azureml-model-session":"d20260402083108-57a85543","cache-control":"no-cache","connection":"close","content-length":"991","content-type":"application/json","date":"Tue, 28 Apr 2026 01:34:56 GMT","server":"Caddy","skip-error-remapping":"true","strict-transport-security":"max-age=31536000; includeSubDomains; preload","x-content-type-options":"nosniff","x-ms-client-request-id":"Not-Set","x-ms-is-spilled-over":"false","x-ms-rai-invoked":"false","x-ms-region":"South Central US","x-new-api-version":"0.4.35","x-oneapi-request-id":"202604280134539725382268268d9d6Znh9lHlT","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7b48816a-9184-4130-a0bd-185c766e5641"}</t>
        </is>
      </c>
      <c r="N190" t="inlineStr">
        <is>
          <t>Gucci Black Leather Belt with Dual-Tone Gold and Silver Double G Buckle, crafted from premium cowhide, unisex design for business or casual wear, showcasing timeless Italian elegance.</t>
        </is>
      </c>
      <c r="O190" t="inlineStr">
        <is>
          <t>{"id":"chatcmpl-DZSbMeB6mSnvMgSWgixzsL73j2eon","object":"chat.completion","created":1777343796,"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90" t="inlineStr">
        <is>
          <t>Gucci,Accessories,kakobuy,kakebuy2026,kekobuysheet,kakobuysheet2026,2026kakobuy,kakobuyspreadsheeet,kakobuylink,kakebuylist,Kakobuy MEGA Spreadsheet,kakobuysheetfind,kakobuysheetfind2026,2026kakobuysheetfind,kakobuysheet2026</t>
        </is>
      </c>
      <c r="Q190" t="inlineStr">
        <is>
          <t>Gucci Superstar, Leather, Black, Gold, Silver, Unisex</t>
        </is>
      </c>
      <c r="R190" t="inlineStr">
        <is>
          <t>recvhju1CrOXzO</t>
        </is>
      </c>
      <c r="S190" t="inlineStr">
        <is>
          <t>gucci-black-leather-belt-gg-buckle-recvhju1croxz</t>
        </is>
      </c>
      <c r="T190"/>
      <c r="U190"/>
      <c r="V190"/>
      <c r="W190" t="inlineStr">
        <is>
          <t>{"id":"chatcmpl-DZRBa2mG0BPmcSjRP8ZzMewAJj7PW","object":"chat.completion","created":1777338354,"model":"gpt-5-chat-2025-10-03","choices":[{"index":0,"message":{"role":"assistant","content":"Gucci：黑色真皮双G金银双色扣腰带，甄选细腻牛皮材质，金属互扣标志设计展现品牌经典美学，商务休闲皆宜，男女通用款，彰显现代优雅格调。","refusal":null,"annotations":[]},"logprobs":null,"finish_reason":"stop"}],"usage":{"prompt_tokens":1305,"completion_tokens":61,"total_tokens":1366,"prompt_tokens_details":{"cached_tokens":1280,"audio_tokens":0},"completion_tokens_details":{"reasoning_tokens":0,"audio_tokens":0,"accepted_prediction_tokens":0,"rejected_prediction_tokens":0}},"service_tier":"default","system_fingerprint":"fp_ad66631dec"}</t>
        </is>
      </c>
      <c r="X190" t="inlineStr">
        <is>
          <t>Gucci：黑色真皮双G金银双色扣腰带，甄选细腻牛皮材质，金属互扣标志设计展现品牌经典美学，商务休闲皆宜，男女通用款，彰显现代优雅格调。</t>
        </is>
      </c>
    </row>
    <row r="191" ht="25.5" customHeight="1">
      <c r="A191">
        <v>1654975475</v>
      </c>
      <c r="B191">
        <v>7620918539</v>
      </c>
      <c r="C191" s="2" t="str">
        <f>=HYPERLINK("https://weidian.com/item.html?itemID=7620918539", "https://weidian.com/item.html?itemID=7620918539")</f>
        <v>https://weidian.com/item.html?itemID=7620918539</v>
      </c>
      <c r="D191"/>
      <c r="E191" s="2" t="str">
        <f>=HYPERLINK("https://si.geilicdn.com/pcitem2014204438-02610000019ad8aa76750a23111a_1441_1921.jpg?w=640&amp;h=640", "https://si.geilicdn.com/pcitem2014204438-02610000019ad8aa76750a23111a_1441_1921.jpg?w=640&amp;h=640")</f>
        <v>https://si.geilicdn.com/pcitem2014204438-02610000019ad8aa76750a23111a_1441_1921.jpg?w=640&amp;h=640</v>
      </c>
      <c r="F191" t="inlineStr">
        <is>
          <t>Accessories</t>
        </is>
      </c>
      <c r="G191" t="inlineStr">
        <is>
          <t>Ermenegildo Zegna</t>
        </is>
      </c>
      <c r="H191">
        <v>520</v>
      </c>
      <c r="I191">
        <v>75.36</v>
      </c>
      <c r="J191" t="inlineStr">
        <is>
          <t>{"id":"chatcmpl-DZSN86rv8FrLxYUEtA0Fo54ll26Om","object":"chat.completion","created":1777342914,"model":"gpt-5-chat-2025-10-03","choices":[{"index":0,"message":{"role":"assistant","content":"Ermenegildo Zegna Black Brown Leather Belt Gold Buckle","refusal":null,"annotations":[]},"logprobs":null,"finish_reason":"stop"}],"usage":{"prompt_tokens":875,"completion_tokens":14,"total_tokens":889,"prompt_tokens_details":{"cached_tokens":0,"audio_tokens":0},"completion_tokens_details":{"reasoning_tokens":0,"audio_tokens":0,"accepted_prediction_tokens":0,"rejected_prediction_tokens":0}},"service_tier":"default","system_fingerprint":"fp_ad66631dec"}</t>
        </is>
      </c>
      <c r="K191" t="inlineStr">
        <is>
          <t>Ermenegildo Zegna Black Brown Leather Belt Gold Buckle</t>
        </is>
      </c>
      <c r="L191" t="inlineStr">
        <is>
          <t>{"id":"chatcmpl-DZRiXaARxilWfIjmeRogL4zfE4GxP","object":"chat.completion","created":1777340397,"model":"gpt-5-chat-2025-10-03","choices":[{"index":0,"message":{"role":"assistant","content":"Ermenegildo Zegna reversible black and brown leather belt crafted from premium grain calfskin, featuring a gold geometric logo automatic buckle for a refined, modern gentleman look.","refusal":null,"annotations":[]},"logprobs":null,"finish_reason":"stop"}],"usage":{"prompt_tokens":906,"completion_tokens":35,"total_tokens":941,"prompt_tokens_details":{"cached_tokens":0,"audio_tokens":0},"completion_tokens_details":{"reasoning_tokens":0,"audio_tokens":0,"accepted_prediction_tokens":0,"rejected_prediction_tokens":0}},"service_tier":"default","system_fingerprint":"fp_ad66631dec"}</t>
        </is>
      </c>
      <c r="M191" t="inlineStr">
        <is>
          <t>{"alt-svc":"h3=\":443\"; ma=2592000","apim-request-id":"a25d9097-0de0-4bfa-99d1-1c6319daf7e2","azureml-model-session":"d20260402074105-51db401e","cache-control":"no-cache","connection":"close","content-length":"989","content-type":"application/json","date":"Tue, 28 Apr 2026 01:39:58 GMT","server":"nginx","skip-error-remapping":"true","strict-transport-security":"max-age=31536000; includeSubDomains; preload","via":"1.1 Caddy","x-content-type-options":"nosniff","x-ms-client-request-id":"Not-Set","x-ms-is-spilled-over":"false","x-ms-rai-invoked":"false","x-ms-region":"Central US","x-new-api-version":"0.4.35","x-oneapi-request-id":"202604280139563636756958268d9d6R1YBXXZf","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7cee9469-39ce-41f6-a110-53009a624699"}</t>
        </is>
      </c>
      <c r="N191" t="inlineStr">
        <is>
          <t>Ermenegildo Zegna reversible black and brown leather belt crafted from premium grain calfskin, featuring a gold geometric logo automatic buckle for a refined, modern gentleman look.</t>
        </is>
      </c>
      <c r="O191" t="inlineStr">
        <is>
          <t>{"id":"chatcmpl-DZSXr1x3Jm1IlUwHgRv11fdwC1i68","object":"chat.completion","created":1777343579,"model":"gpt-5-chat-2025-10-03","choices":[{"index":0,"message":{"role":"assistant","content":"Ermenegildo Zegna,Accessories,kakobuy,kakebuy2026,kekobuysheet,kakobuysheet2026,2026kakobuy,kakobuyspreadsheeet,kakobuylink,kakebuylist,Kakobuy MEGA Spreadsheet,kakobuysheetfind,kakobuysheetfind2026,2026kakobuysheetfind,kakobuysheet2026","refusal":null,"annotations":[]},"logprobs":null,"finish_reason":"stop"}],"usage":{"prompt_tokens":786,"completion_tokens":91,"total_tokens":877,"prompt_tokens_details":{"cached_tokens":0,"audio_tokens":0},"completion_tokens_details":{"reasoning_tokens":0,"audio_tokens":0,"accepted_prediction_tokens":0,"rejected_prediction_tokens":0}},"service_tier":"default","system_fingerprint":"fp_ad66631dec"}</t>
        </is>
      </c>
      <c r="P191" t="inlineStr">
        <is>
          <t>Ermenegildo Zegna,Accessories,kakobuy,kakebuy2026,kekobuysheet,kakobuysheet2026,2026kakobuy,kakobuyspreadsheeet,kakobuylink,kakebuylist,Kakobuy MEGA Spreadsheet,kakobuysheetfind,kakobuysheetfind2026,2026kakobuysheetfind,kakobuysheet2026</t>
        </is>
      </c>
      <c r="Q191" t="inlineStr">
        <is>
          <t>Black, Brown, Leather, Gold, Modern, Geometric</t>
        </is>
      </c>
      <c r="R191" t="inlineStr">
        <is>
          <t>recvhju1CroLMK</t>
        </is>
      </c>
      <c r="S191" t="inlineStr">
        <is>
          <t>ermenegildo-zegna-black-brown-leather-belt-gold-buckle-recvhju1crolmk</t>
        </is>
      </c>
      <c r="T191"/>
      <c r="U191"/>
      <c r="V191"/>
      <c r="W191" t="inlineStr">
        <is>
          <t>{"id":"chatcmpl-DZR62VhWY5GR0WYvykM74YNumsKb8","object":"chat.completion","created":1777338010,"model":"gpt-5-chat-2025-10-03","choices":[{"index":0,"message":{"role":"assistant","content":"Ermenegildo Zegna：黑色与棕色双面皮革腰带，甄选顶级粒面牛皮材质，金色几何Logo自动扣设计，尽显奢华质感与现代绅士气度，适合男士正装与商务休闲搭配。","refusal":null,"annotations":[]},"logprobs":null,"finish_reason":"stop"}],"usage":{"prompt_tokens":1305,"completion_tokens":70,"total_tokens":1375,"prompt_tokens_details":{"cached_tokens":0,"audio_tokens":0},"completion_tokens_details":{"reasoning_tokens":0,"audio_tokens":0,"accepted_prediction_tokens":0,"rejected_prediction_tokens":0}},"service_tier":"default","system_fingerprint":"fp_ad66631dec"}</t>
        </is>
      </c>
      <c r="X191" t="inlineStr">
        <is>
          <t>Ermenegildo Zegna：黑色与棕色双面皮革腰带，甄选顶级粒面牛皮材质，金色几何Logo自动扣设计，尽显奢华质感与现代绅士气度，适合男士正装与商务休闲搭配。</t>
        </is>
      </c>
    </row>
    <row r="192" ht="25.5" customHeight="1">
      <c r="A192">
        <v>1654975475</v>
      </c>
      <c r="B192">
        <v>7623852918</v>
      </c>
      <c r="C192" s="2" t="str">
        <f>=HYPERLINK("https://weidian.com/item.html?itemID=7623852918", "https://weidian.com/item.html?itemID=7623852918")</f>
        <v>https://weidian.com/item.html?itemID=7623852918</v>
      </c>
      <c r="D192"/>
      <c r="E192" s="2" t="str">
        <f>=HYPERLINK("https://si.geilicdn.com/pcitem2014204438-75d70000019ad8af76930a8134f0_1440_1920.jpg?w=640&amp;h=640", "https://si.geilicdn.com/pcitem2014204438-75d70000019ad8af76930a8134f0_1440_1920.jpg?w=640&amp;h=640")</f>
        <v>https://si.geilicdn.com/pcitem2014204438-75d70000019ad8af76930a8134f0_1440_1920.jpg?w=640&amp;h=640</v>
      </c>
      <c r="F192" t="inlineStr">
        <is>
          <t>Accessories</t>
        </is>
      </c>
      <c r="G192" t="inlineStr">
        <is>
          <t>Dior</t>
        </is>
      </c>
      <c r="H192">
        <v>490</v>
      </c>
      <c r="I192">
        <v>71.01</v>
      </c>
      <c r="J192" t="inlineStr">
        <is>
          <t>{"id":"chatcmpl-DZSMNENAq6ht8l84H6cvwFwXmdFCD","object":"chat.completion","created":1777342867,"model":"gpt-5-chat-2025-10-03","choices":[{"index":0,"message":{"role":"assistant","content":"Dior Grey Blue Leather Belt Metal Logo Unisex Fashion","refusal":null,"annotations":[]},"logprobs":null,"finish_reason":"stop"}],"usage":{"prompt_tokens":871,"completion_tokens":12,"total_tokens":883,"prompt_tokens_details":{"cached_tokens":0,"audio_tokens":0},"completion_tokens_details":{"reasoning_tokens":0,"audio_tokens":0,"accepted_prediction_tokens":0,"rejected_prediction_tokens":0}},"service_tier":"default","system_fingerprint":"fp_ad66631dec"}</t>
        </is>
      </c>
      <c r="K192" t="inlineStr">
        <is>
          <t>Dior Grey Blue Leather Belt Metal Logo Unisex Fashion</t>
        </is>
      </c>
      <c r="L192" t="inlineStr">
        <is>
          <t>{"id":"chatcmpl-DZRfM1Lt4HE8E97hoBkOGQgBXcEtR","object":"chat.completion","created":1777340200,"model":"gpt-5-chat-2025-10-03","choices":[{"index":0,"message":{"role":"assistant","content":"Dior Grey-Blue Oblique Leather Belt with Metal Geometric Logo Buckle, Unisex Luxury Accessory, Minimalist Design, Modern Elegant Style for Fashion Lovers.","refusal":null,"annotations":[]},"logprobs":null,"finish_reason":"stop"}],"usage":{"prompt_tokens":879,"completion_tokens":35,"total_tokens":914,"prompt_tokens_details":{"cached_tokens":0,"audio_tokens":0},"completion_tokens_details":{"reasoning_tokens":0,"audio_tokens":0,"accepted_prediction_tokens":0,"rejected_prediction_tokens":0}},"service_tier":"default","system_fingerprint":"fp_ad66631dec"}</t>
        </is>
      </c>
      <c r="M192" t="inlineStr">
        <is>
          <t>{"alt-svc":"h3=\":443\"; ma=2592000","apim-request-id":"cfe68d26-9e8b-44cb-ba18-3f6f5ad88dd9","azureml-model-session":"d20260402075109-1fc5a0ec","cache-control":"no-cache","connection":"close","content-length":"962","content-type":"application/json","date":"Tue, 28 Apr 2026 01:36:41 GMT","server":"nginx","skip-error-remapping":"true","strict-transport-security":"max-age=31536000; includeSubDomains; preload","via":"1.1 Caddy","x-content-type-options":"nosniff","x-ms-client-request-id":"Not-Set","x-ms-is-spilled-over":"false","x-ms-rai-invoked":"false","x-ms-region":"Poland Central","x-new-api-version":"0.4.35","x-oneapi-request-id":"202604280136386540921908268d9d61fUpWP7v","x-ratelimit-abusepenalty-active":"False","x-ratelimit-key":"gpt-5-chat-global","x-ratelimit-limit-requests":"1000","x-ratelimit-limit-tokens":"1000000","x-ratelimit-remaining-requests":"999","x-ratelimit-remaining-tokens":"998359","x-ratelimit-renewalperiod-requests":"60","x-ratelimit-renewalperiod-tokens":"60","x-ratelimit-reset-requests":"60","x-ratelimit-reset-tokens":"98","x-request-id":"9aa25d64-e5d4-4638-b92f-f9b72f61fca6"}</t>
        </is>
      </c>
      <c r="N192" t="inlineStr">
        <is>
          <t>Dior Grey-Blue Oblique Leather Belt with Metal Geometric Logo Buckle, Unisex Luxury Accessory, Minimalist Design, Modern Elegant Style for Fashion Lovers.</t>
        </is>
      </c>
      <c r="O192" t="inlineStr">
        <is>
          <t>{"id":"chatcmpl-DZSc0j2Rn7cGsS5D6H4HhxtZT6AKf","object":"chat.completion","created":1777343836,"model":"gpt-5-chat-2025-10-03","choices":[{"index":0,"message":{"role":"assistant","content":"Dior,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2" t="inlineStr">
        <is>
          <t>Dior, belt, kakobuy, kakebuy2026, kekobuysheet, kakobuysheet2026, 2026kakobuy, kakobuyspreadsheeet, kakobuylink, kakebuylist, Kakobuy MEGA Spreadsheet, kakobuysheetfind, kakobuysheetfind2026, 2026kakobuysheetfind, kakobuysheet2026</t>
        </is>
      </c>
      <c r="Q192" t="inlineStr">
        <is>
          <t>Dior, Dior Oblique, Grey Blue, Leather, Minimalist, Unisex</t>
        </is>
      </c>
      <c r="R192" t="inlineStr">
        <is>
          <t>recvhju1CrMGyL</t>
        </is>
      </c>
      <c r="S192" t="inlineStr">
        <is>
          <t>dior-grey-blue-leather-belt-recvhju1crmgyl</t>
        </is>
      </c>
      <c r="T192"/>
      <c r="U192"/>
      <c r="V192"/>
      <c r="W192" t="inlineStr">
        <is>
          <t>{"id":"chatcmpl-DZR6uvyVjLBJ7WbvE73hzDPR8Y5KE","object":"chat.completion","created":1777338064,"model":"gpt-5-chat-2025-10-03","choices":[{"index":0,"message":{"role":"assistant","content":"Dior：灰蓝色 Oblique 皮革腰带，配金属几何字母扣设计，简约奢华质感，男女皆宜，彰显现代雅致风格。","refusal":null,"annotations":[]},"logprobs":null,"finish_reason":"stop"}],"usage":{"prompt_tokens":1301,"completion_tokens":45,"total_tokens":1346,"prompt_tokens_details":{"cached_tokens":0,"audio_tokens":0},"completion_tokens_details":{"reasoning_tokens":0,"audio_tokens":0,"accepted_prediction_tokens":0,"rejected_prediction_tokens":0}},"service_tier":"default","system_fingerprint":"fp_ad66631dec"}</t>
        </is>
      </c>
      <c r="X192" t="inlineStr">
        <is>
          <t>Dior：灰蓝色 Oblique 皮革腰带，配金属几何字母扣设计，简约奢华质感，男女皆宜，彰显现代雅致风格。</t>
        </is>
      </c>
    </row>
    <row r="193" ht="25.5" customHeight="1">
      <c r="A193">
        <v>1654975475</v>
      </c>
      <c r="B193">
        <v>7620920493</v>
      </c>
      <c r="C193" s="2" t="str">
        <f>=HYPERLINK("https://weidian.com/item.html?itemID=7620920493", "https://weidian.com/item.html?itemID=7620920493")</f>
        <v>https://weidian.com/item.html?itemID=7620920493</v>
      </c>
      <c r="D193"/>
      <c r="E193" s="2" t="str">
        <f>=HYPERLINK("https://si.geilicdn.com/pcitem2014204438-7dcd0000019ad8b222f90a23037f_1442_1922.jpg?w=640&amp;h=640", "https://si.geilicdn.com/pcitem2014204438-7dcd0000019ad8b222f90a23037f_1442_1922.jpg?w=640&amp;h=640")</f>
        <v>https://si.geilicdn.com/pcitem2014204438-7dcd0000019ad8b222f90a23037f_1442_1922.jpg?w=640&amp;h=640</v>
      </c>
      <c r="F193" t="inlineStr">
        <is>
          <t>Accessories</t>
        </is>
      </c>
      <c r="G193" t="inlineStr">
        <is>
          <t>Montblanc</t>
        </is>
      </c>
      <c r="H193">
        <v>498</v>
      </c>
      <c r="I193">
        <v>72.17</v>
      </c>
      <c r="J193" t="inlineStr">
        <is>
          <t>{"id":"chatcmpl-DZSINcWolpIh1IR0MEnWXGmymPXVH","object":"chat.completion","created":1777342619,"model":"gpt-5-chat-2025-10-03","choices":[{"index":0,"message":{"role":"assistant","content":"Montblanc Classic Black Leather Belt Silver Automatic Buckle","refusal":null,"annotations":[]},"logprobs":null,"finish_reason":"stop"}],"usage":{"prompt_tokens":868,"completion_tokens":12,"total_tokens":880,"prompt_tokens_details":{"cached_tokens":0,"audio_tokens":0},"completion_tokens_details":{"reasoning_tokens":0,"audio_tokens":0,"accepted_prediction_tokens":0,"rejected_prediction_tokens":0}},"service_tier":"default","system_fingerprint":"fp_ad66631dec"}</t>
        </is>
      </c>
      <c r="K193" t="inlineStr">
        <is>
          <t>Montblanc Classic Black Leather Belt Silver Automatic Buckle</t>
        </is>
      </c>
      <c r="L193" t="inlineStr">
        <is>
          <t>{"id":"chatcmpl-DZRfVDpSABZbUcvi2T2NDdHXMRtaw","object":"chat.completion","created":1777340209,"model":"gpt-5-chat-2025-10-03","choices":[{"index":0,"message":{"role":"assistant","content":"Montblanc Classic Black Men’s Leather Belt with Automatic Silver Buckle, crafted from premium genuine leather, sleek business design exudes elegance and modern gentleman style.","refusal":null,"annotations":[]},"logprobs":null,"finish_reason":"stop"}],"usage":{"prompt_tokens":885,"completion_tokens":33,"total_tokens":918,"prompt_tokens_details":{"cached_tokens":0,"audio_tokens":0},"completion_tokens_details":{"reasoning_tokens":0,"audio_tokens":0,"accepted_prediction_tokens":0,"rejected_prediction_tokens":0}},"service_tier":"default","system_fingerprint":"fp_ad66631dec"}</t>
        </is>
      </c>
      <c r="M193" t="inlineStr">
        <is>
          <t>{"alt-svc":"h3=\":443\"; ma=2592000","apim-request-id":"7ce0cf75-5f58-4c83-8ac0-d389d2b40199","azureml-model-session":"d20260405225800-40f19e54","cache-control":"no-cache","connection":"close","content-length":"986","content-type":"application/json","date":"Tue, 28 Apr 2026 01:36:50 GMT","server":"Caddy","skip-error-remapping":"true","strict-transport-security":"max-age=31536000; includeSubDomains; preload","x-content-type-options":"nosniff","x-ms-client-request-id":"Not-Set","x-ms-is-spilled-over":"false","x-ms-rai-invoked":"false","x-ms-region":"West US","x-new-api-version":"0.4.35","x-oneapi-request-id":"202604280136483008487578268d9d60mYZKljR","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102e3a05-3be1-4820-9641-7b90d7c64e0d"}</t>
        </is>
      </c>
      <c r="N193" t="inlineStr">
        <is>
          <t>Montblanc Classic Black Men’s Leather Belt with Automatic Silver Buckle, crafted from premium genuine leather, sleek business design exudes elegance and modern gentleman style.</t>
        </is>
      </c>
      <c r="O193" t="inlineStr">
        <is>
          <t>{"id":"chatcmpl-DZSY0UaHCvuIoKMawEehyX23dPwJM","object":"chat.completion","created":1777343588,"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3" t="inlineStr">
        <is>
          <t>Montblanc,Accessories,kakobuy,kakebuy2026,kekobuysheet,kakobuysheet2026,2026kakobuy,kakobuyspreadsheeet,kakobuylink,kakebuylist,Kakobuy MEGA Spreadsheet,kakobuysheetfind,kakobuysheetfind2026,2026kakobuysheetfind,kakobuysheet2026</t>
        </is>
      </c>
      <c r="Q193" t="inlineStr">
        <is>
          <t>Black, Leather, Business, Elegant, Men, Genuine Leather</t>
        </is>
      </c>
      <c r="R193" t="inlineStr">
        <is>
          <t>recvhju1CrMl4Z</t>
        </is>
      </c>
      <c r="S193" t="inlineStr">
        <is>
          <t>montblanc-classic-black-leather-belt-silver-automatic-buckle-recvhju1crm14z</t>
        </is>
      </c>
      <c r="T193"/>
      <c r="U193"/>
      <c r="V193"/>
      <c r="W193" t="inlineStr">
        <is>
          <t>{"id":"chatcmpl-DZR7MzmtD3E9pgs2xJN9EVQaA12V3","object":"chat.completion","created":1777338092,"model":"gpt-5-chat-2025-10-03","choices":[{"index":0,"message":{"role":"assistant","content":"Montblanc：经典黑色自动扣男士皮带，精选真皮材质搭配银色金属扣头，简约商务设计彰显优雅质感，展现现代绅士风范。","refusal":null,"annotations":[]},"logprobs":null,"finish_reason":"stop"}],"usage":{"prompt_tokens":1305,"completion_tokens":49,"total_tokens":1354,"prompt_tokens_details":{"cached_tokens":0,"audio_tokens":0},"completion_tokens_details":{"reasoning_tokens":0,"audio_tokens":0,"accepted_prediction_tokens":0,"rejected_prediction_tokens":0}},"service_tier":"default","system_fingerprint":"fp_ad66631dec"}</t>
        </is>
      </c>
      <c r="X193" t="inlineStr">
        <is>
          <t>Montblanc：经典黑色自动扣男士皮带，精选真皮材质搭配银色金属扣头，简约商务设计彰显优雅质感，展现现代绅士风范。</t>
        </is>
      </c>
    </row>
    <row r="194" ht="25.5" customHeight="1">
      <c r="A194">
        <v>1654975475</v>
      </c>
      <c r="B194">
        <v>7620863315</v>
      </c>
      <c r="C194" s="2" t="str">
        <f>=HYPERLINK("https://weidian.com/item.html?itemID=7620863315", "https://weidian.com/item.html?itemID=7620863315")</f>
        <v>https://weidian.com/item.html?itemID=7620863315</v>
      </c>
      <c r="D194"/>
      <c r="E194" s="2" t="str">
        <f>=HYPERLINK("https://si.geilicdn.com/pcitem2014204438-239d0000019ad8b3035d0a2103bd_1440_1440.jpg?w=640&amp;h=640", "https://si.geilicdn.com/pcitem2014204438-239d0000019ad8b3035d0a2103bd_1440_1440.jpg?w=640&amp;h=640")</f>
        <v>https://si.geilicdn.com/pcitem2014204438-239d0000019ad8b3035d0a2103bd_1440_1440.jpg?w=640&amp;h=640</v>
      </c>
      <c r="F194" t="inlineStr">
        <is>
          <t>Accessories</t>
        </is>
      </c>
      <c r="G194" t="inlineStr">
        <is>
          <t>Louis Vuitton</t>
        </is>
      </c>
      <c r="H194">
        <v>460</v>
      </c>
      <c r="I194">
        <v>66.6666666666666</v>
      </c>
      <c r="J194" t="inlineStr">
        <is>
          <t>{"id":"chatcmpl-DZSIpEvnNkytL95pJgDMvF4IDGmtY","object":"chat.completion","created":1777342647,"model":"gpt-5-chat-2025-10-03","choices":[{"index":0,"message":{"role":"assistant","content":"Louis Vuitton Monogram Brown Leather Belt Men","refusal":null,"annotations":[]},"logprobs":null,"finish_reason":"stop"}],"usage":{"prompt_tokens":859,"completion_tokens":9,"total_tokens":868,"prompt_tokens_details":{"cached_tokens":0,"audio_tokens":0},"completion_tokens_details":{"reasoning_tokens":0,"audio_tokens":0,"accepted_prediction_tokens":0,"rejected_prediction_tokens":0}},"service_tier":"default","system_fingerprint":"fp_ad66631dec"}</t>
        </is>
      </c>
      <c r="K194" t="inlineStr">
        <is>
          <t>Louis Vuitton Monogram Brown Leather Belt Men</t>
        </is>
      </c>
      <c r="L194" t="inlineStr">
        <is>
          <t>{"id":"chatcmpl-DZRkTR1fvtuS6u4hWME31Urx0eA1p","object":"chat.completion","created":1777340517,"model":"gpt-5-chat-2025-10-03","choices":[{"index":0,"message":{"role":"assistant","content":"Louis Vuitton Monogram Brown Men’s Belt in premium leather with gold LV buckle, combining French elegance and modern craftsmanship for business and daily wear.","refusal":null,"annotations":[]},"logprobs":null,"finish_reason":"stop"}],"usage":{"prompt_tokens":914,"completion_tokens":29,"total_tokens":943,"prompt_tokens_details":{"cached_tokens":0,"audio_tokens":0},"completion_tokens_details":{"reasoning_tokens":0,"audio_tokens":0,"accepted_prediction_tokens":0,"rejected_prediction_tokens":0}},"service_tier":"default","system_fingerprint":"fp_ad66631dec"}</t>
        </is>
      </c>
      <c r="M194" t="inlineStr">
        <is>
          <t>{"alt-svc":"h3=\":443\"; ma=2592000","apim-request-id":"ad12871e-4e04-4157-96a5-9bb21519a026","azureml-model-session":"d20260405234249-f9874baf","cache-control":"no-cache","connection":"close","content-length":"969","content-type":"application/json","date":"Tue, 28 Apr 2026 01:41:58 GMT","server":"Caddy","skip-error-remapping":"true","strict-transport-security":"max-age=31536000; includeSubDomains; preload","x-content-type-options":"nosniff","x-ms-client-request-id":"Not-Set","x-ms-is-spilled-over":"false","x-ms-rai-invoked":"false","x-ms-region":"Central US","x-new-api-version":"0.4.35","x-oneapi-request-id":"202604280141568423664128268d9d6c7oIbk84","x-ratelimit-abusepenalty-active":"False","x-ratelimit-key":"gpt-5-chat-global","x-ratelimit-limit-requests":"1000","x-ratelimit-limit-tokens":"1000000","x-ratelimit-remaining-requests":"999","x-ratelimit-remaining-tokens":"998324","x-ratelimit-renewalperiod-requests":"60","x-ratelimit-renewalperiod-tokens":"60","x-ratelimit-reset-requests":"60","x-ratelimit-reset-tokens":"100","x-request-id":"962ebbfc-7e31-4a81-87cd-10dcc426994e"}</t>
        </is>
      </c>
      <c r="N194" t="inlineStr">
        <is>
          <t>Louis Vuitton Monogram Brown Men’s Belt in premium leather with gold LV buckle, combining French elegance and modern craftsmanship for business and daily wear.</t>
        </is>
      </c>
      <c r="O194" t="inlineStr">
        <is>
          <t>{"id":"chatcmpl-DZSbVRtJ1vdTqWzTAH1ChIexWMgEX","object":"chat.completion","created":1777343805,"model":"gpt-5-chat-2025-10-03","choices":[{"index":0,"message":{"role":"assistant","content":"Louis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4" t="inlineStr">
        <is>
          <t>Louis Vuitton, Accessories, kakobuy, kakebuy2026, kekobuysheet, kakobuysheet2026, 2026kakobuy, kakobuyspreadsheeet, kakobuylink, kakebuylist, Kakobuy MEGA Spreadsheet, kakobuysheetfind, kakobuysheetfind2026, 2026kakobuysheetfind, kakobuysheet2026</t>
        </is>
      </c>
      <c r="Q194" t="inlineStr">
        <is>
          <t>LV, Brown, Leather, Gold, Business, Men</t>
        </is>
      </c>
      <c r="R194" t="inlineStr">
        <is>
          <t>recvhju1Crj8qm</t>
        </is>
      </c>
      <c r="S194" t="inlineStr">
        <is>
          <t>louis-vuitton-monogram-brown-leather-belt-men-recvhju1crj8qm</t>
        </is>
      </c>
      <c r="T194"/>
      <c r="U194"/>
      <c r="V194"/>
      <c r="W194" t="inlineStr">
        <is>
          <t>{"id":"chatcmpl-DZRCW7RO1iaGnRrgS61v4kWag7QW6","object":"chat.completion","created":1777338412,"model":"gpt-5-chat-2025-10-03","choices":[{"index":0,"message":{"role":"assistant","content":"Louis Vuitton：Monogram老花棕色男士腰带，采用优质皮革材质，配以金色金属LV字母扣，彰显品牌经典与奢华。整体设计简约大气，融合法式时尚与现代工艺，适合商务与日常场合佩戴，展现精致品味。","refusal":null,"annotations":[]},"logprobs":null,"finish_reason":"stop"}],"usage":{"prompt_tokens":1303,"completion_tokens":79,"total_tokens":1382,"prompt_tokens_details":{"cached_tokens":0,"audio_tokens":0},"completion_tokens_details":{"reasoning_tokens":0,"audio_tokens":0,"accepted_prediction_tokens":0,"rejected_prediction_tokens":0}},"service_tier":"default","system_fingerprint":"fp_ad66631dec"}</t>
        </is>
      </c>
      <c r="X194" t="inlineStr">
        <is>
          <t>Louis Vuitton：Monogram老花棕色男士腰带，采用优质皮革材质，配以金色金属LV字母扣，彰显品牌经典与奢华。整体设计简约大气，融合法式时尚与现代工艺，适合商务与日常场合佩戴，展现精致品味。</t>
        </is>
      </c>
    </row>
    <row r="195" ht="25.5" customHeight="1">
      <c r="A195">
        <v>1654975475</v>
      </c>
      <c r="B195">
        <v>7623630014</v>
      </c>
      <c r="C195" s="2" t="str">
        <f>=HYPERLINK("https://weidian.com/item.html?itemID=7623630014", "https://weidian.com/item.html?itemID=7623630014")</f>
        <v>https://weidian.com/item.html?itemID=7623630014</v>
      </c>
      <c r="D195"/>
      <c r="E195" s="2" t="str">
        <f>=HYPERLINK("https://si.geilicdn.com/pcitem2014204438-460b0000019ad8b77ba40a231316_1080_1080.jpg?w=640&amp;h=640", "https://si.geilicdn.com/pcitem2014204438-460b0000019ad8b77ba40a231316_1080_1080.jpg?w=640&amp;h=640")</f>
        <v>https://si.geilicdn.com/pcitem2014204438-460b0000019ad8b77ba40a231316_1080_1080.jpg?w=640&amp;h=640</v>
      </c>
      <c r="F195" t="inlineStr">
        <is>
          <t>Accessories</t>
        </is>
      </c>
      <c r="G195" t="inlineStr">
        <is>
          <t>Coach</t>
        </is>
      </c>
      <c r="H195">
        <v>410</v>
      </c>
      <c r="I195">
        <v>59.42</v>
      </c>
      <c r="J195" t="inlineStr">
        <is>
          <t>{"id":"chatcmpl-DZSLovcPIvo0LiDaOKqmCOOh4sfo8","object":"chat.completion","created":1777342832,"model":"gpt-5-chat-2025-10-03","choices":[{"index":0,"message":{"role":"assistant","content":"Coach Men’s Black Leather Belt Gift Set","refusal":null,"annotations":[]},"logprobs":null,"finish_reason":"stop"}],"usage":{"prompt_tokens":872,"completion_tokens":9,"total_tokens":881,"prompt_tokens_details":{"cached_tokens":0,"audio_tokens":0},"completion_tokens_details":{"reasoning_tokens":0,"audio_tokens":0,"accepted_prediction_tokens":0,"rejected_prediction_tokens":0}},"service_tier":"default","system_fingerprint":"fp_ad66631dec"}</t>
        </is>
      </c>
      <c r="K195" t="inlineStr">
        <is>
          <t>Coach Men’s Black Leather Belt Gift Set</t>
        </is>
      </c>
      <c r="L195" t="inlineStr">
        <is>
          <t>{"id":"chatcmpl-DZRcSdz6xlwHULndrvbpdaImwbR22","object":"chat.completion","created":1777340020,"model":"gpt-5-chat-2025-10-03","choices":[{"index":0,"message":{"role":"assistant","content":"Coach Men’s Classic Black Leather Belt Gift Set – crafted from premium top-grain leather with sleek metal buckles, elegant and versatile design for modern business style and everyday sophistication.","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ad66631dec"}</t>
        </is>
      </c>
      <c r="M195" t="inlineStr">
        <is>
          <t>{"alt-svc":"h3=\":443\"; ma=2592000","apim-request-id":"e3c7cefe-a096-43c3-bade-4249c40630c7","azureml-model-session":"d20260402083108-57a85543","cache-control":"no-cache","connection":"close","content-length":"1010","content-type":"application/json","date":"Tue, 28 Apr 2026 01:33:41 GMT","server":"nginx","skip-error-remapping":"true","strict-transport-security":"max-age=31536000; includeSubDomains; preload","via":"1.1 Caddy","x-content-type-options":"nosniff","x-ms-client-request-id":"Not-Set","x-ms-is-spilled-over":"false","x-ms-rai-invoked":"false","x-ms-region":"East US","x-new-api-version":"0.4.35","x-oneapi-request-id":"202604280133393349581218268d9d6f192LlOF","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3e42b81a-695f-47d7-af76-544062ab47ab"}</t>
        </is>
      </c>
      <c r="N195" t="inlineStr">
        <is>
          <t>Coach Men’s Classic Black Leather Belt Gift Set – crafted from premium top-grain leather with sleek metal buckles, elegant and versatile design for modern business style and everyday sophistication.</t>
        </is>
      </c>
      <c r="O195" t="inlineStr">
        <is>
          <t>{"id":"chatcmpl-DZSYUtPg7OTeCM2ODp4hJsjPzOvyv","object":"chat.completion","created":1777343618,"model":"gpt-5-chat-2025-10-03","choices":[{"index":0,"message":{"role":"assistant","content":"Coach,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195" t="inlineStr">
        <is>
          <t>Coach,Belt,kakobuy,kakebuy2026,kekobuysheet,kakobuysheet2026,2026kakobuy,kakobuyspreadsheeet,kakobuylink,kakebuylist,Kakobuy MEGA Spreadsheet,kakobuysheetfind,kakobuysheetfind2026,2026kakobuysheetfind,kakobuysheet2026</t>
        </is>
      </c>
      <c r="Q195"/>
      <c r="R195" t="inlineStr">
        <is>
          <t>recvhju1CrZbla</t>
        </is>
      </c>
      <c r="S195" t="inlineStr">
        <is>
          <t>coach-black-leather-belt-recvhju1crzbla</t>
        </is>
      </c>
      <c r="T195"/>
      <c r="U195"/>
      <c r="V195"/>
      <c r="W195" t="inlineStr">
        <is>
          <t>{"id":"chatcmpl-DZR654LmZEgieWdDUkyd9Z4TiL40u","object":"chat.completion","created":1777338013,"model":"gpt-5-chat-2025-10-03","choices":[{"index":0,"message":{"role":"assistant","content":"Coach：经典黑色男士皮革腰带套装，甄选细腻头层牛皮，配以金属质感扣头，简约商务风格，设计精致优雅，彰显现代都市绅士品味，适合多场合穿搭。","refusal":null,"annotations":[]},"logprobs":null,"finish_reason":"stop"}],"usage":{"prompt_tokens":1297,"completion_tokens":65,"total_tokens":1362,"prompt_tokens_details":{"cached_tokens":1280,"audio_tokens":0},"completion_tokens_details":{"reasoning_tokens":0,"audio_tokens":0,"accepted_prediction_tokens":0,"rejected_prediction_tokens":0}},"service_tier":"default","system_fingerprint":"fp_ad66631dec"}</t>
        </is>
      </c>
      <c r="X195" t="inlineStr">
        <is>
          <t>Coach：经典黑色男士皮革腰带套装，甄选细腻头层牛皮，配以金属质感扣头，简约商务风格，设计精致优雅，彰显现代都市绅士品味，适合多场合穿搭。</t>
        </is>
      </c>
    </row>
    <row r="196" ht="25.5" customHeight="1">
      <c r="A196">
        <v>1654975475</v>
      </c>
      <c r="B196">
        <v>7619607549</v>
      </c>
      <c r="C196" s="2" t="str">
        <f>=HYPERLINK("https://weidian.com/item.html?itemID=7619607549", "https://weidian.com/item.html?itemID=7619607549")</f>
        <v>https://weidian.com/item.html?itemID=7619607549</v>
      </c>
      <c r="D196"/>
      <c r="E196" s="2" t="str">
        <f>=HYPERLINK("https://si.geilicdn.com/pcitem2014204438-7f440000019ad8ba127a0a81347d_1440_1920.jpg?w=640&amp;h=640", "https://si.geilicdn.com/pcitem2014204438-7f440000019ad8ba127a0a81347d_1440_1920.jpg?w=640&amp;h=640")</f>
        <v>https://si.geilicdn.com/pcitem2014204438-7f440000019ad8ba127a0a81347d_1440_1920.jpg?w=640&amp;h=640</v>
      </c>
      <c r="F196" t="inlineStr">
        <is>
          <t>Accessories</t>
        </is>
      </c>
      <c r="G196" t="inlineStr">
        <is>
          <t>Gucci</t>
        </is>
      </c>
      <c r="H196">
        <v>460</v>
      </c>
      <c r="I196">
        <v>66.67</v>
      </c>
      <c r="J196" t="inlineStr">
        <is>
          <t>{"id":"chatcmpl-DZSJNJH5MDoyfArKECWcFgFl7laOg","object":"chat.completion","created":1777342681,"model":"gpt-5-chat-2025-10-03","choices":[{"index":0,"message":{"role":"assistant","content":"Gucci Classic Black Leather Belt Unisex Fashion Accessory","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196" t="inlineStr">
        <is>
          <t>Gucci Classic Black Leather Belt Unisex Fashion Accessory</t>
        </is>
      </c>
      <c r="L196" t="inlineStr">
        <is>
          <t>{"id":"chatcmpl-DZRgC6lAeryxDLC8sXNbRDkmYeTIU","object":"chat.completion","created":1777340252,"model":"gpt-5-chat-2025-10-03","choices":[{"index":0,"message":{"role":"assistant","content":"Gucci Classic Black Leather Belt crafted from premium calfskin with engraved metal square buckle, unisex design, minimalist and elegant for modern fashion, exuding luxury and timeless sophistication.","refusal":null,"annotations":[]},"logprobs":null,"finish_reason":"stop"}],"usage":{"prompt_tokens":899,"completion_tokens":36,"total_tokens":935,"prompt_tokens_details":{"cached_tokens":0,"audio_tokens":0},"completion_tokens_details":{"reasoning_tokens":0,"audio_tokens":0,"accepted_prediction_tokens":0,"rejected_prediction_tokens":0}},"service_tier":"default","system_fingerprint":"fp_ad66631dec"}</t>
        </is>
      </c>
      <c r="M196" t="inlineStr">
        <is>
          <t>{"alt-svc":"h3=\":443\"; ma=2592000","apim-request-id":"2c400707-cd08-4a72-b974-2cc575421808","azureml-model-session":"d20260402074105-51db401e","cache-control":"no-cache","connection":"close","content-length":"1007","content-type":"application/json","date":"Tue, 28 Apr 2026 01:37:33 GMT","server":"Caddy","skip-error-remapping":"true","strict-transport-security":"max-age=31536000; includeSubDomains; preload","x-content-type-options":"nosniff","x-ms-client-request-id":"Not-Set","x-ms-is-spilled-over":"false","x-ms-rai-invoked":"false","x-ms-region":"North Central US","x-new-api-version":"0.4.35","x-oneapi-request-id":"202604280137312649479528268d9d6kpzWOa8D","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4e579b4f-d754-4080-a162-845494fca564"}</t>
        </is>
      </c>
      <c r="N196" t="inlineStr">
        <is>
          <t>Gucci Classic Black Leather Belt crafted from premium calfskin with engraved metal square buckle, unisex design, minimalist and elegant for modern fashion, exuding luxury and timeless sophistication.</t>
        </is>
      </c>
      <c r="O196" t="inlineStr">
        <is>
          <t>{"id":"chatcmpl-DZSbK2sZ2YpVXsEciyanv14CtoT2Q","object":"chat.completion","created":1777343794,"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96" t="inlineStr">
        <is>
          <t>Gucci,accessories,kakobuy,kakebuy2026,kekobuysheet,kakobuysheet2026,2026kakobuy,kakobuyspreadsheeet,kakobuylink,kakebuylist,Kakobuy MEGA Spreadsheet,kakobuysheetfind,kakobuysheetfind2026,2026kakobuysheetfind,kakobuysheet2026</t>
        </is>
      </c>
      <c r="Q196" t="inlineStr">
        <is>
          <t>Black, Leather, Unisex, Minimalist, Elegant, Classic</t>
        </is>
      </c>
      <c r="R196" t="inlineStr">
        <is>
          <t>recvhju1CrzEoJ</t>
        </is>
      </c>
      <c r="S196" t="inlineStr">
        <is>
          <t>gucci-classic-black-leather-belt-unisex-recvhju1crz</t>
        </is>
      </c>
      <c r="T196"/>
      <c r="U196"/>
      <c r="V196"/>
      <c r="W196" t="inlineStr">
        <is>
          <t>{"id":"chatcmpl-DZR8HLzg0HR60HZhclljI3VQtFjxW","object":"chat.completion","created":1777338149,"model":"gpt-5-chat-2025-10-03","choices":[{"index":0,"message":{"role":"assistant","content":"Gucci：经典黑色真皮腰带，以优质小牛皮打造，金属方形扣饰刻字设计，简约大方，彰显绅士格调，适合男女通用，现代时尚风格，轻奢质感尽显品牌魅力。","refusal":null,"annotations":[]},"logprobs":null,"finish_reason":"stop"}],"usage":{"prompt_tokens":1301,"completion_tokens":65,"total_tokens":1366,"prompt_tokens_details":{"cached_tokens":0,"audio_tokens":0},"completion_tokens_details":{"reasoning_tokens":0,"audio_tokens":0,"accepted_prediction_tokens":0,"rejected_prediction_tokens":0}},"service_tier":"default","system_fingerprint":"fp_ad66631dec"}</t>
        </is>
      </c>
      <c r="X196" t="inlineStr">
        <is>
          <t>Gucci：经典黑色真皮腰带，以优质小牛皮打造，金属方形扣饰刻字设计，简约大方，彰显绅士格调，适合男女通用，现代时尚风格，轻奢质感尽显品牌魅力。</t>
        </is>
      </c>
    </row>
    <row r="197" ht="25.5" customHeight="1">
      <c r="A197">
        <v>1654975475</v>
      </c>
      <c r="B197">
        <v>7620922505</v>
      </c>
      <c r="C197" s="2" t="str">
        <f>=HYPERLINK("https://weidian.com/item.html?itemID=7620922505", "https://weidian.com/item.html?itemID=7620922505")</f>
        <v>https://weidian.com/item.html?itemID=7620922505</v>
      </c>
      <c r="D197"/>
      <c r="E197" s="2" t="str">
        <f>=HYPERLINK("https://si.geilicdn.com/pcitem2014204438-43dd0000019ad8b0c22c0a231316_1440_1920.jpg?w=640&amp;h=640", "https://si.geilicdn.com/pcitem2014204438-43dd0000019ad8b0c22c0a231316_1440_1920.jpg?w=640&amp;h=640")</f>
        <v>https://si.geilicdn.com/pcitem2014204438-43dd0000019ad8b0c22c0a231316_1440_1920.jpg?w=640&amp;h=640</v>
      </c>
      <c r="F197" t="inlineStr">
        <is>
          <t>Accessories</t>
        </is>
      </c>
      <c r="G197" t="inlineStr">
        <is>
          <t>Louis Vuitton</t>
        </is>
      </c>
      <c r="H197">
        <v>500</v>
      </c>
      <c r="I197">
        <v>72.46</v>
      </c>
      <c r="J197" t="inlineStr">
        <is>
          <t>{"id":"chatcmpl-DZSLHBjqduNbWvomYiylTpaNskxMS","object":"chat.completion","created":1777342799,"model":"gpt-5-chat-2025-10-03","choices":[{"index":0,"message":{"role":"assistant","content":"Louis Vuitton Black Leather Belt Silver V Buckle Men","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197" t="inlineStr">
        <is>
          <t>Louis Vuitton Black Leather Belt Silver V Buckle Men</t>
        </is>
      </c>
      <c r="L197" t="inlineStr">
        <is>
          <t>{"id":"chatcmpl-DZRiCFgbiYxvrJ3a9uHfw6nu7EPxa","object":"chat.completion","created":1777340376,"model":"gpt-5-chat-2025-10-03","choices":[{"index":0,"message":{"role":"assistant","content":"Louis Vuitton black grained leather belt with sleek silver V-shaped buckle, showcasing timeless elegance and refined craftsmanship, a must-have accessory for modern men’s urban style.","refusal":null,"annotations":[]},"logprobs":null,"finish_reason":"stop"}],"usage":{"prompt_tokens":880,"completion_tokens":33,"total_tokens":913,"prompt_tokens_details":{"cached_tokens":0,"audio_tokens":0},"completion_tokens_details":{"reasoning_tokens":0,"audio_tokens":0,"accepted_prediction_tokens":0,"rejected_prediction_tokens":0}},"service_tier":"default","system_fingerprint":"fp_ad66631dec"}</t>
        </is>
      </c>
      <c r="M197" t="inlineStr">
        <is>
          <t>{"alt-svc":"h3=\":443\"; ma=2592000","apim-request-id":"53531478-2755-4960-b70d-df19721a03d9","azureml-model-session":"d20260402075109-1fc5a0ec","cache-control":"no-cache","connection":"close","content-length":"993","content-type":"application/json","date":"Tue, 28 Apr 2026 01:39:37 GMT","server":"Caddy","skip-error-remapping":"true","strict-transport-security":"max-age=31536000; includeSubDomains; preload","x-content-type-options":"nosniff","x-ms-client-request-id":"Not-Set","x-ms-is-spilled-over":"false","x-ms-rai-invoked":"false","x-ms-region":"East US 2","x-new-api-version":"0.4.35","x-oneapi-request-id":"202604280139352584521858268d9d6AsyUxShn","x-ratelimit-abusepenalty-active":"False","x-ratelimit-key":"gpt-5-chat-global","x-ratelimit-limit-requests":"1000","x-ratelimit-limit-tokens":"1000000","x-ratelimit-remaining-requests":"999","x-ratelimit-remaining-tokens":"998358","x-ratelimit-renewalperiod-requests":"60","x-ratelimit-renewalperiod-tokens":"60","x-ratelimit-reset-requests":"60","x-ratelimit-reset-tokens":"98","x-request-id":"2b7d1ab0-7aac-48c6-89a1-a6bbf41f8577"}</t>
        </is>
      </c>
      <c r="N197" t="inlineStr">
        <is>
          <t>Louis Vuitton black grained leather belt with sleek silver V-shaped buckle, showcasing timeless elegance and refined craftsmanship, a must-have accessory for modern men’s urban style.</t>
        </is>
      </c>
      <c r="O197" t="inlineStr">
        <is>
          <t>{"id":"chatcmpl-DZSbqUKq4pL2dcpsagHi2uFaY7hfP","object":"chat.completion","created":1777343826,"model":"gpt-5-chat-2025-10-03","choices":[{"index":0,"message":{"role":"assistant","content":"Louis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7" t="inlineStr">
        <is>
          <t>Louis Vuitton, Accessories, kakobuy, kakebuy2026, kekobuysheet, kakobuysheet2026, 2026kakobuy, kakobuyspreadsheeet, kakobuylink, kakebuylist, Kakobuy MEGA Spreadsheet, kakobuysheetfind, kakobuysheetfind2026, 2026kakobuysheetfind, kakobuysheet2026</t>
        </is>
      </c>
      <c r="Q197" t="inlineStr">
        <is>
          <t>LV, Black, Elegant, Leather, Men</t>
        </is>
      </c>
      <c r="R197" t="inlineStr">
        <is>
          <t>recvhju1CrLAO9</t>
        </is>
      </c>
      <c r="S197" t="inlineStr">
        <is>
          <t>louis-vuitton-black-leather-belt-silver-v-buckle-men-recvhju1crlao9</t>
        </is>
      </c>
      <c r="T197"/>
      <c r="U197"/>
      <c r="V197"/>
      <c r="W197" t="inlineStr">
        <is>
          <t>{"id":"chatcmpl-DZR93rEdQiICYp1fCFzXxX8eMAqn1","object":"chat.completion","created":1777338197,"model":"gpt-5-chat-2025-10-03","choices":[{"index":0,"message":{"role":"assistant","content":"Louis Vuitton：黑色粒面牛皮腰带，配以银色V字扣设计，简约优雅，彰显品牌精致格调，男士都市时尚必备单品。","refusal":null,"annotations":[]},"logprobs":null,"finish_reason":"stop"}],"usage":{"prompt_tokens":1303,"completion_tokens":45,"total_tokens":1348,"prompt_tokens_details":{"cached_tokens":0,"audio_tokens":0},"completion_tokens_details":{"reasoning_tokens":0,"audio_tokens":0,"accepted_prediction_tokens":0,"rejected_prediction_tokens":0}},"service_tier":"default","system_fingerprint":"fp_ad66631dec"}</t>
        </is>
      </c>
      <c r="X197" t="inlineStr">
        <is>
          <t>Louis Vuitton：黑色粒面牛皮腰带，配以银色V字扣设计，简约优雅，彰显品牌精致格调，男士都市时尚必备单品。</t>
        </is>
      </c>
    </row>
    <row r="198" ht="25.5" customHeight="1">
      <c r="A198">
        <v>1654975475</v>
      </c>
      <c r="B198">
        <v>7623940044</v>
      </c>
      <c r="C198" s="2" t="str">
        <f>=HYPERLINK("https://weidian.com/item.html?itemID=7623940044", "https://weidian.com/item.html?itemID=7623940044")</f>
        <v>https://weidian.com/item.html?itemID=7623940044</v>
      </c>
      <c r="D198"/>
      <c r="E198" s="2" t="str">
        <f>=HYPERLINK("https://si.geilicdn.com/pcitem2014204438-06070000019ad8b614260a23041a_1080_1080.jpg?w=640&amp;h=640", "https://si.geilicdn.com/pcitem2014204438-06070000019ad8b614260a23041a_1080_1080.jpg?w=640&amp;h=640")</f>
        <v>https://si.geilicdn.com/pcitem2014204438-06070000019ad8b614260a23041a_1080_1080.jpg?w=640&amp;h=640</v>
      </c>
      <c r="F198" t="inlineStr">
        <is>
          <t>Accessories</t>
        </is>
      </c>
      <c r="G198" t="inlineStr">
        <is>
          <t>Coach</t>
        </is>
      </c>
      <c r="H198">
        <v>410</v>
      </c>
      <c r="I198">
        <v>59.42</v>
      </c>
      <c r="J198" t="inlineStr">
        <is>
          <t>{"id":"chatcmpl-DZSJ5FCvg8Njc69PLe3DIU6zf51MW","object":"chat.completion","created":1777342663,"model":"gpt-5-chat-2025-10-03","choices":[{"index":0,"message":{"role":"assistant","content":"Coach Classic Black Leather Men’s Adjustable Belt Set","refusal":null,"annotations":[]},"logprobs":null,"finish_reason":"stop"}],"usage":{"prompt_tokens":870,"completion_tokens":10,"total_tokens":880,"prompt_tokens_details":{"cached_tokens":0,"audio_tokens":0},"completion_tokens_details":{"reasoning_tokens":0,"audio_tokens":0,"accepted_prediction_tokens":0,"rejected_prediction_tokens":0}},"service_tier":"default","system_fingerprint":"fp_ad66631dec"}</t>
        </is>
      </c>
      <c r="K198" t="inlineStr">
        <is>
          <t>Coach Classic Black Leather Men’s Adjustable Belt Set</t>
        </is>
      </c>
      <c r="L198" t="inlineStr">
        <is>
          <t>{"id":"chatcmpl-DZRinZv6w6qxNgBmwOQUgGuTHTk2x","object":"chat.completion","created":1777340413,"model":"gpt-5-chat-2025-10-03","choices":[{"index":0,"message":{"role":"assistant","content":"Coach Classic Black Adjustable Men’s Belt, crafted from premium top-grain leather with dual mirror-finish metal buckles, offers timeless luxury and modern New York gentleman style.","refusal":null,"annotations":[]},"logprobs":null,"finish_reason":"stop"}],"usage":{"prompt_tokens":891,"completion_tokens":35,"total_tokens":926,"prompt_tokens_details":{"cached_tokens":0,"audio_tokens":0},"completion_tokens_details":{"reasoning_tokens":0,"audio_tokens":0,"accepted_prediction_tokens":0,"rejected_prediction_tokens":0}},"service_tier":"default","system_fingerprint":"fp_ad66631dec"}</t>
        </is>
      </c>
      <c r="M198" t="inlineStr">
        <is>
          <t>{"alt-svc":"h3=\":443\"; ma=2592000","apim-request-id":"2af5a44a-3cb4-4a8c-b76d-55eeeb3377be","azureml-model-session":"d20260405234249-f9874baf","cache-control":"no-cache","connection":"close","content-length":"990","content-type":"application/json","date":"Tue, 28 Apr 2026 01:40:14 GMT","server":"nginx","skip-error-remapping":"true","strict-transport-security":"max-age=31536000; includeSubDomains; preload","via":"1.1 Caddy","x-content-type-options":"nosniff","x-ms-client-request-id":"Not-Set","x-ms-is-spilled-over":"false","x-ms-rai-invoked":"false","x-ms-region":"Central US","x-new-api-version":"0.4.35","x-oneapi-request-id":"202604280140122643546908268d9d6pyIwxtlI","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67a2595a-5fee-4a32-9131-d0367ed29baa"}</t>
        </is>
      </c>
      <c r="N198" t="inlineStr">
        <is>
          <t>Coach Classic Black Adjustable Men’s Belt, crafted from premium top-grain leather with dual mirror-finish metal buckles, offers timeless luxury and modern New York gentleman style.</t>
        </is>
      </c>
      <c r="O198" t="inlineStr">
        <is>
          <t>{"id":"chatcmpl-DZSV0KWB5TrazmH7PNLHYHi5IiOyC","object":"chat.completion","created":1777343402,"model":"gpt-5-chat-2025-10-03","choices":[{"index":0,"message":{"role":"assistant","content":"Coach,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198" t="inlineStr">
        <is>
          <t>Coach,Belt,kakobuy,kakebuy2026,kekobuysheet,kakobuysheet2026,2026kakobuy,kakobuyspreadsheeet,kakobuylink,kakebuylist,Kakobuy MEGA Spreadsheet,kakobuysheetfind,kakobuysheetfind2026,2026kakobuysheetfind,kakobuysheet2026</t>
        </is>
      </c>
      <c r="Q198" t="inlineStr">
        <is>
          <t>Black, Leather, Classic, Men, All Seasons</t>
        </is>
      </c>
      <c r="R198" t="inlineStr">
        <is>
          <t>recvhju1CrP7a8</t>
        </is>
      </c>
      <c r="S198" t="inlineStr">
        <is>
          <t>coach-classic-black-leather-men-adjustable-belt-recvhju1crp7a8</t>
        </is>
      </c>
      <c r="T198"/>
      <c r="U198"/>
      <c r="V198"/>
      <c r="W198" t="inlineStr">
        <is>
          <t>{"id":"chatcmpl-DZRCHpI2EMWmpXtTuMKjF5gOK5xur","object":"chat.completion","created":1777338397,"model":"gpt-5-chat-2025-10-03","choices":[{"index":0,"message":{"role":"assistant","content":"Coach：经典黑色男士可调节腰带，甄选头层牛皮材质，搭配金属镜面双扣设计，简约奢华风格，兼具实用与质感，展现纽约现代绅士格调。","refusal":null,"annotations":[]},"logprobs":null,"finish_reason":"stop"}],"usage":{"prompt_tokens":1295,"completion_tokens":60,"total_tokens":1355,"prompt_tokens_details":{"cached_tokens":0,"audio_tokens":0},"completion_tokens_details":{"reasoning_tokens":0,"audio_tokens":0,"accepted_prediction_tokens":0,"rejected_prediction_tokens":0}},"service_tier":"default","system_fingerprint":"fp_ad66631dec"}</t>
        </is>
      </c>
      <c r="X198" t="inlineStr">
        <is>
          <t>Coach：经典黑色男士可调节腰带，甄选头层牛皮材质，搭配金属镜面双扣设计，简约奢华风格，兼具实用与质感，展现纽约现代绅士格调。</t>
        </is>
      </c>
    </row>
    <row r="199" ht="25.5" customHeight="1">
      <c r="A199">
        <v>1654975475</v>
      </c>
      <c r="B199">
        <v>7620916619</v>
      </c>
      <c r="C199" s="2" t="str">
        <f>=HYPERLINK("https://weidian.com/item.html?itemID=7620916619", "https://weidian.com/item.html?itemID=7620916619")</f>
        <v>https://weidian.com/item.html?itemID=7620916619</v>
      </c>
      <c r="D199"/>
      <c r="E199" s="2" t="str">
        <f>=HYPERLINK("https://si.geilicdn.com/pcitem2014204438-79cc0000019ad8b722660a230115_1080_1080.jpg?w=640&amp;h=640", "https://si.geilicdn.com/pcitem2014204438-79cc0000019ad8b722660a230115_1080_1080.jpg?w=640&amp;h=640")</f>
        <v>https://si.geilicdn.com/pcitem2014204438-79cc0000019ad8b722660a230115_1080_1080.jpg?w=640&amp;h=640</v>
      </c>
      <c r="F199" t="inlineStr">
        <is>
          <t>Accessories</t>
        </is>
      </c>
      <c r="G199" t="inlineStr">
        <is>
          <t>Coach</t>
        </is>
      </c>
      <c r="H199">
        <v>410</v>
      </c>
      <c r="I199">
        <v>59.42</v>
      </c>
      <c r="J199" t="inlineStr">
        <is>
          <t>{"id":"chatcmpl-DZSIbQRQuSl9xhY4cuK1hzgUaVPlf","object":"chat.completion","created":1777342633,"model":"gpt-5-chat-2025-10-03","choices":[{"index":0,"message":{"role":"assistant","content":"Coach Classic Black Leather Men's Belt Gift Set","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ad66631dec"}</t>
        </is>
      </c>
      <c r="K199" t="inlineStr">
        <is>
          <t>Coach Classic Black Leather Men's Belt Gift Set</t>
        </is>
      </c>
      <c r="L199" t="inlineStr">
        <is>
          <t>{"id":"chatcmpl-DZRh8htzZO8kbboHHrgPzwm0xCtkk","object":"chat.completion","created":1777340310,"model":"gpt-5-chat-2025-10-03","choices":[{"index":0,"message":{"role":"assistant","content":"Coach Classic Black Genuine Leather Men's Belt Gift Set, featuring top-grain leather and dual metallic buckles for a sleek, modern business look—perfect for daily wear or formal occasions.","refusal":null,"annotations":[]},"logprobs":null,"finish_reason":"stop"}],"usage":{"prompt_tokens":895,"completion_tokens":37,"total_tokens":932,"prompt_tokens_details":{"cached_tokens":0,"audio_tokens":0},"completion_tokens_details":{"reasoning_tokens":0,"audio_tokens":0,"accepted_prediction_tokens":0,"rejected_prediction_tokens":0}},"service_tier":"default","system_fingerprint":"fp_ad66631dec"}</t>
        </is>
      </c>
      <c r="M199" t="inlineStr">
        <is>
          <t>{"alt-svc":"h3=\":443\"; ma=2592000","apim-request-id":"bb8eda3f-9c8a-453a-bebf-9955f0efc292","azureml-model-session":"d20260402075109-1fc5a0ec","cache-control":"no-cache","connection":"close","content-length":"998","content-type":"application/json","date":"Tue, 28 Apr 2026 01:38:31 GMT","server":"nginx","skip-error-remapping":"true","strict-transport-security":"max-age=31536000; includeSubDomains; preload","via":"1.1 Caddy","x-content-type-options":"nosniff","x-ms-client-request-id":"Not-Set","x-ms-is-spilled-over":"false","x-ms-rai-invoked":"false","x-ms-region":"West US","x-new-api-version":"0.4.35","x-oneapi-request-id":"202604280138293169723678268d9d65YjvNwSq","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0750a571-4dc0-45a3-8cb4-f7d1031f6a26"}</t>
        </is>
      </c>
      <c r="N199" t="inlineStr">
        <is>
          <t>Coach Classic Black Genuine Leather Men's Belt Gift Set, featuring top-grain leather and dual metallic buckles for a sleek, modern business look—perfect for daily wear or formal occasions.</t>
        </is>
      </c>
      <c r="O199" t="inlineStr">
        <is>
          <t>{"id":"chatcmpl-DZSc8taY1Vpsd0ovL4by0bHd2LDZn","object":"chat.completion","created":1777343844,"model":"gpt-5-chat-2025-10-03","choices":[{"index":0,"message":{"role":"assistant","content":"Coach,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199" t="inlineStr">
        <is>
          <t>Coach,Belt,kakobuy,kakebuy2026,kekobuysheet,kakobuysheet2026,2026kakobuy,kakobuyspreadsheeet,kakobuylink,kakebuylist,Kakobuy MEGA Spreadsheet,kakobuysheetfind,kakobuysheetfind2026,2026kakobuysheetfind,kakobuysheet2026</t>
        </is>
      </c>
      <c r="Q199"/>
      <c r="R199" t="inlineStr">
        <is>
          <t>recvhju1Cr8Z3Q</t>
        </is>
      </c>
      <c r="S199" t="inlineStr">
        <is>
          <t>coach-classic-black-leather-mens-belt-recvhju1cr8z3q</t>
        </is>
      </c>
      <c r="T199"/>
      <c r="U199"/>
      <c r="V199"/>
      <c r="W199" t="inlineStr">
        <is>
          <t>{"id":"chatcmpl-DZRCaRsc1wAPUZpcXsoisWhCAB22E","object":"chat.completion","created":1777338416,"model":"gpt-5-chat-2025-10-03","choices":[{"index":0,"message":{"role":"assistant","content":"Coach：经典黑色真皮双扣头男士腰带礼盒套装，精选头层牛皮材质，配以金属光泽扣头设计，简约大气彰显都市商务格调，适合现代绅士日常及正式场合佩戴。","refusal":null,"annotations":[]},"logprobs":null,"finish_reason":"stop"}],"usage":{"prompt_tokens":1295,"completion_tokens":64,"total_tokens":1359,"prompt_tokens_details":{"cached_tokens":0,"audio_tokens":0},"completion_tokens_details":{"reasoning_tokens":0,"audio_tokens":0,"accepted_prediction_tokens":0,"rejected_prediction_tokens":0}},"service_tier":"default","system_fingerprint":"fp_ad66631dec"}</t>
        </is>
      </c>
      <c r="X199" t="inlineStr">
        <is>
          <t>Coach：经典黑色真皮双扣头男士腰带礼盒套装，精选头层牛皮材质，配以金属光泽扣头设计，简约大气彰显都市商务格调，适合现代绅士日常及正式场合佩戴。</t>
        </is>
      </c>
    </row>
    <row r="200" ht="25.5" customHeight="1">
      <c r="A200">
        <v>1654975475</v>
      </c>
      <c r="B200">
        <v>7620614111</v>
      </c>
      <c r="C200" s="2" t="str">
        <f>=HYPERLINK("https://weidian.com/item.html?itemID=7620614111", "https://weidian.com/item.html?itemID=7620614111")</f>
        <v>https://weidian.com/item.html?itemID=7620614111</v>
      </c>
      <c r="D200"/>
      <c r="E200" s="2" t="str">
        <f>=HYPERLINK("https://si.geilicdn.com/pcitem2014204438-6ff40000019ad8b7faf90a20e273_1080_1080.jpg?w=640&amp;h=640", "https://si.geilicdn.com/pcitem2014204438-6ff40000019ad8b7faf90a20e273_1080_1080.jpg?w=640&amp;h=640")</f>
        <v>https://si.geilicdn.com/pcitem2014204438-6ff40000019ad8b7faf90a20e273_1080_1080.jpg?w=640&amp;h=640</v>
      </c>
      <c r="F200" t="inlineStr">
        <is>
          <t>Accessories</t>
        </is>
      </c>
      <c r="G200" t="inlineStr">
        <is>
          <t>Coach</t>
        </is>
      </c>
      <c r="H200">
        <v>410</v>
      </c>
      <c r="I200">
        <v>59.42</v>
      </c>
      <c r="J200" t="inlineStr">
        <is>
          <t>{"id":"chatcmpl-DZSIGnZnwqJJNEG1XuHxXBXpSNiaD","object":"chat.completion","created":1777342612,"model":"gpt-5-chat-2025-10-03","choices":[{"index":0,"message":{"role":"assistant","content":"Coach Classic Black Reversible Leather Belt Set Men","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ad66631dec"}</t>
        </is>
      </c>
      <c r="K200" t="inlineStr">
        <is>
          <t>Coach Classic Black Reversible Leather Belt Set Men</t>
        </is>
      </c>
      <c r="L200" t="inlineStr">
        <is>
          <t>{"id":"chatcmpl-DZRefQ64r26qjpqYhihdNICP8wkTQ","object":"chat.completion","created":1777340157,"model":"gpt-5-chat-2025-10-03","choices":[{"index":0,"message":{"role":"assistant","content":"Coach Classic Black Reversible Belt Set for Men, crafted from top-grain leather with two interchangeable metal buckles, sleek urban style perfect for business or casual wear, elegant and versatile.","refusal":null,"annotations":[]},"logprobs":null,"finish_reason":"stop"}],"usage":{"prompt_tokens":888,"completion_tokens":38,"total_tokens":926,"prompt_tokens_details":{"cached_tokens":0,"audio_tokens":0},"completion_tokens_details":{"reasoning_tokens":0,"audio_tokens":0,"accepted_prediction_tokens":0,"rejected_prediction_tokens":0}},"service_tier":"default","system_fingerprint":"fp_ad66631dec"}</t>
        </is>
      </c>
      <c r="M200" t="inlineStr">
        <is>
          <t>{"alt-svc":"h3=\":443\"; ma=2592000","apim-request-id":"37e721af-773a-43b9-bc99-ca2a1b84d268","azureml-model-session":"d20260405221325-2e8d5e76","cache-control":"no-cache","connection":"close","content-length":"1005","content-type":"application/json","date":"Tue, 28 Apr 2026 01:35:59 GMT","server":"Caddy","skip-error-remapping":"true","strict-transport-security":"max-age=31536000; includeSubDomains; preload","x-content-type-options":"nosniff","x-ms-client-request-id":"Not-Set","x-ms-is-spilled-over":"false","x-ms-rai-invoked":"false","x-ms-region":"Sweden Central","x-new-api-version":"0.4.35","x-oneapi-request-id":"202604280135565659330628268d9d6kaZfFBWL","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08593cae-c292-479d-a0a9-b96fb5f952c0"}</t>
        </is>
      </c>
      <c r="N200" t="inlineStr">
        <is>
          <t>Coach Classic Black Reversible Belt Set for Men, crafted from top-grain leather with two interchangeable metal buckles, sleek urban style perfect for business or casual wear, elegant and versatile.</t>
        </is>
      </c>
      <c r="O200" t="inlineStr">
        <is>
          <t>{"id":"chatcmpl-DZSavmUAX2SeXtR9J9oZdcbJP6ROk","object":"chat.completion","created":1777343769,"model":"gpt-5-chat-2025-10-03","choices":[{"index":0,"message":{"role":"assistant","content":"Coach,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200" t="inlineStr">
        <is>
          <t>Coach,Belt,kakobuy,kakebuy2026,kekobuysheet,kakobuysheet2026,2026kakobuy,kakobuyspreadsheeet,kakobuylink,kakebuylist,Kakobuy MEGA Spreadsheet,kakobuysheetfind,kakobuysheetfind2026,2026kakobuysheetfind,kakobuysheet2026</t>
        </is>
      </c>
      <c r="Q200" t="inlineStr">
        <is>
          <t>Black, Leather, Business, Elegant, Versatile</t>
        </is>
      </c>
      <c r="R200" t="inlineStr">
        <is>
          <t>recvhju1Cry2O1</t>
        </is>
      </c>
      <c r="S200" t="inlineStr">
        <is>
          <t>coach-classic-black-reversible-leather-belt-recvhju1cry2o1</t>
        </is>
      </c>
      <c r="T200"/>
      <c r="U200"/>
      <c r="V200"/>
      <c r="W200" t="inlineStr">
        <is>
          <t>{"id":"chatcmpl-DZRDD9xHyDjqw6XQVggsXuPl7bAPW","object":"chat.completion","created":1777338455,"model":"gpt-5-chat-2025-10-03","choices":[{"index":0,"message":{"role":"assistant","content":"Coach：经典系列黑色可替换双扣头皮带套装，精选头层牛皮打造，金属质感亮眼，简约都市设计，适合商务与休闲场合，男士优雅百搭之选。","refusal":null,"annotations":[]},"logprobs":null,"finish_reason":"stop"}],"usage":{"prompt_tokens":1299,"completion_tokens":55,"total_tokens":1354,"prompt_tokens_details":{"cached_tokens":1280,"audio_tokens":0},"completion_tokens_details":{"reasoning_tokens":0,"audio_tokens":0,"accepted_prediction_tokens":0,"rejected_prediction_tokens":0}},"service_tier":"default","system_fingerprint":"fp_ad66631dec"}</t>
        </is>
      </c>
      <c r="X200" t="inlineStr">
        <is>
          <t>Coach：经典系列黑色可替换双扣头皮带套装，精选头层牛皮打造，金属质感亮眼，简约都市设计，适合商务与休闲场合，男士优雅百搭之选。</t>
        </is>
      </c>
    </row>
    <row r="201" ht="25.5" customHeight="1">
      <c r="A201">
        <v>1654975475</v>
      </c>
      <c r="B201">
        <v>7623823588</v>
      </c>
      <c r="C201" s="2" t="str">
        <f>=HYPERLINK("https://weidian.com/item.html?itemID=7623823588", "https://weidian.com/item.html?itemID=7623823588")</f>
        <v>https://weidian.com/item.html?itemID=7623823588</v>
      </c>
      <c r="D201"/>
      <c r="E201" s="2" t="str">
        <f>=HYPERLINK("https://si.geilicdn.com/pcitem2014204438-042b0000019ad8b021380a23111a_1440_1920.jpg?w=640&amp;h=640", "https://si.geilicdn.com/pcitem2014204438-042b0000019ad8b021380a23111a_1440_1920.jpg?w=640&amp;h=640")</f>
        <v>https://si.geilicdn.com/pcitem2014204438-042b0000019ad8b021380a23111a_1440_1920.jpg?w=640&amp;h=640</v>
      </c>
      <c r="F201" t="inlineStr">
        <is>
          <t>Accessories</t>
        </is>
      </c>
      <c r="G201" t="inlineStr">
        <is>
          <t>Louis Vuitton</t>
        </is>
      </c>
      <c r="H201">
        <v>500</v>
      </c>
      <c r="I201">
        <v>72.46</v>
      </c>
      <c r="J201" t="inlineStr">
        <is>
          <t>{"id":"chatcmpl-DZSJOGkdc7LLeQ7rxMKbC8fspOnfS","object":"chat.completion","created":1777342682,"model":"gpt-5-chat-2025-10-03","choices":[{"index":0,"message":{"role":"assistant","content":"Louis Vuitton Monogram Eclipse Black Leather Belt","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201" t="inlineStr">
        <is>
          <t>Louis Vuitton Monogram Eclipse Black Leather Belt</t>
        </is>
      </c>
      <c r="L201" t="inlineStr">
        <is>
          <t>{"id":"chatcmpl-DZRje75mf3KUV4pyY4vyEuewMdVLt","object":"chat.completion","created":1777340466,"model":"gpt-5-chat-2025-10-03","choices":[{"index":0,"message":{"role":"assistant","content":"Louis Vuitton Monogram Eclipse black leather belt with embossed LV pattern, metal LV buckle, sleek and modern design for men’s business or casual wear, luxury timeless accessory.","refusal":null,"annotations":[]},"logprobs":null,"finish_reason":"stop"}],"usage":{"prompt_tokens":887,"completion_tokens":34,"total_tokens":921,"prompt_tokens_details":{"cached_tokens":0,"audio_tokens":0},"completion_tokens_details":{"reasoning_tokens":0,"audio_tokens":0,"accepted_prediction_tokens":0,"rejected_prediction_tokens":0}},"service_tier":"default","system_fingerprint":"fp_ad66631dec"}</t>
        </is>
      </c>
      <c r="M201" t="inlineStr">
        <is>
          <t>{"alt-svc":"h3=\":443\"; ma=2592000","apim-request-id":"4d9ed713-bb7b-4f68-9ea4-13995a104328","azureml-model-session":"d20260402074105-51db401e","cache-control":"no-cache","connection":"close","content-length":"988","content-type":"application/json","date":"Tue, 28 Apr 2026 01:41:07 GMT","server":"nginx","skip-error-remapping":"true","strict-transport-security":"max-age=31536000; includeSubDomains; preload","via":"1.1 Caddy","x-content-type-options":"nosniff","x-ms-client-request-id":"Not-Set","x-ms-is-spilled-over":"false","x-ms-rai-invoked":"false","x-ms-region":"East US","x-new-api-version":"0.4.35","x-oneapi-request-id":"202604280141055219125938268d9d6cie7x7U2","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75ee13d5-bd79-4407-a95a-bd6cef85fb48"}</t>
        </is>
      </c>
      <c r="N201" t="inlineStr">
        <is>
          <t>Louis Vuitton Monogram Eclipse black leather belt with embossed LV pattern, metal LV buckle, sleek and modern design for men’s business or casual wear, luxury timeless accessory.</t>
        </is>
      </c>
      <c r="O201" t="inlineStr">
        <is>
          <t>{"id":"chatcmpl-DZSbg5l3dMbrCDevUaFcWZQInEFsp","object":"chat.completion","created":1777343816,"model":"gpt-5-chat-2025-10-03","choices":[{"index":0,"message":{"role":"assistant","content":"Louis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201" t="inlineStr">
        <is>
          <t>Louis Vuitton, Belt, kakobuy, kakebuy2026, kekobuysheet, kakobuysheet2026, 2026kakobuy, kakobuyspreadsheeet, kakobuylink, kakebuylist, Kakobuy MEGA Spreadsheet, kakobuysheetfind, kakobuysheetfind2026, 2026kakobuysheetfind, kakobuysheet2026</t>
        </is>
      </c>
      <c r="Q201" t="inlineStr">
        <is>
          <t>LV, Leather, Business, Business Casual, Men, Sleek</t>
        </is>
      </c>
      <c r="R201" t="inlineStr">
        <is>
          <t>recvhju1CrAoh9</t>
        </is>
      </c>
      <c r="S201" t="inlineStr">
        <is>
          <t>louis-vuitton-monogram-eclipse-black-leather-belt-recvhju1craoh9</t>
        </is>
      </c>
      <c r="T201"/>
      <c r="U201"/>
      <c r="V201"/>
      <c r="W201" t="inlineStr">
        <is>
          <t>{"id":"chatcmpl-DZR8TUwFLB5CaPHZKBXLZpbrHYqe4","object":"chat.completion","created":1777338161,"model":"gpt-5-chat-2025-10-03","choices":[{"index":0,"message":{"role":"assistant","content":"Louis Vuitton：Monogram Eclipse系列黑色皮革腰带，经典LV花纹压印设计，质感奢华低调，金属字母扣展现现代优雅风格，适合男士商务休闲穿搭。","refusal":null,"annotations":[]},"logprobs":null,"finish_reason":"stop"}],"usage":{"prompt_tokens":1299,"completion_tokens":54,"total_tokens":1353,"prompt_tokens_details":{"cached_tokens":0,"audio_tokens":0},"completion_tokens_details":{"reasoning_tokens":0,"audio_tokens":0,"accepted_prediction_tokens":0,"rejected_prediction_tokens":0}},"service_tier":"default","system_fingerprint":"fp_ad66631dec"}</t>
        </is>
      </c>
      <c r="X201" t="inlineStr">
        <is>
          <t>Louis Vuitton：Monogram Eclipse系列黑色皮革腰带，经典LV花纹压印设计，质感奢华低调，金属字母扣展现现代优雅风格，适合男士商务休闲穿搭。</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