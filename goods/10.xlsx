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ttleExplorerToys商品导入042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1654975475</v>
      </c>
      <c r="B2">
        <v>7623918374</v>
      </c>
      <c r="C2" s="2" t="str">
        <f>=HYPERLINK("https://weidian.com/item.html?itemID=7623918374", "https://weidian.com/item.html?itemID=7623918374")</f>
        <v>https://weidian.com/item.html?itemID=7623918374</v>
      </c>
      <c r="D2"/>
      <c r="E2" s="2" t="str">
        <f>=HYPERLINK("https://si.geilicdn.com/pcitem2014204438-03e20000019ad8b697bd0a2303ee_1080_1080.jpg?w=640&amp;h=640", "https://si.geilicdn.com/pcitem2014204438-03e20000019ad8b697bd0a2303ee_1080_1080.jpg?w=640&amp;h=640")</f>
        <v>https://si.geilicdn.com/pcitem2014204438-03e20000019ad8b697bd0a2303ee_1080_1080.jpg?w=640&amp;h=640</v>
      </c>
      <c r="F2" t="inlineStr">
        <is>
          <t>Accessories</t>
        </is>
      </c>
      <c r="G2" t="inlineStr">
        <is>
          <t>Coach</t>
        </is>
      </c>
      <c r="H2">
        <v>410</v>
      </c>
      <c r="I2">
        <v>59.42</v>
      </c>
      <c r="J2" t="inlineStr">
        <is>
          <t>{"id":"chatcmpl-DZoDEJTpwJMGhf3tc0LM4eaeb10de","object":"chat.completion","created":1777426868,"model":"gpt-5-chat-2025-10-03","choices":[{"index":0,"message":{"role":"assistant","content":"COACH New York Men Leather Belt Gift Set Black","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2" t="inlineStr">
        <is>
          <t>COACH New York Men Leather Belt Gift Set Black</t>
        </is>
      </c>
      <c r="L2" t="inlineStr">
        <is>
          <t>{"id":"chatcmpl-DZo2RrH7xTNtSQHHZ5Go0DS6ADm81","object":"chat.completion","created":1777426199,"model":"gpt-5-chat-2025-10-03","choices":[{"index":0,"message":{"role":"assistant","content":"COACH New York Men’s Classic Black Leather Belt Gift Set, crafted from premium full-grain leather with interchangeable metal buckles, perfect for business or casual style, exuding urban elegance.","refusal":null,"annotations":[]},"logprobs":null,"finish_reason":"stop"}],"usage":{"prompt_tokens":889,"completion_tokens":39,"total_tokens":928,"prompt_tokens_details":{"cached_tokens":0,"audio_tokens":0},"completion_tokens_details":{"reasoning_tokens":0,"audio_tokens":0,"accepted_prediction_tokens":0,"rejected_prediction_tokens":0}},"service_tier":"default","system_fingerprint":"fp_fd471178c5"}</t>
        </is>
      </c>
      <c r="M2" t="inlineStr">
        <is>
          <t>{"alt-svc":"h3=\":443\"; ma=2592000","apim-request-id":"5ce5c101-ce5d-4f82-9357-26fee4e48c33","azureml-model-session":"d20260428205641-55ca9797","cache-control":"no-cache","connection":"close","content-length":"1005","content-type":"application/json","date":"Wed, 29 Apr 2026 01:30:00 GMT","server":"Caddy","skip-error-remapping":"true","strict-transport-security":"max-age=31536000; includeSubDomains; preload","x-content-type-options":"nosniff","x-ms-client-request-id":"Not-Set","x-ms-is-spilled-over":"false","x-ms-rai-invoked":"false","x-ms-region":"Poland Central","x-new-api-version":"0.4.35","x-oneapi-request-id":"202604290129584250196328268d9d6ksTvh3WF","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a8d5c6b1-2007-478c-8939-998e20afad98"}</t>
        </is>
      </c>
      <c r="N2" t="inlineStr">
        <is>
          <t>COACH New York Men’s Classic Black Leather Belt Gift Set, crafted from premium full-grain leather with interchangeable metal buckles, perfect for business or casual style, exuding urban elegance.</t>
        </is>
      </c>
      <c r="O2" t="inlineStr">
        <is>
          <t>{"id":"chatcmpl-DZoR3J2OmdLTZoWAiJo7GC2fDvK4v","object":"chat.completion","created":1777427725,"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fd471178c5"}</t>
        </is>
      </c>
      <c r="P2" t="inlineStr">
        <is>
          <t>Coach,Belt,kakobuy,kakebuy2026,kekobuysheet,kakobuysheet2026,2026kakobuy,kakobuyspreadsheeet,kakobuylink,kakebuylist,Kakobuy MEGA Spreadsheet,kakobuysheetfind,kakobuysheetfind2026,2026kakobuysheetfind,kakobuysheet2026</t>
        </is>
      </c>
      <c r="Q2" t="inlineStr">
        <is>
          <t>Black, Leather, Business, Men</t>
        </is>
      </c>
      <c r="R2" t="inlineStr">
        <is>
          <t>recvhju1CrBd1g</t>
        </is>
      </c>
      <c r="S2" t="inlineStr">
        <is>
          <t>coach-men-leather-belt-recvhju1crbd1g</t>
        </is>
      </c>
      <c r="T2"/>
      <c r="U2"/>
      <c r="V2"/>
      <c r="W2" t="inlineStr">
        <is>
          <t>{"id":"chatcmpl-DZnusqFM2SO4PeEvhqD1NTyKVC4QT","object":"chat.completion","created":1777425730,"model":"gpt-5-chat-2025-10-03","choices":[{"index":0,"message":{"role":"assistant","content":"Coach：经典黑色真皮男士腰带礼盒套装，采用头层牛皮材质，搭配可替换金属扣设计，展现纽约都市简约格调，商务休闲皆宜，尽显优雅品质。","refusal":null,"annotations":[]},"logprobs":null,"finish_reason":"stop"}],"usage":{"prompt_tokens":1299,"completion_tokens":56,"total_tokens":1355,"prompt_tokens_details":{"cached_tokens":0,"audio_tokens":0},"completion_tokens_details":{"reasoning_tokens":0,"audio_tokens":0,"accepted_prediction_tokens":0,"rejected_prediction_tokens":0}},"service_tier":"default","system_fingerprint":"fp_ad66631dec"}</t>
        </is>
      </c>
      <c r="X2" t="inlineStr">
        <is>
          <t>Coach：经典黑色真皮男士腰带礼盒套装，采用头层牛皮材质，搭配可替换金属扣设计，展现纽约都市简约格调，商务休闲皆宜，尽显优雅品质。</t>
        </is>
      </c>
    </row>
    <row r="3" ht="25.5" customHeight="1">
      <c r="A3">
        <v>1654975475</v>
      </c>
      <c r="B3">
        <v>7620859403</v>
      </c>
      <c r="C3" s="2" t="str">
        <f>=HYPERLINK("https://weidian.com/item.html?itemID=7620859403", "https://weidian.com/item.html?itemID=7620859403")</f>
        <v>https://weidian.com/item.html?itemID=7620859403</v>
      </c>
      <c r="D3"/>
      <c r="E3" s="2" t="str">
        <f>=HYPERLINK("https://si.geilicdn.com/pcitem2014204438-75c90000019ad8b882500a2396f4_1512_2016.jpg?w=640&amp;h=640", "https://si.geilicdn.com/pcitem2014204438-75c90000019ad8b882500a2396f4_1512_2016.jpg?w=640&amp;h=640")</f>
        <v>https://si.geilicdn.com/pcitem2014204438-75c90000019ad8b882500a2396f4_1512_2016.jpg?w=640&amp;h=640</v>
      </c>
      <c r="F3" t="inlineStr">
        <is>
          <t>Accessories</t>
        </is>
      </c>
      <c r="G3" t="inlineStr">
        <is>
          <t>Coach</t>
        </is>
      </c>
      <c r="H3">
        <v>510</v>
      </c>
      <c r="I3">
        <v>73.91</v>
      </c>
      <c r="J3" t="inlineStr">
        <is>
          <t>{"id":"chatcmpl-DZoIf1nFn2Cir7Wf538kPZHzY8jEb","object":"chat.completion","created":1777427205,"model":"gpt-5-chat-2025-10-03","choices":[{"index":0,"message":{"role":"assistant","content":"Gucci Brown Leather Reversible GG Buckle Belt","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fd471178c5"}</t>
        </is>
      </c>
      <c r="K3" t="inlineStr">
        <is>
          <t>Gucci Brown Leather Reversible GG Buckle Belt</t>
        </is>
      </c>
      <c r="L3" t="inlineStr">
        <is>
          <t>{"id":"chatcmpl-DZoAObyb4ZCiuIkThUTOgtHh4ytVm","object":"chat.completion","created":1777426692,"model":"gpt-5-chat-2025-10-03","choices":[{"index":0,"message":{"role":"assistant","content":"Gucci brown reversible leather belt with gold double G cut-out buckle, featuring signature GG print and fine texture. Unisex design, elegant vintage style, perfect for any outfit.","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is>
      </c>
      <c r="M3" t="inlineStr">
        <is>
          <t>{"alt-svc":"h3=\":443\"; ma=2592000","apim-request-id":"07acdde2-3474-4147-a006-1173f2811042","azureml-model-session":"d20260402083108-57a85543","cache-control":"no-cache","connection":"close","content-length":"987","content-type":"application/json","date":"Wed, 29 Apr 2026 01:38:14 GMT","server":"Caddy","skip-error-remapping":"true","strict-transport-security":"max-age=31536000; includeSubDomains; preload","x-content-type-options":"nosniff","x-ms-client-request-id":"Not-Set","x-ms-is-spilled-over":"false","x-ms-rai-invoked":"false","x-ms-region":"South Central US","x-new-api-version":"0.4.35","x-oneapi-request-id":"202604290138119835812838268d9d6HOrqZJwP","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c2c011d2-6edd-4661-b7b1-657172313954"}</t>
        </is>
      </c>
      <c r="N3" t="inlineStr">
        <is>
          <t>Gucci brown reversible leather belt with gold double G cut-out buckle, featuring signature GG print and fine texture. Unisex design, elegant vintage style, perfect for any outfit.</t>
        </is>
      </c>
      <c r="O3" t="inlineStr">
        <is>
          <t>{"id":"chatcmpl-DZoMCPw4IJThfbIerZZTf4eb69oDk","object":"chat.completion","created":1777427424,"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3" t="inlineStr">
        <is>
          <t>Gucci,Belt,kakobuy,kakebuy2026,kekobuysheet,kakobuysheet2026,2026kakobuy,kakobuyspreadsheeet,kakobuylink,kakebuylist,Kakobuy MEGA Spreadsheet,kakobuysheetfind,kakobuysheetfind2026,2026kakobuysheetfind,kakobuysheet2026</t>
        </is>
      </c>
      <c r="Q3" t="inlineStr">
        <is>
          <t>Leather, Brown, Gold, Elegant, Vintage</t>
        </is>
      </c>
      <c r="R3" t="inlineStr">
        <is>
          <t>recvhju1CrUXWl</t>
        </is>
      </c>
      <c r="S3" t="inlineStr">
        <is>
          <t>gucci-brown-leather-reversible-gg-buckle-belt-recvhju1cruxwl</t>
        </is>
      </c>
      <c r="T3"/>
      <c r="U3"/>
      <c r="V3"/>
      <c r="W3" t="inlineStr">
        <is>
          <t>{"id":"chatcmpl-DZnuDSHVkCe3q3itIk5ZIaKdDWX4G","object":"chat.completion","created":1777425689,"model":"gpt-5-chat-2025-10-03","choices":[{"index":0,"message":{"role":"assistant","content":"Gucci：棕色双面皮革腰带，金色双G镂空圆形扣设计，经典印花与细腻纹理融合，彰显复古奢华格调，男女皆宜，时尚百搭。","refusal":null,"annotations":[]},"logprobs":null,"finish_reason":"stop"}],"usage":{"prompt_tokens":1299,"completion_tokens":56,"total_tokens":1355,"prompt_tokens_details":{"cached_tokens":0,"audio_tokens":0},"completion_tokens_details":{"reasoning_tokens":0,"audio_tokens":0,"accepted_prediction_tokens":0,"rejected_prediction_tokens":0}},"service_tier":"default","system_fingerprint":"fp_fd471178c5"}</t>
        </is>
      </c>
      <c r="X3" t="inlineStr">
        <is>
          <t>Gucci：棕色双面皮革腰带，金色双G镂空圆形扣设计，经典印花与细腻纹理融合，彰显复古奢华格调，男女皆宜，时尚百搭。</t>
        </is>
      </c>
    </row>
    <row r="4" ht="25.5" customHeight="1">
      <c r="A4">
        <v>1654975475</v>
      </c>
      <c r="B4">
        <v>7620944383</v>
      </c>
      <c r="C4" s="2" t="str">
        <f>=HYPERLINK("https://weidian.com/item.html?itemID=7620944383", "https://weidian.com/item.html?itemID=7620944383")</f>
        <v>https://weidian.com/item.html?itemID=7620944383</v>
      </c>
      <c r="D4"/>
      <c r="E4" s="2" t="str">
        <f>=HYPERLINK("https://si.geilicdn.com/pcitem2014204438-01390000019ad8bb41bf0a23038e_1442_1922.jpg?w=640&amp;h=640", "https://si.geilicdn.com/pcitem2014204438-01390000019ad8bb41bf0a23038e_1442_1922.jpg?w=640&amp;h=640")</f>
        <v>https://si.geilicdn.com/pcitem2014204438-01390000019ad8bb41bf0a23038e_1442_1922.jpg?w=640&amp;h=640</v>
      </c>
      <c r="F4" t="inlineStr">
        <is>
          <t>Accessories</t>
        </is>
      </c>
      <c r="G4" t="inlineStr">
        <is>
          <t>Ermenegildo Zegna</t>
        </is>
      </c>
      <c r="H4">
        <v>510</v>
      </c>
      <c r="I4">
        <v>73.91</v>
      </c>
      <c r="J4" t="inlineStr">
        <is>
          <t>{"id":"chatcmpl-DZoEIlVpSfWBlYmSSh1METnNwoS4T","object":"chat.completion","created":1777426934,"model":"gpt-5-chat-2025-10-03","choices":[{"index":0,"message":{"role":"assistant","content":"Ermenegildo Zegna Black Leather Belt Gold Buckle","refusal":null,"annotations":[]},"logprobs":null,"finish_reason":"stop"}],"usage":{"prompt_tokens":871,"completion_tokens":13,"total_tokens":884,"prompt_tokens_details":{"cached_tokens":0,"audio_tokens":0},"completion_tokens_details":{"reasoning_tokens":0,"audio_tokens":0,"accepted_prediction_tokens":0,"rejected_prediction_tokens":0}},"service_tier":"default","system_fingerprint":"fp_ad66631dec"}</t>
        </is>
      </c>
      <c r="K4" t="inlineStr">
        <is>
          <t>Ermenegildo Zegna Black Leather Belt Gold Buckle</t>
        </is>
      </c>
      <c r="L4" t="inlineStr">
        <is>
          <t>{"id":"chatcmpl-DZoAVd0LqFkZGV3igOpqCDynjPIfr","object":"chat.completion","created":1777426699,"model":"gpt-5-chat-2025-10-03","choices":[{"index":0,"message":{"role":"assistant","content":"Ermenegildo Zegna Black Classic Men’s Leather Belt – premium textured cowhide with gold-tone buckle, refined Italian luxury style for business or casual wear.","refusal":null,"annotations":[]},"logprobs":null,"finish_reason":"stop"}],"usage":{"prompt_tokens":899,"completion_tokens":33,"total_tokens":932,"prompt_tokens_details":{"cached_tokens":0,"audio_tokens":0},"completion_tokens_details":{"reasoning_tokens":0,"audio_tokens":0,"accepted_prediction_tokens":0,"rejected_prediction_tokens":0}},"service_tier":"default","system_fingerprint":"fp_ad66631dec"}</t>
        </is>
      </c>
      <c r="M4" t="inlineStr">
        <is>
          <t>{"alt-svc":"h3=\":443\"; ma=2592000","apim-request-id":"924d5c32-975c-4e1e-afb7-5d6bd516b9b1","azureml-model-session":"d20260405225800-40f19e54","cache-control":"no-cache","connection":"close","content-length":"970","content-type":"application/json","date":"Wed, 29 Apr 2026 01:38:20 GMT","server":"nginx","skip-error-remapping":"true","strict-transport-security":"max-age=31536000; includeSubDomains; preload","via":"1.1 Caddy","x-content-type-options":"nosniff","x-ms-client-request-id":"Not-Set","x-ms-is-spilled-over":"false","x-ms-rai-invoked":"false","x-ms-region":"West US","x-new-api-version":"0.4.35","x-oneapi-request-id":"202604290138184585729378268d9d6U4OFbS8W","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14ca08a9-3de5-4590-9b80-c186d9e8cc67"}</t>
        </is>
      </c>
      <c r="N4" t="inlineStr">
        <is>
          <t>Ermenegildo Zegna Black Classic Men’s Leather Belt – premium textured cowhide with gold-tone buckle, refined Italian luxury style for business or casual wear.</t>
        </is>
      </c>
      <c r="O4" t="inlineStr">
        <is>
          <t>{"id":"chatcmpl-DZoNSAUW4VzRLTZpOarsq28mSJqQa","object":"chat.completion","created":1777427502,"model":"gpt-5-chat-2025-10-03","choices":[{"index":0,"message":{"role":"assistant","content":"Ermenegildo Zegna,Accessories,kakobuy,kakebuy2026,kekobuysheet,kakobuysheet2026,2026kakobuy,kakobuyspreadsheeet,kakobuylink,kakebuylist,Kakobuy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91,"total_tokens":877,"prompt_tokens_details":{"cached_tokens":0,"audio_tokens":0},"completion_tokens_details":{"reasoning_tokens":0,"audio_tokens":0,"accepted_prediction_tokens":0,"rejected_prediction_tokens":0}},"service_tier":"default","system_fingerprint":"fp_ad66631dec"}</t>
        </is>
      </c>
      <c r="P4" t="inlineStr">
        <is>
          <t>Ermenegildo Zegna,Accessories,kakobuy,kakebuy2026,kekobuysheet,kakobuysheet2026,2026kakobuy,kakobuyspreadsheeet,kakobuylink,kakebuylist,Kakobuy MEGA Spreadsheet,kakobuysheetfind,kakobuysheetfind2026,2026kakobuysheetfind,kakobuysheet2026</t>
        </is>
      </c>
      <c r="Q4" t="inlineStr">
        <is>
          <t>Leather, Black, Classic, Business, Business Casual, Men</t>
        </is>
      </c>
      <c r="R4" t="inlineStr">
        <is>
          <t>recvhju1Crv1e8</t>
        </is>
      </c>
      <c r="S4" t="inlineStr">
        <is>
          <t>zegna-black-leather-belt-gold-buckle-recvhju1crv1e8</t>
        </is>
      </c>
      <c r="T4"/>
      <c r="U4"/>
      <c r="V4"/>
      <c r="W4" t="inlineStr">
        <is>
          <t>{"id":"chatcmpl-DZnyG7sEni12ynFMfMge1RiEQOPp8","object":"chat.completion","created":1777425940,"model":"gpt-5-chat-2025-10-03","choices":[{"index":0,"message":{"role":"assistant","content":"Ermenegildo Zegna：黑色经典系列男士真皮腰带，采用优质纹理牛皮搭配金色金属扣，设计简约大气，彰显意式奢华格调，适合商务与休闲多场景佩戴。","refusal":null,"annotations":[]},"logprobs":null,"finish_reason":"stop"}],"usage":{"prompt_tokens":1307,"completion_tokens":62,"total_tokens":1369,"prompt_tokens_details":{"cached_tokens":0,"audio_tokens":0},"completion_tokens_details":{"reasoning_tokens":0,"audio_tokens":0,"accepted_prediction_tokens":0,"rejected_prediction_tokens":0}},"service_tier":"default","system_fingerprint":"fp_ad66631dec"}</t>
        </is>
      </c>
      <c r="X4" t="inlineStr">
        <is>
          <t>Ermenegildo Zegna：黑色经典系列男士真皮腰带，采用优质纹理牛皮搭配金色金属扣，设计简约大气，彰显意式奢华格调，适合商务与休闲多场景佩戴。</t>
        </is>
      </c>
    </row>
    <row r="5" ht="25.5" customHeight="1">
      <c r="A5">
        <v>1654975475</v>
      </c>
      <c r="B5">
        <v>7620688593</v>
      </c>
      <c r="C5" s="2" t="str">
        <f>=HYPERLINK("https://weidian.com/item.html?itemID=7620688593", "https://weidian.com/item.html?itemID=7620688593")</f>
        <v>https://weidian.com/item.html?itemID=7620688593</v>
      </c>
      <c r="D5"/>
      <c r="E5" s="2" t="str">
        <f>=HYPERLINK("https://si.geilicdn.com/pcitem2014204438-30510000019adc66c1b40a20e273_2016_1512.jpg?w=640&amp;h=640", "https://si.geilicdn.com/pcitem2014204438-30510000019adc66c1b40a20e273_2016_1512.jpg?w=640&amp;h=640")</f>
        <v>https://si.geilicdn.com/pcitem2014204438-30510000019adc66c1b40a20e273_2016_1512.jpg?w=640&amp;h=640</v>
      </c>
      <c r="F5" t="inlineStr">
        <is>
          <t>Accessories</t>
        </is>
      </c>
      <c r="G5" t="inlineStr">
        <is>
          <t>Miu Miu</t>
        </is>
      </c>
      <c r="H5">
        <v>320</v>
      </c>
      <c r="I5">
        <v>46.38</v>
      </c>
      <c r="J5" t="inlineStr">
        <is>
          <t>{"id":"chatcmpl-DZoGImS7L0GY4lARWW5ANR8ieXI1f","object":"chat.completion","created":1777427058,"model":"gpt-5-chat-2025-10-03","choices":[{"index":0,"message":{"role":"assistant","content":"Miu Miu Brown Black Leather Unisex Key Case","refusal":null,"annotations":[]},"logprobs":null,"finish_reason":"stop"}],"usage":{"prompt_tokens":597,"completion_tokens":12,"total_tokens":609,"prompt_tokens_details":{"cached_tokens":0,"audio_tokens":0},"completion_tokens_details":{"reasoning_tokens":0,"audio_tokens":0,"accepted_prediction_tokens":0,"rejected_prediction_tokens":0}},"service_tier":"default","system_fingerprint":"fp_ad66631dec"}</t>
        </is>
      </c>
      <c r="K5" t="inlineStr">
        <is>
          <t>Miu Miu Brown Black Leather Unisex Key Case</t>
        </is>
      </c>
      <c r="L5" t="inlineStr">
        <is>
          <t>{"id":"chatcmpl-DZo3kgnuIVJKo8F0GNGWq0vL3Fyu9","object":"chat.completion","created":1777426280,"model":"gpt-5-chat-2025-10-03","choices":[{"index":0,"message":{"role":"assistant","content":"Miu Miu Brown and Black Leather Key Case – Crafted from premium leather with curved patchwork design, accented by luxe metal details. Unisex minimalist style reflecting Italian artistic elegance.","refusal":null,"annotations":[]},"logprobs":null,"finish_reason":"stop"}],"usage":{"prompt_tokens":624,"completion_tokens":37,"total_tokens":661,"prompt_tokens_details":{"cached_tokens":0,"audio_tokens":0},"completion_tokens_details":{"reasoning_tokens":0,"audio_tokens":0,"accepted_prediction_tokens":0,"rejected_prediction_tokens":0}},"service_tier":"default","system_fingerprint":"fp_fd471178c5"}</t>
        </is>
      </c>
      <c r="M5" t="inlineStr">
        <is>
          <t>{"alt-svc":"h3=\":443\"; ma=2592000","apim-request-id":"6916da91-b145-41a1-beb6-4a60fcb8117d","azureml-model-session":"d20260428165144-a78ba574","cache-control":"no-cache","connection":"close","content-length":"1005","content-type":"application/json","date":"Wed, 29 Apr 2026 01:31:21 GMT","server":"Caddy","skip-error-remapping":"true","strict-transport-security":"max-age=31536000; includeSubDomains; preload","x-content-type-options":"nosniff","x-ms-client-request-id":"Not-Set","x-ms-is-spilled-over":"false","x-ms-rai-invoked":"false","x-ms-region":"North Central US","x-new-api-version":"0.4.35","x-oneapi-request-id":"202604290131201926944908268d9d64LZNl5m5","x-ratelimit-abusepenalty-active":"False","x-ratelimit-key":"gpt-5-chat-global","x-ratelimit-limit-requests":"1000","x-ratelimit-limit-tokens":"1000000","x-ratelimit-remaining-requests":"999","x-ratelimit-remaining-tokens":"997250","x-ratelimit-renewalperiod-requests":"60","x-ratelimit-renewalperiod-tokens":"60","x-ratelimit-reset-requests":"90","x-ratelimit-reset-tokens":"165","x-request-id":"b6e603b7-1389-41f4-8406-3d73b6a67760"}</t>
        </is>
      </c>
      <c r="N5" t="inlineStr">
        <is>
          <t>Miu Miu Brown and Black Leather Key Case – Crafted from premium leather with curved patchwork design, accented by luxe metal details. Unisex minimalist style reflecting Italian artistic elegance.</t>
        </is>
      </c>
      <c r="O5" t="inlineStr">
        <is>
          <t>{"id":"chatcmpl-DZoJvKPbCfHPHoG5zdVch4nDZ8Bi3","object":"chat.completion","created":1777427283,"model":"gpt-5-chat-2025-10-03","choices":[{"index":0,"message":{"role":"assistant","content":"Miu Miu,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504,"completion_tokens":93,"total_tokens":597,"prompt_tokens_details":{"cached_tokens":0,"audio_tokens":0},"completion_tokens_details":{"reasoning_tokens":0,"audio_tokens":0,"accepted_prediction_tokens":0,"rejected_prediction_tokens":0}},"service_tier":"default","system_fingerprint":"fp_ad66631dec"}</t>
        </is>
      </c>
      <c r="P5" t="inlineStr">
        <is>
          <t>Miu Miu, Accessories, kakobuy, kakebuy2026, kekobuysheet, kakobuysheet2026, 2026kakobuy, kakobuyspreadsheeet, kakobuylink, kakebuylist, Kakobuy MEGA Spreadsheet, kakobuysheetfind, kakobuysheetfind2026, 2026kakobuysheetfind, kakobuysheet2026</t>
        </is>
      </c>
      <c r="Q5" t="inlineStr">
        <is>
          <t>Leather, Minimalist, Unisex, Brown, Black</t>
        </is>
      </c>
      <c r="R5" t="inlineStr">
        <is>
          <t>recvhju1CrBAOi</t>
        </is>
      </c>
      <c r="S5" t="inlineStr">
        <is>
          <t>miu-miu-brown-black-leather-key-case-recvhju1crbaoi</t>
        </is>
      </c>
      <c r="T5"/>
      <c r="U5"/>
      <c r="V5"/>
      <c r="W5" t="inlineStr">
        <is>
          <t>{"id":"chatcmpl-DZo0hxn8DvuGG1A61YKP5sDoruxBr","object":"chat.completion","created":1777426091,"model":"gpt-5-chat-2025-10-03","choices":[{"index":0,"message":{"role":"assistant","content":"Miu Miu：棕黑拼色皮革钥匙包，以高级牛皮打造弧形拼接设计，金属配件点缀奢华质感，展现现代极简风格，适合男女使用，彰显品牌俏丽格调与意式艺术美学。","refusal":null,"annotations":[]},"logprobs":null,"finish_reason":"stop"}],"usage":{"prompt_tokens":1023,"completion_tokens":69,"total_tokens":1092,"prompt_tokens_details":{"cached_tokens":0,"audio_tokens":0},"completion_tokens_details":{"reasoning_tokens":0,"audio_tokens":0,"accepted_prediction_tokens":0,"rejected_prediction_tokens":0}},"service_tier":"default","system_fingerprint":"fp_fd471178c5"}</t>
        </is>
      </c>
      <c r="X5" t="inlineStr">
        <is>
          <t>Miu Miu：棕黑拼色皮革钥匙包，以高级牛皮打造弧形拼接设计，金属配件点缀奢华质感，展现现代极简风格，适合男女使用，彰显品牌俏丽格调与意式艺术美学。</t>
        </is>
      </c>
    </row>
    <row r="6" ht="25.5" customHeight="1">
      <c r="A6">
        <v>1654975475</v>
      </c>
      <c r="B6">
        <v>7625501596</v>
      </c>
      <c r="C6" s="2" t="str">
        <f>=HYPERLINK("https://weidian.com/item.html?itemID=7625501596", "https://weidian.com/item.html?itemID=7625501596")</f>
        <v>https://weidian.com/item.html?itemID=7625501596</v>
      </c>
      <c r="D6"/>
      <c r="E6" s="2" t="str">
        <f>=HYPERLINK("https://si.geilicdn.com/pcitem2014204438-364d0000019adc5dceac0a20e672_1440_1920.jpg?w=640&amp;h=640", "https://si.geilicdn.com/pcitem2014204438-364d0000019adc5dceac0a20e672_1440_1920.jpg?w=640&amp;h=640")</f>
        <v>https://si.geilicdn.com/pcitem2014204438-364d0000019adc5dceac0a20e672_1440_1920.jpg?w=640&amp;h=640</v>
      </c>
      <c r="F6" t="inlineStr">
        <is>
          <t>Hats</t>
        </is>
      </c>
      <c r="G6" t="inlineStr">
        <is>
          <t>Ralph Lauren</t>
        </is>
      </c>
      <c r="H6">
        <v>240</v>
      </c>
      <c r="I6">
        <v>34.78</v>
      </c>
      <c r="J6" t="inlineStr">
        <is>
          <t>{"id":"chatcmpl-DZoI4HoasM7OrAtWzaRxiZYYa6rIl","object":"chat.completion","created":1777427168,"model":"gpt-5-chat-2025-10-03","choices":[{"index":0,"message":{"role":"assistant","content":"Polo Ralph Lauren Classic Camel Knit Wool Beanie Hat","refusal":null,"annotations":[]},"logprobs":null,"finish_reason":"stop"}],"usage":{"prompt_tokens":887,"completion_tokens":12,"total_tokens":899,"prompt_tokens_details":{"cached_tokens":0,"audio_tokens":0},"completion_tokens_details":{"reasoning_tokens":0,"audio_tokens":0,"accepted_prediction_tokens":0,"rejected_prediction_tokens":0}},"service_tier":"default","system_fingerprint":"fp_ad66631dec"}</t>
        </is>
      </c>
      <c r="K6" t="inlineStr">
        <is>
          <t>Polo Ralph Lauren Classic Camel Knit Wool Beanie Hat</t>
        </is>
      </c>
      <c r="L6" t="inlineStr">
        <is>
          <t>{"id":"chatcmpl-DZo2iOfVIZMDo9uRCTpOGt9yDCYzv","object":"chat.completion","created":1777426216,"model":"gpt-5-chat-2025-10-03","choices":[{"index":0,"message":{"role":"assistant","content":"Ralph Lauren Polo classic camel knit beanie, crafted from soft wool-blend fabric with ribbed texture for warmth and comfort, featuring signature embroidered polo logo, unisex design for timeless American casual style.","refusal":null,"annotations":[]},"logprobs":null,"finish_reason":"stop"}],"usage":{"prompt_tokens":910,"completion_tokens":42,"total_tokens":952,"prompt_tokens_details":{"cached_tokens":0,"audio_tokens":0},"completion_tokens_details":{"reasoning_tokens":0,"audio_tokens":0,"accepted_prediction_tokens":0,"rejected_prediction_tokens":0}},"service_tier":"default","system_fingerprint":"fp_ad66631dec"}</t>
        </is>
      </c>
      <c r="M6" t="inlineStr">
        <is>
          <t>{"alt-svc":"h3=\":443\"; ma=2592000","apim-request-id":"3a815ced-8940-4454-8616-6c0de86cac97","azureml-model-session":"d20260402084046-4209e968","cache-control":"no-cache","connection":"close","content-length":"1025","content-type":"application/json","date":"Wed, 29 Apr 2026 01:30:19 GMT","server":"Caddy","skip-error-remapping":"true","strict-transport-security":"max-age=31536000; includeSubDomains; preload","vary":"Accept-Encoding","x-content-type-options":"nosniff","x-ms-client-request-id":"Not-Set","x-ms-is-spilled-over":"false","x-ms-rai-invoked":"false","x-ms-region":"North Central US","x-new-api-version":"0.4.35","x-oneapi-request-id":"202604290130157826900508268d9d6jaL3h8Cs","x-ratelimit-abusepenalty-active":"False","x-ratelimit-key":"gpt-5-chat-global","x-ratelimit-limit-requests":"1000","x-ratelimit-limit-tokens":"1000000","x-ratelimit-remaining-requests":"999","x-ratelimit-remaining-tokens":"998328","x-ratelimit-renewalperiod-requests":"60","x-ratelimit-renewalperiod-tokens":"60","x-ratelimit-reset-requests":"60","x-ratelimit-reset-tokens":"100","x-request-id":"5158ff32-bba0-424e-871a-81a4ab2fa060"}</t>
        </is>
      </c>
      <c r="N6" t="inlineStr">
        <is>
          <t>Ralph Lauren Polo classic camel knit beanie, crafted from soft wool-blend fabric with ribbed texture for warmth and comfort, featuring signature embroidered polo logo, unisex design for timeless American casual style.</t>
        </is>
      </c>
      <c r="O6" t="inlineStr">
        <is>
          <t>{"id":"chatcmpl-DZoPufh3Gfe1htcSGqpDCuDsdsjqv","object":"chat.completion","created":1777427654,"model":"gpt-5-chat-2025-10-03","choices":[{"index":0,"message":{"role":"assistant","content":"Ralph Lauren,Hats,kakobuy,kakebuy2026,kekobuysheet,kakobuysheet2026,2026kakobuy,kakobuyspreadsheeet,kakobuylink,kakebuylist,Kakobuy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P6" t="inlineStr">
        <is>
          <t>Ralph Lauren,Hats,kakobuy,kakebuy2026,kekobuysheet,kakobuysheet2026,2026kakobuy,kakobuyspreadsheeet,kakobuylink,kakebuylist,Kakobuy MEGA Spreadsheet,kakobuysheetfind,kakobuysheetfind2026,2026kakobuysheetfind,kakobuysheet2026</t>
        </is>
      </c>
      <c r="Q6" t="inlineStr">
        <is>
          <t>Unisex, Wool, Camel, Classic</t>
        </is>
      </c>
      <c r="R6" t="inlineStr">
        <is>
          <t>recvhju1Crbk6w</t>
        </is>
      </c>
      <c r="S6" t="inlineStr">
        <is>
          <t>ralph-lauren-camel-knit-wool-beanie-recvhju1crbk6w</t>
        </is>
      </c>
      <c r="T6"/>
      <c r="U6"/>
      <c r="V6"/>
      <c r="W6" t="inlineStr">
        <is>
          <t>{"id":"chatcmpl-DZnv6iGhu66y3JpwZzJ4KRBtwqI95","object":"chat.completion","created":1777425744,"model":"gpt-5-chat-2025-10-03","choices":[{"index":0,"message":{"role":"assistant","content":"Ralph Lauren：Polo经典驼色针织帽，甄选柔软羊毛混纺材质，立体罗纹设计保暖舒适，点缀标志性刺绣马球Logo，简约美式休闲风，男女皆宜，彰显优雅格调与品牌质感。","refusal":null,"annotations":[]},"logprobs":null,"finish_reason":"stop"}],"usage":{"prompt_tokens":1304,"completion_tokens":74,"total_tokens":1378,"prompt_tokens_details":{"cached_tokens":0,"audio_tokens":0},"completion_tokens_details":{"reasoning_tokens":0,"audio_tokens":0,"accepted_prediction_tokens":0,"rejected_prediction_tokens":0}},"service_tier":"default","system_fingerprint":"fp_fd471178c5"}</t>
        </is>
      </c>
      <c r="X6" t="inlineStr">
        <is>
          <t>Ralph Lauren：Polo经典驼色针织帽，甄选柔软羊毛混纺材质，立体罗纹设计保暖舒适，点缀标志性刺绣马球Logo，简约美式休闲风，男女皆宜，彰显优雅格调与品牌质感。</t>
        </is>
      </c>
    </row>
    <row r="7" ht="25.5" customHeight="1">
      <c r="A7">
        <v>1654975475</v>
      </c>
      <c r="B7">
        <v>7625560074</v>
      </c>
      <c r="C7" s="2" t="str">
        <f>=HYPERLINK("https://weidian.com/item.html?itemID=7625560074", "https://weidian.com/item.html?itemID=7625560074")</f>
        <v>https://weidian.com/item.html?itemID=7625560074</v>
      </c>
      <c r="D7"/>
      <c r="E7" s="2" t="str">
        <f>=HYPERLINK("https://si.geilicdn.com/pcitem2014204438-3e340000019adc60ae860a81347d_1440_1920.jpg?w=640&amp;h=640", "https://si.geilicdn.com/pcitem2014204438-3e340000019adc60ae860a81347d_1440_1920.jpg?w=640&amp;h=640")</f>
        <v>https://si.geilicdn.com/pcitem2014204438-3e340000019adc60ae860a81347d_1440_1920.jpg?w=640&amp;h=640</v>
      </c>
      <c r="F7" t="inlineStr">
        <is>
          <t>Hats</t>
        </is>
      </c>
      <c r="G7" t="inlineStr">
        <is>
          <t>Ralph Lauren</t>
        </is>
      </c>
      <c r="H7">
        <v>210</v>
      </c>
      <c r="I7">
        <v>30.43</v>
      </c>
      <c r="J7" t="inlineStr">
        <is>
          <t>{"id":"chatcmpl-DZoI7bBShO22IM6ekA8Eoku4V83lA","object":"chat.completion","created":1777427171,"model":"gpt-5-chat-2025-10-03","choices":[{"index":0,"message":{"role":"assistant","content":"Ralph Lauren Green Corduroy Polo Logo Vintage Cap","refusal":null,"annotations":[]},"logprobs":null,"finish_reason":"stop"}],"usage":{"prompt_tokens":871,"completion_tokens":12,"total_tokens":883,"prompt_tokens_details":{"cached_tokens":0,"audio_tokens":0},"completion_tokens_details":{"reasoning_tokens":0,"audio_tokens":0,"accepted_prediction_tokens":0,"rejected_prediction_tokens":0}},"service_tier":"default","system_fingerprint":"fp_ad66631dec"}</t>
        </is>
      </c>
      <c r="K7" t="inlineStr">
        <is>
          <t>Ralph Lauren Green Corduroy Polo Logo Vintage Cap</t>
        </is>
      </c>
      <c r="L7" t="inlineStr">
        <is>
          <t>{"id":"chatcmpl-DZo3nJDcdPIgRVCPzstLobFKSzyQX","object":"chat.completion","created":1777426283,"model":"gpt-5-chat-2025-10-03","choices":[{"index":0,"message":{"role":"assistant","content":"Ralph Lauren Classic Green Corduroy Baseball Cap with Embroidered Polo Logo, Vintage Casual Style, Soft Comfortable Fabric, Unisex Versatile Fashion Accessory.","refusal":null,"annotations":[]},"logprobs":null,"finish_reason":"stop"}],"usage":{"prompt_tokens":879,"completion_tokens":34,"total_tokens":913,"prompt_tokens_details":{"cached_tokens":0,"audio_tokens":0},"completion_tokens_details":{"reasoning_tokens":0,"audio_tokens":0,"accepted_prediction_tokens":0,"rejected_prediction_tokens":0}},"service_tier":"default","system_fingerprint":"fp_fd471178c5"}</t>
        </is>
      </c>
      <c r="M7" t="inlineStr">
        <is>
          <t>{"alt-svc":"h3=\":443\"; ma=2592000","apim-request-id":"639ea7f6-d079-47c2-a3af-f36009e18127","azureml-model-session":"d20260428205641-55ca9797","cache-control":"no-cache","connection":"close","content-length":"967","content-type":"application/json","date":"Wed, 29 Apr 2026 01:31:25 GMT","server":"Caddy","skip-error-remapping":"true","strict-transport-security":"max-age=31536000; includeSubDomains; preload","x-content-type-options":"nosniff","x-ms-client-request-id":"Not-Set","x-ms-is-spilled-over":"false","x-ms-rai-invoked":"false","x-ms-region":"East US","x-new-api-version":"0.4.35","x-oneapi-request-id":"202604290131228570995428268d9d6lCbohebl","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b126d3eb-52ee-4177-b89e-0630a969b8ca"}</t>
        </is>
      </c>
      <c r="N7" t="inlineStr">
        <is>
          <t>Ralph Lauren Classic Green Corduroy Baseball Cap with Embroidered Polo Logo, Vintage Casual Style, Soft Comfortable Fabric, Unisex Versatile Fashion Accessory.</t>
        </is>
      </c>
      <c r="O7" t="inlineStr">
        <is>
          <t>{"id":"chatcmpl-DZoLCtelvrymwxbWrOdf0s5Ok1s46","object":"chat.completion","created":1777427362,"model":"gpt-5-chat-2025-10-03","choices":[{"index":0,"message":{"role":"assistant","content":"Ralph Lauren,Hats,kakobuy,kakebuy2026,kekobuysheet,kakobuysheet2026,2026kakobuy,kakobuyspreadsheeet,kakobuylink,kakebuylist,Kakobuy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fd471178c5"}</t>
        </is>
      </c>
      <c r="P7" t="inlineStr">
        <is>
          <t>Ralph Lauren,Hats,kakobuy,kakebuy2026,kekobuysheet,kakobuysheet2026,2026kakobuy,kakobuyspreadsheeet,kakobuylink,kakebuylist,Kakobuy MEGA Spreadsheet,kakobuysheetfind,kakobuysheetfind2026,2026kakobuysheetfind,kakobuysheet2026</t>
        </is>
      </c>
      <c r="Q7" t="inlineStr">
        <is>
          <t>Classic, Green, Vintage, Unisex, Versatile</t>
        </is>
      </c>
      <c r="R7" t="inlineStr">
        <is>
          <t>recvhju1CrjPpP</t>
        </is>
      </c>
      <c r="S7" t="inlineStr">
        <is>
          <t>ralph-lauren-green-corduroy-polo-logo-vintage-cap-recvhju1crjppp</t>
        </is>
      </c>
      <c r="T7"/>
      <c r="U7"/>
      <c r="V7"/>
      <c r="W7" t="inlineStr">
        <is>
          <t>{"id":"chatcmpl-DZnwHL8Mb1TD5p9msl4eEuuBnyBB4","object":"chat.completion","created":1777425817,"model":"gpt-5-chat-2025-10-03","choices":[{"index":0,"message":{"role":"assistant","content":"Ralph Lauren：经典绿色灯芯绒棒球帽，刺绣马球Logo设计，复古休闲风格，柔软舒适面料，男女通用百搭单品。","refusal":null,"annotations":[]},"logprobs":null,"finish_reason":"stop"}],"usage":{"prompt_tokens":1300,"completion_tokens":45,"total_tokens":1345,"prompt_tokens_details":{"cached_tokens":1280,"audio_tokens":0},"completion_tokens_details":{"reasoning_tokens":0,"audio_tokens":0,"accepted_prediction_tokens":0,"rejected_prediction_tokens":0}},"service_tier":"default","system_fingerprint":"fp_ad66631dec"}</t>
        </is>
      </c>
      <c r="X7" t="inlineStr">
        <is>
          <t>Ralph Lauren：经典绿色灯芯绒棒球帽，刺绣马球Logo设计，复古休闲风格，柔软舒适面料，男女通用百搭单品。</t>
        </is>
      </c>
    </row>
    <row r="8" ht="25.5" customHeight="1">
      <c r="A8">
        <v>1654975475</v>
      </c>
      <c r="B8">
        <v>7625546264</v>
      </c>
      <c r="C8" s="2" t="str">
        <f>=HYPERLINK("https://weidian.com/item.html?itemID=7625546264", "https://weidian.com/item.html?itemID=7625546264")</f>
        <v>https://weidian.com/item.html?itemID=7625546264</v>
      </c>
      <c r="D8"/>
      <c r="E8" s="2" t="str">
        <f>=HYPERLINK("https://si.geilicdn.com/pcitem2014204438-39870000019adc5c0a340a23047e_1440_1440.jpg?w=640&amp;h=640", "https://si.geilicdn.com/pcitem2014204438-39870000019adc5c0a340a23047e_1440_1440.jpg?w=640&amp;h=640")</f>
        <v>https://si.geilicdn.com/pcitem2014204438-39870000019adc5c0a340a23047e_1440_1440.jpg?w=640&amp;h=640</v>
      </c>
      <c r="F8" t="inlineStr">
        <is>
          <t>Hats</t>
        </is>
      </c>
      <c r="G8" t="inlineStr">
        <is>
          <t>Louis Vuitton</t>
        </is>
      </c>
      <c r="H8">
        <v>250</v>
      </c>
      <c r="I8">
        <v>36.23</v>
      </c>
      <c r="J8" t="inlineStr">
        <is>
          <t>{"id":"chatcmpl-DZoEfPeO03HafROnQVXnBOP2KuMlv","object":"chat.completion","created":1777426957,"model":"gpt-5-chat-2025-10-03","choices":[{"index":0,"message":{"role":"assistant","content":"Louis Vuitton Black Wool LV Forever Hat","refusal":null,"annotations":[]},"logprobs":null,"finish_reason":"stop"}],"usage":{"prompt_tokens":880,"completion_tokens":8,"total_tokens":888,"prompt_tokens_details":{"cached_tokens":0,"audio_tokens":0},"completion_tokens_details":{"reasoning_tokens":0,"audio_tokens":0,"accepted_prediction_tokens":0,"rejected_prediction_tokens":0}},"service_tier":"default","system_fingerprint":"fp_fd471178c5"}</t>
        </is>
      </c>
      <c r="K8" t="inlineStr">
        <is>
          <t>Louis Vuitton Black Wool LV Forever Hat</t>
        </is>
      </c>
      <c r="L8" t="inlineStr">
        <is>
          <t>{"id":"chatcmpl-DZo5onL3ZbwGx1PSR6GDU6tderVL7","object":"chat.completion","created":1777426408,"model":"gpt-5-chat-2025-10-03","choices":[{"index":0,"message":{"role":"assistant","content":"Louis Vuitton black knitted bucket hat crafted from soft wool blend, featuring 3D “LV Forever” embroidery, minimalist design with streetwear flair, unisex style showing modern luxury casual charm.","refusal":null,"annotations":[]},"logprobs":null,"finish_reason":"stop"}],"usage":{"prompt_tokens":898,"completion_tokens":39,"total_tokens":937,"prompt_tokens_details":{"cached_tokens":0,"audio_tokens":0},"completion_tokens_details":{"reasoning_tokens":0,"audio_tokens":0,"accepted_prediction_tokens":0,"rejected_prediction_tokens":0}},"service_tier":"default","system_fingerprint":"fp_ad66631dec"}</t>
        </is>
      </c>
      <c r="M8" t="inlineStr">
        <is>
          <t>{"alt-svc":"h3=\":443\"; ma=2592000","apim-request-id":"97609d4f-0645-4491-941d-e8d9def126e3","azureml-model-session":"d20260402075109-1fc5a0ec","cache-control":"no-cache","connection":"close","content-length":"1008","content-type":"application/json","date":"Wed, 29 Apr 2026 01:33:30 GMT","server":"Caddy","skip-error-remapping":"true","strict-transport-security":"max-age=31536000; includeSubDomains; preload","x-content-type-options":"nosniff","x-ms-client-request-id":"Not-Set","x-ms-is-spilled-over":"false","x-ms-rai-invoked":"false","x-ms-region":"East US","x-new-api-version":"0.4.35","x-oneapi-request-id":"202604290133275389380138268d9d6bip1maLx","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44e727c4-1fc4-4e7a-8bfe-1f58ed3e3a5e"}</t>
        </is>
      </c>
      <c r="N8" t="inlineStr">
        <is>
          <t>Louis Vuitton black knitted bucket hat crafted from soft wool blend, featuring 3D “LV Forever” embroidery, minimalist design with streetwear flair, unisex style showing modern luxury casual charm.</t>
        </is>
      </c>
      <c r="O8" t="inlineStr">
        <is>
          <t>{"id":"chatcmpl-DZoOKoAnXQmgKiwJBfMLaeTpewYAx","object":"chat.completion","created":1777427556,"model":"gpt-5-chat-2025-10-03","choices":[{"index":0,"message":{"role":"assistant","content":"Louis Vuitton,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fd471178c5"}</t>
        </is>
      </c>
      <c r="P8" t="inlineStr">
        <is>
          <t>Louis Vuitton, Hat, kakobuy, kakebuy2026, kekobuysheet, kakobuysheet2026, 2026kakobuy, kakobuyspreadsheeet, kakobuylink, kakebuylist, Kakobuy MEGA Spreadsheet, kakobuysheetfind, kakobuysheetfind2026, 2026kakobuysheetfind, kakobuysheet2026</t>
        </is>
      </c>
      <c r="Q8" t="inlineStr">
        <is>
          <t>LV, Wool, Minimalist, Streetwear, Unisex, Black</t>
        </is>
      </c>
      <c r="R8" t="inlineStr">
        <is>
          <t>recvhju1CrvL8b</t>
        </is>
      </c>
      <c r="S8" t="inlineStr">
        <is>
          <t>louis-vuitton-black-wool-lv-forever-hat-recvhju1crvl8b</t>
        </is>
      </c>
      <c r="T8"/>
      <c r="U8"/>
      <c r="V8"/>
      <c r="W8" t="inlineStr">
        <is>
          <t>{"id":"chatcmpl-DZnw0m9mlrMa4TbG3OdnhT9Nq2L2r","object":"chat.completion","created":1777425800,"model":"gpt-5-chat-2025-10-03","choices":[{"index":0,"message":{"role":"assistant","content":"Louis Vuitton：黑色针织渔夫帽，精选柔软羊毛混纺材质，立体“LV Forever”刺绣徽标设计，简约剪裁融合街头潮流风格，男女皆宜，展现现代奢华休闲格调。","refusal":null,"annotations":[]},"logprobs":null,"finish_reason":"stop"}],"usage":{"prompt_tokens":1300,"completion_tokens":64,"total_tokens":1364,"prompt_tokens_details":{"cached_tokens":0,"audio_tokens":0},"completion_tokens_details":{"reasoning_tokens":0,"audio_tokens":0,"accepted_prediction_tokens":0,"rejected_prediction_tokens":0}},"service_tier":"default","system_fingerprint":"fp_ad66631dec"}</t>
        </is>
      </c>
      <c r="X8" t="inlineStr">
        <is>
          <t>Louis Vuitton：黑色针织渔夫帽，精选柔软羊毛混纺材质，立体“LV Forever”刺绣徽标设计，简约剪裁融合街头潮流风格，男女皆宜，展现现代奢华休闲格调。</t>
        </is>
      </c>
    </row>
    <row r="9" ht="25.5" customHeight="1">
      <c r="A9">
        <v>1654975475</v>
      </c>
      <c r="B9">
        <v>7625546266</v>
      </c>
      <c r="C9" s="2" t="str">
        <f>=HYPERLINK("https://weidian.com/item.html?itemID=7625546266", "https://weidian.com/item.html?itemID=7625546266")</f>
        <v>https://weidian.com/item.html?itemID=7625546266</v>
      </c>
      <c r="D9"/>
      <c r="E9" s="2" t="str">
        <f>=HYPERLINK("https://si.geilicdn.com/pcitem2014204438-3ed30000019adc5f4f290a23037f_1080_1440.jpg?w=640&amp;h=640", "https://si.geilicdn.com/pcitem2014204438-3ed30000019adc5f4f290a23037f_1080_1440.jpg?w=640&amp;h=640")</f>
        <v>https://si.geilicdn.com/pcitem2014204438-3ed30000019adc5f4f290a23037f_1080_1440.jpg?w=640&amp;h=640</v>
      </c>
      <c r="F9" t="inlineStr">
        <is>
          <t>Hats</t>
        </is>
      </c>
      <c r="G9" t="inlineStr">
        <is>
          <t>Saint Laurent</t>
        </is>
      </c>
      <c r="H9">
        <v>350</v>
      </c>
      <c r="I9">
        <v>50.72</v>
      </c>
      <c r="J9" t="inlineStr">
        <is>
          <t>{"id":"chatcmpl-DZoDBS2dCUzs7igVqTp8U7jNrC3gG","object":"chat.completion","created":1777426865,"model":"gpt-5-chat-2025-10-03","choices":[{"index":0,"message":{"role":"assistant","content":"Saint Laurent Black 9FORTY Unisex Cotton Baseball Cap","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9" t="inlineStr">
        <is>
          <t>Saint Laurent Black 9FORTY Unisex Cotton Baseball Cap</t>
        </is>
      </c>
      <c r="L9" t="inlineStr">
        <is>
          <t>{"id":"chatcmpl-DZo5SOKmqZVSaBECkJbraHHaD4YC7","object":"chat.completion","created":1777426386,"model":"gpt-5-chat-2025-10-03","choices":[{"index":0,"message":{"role":"assistant","content":"Saint Laurent Black 9FORTY Baseball Cap crafted from premium cotton blend, featuring structured breathable design, logo inner band, curved brim, adjustable metal strap, unisex and modern French style.","refusal":null,"annotations":[]},"logprobs":null,"finish_reason":"stop"}],"usage":{"prompt_tokens":947,"completion_tokens":39,"total_tokens":986,"prompt_tokens_details":{"cached_tokens":0,"audio_tokens":0},"completion_tokens_details":{"reasoning_tokens":0,"audio_tokens":0,"accepted_prediction_tokens":0,"rejected_prediction_tokens":0}},"service_tier":"default","system_fingerprint":"fp_ad66631dec"}</t>
        </is>
      </c>
      <c r="M9" t="inlineStr">
        <is>
          <t>{"alt-svc":"h3=\":443\"; ma=2592000","apim-request-id":"8a665a34-0e17-4240-8fdd-df97d04b302c","azureml-model-session":"d20260405225800-40f19e54","cache-control":"no-cache","connection":"close","content-length":"1008","content-type":"application/json","date":"Wed, 29 Apr 2026 01:33:08 GMT","server":"nginx","skip-error-remapping":"true","strict-transport-security":"max-age=31536000; includeSubDomains; preload","via":"1.1 Caddy","x-content-type-options":"nosniff","x-ms-client-request-id":"Not-Set","x-ms-is-spilled-over":"false","x-ms-rai-invoked":"false","x-ms-region":"Poland Central","x-new-api-version":"0.4.35","x-oneapi-request-id":"202604290133046587760818268d9d6JA8NzfbG","x-ratelimit-abusepenalty-active":"False","x-ratelimit-key":"gpt-5-chat-global","x-ratelimit-limit-requests":"1000","x-ratelimit-limit-tokens":"1000000","x-ratelimit-remaining-requests":"999","x-ratelimit-remaining-tokens":"998291","x-ratelimit-renewalperiod-requests":"60","x-ratelimit-renewalperiod-tokens":"60","x-ratelimit-reset-requests":"60","x-ratelimit-reset-tokens":"102","x-request-id":"3a0b0f4a-0488-4210-b109-01ffe9f20f19"}</t>
        </is>
      </c>
      <c r="N9" t="inlineStr">
        <is>
          <t>Saint Laurent Black 9FORTY Baseball Cap crafted from premium cotton blend, featuring structured breathable design, logo inner band, curved brim, adjustable metal strap, unisex and modern French style.</t>
        </is>
      </c>
      <c r="O9" t="inlineStr">
        <is>
          <t>{"id":"chatcmpl-DZoLCqnRrS0Mq6FPD4ehXdSFW7acS","object":"chat.completion","created":1777427362,"model":"gpt-5-chat-2025-10-03","choices":[{"index":0,"message":{"role":"assistant","content":"Saint Laurent,Hats,kakobuy,kakebuy2026,kekobuysheet,kakobuysheet2026,2026kakobuy,kakobuyspreadsheeet,kakobuylink,kakebuylist,Kakobuy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9" t="inlineStr">
        <is>
          <t>Saint Laurent,Hats,kakobuy,kakebuy2026,kekobuysheet,kakobuysheet2026,2026kakobuy,kakobuyspreadsheeet,kakobuylink,kakebuylist,Kakobuy MEGA Spreadsheet,kakobuysheetfind,kakobuysheetfind2026,2026kakobuysheetfind,kakobuysheet2026</t>
        </is>
      </c>
      <c r="Q9" t="inlineStr">
        <is>
          <t>Black, Unisex, Modern</t>
        </is>
      </c>
      <c r="R9" t="inlineStr">
        <is>
          <t>recvhju1CrqdeP</t>
        </is>
      </c>
      <c r="S9" t="inlineStr">
        <is>
          <t>saint-laurent-black-9forty-cap-recvhju1crqdep</t>
        </is>
      </c>
      <c r="T9"/>
      <c r="U9"/>
      <c r="V9"/>
      <c r="W9" t="inlineStr">
        <is>
          <t>{"id":"chatcmpl-DZnsjVH2uSHWpbNqtAFBZb5l3s4lF","object":"chat.completion","created":1777425597,"model":"gpt-5-chat-2025-10-03","choices":[{"index":0,"message":{"role":"assistant","content":"Saint Laurent：黑色9FORTY系列棒球帽，甄选高品质棉质混纺面料，结构挺括透气。内衬印有品牌标识织带，做工精致彰显高级质感。经典弧形帽檐设计，搭配可调节金属扣带，兼具实用与时尚。中性款式，适合男女日常休闲与都市街头穿搭，展现简约摩登法式风格。","refusal":null,"annotations":[]},"logprobs":null,"finish_reason":"stop"}],"usage":{"prompt_tokens":1302,"completion_tokens":112,"total_tokens":1414,"prompt_tokens_details":{"cached_tokens":1280,"audio_tokens":0},"completion_tokens_details":{"reasoning_tokens":0,"audio_tokens":0,"accepted_prediction_tokens":0,"rejected_prediction_tokens":0}},"service_tier":"default","system_fingerprint":"fp_ad66631dec"}</t>
        </is>
      </c>
      <c r="X9" t="inlineStr">
        <is>
          <t>Saint Laurent：黑色9FORTY系列棒球帽，甄选高品质棉质混纺面料，结构挺括透气。内衬印有品牌标识织带，做工精致彰显高级质感。经典弧形帽檐设计，搭配可调节金属扣带，兼具实用与时尚。中性款式，适合男女日常休闲与都市街头穿搭，展现简约摩登法式风格。</t>
        </is>
      </c>
    </row>
    <row r="10" ht="25.5" customHeight="1">
      <c r="A10">
        <v>1654975475</v>
      </c>
      <c r="B10">
        <v>7625593796</v>
      </c>
      <c r="C10" s="2" t="str">
        <f>=HYPERLINK("https://weidian.com/item.html?itemID=7625593796", "https://weidian.com/item.html?itemID=7625593796")</f>
        <v>https://weidian.com/item.html?itemID=7625593796</v>
      </c>
      <c r="D10"/>
      <c r="E10" s="2" t="str">
        <f>=HYPERLINK("https://si.geilicdn.com/pcitem2014204438-43c00000019adc614ffa0a2303ee_1440_1440.jpg?w=640&amp;h=640", "https://si.geilicdn.com/pcitem2014204438-43c00000019adc614ffa0a2303ee_1440_1440.jpg?w=640&amp;h=640")</f>
        <v>https://si.geilicdn.com/pcitem2014204438-43c00000019adc614ffa0a2303ee_1440_1440.jpg?w=640&amp;h=640</v>
      </c>
      <c r="F10" t="inlineStr">
        <is>
          <t>Hats</t>
        </is>
      </c>
      <c r="G10" t="inlineStr">
        <is>
          <t>Arc'teryx</t>
        </is>
      </c>
      <c r="H10">
        <v>180</v>
      </c>
      <c r="I10">
        <v>26.09</v>
      </c>
      <c r="J10" t="inlineStr">
        <is>
          <t>{"id":"chatcmpl-DZoCskuXrpUEqdO2k3ZZxtRJzZaRt","object":"chat.completion","created":1777426846,"model":"gpt-5-chat-2025-10-03","choices":[{"index":0,"message":{"role":"assistant","content":"Arc'teryx Wool Blend Logo Beanie Winter Knit Hat","refusal":null,"annotations":[]},"logprobs":null,"finish_reason":"stop"}],"usage":{"prompt_tokens":890,"completion_tokens":13,"total_tokens":903,"prompt_tokens_details":{"cached_tokens":0,"audio_tokens":0},"completion_tokens_details":{"reasoning_tokens":0,"audio_tokens":0,"accepted_prediction_tokens":0,"rejected_prediction_tokens":0}},"service_tier":"default","system_fingerprint":"fp_ad66631dec"}</t>
        </is>
      </c>
      <c r="K10" t="inlineStr">
        <is>
          <t>Arc'teryx Wool Blend Logo Beanie Winter Knit Hat</t>
        </is>
      </c>
      <c r="L10" t="inlineStr">
        <is>
          <t>{"id":"chatcmpl-DZo3rtobmwCQzvJ0HOQFxE8CGGPCz","object":"chat.completion","created":1777426287,"model":"gpt-5-chat-2025-10-03","choices":[{"index":0,"message":{"role":"assistant","content":"Arc'teryx Wool Blend Logo Beanie, soft and warm knit hat with iconic Archaeopteryx skeleton design, unisex style for fall and winter, perfect for outdoor, casual, and urban wear.","refusal":null,"annotations":[]},"logprobs":null,"finish_reason":"stop"}],"usage":{"prompt_tokens":908,"completion_tokens":43,"total_tokens":951,"prompt_tokens_details":{"cached_tokens":0,"audio_tokens":0},"completion_tokens_details":{"reasoning_tokens":0,"audio_tokens":0,"accepted_prediction_tokens":0,"rejected_prediction_tokens":0}},"service_tier":"default","system_fingerprint":"fp_ad66631dec"}</t>
        </is>
      </c>
      <c r="M10" t="inlineStr">
        <is>
          <t>{"alt-svc":"h3=\":443\"; ma=2592000","apim-request-id":"aabbb6ad-2e85-48a5-9e22-8d7489e595f5","azureml-model-session":"d20260402084046-4209e968","cache-control":"no-cache","connection":"close","content-length":"986","content-type":"application/json","date":"Wed, 29 Apr 2026 01:31:28 GMT","server":"nginx","skip-error-remapping":"true","strict-transport-security":"max-age=31536000; includeSubDomains; preload","via":"1.1 Caddy","x-content-type-options":"nosniff","x-ms-client-request-id":"Not-Set","x-ms-is-spilled-over":"false","x-ms-rai-invoked":"false","x-ms-region":"East US 2","x-new-api-version":"0.4.35","x-oneapi-request-id":"202604290131263657029078268d9d6rasANgag","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9b6fa644-8979-45d4-b0e1-48354948db82"}</t>
        </is>
      </c>
      <c r="N10" t="inlineStr">
        <is>
          <t>Arc'teryx Wool Blend Logo Beanie, soft and warm knit hat with iconic Archaeopteryx skeleton design, unisex style for fall and winter, perfect for outdoor, casual, and urban wear.</t>
        </is>
      </c>
      <c r="O10" t="inlineStr">
        <is>
          <t>{"id":"chatcmpl-DZoO4duLDdggkj30VQeQ7gkk7gqDJ","object":"chat.completion","created":1777427540,"model":"gpt-5-chat-2025-10-03","choices":[{"index":0,"message":{"role":"assistant","content":"Arc'teryx,Hat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fd471178c5"}</t>
        </is>
      </c>
      <c r="P10" t="inlineStr">
        <is>
          <t>Arc'teryx,Hats,kakobuy,kakebuy2026,kekobuysheet,kakobuysheet2026,2026kakobuy,kakobuyspreadsheeet,kakobuylink,kakebuylist,Kakobuy MEGA Spreadsheet,kakobuysheetfind,kakobuysheetfind2026,2026kakobuysheetfind,kakobuysheet2026</t>
        </is>
      </c>
      <c r="Q10" t="inlineStr">
        <is>
          <t>Wool, Unisex, Winter, Autumn And Winter, Outdoor</t>
        </is>
      </c>
      <c r="R10" t="inlineStr">
        <is>
          <t>recvhju1CrG40K</t>
        </is>
      </c>
      <c r="S10" t="inlineStr">
        <is>
          <t>arcteryx-wool-blend-logo-beanie-winter-knit-hat-recvhju1crg40k</t>
        </is>
      </c>
      <c r="T10"/>
      <c r="U10"/>
      <c r="V10"/>
      <c r="W10" t="inlineStr">
        <is>
          <t>{"id":"chatcmpl-DZnuMqPzGqHFXCfjbZRzS0P2GigAa","object":"chat.completion","created":1777425698,"model":"gpt-5-chat-2025-10-03","choices":[{"index":0,"message":{"role":"assistant","content":"Arc'teryx：灰色Logo针织保暖帽，精选柔软羊毛混纺面料，经典始祖鸟骨骼图腾与品牌字样相映成趣，休闲运动风格设计，男女皆宜，秋冬出行必备单品，兼具舒适与时尚感。","refusal":null,"annotations":[]},"logprobs":null,"finish_reason":"stop"}],"usage":{"prompt_tokens":1302,"completion_tokens":73,"total_tokens":1375,"prompt_tokens_details":{"cached_tokens":0,"audio_tokens":0},"completion_tokens_details":{"reasoning_tokens":0,"audio_tokens":0,"accepted_prediction_tokens":0,"rejected_prediction_tokens":0}},"service_tier":"default","system_fingerprint":"fp_ad66631dec"}</t>
        </is>
      </c>
      <c r="X10" t="inlineStr">
        <is>
          <t>Arc'teryx：灰色Logo针织保暖帽，精选柔软羊毛混纺面料，经典始祖鸟骨骼图腾与品牌字样相映成趣，休闲运动风格设计，男女皆宜，秋冬出行必备单品，兼具舒适与时尚感。</t>
        </is>
      </c>
    </row>
    <row r="11" ht="25.5" customHeight="1">
      <c r="A11">
        <v>1654975475</v>
      </c>
      <c r="B11">
        <v>7622568265</v>
      </c>
      <c r="C11" s="2" t="str">
        <f>=HYPERLINK("https://weidian.com/item.html?itemID=7622568265", "https://weidian.com/item.html?itemID=7622568265")</f>
        <v>https://weidian.com/item.html?itemID=7622568265</v>
      </c>
      <c r="D11"/>
      <c r="E11" s="2" t="str">
        <f>=HYPERLINK("https://si.geilicdn.com/pcitem2014204438-15d80000019adc5ff7830a2304aa_1440_1920.jpg?w=640&amp;h=640", "https://si.geilicdn.com/pcitem2014204438-15d80000019adc5ff7830a2304aa_1440_1920.jpg?w=640&amp;h=640")</f>
        <v>https://si.geilicdn.com/pcitem2014204438-15d80000019adc5ff7830a2304aa_1440_1920.jpg?w=640&amp;h=640</v>
      </c>
      <c r="F11" t="inlineStr">
        <is>
          <t>Hats</t>
        </is>
      </c>
      <c r="G11" t="inlineStr">
        <is>
          <t>Ralph Lauren</t>
        </is>
      </c>
      <c r="H11">
        <v>210</v>
      </c>
      <c r="I11">
        <v>30.43</v>
      </c>
      <c r="J11" t="inlineStr">
        <is>
          <t>{"id":"chatcmpl-DZoIHGTgWyN4qfrqmFqSphMn8SMsR","object":"chat.completion","created":1777427181,"model":"gpt-5-chat-2025-10-03","choices":[{"index":0,"message":{"role":"assistant","content":"Ralph Lauren Polo Brown Corduroy Baseball Cap Unisex","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11" t="inlineStr">
        <is>
          <t>Ralph Lauren Polo Brown Corduroy Baseball Cap Unisex</t>
        </is>
      </c>
      <c r="L11" t="inlineStr">
        <is>
          <t>{"id":"chatcmpl-DZo4tjxpTAwCC1yDZUk941Sg8Xioi","object":"chat.completion","created":1777426351,"model":"gpt-5-chat-2025-10-03","choices":[{"index":0,"message":{"role":"assistant","content":"Ralph Lauren POLO Brown Corduroy Baseball Cap, soft texture with vintage craftsmanship, embroidered classic pony logo, unisex casual style showing timeless American elegance and fashion charm.","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fd471178c5"}</t>
        </is>
      </c>
      <c r="M11" t="inlineStr">
        <is>
          <t>{"alt-svc":"h3=\":443\"; ma=2592000","apim-request-id":"6a52ccd5-a52b-4713-95cf-92328fb83455","azureml-model-session":"d20260428165144-a78ba574","cache-control":"no-cache","connection":"close","content-length":"1000","content-type":"application/json","date":"Wed, 29 Apr 2026 01:32:32 GMT","server":"Caddy","skip-error-remapping":"true","strict-transport-security":"max-age=31536000; includeSubDomains; preload","x-content-type-options":"nosniff","x-ms-client-request-id":"Not-Set","x-ms-is-spilled-over":"false","x-ms-rai-invoked":"false","x-ms-region":"West US","x-new-api-version":"0.4.35","x-oneapi-request-id":"202604290132299754211238268d9d6s9Qe0HqW","x-ratelimit-abusepenalty-active":"False","x-ratelimit-key":"gpt-5-chat-global","x-ratelimit-limit-requests":"1000","x-ratelimit-limit-tokens":"1000000","x-ratelimit-remaining-requests":"998","x-ratelimit-remaining-tokens":"996583","x-ratelimit-renewalperiod-requests":"60","x-ratelimit-renewalperiod-tokens":"60","x-ratelimit-reset-requests":"107","x-ratelimit-reset-tokens":"205","x-request-id":"8c7d1bdc-e8e9-4152-a498-e9538678b4c5"}</t>
        </is>
      </c>
      <c r="N11" t="inlineStr">
        <is>
          <t>Ralph Lauren POLO Brown Corduroy Baseball Cap, soft texture with vintage craftsmanship, embroidered classic pony logo, unisex casual style showing timeless American elegance and fashion charm.</t>
        </is>
      </c>
      <c r="O11" t="inlineStr">
        <is>
          <t>{"id":"chatcmpl-DZoOz5HllB2FdGAF7bF6I4C3pJeIo","object":"chat.completion","created":1777427597,"model":"gpt-5-chat-2025-10-03","choices":[{"index":0,"message":{"role":"assistant","content":"Ralph Lauren,Hats,kakobuy,kakebuy2026,kekobuysheet,kakobuysheet2026,2026kakobuy,kakobuyspreadsheeet,kakobuylink,kakebuylist,Kakobuy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P11" t="inlineStr">
        <is>
          <t>Ralph Lauren,Hats,kakobuy,kakebuy2026,kekobuysheet,kakobuysheet2026,2026kakobuy,kakobuyspreadsheeet,kakobuylink,kakebuylist,Kakobuy MEGA Spreadsheet,kakobuysheetfind,kakobuysheetfind2026,2026kakobuysheetfind,kakobuysheet2026</t>
        </is>
      </c>
      <c r="Q11" t="inlineStr">
        <is>
          <t>Brown, Vintage, Unisex, Four Seasons</t>
        </is>
      </c>
      <c r="R11" t="inlineStr">
        <is>
          <t>recvhju1CrUJKb</t>
        </is>
      </c>
      <c r="S11" t="inlineStr">
        <is>
          <t>ralph-lauren-polo-brown-corduroy-baseball-cap-recvhju1crujkb</t>
        </is>
      </c>
      <c r="T11"/>
      <c r="U11"/>
      <c r="V11"/>
      <c r="W11" t="inlineStr">
        <is>
          <t>{"id":"chatcmpl-DZnxmSMhpqX7vvqfW8v1fMXtdhOOT","object":"chat.completion","created":1777425910,"model":"gpt-5-chat-2025-10-03","choices":[{"index":0,"message":{"role":"assistant","content":"Ralph Lauren：POLO系列棕色灯芯绒棒球帽，柔软质感与复古工艺融合，正面刺绣经典骑士LOGO，休闲百搭男女通用款，彰显美式雅致格调与永恒时尚魅力。","refusal":null,"annotations":[]},"logprobs":null,"finish_reason":"stop"}],"usage":{"prompt_tokens":1302,"completion_tokens":66,"total_tokens":1368,"prompt_tokens_details":{"cached_tokens":0,"audio_tokens":0},"completion_tokens_details":{"reasoning_tokens":0,"audio_tokens":0,"accepted_prediction_tokens":0,"rejected_prediction_tokens":0}},"service_tier":"default","system_fingerprint":"fp_ad66631dec"}</t>
        </is>
      </c>
      <c r="X11" t="inlineStr">
        <is>
          <t>Ralph Lauren：POLO系列棕色灯芯绒棒球帽，柔软质感与复古工艺融合，正面刺绣经典骑士LOGO，休闲百搭男女通用款，彰显美式雅致格调与永恒时尚魅力。</t>
        </is>
      </c>
    </row>
    <row r="12" ht="25.5" customHeight="1">
      <c r="A12">
        <v>1654975475</v>
      </c>
      <c r="B12">
        <v>7622546889</v>
      </c>
      <c r="C12" s="2" t="str">
        <f>=HYPERLINK("https://weidian.com/item.html?itemID=7622546889", "https://weidian.com/item.html?itemID=7622546889")</f>
        <v>https://weidian.com/item.html?itemID=7622546889</v>
      </c>
      <c r="D12"/>
      <c r="E12" s="2" t="str">
        <f>=HYPERLINK("https://si.geilicdn.com/pcitem2014204438-07180000019adc6650a90a231316_2016_1512.jpg?w=640&amp;h=640", "https://si.geilicdn.com/pcitem2014204438-07180000019adc6650a90a231316_2016_1512.jpg?w=640&amp;h=640")</f>
        <v>https://si.geilicdn.com/pcitem2014204438-07180000019adc6650a90a231316_2016_1512.jpg?w=640&amp;h=640</v>
      </c>
      <c r="F12" t="inlineStr">
        <is>
          <t>Accessories</t>
        </is>
      </c>
      <c r="G12" t="inlineStr">
        <is>
          <t>Miu Miu</t>
        </is>
      </c>
      <c r="H12">
        <v>320</v>
      </c>
      <c r="I12">
        <v>46.38</v>
      </c>
      <c r="J12" t="inlineStr">
        <is>
          <t>{"id":"chatcmpl-DZoELxEqrQdkfu2xohpMTHgTWhrVN","object":"chat.completion","created":1777426937,"model":"gpt-5-chat-2025-10-03","choices":[{"index":0,"message":{"role":"assistant","content":"Miu Miu Burgundy Leather Baseball Cap Bag Charm","refusal":null,"annotations":[]},"logprobs":null,"finish_reason":"stop"}],"usage":{"prompt_tokens":599,"completion_tokens":11,"total_tokens":610,"prompt_tokens_details":{"cached_tokens":0,"audio_tokens":0},"completion_tokens_details":{"reasoning_tokens":0,"audio_tokens":0,"accepted_prediction_tokens":0,"rejected_prediction_tokens":0}},"service_tier":"default","system_fingerprint":"fp_ad66631dec"}</t>
        </is>
      </c>
      <c r="K12" t="inlineStr">
        <is>
          <t>Miu Miu Burgundy Leather Baseball Cap Bag Charm</t>
        </is>
      </c>
      <c r="L12" t="inlineStr">
        <is>
          <t>{"id":"chatcmpl-DZoA9lyzOpSUawKtr3Dl1mhW2xJs4","object":"chat.completion","created":1777426677,"model":"gpt-5-chat-2025-10-03","choices":[{"index":0,"message":{"role":"assistant","content":"Miu Miu burgundy leather baseball cap charm made from soft calf leather with metal lock detail, showcasing playful luxury. Unisex accessory perfect for bags or keys, stylish and practical.","refusal":null,"annotations":[]},"logprobs":null,"finish_reason":"stop"}],"usage":{"prompt_tokens":634,"completion_tokens":38,"total_tokens":672,"prompt_tokens_details":{"cached_tokens":0,"audio_tokens":0},"completion_tokens_details":{"reasoning_tokens":0,"audio_tokens":0,"accepted_prediction_tokens":0,"rejected_prediction_tokens":0}},"service_tier":"default","system_fingerprint":"fp_ad66631dec"}</t>
        </is>
      </c>
      <c r="M12" t="inlineStr">
        <is>
          <t>{"alt-svc":"h3=\":443\"; ma=2592000","apim-request-id":"b2729462-813f-4415-9e84-6a98effae679","azureml-model-session":"d20260405225800-40f19e54","cache-control":"no-cache","connection":"close","content-length":"996","content-type":"application/json","date":"Wed, 29 Apr 2026 01:37:59 GMT","server":"nginx","skip-error-remapping":"true","strict-transport-security":"max-age=31536000; includeSubDomains; preload","via":"1.1 Caddy","x-content-type-options":"nosniff","x-ms-client-request-id":"Not-Set","x-ms-is-spilled-over":"false","x-ms-rai-invoked":"false","x-ms-region":"Poland Central","x-new-api-version":"0.4.35","x-oneapi-request-id":"202604290137568280066378268d9d6ycUkqlQG","x-ratelimit-abusepenalty-active":"False","x-ratelimit-key":"gpt-5-chat-global","x-ratelimit-limit-requests":"1000","x-ratelimit-limit-tokens":"1000000","x-ratelimit-remaining-requests":"999","x-ratelimit-remaining-tokens":"998602","x-ratelimit-renewalperiod-requests":"60","x-ratelimit-renewalperiod-tokens":"60","x-ratelimit-reset-requests":"60","x-ratelimit-reset-tokens":"83","x-request-id":"9c9ec91c-5dc8-4ac9-981d-c4e800b0b2c7"}</t>
        </is>
      </c>
      <c r="N12" t="inlineStr">
        <is>
          <t>Miu Miu burgundy leather baseball cap charm made from soft calf leather with metal lock detail, showcasing playful luxury. Unisex accessory perfect for bags or keys, stylish and practical.</t>
        </is>
      </c>
      <c r="O12" t="inlineStr">
        <is>
          <t>{"id":"chatcmpl-DZoPqx6PV25PPS7spky21NtS68NPI","object":"chat.completion","created":1777427650,"model":"gpt-5-chat-2025-10-03","choices":[{"index":0,"message":{"role":"assistant","content":"Miu Miu,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504,"completion_tokens":93,"total_tokens":597,"prompt_tokens_details":{"cached_tokens":0,"audio_tokens":0},"completion_tokens_details":{"reasoning_tokens":0,"audio_tokens":0,"accepted_prediction_tokens":0,"rejected_prediction_tokens":0}},"service_tier":"default","system_fingerprint":"fp_ad66631dec"}</t>
        </is>
      </c>
      <c r="P12" t="inlineStr">
        <is>
          <t>Miu Miu, Accessories, kakobuy, kakebuy2026, kekobuysheet, kakobuysheet2026, 2026kakobuy, kakobuyspreadsheeet, kakobuylink, kakebuylist, Kakobuy MEGA Spreadsheet, kakobuysheetfind, kakobuysheetfind2026, 2026kakobuysheetfind, kakobuysheet2026</t>
        </is>
      </c>
      <c r="Q12" t="inlineStr">
        <is>
          <t>Burgundy, Leather, Unisex</t>
        </is>
      </c>
      <c r="R12" t="inlineStr">
        <is>
          <t>recvhju1CrzNC1</t>
        </is>
      </c>
      <c r="S12" t="inlineStr">
        <is>
          <t>miu-miu-burgundy-leather-baseball-cap-charm-recvhju1crzNC1</t>
        </is>
      </c>
      <c r="T12"/>
      <c r="U12"/>
      <c r="V12"/>
      <c r="W12" t="inlineStr">
        <is>
          <t>{"id":"chatcmpl-DZnyZLE6AcQb65EIm0SlwC8r4zYN8","object":"chat.completion","created":1777425959,"model":"gpt-5-chat-2025-10-03","choices":[{"index":0,"message":{"role":"assistant","content":"Miu Miu：酒红色皮革棒球帽造型吊饰，采用柔软小牛皮拼接设计，细节精致搭配金属锁扣装饰，展现品牌俏皮奢华风格，男女皆宜，适合搭配包袋或钥匙，时尚与实用并存的潮流配件。","refusal":null,"annotations":[]},"logprobs":null,"finish_reason":"stop"}],"usage":{"prompt_tokens":1019,"completion_tokens":81,"total_tokens":1100,"prompt_tokens_details":{"cached_tokens":0,"audio_tokens":0},"completion_tokens_details":{"reasoning_tokens":0,"audio_tokens":0,"accepted_prediction_tokens":0,"rejected_prediction_tokens":0}},"service_tier":"default","system_fingerprint":"fp_ad66631dec"}</t>
        </is>
      </c>
      <c r="X12" t="inlineStr">
        <is>
          <t>Miu Miu：酒红色皮革棒球帽造型吊饰，采用柔软小牛皮拼接设计，细节精致搭配金属锁扣装饰，展现品牌俏皮奢华风格，男女皆宜，适合搭配包袋或钥匙，时尚与实用并存的潮流配件。</t>
        </is>
      </c>
    </row>
    <row r="13" ht="25.5" customHeight="1">
      <c r="A13">
        <v>1654975475</v>
      </c>
      <c r="B13">
        <v>7625544364</v>
      </c>
      <c r="C13" s="2" t="str">
        <f>=HYPERLINK("https://weidian.com/item.html?itemID=7625544364", "https://weidian.com/item.html?itemID=7625544364")</f>
        <v>https://weidian.com/item.html?itemID=7625544364</v>
      </c>
      <c r="D13"/>
      <c r="E13" s="2" t="str">
        <f>=HYPERLINK("https://si.geilicdn.com/pcitem2014204438-3b6b0000019adc65e4dd0a230115_2016_1512.jpg?w=640&amp;h=640", "https://si.geilicdn.com/pcitem2014204438-3b6b0000019adc65e4dd0a230115_2016_1512.jpg?w=640&amp;h=640")</f>
        <v>https://si.geilicdn.com/pcitem2014204438-3b6b0000019adc65e4dd0a230115_2016_1512.jpg?w=640&amp;h=640</v>
      </c>
      <c r="F13" t="inlineStr">
        <is>
          <t>Accessories</t>
        </is>
      </c>
      <c r="G13" t="inlineStr">
        <is>
          <t>Miu Miu</t>
        </is>
      </c>
      <c r="H13">
        <v>320</v>
      </c>
      <c r="I13">
        <v>46.38</v>
      </c>
      <c r="J13" t="inlineStr">
        <is>
          <t>{"id":"chatcmpl-DZoHkAZDufmzsMzBsb0HZ7IvSslG3","object":"chat.completion","created":1777427148,"model":"gpt-5-chat-2025-10-03","choices":[{"index":0,"message":{"role":"assistant","content":"Miu Miu Pink Black Leather Cap Keychain","refusal":null,"annotations":[]},"logprobs":null,"finish_reason":"stop"}],"usage":{"prompt_tokens":603,"completion_tokens":11,"total_tokens":614,"prompt_tokens_details":{"cached_tokens":0,"audio_tokens":0},"completion_tokens_details":{"reasoning_tokens":0,"audio_tokens":0,"accepted_prediction_tokens":0,"rejected_prediction_tokens":0}},"service_tier":"default","system_fingerprint":"fp_fd471178c5"}</t>
        </is>
      </c>
      <c r="K13" t="inlineStr">
        <is>
          <t>Miu Miu Pink Black Leather Cap Keychain</t>
        </is>
      </c>
      <c r="L13" t="inlineStr">
        <is>
          <t>{"id":"chatcmpl-DZo4adzZiY50ocnmL1T6kZbNifrjF","object":"chat.completion","created":1777426332,"model":"gpt-5-chat-2025-10-03","choices":[{"index":0,"message":{"role":"assistant","content":"Miu Miu Pink and Black Leather Cap-Shaped Keychain crafted from soft calfskin with signature logo and gold-tone ring, blending playful charm and modern elegance for chic women’s luxury style.","refusal":null,"annotations":[]},"logprobs":null,"finish_reason":"stop"}],"usage":{"prompt_tokens":630,"completion_tokens":40,"total_tokens":670,"prompt_tokens_details":{"cached_tokens":0,"audio_tokens":0},"completion_tokens_details":{"reasoning_tokens":0,"audio_tokens":0,"accepted_prediction_tokens":0,"rejected_prediction_tokens":0}},"service_tier":"default","system_fingerprint":"fp_ad66631dec"}</t>
        </is>
      </c>
      <c r="M13" t="inlineStr">
        <is>
          <t>{"alt-svc":"h3=\":443\"; ma=2592000","apim-request-id":"8672d31f-8642-4a3c-b360-442a0c0287fe","azureml-model-session":"d20260402074105-51db401e","cache-control":"no-cache","connection":"close","content-length":"1001","content-type":"application/json","date":"Wed, 29 Apr 2026 01:32:13 GMT","server":"Caddy","skip-error-remapping":"true","strict-transport-security":"max-age=31536000; includeSubDomains; preload","x-content-type-options":"nosniff","x-ms-client-request-id":"Not-Set","x-ms-is-spilled-over":"false","x-ms-rai-invoked":"false","x-ms-region":"East US","x-new-api-version":"0.4.35","x-oneapi-request-id":"202604290132103948399118268d9d6jdx1If4C","x-ratelimit-abusepenalty-active":"False","x-ratelimit-key":"gpt-5-chat-global","x-ratelimit-limit-requests":"1000","x-ratelimit-limit-tokens":"1000000","x-ratelimit-remaining-requests":"999","x-ratelimit-remaining-tokens":"998606","x-ratelimit-renewalperiod-requests":"60","x-ratelimit-renewalperiod-tokens":"60","x-ratelimit-reset-requests":"60","x-ratelimit-reset-tokens":"83","x-request-id":"579533c3-d830-4479-95bf-92849cd80efb"}</t>
        </is>
      </c>
      <c r="N13" t="inlineStr">
        <is>
          <t>Miu Miu Pink and Black Leather Cap-Shaped Keychain crafted from soft calfskin with signature logo and gold-tone ring, blending playful charm and modern elegance for chic women’s luxury style.</t>
        </is>
      </c>
      <c r="O13" t="inlineStr">
        <is>
          <t>{"id":"chatcmpl-DZoPqR9G617QJNAKSVZ4ownTvq18u","object":"chat.completion","created":1777427650,"model":"gpt-5-chat-2025-10-03","choices":[{"index":0,"message":{"role":"assistant","content":"Miu Miu,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504,"completion_tokens":93,"total_tokens":597,"prompt_tokens_details":{"cached_tokens":0,"audio_tokens":0},"completion_tokens_details":{"reasoning_tokens":0,"audio_tokens":0,"accepted_prediction_tokens":0,"rejected_prediction_tokens":0}},"service_tier":"default","system_fingerprint":"fp_ad66631dec"}</t>
        </is>
      </c>
      <c r="P13" t="inlineStr">
        <is>
          <t>Miu Miu, Accessories, kakobuy, kakebuy2026, kekobuysheet, kakobuysheet2026, 2026kakobuy, kakobuyspreadsheeet, kakobuylink, kakebuylist, Kakobuy MEGA Spreadsheet, kakobuysheetfind, kakobuysheetfind2026, 2026kakobuysheetfind, kakobuysheet2026</t>
        </is>
      </c>
      <c r="Q13" t="inlineStr">
        <is>
          <t>Leather, Pink, Black, Women, Gold</t>
        </is>
      </c>
      <c r="R13" t="inlineStr">
        <is>
          <t>recvhju1Crfprd</t>
        </is>
      </c>
      <c r="S13" t="inlineStr">
        <is>
          <t>miu-miu-pink-black-leather-cap-keychain-recvhju1crfprd</t>
        </is>
      </c>
      <c r="T13"/>
      <c r="U13"/>
      <c r="V13"/>
      <c r="W13" t="inlineStr">
        <is>
          <t>{"id":"chatcmpl-DZny89w2Yd92Kpi1Ccfnmn5B42ATt","object":"chat.completion","created":1777425932,"model":"gpt-5-chat-2025-10-03","choices":[{"index":0,"message":{"role":"assistant","content":"Miu Miu：粉黑撞色皮革帽形钥匙扣，以柔软小牛皮打造，辅以品牌标志性字样与金属环装饰，兼具俏皮与精致质感，彰显现代女性时尚魅力，适合当代都市轻奢配饰搭配。","refusal":null,"annotations":[]},"logprobs":null,"finish_reason":"stop"}],"usage":{"prompt_tokens":1027,"completion_tokens":73,"total_tokens":1100,"prompt_tokens_details":{"cached_tokens":0,"audio_tokens":0},"completion_tokens_details":{"reasoning_tokens":0,"audio_tokens":0,"accepted_prediction_tokens":0,"rejected_prediction_tokens":0}},"service_tier":"default","system_fingerprint":"fp_fd471178c5"}</t>
        </is>
      </c>
      <c r="X13" t="inlineStr">
        <is>
          <t>Miu Miu：粉黑撞色皮革帽形钥匙扣，以柔软小牛皮打造，辅以品牌标志性字样与金属环装饰，兼具俏皮与精致质感，彰显现代女性时尚魅力，适合当代都市轻奢配饰搭配。</t>
        </is>
      </c>
    </row>
    <row r="14" ht="25.5" customHeight="1">
      <c r="A14">
        <v>1654975475</v>
      </c>
      <c r="B14">
        <v>7622562425</v>
      </c>
      <c r="C14" s="2" t="str">
        <f>=HYPERLINK("https://weidian.com/item.html?itemID=7622562425", "https://weidian.com/item.html?itemID=7622562425")</f>
        <v>https://weidian.com/item.html?itemID=7622562425</v>
      </c>
      <c r="D14"/>
      <c r="E14" s="2" t="str">
        <f>=HYPERLINK("https://si.geilicdn.com/pcitem2014204438-3d3a0000019adc5ca15f0a210256_1440_1440.jpg?w=640&amp;h=640", "https://si.geilicdn.com/pcitem2014204438-3d3a0000019adc5ca15f0a210256_1440_1440.jpg?w=640&amp;h=640")</f>
        <v>https://si.geilicdn.com/pcitem2014204438-3d3a0000019adc5ca15f0a210256_1440_1440.jpg?w=640&amp;h=640</v>
      </c>
      <c r="F14" t="inlineStr">
        <is>
          <t>Hats</t>
        </is>
      </c>
      <c r="G14" t="inlineStr">
        <is>
          <t>Loewe</t>
        </is>
      </c>
      <c r="H14">
        <v>240</v>
      </c>
      <c r="I14">
        <v>34.78</v>
      </c>
      <c r="J14" t="inlineStr">
        <is>
          <t>{"id":"chatcmpl-DZoFrgMB0kUg6En6ht0BByLFSpptL","object":"chat.completion","created":1777427031,"model":"gpt-5-chat-2025-10-03","choices":[{"index":0,"message":{"role":"assistant","content":"Loewe Grey Black Striped Wool Knit Bucket Hat","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is>
      </c>
      <c r="K14" t="inlineStr">
        <is>
          <t>Loewe Grey Black Striped Wool Knit Bucket Hat</t>
        </is>
      </c>
      <c r="L14" t="inlineStr">
        <is>
          <t>{"id":"chatcmpl-DZo8DGV2Yai241YefohQUS5NAwGgH","object":"chat.completion","created":1777426557,"model":"gpt-5-chat-2025-10-03","choices":[{"index":0,"message":{"role":"assistant","content":"Loewe Grey-Black Striped Wool Knit Bucket Hat with Multicolor Embroidered Logo, Soft Unisex Design for Modern Urban Casual Style.","refusal":null,"annotations":[]},"logprobs":null,"finish_reason":"stop"}],"usage":{"prompt_tokens":892,"completion_tokens":31,"total_tokens":923,"prompt_tokens_details":{"cached_tokens":0,"audio_tokens":0},"completion_tokens_details":{"reasoning_tokens":0,"audio_tokens":0,"accepted_prediction_tokens":0,"rejected_prediction_tokens":0}},"service_tier":"default","system_fingerprint":"fp_ad66631dec"}</t>
        </is>
      </c>
      <c r="M14" t="inlineStr">
        <is>
          <t>{"alt-svc":"h3=\":443\"; ma=2592000","apim-request-id":"dc1104f3-2b5b-4e90-8428-f90ee23d08bf","azureml-model-session":"d20260405225800-40f19e54","cache-control":"no-cache","connection":"close","content-length":"937","content-type":"application/json","date":"Wed, 29 Apr 2026 01:35:59 GMT","server":"Caddy","skip-error-remapping":"true","strict-transport-security":"max-age=31536000; includeSubDomains; preload","x-content-type-options":"nosniff","x-ms-client-request-id":"Not-Set","x-ms-is-spilled-over":"false","x-ms-rai-invoked":"false","x-ms-region":"East US 2","x-new-api-version":"0.4.35","x-oneapi-request-id":"202604290135572244752738268d9d6Cz1Qx2I5","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02be5f1e-bac9-4f7e-83e5-5c5aa428403f"}</t>
        </is>
      </c>
      <c r="N14" t="inlineStr">
        <is>
          <t>Loewe Grey-Black Striped Wool Knit Bucket Hat with Multicolor Embroidered Logo, Soft Unisex Design for Modern Urban Casual Style.</t>
        </is>
      </c>
      <c r="O14" t="inlineStr">
        <is>
          <t>{"id":"chatcmpl-DZoJZohmtdC9s6SnmhC1IoYBIvxHC","object":"chat.completion","created":1777427261,"model":"gpt-5-chat-2025-10-03","choices":[{"index":0,"message":{"role":"assistant","content":"Loewe,Hat,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fd471178c5"}</t>
        </is>
      </c>
      <c r="P14" t="inlineStr">
        <is>
          <t>Loewe,Hat,kakobuy,kakebuy2026,kekobuysheet,kakobuysheet2026,2026kakobuy,kakobuyspreadsheeet,kakobuylink,kakebuylist,Kakobuy MEGA Spreadsheet,kakobuysheetfind,kakobuysheetfind2026,2026kakobuysheetfind,kakobuysheet2026</t>
        </is>
      </c>
      <c r="Q14" t="inlineStr">
        <is>
          <t>Wool, Knit, Unisex, Modern</t>
        </is>
      </c>
      <c r="R14" t="inlineStr">
        <is>
          <t>recvhju1CrC5Gk</t>
        </is>
      </c>
      <c r="S14" t="inlineStr">
        <is>
          <t>loewe-grey-black-striped-wool-knit-bucket-hat-recvhju1crc5gk</t>
        </is>
      </c>
      <c r="T14"/>
      <c r="U14"/>
      <c r="V14"/>
      <c r="W14" t="inlineStr">
        <is>
          <t>{"id":"chatcmpl-DZnz5fGS7uheGyat58sfTNkgrmZo2","object":"chat.completion","created":1777425991,"model":"gpt-5-chat-2025-10-03","choices":[{"index":0,"message":{"role":"assistant","content":"Loewe：灰黑条纹渔夫帽，柔软羊毛针织材质，饰以多彩品牌标志刺绣，简约又富设计感，男女皆宜，演绎现代都市休闲格调。","refusal":null,"annotations":[]},"logprobs":null,"finish_reason":"stop"}],"usage":{"prompt_tokens":1306,"completion_tokens":55,"total_tokens":1361,"prompt_tokens_details":{"cached_tokens":0,"audio_tokens":0},"completion_tokens_details":{"reasoning_tokens":0,"audio_tokens":0,"accepted_prediction_tokens":0,"rejected_prediction_tokens":0}},"service_tier":"default","system_fingerprint":"fp_ad66631dec"}</t>
        </is>
      </c>
      <c r="X14" t="inlineStr">
        <is>
          <t>Loewe：灰黑条纹渔夫帽，柔软羊毛针织材质，饰以多彩品牌标志刺绣，简约又富设计感，男女皆宜，演绎现代都市休闲格调。</t>
        </is>
      </c>
    </row>
    <row r="15" ht="25.5" customHeight="1">
      <c r="A15">
        <v>1654975475</v>
      </c>
      <c r="B15">
        <v>7625538592</v>
      </c>
      <c r="C15" s="2" t="str">
        <f>=HYPERLINK("https://weidian.com/item.html?itemID=7625538592", "https://weidian.com/item.html?itemID=7625538592")</f>
        <v>https://weidian.com/item.html?itemID=7625538592</v>
      </c>
      <c r="D15"/>
      <c r="E15" s="2" t="str">
        <f>=HYPERLINK("https://si.geilicdn.com/pcitem2014204438-3d890000019adc5e70310a81347d_1080_1440.jpg?w=640&amp;h=640", "https://si.geilicdn.com/pcitem2014204438-3d890000019adc5e70310a81347d_1080_1440.jpg?w=640&amp;h=640")</f>
        <v>https://si.geilicdn.com/pcitem2014204438-3d890000019adc5e70310a81347d_1080_1440.jpg?w=640&amp;h=640</v>
      </c>
      <c r="F15" t="inlineStr">
        <is>
          <t>Hats</t>
        </is>
      </c>
      <c r="G15" t="inlineStr">
        <is>
          <t>Chanel</t>
        </is>
      </c>
      <c r="H15">
        <v>216</v>
      </c>
      <c r="I15">
        <v>31.3</v>
      </c>
      <c r="J15" t="inlineStr">
        <is>
          <t>{"id":"chatcmpl-DZoFkojjymLLzxJYMoDdVaofZVo8V","object":"chat.completion","created":1777427024,"model":"gpt-5-chat-2025-10-03","choices":[{"index":0,"message":{"role":"assistant","content":"Chanel Black Wool Knit Beanie Unisex Street Fashion Hat","refusal":null,"annotations":[]},"logprobs":null,"finish_reason":"stop"}],"usage":{"prompt_tokens":888,"completion_tokens":13,"total_tokens":901,"prompt_tokens_details":{"cached_tokens":0,"audio_tokens":0},"completion_tokens_details":{"reasoning_tokens":0,"audio_tokens":0,"accepted_prediction_tokens":0,"rejected_prediction_tokens":0}},"service_tier":"default","system_fingerprint":"fp_ad66631dec"}</t>
        </is>
      </c>
      <c r="K15" t="inlineStr">
        <is>
          <t>Chanel Black Wool Knit Beanie Unisex Street Fashion Hat</t>
        </is>
      </c>
      <c r="L15" t="inlineStr">
        <is>
          <t>{"id":"chatcmpl-DZo2mr0KzTLM0wFrKUZGm0sHynRnt","object":"chat.completion","created":1777426220,"model":"gpt-5-chat-2025-10-03","choices":[{"index":0,"message":{"role":"assistant","content":"Chanel Black Knit Beanie, crafted from soft wool blend with a 3D honeycomb texture, featuring the iconic CC embroidery. Unisex, warm and stylish, perfect for everyday looks and street fashion.","refusal":null,"annotations":[]},"logprobs":null,"finish_reason":"stop"}],"usage":{"prompt_tokens":931,"completion_tokens":43,"total_tokens":974,"prompt_tokens_details":{"cached_tokens":0,"audio_tokens":0},"completion_tokens_details":{"reasoning_tokens":0,"audio_tokens":0,"accepted_prediction_tokens":0,"rejected_prediction_tokens":0}},"service_tier":"default","system_fingerprint":"fp_ad66631dec"}</t>
        </is>
      </c>
      <c r="M15" t="inlineStr">
        <is>
          <t>{"alt-svc":"h3=\":443\"; ma=2592000","apim-request-id":"8dbee8dd-3f4d-496d-8ece-656068904953","azureml-model-session":"d20260402084046-4209e968","cache-control":"no-cache","connection":"close","content-length":"1000","content-type":"application/json","date":"Wed, 29 Apr 2026 01:30:23 GMT","server":"nginx","skip-error-remapping":"true","strict-transport-security":"max-age=31536000; includeSubDomains; preload","via":"1.1 Caddy","x-content-type-options":"nosniff","x-ms-client-request-id":"Not-Set","x-ms-is-spilled-over":"false","x-ms-rai-invoked":"false","x-ms-region":"Poland Central","x-new-api-version":"0.4.35","x-oneapi-request-id":"202604290130195717295198268d9d6tVOrBwcy","x-ratelimit-abusepenalty-active":"False","x-ratelimit-key":"gpt-5-chat-global","x-ratelimit-limit-requests":"1000","x-ratelimit-limit-tokens":"1000000","x-ratelimit-remaining-requests":"999","x-ratelimit-remaining-tokens":"998307","x-ratelimit-renewalperiod-requests":"60","x-ratelimit-renewalperiod-tokens":"60","x-ratelimit-reset-requests":"60","x-ratelimit-reset-tokens":"101","x-request-id":"42f23bef-a8bb-48c1-bd3b-24564980db0e"}</t>
        </is>
      </c>
      <c r="N15" t="inlineStr">
        <is>
          <t>Chanel Black Knit Beanie, crafted from soft wool blend with a 3D honeycomb texture, featuring the iconic CC embroidery. Unisex, warm and stylish, perfect for everyday looks and street fashion.</t>
        </is>
      </c>
      <c r="O15" t="inlineStr">
        <is>
          <t>{"id":"chatcmpl-DZoRnfdTnvdXwDizTMLDWPCkbUwhE","object":"chat.completion","created":1777427771,"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5" t="inlineStr">
        <is>
          <t>Chanel,Hat,kakobuy,kakebuy2026,kekobuysheet,kakobuysheet2026,2026kakobuy,kakobuyspreadsheeet,kakobuylink,kakebuylist,Kakobuy MEGA Spreadsheet,kakobuysheetfind,kakobuysheetfind2026,2026kakobuysheetfind,kakobuysheet2026</t>
        </is>
      </c>
      <c r="Q15" t="inlineStr">
        <is>
          <t>Chanel, Knit, Wool, Black, Unisex, Streetwear</t>
        </is>
      </c>
      <c r="R15" t="inlineStr">
        <is>
          <t>recvhju1CrgZkl</t>
        </is>
      </c>
      <c r="S15" t="inlineStr">
        <is>
          <t>chanel-black-wool-knit-beanie-unisex-recvhju1crgzkl</t>
        </is>
      </c>
      <c r="T15"/>
      <c r="U15"/>
      <c r="V15"/>
      <c r="W15" t="inlineStr">
        <is>
          <t>{"id":"chatcmpl-DZo0CGZDPQ7rV0h8P4yLQOAFHWbyC","object":"chat.completion","created":1777426060,"model":"gpt-5-chat-2025-10-03","choices":[{"index":0,"message":{"role":"assistant","content":"Chanel：经典黑色针织毛线帽，柔软羊毛混纺材质，立体蜂巢纹理设计，侧边点缀标志性双C立体刺绣徽标，简约奢华兼具法式优雅。男女皆宜，保暖舒适，彰显高级质感与低调时尚魅力，日常与出街造型的理想之选。","refusal":null,"annotations":[]},"logprobs":null,"finish_reason":"stop"}],"usage":{"prompt_tokens":1300,"completion_tokens":97,"total_tokens":1397,"prompt_tokens_details":{"cached_tokens":0,"audio_tokens":0},"completion_tokens_details":{"reasoning_tokens":0,"audio_tokens":0,"accepted_prediction_tokens":0,"rejected_prediction_tokens":0}},"service_tier":"default","system_fingerprint":"fp_ad66631dec"}</t>
        </is>
      </c>
      <c r="X15" t="inlineStr">
        <is>
          <t>Chanel：经典黑色针织毛线帽，柔软羊毛混纺材质，立体蜂巢纹理设计，侧边点缀标志性双C立体刺绣徽标，简约奢华兼具法式优雅。男女皆宜，保暖舒适，彰显高级质感与低调时尚魅力，日常与出街造型的理想之选。</t>
        </is>
      </c>
    </row>
    <row r="16" ht="25.5" customHeight="1">
      <c r="A16">
        <v>1654975475</v>
      </c>
      <c r="B16">
        <v>7625573998</v>
      </c>
      <c r="C16" s="2" t="str">
        <f>=HYPERLINK("https://weidian.com/item.html?itemID=7625573998", "https://weidian.com/item.html?itemID=7625573998")</f>
        <v>https://weidian.com/item.html?itemID=7625573998</v>
      </c>
      <c r="D16"/>
      <c r="E16" s="2" t="str">
        <f>=HYPERLINK("https://si.geilicdn.com/pcitem2014204438-344b0000019adc5d32c60a2396f4_1080_1440.jpg?w=640&amp;h=640", "https://si.geilicdn.com/pcitem2014204438-344b0000019adc5d32c60a2396f4_1080_1440.jpg?w=640&amp;h=640")</f>
        <v>https://si.geilicdn.com/pcitem2014204438-344b0000019adc5d32c60a2396f4_1080_1440.jpg?w=640&amp;h=640</v>
      </c>
      <c r="F16" t="inlineStr">
        <is>
          <t>Hats</t>
        </is>
      </c>
      <c r="G16" t="inlineStr">
        <is>
          <t>Arc'teryx</t>
        </is>
      </c>
      <c r="H16">
        <v>280</v>
      </c>
      <c r="I16">
        <v>40.58</v>
      </c>
      <c r="J16" t="inlineStr">
        <is>
          <t>{"id":"chatcmpl-DZoBsHSNHEqgNFOn0smAQnZWZYoxO","object":"chat.completion","created":1777426784,"model":"gpt-5-chat-2025-10-03","choices":[{"index":0,"message":{"role":"assistant","content":"Arc'teryx Burgundy Wool Blend Ribbed Knit Beanie Hat","refusal":null,"annotations":[]},"logprobs":null,"finish_reason":"stop"}],"usage":{"prompt_tokens":892,"completion_tokens":14,"total_tokens":906,"prompt_tokens_details":{"cached_tokens":0,"audio_tokens":0},"completion_tokens_details":{"reasoning_tokens":0,"audio_tokens":0,"accepted_prediction_tokens":0,"rejected_prediction_tokens":0}},"service_tier":"default","system_fingerprint":"fp_ad66631dec"}</t>
        </is>
      </c>
      <c r="K16" t="inlineStr">
        <is>
          <t>Arc'teryx Burgundy Wool Blend Ribbed Knit Beanie Hat</t>
        </is>
      </c>
      <c r="L16" t="inlineStr">
        <is>
          <t>{"id":"chatcmpl-DZoAgxEq9bqms4JI40ZOGvicJhtSF","object":"chat.completion","created":1777426710,"model":"gpt-5-chat-2025-10-03","choices":[{"index":0,"message":{"role":"assistant","content":"Arc'teryx Burgundy Knit Wool Blend Beanie – soft, warm, and perfectly fitted. Minimal ribbed design with subtle embroidered logo, unisex style for fall and winter outdoor wear, showcasing premium mountain aesthetics.","refusal":null,"annotations":[]},"logprobs":null,"finish_reason":"stop"}],"usage":{"prompt_tokens":915,"completion_tokens":44,"total_tokens":959,"prompt_tokens_details":{"cached_tokens":0,"audio_tokens":0},"completion_tokens_details":{"reasoning_tokens":0,"audio_tokens":0,"accepted_prediction_tokens":0,"rejected_prediction_tokens":0}},"service_tier":"default","system_fingerprint":"fp_fd471178c5"}</t>
        </is>
      </c>
      <c r="M16" t="inlineStr">
        <is>
          <t>{"alt-svc":"h3=\":443\"; ma=2592000","apim-request-id":"10b45d29-1639-49c6-baf4-df6bcf1f78a8","azureml-model-session":"d20260428205641-55ca9797","cache-control":"no-cache","connection":"close","content-length":"1026","content-type":"application/json","date":"Wed, 29 Apr 2026 01:38:32 GMT","server":"Caddy","skip-error-remapping":"true","strict-transport-security":"max-age=31536000; includeSubDomains; preload","vary":"Accept-Encoding","x-content-type-options":"nosniff","x-ms-client-request-id":"Not-Set","x-ms-is-spilled-over":"false","x-ms-rai-invoked":"false","x-ms-region":"Poland Central","x-new-api-version":"0.4.35","x-oneapi-request-id":"202604290138293713718928268d9d6wfQoavxQ","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d4c946d0-ee4f-4ea9-8d4f-e19ae559223c"}</t>
        </is>
      </c>
      <c r="N16" t="inlineStr">
        <is>
          <t>Arc'teryx Burgundy Knit Wool Blend Beanie – soft, warm, and perfectly fitted. Minimal ribbed design with subtle embroidered logo, unisex style for fall and winter outdoor wear, showcasing premium mountain aesthetics.</t>
        </is>
      </c>
      <c r="O16" t="inlineStr">
        <is>
          <t>{"id":"chatcmpl-DZoKt16bLVnahArYOghnuSSBbGjCW","object":"chat.completion","created":1777427343,"model":"gpt-5-chat-2025-10-03","choices":[{"index":0,"message":{"role":"assistant","content":"Arc'teryx,Hat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P16" t="inlineStr">
        <is>
          <t>Arc'teryx,Hats,kakobuy,kakebuy2026,kekobuysheet,kakobuysheet2026,2026kakobuy,kakobuyspreadsheeet,kakobuylink,kakebuylist,Kakobuy MEGA Spreadsheet,kakobuysheetfind,kakobuysheetfind2026,2026kakobuysheetfind,kakobuysheet2026</t>
        </is>
      </c>
      <c r="Q16" t="inlineStr">
        <is>
          <t>Burgundy, Knit, Wool, Minimalist, Winter, Unisex</t>
        </is>
      </c>
      <c r="R16" t="inlineStr">
        <is>
          <t>recvhju1CrfePL</t>
        </is>
      </c>
      <c r="S16" t="inlineStr">
        <is>
          <t>arcteryx-burgundy-wool-blend-ribbed-beanie-recvhju1crfepl</t>
        </is>
      </c>
      <c r="T16"/>
      <c r="U16"/>
      <c r="V16"/>
      <c r="W16" t="inlineStr">
        <is>
          <t>{"id":"chatcmpl-DZnudso5Sr81jwNk0GQ8EitgQIqfE","object":"chat.completion","created":1777425715,"model":"gpt-5-chat-2025-10-03","choices":[{"index":0,"message":{"role":"assistant","content":"Arc'teryx 酒红色保暖针织帽，采用优质羊毛混纺材质，柔软贴合头型。简约罗纹设计搭配微刺绣标识，呈现极简山系风格，男女通用款，适合秋冬户外穿搭，彰显高端功能美学。","refusal":null,"annotations":[]},"logprobs":null,"finish_reason":"stop"}],"usage":{"prompt_tokens":1308,"completion_tokens":77,"total_tokens":1385,"prompt_tokens_details":{"cached_tokens":1280,"audio_tokens":0},"completion_tokens_details":{"reasoning_tokens":0,"audio_tokens":0,"accepted_prediction_tokens":0,"rejected_prediction_tokens":0}},"service_tier":"default","system_fingerprint":"fp_ad66631dec"}</t>
        </is>
      </c>
      <c r="X16" t="inlineStr">
        <is>
          <t>Arc'teryx 酒红色保暖针织帽，采用优质羊毛混纺材质，柔软贴合头型。简约罗纹设计搭配微刺绣标识，呈现极简山系风格，男女通用款，适合秋冬户外穿搭，彰显高端功能美学。</t>
        </is>
      </c>
    </row>
    <row r="17" ht="25.5" customHeight="1">
      <c r="A17">
        <v>1654975475</v>
      </c>
      <c r="B17">
        <v>7622595963</v>
      </c>
      <c r="C17" s="2" t="str">
        <f>=HYPERLINK("https://weidian.com/item.html?itemID=7622595963", "https://weidian.com/item.html?itemID=7622595963")</f>
        <v>https://weidian.com/item.html?itemID=7622595963</v>
      </c>
      <c r="D17"/>
      <c r="E17" s="2" t="str">
        <f>=HYPERLINK("https://si.geilicdn.com/pcitem2014204438-369f0000019adc5edb040a20e672_1080_1440.jpg?w=640&amp;h=640", "https://si.geilicdn.com/pcitem2014204438-369f0000019adc5edb040a20e672_1080_1440.jpg?w=640&amp;h=640")</f>
        <v>https://si.geilicdn.com/pcitem2014204438-369f0000019adc5edb040a20e672_1080_1440.jpg?w=640&amp;h=640</v>
      </c>
      <c r="F17" t="inlineStr">
        <is>
          <t>Hats</t>
        </is>
      </c>
      <c r="G17" t="inlineStr">
        <is>
          <t>Saint Laurent</t>
        </is>
      </c>
      <c r="H17">
        <v>350</v>
      </c>
      <c r="I17">
        <v>50.72</v>
      </c>
      <c r="J17" t="inlineStr">
        <is>
          <t>{"id":"chatcmpl-DZoHWP0znW3G3qZXAuEYD5RCVbTeQ","object":"chat.completion","created":1777427134,"model":"gpt-5-chat-2025-10-03","choices":[{"index":0,"message":{"role":"assistant","content":"Saint Laurent Black Cotton 3D YSL Logo Baseball Cap","refusal":null,"annotations":[]},"logprobs":null,"finish_reason":"stop"}],"usage":{"prompt_tokens":882,"completion_tokens":13,"total_tokens":895,"prompt_tokens_details":{"cached_tokens":0,"audio_tokens":0},"completion_tokens_details":{"reasoning_tokens":0,"audio_tokens":0,"accepted_prediction_tokens":0,"rejected_prediction_tokens":0}},"service_tier":"default","system_fingerprint":"fp_ad66631dec"}</t>
        </is>
      </c>
      <c r="K17" t="inlineStr">
        <is>
          <t>Saint Laurent Black Cotton 3D YSL Logo Baseball Cap</t>
        </is>
      </c>
      <c r="L17" t="inlineStr">
        <is>
          <t>{"id":"chatcmpl-DZo8B4WzidmAE6VMW9OxUjbynxMGm","object":"chat.completion","created":1777426555,"model":"gpt-5-chat-2025-10-03","choices":[{"index":0,"message":{"role":"assistant","content":"Saint Laurent Black Cotton Embroidered Baseball Cap with 3D Silver YSL Logo, six-panel curved design, breathable and structured for men and women. Perfect for urban casual or travel style.","refusal":null,"annotations":[]},"logprobs":null,"finish_reason":"stop"}],"usage":{"prompt_tokens":928,"completion_tokens":40,"total_tokens":968,"prompt_tokens_details":{"cached_tokens":0,"audio_tokens":0},"completion_tokens_details":{"reasoning_tokens":0,"audio_tokens":0,"accepted_prediction_tokens":0,"rejected_prediction_tokens":0}},"service_tier":"default","system_fingerprint":"fp_ad66631dec"}</t>
        </is>
      </c>
      <c r="M17" t="inlineStr">
        <is>
          <t>{"alt-svc":"h3=\":443\"; ma=2592000","apim-request-id":"bdd97a66-6474-492d-accd-68c95e243862","azureml-model-session":"d20260402075109-1fc5a0ec","cache-control":"no-cache","connection":"close","content-length":"996","content-type":"application/json","date":"Wed, 29 Apr 2026 01:35:58 GMT","server":"Caddy","skip-error-remapping":"true","strict-transport-security":"max-age=31536000; includeSubDomains; preload","x-content-type-options":"nosniff","x-ms-client-request-id":"Not-Set","x-ms-is-spilled-over":"false","x-ms-rai-invoked":"false","x-ms-region":"East US 2","x-new-api-version":"0.4.35","x-oneapi-request-id":"202604290135548076463958268d9d6GrnBDs3f","x-ratelimit-abusepenalty-active":"False","x-ratelimit-key":"gpt-5-chat-global","x-ratelimit-limit-requests":"1000","x-ratelimit-limit-tokens":"1000000","x-ratelimit-remaining-requests":"999","x-ratelimit-remaining-tokens":"998310","x-ratelimit-renewalperiod-requests":"60","x-ratelimit-renewalperiod-tokens":"60","x-ratelimit-reset-requests":"60","x-ratelimit-reset-tokens":"101","x-request-id":"1b1a2e11-3459-4878-b54c-b3c82ed54fc0"}</t>
        </is>
      </c>
      <c r="N17" t="inlineStr">
        <is>
          <t>Saint Laurent Black Cotton Embroidered Baseball Cap with 3D Silver YSL Logo, six-panel curved design, breathable and structured for men and women. Perfect for urban casual or travel style.</t>
        </is>
      </c>
      <c r="O17" t="inlineStr">
        <is>
          <t>{"id":"chatcmpl-DZoKQe7RYvWb2tKeGStQu5rGWJM9s","object":"chat.completion","created":1777427314,"model":"gpt-5-chat-2025-10-03","choices":[{"index":0,"message":{"role":"assistant","content":"Saint Laurent,Hats,kakobuy,kakebuy2026,kekobuysheet,kakobuysheet2026,2026kakobuy,kakobuyspreadsheeet,kakobuylink,kakebuylist,Kakobuy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7" t="inlineStr">
        <is>
          <t>Saint Laurent,Hats,kakobuy,kakebuy2026,kekobuysheet,kakobuysheet2026,2026kakobuy,kakobuyspreadsheeet,kakobuylink,kakebuylist,Kakobuy MEGA Spreadsheet,kakobuysheetfind,kakobuysheetfind2026,2026kakobuysheetfind,kakobuysheet2026</t>
        </is>
      </c>
      <c r="Q17" t="inlineStr">
        <is>
          <t>Black, Unisex, Breathable</t>
        </is>
      </c>
      <c r="R17" t="inlineStr">
        <is>
          <t>recvhju1CrxwUS</t>
        </is>
      </c>
      <c r="S17" t="inlineStr">
        <is>
          <t>saint-laurent-3d-ysl-logo-baseball-cap-recvhju1crxwus</t>
        </is>
      </c>
      <c r="T17"/>
      <c r="U17"/>
      <c r="V17"/>
      <c r="W17" t="inlineStr">
        <is>
          <t>{"id":"chatcmpl-DZnzShedLysnXLLegVEWR7OavSOcB","object":"chat.completion","created":1777426014,"model":"gpt-5-chat-2025-10-03","choices":[{"index":0,"message":{"role":"assistant","content":"Saint Laurent：黑色字母刺绣棒球帽，甄选高密度棉质面料，挺括透气。正面以立体银色YSL标志彰显品牌识别度，六片式弧形帽顶设计贴合头型。简约摩登风格融合巴黎高级时装气质，男女皆可佩戴，适合都市休闲与旅行搭配。","refusal":null,"annotations":[]},"logprobs":null,"finish_reason":"stop"}],"usage":{"prompt_tokens":1300,"completion_tokens":94,"total_tokens":1394,"prompt_tokens_details":{"cached_tokens":0,"audio_tokens":0},"completion_tokens_details":{"reasoning_tokens":0,"audio_tokens":0,"accepted_prediction_tokens":0,"rejected_prediction_tokens":0}},"service_tier":"default","system_fingerprint":"fp_fd471178c5"}</t>
        </is>
      </c>
      <c r="X17" t="inlineStr">
        <is>
          <t>Saint Laurent：黑色字母刺绣棒球帽，甄选高密度棉质面料，挺括透气。正面以立体银色YSL标志彰显品牌识别度，六片式弧形帽顶设计贴合头型。简约摩登风格融合巴黎高级时装气质，男女皆可佩戴，适合都市休闲与旅行搭配。</t>
        </is>
      </c>
    </row>
    <row r="18" ht="25.5" customHeight="1">
      <c r="A18">
        <v>1654975475</v>
      </c>
      <c r="B18">
        <v>7622605429</v>
      </c>
      <c r="C18" s="2" t="str">
        <f>=HYPERLINK("https://weidian.com/item.html?itemID=7622605429", "https://weidian.com/item.html?itemID=7622605429")</f>
        <v>https://weidian.com/item.html?itemID=7622605429</v>
      </c>
      <c r="D18"/>
      <c r="E18" s="2" t="str">
        <f>=HYPERLINK("https://si.geilicdn.com/pcitem2014204438-5e1c0000019adcfccf230a239646_1440_1920.jpg?w=640&amp;h=640", "https://si.geilicdn.com/pcitem2014204438-5e1c0000019adcfccf230a239646_1440_1920.jpg?w=640&amp;h=640")</f>
        <v>https://si.geilicdn.com/pcitem2014204438-5e1c0000019adcfccf230a239646_1440_1920.jpg?w=640&amp;h=640</v>
      </c>
      <c r="F18" t="inlineStr">
        <is>
          <t>Glasses</t>
        </is>
      </c>
      <c r="G18" t="inlineStr">
        <is>
          <t>Dior</t>
        </is>
      </c>
      <c r="H18">
        <v>360</v>
      </c>
      <c r="I18">
        <v>52.17</v>
      </c>
      <c r="J18" t="inlineStr">
        <is>
          <t>{"id":"chatcmpl-DZoCwSmHiQ1VQ9phiv5FCOfuBF2oi","object":"chat.completion","created":1777426850,"model":"gpt-5-chat-2025-10-03","choices":[{"index":0,"message":{"role":"assistant","content":"Dior Black Square Acetate UV Protection Sunglasses","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18" t="inlineStr">
        <is>
          <t>Dior Black Square Acetate UV Protection Sunglasses</t>
        </is>
      </c>
      <c r="L18" t="inlineStr">
        <is>
          <t>{"id":"chatcmpl-DZo7rzmLaTfihDfKVWgGfo3q2kiZS","object":"chat.completion","created":1777426535,"model":"gpt-5-chat-2025-10-03","choices":[{"index":0,"message":{"role":"assistant","content":"Dior Black Square Sunglasses – High-gloss acetate frame with UV protection lenses, minimalist lines blending vintage charm and futuristic style, unisex design for effortless French elegance and urban luxury.","refusal":null,"annotations":[]},"logprobs":null,"finish_reason":"stop"}],"usage":{"prompt_tokens":909,"completion_tokens":38,"total_tokens":947,"prompt_tokens_details":{"cached_tokens":0,"audio_tokens":0},"completion_tokens_details":{"reasoning_tokens":0,"audio_tokens":0,"accepted_prediction_tokens":0,"rejected_prediction_tokens":0}},"service_tier":"default","system_fingerprint":"fp_ad66631dec"}</t>
        </is>
      </c>
      <c r="M18" t="inlineStr">
        <is>
          <t>{"alt-svc":"h3=\":443\"; ma=2592000","apim-request-id":"4d0c49ec-ecd1-4044-abbe-3761b336eeae","azureml-model-session":"d20260402075109-1fc5a0ec","cache-control":"no-cache","connection":"close","content-length":"1017","content-type":"application/json","date":"Wed, 29 Apr 2026 01:35:37 GMT","server":"nginx","skip-error-remapping":"true","strict-transport-security":"max-age=31536000; includeSubDomains; preload","via":"1.1 Caddy","x-content-type-options":"nosniff","x-ms-client-request-id":"Not-Set","x-ms-is-spilled-over":"false","x-ms-rai-invoked":"false","x-ms-region":"South Central US","x-new-api-version":"0.4.35","x-oneapi-request-id":"202604290135348678789128268d9d6tTVDHZSV","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73dfee6b-9afd-48b3-9fcf-e50473130425"}</t>
        </is>
      </c>
      <c r="N18" t="inlineStr">
        <is>
          <t>Dior Black Square Sunglasses – High-gloss acetate frame with UV protection lenses, minimalist lines blending vintage charm and futuristic style, unisex design for effortless French elegance and urban luxury.</t>
        </is>
      </c>
      <c r="O18" t="inlineStr">
        <is>
          <t>{"id":"chatcmpl-DZoQbkjLL9i5doWI6FVrEbuF57Zsy","object":"chat.completion","created":1777427697,"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 t="inlineStr">
        <is>
          <t>Dior,Glasses,kakobuy,kakebuy2026,kekobuysheet,kakobuysheet2026,2026kakobuy,kakobuyspreadsheeet,kakobuylink,kakebuylist,Kakobuy MEGA Spreadsheet,kakobuysheetfind,kakobuysheetfind2026,2026kakobuysheetfind,kakobuysheet2026</t>
        </is>
      </c>
      <c r="Q18" t="inlineStr">
        <is>
          <t>Dior, Acetate Fiber, Minimalist, Vintage, Unisex, Anti-Ultraviolet</t>
        </is>
      </c>
      <c r="R18" t="inlineStr">
        <is>
          <t>recvhju1CrdGlP</t>
        </is>
      </c>
      <c r="S18" t="inlineStr">
        <is>
          <t>dior-black-square-acetate-uv-sunglasses-recvhju1crdglp</t>
        </is>
      </c>
      <c r="T18"/>
      <c r="U18"/>
      <c r="V18"/>
      <c r="W18" t="inlineStr">
        <is>
          <t>{"id":"chatcmpl-DZnuyZMRI43sr4pITgv9tFlS5WW5I","object":"chat.completion","created":1777425736,"model":"gpt-5-chat-2025-10-03","choices":[{"index":0,"message":{"role":"assistant","content":"Dior：黑色方框太阳眼镜，采用高光醋酸纤维镜框与防紫外线镜片，极简线条勾勒出现代优雅格调，融合复古与未来感设计，男女皆宜，尽显法式时尚与低调奢华的都市气质。","refusal":null,"annotations":[]},"logprobs":null,"finish_reason":"stop"}],"usage":{"prompt_tokens":1302,"completion_tokens":74,"total_tokens":1376,"prompt_tokens_details":{"cached_tokens":0,"audio_tokens":0},"completion_tokens_details":{"reasoning_tokens":0,"audio_tokens":0,"accepted_prediction_tokens":0,"rejected_prediction_tokens":0}},"service_tier":"default","system_fingerprint":"fp_ad66631dec"}</t>
        </is>
      </c>
      <c r="X18" t="inlineStr">
        <is>
          <t>Dior：黑色方框太阳眼镜，采用高光醋酸纤维镜框与防紫外线镜片，极简线条勾勒出现代优雅格调，融合复古与未来感设计，男女皆宜，尽显法式时尚与低调奢华的都市气质。</t>
        </is>
      </c>
    </row>
    <row r="19" ht="25.5" customHeight="1">
      <c r="A19">
        <v>1654975475</v>
      </c>
      <c r="B19">
        <v>7627523118</v>
      </c>
      <c r="C19" s="2" t="str">
        <f>=HYPERLINK("https://weidian.com/item.html?itemID=7627523118", "https://weidian.com/item.html?itemID=7627523118")</f>
        <v>https://weidian.com/item.html?itemID=7627523118</v>
      </c>
      <c r="D19"/>
      <c r="E19" s="2" t="str">
        <f>=HYPERLINK("https://si.geilicdn.com/pcitem2014204438-203b0000019ae7e413400a23037f_1080_1080.jpg?w=640&amp;h=640", "https://si.geilicdn.com/pcitem2014204438-203b0000019ae7e413400a23037f_1080_1080.jpg?w=640&amp;h=640")</f>
        <v>https://si.geilicdn.com/pcitem2014204438-203b0000019ae7e413400a23037f_1080_1080.jpg?w=640&amp;h=640</v>
      </c>
      <c r="F19" t="inlineStr">
        <is>
          <t>Socks &amp; Hosiery</t>
        </is>
      </c>
      <c r="G19" t="inlineStr">
        <is>
          <t>Hermes</t>
        </is>
      </c>
      <c r="H19">
        <v>130</v>
      </c>
      <c r="I19">
        <v>18.84</v>
      </c>
      <c r="J19" t="inlineStr">
        <is>
          <t>{"id":"chatcmpl-DZoFjuAw3HIYW30Xadr5huf9MxskE","object":"chat.completion","created":1777427023,"model":"gpt-5-chat-2025-10-03","choices":[{"index":0,"message":{"role":"assistant","content":"Hermes Colorblock Letter Pattern Cotton Mid-Calf Socks Unisex","refusal":null,"annotations":[]},"logprobs":null,"finish_reason":"stop"}],"usage":{"prompt_tokens":889,"completion_tokens":14,"total_tokens":903,"prompt_tokens_details":{"cached_tokens":0,"audio_tokens":0},"completion_tokens_details":{"reasoning_tokens":0,"audio_tokens":0,"accepted_prediction_tokens":0,"rejected_prediction_tokens":0}},"service_tier":"default","system_fingerprint":"fp_ad66631dec"}</t>
        </is>
      </c>
      <c r="K19" t="inlineStr">
        <is>
          <t>Hermes Colorblock Letter Pattern Cotton Mid-Calf Socks Unisex</t>
        </is>
      </c>
      <c r="L19" t="inlineStr">
        <is>
          <t>{"id":"chatcmpl-DZo8eEt3sfWTZKCGqG1ejlrMG4Dt2","object":"chat.completion","created":1777426584,"model":"gpt-5-chat-2025-10-03","choices":[{"index":0,"message":{"role":"assistant","content":"Hermes Colorblock Letter Pattern Mid-Calf Socks made from premium cotton blend, soft and breathable. Unisex retro playful design in orange-blue tones, stylish, lightweight, perfect for daily wear or gifting.","refusal":null,"annotations":[]},"logprobs":null,"finish_reason":"stop"}],"usage":{"prompt_tokens":931,"completion_tokens":42,"total_tokens":973,"prompt_tokens_details":{"cached_tokens":0,"audio_tokens":0},"completion_tokens_details":{"reasoning_tokens":0,"audio_tokens":0,"accepted_prediction_tokens":0,"rejected_prediction_tokens":0}},"service_tier":"default","system_fingerprint":"fp_ad66631dec"}</t>
        </is>
      </c>
      <c r="M19" t="inlineStr">
        <is>
          <t>{"alt-svc":"h3=\":443\"; ma=2592000","apim-request-id":"8933f573-7809-4e0f-8e59-986928b8c75e","azureml-model-session":"d20260402075109-1fc5a0ec","cache-control":"no-cache","connection":"close","content-length":"1015","content-type":"application/json","date":"Wed, 29 Apr 2026 01:36:25 GMT","server":"Caddy","skip-error-remapping":"true","strict-transport-security":"max-age=31536000; includeSubDomains; preload","x-content-type-options":"nosniff","x-ms-client-request-id":"Not-Set","x-ms-is-spilled-over":"false","x-ms-rai-invoked":"false","x-ms-region":"North Central US","x-new-api-version":"0.4.35","x-oneapi-request-id":"20260429013623773406038268d9d6PSJi0urr","x-ratelimit-abusepenalty-active":"False","x-ratelimit-key":"gpt-5-chat-global","x-ratelimit-limit-requests":"1000","x-ratelimit-limit-tokens":"1000000","x-ratelimit-remaining-requests":"999","x-ratelimit-remaining-tokens":"998307","x-ratelimit-renewalperiod-requests":"60","x-ratelimit-renewalperiod-tokens":"60","x-ratelimit-reset-requests":"60","x-ratelimit-reset-tokens":"101","x-request-id":"492b1c10-32f6-491a-ac64-e3aef0191daf"}</t>
        </is>
      </c>
      <c r="N19" t="inlineStr">
        <is>
          <t>Hermes Colorblock Letter Pattern Mid-Calf Socks made from premium cotton blend, soft and breathable. Unisex retro playful design in orange-blue tones, stylish, lightweight, perfect for daily wear or gifting.</t>
        </is>
      </c>
      <c r="O19" t="inlineStr">
        <is>
          <t>{"id":"chatcmpl-DZoLwcxv9uojAt5vm7yUGekLHAPCb","object":"chat.completion","created":1777427408,"model":"gpt-5-chat-2025-10-03","choices":[{"index":0,"message":{"role":"assistant","content":"Hermes,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ad66631dec"}</t>
        </is>
      </c>
      <c r="P19" t="inlineStr">
        <is>
          <t>Hermes, Socks &amp; Hosiery, kakobuy, kakebuy2026, kekobuysheet, kakobuysheet2026, 2026kakobuy, kakobuyspreadsheeet, kakobuylink, kakebuylist, Kakobuy MEGA Spreadsheet, kakobuysheetfind, kakobuysheetfind2026, 2026kakobuysheetfind, kakobuysheet2026</t>
        </is>
      </c>
      <c r="Q19" t="inlineStr">
        <is>
          <t>Color Block, Breathable, Unisex, Retro, Lightweight</t>
        </is>
      </c>
      <c r="R19" t="inlineStr">
        <is>
          <t>recvhju1CrxjdY</t>
        </is>
      </c>
      <c r="S19" t="inlineStr">
        <is>
          <t>hermes-colorblock-letter-cotton-mid-calf-socks-recvhju1crxjdy</t>
        </is>
      </c>
      <c r="T19"/>
      <c r="U19"/>
      <c r="V19"/>
      <c r="W19" t="inlineStr">
        <is>
          <t>{"id":"chatcmpl-DZnyPHasHisBcoI8EY6RkdnudIgKX","object":"chat.completion","created":1777425949,"model":"gpt-5-chat-2025-10-03","choices":[{"index":0,"message":{"role":"assistant","content":"Hermes：撞色字母图腾中筒袜，采用优质棉质混纺面料，柔软透气。橙蓝拼色设计融入品牌标识字母元素，彰显法式奢华与艺术感。男女通用款，复古俏皮风格，轻盈舒适又富有时尚表现力，适合日常穿搭及礼赠收藏。","refusal":null,"annotations":[]},"logprobs":null,"finish_reason":"stop"}],"usage":{"prompt_tokens":1303,"completion_tokens":94,"total_tokens":1397,"prompt_tokens_details":{"cached_tokens":0,"audio_tokens":0},"completion_tokens_details":{"reasoning_tokens":0,"audio_tokens":0,"accepted_prediction_tokens":0,"rejected_prediction_tokens":0}},"service_tier":"default","system_fingerprint":"fp_ad66631dec"}</t>
        </is>
      </c>
      <c r="X19" t="inlineStr">
        <is>
          <t>Hermes：撞色字母图腾中筒袜，采用优质棉质混纺面料，柔软透气。橙蓝拼色设计融入品牌标识字母元素，彰显法式奢华与艺术感。男女通用款，复古俏皮风格，轻盈舒适又富有时尚表现力，适合日常穿搭及礼赠收藏。</t>
        </is>
      </c>
    </row>
    <row r="20" ht="25.5" customHeight="1">
      <c r="A20">
        <v>1654975475</v>
      </c>
      <c r="B20">
        <v>7694435523</v>
      </c>
      <c r="C20" s="2" t="str">
        <f>=HYPERLINK("https://weidian.com/item.html?itemID=7694435523", "https://weidian.com/item.html?itemID=7694435523")</f>
        <v>https://weidian.com/item.html?itemID=7694435523</v>
      </c>
      <c r="D20"/>
      <c r="E20" s="2" t="str">
        <f>=HYPERLINK("https://si.geilicdn.com/open1654975475-252808396-73630000019c833eda5b0a23b491_790_1080.jpg?w=640&amp;h=640", "https://si.geilicdn.com/open1654975475-252808396-73630000019c833eda5b0a23b491_790_1080.jpg?w=640&amp;h=640")</f>
        <v>https://si.geilicdn.com/open1654975475-252808396-73630000019c833eda5b0a23b491_790_1080.jpg?w=640&amp;h=640</v>
      </c>
      <c r="F20" t="inlineStr">
        <is>
          <t>Toys</t>
        </is>
      </c>
      <c r="G20" t="inlineStr">
        <is>
          <t>Other</t>
        </is>
      </c>
      <c r="H20">
        <v>260</v>
      </c>
      <c r="I20">
        <v>37.68</v>
      </c>
      <c r="J20" t="inlineStr">
        <is>
          <t>{"id":"chatcmpl-DZoGbhqvTFf7t3yOYqLeyCesLrEtq","object":"chat.completion","created":1777427077,"model":"gpt-5-chat-2025-10-03","choices":[{"index":0,"message":{"role":"assistant","content":"ToysOther AI Smart Robotic Dog Voice Control STEM Toy","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20" t="inlineStr">
        <is>
          <t>ToysOther AI Smart Robotic Dog Voice Control STEM Toy</t>
        </is>
      </c>
      <c r="L20" t="inlineStr">
        <is>
          <t>{"id":"chatcmpl-DZo3cxvDRhJxDa73Fg6kP105kYJ7b","object":"chat.completion","created":1777426272,"model":"gpt-5-chat-2025-10-03","choices":[{"index":0,"message":{"role":"assistant","content":"ToysOtherAI Smart Robotic Dog – Futuristic gray-white-blue electric toy with voice interaction, multi-function remote, eco ABS, STEM learning fun for boys and girls with advanced sci-fi design.","refusal":null,"annotations":[]},"logprobs":null,"finish_reason":"stop"}],"usage":{"prompt_tokens":899,"completion_tokens":41,"total_tokens":940,"prompt_tokens_details":{"cached_tokens":0,"audio_tokens":0},"completion_tokens_details":{"reasoning_tokens":0,"audio_tokens":0,"accepted_prediction_tokens":0,"rejected_prediction_tokens":0}},"service_tier":"default","system_fingerprint":"fp_ad66631dec"}</t>
        </is>
      </c>
      <c r="M20" t="inlineStr">
        <is>
          <t>{"alt-svc":"h3=\":443\"; ma=2592000","apim-request-id":"cff0f85c-82c2-4158-ad42-65b3e5512f11","azureml-model-session":"d20260402084046-4209e968","cache-control":"no-cache","connection":"close","content-length":"1003","content-type":"application/json","date":"Wed, 29 Apr 2026 01:31:14 GMT","server":"nginx","skip-error-remapping":"true","strict-transport-security":"max-age=31536000; includeSubDomains; preload","via":"1.1 Caddy","x-content-type-options":"nosniff","x-ms-client-request-id":"Not-Set","x-ms-is-spilled-over":"false","x-ms-rai-invoked":"false","x-ms-region":"Sweden Central","x-new-api-version":"0.4.35","x-oneapi-request-id":"202604290131103842219658268d9d6KpirrLqg","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92b9fa5a-c708-4918-a4e9-5c657ec23a8d"}</t>
        </is>
      </c>
      <c r="N20" t="inlineStr">
        <is>
          <t>ToysOtherAI Smart Robotic Dog – Futuristic gray-white-blue electric toy with voice interaction, multi-function remote, eco ABS, STEM learning fun for boys and girls with advanced sci-fi design.</t>
        </is>
      </c>
      <c r="O20" t="inlineStr">
        <is>
          <t>{"id":"chatcmpl-DZoO4JK7ouWGpitjvcLH7QqqwEHhO","object":"chat.completion","created":1777427540,"model":"gpt-5-chat-2025-10-03","choices":[{"index":0,"message":{"role":"assistant","content":"Smart启蒙,Robot Dog Toy,kakobuy,kakebuy2026,kekobuysheet,kakobuysheet2026,2026kakobuy,kakobuyspreadsheeet,kakobuylink,kakebuylist,Kakobuy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fd471178c5"}</t>
        </is>
      </c>
      <c r="P20" t="inlineStr">
        <is>
          <t>Smart启蒙,Robot Dog Toy,kakobuy,kakebuy2026,kekobuysheet,kakobuysheet2026,2026kakobuy,kakobuyspreadsheeet,kakobuylink,kakebuylist,Kakobuy MEGA Spreadsheet,kakobuysheetfind,kakobuysheetfind2026,2026kakobuysheetfind,kakobuysheet2026</t>
        </is>
      </c>
      <c r="Q20"/>
      <c r="R20" t="inlineStr">
        <is>
          <t>recvhju1Cro0aE</t>
        </is>
      </c>
      <c r="S20" t="inlineStr">
        <is>
          <t>ai-smart-robotic-dog-voice-control-stem-toy-recvhju1cro0ae</t>
        </is>
      </c>
      <c r="T20"/>
      <c r="U20"/>
      <c r="V20"/>
      <c r="W20" t="inlineStr">
        <is>
          <t>{"id":"chatcmpl-DZnvxlrs6yE41hnrNIufoIzhw8sZF","object":"chat.completion","created":1777425797,"model":"gpt-5-chat-2025-10-03","choices":[{"index":0,"message":{"role":"assistant","content":"AI智能机械狗系列灰白蓝科幻电动益智玩具，采用环保ABS材质，仿真未来机甲设计，具备语音互动与多功能遥控操作，男女孩皆宜，科技感十足，趣味启蒙与创意教育兼具。","refusal":null,"annotations":[]},"logprobs":null,"finish_reason":"stop"}],"usage":{"prompt_tokens":1300,"completion_tokens":65,"total_tokens":1365,"prompt_tokens_details":{"cached_tokens":0,"audio_tokens":0},"completion_tokens_details":{"reasoning_tokens":0,"audio_tokens":0,"accepted_prediction_tokens":0,"rejected_prediction_tokens":0}},"service_tier":"default","system_fingerprint":"fp_ad66631dec"}</t>
        </is>
      </c>
      <c r="X20" t="inlineStr">
        <is>
          <t>AI智能机械狗系列灰白蓝科幻电动益智玩具，采用环保ABS材质，仿真未来机甲设计，具备语音互动与多功能遥控操作，男女孩皆宜，科技感十足，趣味启蒙与创意教育兼具。</t>
        </is>
      </c>
    </row>
    <row r="21" ht="25.5" customHeight="1">
      <c r="A21">
        <v>1654975475</v>
      </c>
      <c r="B21">
        <v>7694557819</v>
      </c>
      <c r="C21" s="2" t="str">
        <f>=HYPERLINK("https://weidian.com/item.html?itemID=7694557819", "https://weidian.com/item.html?itemID=7694557819")</f>
        <v>https://weidian.com/item.html?itemID=7694557819</v>
      </c>
      <c r="D21"/>
      <c r="E21" s="2" t="str">
        <f>=HYPERLINK("https://si.geilicdn.com/open1654975475-252808396-5d470000019c833e71f50a8115c2_790_1641.jpg?w=640&amp;h=640", "https://si.geilicdn.com/open1654975475-252808396-5d470000019c833e71f50a8115c2_790_1641.jpg?w=640&amp;h=640")</f>
        <v>https://si.geilicdn.com/open1654975475-252808396-5d470000019c833e71f50a8115c2_790_1641.jpg?w=640&amp;h=640</v>
      </c>
      <c r="F21" t="inlineStr">
        <is>
          <t>Toys</t>
        </is>
      </c>
      <c r="G21" t="inlineStr">
        <is>
          <t>Other</t>
        </is>
      </c>
      <c r="H21">
        <v>298</v>
      </c>
      <c r="I21">
        <v>43.19</v>
      </c>
      <c r="J21" t="inlineStr">
        <is>
          <t>{"id":"chatcmpl-DZoDV2QLlDq7oSoeJrNaEeBwHMvBk","object":"chat.completion","created":1777426885,"model":"gpt-5-chat-2025-10-03","choices":[{"index":0,"message":{"role":"assistant","content":"ToysOther Silver Gray AI Robot Dog Bluetooth Toy","refusal":null,"annotations":[]},"logprobs":null,"finish_reason":"stop"}],"usage":{"prompt_tokens":1157,"completion_tokens":11,"total_tokens":1168,"prompt_tokens_details":{"cached_tokens":0,"audio_tokens":0},"completion_tokens_details":{"reasoning_tokens":0,"audio_tokens":0,"accepted_prediction_tokens":0,"rejected_prediction_tokens":0}},"service_tier":"default","system_fingerprint":"fp_ad66631dec"}</t>
        </is>
      </c>
      <c r="K21" t="inlineStr">
        <is>
          <t>ToysOther Silver Gray AI Robot Dog Bluetooth Toy</t>
        </is>
      </c>
      <c r="L21" t="inlineStr">
        <is>
          <t>{"id":"chatcmpl-DZo3nrnkpRmBMhovr8iw5AKi1jS3O","object":"chat.completion","created":1777426283,"model":"gpt-5-chat-2025-10-03","choices":[{"index":0,"message":{"role":"assistant","content":"ToysOther Silver Gray Series AI Robot Dog – Voice Recognition &amp; Bluetooth Control, Eco‑friendly ABS, Futuristic Design, Singing, Dancing &amp; Coding Interactive Toy for Boys and Girls.","refusal":null,"annotations":[]},"logprobs":null,"finish_reason":"stop"}],"usage":{"prompt_tokens":1168,"completion_tokens":38,"total_tokens":1206,"prompt_tokens_details":{"cached_tokens":0,"audio_tokens":0},"completion_tokens_details":{"reasoning_tokens":0,"audio_tokens":0,"accepted_prediction_tokens":0,"rejected_prediction_tokens":0}},"service_tier":"default","system_fingerprint":"fp_fd471178c5"}</t>
        </is>
      </c>
      <c r="M21" t="inlineStr">
        <is>
          <t>{"alt-svc":"h3=\":443\"; ma=2592000","apim-request-id":"c0c53b9b-6e24-4e5c-a0fc-6e1fd78f77c2","azureml-model-session":"d20260428205641-55ca9797","cache-control":"no-cache","connection":"close","content-length":"995","content-type":"application/json","date":"Wed, 29 Apr 2026 01:31:25 GMT","server":"nginx","skip-error-remapping":"true","strict-transport-security":"max-age=31536000; includeSubDomains; preload","via":"1.1 Caddy","x-content-type-options":"nosniff","x-ms-client-request-id":"Not-Set","x-ms-is-spilled-over":"false","x-ms-rai-invoked":"false","x-ms-region":"Sweden Central","x-new-api-version":"0.4.35","x-oneapi-request-id":"202604290131212212067058268d9d6PnJocgIE","x-ratelimit-abusepenalty-active":"False","x-ratelimit-key":"gpt-5-chat-global","x-ratelimit-limit-requests":"1000","x-ratelimit-limit-tokens":"1000000","x-ratelimit-remaining-requests":"999","x-ratelimit-remaining-tokens":"998069","x-ratelimit-renewalperiod-requests":"60","x-ratelimit-renewalperiod-tokens":"60","x-ratelimit-reset-requests":"60","x-ratelimit-reset-tokens":"115","x-request-id":"b06403ac-bc5e-4a4d-b8ad-50bee4f0727f"}</t>
        </is>
      </c>
      <c r="N21" t="inlineStr">
        <is>
          <t>ToysOther Silver Gray Series AI Robot Dog – Voice Recognition &amp; Bluetooth Control, Eco‑friendly ABS, Futuristic Design, Singing, Dancing &amp; Coding Interactive Toy for Boys and Girls.</t>
        </is>
      </c>
      <c r="O21" t="inlineStr">
        <is>
          <t>{"id":"chatcmpl-DZoLkncdWR5Y2HAEj2HncdutaYNAh","object":"chat.completion","created":1777427396,"model":"gpt-5-chat-2025-10-03","choices":[{"index":0,"message":{"role":"assistant","content":"Robotdog,toy,kakobuy,kakebuy2026,kekobuysheet,kakobuysheet2026,2026kakobuy,kakobuyspreadsheeet,kakobuylink,kakebuylist,Kakobuy MEGA Spreadsheet,kakobuysheetfind,kakobuysheetfind2026,2026kakobuysheetfind,kakobuysheet2026","refusal":null,"annotations":[]},"logprobs":null,"finish_reason":"stop"}],"usage":{"prompt_tokens":1062,"completion_tokens":87,"total_tokens":1149,"prompt_tokens_details":{"cached_tokens":0,"audio_tokens":0},"completion_tokens_details":{"reasoning_tokens":0,"audio_tokens":0,"accepted_prediction_tokens":0,"rejected_prediction_tokens":0}},"service_tier":"default","system_fingerprint":"fp_ad66631dec"}</t>
        </is>
      </c>
      <c r="P21" t="inlineStr">
        <is>
          <t>Robotdog,toy,kakobuy,kakebuy2026,kekobuysheet,kakobuysheet2026,2026kakobuy,kakobuyspreadsheeet,kakobuylink,kakebuylist,Kakobuy MEGA Spreadsheet,kakobuysheetfind,kakobuysheetfind2026,2026kakobuysheetfind,kakobuysheet2026</t>
        </is>
      </c>
      <c r="Q21" t="inlineStr">
        <is>
          <t>Silver, Grey, Unisex, Youth</t>
        </is>
      </c>
      <c r="R21" t="inlineStr">
        <is>
          <t>recvhju1CrGZBL</t>
        </is>
      </c>
      <c r="S21" t="inlineStr">
        <is>
          <t>toysother-silver-gray-ai-robot-dog-bluetooth-toy-recvhju1crgzbl</t>
        </is>
      </c>
      <c r="T21"/>
      <c r="U21"/>
      <c r="V21"/>
      <c r="W21" t="inlineStr">
        <is>
          <t>{"id":"chatcmpl-DZnwiOQWoVEzx1EWLnKTc2pHu0RUg","object":"chat.completion","created":1777425844,"model":"gpt-5-chat-2025-10-03","choices":[{"index":0,"message":{"role":"assistant","content":"银灰系列AI智能机器人狗，支持语音识别与蓝牙控制，ABS环保材质打造，科技未来风设计，适合男女儿童互动娱乐，集唱歌跳舞编程于一体的创新玩具。","refusal":null,"annotations":[]},"logprobs":null,"finish_reason":"stop"}],"usage":{"prompt_tokens":1584,"completion_tokens":52,"total_tokens":1636,"prompt_tokens_details":{"cached_tokens":1536,"audio_tokens":0},"completion_tokens_details":{"reasoning_tokens":0,"audio_tokens":0,"accepted_prediction_tokens":0,"rejected_prediction_tokens":0}},"service_tier":"default","system_fingerprint":"fp_fd471178c5"}</t>
        </is>
      </c>
      <c r="X21" t="inlineStr">
        <is>
          <t>银灰系列AI智能机器人狗，支持语音识别与蓝牙控制，ABS环保材质打造，科技未来风设计，适合男女儿童互动娱乐，集唱歌跳舞编程于一体的创新玩具。</t>
        </is>
      </c>
    </row>
    <row r="22" ht="25.5" customHeight="1">
      <c r="A22">
        <v>1654975475</v>
      </c>
      <c r="B22">
        <v>7625715610</v>
      </c>
      <c r="C22" s="2" t="str">
        <f>=HYPERLINK("https://weidian.com/item.html?itemID=7625715610", "https://weidian.com/item.html?itemID=7625715610")</f>
        <v>https://weidian.com/item.html?itemID=7625715610</v>
      </c>
      <c r="D22"/>
      <c r="E22" s="2" t="str">
        <f>=HYPERLINK("https://si.geilicdn.com/pcitem2014204438-6e2e0000019adcfac3cb0a210256_1440_1920.jpg?w=640&amp;h=640", "https://si.geilicdn.com/pcitem2014204438-6e2e0000019adcfac3cb0a210256_1440_1920.jpg?w=640&amp;h=640")</f>
        <v>https://si.geilicdn.com/pcitem2014204438-6e2e0000019adcfac3cb0a210256_1440_1920.jpg?w=640&amp;h=640</v>
      </c>
      <c r="F22" t="inlineStr">
        <is>
          <t>Glasses</t>
        </is>
      </c>
      <c r="G22" t="inlineStr">
        <is>
          <t>Dior</t>
        </is>
      </c>
      <c r="H22">
        <v>360</v>
      </c>
      <c r="I22">
        <v>52.17</v>
      </c>
      <c r="J22" t="inlineStr">
        <is>
          <t>{"id":"chatcmpl-DZoFOTI9N3VZ5r2KChHWjJTl6crTB","object":"chat.completion","created":1777427002,"model":"gpt-5-chat-2025-10-03","choices":[{"index":0,"message":{"role":"assistant","content":"Dior Black Square Sunglasses Unisex UV400 Resin Frame","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ad66631dec"}</t>
        </is>
      </c>
      <c r="K22" t="inlineStr">
        <is>
          <t>Dior Black Square Sunglasses Unisex UV400 Resin Frame</t>
        </is>
      </c>
      <c r="L22" t="inlineStr">
        <is>
          <t>{"id":"chatcmpl-DZo7pbJ3DV5GseWpcqNzwBpi9OpPR","object":"chat.completion","created":1777426533,"model":"gpt-5-chat-2025-10-03","choices":[{"index":0,"message":{"role":"assistant","content":"Dior Black Square Sunglasses feature premium resin frame and gray UV-protection lenses. Unisex modern minimalist design blends urban chic and French elegance for timeless style.","refusal":null,"annotations":[]},"logprobs":null,"finish_reason":"stop"}],"usage":{"prompt_tokens":900,"completion_tokens":33,"total_tokens":933,"prompt_tokens_details":{"cached_tokens":0,"audio_tokens":0},"completion_tokens_details":{"reasoning_tokens":0,"audio_tokens":0,"accepted_prediction_tokens":0,"rejected_prediction_tokens":0}},"service_tier":"default","system_fingerprint":"fp_ad66631dec"}</t>
        </is>
      </c>
      <c r="M22" t="inlineStr">
        <is>
          <t>{"alt-svc":"h3=\":443\"; ma=2592000","apim-request-id":"4b50a66f-a042-4976-b59c-4963d2ef833f","azureml-model-session":"d20260402084046-4209e968","cache-control":"no-cache","connection":"close","content-length":"985","content-type":"application/json","date":"Wed, 29 Apr 2026 01:35:34 GMT","server":"Caddy","skip-error-remapping":"true","strict-transport-security":"max-age=31536000; includeSubDomains; preload","x-content-type-options":"nosniff","x-ms-client-request-id":"Not-Set","x-ms-is-spilled-over":"false","x-ms-rai-invoked":"false","x-ms-region":"South Central US","x-new-api-version":"0.4.35","x-oneapi-request-id":"202604290135322657509098268d9d62NLvwjbm","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3a79552c-6406-422c-9a88-6ba61e614e9a"}</t>
        </is>
      </c>
      <c r="N22" t="inlineStr">
        <is>
          <t>Dior Black Square Sunglasses feature premium resin frame and gray UV-protection lenses. Unisex modern minimalist design blends urban chic and French elegance for timeless style.</t>
        </is>
      </c>
      <c r="O22" t="inlineStr">
        <is>
          <t>{"id":"chatcmpl-DZoNCyqDX2624YI9bGgyB9OO5aPns","object":"chat.completion","created":1777427486,"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2" t="inlineStr">
        <is>
          <t>Dior,Glasses,kakobuy,kakebuy2026,kekobuysheet,kakobuysheet2026,2026kakobuy,kakobuyspreadsheeet,kakobuylink,kakebuylist,Kakobuy MEGA Spreadsheet,kakobuysheetfind,kakobuysheetfind2026,2026kakobuysheetfind,kakobuysheet2026</t>
        </is>
      </c>
      <c r="Q22" t="inlineStr">
        <is>
          <t>Dior, Unisex, Modern, Minimalist, Elegant, Anti-Ultraviolet</t>
        </is>
      </c>
      <c r="R22" t="inlineStr">
        <is>
          <t>recvhju1CrdmAG</t>
        </is>
      </c>
      <c r="S22" t="inlineStr">
        <is>
          <t>dior-black-square-sunglasses-recvhju1crdmag</t>
        </is>
      </c>
      <c r="T22"/>
      <c r="U22"/>
      <c r="V22"/>
      <c r="W22" t="inlineStr">
        <is>
          <t>{"id":"chatcmpl-DZnx06ncn2wEfbW8J4gu70KMNFdzM","object":"chat.completion","created":1777425862,"model":"gpt-5-chat-2025-10-03","choices":[{"index":0,"message":{"role":"assistant","content":"Dior：黑色方框太阳眼镜，采用高级树脂镜架与灰色防紫外线镜片，现代极简设计彰显时尚格调，男女皆宜，融合当代都市风与优雅质感，展现经典法式美学魅力。","refusal":null,"annotations":[]},"logprobs":null,"finish_reason":"stop"}],"usage":{"prompt_tokens":1304,"completion_tokens":64,"total_tokens":1368,"prompt_tokens_details":{"cached_tokens":0,"audio_tokens":0},"completion_tokens_details":{"reasoning_tokens":0,"audio_tokens":0,"accepted_prediction_tokens":0,"rejected_prediction_tokens":0}},"service_tier":"default","system_fingerprint":"fp_ad66631dec"}</t>
        </is>
      </c>
      <c r="X22" t="inlineStr">
        <is>
          <t>Dior：黑色方框太阳眼镜，采用高级树脂镜架与灰色防紫外线镜片，现代极简设计彰显时尚格调，男女皆宜，融合当代都市风与优雅质感，展现经典法式美学魅力。</t>
        </is>
      </c>
    </row>
    <row r="23" ht="25.5" customHeight="1">
      <c r="A23">
        <v>1654975475</v>
      </c>
      <c r="B23">
        <v>7625613124</v>
      </c>
      <c r="C23" s="2" t="str">
        <f>=HYPERLINK("https://weidian.com/item.html?itemID=7625613124", "https://weidian.com/item.html?itemID=7625613124")</f>
        <v>https://weidian.com/item.html?itemID=7625613124</v>
      </c>
      <c r="D23"/>
      <c r="E23" s="2" t="str">
        <f>=HYPERLINK("https://si.geilicdn.com/pcitem2014204438-68510000019adce7d05b0a23037f_1248_1593.jpg?w=640&amp;h=640", "https://si.geilicdn.com/pcitem2014204438-68510000019adce7d05b0a23037f_1248_1593.jpg?w=640&amp;h=640")</f>
        <v>https://si.geilicdn.com/pcitem2014204438-68510000019adce7d05b0a23037f_1248_1593.jpg?w=640&amp;h=640</v>
      </c>
      <c r="F23" t="inlineStr">
        <is>
          <t>Glasses</t>
        </is>
      </c>
      <c r="G23" t="inlineStr">
        <is>
          <t>Versace</t>
        </is>
      </c>
      <c r="H23">
        <v>340</v>
      </c>
      <c r="I23">
        <v>49.2898550724637</v>
      </c>
      <c r="J23" t="inlineStr">
        <is>
          <t>{"id":"chatcmpl-DZoBqH55RXi2MRACJcDld0KfLBcRM","object":"chat.completion","created":1777426782,"model":"gpt-5-chat-2025-10-03","choices":[{"index":0,"message":{"role":"assistant","content":"Versace Black Square Sunglasses Gold Medusa Unisex Style","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ad66631dec"}</t>
        </is>
      </c>
      <c r="K23" t="inlineStr">
        <is>
          <t>Versace Black Square Sunglasses Gold Medusa Unisex Style</t>
        </is>
      </c>
      <c r="L23" t="inlineStr">
        <is>
          <t>{"id":"chatcmpl-DZo9uKYo4CsPBOxPNWcngBkbx8XRp","object":"chat.completion","created":1777426662,"model":"gpt-5-chat-2025-10-03","choices":[{"index":0,"message":{"role":"assistant","content":"Versace Black Acetate Square Sunglasses with Gold Medusa Logo, sleek retro-modern design, lightweight luxury, unisex style expressing bold Italian fashion spirit.","refusal":null,"annotations":[]},"logprobs":null,"finish_reason":"stop"}],"usage":{"prompt_tokens":909,"completion_tokens":33,"total_tokens":942,"prompt_tokens_details":{"cached_tokens":0,"audio_tokens":0},"completion_tokens_details":{"reasoning_tokens":0,"audio_tokens":0,"accepted_prediction_tokens":0,"rejected_prediction_tokens":0}},"service_tier":"default","system_fingerprint":"fp_ad66631dec"}</t>
        </is>
      </c>
      <c r="M23" t="inlineStr">
        <is>
          <t>{"alt-svc":"h3=\":443\"; ma=2592000","apim-request-id":"c9389a19-44fe-4fe6-853e-cea41122ee18","azureml-model-session":"d20260405225800-40f19e54","cache-control":"no-cache","connection":"close","content-length":"970","content-type":"application/json","date":"Wed, 29 Apr 2026 01:37:44 GMT","server":"Caddy","skip-error-remapping":"true","strict-transport-security":"max-age=31536000; includeSubDomains; preload","x-content-type-options":"nosniff","x-ms-client-request-id":"Not-Set","x-ms-is-spilled-over":"false","x-ms-rai-invoked":"false","x-ms-region":"Poland Central","x-new-api-version":"0.4.35","x-oneapi-request-id":"2026042901374193152008268d9d6oijlmOid","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af689283-034f-4d1b-8678-71560d135a6c"}</t>
        </is>
      </c>
      <c r="N23" t="inlineStr">
        <is>
          <t>Versace Black Acetate Square Sunglasses with Gold Medusa Logo, sleek retro-modern design, lightweight luxury, unisex style expressing bold Italian fashion spirit.</t>
        </is>
      </c>
      <c r="O23" t="inlineStr">
        <is>
          <t>{"id":"chatcmpl-DZoQ3dOTM1kaEakdBwKMOSvFiA3LS","object":"chat.completion","created":1777427663,"model":"gpt-5-chat-2025-10-03","choices":[{"index":0,"message":{"role":"assistant","content":"Versac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3" t="inlineStr">
        <is>
          <t>Versace,Glasses,kakobuy,kakebuy2026,kekobuysheet,kakobuysheet2026,2026kakobuy,kakobuyspreadsheeet,kakobuylink,kakebuylist,Kakobuy MEGA Spreadsheet,kakobuysheetfind,kakobuysheetfind2026,2026kakobuysheetfind,kakobuysheet2026</t>
        </is>
      </c>
      <c r="Q23" t="inlineStr">
        <is>
          <t>Black, Gold, Retro, Unisex, Acetate Fiber</t>
        </is>
      </c>
      <c r="R23" t="inlineStr">
        <is>
          <t>recvhju1CrOXX2</t>
        </is>
      </c>
      <c r="S23" t="inlineStr">
        <is>
          <t>versace-black-square-sunglasses-gold-medusa-recvhju1croxx2</t>
        </is>
      </c>
      <c r="T23"/>
      <c r="U23"/>
      <c r="V23"/>
      <c r="W23" t="inlineStr">
        <is>
          <t>{"id":"chatcmpl-DZnvHl9N2QWO76YCJI8jA3ax8kQcP","object":"chat.completion","created":1777425755,"model":"gpt-5-chat-2025-10-03","choices":[{"index":0,"message":{"role":"assistant","content":"Versace：黑色方框太阳眼镜，采用轻盈醋酸纤维材质，金色美杜莎徽章点缀镜腿，线条利落展现意式奢华格调，适合男女佩戴，复古与现代融合设计，彰显品牌不羁时尚精神。","refusal":null,"annotations":[]},"logprobs":null,"finish_reason":"stop"}],"usage":{"prompt_tokens":1302,"completion_tokens":74,"total_tokens":1376,"prompt_tokens_details":{"cached_tokens":0,"audio_tokens":0},"completion_tokens_details":{"reasoning_tokens":0,"audio_tokens":0,"accepted_prediction_tokens":0,"rejected_prediction_tokens":0}},"service_tier":"default","system_fingerprint":"fp_ad66631dec"}</t>
        </is>
      </c>
      <c r="X23" t="inlineStr">
        <is>
          <t>Versace：黑色方框太阳眼镜，采用轻盈醋酸纤维材质，金色美杜莎徽章点缀镜腿，线条利落展现意式奢华格调，适合男女佩戴，复古与现代融合设计，彰显品牌不羁时尚精神。</t>
        </is>
      </c>
    </row>
    <row r="24" ht="25.5" customHeight="1">
      <c r="A24">
        <v>1654975475</v>
      </c>
      <c r="B24">
        <v>7625581374</v>
      </c>
      <c r="C24" s="2" t="str">
        <f>=HYPERLINK("https://weidian.com/item.html?itemID=7625581374", "https://weidian.com/item.html?itemID=7625581374")</f>
        <v>https://weidian.com/item.html?itemID=7625581374</v>
      </c>
      <c r="D24"/>
      <c r="E24" s="2" t="str">
        <f>=HYPERLINK("https://si.geilicdn.com/pcitem2014204438-65930000019adce4d9770a20e284_1080_1080.jpg?w=640&amp;h=640", "https://si.geilicdn.com/pcitem2014204438-65930000019adce4d9770a20e284_1080_1080.jpg?w=640&amp;h=640")</f>
        <v>https://si.geilicdn.com/pcitem2014204438-65930000019adce4d9770a20e284_1080_1080.jpg?w=640&amp;h=640</v>
      </c>
      <c r="F24" t="inlineStr">
        <is>
          <t>Glasses</t>
        </is>
      </c>
      <c r="G24" t="inlineStr">
        <is>
          <t>Boss</t>
        </is>
      </c>
      <c r="H24">
        <v>370</v>
      </c>
      <c r="I24">
        <v>53.62</v>
      </c>
      <c r="J24" t="inlineStr">
        <is>
          <t>{"id":"chatcmpl-DZoCaLF9CbfXtJrDs3VtT8NNCKy25","object":"chat.completion","created":1777426828,"model":"gpt-5-chat-2025-10-03","choices":[{"index":0,"message":{"role":"assistant","content":"HUGO BOSS Black Polarized Square Unisex Sunglasses 100%UV","refusal":null,"annotations":[]},"logprobs":null,"finish_reason":"stop"}],"usage":{"prompt_tokens":883,"completion_tokens":18,"total_tokens":901,"prompt_tokens_details":{"cached_tokens":0,"audio_tokens":0},"completion_tokens_details":{"reasoning_tokens":0,"audio_tokens":0,"accepted_prediction_tokens":0,"rejected_prediction_tokens":0}},"service_tier":"default","system_fingerprint":"fp_ad66631dec"}</t>
        </is>
      </c>
      <c r="K24" t="inlineStr">
        <is>
          <t>HUGO BOSS Black Polarized Square Unisex Sunglasses 100%UV</t>
        </is>
      </c>
      <c r="L24" t="inlineStr">
        <is>
          <t>{"id":"chatcmpl-DZo4dtzQZSZDdp7EHI2SAKiKsFzn9","object":"chat.completion","created":1777426335,"model":"gpt-5-chat-2025-10-03","choices":[{"index":0,"message":{"role":"assistant","content":"HUGO BOSS Black Polarized Sunglasses feature lightweight acetate frames with red temples, a sleek square design, unisex fit, excellent UV and glare protection, blending elegance with modern business style.","refusal":null,"annotations":[]},"logprobs":null,"finish_reason":"stop"}],"usage":{"prompt_tokens":906,"completion_tokens":41,"total_tokens":947,"prompt_tokens_details":{"cached_tokens":0,"audio_tokens":0},"completion_tokens_details":{"reasoning_tokens":0,"audio_tokens":0,"accepted_prediction_tokens":0,"rejected_prediction_tokens":0}},"service_tier":"default","system_fingerprint":"fp_ad66631dec"}</t>
        </is>
      </c>
      <c r="M24" t="inlineStr">
        <is>
          <t>{"alt-svc":"h3=\":443\"; ma=2592000","apim-request-id":"a55174d0-b7a7-4cc0-9ae3-3f84761c82bb","azureml-model-session":"d20260402075109-1fc5a0ec","cache-control":"no-cache","connection":"close","content-length":"1013","content-type":"application/json","date":"Wed, 29 Apr 2026 01:32:17 GMT","server":"nginx","skip-error-remapping":"true","strict-transport-security":"max-age=31536000; includeSubDomains; preload","via":"1.1 Caddy","x-content-type-options":"nosniff","x-ms-client-request-id":"Not-Set","x-ms-is-spilled-over":"false","x-ms-rai-invoked":"false","x-ms-region":"Central US","x-new-api-version":"0.4.35","x-oneapi-request-id":"20260429013215280417938268d9d6lSiS7LvB","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1c71a3cf-e4b8-458a-9c7f-e28359fb2ea1"}</t>
        </is>
      </c>
      <c r="N24" t="inlineStr">
        <is>
          <t>HUGO BOSS Black Polarized Sunglasses feature lightweight acetate frames with red temples, a sleek square design, unisex fit, excellent UV and glare protection, blending elegance with modern business style.</t>
        </is>
      </c>
      <c r="O24" t="inlineStr">
        <is>
          <t>{"id":"chatcmpl-DZoJRQk7VZHKrePls30UQ8AdEwaL0","object":"chat.completion","created":1777427253,"model":"gpt-5-chat-2025-10-03","choices":[{"index":0,"message":{"role":"assistant","content":"Hugo Boss,Sunglasses,kakobuy,kakebuy2026,kekobuysheet,kakobuysheet2026,2026kakobuy,kakobuyspreadsheeet,kakobuylink,kakebuylist,Kakobuy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fd471178c5"}</t>
        </is>
      </c>
      <c r="P24" t="inlineStr">
        <is>
          <t>Hugo Boss,Sunglasses,kakobuy,kakebuy2026,kekobuysheet,kakobuysheet2026,2026kakobuy,kakobuyspreadsheeet,kakobuylink,kakebuylist,Kakobuy MEGA Spreadsheet,kakobuysheetfind,kakobuysheetfind2026,2026kakobuysheetfind,kakobuysheet2026</t>
        </is>
      </c>
      <c r="Q24" t="inlineStr">
        <is>
          <t>Unisex, Elegant, Modern, Business, Anti-Ultraviolet, Acetate Fiber</t>
        </is>
      </c>
      <c r="R24" t="inlineStr">
        <is>
          <t>recvhju1CrchP1</t>
        </is>
      </c>
      <c r="S24" t="inlineStr">
        <is>
          <t>hugo-boss-black-polarized-square-sunglasses-recvhju1crchp1</t>
        </is>
      </c>
      <c r="T24"/>
      <c r="U24"/>
      <c r="V24"/>
      <c r="W24" t="inlineStr">
        <is>
          <t>{"id":"chatcmpl-DZnwouQALHwOV6cTlUDNOZtXLE5n1","object":"chat.completion","created":1777425850,"model":"gpt-5-chat-2025-10-03","choices":[{"index":0,"message":{"role":"assistant","content":"HUGO BOSS：黑色偏光太阳镜，轻盈醋酸纤维框架搭配红色镜脚，简约方框设计彰显现代商务与休闲质感，男女皆宜，遮阳防眩功能出众，尽显优雅与力量并存的时尚格调。","refusal":null,"annotations":[]},"logprobs":null,"finish_reason":"stop"}],"usage":{"prompt_tokens":1298,"completion_tokens":73,"total_tokens":1371,"prompt_tokens_details":{"cached_tokens":0,"audio_tokens":0},"completion_tokens_details":{"reasoning_tokens":0,"audio_tokens":0,"accepted_prediction_tokens":0,"rejected_prediction_tokens":0}},"service_tier":"default","system_fingerprint":"fp_fd471178c5"}</t>
        </is>
      </c>
      <c r="X24" t="inlineStr">
        <is>
          <t>HUGO BOSS：黑色偏光太阳镜，轻盈醋酸纤维框架搭配红色镜脚，简约方框设计彰显现代商务与休闲质感，男女皆宜，遮阳防眩功能出众，尽显优雅与力量并存的时尚格调。</t>
        </is>
      </c>
    </row>
    <row r="25" ht="25.5" customHeight="1">
      <c r="A25">
        <v>1654975475</v>
      </c>
      <c r="B25">
        <v>7622658235</v>
      </c>
      <c r="C25" s="2" t="str">
        <f>=HYPERLINK("https://weidian.com/item.html?itemID=7622658235", "https://weidian.com/item.html?itemID=7622658235")</f>
        <v>https://weidian.com/item.html?itemID=7622658235</v>
      </c>
      <c r="D25"/>
      <c r="E25" s="2" t="str">
        <f>=HYPERLINK("https://si.geilicdn.com/pcitem2014204438-4c520000019adca9f8b40a20e672_1500_2000.jpg?w=640&amp;h=640", "https://si.geilicdn.com/pcitem2014204438-4c520000019adca9f8b40a20e672_1500_2000.jpg?w=640&amp;h=640")</f>
        <v>https://si.geilicdn.com/pcitem2014204438-4c520000019adca9f8b40a20e672_1500_2000.jpg?w=640&amp;h=640</v>
      </c>
      <c r="F25" t="inlineStr">
        <is>
          <t>Hats</t>
        </is>
      </c>
      <c r="G25" t="inlineStr">
        <is>
          <t>MLB</t>
        </is>
      </c>
      <c r="H25">
        <v>210</v>
      </c>
      <c r="I25">
        <v>30.43</v>
      </c>
      <c r="J25" t="inlineStr">
        <is>
          <t>{"id":"chatcmpl-DZoEB0mKwKLRrpn8RdTW5igejMkxU","object":"chat.completion","created":1777426927,"model":"gpt-5-chat-2025-10-03","choices":[{"index":0,"message":{"role":"assistant","content":"MLB NY Navy Cotton Baseball Cap Vintage Adjustable Hat","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is>
      </c>
      <c r="K25" t="inlineStr">
        <is>
          <t>MLB NY Navy Cotton Baseball Cap Vintage Adjustable Hat</t>
        </is>
      </c>
      <c r="L25" t="inlineStr">
        <is>
          <t>{"id":"chatcmpl-DZoAIzASVI41W538reT6UNepQnsaU","object":"chat.completion","created":1777426686,"model":"gpt-5-chat-2025-10-03","choices":[{"index":0,"message":{"role":"assistant","content":"MLB Navy Baseball Cap, soft cotton fabric for breathable comfort, features classic NY embroidery for a vintage American street look; adjustable strap fits all, perfect unisex casual style.","refusal":null,"annotations":[]},"logprobs":null,"finish_reason":"stop"}],"usage":{"prompt_tokens":909,"completion_tokens":36,"total_tokens":945,"prompt_tokens_details":{"cached_tokens":0,"audio_tokens":0},"completion_tokens_details":{"reasoning_tokens":0,"audio_tokens":0,"accepted_prediction_tokens":0,"rejected_prediction_tokens":0}},"service_tier":"default","system_fingerprint":"fp_ad66631dec"}</t>
        </is>
      </c>
      <c r="M25" t="inlineStr">
        <is>
          <t>{"alt-svc":"h3=\":443\"; ma=2592000","apim-request-id":"cf80f785-e9ae-4a73-bb46-54ca600c637f","azureml-model-session":"d20260402083108-57a85543","cache-control":"no-cache","connection":"close","content-length":"996","content-type":"application/json","date":"Wed, 29 Apr 2026 01:38:08 GMT","server":"Caddy","skip-error-remapping":"true","strict-transport-security":"max-age=31536000; includeSubDomains; preload","x-content-type-options":"nosniff","x-ms-client-request-id":"Not-Set","x-ms-is-spilled-over":"false","x-ms-rai-invoked":"false","x-ms-region":"East US","x-new-api-version":"0.4.35","x-oneapi-request-id":"202604290138051047004608268d9d6eFGtRxlp","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e8a10c64-903e-4093-9211-b5c6fdf9ef79"}</t>
        </is>
      </c>
      <c r="N25" t="inlineStr">
        <is>
          <t>MLB Navy Baseball Cap, soft cotton fabric for breathable comfort, features classic NY embroidery for a vintage American street look; adjustable strap fits all, perfect unisex casual style.</t>
        </is>
      </c>
      <c r="O25" t="inlineStr">
        <is>
          <t>{"id":"chatcmpl-DZoQLaQY1zT83zYbVrNnKjmrrbOz5","object":"chat.completion","created":1777427681,"model":"gpt-5-chat-2025-10-03","choices":[{"index":0,"message":{"role":"assistant","content":"NewEra,MLB 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25" t="inlineStr">
        <is>
          <t>NewEra,MLB Hats,kakobuy,kakebuy2026,kekobuysheet,kakobuysheet2026,2026kakobuy,kakobuyspreadsheeet,kakobuylink,kakebuylist,Kakobuy MEGA Spreadsheet,kakobuysheetfind,kakobuysheetfind2026,2026kakobuysheetfind,kakobuysheet2026</t>
        </is>
      </c>
      <c r="Q25" t="inlineStr">
        <is>
          <t>Navy, Breathable, Vintage, Street, Unisex</t>
        </is>
      </c>
      <c r="R25" t="inlineStr">
        <is>
          <t>recvhju1CrLG7R</t>
        </is>
      </c>
      <c r="S25" t="inlineStr">
        <is>
          <t>ny-navy-cotton-baseball-cap-vintage-recvhju1crlg7r</t>
        </is>
      </c>
      <c r="T25"/>
      <c r="U25"/>
      <c r="V25"/>
      <c r="W25" t="inlineStr">
        <is>
          <t>{"id":"chatcmpl-DZnsqRW0rOK9shV60ybFq9lWLRvCc","object":"chat.completion","created":1777425604,"model":"gpt-5-chat-2025-10-03","choices":[{"index":0,"message":{"role":"assistant","content":"MLB 藏青色棒球帽，采用柔质纯棉面料，透气舒适，前方经典NY刺绣徽标设计，展现美式复古街头运动风格；可调节帽扣适配男女通用，百搭休闲，彰显都市轻潮态度。","refusal":null,"annotations":[]},"logprobs":null,"finish_reason":"stop"}],"usage":{"prompt_tokens":1304,"completion_tokens":73,"total_tokens":1377,"prompt_tokens_details":{"cached_tokens":0,"audio_tokens":0},"completion_tokens_details":{"reasoning_tokens":0,"audio_tokens":0,"accepted_prediction_tokens":0,"rejected_prediction_tokens":0}},"service_tier":"default","system_fingerprint":"fp_fd471178c5"}</t>
        </is>
      </c>
      <c r="X25" t="inlineStr">
        <is>
          <t>MLB 藏青色棒球帽，采用柔质纯棉面料，透气舒适，前方经典NY刺绣徽标设计，展现美式复古街头运动风格；可调节帽扣适配男女通用，百搭休闲，彰显都市轻潮态度。</t>
        </is>
      </c>
    </row>
    <row r="26" ht="25.5" customHeight="1">
      <c r="A26">
        <v>1654975475</v>
      </c>
      <c r="B26">
        <v>7620978349</v>
      </c>
      <c r="C26" s="2" t="str">
        <f>=HYPERLINK("https://weidian.com/item.html?itemID=7620978349", "https://weidian.com/item.html?itemID=7620978349")</f>
        <v>https://weidian.com/item.html?itemID=7620978349</v>
      </c>
      <c r="D26"/>
      <c r="E26" s="2" t="str">
        <f>=HYPERLINK("https://si.geilicdn.com/pcitem2014204438-190e0000019adca523ac0a231316_1074_1074.jpg?w=640&amp;h=640", "https://si.geilicdn.com/pcitem2014204438-190e0000019adca523ac0a231316_1074_1074.jpg?w=640&amp;h=640")</f>
        <v>https://si.geilicdn.com/pcitem2014204438-190e0000019adca523ac0a231316_1074_1074.jpg?w=640&amp;h=640</v>
      </c>
      <c r="F26" t="inlineStr">
        <is>
          <t>Hats</t>
        </is>
      </c>
      <c r="G26" t="inlineStr">
        <is>
          <t>Chanel</t>
        </is>
      </c>
      <c r="H26">
        <v>270</v>
      </c>
      <c r="I26">
        <v>39.13</v>
      </c>
      <c r="J26" t="inlineStr">
        <is>
          <t>{"id":"chatcmpl-DZoFMYC5I1xuDDeWYes8cpM2ChSv0","object":"chat.completion","created":1777427000,"model":"gpt-5-chat-2025-10-03","choices":[{"index":0,"message":{"role":"assistant","content":"Chanel Blue Gradient Denim Bucket Hat","refusal":null,"annotations":[]},"logprobs":null,"finish_reason":"stop"}],"usage":{"prompt_tokens":868,"completion_tokens":8,"total_tokens":876,"prompt_tokens_details":{"cached_tokens":0,"audio_tokens":0},"completion_tokens_details":{"reasoning_tokens":0,"audio_tokens":0,"accepted_prediction_tokens":0,"rejected_prediction_tokens":0}},"service_tier":"default","system_fingerprint":"fp_ad66631dec"}</t>
        </is>
      </c>
      <c r="K26" t="inlineStr">
        <is>
          <t>Chanel Blue Gradient Denim Bucket Hat</t>
        </is>
      </c>
      <c r="L26" t="inlineStr">
        <is>
          <t>{"id":"chatcmpl-DZo4QMmCDqgomnNOuqx0FdJsNljxY","object":"chat.completion","created":1777426322,"model":"gpt-5-chat-2025-10-03","choices":[{"index":0,"message":{"role":"assistant","content":"Chanel Blue White Gradient Denim Bucket Hat, soft cotton-blend fabric with classic logo embroidery, unisex casual vintage style, showcasing French elegance and modern chic.","refusal":null,"annotations":[]},"logprobs":null,"finish_reason":"stop"}],"usage":{"prompt_tokens":889,"completion_tokens":33,"total_tokens":922,"prompt_tokens_details":{"cached_tokens":0,"audio_tokens":0},"completion_tokens_details":{"reasoning_tokens":0,"audio_tokens":0,"accepted_prediction_tokens":0,"rejected_prediction_tokens":0}},"service_tier":"default","system_fingerprint":"fp_ad66631dec"}</t>
        </is>
      </c>
      <c r="M26" t="inlineStr">
        <is>
          <t>{"alt-svc":"h3=\":443\"; ma=2592000","apim-request-id":"9c080073-a9b4-49e8-aa9a-aa890aaefd93","azureml-model-session":"d20260402084046-4209e968","cache-control":"no-cache","connection":"close","content-length":"980","content-type":"application/json","date":"Wed, 29 Apr 2026 01:32:04 GMT","server":"nginx","skip-error-remapping":"true","strict-transport-security":"max-age=31536000; includeSubDomains; preload","via":"1.1 Caddy","x-content-type-options":"nosniff","x-ms-client-request-id":"Not-Set","x-ms-is-spilled-over":"false","x-ms-rai-invoked":"false","x-ms-region":"South Central US","x-new-api-version":"0.4.35","x-oneapi-request-id":"202604290132018470052868268d9d6fC0v1OsF","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2064cd61-4565-4740-9937-fb8343f651cd"}</t>
        </is>
      </c>
      <c r="N26" t="inlineStr">
        <is>
          <t>Chanel Blue White Gradient Denim Bucket Hat, soft cotton-blend fabric with classic logo embroidery, unisex casual vintage style, showcasing French elegance and modern chic.</t>
        </is>
      </c>
      <c r="O26" t="inlineStr">
        <is>
          <t>{"id":"chatcmpl-DZoQIjFwBFJFemqnZqwuxPxbJ39Sd","object":"chat.completion","created":1777427678,"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26" t="inlineStr">
        <is>
          <t>Chanel,Hat,kakobuy,kakebuy2026,kekobuysheet,kakobuysheet2026,2026kakobuy,kakobuyspreadsheeet,kakobuylink,kakebuylist,Kakobuy MEGA Spreadsheet,kakobuysheetfind,kakobuysheetfind2026,2026kakobuysheetfind,kakobuysheet2026</t>
        </is>
      </c>
      <c r="Q26" t="inlineStr">
        <is>
          <t>Chanel, Blue, White, Denim, Unisex, Vintage</t>
        </is>
      </c>
      <c r="R26" t="inlineStr">
        <is>
          <t>recvhju1Cr8R9M</t>
        </is>
      </c>
      <c r="S26" t="inlineStr">
        <is>
          <t>chanel-blue-gradient-denim-bucket-hat-recvhju1cr8r9m</t>
        </is>
      </c>
      <c r="T26"/>
      <c r="U26"/>
      <c r="V26"/>
      <c r="W26" t="inlineStr">
        <is>
          <t>{"id":"chatcmpl-DZnwM5dxuNDFvc84kPOF4yL4oXHfA","object":"chat.completion","created":1777425822,"model":"gpt-5-chat-2025-10-03","choices":[{"index":0,"message":{"role":"assistant","content":"Chanel：蓝白渐变牛仔渔夫帽，柔软棉质混纺面料，经典Logo刺绣设计，休闲复古风格，男女皆宜，彰显法式优雅与摩登格调。","refusal":null,"annotations":[]},"logprobs":null,"finish_reason":"stop"}],"usage":{"prompt_tokens":1298,"completion_tokens":56,"total_tokens":1354,"prompt_tokens_details":{"cached_tokens":1280,"audio_tokens":0},"completion_tokens_details":{"reasoning_tokens":0,"audio_tokens":0,"accepted_prediction_tokens":0,"rejected_prediction_tokens":0}},"service_tier":"default","system_fingerprint":"fp_ad66631dec"}</t>
        </is>
      </c>
      <c r="X26" t="inlineStr">
        <is>
          <t>Chanel：蓝白渐变牛仔渔夫帽，柔软棉质混纺面料，经典Logo刺绣设计，休闲复古风格，男女皆宜，彰显法式优雅与摩登格调。</t>
        </is>
      </c>
    </row>
    <row r="27" ht="25.5" customHeight="1">
      <c r="A27">
        <v>1654975475</v>
      </c>
      <c r="B27">
        <v>7625628446</v>
      </c>
      <c r="C27" s="2" t="str">
        <f>=HYPERLINK("https://weidian.com/item.html?itemID=7625628446", "https://weidian.com/item.html?itemID=7625628446")</f>
        <v>https://weidian.com/item.html?itemID=7625628446</v>
      </c>
      <c r="D27"/>
      <c r="E27" s="2" t="str">
        <f>=HYPERLINK("https://si.geilicdn.com/pcitem2014204438-4cfa0000019adca288d50a230115_1440_1920.jpg?w=640&amp;h=640", "https://si.geilicdn.com/pcitem2014204438-4cfa0000019adca288d50a230115_1440_1920.jpg?w=640&amp;h=640")</f>
        <v>https://si.geilicdn.com/pcitem2014204438-4cfa0000019adca288d50a230115_1440_1920.jpg?w=640&amp;h=640</v>
      </c>
      <c r="F27" t="inlineStr">
        <is>
          <t>Hats</t>
        </is>
      </c>
      <c r="G27" t="inlineStr">
        <is>
          <t>Celine</t>
        </is>
      </c>
      <c r="H27">
        <v>210</v>
      </c>
      <c r="I27">
        <v>30.43</v>
      </c>
      <c r="J27" t="inlineStr">
        <is>
          <t>{"id":"chatcmpl-DZoCoTeKTXI0K4GVP9zPFO5Tkdzo3","object":"chat.completion","created":1777426842,"model":"gpt-5-chat-2025-10-03","choices":[{"index":0,"message":{"role":"assistant","content":"CELINE Red Corduroy Double‑C Logo Baseball Cap","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27" t="inlineStr">
        <is>
          <t>CELINE Red Corduroy Double‑C Logo Baseball Cap</t>
        </is>
      </c>
      <c r="L27" t="inlineStr">
        <is>
          <t>{"id":"chatcmpl-DZo4Iu4KQZtazP1A5qJkxApYCZiZO","object":"chat.completion","created":1777426314,"model":"gpt-5-chat-2025-10-03","choices":[{"index":0,"message":{"role":"assistant","content":"CELINE Classic Red Corduroy Baseball Cap with 3D Double-C Logo Embroidery, Unisex Vintage Minimalist Design, Elevate Your Outfit with Timeless French Casual Luxury Style.","refusal":null,"annotations":[]},"logprobs":null,"finish_reason":"stop"}],"usage":{"prompt_tokens":884,"completion_tokens":39,"total_tokens":923,"prompt_tokens_details":{"cached_tokens":0,"audio_tokens":0},"completion_tokens_details":{"reasoning_tokens":0,"audio_tokens":0,"accepted_prediction_tokens":0,"rejected_prediction_tokens":0}},"service_tier":"default","system_fingerprint":"fp_ad66631dec"}</t>
        </is>
      </c>
      <c r="M27" t="inlineStr">
        <is>
          <t>{"alt-svc":"h3=\":443\"; ma=2592000","apim-request-id":"c92822ea-a214-4e61-b830-f954402e48d2","azureml-model-session":"d20260402084046-4209e968","cache-control":"no-cache","connection":"close","content-length":"978","content-type":"application/json","date":"Wed, 29 Apr 2026 01:31:56 GMT","server":"nginx","skip-error-remapping":"true","strict-transport-security":"max-age=31536000; includeSubDomains; preload","via":"1.1 Caddy","x-content-type-options":"nosniff","x-ms-client-request-id":"Not-Set","x-ms-is-spilled-over":"false","x-ms-rai-invoked":"false","x-ms-region":"Poland Central","x-new-api-version":"0.4.35","x-oneapi-request-id":"202604290131531427928568268d9d6VZeQvUpu","x-ratelimit-abusepenalty-active":"False","x-ratelimit-key":"gpt-5-chat-global","x-ratelimit-limit-requests":"1000","x-ratelimit-limit-tokens":"1000000","x-ratelimit-remaining-requests":"999","x-ratelimit-remaining-tokens":"998354","x-ratelimit-renewalperiod-requests":"60","x-ratelimit-renewalperiod-tokens":"60","x-ratelimit-reset-requests":"60","x-ratelimit-reset-tokens":"98","x-request-id":"0c7ee978-c834-40df-8f0e-0f54bdb45af2"}</t>
        </is>
      </c>
      <c r="N27" t="inlineStr">
        <is>
          <t>CELINE Classic Red Corduroy Baseball Cap with 3D Double-C Logo Embroidery, Unisex Vintage Minimalist Design, Elevate Your Outfit with Timeless French Casual Luxury Style.</t>
        </is>
      </c>
      <c r="O27" t="inlineStr">
        <is>
          <t>{"id":"chatcmpl-DZoNSExbK7q79x63F2DQmetTEEbFH","object":"chat.completion","created":1777427502,"model":"gpt-5-chat-2025-10-03","choices":[{"index":0,"message":{"role":"assistant","content":"Celine,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27" t="inlineStr">
        <is>
          <t>Celine,Hats,kakobuy,kakebuy2026,kekobuysheet,kakobuysheet2026,2026kakobuy,kakobuyspreadsheeet,kakobuylink,kakebuylist,Kakobuy MEGA Spreadsheet,kakobuysheetfind,kakobuysheetfind2026,2026kakobuysheetfind,kakobuysheet2026</t>
        </is>
      </c>
      <c r="Q27" t="inlineStr">
        <is>
          <t>Celine, Red, Vintage, Minimalist, Unisex</t>
        </is>
      </c>
      <c r="R27" t="inlineStr">
        <is>
          <t>recvhju1CrEdVf</t>
        </is>
      </c>
      <c r="S27" t="inlineStr">
        <is>
          <t>celine-red-corduroy-double-c-logo-baseball-cap-recvhju1credvf</t>
        </is>
      </c>
      <c r="T27"/>
      <c r="U27"/>
      <c r="V27"/>
      <c r="W27" t="inlineStr">
        <is>
          <t>{"id":"chatcmpl-DZnxdPyKtvDVuBXYVE5aC5L2q3yI2","object":"chat.completion","created":1777425901,"model":"gpt-5-chat-2025-10-03","choices":[{"index":0,"message":{"role":"assistant","content":"CELINE：经典系列红色灯芯绒棒球帽，正面立体双C徽标刺绣设计，复古简约风格，男女皆宜，展现法式高级休闲品味。","refusal":null,"annotations":[]},"logprobs":null,"finish_reason":"stop"}],"usage":{"prompt_tokens":1300,"completion_tokens":50,"total_tokens":1350,"prompt_tokens_details":{"cached_tokens":0,"audio_tokens":0},"completion_tokens_details":{"reasoning_tokens":0,"audio_tokens":0,"accepted_prediction_tokens":0,"rejected_prediction_tokens":0}},"service_tier":"default","system_fingerprint":"fp_ad66631dec"}</t>
        </is>
      </c>
      <c r="X27" t="inlineStr">
        <is>
          <t>CELINE：经典系列红色灯芯绒棒球帽，正面立体双C徽标刺绣设计，复古简约风格，男女皆宜，展现法式高级休闲品味。</t>
        </is>
      </c>
    </row>
    <row r="28" ht="25.5" customHeight="1">
      <c r="A28">
        <v>1654975475</v>
      </c>
      <c r="B28">
        <v>7625659840</v>
      </c>
      <c r="C28" s="2" t="str">
        <f>=HYPERLINK("https://weidian.com/item.html?itemID=7625659840", "https://weidian.com/item.html?itemID=7625659840")</f>
        <v>https://weidian.com/item.html?itemID=7625659840</v>
      </c>
      <c r="D28"/>
      <c r="E28" s="2" t="str">
        <f>=HYPERLINK("https://si.geilicdn.com/pcitem2014204438-41250000019adc96cb510a20e7c7_1080_1080.jpg?w=640&amp;h=640", "https://si.geilicdn.com/pcitem2014204438-41250000019adc96cb510a20e7c7_1080_1080.jpg?w=640&amp;h=640")</f>
        <v>https://si.geilicdn.com/pcitem2014204438-41250000019adc96cb510a20e7c7_1080_1080.jpg?w=640&amp;h=640</v>
      </c>
      <c r="F28" t="inlineStr">
        <is>
          <t>Hats</t>
        </is>
      </c>
      <c r="G28" t="inlineStr">
        <is>
          <t>Gucci</t>
        </is>
      </c>
      <c r="H28">
        <v>270</v>
      </c>
      <c r="I28">
        <v>39.13</v>
      </c>
      <c r="J28" t="inlineStr">
        <is>
          <t>{"id":"chatcmpl-DZoFP3Ty8ZNfYy5bRQyYbPHqyP4Qs","object":"chat.completion","created":1777427003,"model":"gpt-5-chat-2025-10-03","choices":[{"index":0,"message":{"role":"assistant","content":"Gucci Classic Black Rattan Straw Hat Unisex Retro Style","refusal":null,"annotations":[]},"logprobs":null,"finish_reason":"stop"}],"usage":{"prompt_tokens":876,"completion_tokens":13,"total_tokens":889,"prompt_tokens_details":{"cached_tokens":0,"audio_tokens":0},"completion_tokens_details":{"reasoning_tokens":0,"audio_tokens":0,"accepted_prediction_tokens":0,"rejected_prediction_tokens":0}},"service_tier":"default","system_fingerprint":"fp_ad66631dec"}</t>
        </is>
      </c>
      <c r="K28" t="inlineStr">
        <is>
          <t>Gucci Classic Black Rattan Straw Hat Unisex Retro Style</t>
        </is>
      </c>
      <c r="L28" t="inlineStr">
        <is>
          <t>{"id":"chatcmpl-DZoAI4wW02nmR64tkWvtGxTg4wwwZ","object":"chat.completion","created":1777426686,"model":"gpt-5-chat-2025-10-03","choices":[{"index":0,"message":{"role":"assistant","content":"HatsGucciGucci Classic Black Handwoven Straw Hat, made of natural rattan, featuring gold double G emblem, unisex retro minimalist style for elegant Italian casual fashion.","refusal":null,"annotations":[]},"logprobs":null,"finish_reason":"stop"}],"usage":{"prompt_tokens":895,"completion_tokens":37,"total_tokens":932,"prompt_tokens_details":{"cached_tokens":0,"audio_tokens":0},"completion_tokens_details":{"reasoning_tokens":0,"audio_tokens":0,"accepted_prediction_tokens":0,"rejected_prediction_tokens":0}},"service_tier":"default","system_fingerprint":"fp_ad66631dec"}</t>
        </is>
      </c>
      <c r="M28" t="inlineStr">
        <is>
          <t>{"alt-svc":"h3=\":443\"; ma=2592000","apim-request-id":"b3623572-d35a-4c91-9d12-fd962c6c4745","azureml-model-session":"d20260402083108-57a85543","cache-control":"no-cache","connection":"close","content-length":"979","content-type":"application/json","date":"Wed, 29 Apr 2026 01:38:08 GMT","server":"nginx","skip-error-remapping":"true","strict-transport-security":"max-age=31536000; includeSubDomains; preload","via":"1.1 Caddy","x-content-type-options":"nosniff","x-ms-client-request-id":"Not-Set","x-ms-is-spilled-over":"false","x-ms-rai-invoked":"false","x-ms-region":"Central US","x-new-api-version":"0.4.35","x-oneapi-request-id":"202604290138057257970838268d9d6Rb54NLm5","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26912103-3a91-4b65-afd0-7641ac694a0e"}</t>
        </is>
      </c>
      <c r="N28" t="inlineStr">
        <is>
          <t>HatsGucciGucci Classic Black Handwoven Straw Hat, made of natural rattan, featuring gold double G emblem, unisex retro minimalist style for elegant Italian casual fashion.</t>
        </is>
      </c>
      <c r="O28" t="inlineStr">
        <is>
          <t>{"id":"chatcmpl-DZoR78TAbQnhMwsAEtzsdF2NCxD7k","object":"chat.completion","created":1777427729,"model":"gpt-5-chat-2025-10-03","choices":[{"index":0,"message":{"role":"assistant","content":"Gucci,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28" t="inlineStr">
        <is>
          <t>Gucci,Hat,kakobuy,kakebuy2026,kekobuysheet,kakobuysheet2026,2026kakobuy,kakobuyspreadsheeet,kakobuylink,kakebuylist,Kakobuy MEGA Spreadsheet,kakobuysheetfind,kakobuysheetfind2026,2026kakobuysheetfind,kakobuysheet2026</t>
        </is>
      </c>
      <c r="Q28" t="inlineStr">
        <is>
          <t>Black, Gold, Retro, Minimalist, Unisex</t>
        </is>
      </c>
      <c r="R28" t="inlineStr">
        <is>
          <t>recvhju1CrHnFu</t>
        </is>
      </c>
      <c r="S28" t="inlineStr">
        <is>
          <t>gucci-classic-black-rattan-straw-hat-retro-recvhju1crhnfu</t>
        </is>
      </c>
      <c r="T28"/>
      <c r="U28"/>
      <c r="V28"/>
      <c r="W28" t="inlineStr">
        <is>
          <t>{"id":"chatcmpl-DZnzAN2G7iTQcC9iORyFFCoE00EDr","object":"chat.completion","created":1777425996,"model":"gpt-5-chat-2025-10-03","choices":[{"index":0,"message":{"role":"assistant","content":"Gucci：经典系列黑色手工编织草帽，甄选天然草藤材质，搭配金色双G标识徽章，简约复古设计，男女皆宜，展现意式休闲格调与精致时尚气息。","refusal":null,"annotations":[]},"logprobs":null,"finish_reason":"stop"}],"usage":{"prompt_tokens":1300,"completion_tokens":61,"total_tokens":1361,"prompt_tokens_details":{"cached_tokens":0,"audio_tokens":0},"completion_tokens_details":{"reasoning_tokens":0,"audio_tokens":0,"accepted_prediction_tokens":0,"rejected_prediction_tokens":0}},"service_tier":"default","system_fingerprint":"fp_ad66631dec"}</t>
        </is>
      </c>
      <c r="X28" t="inlineStr">
        <is>
          <t>Gucci：经典系列黑色手工编织草帽，甄选天然草藤材质，搭配金色双G标识徽章，简约复古设计，男女皆宜，展现意式休闲格调与精致时尚气息。</t>
        </is>
      </c>
    </row>
    <row r="29" ht="25.5" customHeight="1">
      <c r="A29">
        <v>1654975475</v>
      </c>
      <c r="B29">
        <v>7623668612</v>
      </c>
      <c r="C29" s="2" t="str">
        <f>=HYPERLINK("https://weidian.com/item.html?itemID=7623668612", "https://weidian.com/item.html?itemID=7623668612")</f>
        <v>https://weidian.com/item.html?itemID=7623668612</v>
      </c>
      <c r="D29"/>
      <c r="E29" s="2" t="str">
        <f>=HYPERLINK("https://si.geilicdn.com/pcitem2014204438-3ae50000019adc8f18520a231177_1440_1440.jpg?w=640&amp;h=640", "https://si.geilicdn.com/pcitem2014204438-3ae50000019adc8f18520a231177_1440_1440.jpg?w=640&amp;h=640")</f>
        <v>https://si.geilicdn.com/pcitem2014204438-3ae50000019adc8f18520a231177_1440_1440.jpg?w=640&amp;h=640</v>
      </c>
      <c r="F29" t="inlineStr">
        <is>
          <t>Hats</t>
        </is>
      </c>
      <c r="G29" t="inlineStr">
        <is>
          <t>Emis</t>
        </is>
      </c>
      <c r="H29">
        <v>230</v>
      </c>
      <c r="I29">
        <v>33.33</v>
      </c>
      <c r="J29" t="inlineStr">
        <is>
          <t>{"id":"chatcmpl-DZoHtzOCZQQJowFvVVQFpp0bZj1B0","object":"chat.completion","created":1777427157,"model":"gpt-5-chat-2025-10-03","choices":[{"index":0,"message":{"role":"assistant","content":"HatsEmis Red Heart Embroidered Cotton Baseball Cap","refusal":null,"annotations":[]},"logprobs":null,"finish_reason":"stop"}],"usage":{"prompt_tokens":882,"completion_tokens":13,"total_tokens":895,"prompt_tokens_details":{"cached_tokens":0,"audio_tokens":0},"completion_tokens_details":{"reasoning_tokens":0,"audio_tokens":0,"accepted_prediction_tokens":0,"rejected_prediction_tokens":0}},"service_tier":"default","system_fingerprint":"fp_ad66631dec"}</t>
        </is>
      </c>
      <c r="K29" t="inlineStr">
        <is>
          <t>HatsEmis Red Heart Embroidered Cotton Baseball Cap</t>
        </is>
      </c>
      <c r="L29" t="inlineStr">
        <is>
          <t>{"id":"chatcmpl-DZo6dqxbsLhs9gBQP1LzEMJdrq5Rw","object":"chat.completion","created":1777426459,"model":"gpt-5-chat-2025-10-03","choices":[{"index":0,"message":{"role":"assistant","content":"HatsEmisEmis Red Heart Embroidered Cotton Baseball Cap—Soft, breathable design with white heart logo and brand text; unisex casual street style for youthful fashion and everyday wear.","refusal":null,"annotations":[]},"logprobs":null,"finish_reason":"stop"}],"usage":{"prompt_tokens":904,"completion_tokens":40,"total_tokens":944,"prompt_tokens_details":{"cached_tokens":0,"audio_tokens":0},"completion_tokens_details":{"reasoning_tokens":0,"audio_tokens":0,"accepted_prediction_tokens":0,"rejected_prediction_tokens":0}},"service_tier":"default","system_fingerprint":"fp_ad66631dec"}</t>
        </is>
      </c>
      <c r="M29" t="inlineStr">
        <is>
          <t>{"alt-svc":"h3=\":443\"; ma=2592000","apim-request-id":"40d1363e-db5c-4a10-abd9-e33795818013","azureml-model-session":"d20260405225800-40f19e54","cache-control":"no-cache","connection":"close","content-length":"993","content-type":"application/json","date":"Wed, 29 Apr 2026 01:34:20 GMT","server":"nginx","skip-error-remapping":"true","strict-transport-security":"max-age=31536000; includeSubDomains; preload","via":"1.1 Caddy","x-content-type-options":"nosniff","x-ms-client-request-id":"Not-Set","x-ms-is-spilled-over":"false","x-ms-rai-invoked":"false","x-ms-region":"West US","x-new-api-version":"0.4.35","x-oneapi-request-id":"202604290134187203632728268d9d6Ek6Zv19w","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93906541-cc2c-4b4f-87e2-c11e3d7cb5d7"}</t>
        </is>
      </c>
      <c r="N29" t="inlineStr">
        <is>
          <t>HatsEmisEmis Red Heart Embroidered Cotton Baseball Cap—Soft, breathable design with white heart logo and brand text; unisex casual street style for youthful fashion and everyday wear.</t>
        </is>
      </c>
      <c r="O29" t="inlineStr">
        <is>
          <t>{"id":"chatcmpl-DZoKGPyDOa1tLpH6DPBsnFR9nyVF0","object":"chat.completion","created":1777427304,"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29" t="inlineStr">
        <is>
          <t>Emis,hat,kakobuy,kakebuy2026,kekobuysheet,kakobuysheet2026,2026kakobuy,kakobuyspreadsheeet,kakobuylink,kakebuylist,Kakobuy MEGA Spreadsheet,kakobuysheetfind,kakobuysheetfind2026,2026kakobuysheetfind,kakobuysheet2026</t>
        </is>
      </c>
      <c r="Q29" t="inlineStr">
        <is>
          <t>Unisex, Streetwear, Youth, Red</t>
        </is>
      </c>
      <c r="R29" t="inlineStr">
        <is>
          <t>recvhju1Crvtud</t>
        </is>
      </c>
      <c r="S29" t="inlineStr">
        <is>
          <t>hatsemis-red-heart-embroidered-cotton-baseball-cap-recvhju1crvtud</t>
        </is>
      </c>
      <c r="T29"/>
      <c r="U29"/>
      <c r="V29"/>
      <c r="W29" t="inlineStr">
        <is>
          <t>{"id":"chatcmpl-DZntU7BSJyQyPQLivsG2WHLBlmMWs","object":"chat.completion","created":1777425644,"model":"gpt-5-chat-2025-10-03","choices":[{"index":0,"message":{"role":"assistant","content":"Emis：红色心形刺绣棒球帽，采用优质纯棉面料，透气舒适，正面白色爱心徽标与品牌字样点缀，展现甜酷街头风格，男女皆宜，休闲百搭，彰显青春时尚态度。","refusal":null,"annotations":[]},"logprobs":null,"finish_reason":"stop"}],"usage":{"prompt_tokens":1298,"completion_tokens":71,"total_tokens":1369,"prompt_tokens_details":{"cached_tokens":0,"audio_tokens":0},"completion_tokens_details":{"reasoning_tokens":0,"audio_tokens":0,"accepted_prediction_tokens":0,"rejected_prediction_tokens":0}},"service_tier":"default","system_fingerprint":"fp_ad66631dec"}</t>
        </is>
      </c>
      <c r="X29" t="inlineStr">
        <is>
          <t>Emis：红色心形刺绣棒球帽，采用优质纯棉面料，透气舒适，正面白色爱心徽标与品牌字样点缀，展现甜酷街头风格，男女皆宜，休闲百搭，彰显青春时尚态度。</t>
        </is>
      </c>
    </row>
    <row r="30" ht="25.5" customHeight="1">
      <c r="A30">
        <v>1654975475</v>
      </c>
      <c r="B30">
        <v>7625630128</v>
      </c>
      <c r="C30" s="2" t="str">
        <f>=HYPERLINK("https://weidian.com/item.html?itemID=7625630128", "https://weidian.com/item.html?itemID=7625630128")</f>
        <v>https://weidian.com/item.html?itemID=7625630128</v>
      </c>
      <c r="D30"/>
      <c r="E30" s="2" t="str">
        <f>=HYPERLINK("https://si.geilicdn.com/pcitem2014204438-4b2d0000019adc8ca7980a2301b4_1440_1440.jpg?w=640&amp;h=640", "https://si.geilicdn.com/pcitem2014204438-4b2d0000019adc8ca7980a2301b4_1440_1440.jpg?w=640&amp;h=640")</f>
        <v>https://si.geilicdn.com/pcitem2014204438-4b2d0000019adc8ca7980a2301b4_1440_1440.jpg?w=640&amp;h=640</v>
      </c>
      <c r="F30" t="inlineStr">
        <is>
          <t>Hats</t>
        </is>
      </c>
      <c r="G30" t="inlineStr">
        <is>
          <t>Emis</t>
        </is>
      </c>
      <c r="H30">
        <v>230</v>
      </c>
      <c r="I30">
        <v>33.33</v>
      </c>
      <c r="J30" t="inlineStr">
        <is>
          <t>{"id":"chatcmpl-DZoGl7DwGHvjAZzKIedfEVErXPN8R","object":"chat.completion","created":1777427087,"model":"gpt-5-chat-2025-10-03","choices":[{"index":0,"message":{"role":"assistant","content":"HatsEmis Navy Blue Heart Embroidered Cotton Baseball Cap","refusal":null,"annotations":[]},"logprobs":null,"finish_reason":"stop"}],"usage":{"prompt_tokens":882,"completion_tokens":14,"total_tokens":896,"prompt_tokens_details":{"cached_tokens":0,"audio_tokens":0},"completion_tokens_details":{"reasoning_tokens":0,"audio_tokens":0,"accepted_prediction_tokens":0,"rejected_prediction_tokens":0}},"service_tier":"default","system_fingerprint":"fp_ad66631dec"}</t>
        </is>
      </c>
      <c r="K30" t="inlineStr">
        <is>
          <t>HatsEmis Navy Blue Heart Embroidered Cotton Baseball Cap</t>
        </is>
      </c>
      <c r="L30" t="inlineStr">
        <is>
          <t>{"id":"chatcmpl-DZo2SiQsjqRqpfbmyE8VNhlLfxpKp","object":"chat.completion","created":1777426200,"model":"gpt-5-chat-2025-10-03","choices":[{"index":0,"message":{"role":"assistant","content":"HatsEmisEmis Navy Blue Heart Embroidered Cotton Baseball Cap, breathable and comfy, Korean sweet-cool style, unisex casual design for daily wear, showing youthful fashion attitude.","refusal":null,"annotations":[]},"logprobs":null,"finish_reason":"stop"}],"usage":{"prompt_tokens":912,"completion_tokens":40,"total_tokens":952,"prompt_tokens_details":{"cached_tokens":0,"audio_tokens":0},"completion_tokens_details":{"reasoning_tokens":0,"audio_tokens":0,"accepted_prediction_tokens":0,"rejected_prediction_tokens":0}},"service_tier":"default","system_fingerprint":"fp_fd471178c5"}</t>
        </is>
      </c>
      <c r="M30" t="inlineStr">
        <is>
          <t>{"alt-svc":"h3=\":443\"; ma=2592000","apim-request-id":"f3711175-7521-40a1-93c5-83a3faa549f0","azureml-model-session":"d20260428174121-807d9cc5","cache-control":"no-cache","connection":"close","content-length":"988","content-type":"application/json","date":"Wed, 29 Apr 2026 01:30:01 GMT","server":"Caddy","skip-error-remapping":"true","strict-transport-security":"max-age=31536000; includeSubDomains; preload","x-content-type-options":"nosniff","x-ms-client-request-id":"Not-Set","x-ms-is-spilled-over":"false","x-ms-rai-invoked":"false","x-ms-region":"East US 2","x-new-api-version":"0.4.35","x-oneapi-request-id":"202604290129591359039148268d9d6M07I5Ehm","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363420de-96ac-484f-a0ee-cf20f559ede6"}</t>
        </is>
      </c>
      <c r="N30" t="inlineStr">
        <is>
          <t>HatsEmisEmis Navy Blue Heart Embroidered Cotton Baseball Cap, breathable and comfy, Korean sweet-cool style, unisex casual design for daily wear, showing youthful fashion attitude.</t>
        </is>
      </c>
      <c r="O30" t="inlineStr">
        <is>
          <t>{"id":"chatcmpl-DZoKPKgy9FiIiZDeU309lyKIMNxxw","object":"chat.completion","created":1777427313,"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ad66631dec"}</t>
        </is>
      </c>
      <c r="P30" t="inlineStr">
        <is>
          <t>emis,hat,kakobuy,kakebuy2026,kekobuysheet,kakobuysheet2026,2026kakobuy,kakobuyspreadsheeet,kakobuylink,kakebuylist,Kakobuy MEGA Spreadsheet,kakobuysheetfind,kakobuysheetfind2026,2026kakobuysheetfind,kakobuysheet2026</t>
        </is>
      </c>
      <c r="Q30" t="inlineStr">
        <is>
          <t>Navy, Korean, Sweet, Unisex, Breathable</t>
        </is>
      </c>
      <c r="R30" t="inlineStr">
        <is>
          <t>recvhju1CrbggX</t>
        </is>
      </c>
      <c r="S30" t="inlineStr">
        <is>
          <t>navy-blue-heart-embroidered-cotton-baseball-cap-recvhju1crbggx</t>
        </is>
      </c>
      <c r="T30"/>
      <c r="U30"/>
      <c r="V30"/>
      <c r="W30" t="inlineStr">
        <is>
          <t>{"id":"chatcmpl-DZnuVDChqXMsBQVx1iN2cexGtB1DN","object":"chat.completion","created":1777425707,"model":"gpt-5-chat-2025-10-03","choices":[{"index":0,"message":{"role":"assistant","content":"Emis：海军蓝心形刺绣字母棒球帽，优质纯棉材质，透气舒适。简约休闲设计融合韩系甜酷风格，正面心形徽标彰显品牌个性，男女通用百搭款，日常出街彰显青春时尚态度。","refusal":null,"annotations":[]},"logprobs":null,"finish_reason":"stop"}],"usage":{"prompt_tokens":1306,"completion_tokens":75,"total_tokens":1381,"prompt_tokens_details":{"cached_tokens":0,"audio_tokens":0},"completion_tokens_details":{"reasoning_tokens":0,"audio_tokens":0,"accepted_prediction_tokens":0,"rejected_prediction_tokens":0}},"service_tier":"default","system_fingerprint":"fp_ad66631dec"}</t>
        </is>
      </c>
      <c r="X30" t="inlineStr">
        <is>
          <t>Emis：海军蓝心形刺绣字母棒球帽，优质纯棉材质，透气舒适。简约休闲设计融合韩系甜酷风格，正面心形徽标彰显品牌个性，男女通用百搭款，日常出街彰显青春时尚态度。</t>
        </is>
      </c>
    </row>
    <row r="31" ht="25.5" customHeight="1">
      <c r="A31">
        <v>1654975475</v>
      </c>
      <c r="B31">
        <v>7625604082</v>
      </c>
      <c r="C31" s="2" t="str">
        <f>=HYPERLINK("https://weidian.com/item.html?itemID=7625604082", "https://weidian.com/item.html?itemID=7625604082")</f>
        <v>https://weidian.com/item.html?itemID=7625604082</v>
      </c>
      <c r="D31"/>
      <c r="E31" s="2" t="str">
        <f>=HYPERLINK("https://si.geilicdn.com/pcitem2014204438-4a1b0000019adc8936050a207569_1440_1440.jpg?w=640&amp;h=640", "https://si.geilicdn.com/pcitem2014204438-4a1b0000019adc8936050a207569_1440_1440.jpg?w=640&amp;h=640")</f>
        <v>https://si.geilicdn.com/pcitem2014204438-4a1b0000019adc8936050a207569_1440_1440.jpg?w=640&amp;h=640</v>
      </c>
      <c r="F31" t="inlineStr">
        <is>
          <t>Hats</t>
        </is>
      </c>
      <c r="G31" t="inlineStr">
        <is>
          <t>Moncler</t>
        </is>
      </c>
      <c r="H31">
        <v>270</v>
      </c>
      <c r="I31">
        <v>39.13</v>
      </c>
      <c r="J31" t="inlineStr">
        <is>
          <t>{"id":"chatcmpl-DZoGurZCd2ufjuSu3ksOzo8ffT5tA","object":"chat.completion","created":1777427096,"model":"gpt-5-chat-2025-10-03","choices":[{"index":0,"message":{"role":"assistant","content":"Moncler Black Waterproof Nylon Bucket Hat Unisex Outdoor","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31" t="inlineStr">
        <is>
          <t>Moncler Black Waterproof Nylon Bucket Hat Unisex Outdoor</t>
        </is>
      </c>
      <c r="L31" t="inlineStr">
        <is>
          <t>{"id":"chatcmpl-DZo7QV2EKW1wMXjiU7RyEyJT2PGBK","object":"chat.completion","created":1777426508,"model":"gpt-5-chat-2025-10-03","choices":[{"index":0,"message":{"role":"assistant","content":"Moncler Black Waterproof Nylon Bucket Hat, lightweight and breathable with a signature logo patch, sleek 3D tailoring, unisex urban outdoor style for a refined, understated luxury look.","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is>
      </c>
      <c r="M31" t="inlineStr">
        <is>
          <t>{"alt-svc":"h3=\":443\"; ma=2592000","apim-request-id":"3997380f-9ce2-426b-8498-a68dea844bf6","azureml-model-session":"d20260402074105-51db401e","cache-control":"no-cache","connection":"close","content-length":"993","content-type":"application/json","date":"Wed, 29 Apr 2026 01:35:09 GMT","server":"nginx","skip-error-remapping":"true","strict-transport-security":"max-age=31536000; includeSubDomains; preload","via":"1.1 Caddy","x-content-type-options":"nosniff","x-ms-client-request-id":"Not-Set","x-ms-is-spilled-over":"false","x-ms-rai-invoked":"false","x-ms-region":"East US","x-new-api-version":"0.4.35","x-oneapi-request-id":"202604290135072310915098268d9d6qYqZuqAY","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d3cc3462-3eee-4928-af87-07d1547b0ffa"}</t>
        </is>
      </c>
      <c r="N31" t="inlineStr">
        <is>
          <t>Moncler Black Waterproof Nylon Bucket Hat, lightweight and breathable with a signature logo patch, sleek 3D tailoring, unisex urban outdoor style for a refined, understated luxury look.</t>
        </is>
      </c>
      <c r="O31" t="inlineStr">
        <is>
          <t>{"id":"chatcmpl-DZoMiBChFuiZYD7VfCR7JaNTXIfo9","object":"chat.completion","created":1777427456,"model":"gpt-5-chat-2025-10-03","choices":[{"index":0,"message":{"role":"assistant","content":"Moncler,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31" t="inlineStr">
        <is>
          <t>Moncler,Hats,kakobuy,kakebuy2026,kekobuysheet,kakobuysheet2026,2026kakobuy,kakobuyspreadsheeet,kakobuylink,kakebuylist,Kakobuy MEGA Spreadsheet,kakobuysheetfind,kakobuysheetfind2026,2026kakobuysheetfind,kakobuysheet2026</t>
        </is>
      </c>
      <c r="Q31" t="inlineStr">
        <is>
          <t>Waterproof, Nylon, Lightweight, Breathable, Unisex, Outdoor</t>
        </is>
      </c>
      <c r="R31" t="inlineStr">
        <is>
          <t>recvhju1CrP0Kv</t>
        </is>
      </c>
      <c r="S31" t="inlineStr">
        <is>
          <t>moncler-black-waterproof-nylon-bucket-hat-recvhju1crp0kv</t>
        </is>
      </c>
      <c r="T31"/>
      <c r="U31"/>
      <c r="V31"/>
      <c r="W31" t="inlineStr">
        <is>
          <t>{"id":"chatcmpl-DZnu5r6dMPXG2ptjM8F7rATAopf73","object":"chat.completion","created":1777425681,"model":"gpt-5-chat-2025-10-03","choices":[{"index":0,"message":{"role":"assistant","content":"Moncler：黑色防水尼龙渔夫帽，简约立体剪裁搭配立标徽章设计，轻盈透气，男女通用，都市户外风格，展现低调奢华魅力。","refusal":null,"annotations":[]},"logprobs":null,"finish_reason":"stop"}],"usage":{"prompt_tokens":1300,"completion_tokens":54,"total_tokens":1354,"prompt_tokens_details":{"cached_tokens":0,"audio_tokens":0},"completion_tokens_details":{"reasoning_tokens":0,"audio_tokens":0,"accepted_prediction_tokens":0,"rejected_prediction_tokens":0}},"service_tier":"default","system_fingerprint":"fp_ad66631dec"}</t>
        </is>
      </c>
      <c r="X31" t="inlineStr">
        <is>
          <t>Moncler：黑色防水尼龙渔夫帽，简约立体剪裁搭配立标徽章设计，轻盈透气，男女通用，都市户外风格，展现低调奢华魅力。</t>
        </is>
      </c>
    </row>
    <row r="32" ht="25.5" customHeight="1">
      <c r="A32">
        <v>1654975475</v>
      </c>
      <c r="B32">
        <v>7625521466</v>
      </c>
      <c r="C32" s="2" t="str">
        <f>=HYPERLINK("https://weidian.com/item.html?itemID=7625521466", "https://weidian.com/item.html?itemID=7625521466")</f>
        <v>https://weidian.com/item.html?itemID=7625521466</v>
      </c>
      <c r="D32"/>
      <c r="E32" s="2" t="str">
        <f>=HYPERLINK("https://si.geilicdn.com/pcitem2014204438-4f0e0000019adc87b08c0a2303ee_1440_1440.jpg?w=640&amp;h=640", "https://si.geilicdn.com/pcitem2014204438-4f0e0000019adc87b08c0a2303ee_1440_1440.jpg?w=640&amp;h=640")</f>
        <v>https://si.geilicdn.com/pcitem2014204438-4f0e0000019adc87b08c0a2303ee_1440_1440.jpg?w=640&amp;h=640</v>
      </c>
      <c r="F32" t="inlineStr">
        <is>
          <t>Hats</t>
        </is>
      </c>
      <c r="G32" t="inlineStr">
        <is>
          <t>Dior</t>
        </is>
      </c>
      <c r="H32">
        <v>260</v>
      </c>
      <c r="I32">
        <v>37.68</v>
      </c>
      <c r="J32" t="inlineStr">
        <is>
          <t>{"id":"chatcmpl-DZoCl1heyPcuQfNr9UdbNIJeoX3Pz","object":"chat.completion","created":1777426839,"model":"gpt-5-chat-2025-10-03","choices":[{"index":0,"message":{"role":"assistant","content":"Dior Beige Straw Hat CD Bow Vintage Summer Style","refusal":null,"annotations":[]},"logprobs":null,"finish_reason":"stop"}],"usage":{"prompt_tokens":888,"completion_tokens":11,"total_tokens":899,"prompt_tokens_details":{"cached_tokens":0,"audio_tokens":0},"completion_tokens_details":{"reasoning_tokens":0,"audio_tokens":0,"accepted_prediction_tokens":0,"rejected_prediction_tokens":0}},"service_tier":"default","system_fingerprint":"fp_ad66631dec"}</t>
        </is>
      </c>
      <c r="K32" t="inlineStr">
        <is>
          <t>Dior Beige Straw Hat CD Bow Vintage Summer Style</t>
        </is>
      </c>
      <c r="L32" t="inlineStr">
        <is>
          <t>{"id":"chatcmpl-DZo5YKBJXGhjcfuOnrwzsYkDwms5d","object":"chat.completion","created":1777426392,"model":"gpt-5-chat-2025-10-03","choices":[{"index":0,"message":{"role":"assistant","content":"HatsDiorDior beige woven straw hat, made from lightweight breathable cotton-linen blend, features a 3D bow with CD metal logo, offering elegant vintage French style for casual or vacation wear.","refusal":null,"annotations":[]},"logprobs":null,"finish_reason":"stop"}],"usage":{"prompt_tokens":904,"completion_tokens":43,"total_tokens":947,"prompt_tokens_details":{"cached_tokens":0,"audio_tokens":0},"completion_tokens_details":{"reasoning_tokens":0,"audio_tokens":0,"accepted_prediction_tokens":0,"rejected_prediction_tokens":0}},"service_tier":"default","system_fingerprint":"fp_ad66631dec"}</t>
        </is>
      </c>
      <c r="M32" t="inlineStr">
        <is>
          <t>{"alt-svc":"h3=\":443\"; ma=2592000","apim-request-id":"0b64af2b-18e0-44d7-bd96-81348581b3de","azureml-model-session":"d20260402075109-1fc5a0ec","cache-control":"no-cache","connection":"close","content-length":"1001","content-type":"application/json","date":"Wed, 29 Apr 2026 01:33:14 GMT","server":"Caddy","skip-error-remapping":"true","strict-transport-security":"max-age=31536000; includeSubDomains; preload","x-content-type-options":"nosniff","x-ms-client-request-id":"Not-Set","x-ms-is-spilled-over":"false","x-ms-rai-invoked":"false","x-ms-region":"North Central US","x-new-api-version":"0.4.35","x-oneapi-request-id":"202604290133113907488558268d9d6ZsXmvlUs","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c7518eaa-fdfe-41a9-83da-80a831f6f121"}</t>
        </is>
      </c>
      <c r="N32" t="inlineStr">
        <is>
          <t>HatsDiorDior beige woven straw hat, made from lightweight breathable cotton-linen blend, features a 3D bow with CD metal logo, offering elegant vintage French style for casual or vacation wear.</t>
        </is>
      </c>
      <c r="O32" t="inlineStr">
        <is>
          <t>{"id":"chatcmpl-DZoSB6XVo244RHgKgZy7uYNkAVWwm","object":"chat.completion","created":1777427795,"model":"gpt-5-chat-2025-10-03","choices":[{"index":0,"message":{"role":"assistant","content":"Dio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32" t="inlineStr">
        <is>
          <t>Dior,hat,kakobuy,kakebuy2026,kekobuysheet,kakobuysheet2026,2026kakobuy,kakobuyspreadsheeet,kakobuylink,kakebuylist,Kakobuy MEGA Spreadsheet,kakobuysheetfind,kakobuysheetfind2026,2026kakobuysheetfind,kakobuysheet2026</t>
        </is>
      </c>
      <c r="Q32" t="inlineStr">
        <is>
          <t>Dior, Beige, Elegant, Vintage, Breathable, Lightweight</t>
        </is>
      </c>
      <c r="R32" t="inlineStr">
        <is>
          <t>recvhju1CrawOh</t>
        </is>
      </c>
      <c r="S32" t="inlineStr">
        <is>
          <t>dior-beige-straw-hat-cd-bow-vintage-summer-recvhju1crawoh</t>
        </is>
      </c>
      <c r="T32"/>
      <c r="U32"/>
      <c r="V32"/>
      <c r="W32" t="inlineStr">
        <is>
          <t>{"id":"chatcmpl-DZo0EYteiuLrBSuWESiBbDqp5ZjGG","object":"chat.completion","created":1777426062,"model":"gpt-5-chat-2025-10-03","choices":[{"index":0,"message":{"role":"assistant","content":"Dior：米色编织草帽，轻盈透气棉麻混纺材质，饰以立体蝴蝶结与CD金属标，优雅复古设计，适合男女日常休闲与度假风穿搭，展现法式高定格调。","refusal":null,"annotations":[]},"logprobs":null,"finish_reason":"stop"}],"usage":{"prompt_tokens":1306,"completion_tokens":67,"total_tokens":1373,"prompt_tokens_details":{"cached_tokens":0,"audio_tokens":0},"completion_tokens_details":{"reasoning_tokens":0,"audio_tokens":0,"accepted_prediction_tokens":0,"rejected_prediction_tokens":0}},"service_tier":"default","system_fingerprint":"fp_fd471178c5"}</t>
        </is>
      </c>
      <c r="X32" t="inlineStr">
        <is>
          <t>Dior：米色编织草帽，轻盈透气棉麻混纺材质，饰以立体蝴蝶结与CD金属标，优雅复古设计，适合男女日常休闲与度假风穿搭，展现法式高定格调。</t>
        </is>
      </c>
    </row>
    <row r="33" ht="25.5" customHeight="1">
      <c r="A33">
        <v>1654975475</v>
      </c>
      <c r="B33">
        <v>7625556344</v>
      </c>
      <c r="C33" s="2" t="str">
        <f>=HYPERLINK("https://weidian.com/item.html?itemID=7625556344", "https://weidian.com/item.html?itemID=7625556344")</f>
        <v>https://weidian.com/item.html?itemID=7625556344</v>
      </c>
      <c r="D33"/>
      <c r="E33" s="2" t="str">
        <f>=HYPERLINK("https://si.geilicdn.com/pcitem2014204438-0fe00000019adc7e7be70a811411_1074_1074.jpg?w=640&amp;h=640", "https://si.geilicdn.com/pcitem2014204438-0fe00000019adc7e7be70a811411_1074_1074.jpg?w=640&amp;h=640")</f>
        <v>https://si.geilicdn.com/pcitem2014204438-0fe00000019adc7e7be70a811411_1074_1074.jpg?w=640&amp;h=640</v>
      </c>
      <c r="F33" t="inlineStr">
        <is>
          <t>Hats</t>
        </is>
      </c>
      <c r="G33" t="inlineStr">
        <is>
          <t>Chrome Hearts</t>
        </is>
      </c>
      <c r="H33">
        <v>220</v>
      </c>
      <c r="I33">
        <v>31.88</v>
      </c>
      <c r="J33" t="inlineStr">
        <is>
          <t>{"id":"chatcmpl-DZoHdNMGu1jBUWHNZ7oPX6whsHGU3","object":"chat.completion","created":1777427141,"model":"gpt-5-chat-2025-10-03","choices":[{"index":0,"message":{"role":"assistant","content":"Chrome Hearts Grey Distressed Cotton Cap with Silver Studs","refusal":null,"annotations":[]},"logprobs":null,"finish_reason":"stop"}],"usage":{"prompt_tokens":866,"completion_tokens":12,"total_tokens":878,"prompt_tokens_details":{"cached_tokens":0,"audio_tokens":0},"completion_tokens_details":{"reasoning_tokens":0,"audio_tokens":0,"accepted_prediction_tokens":0,"rejected_prediction_tokens":0}},"service_tier":"default","system_fingerprint":"fp_ad66631dec"}</t>
        </is>
      </c>
      <c r="K33" t="inlineStr">
        <is>
          <t>Chrome Hearts Grey Distressed Cotton Cap with Silver Studs</t>
        </is>
      </c>
      <c r="L33" t="inlineStr">
        <is>
          <t>{"id":"chatcmpl-DZoAekyVAqPNhqg2byXpLR5RiLUrX","object":"chat.completion","created":1777426708,"model":"gpt-5-chat-2025-10-03","choices":[{"index":0,"message":{"role":"assistant","content":"Chrome Hearts Grey Vintage Distressed Baseball Cap with Silver Cross Studs, crafted from premium cotton, unisex streetwear style showcasing edgy and modern fashion aesthetics.","refusal":null,"annotations":[]},"logprobs":null,"finish_reason":"stop"}],"usage":{"prompt_tokens":892,"completion_tokens":32,"total_tokens":924,"prompt_tokens_details":{"cached_tokens":0,"audio_tokens":0},"completion_tokens_details":{"reasoning_tokens":0,"audio_tokens":0,"accepted_prediction_tokens":0,"rejected_prediction_tokens":0}},"service_tier":"default","system_fingerprint":"fp_fd471178c5"}</t>
        </is>
      </c>
      <c r="M33" t="inlineStr">
        <is>
          <t>{"alt-svc":"h3=\":443\"; ma=2592000","apim-request-id":"e6d16083-434b-42d5-9d51-8d77831d366e","azureml-model-session":"d20260428205641-55ca9797","cache-control":"no-cache","connection":"close","content-length":"983","content-type":"application/json","date":"Wed, 29 Apr 2026 01:38:29 GMT","server":"Caddy","skip-error-remapping":"true","strict-transport-security":"max-age=31536000; includeSubDomains; preload","x-content-type-options":"nosniff","x-ms-client-request-id":"Not-Set","x-ms-is-spilled-over":"false","x-ms-rai-invoked":"false","x-ms-region":"West US","x-new-api-version":"0.4.35","x-oneapi-request-id":"202604290138278153374058268d9d6ovbCem4W","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0f7cf90d-bf30-41da-be8d-69928d4c66e4"}</t>
        </is>
      </c>
      <c r="N33" t="inlineStr">
        <is>
          <t>Chrome Hearts Grey Vintage Distressed Baseball Cap with Silver Cross Studs, crafted from premium cotton, unisex streetwear style showcasing edgy and modern fashion aesthetics.</t>
        </is>
      </c>
      <c r="O33" t="inlineStr">
        <is>
          <t>{"id":"chatcmpl-DZoRylcZC4qpk2Rdgt5H2ZOIPJyVh","object":"chat.completion","created":1777427782,"model":"gpt-5-chat-2025-10-03","choices":[{"index":0,"message":{"role":"assistant","content":"Chrome Hearts,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33" t="inlineStr">
        <is>
          <t>Chrome Hearts, Hats, kakobuy, kakebuy2026, kekobuysheet, kakobuysheet2026, 2026kakobuy, kakobuyspreadsheeet, kakobuylink, kakebuylist, Kakobuy MEGA Spreadsheet, kakobuysheetfind, kakobuysheetfind2026, 2026kakobuysheetfind, kakobuysheet2026</t>
        </is>
      </c>
      <c r="Q33" t="inlineStr">
        <is>
          <t>Streetwear, Unisex, Grey, Vintage, Distressed, Edgy</t>
        </is>
      </c>
      <c r="R33" t="inlineStr">
        <is>
          <t>recvhju1Cr18Nd</t>
        </is>
      </c>
      <c r="S33" t="inlineStr">
        <is>
          <t>chrome-hearts-grey-distressed-cotton-cap-silver-studs-recvhju1cr18nd</t>
        </is>
      </c>
      <c r="T33"/>
      <c r="U33"/>
      <c r="V33"/>
      <c r="W33" t="inlineStr">
        <is>
          <t>{"id":"chatcmpl-DZnta4ad1Evx6nxX25D14bJsurhvz","object":"chat.completion","created":1777425650,"model":"gpt-5-chat-2025-10-03","choices":[{"index":0,"message":{"role":"assistant","content":"Chrome Hearts：灰色复古做旧棒球帽，甄选优质棉质面料，饰以银色十字花铆钉，街头中性设计，休闲时尚风格，彰显品牌前卫美学。","refusal":null,"annotations":[]},"logprobs":null,"finish_reason":"stop"}],"usage":{"prompt_tokens":1300,"completion_tokens":58,"total_tokens":1358,"prompt_tokens_details":{"cached_tokens":1280,"audio_tokens":0},"completion_tokens_details":{"reasoning_tokens":0,"audio_tokens":0,"accepted_prediction_tokens":0,"rejected_prediction_tokens":0}},"service_tier":"default","system_fingerprint":"fp_fd471178c5"}</t>
        </is>
      </c>
      <c r="X33" t="inlineStr">
        <is>
          <t>Chrome Hearts：灰色复古做旧棒球帽，甄选优质棉质面料，饰以银色十字花铆钉，街头中性设计，休闲时尚风格，彰显品牌前卫美学。</t>
        </is>
      </c>
    </row>
    <row r="34" ht="25.5" customHeight="1">
      <c r="A34">
        <v>1654975475</v>
      </c>
      <c r="B34">
        <v>7622603987</v>
      </c>
      <c r="C34" s="2" t="str">
        <f>=HYPERLINK("https://weidian.com/item.html?itemID=7622603987", "https://weidian.com/item.html?itemID=7622603987")</f>
        <v>https://weidian.com/item.html?itemID=7622603987</v>
      </c>
      <c r="D34"/>
      <c r="E34" s="2" t="str">
        <f>=HYPERLINK("https://si.geilicdn.com/pcitem2014204438-68f40000019adc6f8dab0a2103bd_1213_1437.jpg?w=640&amp;h=640", "https://si.geilicdn.com/pcitem2014204438-68f40000019adc6f8dab0a2103bd_1213_1437.jpg?w=640&amp;h=640")</f>
        <v>https://si.geilicdn.com/pcitem2014204438-68f40000019adc6f8dab0a2103bd_1213_1437.jpg?w=640&amp;h=640</v>
      </c>
      <c r="F34" t="inlineStr">
        <is>
          <t>Hats</t>
        </is>
      </c>
      <c r="G34" t="inlineStr">
        <is>
          <t>Lululemon</t>
        </is>
      </c>
      <c r="H34">
        <v>216</v>
      </c>
      <c r="I34">
        <v>31.3</v>
      </c>
      <c r="J34" t="inlineStr">
        <is>
          <t>{"id":"chatcmpl-DZoCEthYiYHKdiihuPcLpZV4j1o8J","object":"chat.completion","created":1777426806,"model":"gpt-5-chat-2025-10-03","choices":[{"index":0,"message":{"role":"assistant","content":"Lululemon Beige Waterproof Sun Bucket Hat","refusal":null,"annotations":[]},"logprobs":null,"finish_reason":"stop"}],"usage":{"prompt_tokens":882,"completion_tokens":10,"total_tokens":892,"prompt_tokens_details":{"cached_tokens":0,"audio_tokens":0},"completion_tokens_details":{"reasoning_tokens":0,"audio_tokens":0,"accepted_prediction_tokens":0,"rejected_prediction_tokens":0}},"service_tier":"default","system_fingerprint":"fp_fd471178c5"}</t>
        </is>
      </c>
      <c r="K34" t="inlineStr">
        <is>
          <t>Lululemon Beige Waterproof Sun Bucket Hat</t>
        </is>
      </c>
      <c r="L34" t="inlineStr">
        <is>
          <t>{"id":"chatcmpl-DZo9XvTkhUnvC3UZYn48PKtInmdg7","object":"chat.completion","created":1777426639,"model":"gpt-5-chat-2025-10-03","choices":[{"index":0,"message":{"role":"assistant","content":"Lululemon Beige Sun-Proof Bucket Hat, lightweight water-repellent nylon, breathable and stylish with adjustable strap, ideal for outdoor activities or city commute, unisex casual design.","refusal":null,"annotations":[]},"logprobs":null,"finish_reason":"stop"}],"usage":{"prompt_tokens":909,"completion_tokens":39,"total_tokens":948,"prompt_tokens_details":{"cached_tokens":0,"audio_tokens":0},"completion_tokens_details":{"reasoning_tokens":0,"audio_tokens":0,"accepted_prediction_tokens":0,"rejected_prediction_tokens":0}},"service_tier":"default","system_fingerprint":"fp_ad66631dec"}</t>
        </is>
      </c>
      <c r="M34" t="inlineStr">
        <is>
          <t>{"alt-svc":"h3=\":443\"; ma=2592000","apim-request-id":"6406093e-4834-422a-9aff-caf856b60ae5","azureml-model-session":"d20260402075109-1fc5a0ec","cache-control":"no-cache","connection":"close","content-length":"994","content-type":"application/json","date":"Wed, 29 Apr 2026 01:37:20 GMT","server":"Caddy","skip-error-remapping":"true","strict-transport-security":"max-age=31536000; includeSubDomains; preload","x-content-type-options":"nosniff","x-ms-client-request-id":"Not-Set","x-ms-is-spilled-over":"false","x-ms-rai-invoked":"false","x-ms-region":"East US 2","x-new-api-version":"0.4.35","x-oneapi-request-id":"202604290137184179298948268d9d6OnVJRUrs","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0580330f-e0f8-4ca6-a991-bf2e5bbef3d8"}</t>
        </is>
      </c>
      <c r="N34" t="inlineStr">
        <is>
          <t>Lululemon Beige Sun-Proof Bucket Hat, lightweight water-repellent nylon, breathable and stylish with adjustable strap, ideal for outdoor activities or city commute, unisex casual design.</t>
        </is>
      </c>
      <c r="O34" t="inlineStr">
        <is>
          <t>{"id":"chatcmpl-DZoOmtxxbNmhBINgFR2wMfaPJ63XJ","object":"chat.completion","created":1777427584,"model":"gpt-5-chat-2025-10-03","choices":[{"index":0,"message":{"role":"assistant","content":"Lululemon,Hat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P34" t="inlineStr">
        <is>
          <t>Lululemon,Hats,kakobuy,kakebuy2026,kekobuysheet,kakobuysheet2026,2026kakobuy,kakobuyspreadsheeet,kakobuylink,kakebuylist,Kakobuy MEGA Spreadsheet,kakobuysheetfind,kakobuysheetfind2026,2026kakobuysheetfind,kakobuysheet2026</t>
        </is>
      </c>
      <c r="Q34" t="inlineStr">
        <is>
          <t>Beige, Nylon, Unisex, Outdoor, Sun Protection, Lightweight</t>
        </is>
      </c>
      <c r="R34" t="inlineStr">
        <is>
          <t>recvhju1CrPfVs</t>
        </is>
      </c>
      <c r="S34" t="inlineStr">
        <is>
          <t>lululemon-beige-waterproof-sun-bucket-hat-recvhju1crpfvs</t>
        </is>
      </c>
      <c r="T34"/>
      <c r="U34"/>
      <c r="V34"/>
      <c r="W34" t="inlineStr">
        <is>
          <t>{"id":"chatcmpl-DZntdl6uOpvzAXgEoX5qk4YKBUFZX","object":"chat.completion","created":1777425653,"model":"gpt-5-chat-2025-10-03","choices":[{"index":0,"message":{"role":"assistant","content":"Lululemon：米色防晒渔夫帽，轻盈防泼水尼龙材质，简约立体剪裁，配可调节绳带设计，透气舒适兼具时尚感，男女皆宜，户外休闲与城市通勤皆可轻松驾驭。","refusal":null,"annotations":[]},"logprobs":null,"finish_reason":"stop"}],"usage":{"prompt_tokens":1306,"completion_tokens":72,"total_tokens":1378,"prompt_tokens_details":{"cached_tokens":0,"audio_tokens":0},"completion_tokens_details":{"reasoning_tokens":0,"audio_tokens":0,"accepted_prediction_tokens":0,"rejected_prediction_tokens":0}},"service_tier":"default","system_fingerprint":"fp_ad66631dec"}</t>
        </is>
      </c>
      <c r="X34" t="inlineStr">
        <is>
          <t>Lululemon：米色防晒渔夫帽，轻盈防泼水尼龙材质，简约立体剪裁，配可调节绳带设计，透气舒适兼具时尚感，男女皆宜，户外休闲与城市通勤皆可轻松驾驭。</t>
        </is>
      </c>
    </row>
    <row r="35" ht="25.5" customHeight="1">
      <c r="A35">
        <v>1654975475</v>
      </c>
      <c r="B35">
        <v>7697427384</v>
      </c>
      <c r="C35" s="2" t="str">
        <f>=HYPERLINK("https://weidian.com/item.html?itemID=7697427384", "https://weidian.com/item.html?itemID=7697427384")</f>
        <v>https://weidian.com/item.html?itemID=7697427384</v>
      </c>
      <c r="D35"/>
      <c r="E35" s="2" t="str">
        <f>=HYPERLINK("https://si.geilicdn.com/open1654975475-252808396-74110000019c833b15f00a23b4de_790_1400.jpg?w=640&amp;h=640", "https://si.geilicdn.com/open1654975475-252808396-74110000019c833b15f00a23b4de_790_1400.jpg?w=640&amp;h=640")</f>
        <v>https://si.geilicdn.com/open1654975475-252808396-74110000019c833b15f00a23b4de_790_1400.jpg?w=640&amp;h=640</v>
      </c>
      <c r="F35" t="inlineStr">
        <is>
          <t>Toys</t>
        </is>
      </c>
      <c r="G35" t="inlineStr">
        <is>
          <t>Other</t>
        </is>
      </c>
      <c r="H35">
        <v>202</v>
      </c>
      <c r="I35">
        <v>29.2753623188405</v>
      </c>
      <c r="J35" t="inlineStr">
        <is>
          <t>{"id":"chatcmpl-DZoBkMc1AASngnd9N8QbrsJsEYILv","object":"chat.completion","created":1777426776,"model":"gpt-5-chat-2025-10-03","choices":[{"index":0,"message":{"role":"assistant","content":"ToysOther Silver AI Mechanical Shooting Robot Dog","refusal":null,"annotations":[]},"logprobs":null,"finish_reason":"stop"}],"usage":{"prompt_tokens":1155,"completion_tokens":10,"total_tokens":1165,"prompt_tokens_details":{"cached_tokens":0,"audio_tokens":0},"completion_tokens_details":{"reasoning_tokens":0,"audio_tokens":0,"accepted_prediction_tokens":0,"rejected_prediction_tokens":0}},"service_tier":"default","system_fingerprint":"fp_ad66631dec"}</t>
        </is>
      </c>
      <c r="K35" t="inlineStr">
        <is>
          <t>ToysOther Silver AI Mechanical Shooting Robot Dog</t>
        </is>
      </c>
      <c r="L35" t="inlineStr">
        <is>
          <t>{"id":"chatcmpl-DZo4hHxrqXt9DtfGFa47fvfq0WfuY","object":"chat.completion","created":1777426339,"model":"gpt-5-chat-2025-10-03","choices":[{"index":0,"message":{"role":"assistant","content":"ToysOtherAI Mechanical Dog Series Silver Smart Shooting Robot—high-strength plastic build with metallic finish, light-up visor, futuristic design for kids and adults to enjoy dynamic mech battles.","refusal":null,"annotations":[]},"logprobs":null,"finish_reason":"stop"}],"usage":{"prompt_tokens":1177,"completion_tokens":37,"total_tokens":1214,"prompt_tokens_details":{"cached_tokens":0,"audio_tokens":0},"completion_tokens_details":{"reasoning_tokens":0,"audio_tokens":0,"accepted_prediction_tokens":0,"rejected_prediction_tokens":0}},"service_tier":"default","system_fingerprint":"fp_ad66631dec"}</t>
        </is>
      </c>
      <c r="M35" t="inlineStr">
        <is>
          <t>{"alt-svc":"h3=\":443\"; ma=2592000","apim-request-id":"36bdb1ec-3663-4dd3-bd15-a4d718b01899","azureml-model-session":"d20260402075109-1fc5a0ec","cache-control":"no-cache","connection":"close","content-length":"1008","content-type":"application/json","date":"Wed, 29 Apr 2026 01:32:21 GMT","server":"nginx","skip-error-remapping":"true","strict-transport-security":"max-age=31536000; includeSubDomains; preload","via":"1.1 Caddy","x-content-type-options":"nosniff","x-ms-client-request-id":"Not-Set","x-ms-is-spilled-over":"false","x-ms-rai-invoked":"false","x-ms-region":"Sweden Central","x-new-api-version":"0.4.35","x-oneapi-request-id":"202604290132169532405328268d9d6nZXJDu0V","x-ratelimit-abusepenalty-active":"False","x-ratelimit-key":"gpt-5-chat-global","x-ratelimit-limit-requests":"1000","x-ratelimit-limit-tokens":"1000000","x-ratelimit-remaining-requests":"999","x-ratelimit-remaining-tokens":"998060","x-ratelimit-renewalperiod-requests":"60","x-ratelimit-renewalperiod-tokens":"60","x-ratelimit-reset-requests":"60","x-ratelimit-reset-tokens":"116","x-request-id":"2125b997-b70f-46c4-aee0-f4949bad8e5f"}</t>
        </is>
      </c>
      <c r="N35" t="inlineStr">
        <is>
          <t>ToysOtherAI Mechanical Dog Series Silver Smart Shooting Robot—high-strength plastic build with metallic finish, light-up visor, futuristic design for kids and adults to enjoy dynamic mech battles.</t>
        </is>
      </c>
      <c r="O35" t="inlineStr">
        <is>
          <t>{"id":"chatcmpl-DZoOshfjOsWzvexpxwM2ahqcXplgX","object":"chat.completion","created":1777427590,"model":"gpt-5-chat-2025-10-03","choices":[{"index":0,"message":{"role":"assistant","content":"Mechanical, AI Mechanical Dog, kakobuy, kakebuy2026, kekobuysheet, kakobuysheet2026, 2026kakobuy, kakobuyspreadsheeet, kakobuylink, kakebuylist, Kakobuy MEGA Spreadsheet, kakobuysheetfind, kakobuysheetfind2026, 2026kakobuysheetfind, kakobuysheet2026","refusal":null,"annotations":[]},"logprobs":null,"finish_reason":"stop"}],"usage":{"prompt_tokens":1062,"completion_tokens":92,"total_tokens":1154,"prompt_tokens_details":{"cached_tokens":0,"audio_tokens":0},"completion_tokens_details":{"reasoning_tokens":0,"audio_tokens":0,"accepted_prediction_tokens":0,"rejected_prediction_tokens":0}},"service_tier":"default","system_fingerprint":"fp_ad66631dec"}</t>
        </is>
      </c>
      <c r="P35" t="inlineStr">
        <is>
          <t>Mechanical, AI Mechanical Dog, kakobuy, kakebuy2026, kekobuysheet, kakobuysheet2026, 2026kakobuy, kakobuyspreadsheeet, kakobuylink, kakebuylist, Kakobuy MEGA Spreadsheet, kakobuysheetfind, kakobuysheetfind2026, 2026kakobuysheetfind, kakobuysheet2026</t>
        </is>
      </c>
      <c r="Q35"/>
      <c r="R35" t="inlineStr">
        <is>
          <t>recvhju1CrEePH</t>
        </is>
      </c>
      <c r="S35" t="inlineStr">
        <is>
          <t>toysother-silver-ai-mechanical-shooting-robot-dog-recvhju1creeeph</t>
        </is>
      </c>
      <c r="T35"/>
      <c r="U35"/>
      <c r="V35"/>
      <c r="W35" t="inlineStr">
        <is>
          <t>{"id":"chatcmpl-DZnzJvKZdqYTM1dD2tRVFa6wGNdcL","object":"chat.completion","created":1777426005,"model":"gpt-5-chat-2025-10-03","choices":[{"index":0,"message":{"role":"assistant","content":"AI机械狗系列银灰色智能射击机器人，采用高强度塑料与金属质感设计，搭载发射装置与发光面罩，展现未来科技风格，适合儿童与成年玩家互动娱乐，畅享机甲战斗体验。","refusal":null,"annotations":[]},"logprobs":null,"finish_reason":"stop"}],"usage":{"prompt_tokens":1582,"completion_tokens":62,"total_tokens":1644,"prompt_tokens_details":{"cached_tokens":1536,"audio_tokens":0},"completion_tokens_details":{"reasoning_tokens":0,"audio_tokens":0,"accepted_prediction_tokens":0,"rejected_prediction_tokens":0}},"service_tier":"default","system_fingerprint":"fp_ad66631dec"}</t>
        </is>
      </c>
      <c r="X35" t="inlineStr">
        <is>
          <t>AI机械狗系列银灰色智能射击机器人，采用高强度塑料与金属质感设计，搭载发射装置与发光面罩，展现未来科技风格，适合儿童与成年玩家互动娱乐，畅享机甲战斗体验。</t>
        </is>
      </c>
    </row>
    <row r="36" ht="25.5" customHeight="1">
      <c r="A36">
        <v>1654975475</v>
      </c>
      <c r="B36">
        <v>7697398766</v>
      </c>
      <c r="C36" s="2" t="str">
        <f>=HYPERLINK("https://weidian.com/item.html?itemID=7697398766", "https://weidian.com/item.html?itemID=7697398766")</f>
        <v>https://weidian.com/item.html?itemID=7697398766</v>
      </c>
      <c r="D36"/>
      <c r="E36" s="2" t="str">
        <f>=HYPERLINK("https://si.geilicdn.com/open1654975475-252808396-03d10000019c7f1caf780aa08676_800_800.jpg?w=640&amp;h=640", "https://si.geilicdn.com/open1654975475-252808396-03d10000019c7f1caf780aa08676_800_800.jpg?w=640&amp;h=640")</f>
        <v>https://si.geilicdn.com/open1654975475-252808396-03d10000019c7f1caf780aa08676_800_800.jpg?w=640&amp;h=640</v>
      </c>
      <c r="F36" t="inlineStr">
        <is>
          <t>Accessories</t>
        </is>
      </c>
      <c r="G36" t="inlineStr">
        <is>
          <t>Other</t>
        </is>
      </c>
      <c r="H36">
        <v>40</v>
      </c>
      <c r="I36">
        <v>5.79710144927536</v>
      </c>
      <c r="J36" t="inlineStr">
        <is>
          <t>{"id":"chatcmpl-DZoHQeOA45WEXF57tYDtusn081at7","object":"chat.completion","created":1777427128,"model":"gpt-5-chat-2025-10-03","choices":[{"index":0,"message":{"role":"assistant","content":"AccessoriesOther Red Musk Vermilion Herbal Bead Bracelet Unisex","refusal":null,"annotations":[]},"logprobs":null,"finish_reason":"stop"}],"usage":{"prompt_tokens":884,"completion_tokens":14,"total_tokens":898,"prompt_tokens_details":{"cached_tokens":0,"audio_tokens":0},"completion_tokens_details":{"reasoning_tokens":0,"audio_tokens":0,"accepted_prediction_tokens":0,"rejected_prediction_tokens":0}},"service_tier":"default","system_fingerprint":"fp_ad66631dec"}</t>
        </is>
      </c>
      <c r="K36" t="inlineStr">
        <is>
          <t>AccessoriesOther Red Musk Vermilion Herbal Bead Bracelet Unisex</t>
        </is>
      </c>
      <c r="L36" t="inlineStr">
        <is>
          <t>{"id":"chatcmpl-DZo2ODXNmYLWg4TJMVvst01gH2iRB","object":"chat.completion","created":1777426196,"model":"gpt-5-chat-2025-10-03","choices":[{"index":0,"message":{"role":"assistant","content":"AccessoriesOther Red Musk Series Vermilion Herbal Bead Bracelet, infused with ginseng, rose, sandalwood; smooth round beads exude elegant scent, soothing spirit and bringing peace for men and women.","refusal":null,"annotations":[]},"logprobs":null,"finish_reason":"stop"}],"usage":{"prompt_tokens":904,"completion_tokens":42,"total_tokens":946,"prompt_tokens_details":{"cached_tokens":0,"audio_tokens":0},"completion_tokens_details":{"reasoning_tokens":0,"audio_tokens":0,"accepted_prediction_tokens":0,"rejected_prediction_tokens":0}},"service_tier":"default","system_fingerprint":"fp_ad66631dec"}</t>
        </is>
      </c>
      <c r="M36" t="inlineStr">
        <is>
          <t>{"alt-svc":"h3=\":443\"; ma=2592000","apim-request-id":"435f189b-e9c9-4298-a5d7-112cb9761352","azureml-model-session":"d20260405225800-40f19e54","cache-control":"no-cache","connection":"close","content-length":"1006","content-type":"application/json","date":"Wed, 29 Apr 2026 01:29:58 GMT","server":"nginx","skip-error-remapping":"true","strict-transport-security":"max-age=31536000; includeSubDomains; preload","via":"1.1 Caddy","x-content-type-options":"nosniff","x-ms-client-request-id":"Not-Set","x-ms-is-spilled-over":"false","x-ms-rai-invoked":"false","x-ms-region":"East US","x-new-api-version":"0.4.35","x-oneapi-request-id":"202604290129559815743288268d9d6xDZUMHn2","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d88bcf02-51bc-40bf-a9d9-3d82bfbbc2c1"}</t>
        </is>
      </c>
      <c r="N36" t="inlineStr">
        <is>
          <t>AccessoriesOther Red Musk Series Vermilion Herbal Bead Bracelet, infused with ginseng, rose, sandalwood; smooth round beads exude elegant scent, soothing spirit and bringing peace for men and women.</t>
        </is>
      </c>
      <c r="O36" t="inlineStr">
        <is>
          <t>{"id":"chatcmpl-DZoOa87tZPxsTIBmn3w8Z76FKgQPc","object":"chat.completion","created":1777427572,"model":"gpt-5-chat-2025-10-03","choices":[{"index":0,"message":{"role":"assistant","content":"Honglixiang,AccessoriesOth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ad66631dec"}</t>
        </is>
      </c>
      <c r="P36" t="inlineStr">
        <is>
          <t>Honglixiang,AccessoriesOther,kakobuy,kakebuy2026,kekobuysheet,kakobuysheet2026,2026kakobuy,kakobuyspreadsheeet,kakobuylink,kakebuylist,Kakobuy MEGA Spreadsheet,kakobuysheetfind,kakobuysheetfind2026,2026kakobuysheetfind,kakobuysheet2026</t>
        </is>
      </c>
      <c r="Q36" t="inlineStr">
        <is>
          <t>Red, Men's And Women's, Elegant</t>
        </is>
      </c>
      <c r="R36" t="inlineStr">
        <is>
          <t>recvhju1Crxnfb</t>
        </is>
      </c>
      <c r="S36" t="inlineStr">
        <is>
          <t>accessoriesother-red-musk-vermilion-herbal-bead-bracelet-unisex-recvhju1crxnfb</t>
        </is>
      </c>
      <c r="T36"/>
      <c r="U36"/>
      <c r="V36"/>
      <c r="W36" t="inlineStr">
        <is>
          <t>{"id":"chatcmpl-DZnuZBmF07lEF9X0eXF9mz66Yx9MN","object":"chat.completion","created":1777425711,"model":"gpt-5-chat-2025-10-03","choices":[{"index":0,"message":{"role":"assistant","content":"红麝香系列朱砂色药香佛珠手链，融合人参、玫瑰、檀香天然成分，颗颗圆润细腻，散发优雅药香气息，男女皆宜，古典静谧风格，寓意安神养心和平安护身。","refusal":null,"annotations":[]},"logprobs":null,"finish_reason":"stop"}],"usage":{"prompt_tokens":1297,"completion_tokens":72,"total_tokens":1369,"prompt_tokens_details":{"cached_tokens":0,"audio_tokens":0},"completion_tokens_details":{"reasoning_tokens":0,"audio_tokens":0,"accepted_prediction_tokens":0,"rejected_prediction_tokens":0}},"service_tier":"default","system_fingerprint":"fp_ad66631dec"}</t>
        </is>
      </c>
      <c r="X36" t="inlineStr">
        <is>
          <t>红麝香系列朱砂色药香佛珠手链，融合人参、玫瑰、檀香天然成分，颗颗圆润细腻，散发优雅药香气息，男女皆宜，古典静谧风格，寓意安神养心和平安护身。</t>
        </is>
      </c>
    </row>
    <row r="37" ht="25.5" customHeight="1">
      <c r="A37">
        <v>1654975475</v>
      </c>
      <c r="B37">
        <v>7697485646</v>
      </c>
      <c r="C37" s="2" t="str">
        <f>=HYPERLINK("https://weidian.com/item.html?itemID=7697485646", "https://weidian.com/item.html?itemID=7697485646")</f>
        <v>https://weidian.com/item.html?itemID=7697485646</v>
      </c>
      <c r="D37"/>
      <c r="E37" s="2" t="str">
        <f>=HYPERLINK("https://si.geilicdn.com/open1654975475-252808396-0ed60000019c7f1c1e950a23b491_1024_1024.jpg?w=750&amp;h=750&amp;cp=1", "https://si.geilicdn.com/open1654975475-252808396-0ed60000019c7f1c1e950a23b491_1024_1024.jpg?w=750&amp;h=750&amp;cp=1")</f>
        <v>https://si.geilicdn.com/open1654975475-252808396-0ed60000019c7f1c1e950a23b491_1024_1024.jpg?w=750&amp;h=750&amp;cp=1</v>
      </c>
      <c r="F37" t="inlineStr">
        <is>
          <t>Accessories</t>
        </is>
      </c>
      <c r="G37" t="inlineStr">
        <is>
          <t>Other</t>
        </is>
      </c>
      <c r="H37">
        <v>93</v>
      </c>
      <c r="I37">
        <v>13.48</v>
      </c>
      <c r="J37" t="inlineStr">
        <is>
          <t>{"id":"chatcmpl-DZoGzLNHv1C66cn8VfZYPQ748UarQ","object":"chat.completion","created":1777427101,"model":"gpt-5-chat-2025-10-03","choices":[{"index":0,"message":{"role":"assistant","content":"Huaxin Madam Red Sandalwood Gold Bead Bracelet","refusal":null,"annotations":[]},"logprobs":null,"finish_reason":"stop"}],"usage":{"prompt_tokens":888,"completion_tokens":13,"total_tokens":901,"prompt_tokens_details":{"cached_tokens":0,"audio_tokens":0},"completion_tokens_details":{"reasoning_tokens":0,"audio_tokens":0,"accepted_prediction_tokens":0,"rejected_prediction_tokens":0}},"service_tier":"default","system_fingerprint":"fp_fd471178c5"}</t>
        </is>
      </c>
      <c r="K37" t="inlineStr">
        <is>
          <t>Huaxin Madam Red Sandalwood Gold Bead Bracelet</t>
        </is>
      </c>
      <c r="L37" t="inlineStr">
        <is>
          <t>{"id":"chatcmpl-DZo6TXmMmEzmWg5BZtv4ybGgp0GtI","object":"chat.completion","created":1777426449,"model":"gpt-5-chat-2025-10-03","choices":[{"index":0,"message":{"role":"assistant","content":"Huaxin Madam Red Prosperity Beads Bracelet features natural red sandalwood and gold-plated charms, hand-polished for smooth shine. Vintage Zen style brings peace, wealth, and luck for men and women.","refusal":null,"annotations":[]},"logprobs":null,"finish_reason":"stop"}],"usage":{"prompt_tokens":913,"completion_tokens":44,"total_tokens":957,"prompt_tokens_details":{"cached_tokens":0,"audio_tokens":0},"completion_tokens_details":{"reasoning_tokens":0,"audio_tokens":0,"accepted_prediction_tokens":0,"rejected_prediction_tokens":0}},"service_tier":"default","system_fingerprint":"fp_ad66631dec"}</t>
        </is>
      </c>
      <c r="M37" t="inlineStr">
        <is>
          <t>{"alt-svc":"h3=\":443\"; ma=2592000","apim-request-id":"d51cbee0-6a50-4c27-98a7-64a708a2b04c","azureml-model-session":"d20260402084046-4209e968","cache-control":"no-cache","connection":"close","content-length":"1006","content-type":"application/json","date":"Wed, 29 Apr 2026 01:34:11 GMT","server":"Caddy","skip-error-remapping":"true","strict-transport-security":"max-age=31536000; includeSubDomains; preload","x-content-type-options":"nosniff","x-ms-client-request-id":"Not-Set","x-ms-is-spilled-over":"false","x-ms-rai-invoked":"false","x-ms-region":"North Central US","x-new-api-version":"0.4.35","x-oneapi-request-id":"202604290134087848867918268d9d6PmVp396y","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eb56e2a8-52a8-4a8e-af66-fc09fd5e2c10"}</t>
        </is>
      </c>
      <c r="N37" t="inlineStr">
        <is>
          <t>Huaxin Madam Red Prosperity Beads Bracelet features natural red sandalwood and gold-plated charms, hand-polished for smooth shine. Vintage Zen style brings peace, wealth, and luck for men and women.</t>
        </is>
      </c>
      <c r="O37" t="inlineStr">
        <is>
          <t>{"id":"chatcmpl-DZoS2cJt7f1Ac4c4aoDU2Qnm1R8jw","object":"chat.completion","created":1777427786,"model":"gpt-5-chat-2025-10-03","choices":[{"index":0,"message":{"role":"assistant","content":"Huaxin Furen,Accessories,kakobuy,kakebuy2026,kekobuysheet,kakobuysheet2026,2026kakobuy,kakobuyspreadsheeet,kakobuylink,kakebuylist,Kakobuy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fd471178c5"}</t>
        </is>
      </c>
      <c r="P37" t="inlineStr">
        <is>
          <t>Huaxin Furen,Accessories,kakobuy,kakebuy2026,kekobuysheet,kakobuysheet2026,2026kakobuy,kakobuyspreadsheeet,kakobuylink,kakebuylist,Kakobuy MEGA Spreadsheet,kakobuysheetfind,kakobuysheetfind2026,2026kakobuysheetfind,kakobuysheet2026</t>
        </is>
      </c>
      <c r="Q37"/>
      <c r="R37" t="inlineStr">
        <is>
          <t>recvhju1Cr5pDQ</t>
        </is>
      </c>
      <c r="S37" t="inlineStr">
        <is>
          <t>huaxin-madam-red-sandalwood-gold-bead-bracelet-recvhju1cr5pdq</t>
        </is>
      </c>
      <c r="T37"/>
      <c r="U37"/>
      <c r="V37"/>
      <c r="W37" t="inlineStr">
        <is>
          <t>{"id":"chatcmpl-DZnxpWEigQHO7Lpa7xFNxahUTQZjj","object":"chat.completion","created":1777425913,"model":"gpt-5-chat-2025-10-03","choices":[{"index":0,"message":{"role":"assistant","content":"花芯夫人系列红色招财佛珠手链，甄选天然红檀木与镀金饰件，手工打磨圆润光泽，寓意平安富贵。复古禅意风格设计，男女皆宜，可作日常护身或时尚配饰之选。","refusal":null,"annotations":[]},"logprobs":null,"finish_reason":"stop"}],"usage":{"prompt_tokens":1315,"completion_tokens":73,"total_tokens":1388,"prompt_tokens_details":{"cached_tokens":0,"audio_tokens":0},"completion_tokens_details":{"reasoning_tokens":0,"audio_tokens":0,"accepted_prediction_tokens":0,"rejected_prediction_tokens":0}},"service_tier":"default","system_fingerprint":"fp_ad66631dec"}</t>
        </is>
      </c>
      <c r="X37" t="inlineStr">
        <is>
          <t>花芯夫人系列红色招财佛珠手链，甄选天然红檀木与镀金饰件，手工打磨圆润光泽，寓意平安富贵。复古禅意风格设计，男女皆宜，可作日常护身或时尚配饰之选。</t>
        </is>
      </c>
    </row>
    <row r="38" ht="25.5" customHeight="1">
      <c r="A38">
        <v>1654975475</v>
      </c>
      <c r="B38">
        <v>7694495651</v>
      </c>
      <c r="C38" s="2" t="str">
        <f>=HYPERLINK("https://weidian.com/item.html?itemID=7694495651", "https://weidian.com/item.html?itemID=7694495651")</f>
        <v>https://weidian.com/item.html?itemID=7694495651</v>
      </c>
      <c r="D38"/>
      <c r="E38" s="2" t="str">
        <f>=HYPERLINK("https://si.geilicdn.com/open1654975475-252808396-772e0000019c7f15fd530a8115c2_800_800.jpg?w=750&amp;h=750&amp;cp=1", "https://si.geilicdn.com/open1654975475-252808396-772e0000019c7f15fd530a8115c2_800_800.jpg?w=750&amp;h=750&amp;cp=1")</f>
        <v>https://si.geilicdn.com/open1654975475-252808396-772e0000019c7f15fd530a8115c2_800_800.jpg?w=750&amp;h=750&amp;cp=1</v>
      </c>
      <c r="F38" t="inlineStr">
        <is>
          <t>Accessories</t>
        </is>
      </c>
      <c r="G38" t="inlineStr">
        <is>
          <t>Other</t>
        </is>
      </c>
      <c r="H38">
        <v>113</v>
      </c>
      <c r="I38">
        <v>16.38</v>
      </c>
      <c r="J38" t="inlineStr">
        <is>
          <t>{"id":"chatcmpl-DZoDeOfAMfUZjXr2ttIRJKt113oBd","object":"chat.completion","created":1777426894,"model":"gpt-5-chat-2025-10-03","choices":[{"index":0,"message":{"role":"assistant","content":"Yajing Black Agarwood Jade Gold Bead Zen Bracelet","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38" t="inlineStr">
        <is>
          <t>Yajing Black Agarwood Jade Gold Bead Zen Bracelet</t>
        </is>
      </c>
      <c r="L38" t="inlineStr">
        <is>
          <t>{"id":"chatcmpl-DZo53pgh6I9CLYeaDdyfG0SqvdN5H","object":"chat.completion","created":1777426361,"model":"gpt-5-chat-2025-10-03","choices":[{"index":0,"message":{"role":"assistant","content":"Yajing Series Black Agarwood Bracelet with Natural Jade Beads and Gold Spacers, finely hand-polished, minimalist Zen design for daily wear or meditation, elegant unisex style.","refusal":null,"annotations":[]},"logprobs":null,"finish_reason":"stop"}],"usage":{"prompt_tokens":916,"completion_tokens":39,"total_tokens":955,"prompt_tokens_details":{"cached_tokens":0,"audio_tokens":0},"completion_tokens_details":{"reasoning_tokens":0,"audio_tokens":0,"accepted_prediction_tokens":0,"rejected_prediction_tokens":0}},"service_tier":"default","system_fingerprint":"fp_ad66631dec"}</t>
        </is>
      </c>
      <c r="M38" t="inlineStr">
        <is>
          <t>{"alt-svc":"h3=\":443\"; ma=2592000","apim-request-id":"f2b57b91-4442-4468-b6e7-1ac484145a47","azureml-model-session":"d20260405225800-40f19e54","cache-control":"no-cache","connection":"close","content-length":"983","content-type":"application/json","date":"Wed, 29 Apr 2026 01:32:42 GMT","server":"Caddy","skip-error-remapping":"true","strict-transport-security":"max-age=31536000; includeSubDomains; preload","x-content-type-options":"nosniff","x-ms-client-request-id":"Not-Set","x-ms-is-spilled-over":"false","x-ms-rai-invoked":"false","x-ms-region":"East US 2","x-new-api-version":"0.4.35","x-oneapi-request-id":"202604290132405109006818268d9d6cwactO2C","x-ratelimit-abusepenalty-active":"False","x-ratelimit-key":"gpt-5-chat-global","x-ratelimit-limit-requests":"1000","x-ratelimit-limit-tokens":"1000000","x-ratelimit-remaining-requests":"999","x-ratelimit-remaining-tokens":"998322","x-ratelimit-renewalperiod-requests":"60","x-ratelimit-renewalperiod-tokens":"60","x-ratelimit-reset-requests":"74","x-ratelimit-reset-tokens":"100","x-request-id":"af650ae2-7c01-4494-ae9d-3f8eae92fa5e"}</t>
        </is>
      </c>
      <c r="N38" t="inlineStr">
        <is>
          <t>Yajing Series Black Agarwood Bracelet with Natural Jade Beads and Gold Spacers, finely hand-polished, minimalist Zen design for daily wear or meditation, elegant unisex style.</t>
        </is>
      </c>
      <c r="O38" t="inlineStr">
        <is>
          <t>{"id":"chatcmpl-DZoRoQPo4LeHYnPPPsX5dErs4muvU","object":"chat.completion","created":1777427772,"model":"gpt-5-chat-2025-10-03","choices":[{"index":0,"message":{"role":"assistant","content":"Yajing,Bracele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89,"total_tokens":870,"prompt_tokens_details":{"cached_tokens":0,"audio_tokens":0},"completion_tokens_details":{"reasoning_tokens":0,"audio_tokens":0,"accepted_prediction_tokens":0,"rejected_prediction_tokens":0}},"service_tier":"default","system_fingerprint":"fp_ad66631dec"}</t>
        </is>
      </c>
      <c r="P38" t="inlineStr">
        <is>
          <t>Yajing,Bracelet,kakobuy,kakebuy2026,kekobuysheet,kakobuysheet2026,2026kakobuy,kakobuyspreadsheeet,kakobuylink,kakebuylist,Kakobuy MEGA Spreadsheet,kakobuysheetfind,kakobuysheetfind2026,2026kakobuysheetfind,kakobuysheet2026</t>
        </is>
      </c>
      <c r="Q38"/>
      <c r="R38" t="inlineStr">
        <is>
          <t>recvhju1CrXZtt</t>
        </is>
      </c>
      <c r="S38" t="inlineStr">
        <is>
          <t>yajing-black-agarwood-jade-gold-bead-zen-bracelet-recvhju1crxztt</t>
        </is>
      </c>
      <c r="T38"/>
      <c r="U38"/>
      <c r="V38"/>
      <c r="W38" t="inlineStr">
        <is>
          <t>{"id":"chatcmpl-DZntwKxxvA9wqZMMRBYTpHZfMEmyN","object":"chat.completion","created":1777425672,"model":"gpt-5-chat-2025-10-03","choices":[{"index":0,"message":{"role":"assistant","content":"雅静系列黑色沉香木珠手链，点缀天然碧玉珠与金色隔片，手工打磨细腻圆润，彰显东方禅意美学。简约复古设计，男女皆宜，可日常佩戴亦可静心冥想使用，展现高雅平和气质。","refusal":null,"annotations":[]},"logprobs":null,"finish_reason":"stop"}],"usage":{"prompt_tokens":1309,"completion_tokens":78,"total_tokens":1387,"prompt_tokens_details":{"cached_tokens":0,"audio_tokens":0},"completion_tokens_details":{"reasoning_tokens":0,"audio_tokens":0,"accepted_prediction_tokens":0,"rejected_prediction_tokens":0}},"service_tier":"default","system_fingerprint":"fp_ad66631dec"}</t>
        </is>
      </c>
      <c r="X38" t="inlineStr">
        <is>
          <t>雅静系列黑色沉香木珠手链，点缀天然碧玉珠与金色隔片，手工打磨细腻圆润，彰显东方禅意美学。简约复古设计，男女皆宜，可日常佩戴亦可静心冥想使用，展现高雅平和气质。</t>
        </is>
      </c>
    </row>
    <row r="39" ht="25.5" customHeight="1">
      <c r="A39">
        <v>1654975475</v>
      </c>
      <c r="B39">
        <v>7622669027</v>
      </c>
      <c r="C39" s="2" t="str">
        <f>=HYPERLINK("https://weidian.com/item.html?itemID=7622669027", "https://weidian.com/item.html?itemID=7622669027")</f>
        <v>https://weidian.com/item.html?itemID=7622669027</v>
      </c>
      <c r="D39"/>
      <c r="E39" s="2" t="str">
        <f>=HYPERLINK("https://si.geilicdn.com/pcitem2014204438-671e0000019adcf1da8c0a23047e_1536_2048.jpg?w=640&amp;h=640", "https://si.geilicdn.com/pcitem2014204438-671e0000019adcf1da8c0a23047e_1536_2048.jpg?w=640&amp;h=640")</f>
        <v>https://si.geilicdn.com/pcitem2014204438-671e0000019adcf1da8c0a23047e_1536_2048.jpg?w=640&amp;h=640</v>
      </c>
      <c r="F39" t="inlineStr">
        <is>
          <t>Glasses</t>
        </is>
      </c>
      <c r="G39" t="inlineStr">
        <is>
          <t>Miu Miu</t>
        </is>
      </c>
      <c r="H39">
        <v>320</v>
      </c>
      <c r="I39">
        <v>46.38</v>
      </c>
      <c r="J39" t="inlineStr">
        <is>
          <t>{"id":"chatcmpl-DZoCxEI2YTTVQnEr2CXYrN7H5aP2X","object":"chat.completion","created":1777426851,"model":"gpt-5-chat-2025-10-03","choices":[{"index":0,"message":{"role":"assistant","content":"Miu Miu Black Rectangular Acetate Retro Sunglasses","refusal":null,"annotations":[]},"logprobs":null,"finish_reason":"stop"}],"usage":{"prompt_tokens":872,"completion_tokens":14,"total_tokens":886,"prompt_tokens_details":{"cached_tokens":0,"audio_tokens":0},"completion_tokens_details":{"reasoning_tokens":0,"audio_tokens":0,"accepted_prediction_tokens":0,"rejected_prediction_tokens":0}},"service_tier":"default","system_fingerprint":"fp_ad66631dec"}</t>
        </is>
      </c>
      <c r="K39" t="inlineStr">
        <is>
          <t>Miu Miu Black Rectangular Acetate Retro Sunglasses</t>
        </is>
      </c>
      <c r="L39" t="inlineStr">
        <is>
          <t>{"id":"chatcmpl-DZo4nuqyudcsEK3z3sxcK2f3zhJyT","object":"chat.completion","created":1777426345,"model":"gpt-5-chat-2025-10-03","choices":[{"index":0,"message":{"role":"assistant","content":"Miu Miu Black Rectangular Sunglasses feature acetate frames with metal accents, tinted protective lenses, and a minimalist Italian retro style for chic urban men and women.","refusal":null,"annotations":[]},"logprobs":null,"finish_reason":"stop"}],"usage":{"prompt_tokens":905,"completion_tokens":34,"total_tokens":939,"prompt_tokens_details":{"cached_tokens":0,"audio_tokens":0},"completion_tokens_details":{"reasoning_tokens":0,"audio_tokens":0,"accepted_prediction_tokens":0,"rejected_prediction_tokens":0}},"service_tier":"default","system_fingerprint":"fp_ad66631dec"}</t>
        </is>
      </c>
      <c r="M39" t="inlineStr">
        <is>
          <t>{"alt-svc":"h3=\":443\"; ma=2592000","apim-request-id":"6b82a269-e5f4-4c16-84ca-8a1cd4ed3384","azureml-model-session":"d20260402084046-4209e968","cache-control":"no-cache","connection":"close","content-length":"980","content-type":"application/json","date":"Wed, 29 Apr 2026 01:32:27 GMT","server":"nginx","skip-error-remapping":"true","strict-transport-security":"max-age=31536000; includeSubDomains; preload","via":"1.1 Caddy","x-content-type-options":"nosniff","x-ms-client-request-id":"Not-Set","x-ms-is-spilled-over":"false","x-ms-rai-invoked":"false","x-ms-region":"North Central US","x-new-api-version":"0.4.35","x-oneapi-request-id":"20260429013224532580348268d9d6CV1xeBaI","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60a6e343-7ae0-491f-8839-95699a1a1f78"}</t>
        </is>
      </c>
      <c r="N39" t="inlineStr">
        <is>
          <t>Miu Miu Black Rectangular Sunglasses feature acetate frames with metal accents, tinted protective lenses, and a minimalist Italian retro style for chic urban men and women.</t>
        </is>
      </c>
      <c r="O39" t="inlineStr">
        <is>
          <t>{"id":"chatcmpl-DZoQUeO9llVOBajOrEVapwae2ztqq","object":"chat.completion","created":1777427690,"model":"gpt-5-chat-2025-10-03","choices":[{"index":0,"message":{"role":"assistant","content":"Miu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fd471178c5"}</t>
        </is>
      </c>
      <c r="P39" t="inlineStr">
        <is>
          <t>Miu Miu,Glasses,kakobuy,kakebuy2026,kekobuysheet,kakobuysheet2026,2026kakobuy,kakobuyspreadsheeet,kakobuylink,kakebuylist,Kakobuy MEGA Spreadsheet,kakobuysheetfind,kakobuysheetfind2026,2026kakobuysheetfind,kakobuysheet2026</t>
        </is>
      </c>
      <c r="Q39" t="inlineStr">
        <is>
          <t>Black, Acetate Fiber, Minimalist, Retro, Unisex</t>
        </is>
      </c>
      <c r="R39" t="inlineStr">
        <is>
          <t>recvhju1CrSEEo</t>
        </is>
      </c>
      <c r="S39" t="inlineStr">
        <is>
          <t>miu-miu-black-rectangular-acetate-retro-sunglasses-recvhju1crseeo</t>
        </is>
      </c>
      <c r="T39"/>
      <c r="U39"/>
      <c r="V39"/>
      <c r="W39" t="inlineStr">
        <is>
          <t>{"id":"chatcmpl-DZnsKx8HfCDqNWugaBEdUJRCTJJPz","object":"chat.completion","created":1777425572,"model":"gpt-5-chat-2025-10-03","choices":[{"index":0,"message":{"role":"assistant","content":"Miu Miu：黑色矩形太阳眼镜，采用醋酸纤维镜框与金属装饰，呈现现代极简设计，搭配高防护染色镜片，彰显意式复古女性魅力，适合时尚都市男女日常佩戴。","refusal":null,"annotations":[]},"logprobs":null,"finish_reason":"stop"}],"usage":{"prompt_tokens":1308,"completion_tokens":67,"total_tokens":1375,"prompt_tokens_details":{"cached_tokens":0,"audio_tokens":0},"completion_tokens_details":{"reasoning_tokens":0,"audio_tokens":0,"accepted_prediction_tokens":0,"rejected_prediction_tokens":0}},"service_tier":"default","system_fingerprint":"fp_fd471178c5"}</t>
        </is>
      </c>
      <c r="X39" t="inlineStr">
        <is>
          <t>Miu Miu：黑色矩形太阳眼镜，采用醋酸纤维镜框与金属装饰，呈现现代极简设计，搭配高防护染色镜片，彰显意式复古女性魅力，适合时尚都市男女日常佩戴。</t>
        </is>
      </c>
    </row>
    <row r="40" ht="25.5" customHeight="1">
      <c r="A40">
        <v>1654975475</v>
      </c>
      <c r="B40">
        <v>7622717909</v>
      </c>
      <c r="C40" s="2" t="str">
        <f>=HYPERLINK("https://weidian.com/item.html?itemID=7622717909", "https://weidian.com/item.html?itemID=7622717909")</f>
        <v>https://weidian.com/item.html?itemID=7622717909</v>
      </c>
      <c r="D40"/>
      <c r="E40" s="2" t="str">
        <f>=HYPERLINK("https://si.geilicdn.com/pcitem2014204438-5ab70000019adce9b7d90a239846_1442_1922.jpg?w=640&amp;h=640", "https://si.geilicdn.com/pcitem2014204438-5ab70000019adce9b7d90a239846_1442_1922.jpg?w=640&amp;h=640")</f>
        <v>https://si.geilicdn.com/pcitem2014204438-5ab70000019adce9b7d90a239846_1442_1922.jpg?w=640&amp;h=640</v>
      </c>
      <c r="F40" t="inlineStr">
        <is>
          <t>Glasses</t>
        </is>
      </c>
      <c r="G40" t="inlineStr">
        <is>
          <t>Miu Miu</t>
        </is>
      </c>
      <c r="H40">
        <v>340</v>
      </c>
      <c r="I40">
        <v>49.2898550724637</v>
      </c>
      <c r="J40" t="inlineStr">
        <is>
          <t>{"id":"chatcmpl-DZoEC9So4Fleh7KTixjkdda6TUrpB","object":"chat.completion","created":1777426928,"model":"gpt-5-chat-2025-10-03","choices":[{"index":0,"message":{"role":"assistant","content":"Miu Miu Classic Leopard Brown Acetate Sunglasses","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fd471178c5"}</t>
        </is>
      </c>
      <c r="K40" t="inlineStr">
        <is>
          <t>Miu Miu Classic Leopard Brown Acetate Sunglasses</t>
        </is>
      </c>
      <c r="L40" t="inlineStr">
        <is>
          <t>{"id":"chatcmpl-DZo6TuJcwZVQC325vNjnAKIjFawKh","object":"chat.completion","created":1777426449,"model":"gpt-5-chat-2025-10-03","choices":[{"index":0,"message":{"role":"assistant","content":"Miu Miu Classic Leopard Brown Sunglasses – lightweight acetate frame, retro curved design, Italian chic meets modern elegance, perfect for daily wear and vacations.","refusal":null,"annotations":[]},"logprobs":null,"finish_reason":"stop"}],"usage":{"prompt_tokens":904,"completion_tokens":32,"total_tokens":936,"prompt_tokens_details":{"cached_tokens":0,"audio_tokens":0},"completion_tokens_details":{"reasoning_tokens":0,"audio_tokens":0,"accepted_prediction_tokens":0,"rejected_prediction_tokens":0}},"service_tier":"default","system_fingerprint":"fp_ad66631dec"}</t>
        </is>
      </c>
      <c r="M40" t="inlineStr">
        <is>
          <t>{"alt-svc":"h3=\":443\"; ma=2592000","apim-request-id":"be86b514-0651-4508-b411-e152f4cc2898","azureml-model-session":"d20260405225800-40f19e54","cache-control":"no-cache","connection":"close","content-length":"974","content-type":"application/json","date":"Wed, 29 Apr 2026 01:34:10 GMT","server":"nginx","skip-error-remapping":"true","strict-transport-security":"max-age=31536000; includeSubDomains; preload","via":"1.1 Caddy","x-content-type-options":"nosniff","x-ms-client-request-id":"Not-Set","x-ms-is-spilled-over":"false","x-ms-rai-invoked":"false","x-ms-region":"Poland Central","x-new-api-version":"0.4.35","x-oneapi-request-id":"20260429013407174276628268d9d65OX3Aa2s","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e9f7d0a3-6256-4a89-bd5f-212ad23d50b9"}</t>
        </is>
      </c>
      <c r="N40" t="inlineStr">
        <is>
          <t>Miu Miu Classic Leopard Brown Sunglasses – lightweight acetate frame, retro curved design, Italian chic meets modern elegance, perfect for daily wear and vacations.</t>
        </is>
      </c>
      <c r="O40" t="inlineStr">
        <is>
          <t>{"id":"chatcmpl-DZoOP1YS0V2Z5t5UKc5HvKRMcPcRl","object":"chat.completion","created":1777427561,"model":"gpt-5-chat-2025-10-03","choices":[{"index":0,"message":{"role":"assistant","content":"Miu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40" t="inlineStr">
        <is>
          <t>Miu Miu,Glasses,kakobuy,kakebuy2026,kekobuysheet,kakobuysheet2026,2026kakobuy,kakobuyspreadsheeet,kakobuylink,kakebuylist,Kakobuy MEGA Spreadsheet,kakobuysheetfind,kakobuysheetfind2026,2026kakobuysheetfind,kakobuysheet2026</t>
        </is>
      </c>
      <c r="Q40" t="inlineStr">
        <is>
          <t>Retro, Lightweight, Acetate Fiber, Elegant, Classic</t>
        </is>
      </c>
      <c r="R40" t="inlineStr">
        <is>
          <t>recvhju1CranRw</t>
        </is>
      </c>
      <c r="S40" t="inlineStr">
        <is>
          <t>miu-miu-classic-leopard-brown-acetate-sunglasses-recvhju1cranrw</t>
        </is>
      </c>
      <c r="T40"/>
      <c r="U40"/>
      <c r="V40"/>
      <c r="W40" t="inlineStr">
        <is>
          <t>{"id":"chatcmpl-DZnzl7nFcP6slO7cvxS1sP0bYylJ7","object":"chat.completion","created":1777426033,"model":"gpt-5-chat-2025-10-03","choices":[{"index":0,"message":{"role":"assistant","content":"Miu Miu：经典豹纹棕色太阳眼镜，采用轻盈醋酸纤维镜框，曲线设计彰显复古优雅，适合女性日常与度假造型，融合意大利时尚与现代精致感，提升整体穿搭格调。","refusal":null,"annotations":[]},"logprobs":null,"finish_reason":"stop"}],"usage":{"prompt_tokens":1306,"completion_tokens":67,"total_tokens":1373,"prompt_tokens_details":{"cached_tokens":0,"audio_tokens":0},"completion_tokens_details":{"reasoning_tokens":0,"audio_tokens":0,"accepted_prediction_tokens":0,"rejected_prediction_tokens":0}},"service_tier":"default","system_fingerprint":"fp_ad66631dec"}</t>
        </is>
      </c>
      <c r="X40" t="inlineStr">
        <is>
          <t>Miu Miu：经典豹纹棕色太阳眼镜，采用轻盈醋酸纤维镜框，曲线设计彰显复古优雅，适合女性日常与度假造型，融合意大利时尚与现代精致感，提升整体穿搭格调。</t>
        </is>
      </c>
    </row>
    <row r="41" ht="25.5" customHeight="1">
      <c r="A41">
        <v>1654975475</v>
      </c>
      <c r="B41">
        <v>7625628508</v>
      </c>
      <c r="C41" s="2" t="str">
        <f>=HYPERLINK("https://weidian.com/item.html?itemID=7625628508", "https://weidian.com/item.html?itemID=7625628508")</f>
        <v>https://weidian.com/item.html?itemID=7625628508</v>
      </c>
      <c r="D41"/>
      <c r="E41" s="2" t="str">
        <f>=HYPERLINK("https://si.geilicdn.com/pcitem2014204438-25b50000019adcac56d00a210139_1220_1442.jpg?w=640&amp;h=640", "https://si.geilicdn.com/pcitem2014204438-25b50000019adcac56d00a210139_1220_1442.jpg?w=640&amp;h=640")</f>
        <v>https://si.geilicdn.com/pcitem2014204438-25b50000019adcac56d00a210139_1220_1442.jpg?w=640&amp;h=640</v>
      </c>
      <c r="F41" t="inlineStr">
        <is>
          <t>Glasses</t>
        </is>
      </c>
      <c r="G41" t="inlineStr">
        <is>
          <t>Dior</t>
        </is>
      </c>
      <c r="H41">
        <v>560</v>
      </c>
      <c r="I41">
        <v>81.16</v>
      </c>
      <c r="J41" t="inlineStr">
        <is>
          <t>{"id":"chatcmpl-DZoBnQbX1wAOBnNACVqiOWz38kBaG","object":"chat.completion","created":1777426779,"model":"gpt-5-chat-2025-10-03","choices":[{"index":0,"message":{"role":"assistant","content":"Dior Black Acetate Square Grey Lens Unisex Sunglasses","refusal":null,"annotations":[]},"logprobs":null,"finish_reason":"stop"}],"usage":{"prompt_tokens":876,"completion_tokens":14,"total_tokens":890,"prompt_tokens_details":{"cached_tokens":0,"audio_tokens":0},"completion_tokens_details":{"reasoning_tokens":0,"audio_tokens":0,"accepted_prediction_tokens":0,"rejected_prediction_tokens":0}},"service_tier":"default","system_fingerprint":"fp_ad66631dec"}</t>
        </is>
      </c>
      <c r="K41" t="inlineStr">
        <is>
          <t>Dior Black Acetate Square Grey Lens Unisex Sunglasses</t>
        </is>
      </c>
      <c r="L41" t="inlineStr">
        <is>
          <t>{"id":"chatcmpl-DZo5SbZTripQHUeS92hEwH14kCnrD","object":"chat.completion","created":1777426386,"model":"gpt-5-chat-2025-10-03","choices":[{"index":0,"message":{"role":"assistant","content":"Dior Black Acetate Sunglasses with Grey Lenses, featuring a classic square frame design. Unisex style blends minimalist vintage elegance and modern urban sophistication for timeless fashion appeal.","refusal":null,"annotations":[]},"logprobs":null,"finish_reason":"stop"}],"usage":{"prompt_tokens":886,"completion_tokens":37,"total_tokens":923,"prompt_tokens_details":{"cached_tokens":0,"audio_tokens":0},"completion_tokens_details":{"reasoning_tokens":0,"audio_tokens":0,"accepted_prediction_tokens":0,"rejected_prediction_tokens":0}},"service_tier":"default","system_fingerprint":"fp_fd471178c5"}</t>
        </is>
      </c>
      <c r="M41" t="inlineStr">
        <is>
          <t>{"alt-svc":"h3=\":443\"; ma=2592000","apim-request-id":"4126bc52-0fa7-4bc6-bc0e-96c753bc90c8","azureml-model-session":"d20260428174121-807d9cc5","cache-control":"no-cache","connection":"close","content-length":"1005","content-type":"application/json","date":"Wed, 29 Apr 2026 01:33:07 GMT","server":"Caddy","skip-error-remapping":"true","strict-transport-security":"max-age=31536000; includeSubDomains; preload","x-content-type-options":"nosniff","x-ms-client-request-id":"Not-Set","x-ms-is-spilled-over":"false","x-ms-rai-invoked":"false","x-ms-region":"East US","x-new-api-version":"0.4.35","x-oneapi-request-id":"202604290133054839159588268d9d6DmTz5zSq","x-ratelimit-abusepenalty-active":"False","x-ratelimit-key":"gpt-5-chat-global","x-ratelimit-limit-requests":"1000","x-ratelimit-limit-tokens":"1000000","x-ratelimit-remaining-requests":"999","x-ratelimit-remaining-tokens":"998352","x-ratelimit-renewalperiod-requests":"60","x-ratelimit-renewalperiod-tokens":"60","x-ratelimit-reset-requests":"60","x-ratelimit-reset-tokens":"98","x-request-id":"60ce1912-c243-4d06-8d85-19ee71d88a35"}</t>
        </is>
      </c>
      <c r="N41" t="inlineStr">
        <is>
          <t>Dior Black Acetate Sunglasses with Grey Lenses, featuring a classic square frame design. Unisex style blends minimalist vintage elegance and modern urban sophistication for timeless fashion appeal.</t>
        </is>
      </c>
      <c r="O41" t="inlineStr">
        <is>
          <t>{"id":"chatcmpl-DZoJY61sZf117uOqrEQrIzmb76oTm","object":"chat.completion","created":1777427260,"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41" t="inlineStr">
        <is>
          <t>Dior,Glasses,kakobuy,kakebuy2026,kekobuysheet,kakobuysheet2026,2026kakobuy,kakobuyspreadsheeet,kakobuylink,kakebuylist,Kakobuy MEGA Spreadsheet,kakobuysheetfind,kakobuysheetfind2026,2026kakobuysheetfind,kakobuysheet2026</t>
        </is>
      </c>
      <c r="Q41" t="inlineStr">
        <is>
          <t>Dior, Black, Grey, Unisex, Minimalist, Vintage</t>
        </is>
      </c>
      <c r="R41" t="inlineStr">
        <is>
          <t>recvhju1CrAd0D</t>
        </is>
      </c>
      <c r="S41" t="inlineStr">
        <is>
          <t>dior-black-acetate-square-grey-lens-sunglasses-recvhju1cr</t>
        </is>
      </c>
      <c r="T41"/>
      <c r="U41"/>
      <c r="V41"/>
      <c r="W41" t="inlineStr">
        <is>
          <t>{"id":"chatcmpl-DZnxOzl1sg7ox0voANMFcyzJcxDW6","object":"chat.completion","created":1777425886,"model":"gpt-5-chat-2025-10-03","choices":[{"index":0,"message":{"role":"assistant","content":"Dior：黑色方框太阳眼镜，经典高光醋酸材质，搭配灰色镜片，简约复古设计彰显优雅格调，男女皆宜，展现现代都市时尚魅力。","refusal":null,"annotations":[]},"logprobs":null,"finish_reason":"stop"}],"usage":{"prompt_tokens":1298,"completion_tokens":53,"total_tokens":1351,"prompt_tokens_details":{"cached_tokens":0,"audio_tokens":0},"completion_tokens_details":{"reasoning_tokens":0,"audio_tokens":0,"accepted_prediction_tokens":0,"rejected_prediction_tokens":0}},"service_tier":"default","system_fingerprint":"fp_fd471178c5"}</t>
        </is>
      </c>
      <c r="X41" t="inlineStr">
        <is>
          <t>Dior：黑色方框太阳眼镜，经典高光醋酸材质，搭配灰色镜片，简约复古设计彰显优雅格调，男女皆宜，展现现代都市时尚魅力。</t>
        </is>
      </c>
    </row>
    <row r="42" ht="25.5" customHeight="1">
      <c r="A42">
        <v>1654975475</v>
      </c>
      <c r="B42">
        <v>7620614845</v>
      </c>
      <c r="C42" s="2" t="str">
        <f>=HYPERLINK("https://weidian.com/item.html?itemID=7620614845", "https://weidian.com/item.html?itemID=7620614845")</f>
        <v>https://weidian.com/item.html?itemID=7620614845</v>
      </c>
      <c r="D42"/>
      <c r="E42" s="2" t="str">
        <f>=HYPERLINK("https://si.geilicdn.com/pcitem2014204438-50e50000019adca191930a207569_1080_1080.jpg?w=640&amp;h=640", "https://si.geilicdn.com/pcitem2014204438-50e50000019adca191930a207569_1080_1080.jpg?w=640&amp;h=640")</f>
        <v>https://si.geilicdn.com/pcitem2014204438-50e50000019adca191930a207569_1080_1080.jpg?w=640&amp;h=640</v>
      </c>
      <c r="F42" t="inlineStr">
        <is>
          <t>Hats</t>
        </is>
      </c>
      <c r="G42" t="inlineStr">
        <is>
          <t>Louis Vuitton</t>
        </is>
      </c>
      <c r="H42">
        <v>210</v>
      </c>
      <c r="I42">
        <v>30.43</v>
      </c>
      <c r="J42" t="inlineStr">
        <is>
          <t>{"id":"chatcmpl-DZoD71coLdeoSGjECEHMnM4bEBWJS","object":"chat.completion","created":1777426861,"model":"gpt-5-chat-2025-10-03","choices":[{"index":0,"message":{"role":"assistant","content":"Louis Vuitton Blue Wool Tiger Patch Beanie Hat","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fd471178c5"}</t>
        </is>
      </c>
      <c r="K42" t="inlineStr">
        <is>
          <t>Louis Vuitton Blue Wool Tiger Patch Beanie Hat</t>
        </is>
      </c>
      <c r="L42" t="inlineStr">
        <is>
          <t>{"id":"chatcmpl-DZo7UzJH4CZPTCaAODinEDI5eDZQi","object":"chat.completion","created":1777426512,"model":"gpt-5-chat-2025-10-03","choices":[{"index":0,"message":{"role":"assistant","content":"Louis Vuitton Blue Wool Beanie with Tiger Patch, crafted from soft premium wool. Features playful embroidered tiger motif and chic streetwear style. Unisex winter essential fashion accessory.","refusal":null,"annotations":[]},"logprobs":null,"finish_reason":"stop"}],"usage":{"prompt_tokens":889,"completion_tokens":35,"total_tokens":924,"prompt_tokens_details":{"cached_tokens":0,"audio_tokens":0},"completion_tokens_details":{"reasoning_tokens":0,"audio_tokens":0,"accepted_prediction_tokens":0,"rejected_prediction_tokens":0}},"service_tier":"default","system_fingerprint":"fp_ad66631dec"}</t>
        </is>
      </c>
      <c r="M42" t="inlineStr">
        <is>
          <t>{"alt-svc":"h3=\":443\"; ma=2592000","apim-request-id":"e824dedf-0d1d-4065-b800-5a1592972e6d","azureml-model-session":"d20260402074105-51db401e","cache-control":"no-cache","connection":"close","content-length":"999","content-type":"application/json","date":"Wed, 29 Apr 2026 01:35:13 GMT","server":"nginx","skip-error-remapping":"true","strict-transport-security":"max-age=31536000; includeSubDomains; preload","via":"1.1 Caddy","x-content-type-options":"nosniff","x-ms-client-request-id":"Not-Set","x-ms-is-spilled-over":"false","x-ms-rai-invoked":"false","x-ms-region":"South Central US","x-new-api-version":"0.4.35","x-oneapi-request-id":"20260429013511601013958268d9d62eoPAOcJ","x-ratelimit-abusepenalty-active":"False","x-ratelimit-key":"gpt-5-chat-global","x-ratelimit-limit-requests":"1000","x-ratelimit-limit-tokens":"1000000","x-ratelimit-remaining-requests":"999","x-ratelimit-remaining-tokens":"998029","x-ratelimit-renewalperiod-requests":"60","x-ratelimit-renewalperiod-tokens":"60","x-ratelimit-reset-requests":"60","x-ratelimit-reset-tokens":"118","x-request-id":"d759b340-1fe2-9198-8627-715de0cfd8d5"}</t>
        </is>
      </c>
      <c r="N42" t="inlineStr">
        <is>
          <t>Louis Vuitton Blue Wool Beanie with Tiger Patch, crafted from soft premium wool. Features playful embroidered tiger motif and chic streetwear style. Unisex winter essential fashion accessory.</t>
        </is>
      </c>
      <c r="O42" t="inlineStr">
        <is>
          <t>{"id":"chatcmpl-DZoMI9i6Gj68u5TY1fymRSfJyiMfs","object":"chat.completion","created":1777427430,"model":"gpt-5-chat-2025-10-03","choices":[{"index":0,"message":{"role":"assistant","content":"Louis Vuitton,Hats,kakobuy,kakebuy2026,kekobuysheet,kakobuysheet2026,2026kakobuy,kakobuyspreadsheeet,kakobuylink,kakebuylist,Kakobuy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42" t="inlineStr">
        <is>
          <t>Louis Vuitton,Hats,kakobuy,kakebuy2026,kekobuysheet,kakobuysheet2026,2026kakobuy,kakobuyspreadsheeet,kakobuylink,kakebuylist,Kakobuy MEGA Spreadsheet,kakobuysheetfind,kakobuysheetfind2026,2026kakobuysheetfind,kakobuysheet2026</t>
        </is>
      </c>
      <c r="Q42" t="inlineStr">
        <is>
          <t>LV, Wool, Blue, Streetwear, Winter, Unisex</t>
        </is>
      </c>
      <c r="R42" t="inlineStr">
        <is>
          <t>recvhju1Cr8tzl</t>
        </is>
      </c>
      <c r="S42" t="inlineStr">
        <is>
          <t>louis-vuitton-blue-wool-tiger-patch-beanie-recvhju1cr8tzl</t>
        </is>
      </c>
      <c r="T42"/>
      <c r="U42"/>
      <c r="V42"/>
      <c r="W42" t="inlineStr">
        <is>
          <t>{"id":"chatcmpl-DZo1OJeuLolOUjSf2pIVfIeASSo4M","object":"chat.completion","created":1777426134,"model":"gpt-5-chat-2025-10-03","choices":[{"index":0,"message":{"role":"assistant","content":"Louis Vuitton：蓝色针织虎纹贴饰保暖帽，精选柔软羊毛材质，刺绣虎元素彰显趣味奢华，简约街头风格设计，男女皆宜冬季必备时尚单品。","refusal":null,"annotations":[]},"logprobs":null,"finish_reason":"stop"}],"usage":{"prompt_tokens":1296,"completion_tokens":57,"total_tokens":1353,"prompt_tokens_details":{"cached_tokens":0,"audio_tokens":0},"completion_tokens_details":{"reasoning_tokens":0,"audio_tokens":0,"accepted_prediction_tokens":0,"rejected_prediction_tokens":0}},"service_tier":"default","system_fingerprint":"fp_ad66631dec"}</t>
        </is>
      </c>
      <c r="X42" t="inlineStr">
        <is>
          <t>Louis Vuitton：蓝色针织虎纹贴饰保暖帽，精选柔软羊毛材质，刺绣虎元素彰显趣味奢华，简约街头风格设计，男女皆宜冬季必备时尚单品。</t>
        </is>
      </c>
    </row>
    <row r="43" ht="25.5" customHeight="1">
      <c r="A43">
        <v>1654975475</v>
      </c>
      <c r="B43">
        <v>7625646030</v>
      </c>
      <c r="C43" s="2" t="str">
        <f>=HYPERLINK("https://weidian.com/item.html?itemID=7625646030", "https://weidian.com/item.html?itemID=7625646030")</f>
        <v>https://weidian.com/item.html?itemID=7625646030</v>
      </c>
      <c r="D43"/>
      <c r="E43" s="2" t="str">
        <f>=HYPERLINK("https://si.geilicdn.com/pcitem2014204438-058c0000019adc98f37a0a21146b_1080_1080.jpg?w=750&amp;h=750&amp;cp=1", "https://si.geilicdn.com/pcitem2014204438-058c0000019adc98f37a0a21146b_1080_1080.jpg?w=750&amp;h=750&amp;cp=1")</f>
        <v>https://si.geilicdn.com/pcitem2014204438-058c0000019adc98f37a0a21146b_1080_1080.jpg?w=750&amp;h=750&amp;cp=1</v>
      </c>
      <c r="F43" t="inlineStr">
        <is>
          <t>Hats</t>
        </is>
      </c>
      <c r="G43" t="inlineStr">
        <is>
          <t>Moncler</t>
        </is>
      </c>
      <c r="H43">
        <v>250</v>
      </c>
      <c r="I43">
        <v>36.23</v>
      </c>
      <c r="J43" t="inlineStr">
        <is>
          <t>{"id":"chatcmpl-DZoC6lEazpnEj2rD9mYghcQOOBUoj","object":"chat.completion","created":1777426798,"model":"gpt-5-chat-2025-10-03","choices":[{"index":0,"message":{"role":"assistant","content":"Moncler Black Cotton 3D Logo Distressed Baseball Cap","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fd471178c5"}</t>
        </is>
      </c>
      <c r="K43" t="inlineStr">
        <is>
          <t>Moncler Black Cotton 3D Logo Distressed Baseball Cap</t>
        </is>
      </c>
      <c r="L43" t="inlineStr">
        <is>
          <t>{"id":"chatcmpl-DZo3dBg9pRTSQZm7zLPzmvD6kGeU7","object":"chat.completion","created":1777426273,"model":"gpt-5-chat-2025-10-03","choices":[{"index":0,"message":{"role":"assistant","content":"Moncler Black Cotton Baseball Cap featuring 3D logo and distressed details, unisex design for casual or outdoor wear, showcasing modern luxury and street style sophistication.","refusal":null,"annotations":[]},"logprobs":null,"finish_reason":"stop"}],"usage":{"prompt_tokens":909,"completion_tokens":33,"total_tokens":942,"prompt_tokens_details":{"cached_tokens":0,"audio_tokens":0},"completion_tokens_details":{"reasoning_tokens":0,"audio_tokens":0,"accepted_prediction_tokens":0,"rejected_prediction_tokens":0}},"service_tier":"default","system_fingerprint":"fp_ad66631dec"}</t>
        </is>
      </c>
      <c r="M43" t="inlineStr">
        <is>
          <t>{"alt-svc":"h3=\":443\"; ma=2592000","apim-request-id":"bd01a318-15cf-4294-8a72-c9bbaf6997cd","azureml-model-session":"d20260405225800-40f19e54","cache-control":"no-cache","connection":"close","content-length":"983","content-type":"application/json","date":"Wed, 29 Apr 2026 01:31:14 GMT","server":"nginx","skip-error-remapping":"true","strict-transport-security":"max-age=31536000; includeSubDomains; preload","via":"1.1 Caddy","x-content-type-options":"nosniff","x-ms-client-request-id":"Not-Set","x-ms-is-spilled-over":"false","x-ms-rai-invoked":"false","x-ms-region":"South Central US","x-new-api-version":"0.4.35","x-oneapi-request-id":"202604290131122629374968268d9d63QZYP2ay","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8c099f29-3a8a-43f8-8ded-6b198e7a6d38"}</t>
        </is>
      </c>
      <c r="N43" t="inlineStr">
        <is>
          <t>Moncler Black Cotton Baseball Cap featuring 3D logo and distressed details, unisex design for casual or outdoor wear, showcasing modern luxury and street style sophistication.</t>
        </is>
      </c>
      <c r="O43" t="inlineStr">
        <is>
          <t>{"id":"chatcmpl-DZoKKE1zgnHvAWT7e8Qz6TtODHAQM","object":"chat.completion","created":1777427308,"model":"gpt-5-chat-2025-10-03","choices":[{"index":0,"message":{"role":"assistant","content":"Moncle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43" t="inlineStr">
        <is>
          <t>Moncler,Hat,kakobuy,kakebuy2026,kekobuysheet,kakobuysheet2026,2026kakobuy,kakobuyspreadsheeet,kakobuylink,kakebuylist,Kakobuy MEGA Spreadsheet,kakobuysheetfind,kakobuysheetfind2026,2026kakobuysheetfind,kakobuysheet2026</t>
        </is>
      </c>
      <c r="Q43" t="inlineStr">
        <is>
          <t>Black, Unisex, Streetwear, Modern</t>
        </is>
      </c>
      <c r="R43" t="inlineStr">
        <is>
          <t>recvhju1CrA5Ng</t>
        </is>
      </c>
      <c r="S43" t="inlineStr">
        <is>
          <t>moncler-black-cotton-3d-logo-distressed-baseball-cap-recvhju1cra5ng</t>
        </is>
      </c>
      <c r="T43"/>
      <c r="U43"/>
      <c r="V43"/>
      <c r="W43" t="inlineStr">
        <is>
          <t>{"id":"chatcmpl-DZnxXIWKY2QeoNuoQ8wqBxf5M64di","object":"chat.completion","created":1777425895,"model":"gpt-5-chat-2025-10-03","choices":[{"index":0,"message":{"role":"assistant","content":"Moncler：黑色休闲棒球帽，甄选纯棉斜纹布料，正面饰以品牌立体徽标，做旧细节彰显街头风格，男女皆宜，适合日常休闲或户外搭配，展现现代奢潮品味。","refusal":null,"annotations":[]},"logprobs":null,"finish_reason":"stop"}],"usage":{"prompt_tokens":1310,"completion_tokens":70,"total_tokens":1380,"prompt_tokens_details":{"cached_tokens":0,"audio_tokens":0},"completion_tokens_details":{"reasoning_tokens":0,"audio_tokens":0,"accepted_prediction_tokens":0,"rejected_prediction_tokens":0}},"service_tier":"default","system_fingerprint":"fp_fd471178c5"}</t>
        </is>
      </c>
      <c r="X43" t="inlineStr">
        <is>
          <t>Moncler：黑色休闲棒球帽，甄选纯棉斜纹布料，正面饰以品牌立体徽标，做旧细节彰显街头风格，男女皆宜，适合日常休闲或户外搭配，展现现代奢潮品味。</t>
        </is>
      </c>
    </row>
    <row r="44" ht="25.5" customHeight="1">
      <c r="A44">
        <v>1654975475</v>
      </c>
      <c r="B44">
        <v>7622564813</v>
      </c>
      <c r="C44" s="2" t="str">
        <f>=HYPERLINK("https://weidian.com/item.html?itemID=7622564813", "https://weidian.com/item.html?itemID=7622564813")</f>
        <v>https://weidian.com/item.html?itemID=7622564813</v>
      </c>
      <c r="D44"/>
      <c r="E44" s="2" t="str">
        <f>=HYPERLINK("https://si.geilicdn.com/pcitem2014204438-4d5f0000019adc94fd270a81347d_1440_1440.jpg?w=640&amp;h=640", "https://si.geilicdn.com/pcitem2014204438-4d5f0000019adc94fd270a81347d_1440_1440.jpg?w=640&amp;h=640")</f>
        <v>https://si.geilicdn.com/pcitem2014204438-4d5f0000019adc94fd270a81347d_1440_1440.jpg?w=640&amp;h=640</v>
      </c>
      <c r="F44" t="inlineStr">
        <is>
          <t>Hats</t>
        </is>
      </c>
      <c r="G44" t="inlineStr">
        <is>
          <t>Emis</t>
        </is>
      </c>
      <c r="H44">
        <v>230</v>
      </c>
      <c r="I44">
        <v>33.33</v>
      </c>
      <c r="J44" t="inlineStr">
        <is>
          <t>{"id":"chatcmpl-DZoHjJuofmGYHsu7OOB5tRWbAXDhR","object":"chat.completion","created":1777427147,"model":"gpt-5-chat-2025-10-03","choices":[{"index":0,"message":{"role":"assistant","content":"HatsEmis Cream Heart Embroidered Cotton Baseball Cap","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44" t="inlineStr">
        <is>
          <t>HatsEmis Cream Heart Embroidered Cotton Baseball Cap</t>
        </is>
      </c>
      <c r="L44" t="inlineStr">
        <is>
          <t>{"id":"chatcmpl-DZo5dTfCiIycO3uh8Svw48bFMghg1","object":"chat.completion","created":1777426397,"model":"gpt-5-chat-2025-10-03","choices":[{"index":0,"message":{"role":"assistant","content":"HatsEmisEmis Cream Heart Embroidered Baseball Cap, soft cotton, breathable and lightweight, simple casual style, unisex design for everyday wear, showing youthful and trendy attitude.","refusal":null,"annotations":[]},"logprobs":null,"finish_reason":"stop"}],"usage":{"prompt_tokens":885,"completion_tokens":39,"total_tokens":924,"prompt_tokens_details":{"cached_tokens":0,"audio_tokens":0},"completion_tokens_details":{"reasoning_tokens":0,"audio_tokens":0,"accepted_prediction_tokens":0,"rejected_prediction_tokens":0}},"service_tier":"default","system_fingerprint":"fp_ad66631dec"}</t>
        </is>
      </c>
      <c r="M44" t="inlineStr">
        <is>
          <t>{"alt-svc":"h3=\":443\"; ma=2592000","apim-request-id":"93f67358-ad27-4a29-b129-33e3a33954c7","azureml-model-session":"d20260402075109-1fc5a0ec","cache-control":"no-cache","connection":"close","content-length":"991","content-type":"application/json","date":"Wed, 29 Apr 2026 01:33:19 GMT","server":"nginx","skip-error-remapping":"true","strict-transport-security":"max-age=31536000; includeSubDomains; preload","via":"1.1 Caddy","x-content-type-options":"nosniff","x-ms-client-request-id":"Not-Set","x-ms-is-spilled-over":"false","x-ms-rai-invoked":"false","x-ms-region":"West US","x-new-api-version":"0.4.35","x-oneapi-request-id":"20260429013316771677648268d9d6E3968nPC","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3dd3c9e8-d010-4b59-b3b4-e19e86c2f93f"}</t>
        </is>
      </c>
      <c r="N44" t="inlineStr">
        <is>
          <t>HatsEmisEmis Cream Heart Embroidered Baseball Cap, soft cotton, breathable and lightweight, simple casual style, unisex design for everyday wear, showing youthful and trendy attitude.</t>
        </is>
      </c>
      <c r="O44" t="inlineStr">
        <is>
          <t>{"id":"chatcmpl-DZoL9gM5FLlZXv187EAYr0ibhL5EF","object":"chat.completion","created":1777427359,"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fd471178c5"}</t>
        </is>
      </c>
      <c r="P44" t="inlineStr">
        <is>
          <t>emis,hat,kakobuy,kakebuy2026,kekobuysheet,kakobuysheet2026,2026kakobuy,kakobuyspreadsheeet,kakobuylink,kakebuylist,Kakobuy MEGA Spreadsheet,kakobuysheetfind,kakobuysheetfind2026,2026kakobuysheetfind,kakobuysheet2026</t>
        </is>
      </c>
      <c r="Q44" t="inlineStr">
        <is>
          <t>Cream, Simple, Unisex, Breathable</t>
        </is>
      </c>
      <c r="R44" t="inlineStr">
        <is>
          <t>recvhju1CrYLsz</t>
        </is>
      </c>
      <c r="S44" t="inlineStr">
        <is>
          <t>hats-cream-heart-embroidered-cotton-baseball-cap-recvhju1cr-ylsz</t>
        </is>
      </c>
      <c r="T44"/>
      <c r="U44"/>
      <c r="V44"/>
      <c r="W44" t="inlineStr">
        <is>
          <t>{"id":"chatcmpl-DZnurARm5bFfjMOVm0hQs4eWl4gK6","object":"chat.completion","created":1777425729,"model":"gpt-5-chat-2025-10-03","choices":[{"index":0,"message":{"role":"assistant","content":"Emis：奶油白心形刺绣棒球帽，采用柔软纯棉面料，透气轻盈，简约百搭休闲风，男女皆宜，彰显青春时尚态度。","refusal":null,"annotations":[]},"logprobs":null,"finish_reason":"stop"}],"usage":{"prompt_tokens":1302,"completion_tokens":50,"total_tokens":1352,"prompt_tokens_details":{"cached_tokens":0,"audio_tokens":0},"completion_tokens_details":{"reasoning_tokens":0,"audio_tokens":0,"accepted_prediction_tokens":0,"rejected_prediction_tokens":0}},"service_tier":"default","system_fingerprint":"fp_fd471178c5"}</t>
        </is>
      </c>
      <c r="X44" t="inlineStr">
        <is>
          <t>Emis：奶油白心形刺绣棒球帽，采用柔软纯棉面料，透气轻盈，简约百搭休闲风，男女皆宜，彰显青春时尚态度。</t>
        </is>
      </c>
    </row>
    <row r="45" ht="25.5" customHeight="1">
      <c r="A45">
        <v>1654975475</v>
      </c>
      <c r="B45">
        <v>7622570581</v>
      </c>
      <c r="C45" s="2" t="str">
        <f>=HYPERLINK("https://weidian.com/item.html?itemID=7622570581", "https://weidian.com/item.html?itemID=7622570581")</f>
        <v>https://weidian.com/item.html?itemID=7622570581</v>
      </c>
      <c r="D45"/>
      <c r="E45" s="2" t="str">
        <f>=HYPERLINK("https://si.geilicdn.com/pcitem2014204438-3bae0000019adc8e7c4d0a239646_1440_1440.jpg?w=640&amp;h=640", "https://si.geilicdn.com/pcitem2014204438-3bae0000019adc8e7c4d0a239646_1440_1440.jpg?w=640&amp;h=640")</f>
        <v>https://si.geilicdn.com/pcitem2014204438-3bae0000019adc8e7c4d0a239646_1440_1440.jpg?w=640&amp;h=640</v>
      </c>
      <c r="F45" t="inlineStr">
        <is>
          <t>Hats</t>
        </is>
      </c>
      <c r="G45" t="inlineStr">
        <is>
          <t>Emis</t>
        </is>
      </c>
      <c r="H45">
        <v>230</v>
      </c>
      <c r="I45">
        <v>33.33</v>
      </c>
      <c r="J45" t="inlineStr">
        <is>
          <t>{"id":"chatcmpl-DZoFYeZPAd09etGdvjiSmGDZ8xUE8","object":"chat.completion","created":1777427012,"model":"gpt-5-chat-2025-10-03","choices":[{"index":0,"message":{"role":"assistant","content":"HatsEmis Green Heart Cotton Embroidered Baseball Cap","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45" t="inlineStr">
        <is>
          <t>HatsEmis Green Heart Cotton Embroidered Baseball Cap</t>
        </is>
      </c>
      <c r="L45" t="inlineStr">
        <is>
          <t>{"id":"chatcmpl-DZo3vhh4cZJhLyNAMjWFj14v9XwSI","object":"chat.completion","created":1777426291,"model":"gpt-5-chat-2025-10-03","choices":[{"index":0,"message":{"role":"assistant","content":"HatsEmisEmis Green Heart Embroidered Cotton Baseball Cap, lightweight and breathable, unisex casual style, Korean street fashion, perfect for everyday wear and versatile matching outfits.","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45" t="inlineStr">
        <is>
          <t>{"alt-svc":"h3=\":443\"; ma=2592000","apim-request-id":"9c5a28f1-b857-45a1-918a-1c4bfffd1c8f","azureml-model-session":"d20260402084046-4209e968","cache-control":"no-cache","connection":"close","content-length":"995","content-type":"application/json","date":"Wed, 29 Apr 2026 01:31:32 GMT","server":"Caddy","skip-error-remapping":"true","strict-transport-security":"max-age=31536000; includeSubDomains; preload","x-content-type-options":"nosniff","x-ms-client-request-id":"Not-Set","x-ms-is-spilled-over":"false","x-ms-rai-invoked":"false","x-ms-region":"East US 2","x-new-api-version":"0.4.35","x-oneapi-request-id":"202604290131302690412278268d9d6ONP6H2oU","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505d1587-ee07-4b92-add7-0c5079a7ea06"}</t>
        </is>
      </c>
      <c r="N45" t="inlineStr">
        <is>
          <t>HatsEmisEmis Green Heart Embroidered Cotton Baseball Cap, lightweight and breathable, unisex casual style, Korean street fashion, perfect for everyday wear and versatile matching outfits.</t>
        </is>
      </c>
      <c r="O45" t="inlineStr">
        <is>
          <t>{"id":"chatcmpl-DZoKrrqsbh9ImxoQL4ghcSmtTJSJK","object":"chat.completion","created":1777427341,"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ad66631dec"}</t>
        </is>
      </c>
      <c r="P45" t="inlineStr">
        <is>
          <t>emis,hat,kakobuy,kakebuy2026,kekobuysheet,kakobuysheet2026,2026kakobuy,kakobuyspreadsheeet,kakobuylink,kakebuylist,Kakobuy MEGA Spreadsheet,kakobuysheetfind,kakobuysheetfind2026,2026kakobuysheetfind,kakobuysheet2026</t>
        </is>
      </c>
      <c r="Q45" t="inlineStr">
        <is>
          <t>Unisex, Streetwear, Korean, Lightweight, Breathable</t>
        </is>
      </c>
      <c r="R45" t="inlineStr">
        <is>
          <t>recvhju1CrkFYX</t>
        </is>
      </c>
      <c r="S45" t="inlineStr">
        <is>
          <t>hatsemis-green-heart-cotton-embroidered-baseball-cap-recvhju1crkfyx</t>
        </is>
      </c>
      <c r="T45"/>
      <c r="U45"/>
      <c r="V45"/>
      <c r="W45" t="inlineStr">
        <is>
          <t>{"id":"chatcmpl-DZnu0cu8Gzc9oIKxx8oAt3oShZ55R","object":"chat.completion","created":1777425676,"model":"gpt-5-chat-2025-10-03","choices":[{"index":0,"message":{"role":"assistant","content":"Emis：绿色心形徽标刺绣休闲棒球帽，优质纯棉材质，轻盈透气，简约百搭设计，男女通用款，展现韩系潮流街头风格。","refusal":null,"annotations":[]},"logprobs":null,"finish_reason":"stop"}],"usage":{"prompt_tokens":1304,"completion_tokens":53,"total_tokens":1357,"prompt_tokens_details":{"cached_tokens":1280,"audio_tokens":0},"completion_tokens_details":{"reasoning_tokens":0,"audio_tokens":0,"accepted_prediction_tokens":0,"rejected_prediction_tokens":0}},"service_tier":"default","system_fingerprint":"fp_ad66631dec"}</t>
        </is>
      </c>
      <c r="X45" t="inlineStr">
        <is>
          <t>Emis：绿色心形徽标刺绣休闲棒球帽，优质纯棉材质，轻盈透气，简约百搭设计，男女通用款，展现韩系潮流街头风格。</t>
        </is>
      </c>
    </row>
    <row r="46" ht="25.5" customHeight="1">
      <c r="A46">
        <v>1654975475</v>
      </c>
      <c r="B46">
        <v>7625521474</v>
      </c>
      <c r="C46" s="2" t="str">
        <f>=HYPERLINK("https://weidian.com/item.html?itemID=7625521474", "https://weidian.com/item.html?itemID=7625521474")</f>
        <v>https://weidian.com/item.html?itemID=7625521474</v>
      </c>
      <c r="D46"/>
      <c r="E46" s="2" t="str">
        <f>=HYPERLINK("https://si.geilicdn.com/pcitem2014204438-14580000019adc8dd82c0a811411_1440_1440.jpg?w=640&amp;h=640", "https://si.geilicdn.com/pcitem2014204438-14580000019adc8dd82c0a811411_1440_1440.jpg?w=640&amp;h=640")</f>
        <v>https://si.geilicdn.com/pcitem2014204438-14580000019adc8dd82c0a811411_1440_1440.jpg?w=640&amp;h=640</v>
      </c>
      <c r="F46" t="inlineStr">
        <is>
          <t>Hats</t>
        </is>
      </c>
      <c r="G46" t="inlineStr">
        <is>
          <t>Emis</t>
        </is>
      </c>
      <c r="H46">
        <v>230</v>
      </c>
      <c r="I46">
        <v>33.33</v>
      </c>
      <c r="J46" t="inlineStr">
        <is>
          <t>{"id":"chatcmpl-DZoGPQXiXRXs8fcDBCVHNZf1AszNm","object":"chat.completion","created":1777427065,"model":"gpt-5-chat-2025-10-03","choices":[{"index":0,"message":{"role":"assistant","content":"Emis Black Heart Cotton Embroidered Baseball Cap","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46" t="inlineStr">
        <is>
          <t>Emis Black Heart Cotton Embroidered Baseball Cap</t>
        </is>
      </c>
      <c r="L46" t="inlineStr">
        <is>
          <t>{"id":"chatcmpl-DZo4DK2RaAUFNsmQhJDxaWcjkYHhb","object":"chat.completion","created":1777426309,"model":"gpt-5-chat-2025-10-03","choices":[{"index":0,"message":{"role":"assistant","content":"Emis Black Heart Embroidered Baseball Cap, soft breathable cotton, six-panel design with curved brim for a stylish unisex fit. Minimalist streetwear for daily casual or sporty look.","refusal":null,"annotations":[]},"logprobs":null,"finish_reason":"stop"}],"usage":{"prompt_tokens":933,"completion_tokens":39,"total_tokens":972,"prompt_tokens_details":{"cached_tokens":0,"audio_tokens":0},"completion_tokens_details":{"reasoning_tokens":0,"audio_tokens":0,"accepted_prediction_tokens":0,"rejected_prediction_tokens":0}},"service_tier":"default","system_fingerprint":"fp_ad66631dec"}</t>
        </is>
      </c>
      <c r="M46" t="inlineStr">
        <is>
          <t>{"alt-svc":"h3=\":443\"; ma=2592000","apim-request-id":"ee23f8a2-17f5-4411-b7c4-9ae2c5d6551c","azureml-model-session":"d20260405225800-40f19e54","cache-control":"no-cache","connection":"close","content-length":"989","content-type":"application/json","date":"Wed, 29 Apr 2026 01:31:50 GMT","server":"Caddy","skip-error-remapping":"true","strict-transport-security":"max-age=31536000; includeSubDomains; preload","x-content-type-options":"nosniff","x-ms-client-request-id":"Not-Set","x-ms-is-spilled-over":"false","x-ms-rai-invoked":"false","x-ms-region":"North Central US","x-new-api-version":"0.4.35","x-oneapi-request-id":"202604290131486357862268268d9d63MQlq3R5","x-ratelimit-abusepenalty-active":"False","x-ratelimit-key":"gpt-5-chat-global","x-ratelimit-limit-requests":"1000","x-ratelimit-limit-tokens":"1000000","x-ratelimit-remaining-requests":"999","x-ratelimit-remaining-tokens":"998305","x-ratelimit-renewalperiod-requests":"60","x-ratelimit-renewalperiod-tokens":"60","x-ratelimit-reset-requests":"60","x-ratelimit-reset-tokens":"101","x-request-id":"353920a5-7b7f-4f0b-b090-8ce9de991131"}</t>
        </is>
      </c>
      <c r="N46" t="inlineStr">
        <is>
          <t>Emis Black Heart Embroidered Baseball Cap, soft breathable cotton, six-panel design with curved brim for a stylish unisex fit. Minimalist streetwear for daily casual or sporty look.</t>
        </is>
      </c>
      <c r="O46" t="inlineStr">
        <is>
          <t>{"id":"chatcmpl-DZoL4e59WDFEr7FLlhdUA1IIofTHG","object":"chat.completion","created":1777427354,"model":"gpt-5-chat-2025-10-03","choices":[{"index":0,"message":{"role":"assistant","content":"emis,cap,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fd471178c5"}</t>
        </is>
      </c>
      <c r="P46" t="inlineStr">
        <is>
          <t>emis,cap,kakobuy,kakebuy2026,kekobuysheet,kakobuysheet2026,2026kakobuy,kakobuyspreadsheeet,kakobuylink,kakebuylist,Kakobuy MEGA Spreadsheet,kakobuysheetfind,kakobuysheetfind2026,2026kakobuysheetfind,kakobuysheet2026</t>
        </is>
      </c>
      <c r="Q46" t="inlineStr">
        <is>
          <t>Black, Minimalist, Streetwear, Unisex</t>
        </is>
      </c>
      <c r="R46" t="inlineStr">
        <is>
          <t>recvhju1CrJrNH</t>
        </is>
      </c>
      <c r="S46" t="inlineStr">
        <is>
          <t>emis-black-heart-cotton-embroidered-baseball-cap-recvhju1crjrnh</t>
        </is>
      </c>
      <c r="T46"/>
      <c r="U46"/>
      <c r="V46"/>
      <c r="W46" t="inlineStr">
        <is>
          <t>{"id":"chatcmpl-DZo1VRcUHzQYgf647PRj1PxsQbmpU","object":"chat.completion","created":1777426141,"model":"gpt-5-chat-2025-10-03","choices":[{"index":0,"message":{"role":"assistant","content":"Emis：黑色心形刺绣棒球帽，柔软纯棉材质，透气舒适。正面白色爱心徽标搭配英文刺绣，简约又富有个性。经典六片帽设计，弧形帽檐修饰脸型，男女皆宜。休闲时尚风格，适合日常街头穿搭与轻运动场景，彰显潮流态度。","refusal":null,"annotations":[]},"logprobs":null,"finish_reason":"stop"}],"usage":{"prompt_tokens":1298,"completion_tokens":100,"total_tokens":1398,"prompt_tokens_details":{"cached_tokens":0,"audio_tokens":0},"completion_tokens_details":{"reasoning_tokens":0,"audio_tokens":0,"accepted_prediction_tokens":0,"rejected_prediction_tokens":0}},"service_tier":"default","system_fingerprint":"fp_ad66631dec"}</t>
        </is>
      </c>
      <c r="X46" t="inlineStr">
        <is>
          <t>Emis：黑色心形刺绣棒球帽，柔软纯棉材质，透气舒适。正面白色爱心徽标搭配英文刺绣，简约又富有个性。经典六片帽设计，弧形帽檐修饰脸型，男女皆宜。休闲时尚风格，适合日常街头穿搭与轻运动场景，彰显潮流态度。</t>
        </is>
      </c>
    </row>
    <row r="47" ht="25.5" customHeight="1">
      <c r="A47">
        <v>1654975475</v>
      </c>
      <c r="B47">
        <v>7622616005</v>
      </c>
      <c r="C47" s="2" t="str">
        <f>=HYPERLINK("https://weidian.com/item.html?itemID=7622616005", "https://weidian.com/item.html?itemID=7622616005")</f>
        <v>https://weidian.com/item.html?itemID=7622616005</v>
      </c>
      <c r="D47"/>
      <c r="E47" s="2" t="str">
        <f>=HYPERLINK("https://si.geilicdn.com/pcitem2014204438-10c70000019adc814df80a811411_1440_1920.jpg?w=640&amp;h=640", "https://si.geilicdn.com/pcitem2014204438-10c70000019adc814df80a811411_1440_1920.jpg?w=640&amp;h=640")</f>
        <v>https://si.geilicdn.com/pcitem2014204438-10c70000019adc814df80a811411_1440_1920.jpg?w=640&amp;h=640</v>
      </c>
      <c r="F47" t="inlineStr">
        <is>
          <t>Hats</t>
        </is>
      </c>
      <c r="G47" t="inlineStr">
        <is>
          <t>Chanel</t>
        </is>
      </c>
      <c r="H47">
        <v>256</v>
      </c>
      <c r="I47">
        <v>37.1</v>
      </c>
      <c r="J47" t="inlineStr">
        <is>
          <t>{"id":"chatcmpl-DZoFMBwccoPyNYzW1yJBAyZj2XI9m","object":"chat.completion","created":1777427000,"model":"gpt-5-chat-2025-10-03","choices":[{"index":0,"message":{"role":"assistant","content":"Chanel Blue Denim Bucket Hat Unisex Street Style","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47" t="inlineStr">
        <is>
          <t>Chanel Blue Denim Bucket Hat Unisex Street Style</t>
        </is>
      </c>
      <c r="L47" t="inlineStr">
        <is>
          <t>{"id":"chatcmpl-DZo4kdfnX5aSrx276gaJYoe6aqOgH","object":"chat.completion","created":1777426342,"model":"gpt-5-chat-2025-10-03","choices":[{"index":0,"message":{"role":"assistant","content":"Chanel Blue Denim Bucket Hat featuring high-density fabric, classic double C logo, and geometric print. Unisex design blends French chic with street style, perfect for spring and summer outings.","refusal":null,"annotations":[]},"logprobs":null,"finish_reason":"stop"}],"usage":{"prompt_tokens":916,"completion_tokens":38,"total_tokens":954,"prompt_tokens_details":{"cached_tokens":0,"audio_tokens":0},"completion_tokens_details":{"reasoning_tokens":0,"audio_tokens":0,"accepted_prediction_tokens":0,"rejected_prediction_tokens":0}},"service_tier":"default","system_fingerprint":"fp_fd471178c5"}</t>
        </is>
      </c>
      <c r="M47" t="inlineStr">
        <is>
          <t>{"alt-svc":"h3=\":443\"; ma=2592000","apim-request-id":"012c22a7-1035-4d7f-a904-88e14f939633","azureml-model-session":"d20260428165144-a78ba574","cache-control":"no-cache","connection":"close","content-length":"1002","content-type":"application/json","date":"Wed, 29 Apr 2026 01:32:24 GMT","server":"Caddy","skip-error-remapping":"true","strict-transport-security":"max-age=31536000; includeSubDomains; preload","x-content-type-options":"nosniff","x-ms-client-request-id":"Not-Set","x-ms-is-spilled-over":"false","x-ms-rai-invoked":"false","x-ms-region":"Poland Central","x-new-api-version":"0.4.35","x-oneapi-request-id":"202604290132203356219608268d9d6wY4BtRQm","x-ratelimit-abusepenalty-active":"False","x-ratelimit-key":"gpt-5-chat-global","x-ratelimit-limit-requests":"1000","x-ratelimit-limit-tokens":"1000000","x-ratelimit-remaining-requests":"999","x-ratelimit-remaining-tokens":"998322","x-ratelimit-renewalperiod-requests":"60","x-ratelimit-renewalperiod-tokens":"60","x-ratelimit-reset-requests":"60","x-ratelimit-reset-tokens":"100","x-request-id":"1bc01665-e482-4a29-87fc-bf17df749879"}</t>
        </is>
      </c>
      <c r="N47" t="inlineStr">
        <is>
          <t>Chanel Blue Denim Bucket Hat featuring high-density fabric, classic double C logo, and geometric print. Unisex design blends French chic with street style, perfect for spring and summer outings.</t>
        </is>
      </c>
      <c r="O47" t="inlineStr">
        <is>
          <t>{"id":"chatcmpl-DZoNrEOBcOXQw4vFmzeL4BH9CZIHg","object":"chat.completion","created":1777427527,"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47" t="inlineStr">
        <is>
          <t>Chanel,Hat,kakobuy,kakebuy2026,kekobuysheet,kakobuysheet2026,2026kakobuy,kakobuyspreadsheeet,kakobuylink,kakebuylist,Kakobuy MEGA Spreadsheet,kakobuysheetfind,kakobuysheetfind2026,2026kakobuysheetfind,kakobuysheet2026</t>
        </is>
      </c>
      <c r="Q47" t="inlineStr">
        <is>
          <t>Chanel, Blue, Denim, Geometric, Spring And Summer, Unisex</t>
        </is>
      </c>
      <c r="R47" t="inlineStr">
        <is>
          <t>recvhju1CrLS9s</t>
        </is>
      </c>
      <c r="S47" t="inlineStr">
        <is>
          <t>chanel-blue-denim-bucket-hat-recvhju1crls9s</t>
        </is>
      </c>
      <c r="T47"/>
      <c r="U47"/>
      <c r="V47"/>
      <c r="W47" t="inlineStr">
        <is>
          <t>{"id":"chatcmpl-DZntGqHM2df08rcMr9SJgLMlrbFv3","object":"chat.completion","created":1777425630,"model":"gpt-5-chat-2025-10-03","choices":[{"index":0,"message":{"role":"assistant","content":"Chanel 蓝色牛仔渔夫帽，采用高密度丹宁面料，饰以经典双C标识与几何印花图腾，融合法式简约与休闲街头风格。立体剪裁设计修饰脸型，男女皆宜，彰显品牌优雅现代感，适合春夏出行与都市休闲穿搭。","refusal":null,"annotations":[]},"logprobs":null,"finish_reason":"stop"}],"usage":{"prompt_tokens":1296,"completion_tokens":84,"total_tokens":1380,"prompt_tokens_details":{"cached_tokens":1280,"audio_tokens":0},"completion_tokens_details":{"reasoning_tokens":0,"audio_tokens":0,"accepted_prediction_tokens":0,"rejected_prediction_tokens":0}},"service_tier":"default","system_fingerprint":"fp_fd471178c5"}</t>
        </is>
      </c>
      <c r="X47" t="inlineStr">
        <is>
          <t>Chanel 蓝色牛仔渔夫帽，采用高密度丹宁面料，饰以经典双C标识与几何印花图腾，融合法式简约与休闲街头风格。立体剪裁设计修饰脸型，男女皆宜，彰显品牌优雅现代感，适合春夏出行与都市休闲穿搭。</t>
        </is>
      </c>
    </row>
    <row r="48" ht="25.5" customHeight="1">
      <c r="A48">
        <v>1654975475</v>
      </c>
      <c r="B48">
        <v>7625540610</v>
      </c>
      <c r="C48" s="2" t="str">
        <f>=HYPERLINK("https://weidian.com/item.html?itemID=7625540610", "https://weidian.com/item.html?itemID=7625540610")</f>
        <v>https://weidian.com/item.html?itemID=7625540610</v>
      </c>
      <c r="D48"/>
      <c r="E48" s="2" t="str">
        <f>=HYPERLINK("https://si.geilicdn.com/pcitem2014204438-0e670000019adc7efce40a231316_1074_1074.jpg?w=640&amp;h=640", "https://si.geilicdn.com/pcitem2014204438-0e670000019adc7efce40a231316_1074_1074.jpg?w=640&amp;h=640")</f>
        <v>https://si.geilicdn.com/pcitem2014204438-0e670000019adc7efce40a231316_1074_1074.jpg?w=640&amp;h=640</v>
      </c>
      <c r="F48" t="inlineStr">
        <is>
          <t>Hats</t>
        </is>
      </c>
      <c r="G48" t="inlineStr">
        <is>
          <t>Moncler</t>
        </is>
      </c>
      <c r="H48">
        <v>220</v>
      </c>
      <c r="I48">
        <v>31.88</v>
      </c>
      <c r="J48" t="inlineStr">
        <is>
          <t>{"id":"chatcmpl-DZoG0v99VJFz35TO4hAXxGBaHKAg3","object":"chat.completion","created":1777427040,"model":"gpt-5-chat-2025-10-03","choices":[{"index":0,"message":{"role":"assistant","content":"Moncler Grey Distressed Denim Cotton Baseball Cap Unisex","refusal":null,"annotations":[]},"logprobs":null,"finish_reason":"stop"}],"usage":{"prompt_tokens":888,"completion_tokens":12,"total_tokens":900,"prompt_tokens_details":{"cached_tokens":0,"audio_tokens":0},"completion_tokens_details":{"reasoning_tokens":0,"audio_tokens":0,"accepted_prediction_tokens":0,"rejected_prediction_tokens":0}},"service_tier":"default","system_fingerprint":"fp_ad66631dec"}</t>
        </is>
      </c>
      <c r="K48" t="inlineStr">
        <is>
          <t>Moncler Grey Distressed Denim Cotton Baseball Cap Unisex</t>
        </is>
      </c>
      <c r="L48" t="inlineStr">
        <is>
          <t>{"id":"chatcmpl-DZo3eFuboiU9DqmYhxwqtHd6dhK0R","object":"chat.completion","created":1777426274,"model":"gpt-5-chat-2025-10-03","choices":[{"index":0,"message":{"role":"assistant","content":"Moncler Grey Distressed Denim Baseball Cap made from premium cotton twill. Soft, breathable, with vintage ripped details, six-panel design, and metal logo. Unisex style for casual and streetwear looks.","refusal":null,"annotations":[]},"logprobs":null,"finish_reason":"stop"}],"usage":{"prompt_tokens":927,"completion_tokens":43,"total_tokens":970,"prompt_tokens_details":{"cached_tokens":0,"audio_tokens":0},"completion_tokens_details":{"reasoning_tokens":0,"audio_tokens":0,"accepted_prediction_tokens":0,"rejected_prediction_tokens":0}},"service_tier":"default","system_fingerprint":"fp_ad66631dec"}</t>
        </is>
      </c>
      <c r="M48" t="inlineStr">
        <is>
          <t>{"alt-svc":"h3=\":443\"; ma=2592000","apim-request-id":"a3c100b2-fe68-4afd-8d5f-536e4f5bda4e","azureml-model-session":"d20260402074105-51db401e","cache-control":"no-cache","connection":"close","content-length":"1009","content-type":"application/json","date":"Wed, 29 Apr 2026 01:31:16 GMT","server":"nginx","skip-error-remapping":"true","strict-transport-security":"max-age=31536000; includeSubDomains; preload","via":"1.1 Caddy","x-content-type-options":"nosniff","x-ms-client-request-id":"Not-Set","x-ms-is-spilled-over":"false","x-ms-rai-invoked":"false","x-ms-region":"Poland Central","x-new-api-version":"0.4.35","x-oneapi-request-id":"202604290131135738064458268d9d6zmf9RefY","x-ratelimit-abusepenalty-active":"False","x-ratelimit-key":"gpt-5-chat-global","x-ratelimit-limit-requests":"1000","x-ratelimit-limit-tokens":"1000000","x-ratelimit-remaining-requests":"999","x-ratelimit-remaining-tokens":"998311","x-ratelimit-renewalperiod-requests":"60","x-ratelimit-renewalperiod-tokens":"60","x-ratelimit-reset-requests":"60","x-ratelimit-reset-tokens":"101","x-request-id":"16df0af9-b6d6-408b-b2e7-3a25780fa6d1"}</t>
        </is>
      </c>
      <c r="N48" t="inlineStr">
        <is>
          <t>Moncler Grey Distressed Denim Baseball Cap made from premium cotton twill. Soft, breathable, with vintage ripped details, six-panel design, and metal logo. Unisex style for casual and streetwear looks.</t>
        </is>
      </c>
      <c r="O48" t="inlineStr">
        <is>
          <t>{"id":"chatcmpl-DZoPm0zzHasibFMywGqKmw3TDhN0A","object":"chat.completion","created":1777427646,"model":"gpt-5-chat-2025-10-03","choices":[{"index":0,"message":{"role":"assistant","content":"Moncle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48" t="inlineStr">
        <is>
          <t>Moncler,Hat,kakobuy,kakebuy2026,kekobuysheet,kakobuysheet2026,2026kakobuy,kakobuyspreadsheeet,kakobuylink,kakebuylist,Kakobuy MEGA Spreadsheet,kakobuysheetfind,kakobuysheetfind2026,2026kakobuysheetfind,kakobuysheet2026</t>
        </is>
      </c>
      <c r="Q48" t="inlineStr">
        <is>
          <t>Grey, Denim, Streetwear, Unisex</t>
        </is>
      </c>
      <c r="R48" t="inlineStr">
        <is>
          <t>recvhju1Crc09m</t>
        </is>
      </c>
      <c r="S48" t="inlineStr">
        <is>
          <t>moncler-grey-distressed-denim-cotton-baseball-cap-recvhju1crc09m</t>
        </is>
      </c>
      <c r="T48"/>
      <c r="U48"/>
      <c r="V48"/>
      <c r="W48" t="inlineStr">
        <is>
          <t>{"id":"chatcmpl-DZnxzRvGdIyBjVYSK5tN8LYs4TrlF","object":"chat.completion","created":1777425923,"model":"gpt-5-chat-2025-10-03","choices":[{"index":0,"message":{"role":"assistant","content":"Moncler：灰色做旧牛仔棒球帽，选用优质棉质斜纹布料，柔软透气。个性破洞与磨损细节展现复古街头风，简约六片拼接设计凸显立体轮廓，金属徽标低调彰显品牌质感。轻盈舒适，适合男女日常休闲与潮流穿搭。","refusal":null,"annotations":[]},"logprobs":null,"finish_reason":"stop"}],"usage":{"prompt_tokens":1298,"completion_tokens":94,"total_tokens":1392,"prompt_tokens_details":{"cached_tokens":0,"audio_tokens":0},"completion_tokens_details":{"reasoning_tokens":0,"audio_tokens":0,"accepted_prediction_tokens":0,"rejected_prediction_tokens":0}},"service_tier":"default","system_fingerprint":"fp_ad66631dec"}</t>
        </is>
      </c>
      <c r="X48" t="inlineStr">
        <is>
          <t>Moncler：灰色做旧牛仔棒球帽，选用优质棉质斜纹布料，柔软透气。个性破洞与磨损细节展现复古街头风，简约六片拼接设计凸显立体轮廓，金属徽标低调彰显品牌质感。轻盈舒适，适合男女日常休闲与潮流穿搭。</t>
        </is>
      </c>
    </row>
    <row r="49" ht="25.5" customHeight="1">
      <c r="A49">
        <v>1654975475</v>
      </c>
      <c r="B49">
        <v>7625623574</v>
      </c>
      <c r="C49" s="2" t="str">
        <f>=HYPERLINK("https://weidian.com/item.html?itemID=7625623574", "https://weidian.com/item.html?itemID=7625623574")</f>
        <v>https://weidian.com/item.html?itemID=7625623574</v>
      </c>
      <c r="D49"/>
      <c r="E49" s="2" t="str">
        <f>=HYPERLINK("https://si.geilicdn.com/pcitem2014204438-3dfd0000019adc7815dd0a8134f0_1440_1440.jpg?w=640&amp;h=640", "https://si.geilicdn.com/pcitem2014204438-3dfd0000019adc7815dd0a8134f0_1440_1440.jpg?w=640&amp;h=640")</f>
        <v>https://si.geilicdn.com/pcitem2014204438-3dfd0000019adc7815dd0a8134f0_1440_1440.jpg?w=640&amp;h=640</v>
      </c>
      <c r="F49" t="inlineStr">
        <is>
          <t>Hats</t>
        </is>
      </c>
      <c r="G49" t="inlineStr">
        <is>
          <t>Chrome Hearts</t>
        </is>
      </c>
      <c r="H49">
        <v>310</v>
      </c>
      <c r="I49">
        <v>44.93</v>
      </c>
      <c r="J49" t="inlineStr">
        <is>
          <t>{"id":"chatcmpl-DZoDoOkIdR7TWLxiV2C5aJ4yQb5lS","object":"chat.completion","created":1777426904,"model":"gpt-5-chat-2025-10-03","choices":[{"index":0,"message":{"role":"assistant","content":"Chrome Hearts Brown Straw Hat Silver Cross","refusal":null,"annotations":[]},"logprobs":null,"finish_reason":"stop"}],"usage":{"prompt_tokens":878,"completion_tokens":8,"total_tokens":886,"prompt_tokens_details":{"cached_tokens":0,"audio_tokens":0},"completion_tokens_details":{"reasoning_tokens":0,"audio_tokens":0,"accepted_prediction_tokens":0,"rejected_prediction_tokens":0}},"service_tier":"default","system_fingerprint":"fp_ad66631dec"}</t>
        </is>
      </c>
      <c r="K49" t="inlineStr">
        <is>
          <t>Chrome Hearts Brown Straw Hat Silver Cross</t>
        </is>
      </c>
      <c r="L49" t="inlineStr">
        <is>
          <t>{"id":"chatcmpl-DZo9i0B431l6HkxMOqux5d6RyCTK6","object":"chat.completion","created":1777426650,"model":"gpt-5-chat-2025-10-03","choices":[{"index":0,"message":{"role":"assistant","content":"Chrome Hearts Brown Woven Straw Hat with Silver Cross and Colorful Geometric Band, lightweight, breathable, unisex, blending California casual and rock vibes—perfect for stylish summer vacations.","refusal":null,"annotations":[]},"logprobs":null,"finish_reason":"stop"}],"usage":{"prompt_tokens":910,"completion_tokens":38,"total_tokens":948,"prompt_tokens_details":{"cached_tokens":0,"audio_tokens":0},"completion_tokens_details":{"reasoning_tokens":0,"audio_tokens":0,"accepted_prediction_tokens":0,"rejected_prediction_tokens":0}},"service_tier":"default","system_fingerprint":"fp_ad66631dec"}</t>
        </is>
      </c>
      <c r="M49" t="inlineStr">
        <is>
          <t>{"alt-svc":"h3=\":443\"; ma=2592000","apim-request-id":"3b1458d8-d8ba-4432-aefa-0558b4b507b9","azureml-model-session":"d20260402084046-4209e968","cache-control":"no-cache","connection":"close","content-length":"1005","content-type":"application/json","date":"Wed, 29 Apr 2026 01:37:33 GMT","server":"Caddy","skip-error-remapping":"true","strict-transport-security":"max-age=31536000; includeSubDomains; preload","x-content-type-options":"nosniff","x-ms-client-request-id":"Not-Set","x-ms-is-spilled-over":"false","x-ms-rai-invoked":"false","x-ms-region":"Poland Central","x-new-api-version":"0.4.35","x-oneapi-request-id":"202604290137288014081938268d9d6xssXTjHx","x-ratelimit-abusepenalty-active":"False","x-ratelimit-key":"gpt-5-chat-global","x-ratelimit-limit-requests":"1000","x-ratelimit-limit-tokens":"1000000","x-ratelimit-remaining-requests":"999","x-ratelimit-remaining-tokens":"997781","x-ratelimit-renewalperiod-requests":"60","x-ratelimit-renewalperiod-tokens":"60","x-ratelimit-reset-requests":"60","x-ratelimit-reset-tokens":"133","x-request-id":"0abfc375-aded-4867-b1d1-4ca635db9d97"}</t>
        </is>
      </c>
      <c r="N49" t="inlineStr">
        <is>
          <t>Chrome Hearts Brown Woven Straw Hat with Silver Cross and Colorful Geometric Band, lightweight, breathable, unisex, blending California casual and rock vibes—perfect for stylish summer vacations.</t>
        </is>
      </c>
      <c r="O49" t="inlineStr">
        <is>
          <t>{"id":"chatcmpl-DZoPV0ibxp3lUqWhuSfvEFtWMHXWV","object":"chat.completion","created":1777427629,"model":"gpt-5-chat-2025-10-03","choices":[{"index":0,"message":{"role":"assistant","content":"Chrome Hearts,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fd471178c5"}</t>
        </is>
      </c>
      <c r="P49" t="inlineStr">
        <is>
          <t>Chrome Hearts, Hats, kakobuy, kakebuy2026, kekobuysheet, kakobuysheet2026, 2026kakobuy, kakobuyspreadsheeet, kakobuylink, kakebuylist, Kakobuy MEGA Spreadsheet, kakobuysheetfind, kakobuysheetfind2026, 2026kakobuysheetfind, kakobuysheet2026</t>
        </is>
      </c>
      <c r="Q49" t="inlineStr">
        <is>
          <t>Brown, Lightweight, Breathable, Unisex, Summer</t>
        </is>
      </c>
      <c r="R49" t="inlineStr">
        <is>
          <t>recvhju1Cr7gkw</t>
        </is>
      </c>
      <c r="S49" t="inlineStr">
        <is>
          <t>chrome-hearts-brown-straw-hat-silver-cross-recvhju1cr7gkw</t>
        </is>
      </c>
      <c r="T49"/>
      <c r="U49"/>
      <c r="V49"/>
      <c r="W49" t="inlineStr">
        <is>
          <t>{"id":"chatcmpl-DZnwyV5iYpKnbAbcVT7SXQBMfhf0Q","object":"chat.completion","created":1777425860,"model":"gpt-5-chat-2025-10-03","choices":[{"index":0,"message":{"role":"assistant","content":"Chrome Hearts：棕色编织草帽，饰以十字银饰与彩色几何织带，彰显复古手工美学；轻盈透气材质兼顾防晒与舒适，男女皆宜，展现加州休闲与摇滚风格，时尚度假必备单品。","refusal":null,"annotations":[]},"logprobs":null,"finish_reason":"stop"}],"usage":{"prompt_tokens":1304,"completion_tokens":74,"total_tokens":1378,"prompt_tokens_details":{"cached_tokens":0,"audio_tokens":0},"completion_tokens_details":{"reasoning_tokens":0,"audio_tokens":0,"accepted_prediction_tokens":0,"rejected_prediction_tokens":0}},"service_tier":"default","system_fingerprint":"fp_fd471178c5"}</t>
        </is>
      </c>
      <c r="X49" t="inlineStr">
        <is>
          <t>Chrome Hearts：棕色编织草帽，饰以十字银饰与彩色几何织带，彰显复古手工美学；轻盈透气材质兼顾防晒与舒适，男女皆宜，展现加州休闲与摇滚风格，时尚度假必备单品。</t>
        </is>
      </c>
    </row>
    <row r="50" ht="25.5" customHeight="1">
      <c r="A50">
        <v>1654975475</v>
      </c>
      <c r="B50">
        <v>7697541872</v>
      </c>
      <c r="C50" s="2" t="str">
        <f>=HYPERLINK("https://weidian.com/item.html?itemID=7697541872", "https://weidian.com/item.html?itemID=7697541872")</f>
        <v>https://weidian.com/item.html?itemID=7697541872</v>
      </c>
      <c r="D50"/>
      <c r="E50" s="2" t="str">
        <f>=HYPERLINK("https://si.geilicdn.com/open1654975475-252808396-74490000019c833f45cf0aa08239_790_2091.jpg?w=640&amp;h=640", "https://si.geilicdn.com/open1654975475-252808396-74490000019c833f45cf0aa08239_790_2091.jpg?w=640&amp;h=640")</f>
        <v>https://si.geilicdn.com/open1654975475-252808396-74490000019c833f45cf0aa08239_790_2091.jpg?w=640&amp;h=640</v>
      </c>
      <c r="F50" t="inlineStr">
        <is>
          <t>Toys</t>
        </is>
      </c>
      <c r="G50" t="inlineStr">
        <is>
          <t>Other</t>
        </is>
      </c>
      <c r="H50">
        <v>286</v>
      </c>
      <c r="I50">
        <v>41.45</v>
      </c>
      <c r="J50" t="inlineStr">
        <is>
          <t>{"id":"chatcmpl-DZoEsrLstoIWRKL8B8ANGslrPv5IQ","object":"chat.completion","created":1777426970,"model":"gpt-5-chat-2025-10-03","choices":[{"index":0,"message":{"role":"assistant","content":"ToysOther Future Tech Silver AI Robotic Dog Toy","refusal":null,"annotations":[]},"logprobs":null,"finish_reason":"stop"}],"usage":{"prompt_tokens":1445,"completion_tokens":12,"total_tokens":1457,"prompt_tokens_details":{"cached_tokens":1408,"audio_tokens":0},"completion_tokens_details":{"reasoning_tokens":0,"audio_tokens":0,"accepted_prediction_tokens":0,"rejected_prediction_tokens":0}},"service_tier":"default","system_fingerprint":"fp_ad66631dec"}</t>
        </is>
      </c>
      <c r="K50" t="inlineStr">
        <is>
          <t>ToysOther Future Tech Silver AI Robotic Dog Toy</t>
        </is>
      </c>
      <c r="L50" t="inlineStr">
        <is>
          <t>{"id":"chatcmpl-DZo2WCJWRNjyEHOdk5TFxIkRZMd4k","object":"chat.completion","created":1777426204,"model":"gpt-5-chat-2025-10-03","choices":[{"index":0,"message":{"role":"assistant","content":"ToysOther Future Tech Silver AI Robotic Dog – sleek metal body, multi-joint drive system, voice interaction, light adjustment, bubble emitter, precise remote control, perfect for kids &amp; tech lovers.","refusal":null,"annotations":[]},"logprobs":null,"finish_reason":"stop"}],"usage":{"prompt_tokens":1465,"completion_tokens":42,"total_tokens":1507,"prompt_tokens_details":{"cached_tokens":0,"audio_tokens":0},"completion_tokens_details":{"reasoning_tokens":0,"audio_tokens":0,"accepted_prediction_tokens":0,"rejected_prediction_tokens":0}},"service_tier":"default","system_fingerprint":"fp_ad66631dec"}</t>
        </is>
      </c>
      <c r="M50" t="inlineStr">
        <is>
          <t>{"alt-svc":"h3=\":443\"; ma=2592000","apim-request-id":"fda534d2-7d0c-4f69-b4a8-6dded689c4de","azureml-model-session":"d20260402075109-1fc5a0ec","cache-control":"no-cache","connection":"close","content-length":"1010","content-type":"application/json","date":"Wed, 29 Apr 2026 01:30:07 GMT","server":"nginx","skip-error-remapping":"true","strict-transport-security":"max-age=31536000; includeSubDomains; preload","via":"1.1 Caddy","x-content-type-options":"nosniff","x-ms-client-request-id":"Not-Set","x-ms-is-spilled-over":"false","x-ms-rai-invoked":"false","x-ms-region":"South Central US","x-new-api-version":"0.4.35","x-oneapi-request-id":"202604290130031857955468268d9d62KGAlQgA","x-ratelimit-abusepenalty-active":"False","x-ratelimit-key":"gpt-5-chat-global","x-ratelimit-limit-requests":"1000","x-ratelimit-limit-tokens":"1000000","x-ratelimit-remaining-requests":"999","x-ratelimit-remaining-tokens":"997770","x-ratelimit-renewalperiod-requests":"60","x-ratelimit-renewalperiod-tokens":"60","x-ratelimit-reset-requests":"60","x-ratelimit-reset-tokens":"133","x-request-id":"f581cd67-e0ff-48fd-afdd-396e196cab1c"}</t>
        </is>
      </c>
      <c r="N50" t="inlineStr">
        <is>
          <t>ToysOther Future Tech Silver AI Robotic Dog – sleek metal body, multi-joint drive system, voice interaction, light adjustment, bubble emitter, precise remote control, perfect for kids &amp; tech lovers.</t>
        </is>
      </c>
      <c r="O50" t="inlineStr">
        <is>
          <t>{"id":"chatcmpl-DZoO9YoVpAn4ITl78jFGzmU7DFkCd","object":"chat.completion","created":1777427545,"model":"gpt-5-chat-2025-10-03","choices":[{"index":0,"message":{"role":"assistant","content":"Smart Pet, AI Robotic Dog, kakobuy, kakebuy2026, kekobuysheet, kakobuysheet2026, 2026kakobuy, kakobuyspreadsheeet, kakobuylink, kakebuylist, Kakobuy MEGA Spreadsheet, kakobuysheetfind, kakobuysheetfind2026, 2026kakobuysheetfind, kakobuysheet2026","refusal":null,"annotations":[]},"logprobs":null,"finish_reason":"stop"}],"usage":{"prompt_tokens":1342,"completion_tokens":94,"total_tokens":1436,"prompt_tokens_details":{"cached_tokens":0,"audio_tokens":0},"completion_tokens_details":{"reasoning_tokens":0,"audio_tokens":0,"accepted_prediction_tokens":0,"rejected_prediction_tokens":0}},"service_tier":"default","system_fingerprint":"fp_fd471178c5"}</t>
        </is>
      </c>
      <c r="P50" t="inlineStr">
        <is>
          <t>Smart Pet, AI Robotic Dog, kakobuy, kakebuy2026, kekobuysheet, kakobuysheet2026, 2026kakobuy, kakobuyspreadsheeet, kakobuylink, kakebuylist, Kakobuy MEGA Spreadsheet, kakobuysheetfind, kakobuysheetfind2026, 2026kakobuysheetfind, kakobuysheet2026</t>
        </is>
      </c>
      <c r="Q50"/>
      <c r="R50" t="inlineStr">
        <is>
          <t>recvhju1CrGfC8</t>
        </is>
      </c>
      <c r="S50" t="inlineStr">
        <is>
          <t>toysother-future-tech-silver-ai-robotic-dog-toy-recvhju1crgf</t>
        </is>
      </c>
      <c r="T50"/>
      <c r="U50"/>
      <c r="V50"/>
      <c r="W50" t="inlineStr">
        <is>
          <t>{"id":"chatcmpl-DZnwpQJg4cQRq9Gg8GRsaAOGAUBlR","object":"chat.completion","created":1777425851,"model":"gpt-5-chat-2025-10-03","choices":[{"index":0,"message":{"role":"assistant","content":"未来科技银色AI智能机器人狗，炫酷金属机身搭载多关节驱动系统，支持语音互动、灯光调节与泡台发射功能，遥控操控灵敏精准，融合赛博机械风与未来感设计，适合儿童与科技爱好者畅玩体验。","refusal":null,"annotations":[]},"logprobs":null,"finish_reason":"stop"}],"usage":{"prompt_tokens":1858,"completion_tokens":72,"total_tokens":1930,"prompt_tokens_details":{"cached_tokens":0,"audio_tokens":0},"completion_tokens_details":{"reasoning_tokens":0,"audio_tokens":0,"accepted_prediction_tokens":0,"rejected_prediction_tokens":0}},"service_tier":"default","system_fingerprint":"fp_ad66631dec"}</t>
        </is>
      </c>
      <c r="X50" t="inlineStr">
        <is>
          <t>未来科技银色AI智能机器人狗，炫酷金属机身搭载多关节驱动系统，支持语音互动、灯光调节与泡台发射功能，遥控操控灵敏精准，融合赛博机械风与未来感设计，适合儿童与科技爱好者畅玩体验。</t>
        </is>
      </c>
    </row>
    <row r="51" ht="25.5" customHeight="1">
      <c r="A51">
        <v>1654975475</v>
      </c>
      <c r="B51">
        <v>7694557815</v>
      </c>
      <c r="C51" s="2" t="str">
        <f>=HYPERLINK("https://weidian.com/item.html?itemID=7694557815", "https://weidian.com/item.html?itemID=7694557815")</f>
        <v>https://weidian.com/item.html?itemID=7694557815</v>
      </c>
      <c r="D51"/>
      <c r="E51" s="2" t="str">
        <f>=HYPERLINK("https://si.geilicdn.com/open1654975475-252808396-74490000019c833f45cf0aa08239_790_2091.jpg?w=640&amp;h=640", "https://si.geilicdn.com/open1654975475-252808396-74490000019c833f45cf0aa08239_790_2091.jpg?w=640&amp;h=640")</f>
        <v>https://si.geilicdn.com/open1654975475-252808396-74490000019c833f45cf0aa08239_790_2091.jpg?w=640&amp;h=640</v>
      </c>
      <c r="F51" t="inlineStr">
        <is>
          <t>Toys</t>
        </is>
      </c>
      <c r="G51" t="inlineStr">
        <is>
          <t>Other</t>
        </is>
      </c>
      <c r="H51">
        <v>226</v>
      </c>
      <c r="I51">
        <v>32.75</v>
      </c>
      <c r="J51" t="inlineStr">
        <is>
          <t>{"id":"chatcmpl-DZoHVTMmc8yxtmxvrg3i9ccvSzGrJ","object":"chat.completion","created":1777427133,"model":"gpt-5-chat-2025-10-03","choices":[{"index":0,"message":{"role":"assistant","content":"ToysOther Future Smart AI Robotic Dog Silver‑Black Toy","refusal":null,"annotations":[]},"logprobs":null,"finish_reason":"stop"}],"usage":{"prompt_tokens":1443,"completion_tokens":14,"total_tokens":1457,"prompt_tokens_details":{"cached_tokens":0,"audio_tokens":0},"completion_tokens_details":{"reasoning_tokens":0,"audio_tokens":0,"accepted_prediction_tokens":0,"rejected_prediction_tokens":0}},"service_tier":"default","system_fingerprint":"fp_ad66631dec"}</t>
        </is>
      </c>
      <c r="K51" t="inlineStr">
        <is>
          <t>ToysOther Future Smart AI Robotic Dog Silver‑Black Toy</t>
        </is>
      </c>
      <c r="L51" t="inlineStr">
        <is>
          <t>{"id":"chatcmpl-DZo2yo8xbAMLxPldHKiDPH3P7PYio","object":"chat.completion","created":1777426232,"model":"gpt-5-chat-2025-10-03","choices":[{"index":0,"message":{"role":"assistant","content":"ToysOther Future Smart Control Silver-Black AI Robotic Dog with alloy body, bionic design, remote interaction, voice recognition, and light effects—futuristic tech toy for all ages.","refusal":null,"annotations":[]},"logprobs":null,"finish_reason":"stop"}],"usage":{"prompt_tokens":1466,"completion_tokens":41,"total_tokens":1507,"prompt_tokens_details":{"cached_tokens":0,"audio_tokens":0},"completion_tokens_details":{"reasoning_tokens":0,"audio_tokens":0,"accepted_prediction_tokens":0,"rejected_prediction_tokens":0}},"service_tier":"default","system_fingerprint":"fp_fd471178c5"}</t>
        </is>
      </c>
      <c r="M51" t="inlineStr">
        <is>
          <t>{"alt-svc":"h3=\":443\"; ma=2592000","apim-request-id":"d9fc8932-d4fb-426a-8b7b-cefe8632a7ba","azureml-model-session":"d20260428205641-55ca9797","cache-control":"no-cache","connection":"close","content-length":"993","content-type":"application/json","date":"Wed, 29 Apr 2026 01:30:33 GMT","server":"nginx","skip-error-remapping":"true","strict-transport-security":"max-age=31536000; includeSubDomains; preload","via":"1.1 Caddy","x-content-type-options":"nosniff","x-ms-client-request-id":"Not-Set","x-ms-is-spilled-over":"false","x-ms-rai-invoked":"false","x-ms-region":"North Central US","x-new-api-version":"0.4.35","x-oneapi-request-id":"202604290130306933971538268d9d6YqL54zVA","x-ratelimit-abusepenalty-active":"False","x-ratelimit-key":"gpt-5-chat-global","x-ratelimit-limit-requests":"1000","x-ratelimit-limit-tokens":"1000000","x-ratelimit-remaining-requests":"999","x-ratelimit-remaining-tokens":"997769","x-ratelimit-renewalperiod-requests":"60","x-ratelimit-renewalperiod-tokens":"60","x-ratelimit-reset-requests":"60","x-ratelimit-reset-tokens":"133","x-request-id":"5c415c36-c3ac-41fe-8b37-51d1e6a1e577"}</t>
        </is>
      </c>
      <c r="N51" t="inlineStr">
        <is>
          <t>ToysOther Future Smart Control Silver-Black AI Robotic Dog with alloy body, bionic design, remote interaction, voice recognition, and light effects—futuristic tech toy for all ages.</t>
        </is>
      </c>
      <c r="O51" t="inlineStr">
        <is>
          <t>{"id":"chatcmpl-DZoKulBa7TGxO9vRbI7mCMAiDZAnc","object":"chat.completion","created":1777427344,"model":"gpt-5-chat-2025-10-03","choices":[{"index":0,"message":{"role":"assistant","content":"Smart Pet,AI Robotic Dog,kakobuy,kakebuy2026,kekobuysheet,kakobuysheet2026,2026kakobuy,kakobuyspreadsheeet,kakobuylink,kakebuylist,Kakobuy MEGA Spreadsheet,kakobuysheetfind,kakobuysheetfind2026,2026kakobuysheetfind,kakobuysheet2026","refusal":null,"annotations":[]},"logprobs":null,"finish_reason":"stop"}],"usage":{"prompt_tokens":1342,"completion_tokens":90,"total_tokens":1432,"prompt_tokens_details":{"cached_tokens":0,"audio_tokens":0},"completion_tokens_details":{"reasoning_tokens":0,"audio_tokens":0,"accepted_prediction_tokens":0,"rejected_prediction_tokens":0}},"service_tier":"default","system_fingerprint":"fp_fd471178c5"}</t>
        </is>
      </c>
      <c r="P51" t="inlineStr">
        <is>
          <t>Smart Pet,AI Robotic Dog,kakobuy,kakebuy2026,kekobuysheet,kakobuysheet2026,2026kakobuy,kakobuyspreadsheeet,kakobuylink,kakebuylist,Kakobuy MEGA Spreadsheet,kakobuysheetfind,kakobuysheetfind2026,2026kakobuysheetfind,kakobuysheet2026</t>
        </is>
      </c>
      <c r="Q51"/>
      <c r="R51" t="inlineStr">
        <is>
          <t>recvhju1Crztim</t>
        </is>
      </c>
      <c r="S51" t="inlineStr">
        <is>
          <t>toysother-smart-ai-robotic-dog-silver-black-recvhju1crztim</t>
        </is>
      </c>
      <c r="T51"/>
      <c r="U51"/>
      <c r="V51"/>
      <c r="W51" t="inlineStr">
        <is>
          <t>{"id":"chatcmpl-DZnxLTu1bI6VpjEH6llBa0hBGeJgA","object":"chat.completion","created":1777425883,"model":"gpt-5-chat-2025-10-03","choices":[{"index":0,"message":{"role":"assistant","content":"未来智控系列银黑色AI智能机器狗，采用高强度合金材质与仿生设计，支持遥控交互、灯光变换及语音识别，融合科幻机能风格，男女皆宜的高科技互动玩具，展现未来感十足的潮流乐趣。","refusal":null,"annotations":[]},"logprobs":null,"finish_reason":"stop"}],"usage":{"prompt_tokens":1858,"completion_tokens":73,"total_tokens":1931,"prompt_tokens_details":{"cached_tokens":1792,"audio_tokens":0},"completion_tokens_details":{"reasoning_tokens":0,"audio_tokens":0,"accepted_prediction_tokens":0,"rejected_prediction_tokens":0}},"service_tier":"default","system_fingerprint":"fp_ad66631dec"}</t>
        </is>
      </c>
      <c r="X51" t="inlineStr">
        <is>
          <t>未来智控系列银黑色AI智能机器狗，采用高强度合金材质与仿生设计，支持遥控交互、灯光变换及语音识别，融合科幻机能风格，男女皆宜的高科技互动玩具，展现未来感十足的潮流乐趣。</t>
        </is>
      </c>
    </row>
    <row r="52" ht="25.5" customHeight="1">
      <c r="A52">
        <v>1654975475</v>
      </c>
      <c r="B52">
        <v>7620653005</v>
      </c>
      <c r="C52" s="2" t="str">
        <f>=HYPERLINK("https://weidian.com/item.html?itemID=7620653005", "https://weidian.com/item.html?itemID=7620653005")</f>
        <v>https://weidian.com/item.html?itemID=7620653005</v>
      </c>
      <c r="D52"/>
      <c r="E52" s="2" t="str">
        <f>=HYPERLINK("https://si.geilicdn.com/pcitem2014204438-6b800000019adcf3083e0a210256_1512_2016.jpg?w=640&amp;h=640", "https://si.geilicdn.com/pcitem2014204438-6b800000019adcf3083e0a210256_1512_2016.jpg?w=640&amp;h=640")</f>
        <v>https://si.geilicdn.com/pcitem2014204438-6b800000019adcf3083e0a210256_1512_2016.jpg?w=640&amp;h=640</v>
      </c>
      <c r="F52" t="inlineStr">
        <is>
          <t>Glasses</t>
        </is>
      </c>
      <c r="G52" t="inlineStr">
        <is>
          <t>Miu Miu</t>
        </is>
      </c>
      <c r="H52">
        <v>320</v>
      </c>
      <c r="I52">
        <v>46.38</v>
      </c>
      <c r="J52" t="inlineStr">
        <is>
          <t>{"id":"chatcmpl-DZoFKyHBAO2vFqS2lDKwjJQxJPGjB","object":"chat.completion","created":1777426998,"model":"gpt-5-chat-2025-10-03","choices":[{"index":0,"message":{"role":"assistant","content":"Miu Miu Retro Rectangular Black Unisex Sunglasses","refusal":null,"annotations":[]},"logprobs":null,"finish_reason":"stop"}],"usage":{"prompt_tokens":882,"completion_tokens":13,"total_tokens":895,"prompt_tokens_details":{"cached_tokens":0,"audio_tokens":0},"completion_tokens_details":{"reasoning_tokens":0,"audio_tokens":0,"accepted_prediction_tokens":0,"rejected_prediction_tokens":0}},"service_tier":"default","system_fingerprint":"fp_ad66631dec"}</t>
        </is>
      </c>
      <c r="K52" t="inlineStr">
        <is>
          <t>Miu Miu Retro Rectangular Black Unisex Sunglasses</t>
        </is>
      </c>
      <c r="L52" t="inlineStr">
        <is>
          <t>{"id":"chatcmpl-DZo5HSfQffT7QyO3G8cAaUtCGt8mO","object":"chat.completion","created":1777426375,"model":"gpt-5-chat-2025-10-03","choices":[{"index":0,"message":{"role":"assistant","content":"Miu Miu Rectangular Black Retro Sunglasses feature a lightweight resin frame with metal hinges, sleek and modern unisex design, signature logo temples, perfect for daily wear and street style.","refusal":null,"annotations":[]},"logprobs":null,"finish_reason":"stop"}],"usage":{"prompt_tokens":909,"completion_tokens":39,"total_tokens":948,"prompt_tokens_details":{"cached_tokens":0,"audio_tokens":0},"completion_tokens_details":{"reasoning_tokens":0,"audio_tokens":0,"accepted_prediction_tokens":0,"rejected_prediction_tokens":0}},"service_tier":"default","system_fingerprint":"fp_ad66631dec"}</t>
        </is>
      </c>
      <c r="M52" t="inlineStr">
        <is>
          <t>{"alt-svc":"h3=\":443\"; ma=2592000","apim-request-id":"07ca7225-be8c-4d6c-9a6f-c2ac9702bf8e","azureml-model-session":"d20260402084046-4209e968","cache-control":"no-cache","connection":"close","content-length":"1000","content-type":"application/json","date":"Wed, 29 Apr 2026 01:32:57 GMT","server":"Caddy","skip-error-remapping":"true","strict-transport-security":"max-age=31536000; includeSubDomains; preload","x-content-type-options":"nosniff","x-ms-client-request-id":"Not-Set","x-ms-is-spilled-over":"false","x-ms-rai-invoked":"false","x-ms-region":"East US","x-new-api-version":"0.4.35","x-oneapi-request-id":"202604290132544416096508268d9d6qfePoezb","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9cd4e84c-c4fb-4fce-ad56-2275ebc9d75f"}</t>
        </is>
      </c>
      <c r="N52" t="inlineStr">
        <is>
          <t>Miu Miu Rectangular Black Retro Sunglasses feature a lightweight resin frame with metal hinges, sleek and modern unisex design, signature logo temples, perfect for daily wear and street style.</t>
        </is>
      </c>
      <c r="O52" t="inlineStr">
        <is>
          <t>{"id":"chatcmpl-DZoRsKVbaougrKcmG59FBRTpwRt6p","object":"chat.completion","created":1777427776,"model":"gpt-5-chat-2025-10-03","choices":[{"index":0,"message":{"role":"assistant","content":"Miu Miu,Glasses,kakobuy,kakebuy2026,kekobuysheet,kakobuysheet2026,2026kakobuy,kakobuyspreadsheet,kakobuylink,kakebuylist,Kakobuy MEGA Spreadsheet,kakobuysheetfind,kakobuysheetfind2026,2026kakobuysheetfind,kakobuysheet2026","refusal":null,"annotations":[]},"logprobs":null,"finish_reason":"stop"}],"usage":{"prompt_tokens":785,"completion_tokens":88,"total_tokens":873,"prompt_tokens_details":{"cached_tokens":0,"audio_tokens":0},"completion_tokens_details":{"reasoning_tokens":0,"audio_tokens":0,"accepted_prediction_tokens":0,"rejected_prediction_tokens":0}},"service_tier":"default","system_fingerprint":"fp_ad66631dec"}</t>
        </is>
      </c>
      <c r="P52" t="inlineStr">
        <is>
          <t>Miu Miu,Glasses,kakobuy,kakebuy2026,kekobuysheet,kakobuysheet2026,2026kakobuy,kakobuyspreadsheet,kakobuylink,kakebuylist,Kakobuy MEGA Spreadsheet,kakobuysheetfind,kakobuysheetfind2026,2026kakobuysheetfind,kakobuysheet2026</t>
        </is>
      </c>
      <c r="Q52" t="inlineStr">
        <is>
          <t>Black, Retro, Unisex, Streetwear</t>
        </is>
      </c>
      <c r="R52" t="inlineStr">
        <is>
          <t>recvhju1CrtpPc</t>
        </is>
      </c>
      <c r="S52" t="inlineStr">
        <is>
          <t>miu-miu-retro-rectangular-black-sunglasses-recvhju1crtpp</t>
        </is>
      </c>
      <c r="T52"/>
      <c r="U52"/>
      <c r="V52"/>
      <c r="W52" t="inlineStr">
        <is>
          <t>{"id":"chatcmpl-DZo18kfpYYTXjY9KOAbFLbDUgR8on","object":"chat.completion","created":1777426118,"model":"gpt-5-chat-2025-10-03","choices":[{"index":0,"message":{"role":"assistant","content":"Miu Miu：矩形黑色复古太阳镜，轻盈树脂镜框搭配金属铰链设计，简约时尚兼具现代感。经典镜腿标识彰显品牌格调，男女皆宜，适合日常与街头穿搭，展现摩登优雅气质。","refusal":null,"annotations":[]},"logprobs":null,"finish_reason":"stop"}],"usage":{"prompt_tokens":1304,"completion_tokens":73,"total_tokens":1377,"prompt_tokens_details":{"cached_tokens":0,"audio_tokens":0},"completion_tokens_details":{"reasoning_tokens":0,"audio_tokens":0,"accepted_prediction_tokens":0,"rejected_prediction_tokens":0}},"service_tier":"default","system_fingerprint":"fp_ad66631dec"}</t>
        </is>
      </c>
      <c r="X52" t="inlineStr">
        <is>
          <t>Miu Miu：矩形黑色复古太阳镜，轻盈树脂镜框搭配金属铰链设计，简约时尚兼具现代感。经典镜腿标识彰显品牌格调，男女皆宜，适合日常与街头穿搭，展现摩登优雅气质。</t>
        </is>
      </c>
    </row>
    <row r="53" ht="25.5" customHeight="1">
      <c r="A53">
        <v>1654975475</v>
      </c>
      <c r="B53">
        <v>7622647593</v>
      </c>
      <c r="C53" s="2" t="str">
        <f>=HYPERLINK("https://weidian.com/item.html?itemID=7622647593", "https://weidian.com/item.html?itemID=7622647593")</f>
        <v>https://weidian.com/item.html?itemID=7622647593</v>
      </c>
      <c r="D53"/>
      <c r="E53" s="2" t="str">
        <f>=HYPERLINK("https://si.geilicdn.com/pcitem2014204438-4ce70000019adcabf7590a20e672_1223_1529.jpg?w=640&amp;h=640", "https://si.geilicdn.com/pcitem2014204438-4ce70000019adcabf7590a20e672_1223_1529.jpg?w=640&amp;h=640")</f>
        <v>https://si.geilicdn.com/pcitem2014204438-4ce70000019adcabf7590a20e672_1223_1529.jpg?w=640&amp;h=640</v>
      </c>
      <c r="F53" t="inlineStr">
        <is>
          <t>Hats</t>
        </is>
      </c>
      <c r="G53" t="inlineStr">
        <is>
          <t>Burberry</t>
        </is>
      </c>
      <c r="H53">
        <v>250</v>
      </c>
      <c r="I53">
        <v>36.23</v>
      </c>
      <c r="J53" t="inlineStr">
        <is>
          <t>{"id":"chatcmpl-DZoIYj6EvWS1MFldlU0GIKTLMztcW","object":"chat.completion","created":1777427198,"model":"gpt-5-chat-2025-10-03","choices":[{"index":0,"message":{"role":"assistant","content":"Burberry Black Wool Knit Hat Beige Logo Unisex Winter","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53" t="inlineStr">
        <is>
          <t>Burberry Black Wool Knit Hat Beige Logo Unisex Winter</t>
        </is>
      </c>
      <c r="L53" t="inlineStr">
        <is>
          <t>{"id":"chatcmpl-DZo9LkJk3jfDAOKoA8OxDxgRe9gJP","object":"chat.completion","created":1777426627,"model":"gpt-5-chat-2025-10-03","choices":[{"index":0,"message":{"role":"assistant","content":"Burberry Black Knitted Wool Hat with Beige Logo Band, soft and warm for winter, unisex street-style fashion, British minimalist design for modern urban wear.","refusal":null,"annotations":[]},"logprobs":null,"finish_reason":"stop"}],"usage":{"prompt_tokens":882,"completion_tokens":33,"total_tokens":915,"prompt_tokens_details":{"cached_tokens":0,"audio_tokens":0},"completion_tokens_details":{"reasoning_tokens":0,"audio_tokens":0,"accepted_prediction_tokens":0,"rejected_prediction_tokens":0}},"service_tier":"default","system_fingerprint":"fp_ad66631dec"}</t>
        </is>
      </c>
      <c r="M53" t="inlineStr">
        <is>
          <t>{"alt-svc":"h3=\":443\"; ma=2592000","apim-request-id":"8352b6ba-abaa-41eb-998b-f52cecb62556","azureml-model-session":"d20260405225800-40f19e54","cache-control":"no-cache","connection":"close","content-length":"965","content-type":"application/json","date":"Wed, 29 Apr 2026 01:37:08 GMT","server":"nginx","skip-error-remapping":"true","strict-transport-security":"max-age=31536000; includeSubDomains; preload","via":"1.1 Caddy","x-content-type-options":"nosniff","x-ms-client-request-id":"Not-Set","x-ms-is-spilled-over":"false","x-ms-rai-invoked":"false","x-ms-region":"Central US","x-new-api-version":"0.4.35","x-oneapi-request-id":"202604290137061666362038268d9d6A24Iy8I5","x-ratelimit-abusepenalty-active":"False","x-ratelimit-key":"gpt-5-chat-global","x-ratelimit-limit-requests":"1000","x-ratelimit-limit-tokens":"1000000","x-ratelimit-remaining-requests":"999","x-ratelimit-remaining-tokens":"998356","x-ratelimit-renewalperiod-requests":"60","x-ratelimit-renewalperiod-tokens":"60","x-ratelimit-reset-requests":"60","x-ratelimit-reset-tokens":"98","x-request-id":"a8f04457-41bf-44bd-ac93-781fd95122d9"}</t>
        </is>
      </c>
      <c r="N53" t="inlineStr">
        <is>
          <t>Burberry Black Knitted Wool Hat with Beige Logo Band, soft and warm for winter, unisex street-style fashion, British minimalist design for modern urban wear.</t>
        </is>
      </c>
      <c r="O53" t="inlineStr">
        <is>
          <t>{"id":"chatcmpl-DZoK48Cup4aFrXBUJcGH2CKSDY7h7","object":"chat.completion","created":1777427292,"model":"gpt-5-chat-2025-10-03","choices":[{"index":0,"message":{"role":"assistant","content":"Burberry,Hats,kakobuy,kakebuy2026,kekobuysheet,kakobuysheet2026,2026kakobuy,kakobuyspreadsheet,kakobuylink,kakebuylist,Kakobuy MEGA Spreadsheet,kakobuysheetfind,kakobuysheetfind2026,2026kakobuysheetfind,kakobuysheet2026","refusal":null,"annotations":[]},"logprobs":null,"finish_reason":"stop"}],"usage":{"prompt_tokens":783,"completion_tokens":85,"total_tokens":868,"prompt_tokens_details":{"cached_tokens":0,"audio_tokens":0},"completion_tokens_details":{"reasoning_tokens":0,"audio_tokens":0,"accepted_prediction_tokens":0,"rejected_prediction_tokens":0}},"service_tier":"default","system_fingerprint":"fp_fd471178c5"}</t>
        </is>
      </c>
      <c r="P53" t="inlineStr">
        <is>
          <t>Burberry,Hats,kakobuy,kakebuy2026,kekobuysheet,kakobuysheet2026,2026kakobuy,kakobuyspreadsheet,kakobuylink,kakebuylist,Kakobuy MEGA Spreadsheet,kakobuysheetfind,kakobuysheetfind2026,2026kakobuysheetfind,kakobuysheet2026</t>
        </is>
      </c>
      <c r="Q53" t="inlineStr">
        <is>
          <t>Black, Beige, Knit, Wool, Winter, Unisex</t>
        </is>
      </c>
      <c r="R53" t="inlineStr">
        <is>
          <t>recvhju1CruSNi</t>
        </is>
      </c>
      <c r="S53" t="inlineStr">
        <is>
          <t>burberry-black-wool-knit-hat-beige-logo-recvhju1cruSNi</t>
        </is>
      </c>
      <c r="T53"/>
      <c r="U53"/>
      <c r="V53"/>
      <c r="W53" t="inlineStr">
        <is>
          <t>{"id":"chatcmpl-DZnvvtywLFYW0Y81O5Kkp3yBWHhIN","object":"chat.completion","created":1777425795,"model":"gpt-5-chat-2025-10-03","choices":[{"index":0,"message":{"role":"assistant","content":"Burberry：黑色针织羊毛帽，饰以米色品牌字母织带，柔软保暖兼具街头格调，英伦简约设计，男女皆宜冬季针织帽。","refusal":null,"annotations":[]},"logprobs":null,"finish_reason":"stop"}],"usage":{"prompt_tokens":1300,"completion_tokens":48,"total_tokens":1348,"prompt_tokens_details":{"cached_tokens":0,"audio_tokens":0},"completion_tokens_details":{"reasoning_tokens":0,"audio_tokens":0,"accepted_prediction_tokens":0,"rejected_prediction_tokens":0}},"service_tier":"default","system_fingerprint":"fp_ad66631dec"}</t>
        </is>
      </c>
      <c r="X53" t="inlineStr">
        <is>
          <t>Burberry：黑色针织羊毛帽，饰以米色品牌字母织带，柔软保暖兼具街头格调，英伦简约设计，男女皆宜冬季针织帽。</t>
        </is>
      </c>
    </row>
    <row r="54" ht="25.5" customHeight="1">
      <c r="A54">
        <v>1654975475</v>
      </c>
      <c r="B54">
        <v>7625564616</v>
      </c>
      <c r="C54" s="2" t="str">
        <f>=HYPERLINK("https://weidian.com/item.html?itemID=7625564616", "https://weidian.com/item.html?itemID=7625564616")</f>
        <v>https://weidian.com/item.html?itemID=7625564616</v>
      </c>
      <c r="D54"/>
      <c r="E54" s="2" t="str">
        <f>=HYPERLINK("https://si.geilicdn.com/pcitem2014204438-44850000019adca308300a20e7c7_1442_1922.jpg?w=640&amp;h=640", "https://si.geilicdn.com/pcitem2014204438-44850000019adca308300a20e7c7_1442_1922.jpg?w=640&amp;h=640")</f>
        <v>https://si.geilicdn.com/pcitem2014204438-44850000019adca308300a20e7c7_1442_1922.jpg?w=640&amp;h=640</v>
      </c>
      <c r="F54" t="inlineStr">
        <is>
          <t>Hats</t>
        </is>
      </c>
      <c r="G54" t="inlineStr">
        <is>
          <t xml:space="preserve"> Loro Piana</t>
        </is>
      </c>
      <c r="H54">
        <v>270</v>
      </c>
      <c r="I54">
        <v>39.13</v>
      </c>
      <c r="J54" t="inlineStr">
        <is>
          <t>{"id":"chatcmpl-DZoEZ6WfhnZy9o9draMn7fGhqhze0","object":"chat.completion","created":1777426951,"model":"gpt-5-chat-2025-10-03","choices":[{"index":0,"message":{"role":"assistant","content":"Loro Piana Lago Orange Sun Protection Cap","refusal":null,"annotations":[]},"logprobs":null,"finish_reason":"stop"}],"usage":{"prompt_tokens":884,"completion_tokens":10,"total_tokens":894,"prompt_tokens_details":{"cached_tokens":0,"audio_tokens":0},"completion_tokens_details":{"reasoning_tokens":0,"audio_tokens":0,"accepted_prediction_tokens":0,"rejected_prediction_tokens":0}},"service_tier":"default","system_fingerprint":"fp_ad66631dec"}</t>
        </is>
      </c>
      <c r="K54" t="inlineStr">
        <is>
          <t>Loro Piana Lago Orange Sun Protection Cap</t>
        </is>
      </c>
      <c r="L54" t="inlineStr">
        <is>
          <t>{"id":"chatcmpl-DZo6MNJNwLc0mi1gkfjLnibZt09m6","object":"chat.completion","created":1777426442,"model":"gpt-5-chat-2025-10-03","choices":[{"index":0,"message":{"role":"assistant","content":"Loro Piana Lago Orange Sun Protection Cap, crafted from water-repellent lightweight fabric with breathable six-panel curved brim, subtle embroidered logo, unisex casual elegance for daily wear and travel.","refusal":null,"annotations":[]},"logprobs":null,"finish_reason":"stop"}],"usage":{"prompt_tokens":918,"completion_tokens":40,"total_tokens":958,"prompt_tokens_details":{"cached_tokens":0,"audio_tokens":0},"completion_tokens_details":{"reasoning_tokens":0,"audio_tokens":0,"accepted_prediction_tokens":0,"rejected_prediction_tokens":0}},"service_tier":"default","system_fingerprint":"fp_ad66631dec"}</t>
        </is>
      </c>
      <c r="M54" t="inlineStr">
        <is>
          <t>{"alt-svc":"h3=\":443\"; ma=2592000","apim-request-id":"de95a272-798f-4928-84e1-0f83247860a1","azureml-model-session":"d20260405225800-40f19e54","cache-control":"no-cache","connection":"close","content-length":"1012","content-type":"application/json","date":"Wed, 29 Apr 2026 01:34:04 GMT","server":"Caddy","skip-error-remapping":"true","strict-transport-security":"max-age=31536000; includeSubDomains; preload","x-content-type-options":"nosniff","x-ms-client-request-id":"Not-Set","x-ms-is-spilled-over":"false","x-ms-rai-invoked":"false","x-ms-region":"Poland Central","x-new-api-version":"0.4.35","x-oneapi-request-id":"202604290134011573875628268d9d69iqEpRJZ","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90301de7-d654-4a58-b337-a5279043c270"}</t>
        </is>
      </c>
      <c r="N54" t="inlineStr">
        <is>
          <t>Loro Piana Lago Orange Sun Protection Cap, crafted from water-repellent lightweight fabric with breathable six-panel curved brim, subtle embroidered logo, unisex casual elegance for daily wear and travel.</t>
        </is>
      </c>
      <c r="O54" t="inlineStr">
        <is>
          <t>{"id":"chatcmpl-DZoPFSb0YjRZzPTfEvJev85qF7DN5","object":"chat.completion","created":1777427613,"model":"gpt-5-chat-2025-10-03","choices":[{"index":0,"message":{"role":"assistant","content":"Loro Piana,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P54" t="inlineStr">
        <is>
          <t>Loro Piana, Hats, kakobuy, kakebuy2026, kekobuysheet, kakobuysheet2026, 2026kakobuy, kakobuyspreadsheeet, kakobuylink, kakebuylist, Kakobuy MEGA Spreadsheet, kakobuysheetfind, kakobuysheetfind2026, 2026kakobuysheetfind, kakobuysheet2026</t>
        </is>
      </c>
      <c r="Q54" t="inlineStr">
        <is>
          <t>Orange, Sun Protection, Lightweight, Breathable, Unisex</t>
        </is>
      </c>
      <c r="R54" t="inlineStr">
        <is>
          <t>recvhju1Crr1ed</t>
        </is>
      </c>
      <c r="S54" t="inlineStr">
        <is>
          <t>loro-piana-lago-orange-sun-protection-cap-recvhju1crr1ed</t>
        </is>
      </c>
      <c r="T54"/>
      <c r="U54"/>
      <c r="V54"/>
      <c r="W54" t="inlineStr">
        <is>
          <t>{"id":"chatcmpl-DZo0TPGnpKGXInqGMdDTSvB3QoaJv","object":"chat.completion","created":1777426077,"model":"gpt-5-chat-2025-10-03","choices":[{"index":0,"message":{"role":"assistant","content":"Loro Piana：Lago系列橙色防晒棒球帽，甄选防泼水高性能面料，轻盈透气，六片式弧形帽檐设计，低调刺绣Logo彰显精致品味，简约休闲风格，男女皆宜，适合日常通勤与度假出行。","refusal":null,"annotations":[]},"logprobs":null,"finish_reason":"stop"}],"usage":{"prompt_tokens":1304,"completion_tokens":82,"total_tokens":1386,"prompt_tokens_details":{"cached_tokens":0,"audio_tokens":0},"completion_tokens_details":{"reasoning_tokens":0,"audio_tokens":0,"accepted_prediction_tokens":0,"rejected_prediction_tokens":0}},"service_tier":"default","system_fingerprint":"fp_ad66631dec"}</t>
        </is>
      </c>
      <c r="X54" t="inlineStr">
        <is>
          <t>Loro Piana：Lago系列橙色防晒棒球帽，甄选防泼水高性能面料，轻盈透气，六片式弧形帽檐设计，低调刺绣Logo彰显精致品味，简约休闲风格，男女皆宜，适合日常通勤与度假出行。</t>
        </is>
      </c>
    </row>
    <row r="55" ht="25.5" customHeight="1">
      <c r="A55">
        <v>1654975475</v>
      </c>
      <c r="B55">
        <v>7622586605</v>
      </c>
      <c r="C55" s="2" t="str">
        <f>=HYPERLINK("https://weidian.com/item.html?itemID=7622586605", "https://weidian.com/item.html?itemID=7622586605")</f>
        <v>https://weidian.com/item.html?itemID=7622586605</v>
      </c>
      <c r="D55"/>
      <c r="E55" s="2" t="str">
        <f>=HYPERLINK("https://si.geilicdn.com/pcitem2014204438-566b0000019adca1fe4d0a2303ee_1080_1080.jpg?w=640&amp;h=640", "https://si.geilicdn.com/pcitem2014204438-566b0000019adca1fe4d0a2303ee_1080_1080.jpg?w=640&amp;h=640")</f>
        <v>https://si.geilicdn.com/pcitem2014204438-566b0000019adca1fe4d0a2303ee_1080_1080.jpg?w=640&amp;h=640</v>
      </c>
      <c r="F55" t="inlineStr">
        <is>
          <t>Hats</t>
        </is>
      </c>
      <c r="G55" t="inlineStr">
        <is>
          <t>Louis Vuitton</t>
        </is>
      </c>
      <c r="H55">
        <v>210</v>
      </c>
      <c r="I55">
        <v>30.43</v>
      </c>
      <c r="J55" t="inlineStr">
        <is>
          <t>{"id":"chatcmpl-DZoCap4yfoTzAZzaR9s5dwoDD5VKW","object":"chat.completion","created":1777426828,"model":"gpt-5-chat-2025-10-03","choices":[{"index":0,"message":{"role":"assistant","content":"Louis Vuitton Red Wool Monogram Lucky Cat Hat","refusal":null,"annotations":[]},"logprobs":null,"finish_reason":"stop"}],"usage":{"prompt_tokens":866,"completion_tokens":10,"total_tokens":876,"prompt_tokens_details":{"cached_tokens":0,"audio_tokens":0},"completion_tokens_details":{"reasoning_tokens":0,"audio_tokens":0,"accepted_prediction_tokens":0,"rejected_prediction_tokens":0}},"service_tier":"default","system_fingerprint":"fp_ad66631dec"}</t>
        </is>
      </c>
      <c r="K55" t="inlineStr">
        <is>
          <t>Louis Vuitton Red Wool Monogram Lucky Cat Hat</t>
        </is>
      </c>
      <c r="L55" t="inlineStr">
        <is>
          <t>{"id":"chatcmpl-DZoAgYe8S1Jn40hqg9DFJuAns3R97","object":"chat.completion","created":1777426710,"model":"gpt-5-chat-2025-10-03","choices":[{"index":0,"message":{"role":"assistant","content":"Louis Vuitton Red Wool Knit Hat featuring classic Monogram and Lucky Cat embroidery patch, soft premium material, unisex warm winter accessory with chic French luxury style.","refusal":null,"annotations":[]},"logprobs":null,"finish_reason":"stop"}],"usage":{"prompt_tokens":916,"completion_tokens":32,"total_tokens":948,"prompt_tokens_details":{"cached_tokens":0,"audio_tokens":0},"completion_tokens_details":{"reasoning_tokens":0,"audio_tokens":0,"accepted_prediction_tokens":0,"rejected_prediction_tokens":0}},"service_tier":"default","system_fingerprint":"fp_ad66631dec"}</t>
        </is>
      </c>
      <c r="M55" t="inlineStr">
        <is>
          <t>{"alt-svc":"h3=\":443\"; ma=2592000","apim-request-id":"d1636fe8-ea3f-4c05-b28b-71e57de4534e","azureml-model-session":"d20260405225800-40f19e54","cache-control":"no-cache","connection":"close","content-length":"981","content-type":"application/json","date":"Wed, 29 Apr 2026 01:38:31 GMT","server":"nginx","skip-error-remapping":"true","strict-transport-security":"max-age=31536000; includeSubDomains; preload","via":"1.1 Caddy","x-content-type-options":"nosniff","x-ms-client-request-id":"Not-Set","x-ms-is-spilled-over":"false","x-ms-rai-invoked":"false","x-ms-region":"West US","x-new-api-version":"0.4.35","x-oneapi-request-id":"202604290138294619758728268d9d6Qqh9J9OP","x-ratelimit-abusepenalty-active":"False","x-ratelimit-key":"gpt-5-chat-global","x-ratelimit-limit-requests":"1000","x-ratelimit-limit-tokens":"1000000","x-ratelimit-remaining-requests":"999","x-ratelimit-remaining-tokens":"998322","x-ratelimit-renewalperiod-requests":"60","x-ratelimit-renewalperiod-tokens":"60","x-ratelimit-reset-requests":"60","x-ratelimit-reset-tokens":"100","x-request-id":"319464b4-7d08-4d30-89fa-8f2f1e8613e3"}</t>
        </is>
      </c>
      <c r="N55" t="inlineStr">
        <is>
          <t>Louis Vuitton Red Wool Knit Hat featuring classic Monogram and Lucky Cat embroidery patch, soft premium material, unisex warm winter accessory with chic French luxury style.</t>
        </is>
      </c>
      <c r="O55" t="inlineStr">
        <is>
          <t>{"id":"chatcmpl-DZoRaAExMSJGVESn2dxi7gUfUwoFe","object":"chat.completion","created":1777427758,"model":"gpt-5-chat-2025-10-03","choices":[{"index":0,"message":{"role":"assistant","content":"Louis Vuitton,Hats,kakobuy,kakebuy2026,kekobuysheet,kakobuysheet2026,2026kakobuy,kakobuyspreadsheeet,kakobuylink,kakebuylist,Kakobuy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55" t="inlineStr">
        <is>
          <t>Louis Vuitton,Hats,kakobuy,kakebuy2026,kekobuysheet,kakobuysheet2026,2026kakobuy,kakobuyspreadsheeet,kakobuylink,kakebuylist,Kakobuy MEGA Spreadsheet,kakobuysheetfind,kakobuysheetfind2026,2026kakobuysheetfind,kakobuysheet2026</t>
        </is>
      </c>
      <c r="Q55" t="inlineStr">
        <is>
          <t>LV, Red, Wool, Unisex, Winter, High End</t>
        </is>
      </c>
      <c r="R55" t="inlineStr">
        <is>
          <t>recvhju1CrJyy2</t>
        </is>
      </c>
      <c r="S55" t="inlineStr">
        <is>
          <t>louis-vuitton-red-wool-monogram-lucky-cat-hat-recvhju1crjyy2</t>
        </is>
      </c>
      <c r="T55"/>
      <c r="U55"/>
      <c r="V55"/>
      <c r="W55" t="inlineStr">
        <is>
          <t>{"id":"chatcmpl-DZnvo2n37j6jcuokYMwt4QlCLO1D8","object":"chat.completion","created":1777425788,"model":"gpt-5-chat-2025-10-03","choices":[{"index":0,"message":{"role":"assistant","content":"Louis Vuitton：红色针织毛线帽，甄选柔软羊毛材质，点缀经典Monogram与吉祥猫刺绣徽章，设计精致活泼，呈现品牌摩登奢华风格。男女皆宜，冬季保暖必备单品，展现法式高端时尚魅力。","refusal":null,"annotations":[]},"logprobs":null,"finish_reason":"stop"}],"usage":{"prompt_tokens":1304,"completion_tokens":80,"total_tokens":1384,"prompt_tokens_details":{"cached_tokens":0,"audio_tokens":0},"completion_tokens_details":{"reasoning_tokens":0,"audio_tokens":0,"accepted_prediction_tokens":0,"rejected_prediction_tokens":0}},"service_tier":"default","system_fingerprint":"fp_ad66631dec"}</t>
        </is>
      </c>
      <c r="X55" t="inlineStr">
        <is>
          <t>Louis Vuitton：红色针织毛线帽，甄选柔软羊毛材质，点缀经典Monogram与吉祥猫刺绣徽章，设计精致活泼，呈现品牌摩登奢华风格。男女皆宜，冬季保暖必备单品，展现法式高端时尚魅力。</t>
        </is>
      </c>
    </row>
    <row r="56" ht="25.5" customHeight="1">
      <c r="A56">
        <v>1654975475</v>
      </c>
      <c r="B56">
        <v>7625535100</v>
      </c>
      <c r="C56" s="2" t="str">
        <f>=HYPERLINK("https://weidian.com/item.html?itemID=7625535100", "https://weidian.com/item.html?itemID=7625535100")</f>
        <v>https://weidian.com/item.html?itemID=7625535100</v>
      </c>
      <c r="D56"/>
      <c r="E56" s="2" t="str">
        <f>=HYPERLINK("https://si.geilicdn.com/pcitem2014204438-4f680000019adc9b55300a210256_1080_1440.jpg?w=640&amp;h=640", "https://si.geilicdn.com/pcitem2014204438-4f680000019adc9b55300a210256_1080_1440.jpg?w=640&amp;h=640")</f>
        <v>https://si.geilicdn.com/pcitem2014204438-4f680000019adc9b55300a210256_1080_1440.jpg?w=640&amp;h=640</v>
      </c>
      <c r="F56" t="inlineStr">
        <is>
          <t>Hats</t>
        </is>
      </c>
      <c r="G56" t="inlineStr">
        <is>
          <t>Miu Miu</t>
        </is>
      </c>
      <c r="H56">
        <v>270</v>
      </c>
      <c r="I56">
        <v>39.13</v>
      </c>
      <c r="J56" t="inlineStr">
        <is>
          <t>{"id":"chatcmpl-DZoDID2JKiQKD5wA3YKP7tXj6uXoc","object":"chat.completion","created":1777426872,"model":"gpt-5-chat-2025-10-03","choices":[{"index":0,"message":{"role":"assistant","content":"Miu Miu Black Corduroy Wide Brim Hat Italy","refusal":null,"annotations":[]},"logprobs":null,"finish_reason":"stop"}],"usage":{"prompt_tokens":894,"completion_tokens":14,"total_tokens":908,"prompt_tokens_details":{"cached_tokens":0,"audio_tokens":0},"completion_tokens_details":{"reasoning_tokens":0,"audio_tokens":0,"accepted_prediction_tokens":0,"rejected_prediction_tokens":0}},"service_tier":"default","system_fingerprint":"fp_fd471178c5"}</t>
        </is>
      </c>
      <c r="K56" t="inlineStr">
        <is>
          <t>Miu Miu Black Corduroy Wide Brim Hat Italy</t>
        </is>
      </c>
      <c r="L56" t="inlineStr">
        <is>
          <t>{"id":"chatcmpl-DZo3ARuFNhE3LaDQkdDGRNDgMPuKO","object":"chat.completion","created":1777426244,"model":"gpt-5-chat-2025-10-03","choices":[{"index":0,"message":{"role":"assistant","content":"Miu Miu Black Corduroy Wide-Brim Hat, made in Italy with refined craftsmanship. Soft, stylish, and vintage-inspired, featuring a 3D logo design. Unisex hat for modern urban fashion.","refusal":null,"annotations":[]},"logprobs":null,"finish_reason":"stop"}],"usage":{"prompt_tokens":906,"completion_tokens":45,"total_tokens":951,"prompt_tokens_details":{"cached_tokens":0,"audio_tokens":0},"completion_tokens_details":{"reasoning_tokens":0,"audio_tokens":0,"accepted_prediction_tokens":0,"rejected_prediction_tokens":0}},"service_tier":"default","system_fingerprint":"fp_ad66631dec"}</t>
        </is>
      </c>
      <c r="M56" t="inlineStr">
        <is>
          <t>{"alt-svc":"h3=\":443\"; ma=2592000","apim-request-id":"f9846e80-6c79-4ae8-9a7d-a9e47a5bd7ea","azureml-model-session":"d20260405225800-40f19e54","cache-control":"no-cache","connection":"close","content-length":"989","content-type":"application/json","date":"Wed, 29 Apr 2026 01:30:46 GMT","server":"nginx","skip-error-remapping":"true","strict-transport-security":"max-age=31536000; includeSubDomains; preload","via":"1.1 Caddy","x-content-type-options":"nosniff","x-ms-client-request-id":"Not-Set","x-ms-is-spilled-over":"false","x-ms-rai-invoked":"false","x-ms-region":"Sweden Central","x-new-api-version":"0.4.35","x-oneapi-request-id":"202604290130423609188348268d9d62prKDifi","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250098f0-03ef-49c6-a482-39db28cf929a"}</t>
        </is>
      </c>
      <c r="N56" t="inlineStr">
        <is>
          <t>Miu Miu Black Corduroy Wide-Brim Hat, made in Italy with refined craftsmanship. Soft, stylish, and vintage-inspired, featuring a 3D logo design. Unisex hat for modern urban fashion.</t>
        </is>
      </c>
      <c r="O56" t="inlineStr">
        <is>
          <t>{"id":"chatcmpl-DZoJczjvMXkjoJyxODa6H4plXwwep","object":"chat.completion","created":1777427264,"model":"gpt-5-chat-2025-10-03","choices":[{"index":0,"message":{"role":"assistant","content":"Miu Miu,Hats,kakobuy,kakebuy2026,kekobuysheet,kakobuysheet2026,2026kakobuy,kakobuyspreadsheeet,kakobuylink,kakebuylist,Kakobuy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P56" t="inlineStr">
        <is>
          <t>Miu Miu,Hats,kakobuy,kakebuy2026,kekobuysheet,kakobuysheet2026,2026kakobuy,kakobuyspreadsheeet,kakobuylink,kakebuylist,Kakobuy MEGA Spreadsheet,kakobuysheetfind,kakobuysheetfind2026,2026kakobuysheetfind,kakobuysheet2026</t>
        </is>
      </c>
      <c r="Q56" t="inlineStr">
        <is>
          <t>Black, Vintage, Unisex</t>
        </is>
      </c>
      <c r="R56" t="inlineStr">
        <is>
          <t>recvhju1Crbh7X</t>
        </is>
      </c>
      <c r="S56" t="inlineStr">
        <is>
          <t>miu-miu-black-corduroy-wide-brim-hat-italy-recvhju1crbh7x</t>
        </is>
      </c>
      <c r="T56"/>
      <c r="U56"/>
      <c r="V56"/>
      <c r="W56" t="inlineStr">
        <is>
          <t>{"id":"chatcmpl-DZntOm9X0qkzqj1C1lETgIKMCNhya","object":"chat.completion","created":1777425638,"model":"gpt-5-chat-2025-10-03","choices":[{"index":0,"message":{"role":"assistant","content":"Miu Miu：黑色灯芯绒宽檐帽，意大利精工制作，柔软舒适彰显复古格调。正面绣有品牌立体标识，设计简约又具高级感，适合男女通用，都市休闲与摩登风格完美融合。","refusal":null,"annotations":[]},"logprobs":null,"finish_reason":"stop"}],"usage":{"prompt_tokens":1302,"completion_tokens":71,"total_tokens":1373,"prompt_tokens_details":{"cached_tokens":1280,"audio_tokens":0},"completion_tokens_details":{"reasoning_tokens":0,"audio_tokens":0,"accepted_prediction_tokens":0,"rejected_prediction_tokens":0}},"service_tier":"default","system_fingerprint":"fp_ad66631dec"}</t>
        </is>
      </c>
      <c r="X56" t="inlineStr">
        <is>
          <t>Miu Miu：黑色灯芯绒宽檐帽，意大利精工制作，柔软舒适彰显复古格调。正面绣有品牌立体标识，设计简约又具高级感，适合男女通用，都市休闲与摩登风格完美融合。</t>
        </is>
      </c>
    </row>
    <row r="57" ht="25.5" customHeight="1">
      <c r="A57">
        <v>1654975475</v>
      </c>
      <c r="B57">
        <v>7622649367</v>
      </c>
      <c r="C57" s="2" t="str">
        <f>=HYPERLINK("https://weidian.com/item.html?itemID=7622649367", "https://weidian.com/item.html?itemID=7622649367")</f>
        <v>https://weidian.com/item.html?itemID=7622649367</v>
      </c>
      <c r="D57"/>
      <c r="E57" s="2" t="str">
        <f>=HYPERLINK("https://si.geilicdn.com/pcitem2014204438-4eb60000019adc99aeed0a2301b4_1080_1080.jpg?w=640&amp;h=640", "https://si.geilicdn.com/pcitem2014204438-4eb60000019adc99aeed0a2301b4_1080_1080.jpg?w=640&amp;h=640")</f>
        <v>https://si.geilicdn.com/pcitem2014204438-4eb60000019adc99aeed0a2301b4_1080_1080.jpg?w=640&amp;h=640</v>
      </c>
      <c r="F57" t="inlineStr">
        <is>
          <t>Hats</t>
        </is>
      </c>
      <c r="G57" t="inlineStr">
        <is>
          <t>Moncler</t>
        </is>
      </c>
      <c r="H57">
        <v>250</v>
      </c>
      <c r="I57">
        <v>36.23</v>
      </c>
      <c r="J57" t="inlineStr">
        <is>
          <t>{"id":"chatcmpl-DZoCR8BIvrFRMcVrr9ZJCdoA3aAyV","object":"chat.completion","created":1777426819,"model":"gpt-5-chat-2025-10-03","choices":[{"index":0,"message":{"role":"assistant","content":"Moncler Army Green Vintage Distressed Cotton Baseball Cap","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is>
      </c>
      <c r="K57" t="inlineStr">
        <is>
          <t>Moncler Army Green Vintage Distressed Cotton Baseball Cap</t>
        </is>
      </c>
      <c r="L57" t="inlineStr">
        <is>
          <t>{"id":"chatcmpl-DZo9WciAABy0gEaupttkwbDLubqfK","object":"chat.completion","created":1777426638,"model":"gpt-5-chat-2025-10-03","choices":[{"index":0,"message":{"role":"assistant","content":"Moncler Army Green Vintage Distressed Baseball Cap, made of premium soft breathable cotton, features iconic orange logo patch, unisex street style, simple yet chic for everyday wear.","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fd471178c5"}</t>
        </is>
      </c>
      <c r="M57" t="inlineStr">
        <is>
          <t>{"alt-svc":"h3=\":443\"; ma=2592000","apim-request-id":"f5f9fe64-46a7-4366-be5a-46857d0b7cb6","azureml-model-session":"d20260428205641-55ca9797","cache-control":"no-cache","connection":"close","content-length":"990","content-type":"application/json","date":"Wed, 29 Apr 2026 01:37:19 GMT","server":"nginx","skip-error-remapping":"true","strict-transport-security":"max-age=31536000; includeSubDomains; preload","via":"1.1 Caddy","x-content-type-options":"nosniff","x-ms-client-request-id":"Not-Set","x-ms-is-spilled-over":"false","x-ms-rai-invoked":"false","x-ms-region":"South Central US","x-new-api-version":"0.4.35","x-oneapi-request-id":"202604290137173693675278268d9d6FKLRboZE","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c689491e-d5c3-4cc8-85f1-9551797c77b8"}</t>
        </is>
      </c>
      <c r="N57" t="inlineStr">
        <is>
          <t>Moncler Army Green Vintage Distressed Baseball Cap, made of premium soft breathable cotton, features iconic orange logo patch, unisex street style, simple yet chic for everyday wear.</t>
        </is>
      </c>
      <c r="O57" t="inlineStr">
        <is>
          <t>{"id":"chatcmpl-DZoNkoiSdKBoqFCsSSSQrtDkukbu7","object":"chat.completion","created":1777427520,"model":"gpt-5-chat-2025-10-03","choices":[{"index":0,"message":{"role":"assistant","content":"Moncle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57" t="inlineStr">
        <is>
          <t>Moncler,Hat,kakobuy,kakebuy2026,kekobuysheet,kakobuysheet2026,2026kakobuy,kakobuyspreadsheeet,kakobuylink,kakebuylist,Kakobuy MEGA Spreadsheet,kakobuysheetfind,kakobuysheetfind2026,2026kakobuysheetfind,kakobuysheet2026</t>
        </is>
      </c>
      <c r="Q57" t="inlineStr">
        <is>
          <t>Vintage, Distressed, Streetwear, Unisex</t>
        </is>
      </c>
      <c r="R57" t="inlineStr">
        <is>
          <t>recvhju1CrxZHb</t>
        </is>
      </c>
      <c r="S57" t="inlineStr">
        <is>
          <t>moncler-army-green-vintage-cotton-baseball-cap-recvhju1crxzhb</t>
        </is>
      </c>
      <c r="T57"/>
      <c r="U57"/>
      <c r="V57"/>
      <c r="W57" t="inlineStr">
        <is>
          <t>{"id":"chatcmpl-DZns9ojZKTm2qmr1M55vAZ8rZDr7t","object":"chat.completion","created":1777425561,"model":"gpt-5-chat-2025-10-03","choices":[{"index":0,"message":{"role":"assistant","content":"Moncler 军绿色复古做旧棒球帽，采用优质纯棉面料，柔软透气，正面饰以标志性橙色徽章，休闲街头风格，适合男女通用，简约而不失格调。","refusal":null,"annotations":[]},"logprobs":null,"finish_reason":"stop"}],"usage":{"prompt_tokens":1302,"completion_tokens":62,"total_tokens":1364,"prompt_tokens_details":{"cached_tokens":1280,"audio_tokens":0},"completion_tokens_details":{"reasoning_tokens":0,"audio_tokens":0,"accepted_prediction_tokens":0,"rejected_prediction_tokens":0}},"service_tier":"default","system_fingerprint":"fp_fd471178c5"}</t>
        </is>
      </c>
      <c r="X57" t="inlineStr">
        <is>
          <t>Moncler 军绿色复古做旧棒球帽，采用优质纯棉面料，柔软透气，正面饰以标志性橙色徽章，休闲街头风格，适合男女通用，简约而不失格调。</t>
        </is>
      </c>
    </row>
    <row r="58" ht="25.5" customHeight="1">
      <c r="A58">
        <v>1654975475</v>
      </c>
      <c r="B58">
        <v>7625657648</v>
      </c>
      <c r="C58" s="2" t="str">
        <f>=HYPERLINK("https://weidian.com/item.html?itemID=7625657648", "https://weidian.com/item.html?itemID=7625657648")</f>
        <v>https://weidian.com/item.html?itemID=7625657648</v>
      </c>
      <c r="D58"/>
      <c r="E58" s="2" t="str">
        <f>=HYPERLINK("https://si.geilicdn.com/pcitem2014204438-3fbe0000019adc7dd8e90a20e672_1074_1074.jpg?w=640&amp;h=640", "https://si.geilicdn.com/pcitem2014204438-3fbe0000019adc7dd8e90a20e672_1074_1074.jpg?w=640&amp;h=640")</f>
        <v>https://si.geilicdn.com/pcitem2014204438-3fbe0000019adc7dd8e90a20e672_1074_1074.jpg?w=640&amp;h=640</v>
      </c>
      <c r="F58" t="inlineStr">
        <is>
          <t>Hats</t>
        </is>
      </c>
      <c r="G58" t="inlineStr">
        <is>
          <t>Celine</t>
        </is>
      </c>
      <c r="H58">
        <v>220</v>
      </c>
      <c r="I58">
        <v>31.88</v>
      </c>
      <c r="J58" t="inlineStr">
        <is>
          <t>{"id":"chatcmpl-DZoHjEQfhal6RKgHXrCJK4jDSQaj0","object":"chat.completion","created":1777427147,"model":"gpt-5-chat-2025-10-03","choices":[{"index":0,"message":{"role":"assistant","content":"Celine Triomphe Grey Distressed Denim Unisex Logo Hat","refusal":null,"annotations":[]},"logprobs":null,"finish_reason":"stop"}],"usage":{"prompt_tokens":876,"completion_tokens":14,"total_tokens":890,"prompt_tokens_details":{"cached_tokens":0,"audio_tokens":0},"completion_tokens_details":{"reasoning_tokens":0,"audio_tokens":0,"accepted_prediction_tokens":0,"rejected_prediction_tokens":0}},"service_tier":"default","system_fingerprint":"fp_ad66631dec"}</t>
        </is>
      </c>
      <c r="K58" t="inlineStr">
        <is>
          <t>Celine Triomphe Grey Distressed Denim Unisex Logo Hat</t>
        </is>
      </c>
      <c r="L58" t="inlineStr">
        <is>
          <t>{"id":"chatcmpl-DZo9oyVLspVvDmKr5evQ7yXnvkz8Y","object":"chat.completion","created":1777426656,"model":"gpt-5-chat-2025-10-03","choices":[{"index":0,"message":{"role":"assistant","content":"Celine Triomphe Grey Distressed Denim Hat features iconic Double C logo embroidery, unisex casual style, vintage streetwear vibe, versatile denim design embodying effortless French chic.","refusal":null,"annotations":[]},"logprobs":null,"finish_reason":"stop"}],"usage":{"prompt_tokens":892,"completion_tokens":37,"total_tokens":929,"prompt_tokens_details":{"cached_tokens":0,"audio_tokens":0},"completion_tokens_details":{"reasoning_tokens":0,"audio_tokens":0,"accepted_prediction_tokens":0,"rejected_prediction_tokens":0}},"service_tier":"default","system_fingerprint":"fp_ad66631dec"}</t>
        </is>
      </c>
      <c r="M58" t="inlineStr">
        <is>
          <t>{"alt-svc":"h3=\":443\"; ma=2592000","apim-request-id":"acb27df0-e87f-4739-9b0f-fe67eecbdfe5","azureml-model-session":"d20260402074105-51db401e","cache-control":"no-cache","connection":"close","content-length":"994","content-type":"application/json","date":"Wed, 29 Apr 2026 01:37:38 GMT","server":"Caddy","skip-error-remapping":"true","strict-transport-security":"max-age=31536000; includeSubDomains; preload","x-content-type-options":"nosniff","x-ms-client-request-id":"Not-Set","x-ms-is-spilled-over":"false","x-ms-rai-invoked":"false","x-ms-region":"Poland Central","x-new-api-version":"0.4.35","x-oneapi-request-id":"202604290137353436022348268d9d6sCx9uonM","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80c5e7df-3fb9-4b3c-bc6f-53a9cbbc7368"}</t>
        </is>
      </c>
      <c r="N58" t="inlineStr">
        <is>
          <t>Celine Triomphe Grey Distressed Denim Hat features iconic Double C logo embroidery, unisex casual style, vintage streetwear vibe, versatile denim design embodying effortless French chic.</t>
        </is>
      </c>
      <c r="O58" t="inlineStr">
        <is>
          <t>{"id":"chatcmpl-DZoOifJsgY8j8SsiNSlt4PVfGvtXl","object":"chat.completion","created":1777427580,"model":"gpt-5-chat-2025-10-03","choices":[{"index":0,"message":{"role":"assistant","content":"Celine,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fd471178c5"}</t>
        </is>
      </c>
      <c r="P58" t="inlineStr">
        <is>
          <t>Celine, Hat, kakobuy, kakebuy2026, kekobuysheet, kakobuysheet2026, 2026kakobuy, kakobuyspreadsheeet, kakobuylink, kakebuylist, Kakobuy MEGA Spreadsheet, kakobuysheetfind, kakobuysheetfind2026, 2026kakobuysheetfind, kakobuysheet2026</t>
        </is>
      </c>
      <c r="Q58" t="inlineStr">
        <is>
          <t>Celine, Grey, Denim, Unisex, Vintage, Streetwear</t>
        </is>
      </c>
      <c r="R58" t="inlineStr">
        <is>
          <t>recvhju1CrbTtD</t>
        </is>
      </c>
      <c r="S58" t="inlineStr">
        <is>
          <t>celine-triomphe-grey-distressed-denim-logo-hat-recvhju1crbtdd</t>
        </is>
      </c>
      <c r="T58"/>
      <c r="U58"/>
      <c r="V58"/>
      <c r="W58" t="inlineStr">
        <is>
          <t>{"id":"chatcmpl-DZnwfbdkGHWnLJVcVvCHiUtLKTjGt","object":"chat.completion","created":1777425841,"model":"gpt-5-chat-2025-10-03","choices":[{"index":0,"message":{"role":"assistant","content":"Celine：Triomphe系列灰色做旧牛仔帽，标志性双C Logo刺绣设计，复古街头风格，中性款式，休闲百搭牛仔材质，彰显法式时尚态度。","refusal":null,"annotations":[]},"logprobs":null,"finish_reason":"stop"}],"usage":{"prompt_tokens":1304,"completion_tokens":56,"total_tokens":1360,"prompt_tokens_details":{"cached_tokens":0,"audio_tokens":0},"completion_tokens_details":{"reasoning_tokens":0,"audio_tokens":0,"accepted_prediction_tokens":0,"rejected_prediction_tokens":0}},"service_tier":"default","system_fingerprint":"fp_ad66631dec"}</t>
        </is>
      </c>
      <c r="X58" t="inlineStr">
        <is>
          <t>Celine：Triomphe系列灰色做旧牛仔帽，标志性双C Logo刺绣设计，复古街头风格，中性款式，休闲百搭牛仔材质，彰显法式时尚态度。</t>
        </is>
      </c>
    </row>
    <row r="59" ht="25.5" customHeight="1">
      <c r="A59">
        <v>1654975475</v>
      </c>
      <c r="B59">
        <v>7694537957</v>
      </c>
      <c r="C59" s="2" t="str">
        <f>=HYPERLINK("https://weidian.com/item.html?itemID=7694537957", "https://weidian.com/item.html?itemID=7694537957")</f>
        <v>https://weidian.com/item.html?itemID=7694537957</v>
      </c>
      <c r="D59"/>
      <c r="E59" s="2" t="str">
        <f>=HYPERLINK("https://si.geilicdn.com/open1654975475-252808396-72af0000019c8337187b0a231226_800_800.jpg?w=640&amp;h=640", "https://si.geilicdn.com/open1654975475-252808396-72af0000019c8337187b0a231226_800_800.jpg?w=640&amp;h=640")</f>
        <v>https://si.geilicdn.com/open1654975475-252808396-72af0000019c8337187b0a231226_800_800.jpg?w=640&amp;h=640</v>
      </c>
      <c r="F59" t="inlineStr">
        <is>
          <t>Toys</t>
        </is>
      </c>
      <c r="G59" t="inlineStr">
        <is>
          <t>Other</t>
        </is>
      </c>
      <c r="H59">
        <v>172</v>
      </c>
      <c r="I59">
        <v>24.93</v>
      </c>
      <c r="J59" t="inlineStr">
        <is>
          <t>{"id":"chatcmpl-DZoFhfbS1bPrd9gryPuTvwyhbpvgh","object":"chat.completion","created":1777427021,"model":"gpt-5-chat-2025-10-03","choices":[{"index":0,"message":{"role":"assistant","content":"ToysOtherAI RX-F Smart Robot Dog White Toy","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59" t="inlineStr">
        <is>
          <t>ToysOtherAI RX-F Smart Robot Dog White Toy</t>
        </is>
      </c>
      <c r="L59" t="inlineStr">
        <is>
          <t>{"id":"chatcmpl-DZo3H7vk060qCG9F3CrFFPOo57pO2","object":"chat.completion","created":1777426251,"model":"gpt-5-chat-2025-10-03","choices":[{"index":0,"message":{"role":"assistant","content":"ToysOtherAI RX-F Smart Robot Dog White Programming Edition with voice and remote control, fun dancing, lights, sounds, interactive stories, educational toy for boys and girls.","refusal":null,"annotations":[]},"logprobs":null,"finish_reason":"stop"}],"usage":{"prompt_tokens":894,"completion_tokens":36,"total_tokens":930,"prompt_tokens_details":{"cached_tokens":0,"audio_tokens":0},"completion_tokens_details":{"reasoning_tokens":0,"audio_tokens":0,"accepted_prediction_tokens":0,"rejected_prediction_tokens":0}},"service_tier":"default","system_fingerprint":"fp_ad66631dec"}</t>
        </is>
      </c>
      <c r="M59" t="inlineStr">
        <is>
          <t>{"alt-svc":"h3=\":443\"; ma=2592000","apim-request-id":"eee77886-fa9a-4367-b9b3-37dd7e81b449","azureml-model-session":"d20260402075109-1fc5a0ec","cache-control":"no-cache","connection":"close","content-length":"983","content-type":"application/json","date":"Wed, 29 Apr 2026 01:30:52 GMT","server":"Caddy","skip-error-remapping":"true","strict-transport-security":"max-age=31536000; includeSubDomains; preload","x-content-type-options":"nosniff","x-ms-client-request-id":"Not-Set","x-ms-is-spilled-over":"false","x-ms-rai-invoked":"false","x-ms-region":"South Central US","x-new-api-version":"0.4.35","x-oneapi-request-id":"202604290130503613051468268d9d6zwQ3kPqc","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0c2fa00c-124e-46cd-baa4-b45a4df97093"}</t>
        </is>
      </c>
      <c r="N59" t="inlineStr">
        <is>
          <t>ToysOtherAI RX-F Smart Robot Dog White Programming Edition with voice and remote control, fun dancing, lights, sounds, interactive stories, educational toy for boys and girls.</t>
        </is>
      </c>
      <c r="O59" t="inlineStr">
        <is>
          <t>{"id":"chatcmpl-DZoSCDO42FcvHz6c6WMQDxxbml1e9","object":"chat.completion","created":1777427796,"model":"gpt-5-chat-2025-10-03","choices":[{"index":0,"message":{"role":"assistant","content":"RX-F,robot dog toys,kakobuy,kakebuy2026,kekobuysheet,kakobuysheet2026,2026kakobuy,kakobuyspreadsheeet,kakobuylink,kakebuylist,Kakobuy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fd471178c5"}</t>
        </is>
      </c>
      <c r="P59" t="inlineStr">
        <is>
          <t>RX-F,robot dog toys,kakobuy,kakebuy2026,kekobuysheet,kakobuysheet2026,2026kakobuy,kakobuyspreadsheeet,kakobuylink,kakebuylist,Kakobuy MEGA Spreadsheet,kakobuysheetfind,kakobuysheetfind2026,2026kakobuysheetfind,kakobuysheet2026</t>
        </is>
      </c>
      <c r="Q59"/>
      <c r="R59" t="inlineStr">
        <is>
          <t>recvhju1CrTN1F</t>
        </is>
      </c>
      <c r="S59" t="inlineStr">
        <is>
          <t>rx-f-smart-robot-dog-white-toy-recvhju1crtn1f</t>
        </is>
      </c>
      <c r="T59"/>
      <c r="U59"/>
      <c r="V59"/>
      <c r="W59" t="inlineStr">
        <is>
          <t>{"id":"chatcmpl-DZnt856R1bqXbfy1O5cPCbRnYAGS6","object":"chat.completion","created":1777425622,"model":"gpt-5-chat-2025-10-03","choices":[{"index":0,"message":{"role":"assistant","content":"AI智能机械狗RX-F系列白色编程版，支持语音声控与遥控操控，塑料机身科技感设计，具趣味跳舞、灯光音效、互动故事等功能，适合男女孩玩乐与早教启智。","refusal":null,"annotations":[]},"logprobs":null,"finish_reason":"stop"}],"usage":{"prompt_tokens":1298,"completion_tokens":61,"total_tokens":1359,"prompt_tokens_details":{"cached_tokens":0,"audio_tokens":0},"completion_tokens_details":{"reasoning_tokens":0,"audio_tokens":0,"accepted_prediction_tokens":0,"rejected_prediction_tokens":0}},"service_tier":"default","system_fingerprint":"fp_ad66631dec"}</t>
        </is>
      </c>
      <c r="X59" t="inlineStr">
        <is>
          <t>AI智能机械狗RX-F系列白色编程版，支持语音声控与遥控操控，塑料机身科技感设计，具趣味跳舞、灯光音效、互动故事等功能，适合男女孩玩乐与早教启智。</t>
        </is>
      </c>
    </row>
    <row r="60" ht="25.5" customHeight="1">
      <c r="A60">
        <v>1654975475</v>
      </c>
      <c r="B60">
        <v>7694459933</v>
      </c>
      <c r="C60" s="2" t="str">
        <f>=HYPERLINK("https://weidian.com/item.html?itemID=7694459933", "https://weidian.com/item.html?itemID=7694459933")</f>
        <v>https://weidian.com/item.html?itemID=7694459933</v>
      </c>
      <c r="D60"/>
      <c r="E60" s="2" t="str">
        <f>=HYPERLINK("https://si.geilicdn.com/open1654975475-252808396-0ffa0000019c7f209aea0a23b491_800_800.jpg?w=640&amp;h=640", "https://si.geilicdn.com/open1654975475-252808396-0ffa0000019c7f209aea0a23b491_800_800.jpg?w=640&amp;h=640")</f>
        <v>https://si.geilicdn.com/open1654975475-252808396-0ffa0000019c7f209aea0a23b491_800_800.jpg?w=640&amp;h=640</v>
      </c>
      <c r="F60" t="inlineStr">
        <is>
          <t>Accessories</t>
        </is>
      </c>
      <c r="G60" t="inlineStr">
        <is>
          <t>Other</t>
        </is>
      </c>
      <c r="H60">
        <v>72</v>
      </c>
      <c r="I60">
        <v>10.43</v>
      </c>
      <c r="J60" t="inlineStr">
        <is>
          <t>{"id":"chatcmpl-DZoDqMgOUs0RtE3PW1c4ksY21V4W9","object":"chat.completion","created":1777426906,"model":"gpt-5-chat-2025-10-03","choices":[{"index":0,"message":{"role":"assistant","content":"AccessoriesOther Obsidian White Jade Bead Bracelet for Balance","refusal":null,"annotations":[]},"logprobs":null,"finish_reason":"stop"}],"usage":{"prompt_tokens":874,"completion_tokens":13,"total_tokens":887,"prompt_tokens_details":{"cached_tokens":0,"audio_tokens":0},"completion_tokens_details":{"reasoning_tokens":0,"audio_tokens":0,"accepted_prediction_tokens":0,"rejected_prediction_tokens":0}},"service_tier":"default","system_fingerprint":"fp_ad66631dec"}</t>
        </is>
      </c>
      <c r="K60" t="inlineStr">
        <is>
          <t>AccessoriesOther Obsidian White Jade Bead Bracelet for Balance</t>
        </is>
      </c>
      <c r="L60" t="inlineStr">
        <is>
          <t>{"id":"chatcmpl-DZo89UCf2vDBpW36AewMTIlH6JLaP","object":"chat.completion","created":1777426553,"model":"gpt-5-chat-2025-10-03","choices":[{"index":0,"message":{"role":"assistant","content":"AccessoriesOther Natural Obsidian &amp; White Jade Bead Bracelet, symbolizing balance &amp; protection. Elegant Oriental minimalist style for men &amp; women, perfect for daily wear or energy healing.","refusal":null,"annotations":[]},"logprobs":null,"finish_reason":"stop"}],"usage":{"prompt_tokens":911,"completion_tokens":37,"total_tokens":948,"prompt_tokens_details":{"cached_tokens":0,"audio_tokens":0},"completion_tokens_details":{"reasoning_tokens":0,"audio_tokens":0,"accepted_prediction_tokens":0,"rejected_prediction_tokens":0}},"service_tier":"default","system_fingerprint":"fp_ad66631dec"}</t>
        </is>
      </c>
      <c r="M60" t="inlineStr">
        <is>
          <t>{"alt-svc":"h3=\":443\"; ma=2592000","apim-request-id":"ff0f14c6-63d7-4c3a-805b-af77278b7fdd","azureml-model-session":"d20260402075109-1fc5a0ec","cache-control":"no-cache","connection":"close","content-length":"996","content-type":"application/json","date":"Wed, 29 Apr 2026 01:35:56 GMT","server":"nginx","skip-error-remapping":"true","strict-transport-security":"max-age=31536000; includeSubDomains; preload","via":"1.1 Caddy","x-content-type-options":"nosniff","x-ms-client-request-id":"Not-Set","x-ms-is-spilled-over":"false","x-ms-rai-invoked":"false","x-ms-region":"Poland Central","x-new-api-version":"0.4.35","x-oneapi-request-id":"202604290135527964316628268d9d6CJ8zNG0H","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11e47179-ab15-4f40-b670-c67c9a1e1ffb"}</t>
        </is>
      </c>
      <c r="N60" t="inlineStr">
        <is>
          <t>AccessoriesOther Natural Obsidian &amp; White Jade Bead Bracelet, symbolizing balance &amp; protection. Elegant Oriental minimalist style for men &amp; women, perfect for daily wear or energy healing.</t>
        </is>
      </c>
      <c r="O60" t="inlineStr">
        <is>
          <t>{"id":"chatcmpl-DZoJqWPQ90HpLjHEAoUQqaV0jSSIp","object":"chat.completion","created":1777427278,"model":"gpt-5-chat-2025-10-03","choices":[{"index":0,"message":{"role":"assistant","content":"Yuansu,Bracele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88,"total_tokens":869,"prompt_tokens_details":{"cached_tokens":0,"audio_tokens":0},"completion_tokens_details":{"reasoning_tokens":0,"audio_tokens":0,"accepted_prediction_tokens":0,"rejected_prediction_tokens":0}},"service_tier":"default","system_fingerprint":"fp_ad66631dec"}</t>
        </is>
      </c>
      <c r="P60" t="inlineStr">
        <is>
          <t>Yuansu,Bracelet,kakobuy,kakebuy2026,kekobuysheet,kakobuysheet2026,2026kakobuy,kakobuyspreadsheeet,kakobuylink,kakebuylist,Kakobuy MEGA Spreadsheet,kakobuysheetfind,kakobuysheetfind2026,2026kakobuysheetfind,kakobuysheet2026</t>
        </is>
      </c>
      <c r="Q60" t="inlineStr">
        <is>
          <t>Oriental, Minimalist, Men's And Women's, All Seasons</t>
        </is>
      </c>
      <c r="R60" t="inlineStr">
        <is>
          <t>recvhju1CrVjoJ</t>
        </is>
      </c>
      <c r="S60" t="inlineStr">
        <is>
          <t>accessoriesother-obsidian-white-jade-bead-bracelet-balance-recvhju1crvjoj</t>
        </is>
      </c>
      <c r="T60"/>
      <c r="U60"/>
      <c r="V60"/>
      <c r="W60" t="inlineStr">
        <is>
          <t>{"id":"chatcmpl-DZo05UIIQVQ9Z1Xy0384jJLUI3kTZ","object":"chat.completion","created":1777426053,"model":"gpt-5-chat-2025-10-03","choices":[{"index":0,"message":{"role":"assistant","content":"黑曜石与白玉圆珠手链，甄选天然矿石材质，光泽通透质感高级。经典圆珠串联设计象征平衡与守护，简约东方风格，男女皆宜。可作日常配饰或能量疗愈饰品，展现低调奢华气质。","refusal":null,"annotations":[]},"logprobs":null,"finish_reason":"stop"}],"usage":{"prompt_tokens":1299,"completion_tokens":78,"total_tokens":1377,"prompt_tokens_details":{"cached_tokens":0,"audio_tokens":0},"completion_tokens_details":{"reasoning_tokens":0,"audio_tokens":0,"accepted_prediction_tokens":0,"rejected_prediction_tokens":0}},"service_tier":"default","system_fingerprint":"fp_ad66631dec"}</t>
        </is>
      </c>
      <c r="X60" t="inlineStr">
        <is>
          <t>黑曜石与白玉圆珠手链，甄选天然矿石材质，光泽通透质感高级。经典圆珠串联设计象征平衡与守护，简约东方风格，男女皆宜。可作日常配饰或能量疗愈饰品，展现低调奢华气质。</t>
        </is>
      </c>
    </row>
    <row r="61" ht="25.5" customHeight="1">
      <c r="A61">
        <v>1654975475</v>
      </c>
      <c r="B61">
        <v>7697422478</v>
      </c>
      <c r="C61" s="2" t="str">
        <f>=HYPERLINK("https://weidian.com/item.html?itemID=7697422478", "https://weidian.com/item.html?itemID=7697422478")</f>
        <v>https://weidian.com/item.html?itemID=7697422478</v>
      </c>
      <c r="D61"/>
      <c r="E61" s="2" t="str">
        <f>=HYPERLINK("https://si.geilicdn.com/open1654975475-252808396-7b210000019c7f1b4d5c0a8133b0_1024_1024.jpg?w=750&amp;h=750&amp;cp=1", "https://si.geilicdn.com/open1654975475-252808396-7b210000019c7f1b4d5c0a8133b0_1024_1024.jpg?w=750&amp;h=750&amp;cp=1")</f>
        <v>https://si.geilicdn.com/open1654975475-252808396-7b210000019c7f1b4d5c0a8133b0_1024_1024.jpg?w=750&amp;h=750&amp;cp=1</v>
      </c>
      <c r="F61" t="inlineStr">
        <is>
          <t>Accessories</t>
        </is>
      </c>
      <c r="G61" t="inlineStr">
        <is>
          <t>Other</t>
        </is>
      </c>
      <c r="H61">
        <v>59</v>
      </c>
      <c r="I61">
        <v>8.55</v>
      </c>
      <c r="J61" t="inlineStr">
        <is>
          <t>{"id":"chatcmpl-DZoBrzWckcptnnhga5hvwEIucFwXm","object":"chat.completion","created":1777426783,"model":"gpt-5-chat-2025-10-03","choices":[{"index":0,"message":{"role":"assistant","content":"Xijiwan Black Gold Obsidian Bead Bracelet for Men Women","refusal":null,"annotations":[]},"logprobs":null,"finish_reason":"stop"}],"usage":{"prompt_tokens":884,"completion_tokens":15,"total_tokens":899,"prompt_tokens_details":{"cached_tokens":0,"audio_tokens":0},"completion_tokens_details":{"reasoning_tokens":0,"audio_tokens":0,"accepted_prediction_tokens":0,"rejected_prediction_tokens":0}},"service_tier":"default","system_fingerprint":"fp_ad66631dec"}</t>
        </is>
      </c>
      <c r="K61" t="inlineStr">
        <is>
          <t>Xijiwan Black Gold Obsidian Bead Bracelet for Men Women</t>
        </is>
      </c>
      <c r="L61" t="inlineStr">
        <is>
          <t>{"id":"chatcmpl-DZo9JqAcwVa1hRWtv9bvQ3eVWPe43","object":"chat.completion","created":1777426625,"model":"gpt-5-chat-2025-10-03","choices":[{"index":0,"message":{"role":"assistant","content":"Xijiwan Obsidian Bead Bracelet – crafted from natural gemstone with deep black-gold shine, silver carved spacer beads, vintage Zen design for men and women, perfect for daily wear or meditation.","refusal":null,"annotations":[]},"logprobs":null,"finish_reason":"stop"}],"usage":{"prompt_tokens":926,"completion_tokens":42,"total_tokens":968,"prompt_tokens_details":{"cached_tokens":0,"audio_tokens":0},"completion_tokens_details":{"reasoning_tokens":0,"audio_tokens":0,"accepted_prediction_tokens":0,"rejected_prediction_tokens":0}},"service_tier":"default","system_fingerprint":"fp_fd471178c5"}</t>
        </is>
      </c>
      <c r="M61" t="inlineStr">
        <is>
          <t>{"alt-svc":"h3=\":443\"; ma=2592000","apim-request-id":"a40418ca-4533-445e-a6dd-8e883fed786a","azureml-model-session":"d20260428174121-807d9cc5","cache-control":"no-cache","connection":"close","content-length":"1004","content-type":"application/json","date":"Wed, 29 Apr 2026 01:37:06 GMT","server":"nginx","skip-error-remapping":"true","strict-transport-security":"max-age=31536000; includeSubDomains; preload","via":"1.1 Caddy","x-content-type-options":"nosniff","x-ms-client-request-id":"Not-Set","x-ms-is-spilled-over":"false","x-ms-rai-invoked":"false","x-ms-region":"South Central US","x-new-api-version":"0.4.35","x-oneapi-request-id":"2026042901370422858588268d9d6ANi2niMv","x-ratelimit-abusepenalty-active":"False","x-ratelimit-key":"gpt-5-chat-global","x-ratelimit-limit-requests":"1000","x-ratelimit-limit-tokens":"1000000","x-ratelimit-remaining-requests":"998","x-ratelimit-remaining-tokens":"992861","x-ratelimit-renewalperiod-requests":"60","x-ratelimit-renewalperiod-tokens":"60","x-ratelimit-reset-requests":"105","x-ratelimit-reset-tokens":"428","x-request-id":"c92d4b3f-8bf7-42c1-ad35-b647b7a376c7"}</t>
        </is>
      </c>
      <c r="N61" t="inlineStr">
        <is>
          <t>Xijiwan Obsidian Bead Bracelet – crafted from natural gemstone with deep black-gold shine, silver carved spacer beads, vintage Zen design for men and women, perfect for daily wear or meditation.</t>
        </is>
      </c>
      <c r="O61" t="inlineStr">
        <is>
          <t>{"id":"chatcmpl-DZoKndLX7w5FzXwjdzmaBePJpEx0H","object":"chat.completion","created":1777427337,"model":"gpt-5-chat-2025-10-03","choices":[{"index":0,"message":{"role":"assistant","content":"Xijiwan,Bracele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89,"total_tokens":870,"prompt_tokens_details":{"cached_tokens":0,"audio_tokens":0},"completion_tokens_details":{"reasoning_tokens":0,"audio_tokens":0,"accepted_prediction_tokens":0,"rejected_prediction_tokens":0}},"service_tier":"default","system_fingerprint":"fp_ad66631dec"}</t>
        </is>
      </c>
      <c r="P61" t="inlineStr">
        <is>
          <t>Xijiwan,Bracelet,kakobuy,kakebuy2026,kekobuysheet,kakobuysheet2026,2026kakobuy,kakobuyspreadsheeet,kakobuylink,kakebuylist,Kakobuy MEGA Spreadsheet,kakobuysheetfind,kakobuysheetfind2026,2026kakobuysheetfind,kakobuysheet2026</t>
        </is>
      </c>
      <c r="Q61"/>
      <c r="R61" t="inlineStr">
        <is>
          <t>recvhju1CrHTc4</t>
        </is>
      </c>
      <c r="S61" t="inlineStr">
        <is>
          <t>xijiwan-black-gold-obsidian-bead-bracelet-recvhju1crhtc4</t>
        </is>
      </c>
      <c r="T61"/>
      <c r="U61"/>
      <c r="V61"/>
      <c r="W61" t="inlineStr">
        <is>
          <t>{"id":"chatcmpl-DZnxW93N4cNnrgh5pVEZxekf49QzX","object":"chat.completion","created":1777425894,"model":"gpt-5-chat-2025-10-03","choices":[{"index":0,"message":{"role":"assistant","content":"黑曜石圆珠手链，甄选天然矿石材质，黑金光泽深邃典雅，银色雕花隔珠点缀质感细腻。复古东方禅意设计，男女皆宜，彰显低调稳重与能量守护。适合日常佩戴或冥想修养之选。","refusal":null,"annotations":[]},"logprobs":null,"finish_reason":"stop"}],"usage":{"prompt_tokens":1321,"completion_tokens":82,"total_tokens":1403,"prompt_tokens_details":{"cached_tokens":0,"audio_tokens":0},"completion_tokens_details":{"reasoning_tokens":0,"audio_tokens":0,"accepted_prediction_tokens":0,"rejected_prediction_tokens":0}},"service_tier":"default","system_fingerprint":"fp_fd471178c5"}</t>
        </is>
      </c>
      <c r="X61" t="inlineStr">
        <is>
          <t>黑曜石圆珠手链，甄选天然矿石材质，黑金光泽深邃典雅，银色雕花隔珠点缀质感细腻。复古东方禅意设计，男女皆宜，彰显低调稳重与能量守护。适合日常佩戴或冥想修养之选。</t>
        </is>
      </c>
    </row>
    <row r="62" ht="25.5" customHeight="1">
      <c r="A62">
        <v>1654975475</v>
      </c>
      <c r="B62">
        <v>7620668919</v>
      </c>
      <c r="C62" s="2" t="str">
        <f>=HYPERLINK("https://weidian.com/item.html?itemID=7620668919", "https://weidian.com/item.html?itemID=7620668919")</f>
        <v>https://weidian.com/item.html?itemID=7620668919</v>
      </c>
      <c r="D62"/>
      <c r="E62" s="2" t="str">
        <f>=HYPERLINK("https://si.geilicdn.com/pcitem2014204438-64a50000019adcf50b670a20e672_1440_1440.jpg?w=640&amp;h=640", "https://si.geilicdn.com/pcitem2014204438-64a50000019adcf50b670a20e672_1440_1440.jpg?w=640&amp;h=640")</f>
        <v>https://si.geilicdn.com/pcitem2014204438-64a50000019adcf50b670a20e672_1440_1440.jpg?w=640&amp;h=640</v>
      </c>
      <c r="F62" t="inlineStr">
        <is>
          <t>Glasses</t>
        </is>
      </c>
      <c r="G62" t="inlineStr">
        <is>
          <t>Balenciaga</t>
        </is>
      </c>
      <c r="H62">
        <v>456</v>
      </c>
      <c r="I62">
        <v>66.09</v>
      </c>
      <c r="J62" t="inlineStr">
        <is>
          <t>{"id":"chatcmpl-DZoBpZjAk4VkaWXlHClyHnZksQ7eu","object":"chat.completion","created":1777426781,"model":"gpt-5-chat-2025-10-03","choices":[{"index":0,"message":{"role":"assistant","content":"Balenciaga Futuristic Black Grey Unisex Tech Sunglasses","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fd471178c5"}</t>
        </is>
      </c>
      <c r="K62" t="inlineStr">
        <is>
          <t>Balenciaga Futuristic Black Grey Unisex Tech Sunglasses</t>
        </is>
      </c>
      <c r="L62" t="inlineStr">
        <is>
          <t>{"id":"chatcmpl-DZo9ncARUHywveTzGJjkA1ZjiMx8i","object":"chat.completion","created":1777426655,"model":"gpt-5-chat-2025-10-03","choices":[{"index":0,"message":{"role":"assistant","content":"Balenciaga Futuristic Black-Grey Sunglasses: high-strength resin frame, sleek sunshield design, reflective lenses, unisex urban tech style, minimalist avant-garde look for modern fashion lovers.","refusal":null,"annotations":[]},"logprobs":null,"finish_reason":"stop"}],"usage":{"prompt_tokens":900,"completion_tokens":40,"total_tokens":940,"prompt_tokens_details":{"cached_tokens":0,"audio_tokens":0},"completion_tokens_details":{"reasoning_tokens":0,"audio_tokens":0,"accepted_prediction_tokens":0,"rejected_prediction_tokens":0}},"service_tier":"default","system_fingerprint":"fp_fd471178c5"}</t>
        </is>
      </c>
      <c r="M62" t="inlineStr">
        <is>
          <t>{"alt-svc":"h3=\":443\"; ma=2592000","apim-request-id":"77816be8-8fcf-4eee-9586-cad3f5ecdcc7","azureml-model-session":"d20260428205641-55ca9797","cache-control":"no-cache","connection":"close","content-length":"1002","content-type":"application/json","date":"Wed, 29 Apr 2026 01:37:37 GMT","server":"nginx","skip-error-remapping":"true","strict-transport-security":"max-age=31536000; includeSubDomains; preload","via":"1.1 Caddy","x-content-type-options":"nosniff","x-ms-client-request-id":"Not-Set","x-ms-is-spilled-over":"false","x-ms-rai-invoked":"false","x-ms-region":"Sweden Central","x-new-api-version":"0.4.35","x-oneapi-request-id":"202604290137332308083788268d9d6JnUC8vJq","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33014834-f835-44e6-9f66-7db0beb9900d"}</t>
        </is>
      </c>
      <c r="N62" t="inlineStr">
        <is>
          <t>Balenciaga Futuristic Black-Grey Sunglasses: high-strength resin frame, sleek sunshield design, reflective lenses, unisex urban tech style, minimalist avant-garde look for modern fashion lovers.</t>
        </is>
      </c>
      <c r="O62" t="inlineStr">
        <is>
          <t>{"id":"chatcmpl-DZoMpP2LpHKFJTxlY2Wp35CvmM1my","object":"chat.completion","created":1777427463,"model":"gpt-5-chat-2025-10-03","choices":[{"index":0,"message":{"role":"assistant","content":"Balenciaga,Glass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62" t="inlineStr">
        <is>
          <t>Balenciaga,Glasses,kakobuy,kakebuy2026,kekobuysheet,kakobuysheet2026,2026kakobuy,kakobuyspreadsheeet,kakobuylink,kakebuylist,Kakobuy MEGA Spreadsheet,kakobuysheetfind,kakobuysheetfind2026,2026kakobuysheetfind,kakobuysheet2026</t>
        </is>
      </c>
      <c r="Q62" t="inlineStr">
        <is>
          <t>Balenciaga, Black, Grey, Modern, Unisex, Sleek</t>
        </is>
      </c>
      <c r="R62" t="inlineStr">
        <is>
          <t>recvhju1CrcZX4</t>
        </is>
      </c>
      <c r="S62" t="inlineStr">
        <is>
          <t>balenciaga-futuristic-black-grey-tech-sunglasses-recvhju1crczx4</t>
        </is>
      </c>
      <c r="T62"/>
      <c r="U62"/>
      <c r="V62"/>
      <c r="W62" t="inlineStr">
        <is>
          <t>{"id":"chatcmpl-DZnu6TP1SF759jTuqPxrDDEUPtVxG","object":"chat.completion","created":1777425682,"model":"gpt-5-chat-2025-10-03","choices":[{"index":0,"message":{"role":"assistant","content":"Balenciaga：黑灰调未来感太阳眼镜，采用高强度树脂材质与流线遮阳设计，镜面反光质感前卫酷帅，男女皆宜，融合都市机能风与先锋造型，展现品牌标志性极简美学。","refusal":null,"annotations":[]},"logprobs":null,"finish_reason":"stop"}],"usage":{"prompt_tokens":1302,"completion_tokens":65,"total_tokens":1367,"prompt_tokens_details":{"cached_tokens":1280,"audio_tokens":0},"completion_tokens_details":{"reasoning_tokens":0,"audio_tokens":0,"accepted_prediction_tokens":0,"rejected_prediction_tokens":0}},"service_tier":"default","system_fingerprint":"fp_fd471178c5"}</t>
        </is>
      </c>
      <c r="X62" t="inlineStr">
        <is>
          <t>Balenciaga：黑灰调未来感太阳眼镜，采用高强度树脂材质与流线遮阳设计，镜面反光质感前卫酷帅，男女皆宜，融合都市机能风与先锋造型，展现品牌标志性极简美学。</t>
        </is>
      </c>
    </row>
    <row r="63" ht="25.5" customHeight="1">
      <c r="A63">
        <v>1654975475</v>
      </c>
      <c r="B63">
        <v>7622678093</v>
      </c>
      <c r="C63" s="2" t="str">
        <f>=HYPERLINK("https://weidian.com/item.html?itemID=7622678093", "https://weidian.com/item.html?itemID=7622678093")</f>
        <v>https://weidian.com/item.html?itemID=7622678093</v>
      </c>
      <c r="D63"/>
      <c r="E63" s="2" t="str">
        <f>=HYPERLINK("https://si.geilicdn.com/pcitem2014204438-53320000019adca926610a81347d_1440_1920.jpg?w=640&amp;h=640", "https://si.geilicdn.com/pcitem2014204438-53320000019adca926610a81347d_1440_1920.jpg?w=640&amp;h=640")</f>
        <v>https://si.geilicdn.com/pcitem2014204438-53320000019adca926610a81347d_1440_1920.jpg?w=640&amp;h=640</v>
      </c>
      <c r="F63" t="inlineStr">
        <is>
          <t>Hats</t>
        </is>
      </c>
      <c r="G63" t="inlineStr">
        <is>
          <t>Celine</t>
        </is>
      </c>
      <c r="H63">
        <v>220</v>
      </c>
      <c r="I63">
        <v>31.88</v>
      </c>
      <c r="J63" t="inlineStr">
        <is>
          <t>{"id":"chatcmpl-DZoGfhk1pE7uWelOt29IhU2RR3KUd","object":"chat.completion","created":1777427081,"model":"gpt-5-chat-2025-10-03","choices":[{"index":0,"message":{"role":"assistant","content":"CELINE Blue Denim Baseball Cap Unisex Casual Hat","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63" t="inlineStr">
        <is>
          <t>CELINE Blue Denim Baseball Cap Unisex Casual Hat</t>
        </is>
      </c>
      <c r="L63" t="inlineStr">
        <is>
          <t>{"id":"chatcmpl-DZoAw3GKiM5bbjbeloMy6iSdqIJ2P","object":"chat.completion","created":1777426726,"model":"gpt-5-chat-2025-10-03","choices":[{"index":0,"message":{"role":"assistant","content":"CELINE Blue Denim Baseball Cap, crafted from premium denim with white embroidered logo, French minimalist design, retro unisex style perfect for casual outings, showing modern urban charm.","refusal":null,"annotations":[]},"logprobs":null,"finish_reason":"stop"}],"usage":{"prompt_tokens":898,"completion_tokens":35,"total_tokens":933,"prompt_tokens_details":{"cached_tokens":0,"audio_tokens":0},"completion_tokens_details":{"reasoning_tokens":0,"audio_tokens":0,"accepted_prediction_tokens":0,"rejected_prediction_tokens":0}},"service_tier":"default","system_fingerprint":"fp_ad66631dec"}</t>
        </is>
      </c>
      <c r="M63" t="inlineStr">
        <is>
          <t>{"alt-svc":"h3=\":443\"; ma=2592000","apim-request-id":"1fb9beb4-fe42-4ff6-9eaf-74ab9c61574f","azureml-model-session":"d20260402074105-51db401e","cache-control":"no-cache","connection":"close","content-length":"996","content-type":"application/json","date":"Wed, 29 Apr 2026 01:38:48 GMT","server":"Caddy","skip-error-remapping":"true","strict-transport-security":"max-age=31536000; includeSubDomains; preload","x-content-type-options":"nosniff","x-ms-client-request-id":"Not-Set","x-ms-is-spilled-over":"false","x-ms-rai-invoked":"false","x-ms-region":"South Central US","x-new-api-version":"0.4.35","x-oneapi-request-id":"202604290138453200288358268d9d6iXxTqbCB","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66044f65-677f-402b-b8ec-5ee4c1b3ee6d"}</t>
        </is>
      </c>
      <c r="N63" t="inlineStr">
        <is>
          <t>CELINE Blue Denim Baseball Cap, crafted from premium denim with white embroidered logo, French minimalist design, retro unisex style perfect for casual outings, showing modern urban charm.</t>
        </is>
      </c>
      <c r="O63" t="inlineStr">
        <is>
          <t>{"id":"chatcmpl-DZoKgNOtQvN4NLFGLMEqZpb5lxpdz","object":"chat.completion","created":1777427330,"model":"gpt-5-chat-2025-10-03","choices":[{"index":0,"message":{"role":"assistant","content":"Celine,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63" t="inlineStr">
        <is>
          <t>Celine,Hats,kakobuy,kakebuy2026,kekobuysheet,kakobuysheet2026,2026kakobuy,kakobuyspreadsheeet,kakobuylink,kakebuylist,Kakobuy MEGA Spreadsheet,kakobuysheetfind,kakobuysheetfind2026,2026kakobuysheetfind,kakobuysheet2026</t>
        </is>
      </c>
      <c r="Q63" t="inlineStr">
        <is>
          <t>Celine, Blue, Denim, Minimalist, Retro, Unisex</t>
        </is>
      </c>
      <c r="R63" t="inlineStr">
        <is>
          <t>recvhju1CrNmeK</t>
        </is>
      </c>
      <c r="S63" t="inlineStr">
        <is>
          <t>celine-blue-denim-baseball-cap-recvhju1crnmek</t>
        </is>
      </c>
      <c r="T63"/>
      <c r="U63"/>
      <c r="V63"/>
      <c r="W63" t="inlineStr">
        <is>
          <t>{"id":"chatcmpl-DZnyRB6biB1U8Eadq1Astvq8OM7xd","object":"chat.completion","created":1777425951,"model":"gpt-5-chat-2025-10-03","choices":[{"index":0,"message":{"role":"assistant","content":"Celine：蓝色牛仔系列棒球帽，采用优质丹宁面料，正面白色品牌刺绣标识，简约法式设计，复古中性风格，适合男女休闲出行佩戴，凸显都市摩登与随性魅力。","refusal":null,"annotations":[]},"logprobs":null,"finish_reason":"stop"}],"usage":{"prompt_tokens":1296,"completion_tokens":66,"total_tokens":1362,"prompt_tokens_details":{"cached_tokens":0,"audio_tokens":0},"completion_tokens_details":{"reasoning_tokens":0,"audio_tokens":0,"accepted_prediction_tokens":0,"rejected_prediction_tokens":0}},"service_tier":"default","system_fingerprint":"fp_ad66631dec"}</t>
        </is>
      </c>
      <c r="X63" t="inlineStr">
        <is>
          <t>Celine：蓝色牛仔系列棒球帽，采用优质丹宁面料，正面白色品牌刺绣标识，简约法式设计，复古中性风格，适合男女休闲出行佩戴，凸显都市摩登与随性魅力。</t>
        </is>
      </c>
    </row>
    <row r="64" ht="25.5" customHeight="1">
      <c r="A64">
        <v>1654975475</v>
      </c>
      <c r="B64">
        <v>7622572757</v>
      </c>
      <c r="C64" s="2" t="str">
        <f>=HYPERLINK("https://weidian.com/item.html?itemID=7622572757", "https://weidian.com/item.html?itemID=7622572757")</f>
        <v>https://weidian.com/item.html?itemID=7622572757</v>
      </c>
      <c r="D64"/>
      <c r="E64" s="2" t="str">
        <f>=HYPERLINK("https://si.geilicdn.com/pcitem2014204438-57850000019adca5c8e40a2303ee_1442_1922.jpg?w=640&amp;h=640", "https://si.geilicdn.com/pcitem2014204438-57850000019adca5c8e40a2303ee_1442_1922.jpg?w=640&amp;h=640")</f>
        <v>https://si.geilicdn.com/pcitem2014204438-57850000019adca5c8e40a2303ee_1442_1922.jpg?w=640&amp;h=640</v>
      </c>
      <c r="F64" t="inlineStr">
        <is>
          <t>Hats</t>
        </is>
      </c>
      <c r="G64" t="inlineStr">
        <is>
          <t>Prada</t>
        </is>
      </c>
      <c r="H64">
        <v>230</v>
      </c>
      <c r="I64">
        <v>33.33</v>
      </c>
      <c r="J64" t="inlineStr">
        <is>
          <t>{"id":"chatcmpl-DZoEZWpYmzknO754Dqd949naj6e5t","object":"chat.completion","created":1777426951,"model":"gpt-5-chat-2025-10-03","choices":[{"index":0,"message":{"role":"assistant","content":"Prada Blue Denim Bucket Hat Unisex Retro Street Style","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64" t="inlineStr">
        <is>
          <t>Prada Blue Denim Bucket Hat Unisex Retro Street Style</t>
        </is>
      </c>
      <c r="L64" t="inlineStr">
        <is>
          <t>{"id":"chatcmpl-DZo70wcjiHnNpMYuX2jqAesLla94z","object":"chat.completion","created":1777426482,"model":"gpt-5-chat-2025-10-03","choices":[{"index":0,"message":{"role":"assistant","content":"Prada Blue Denim Bucket Hat crafted from premium denim with iconic triangle logo, unisex design, retro 90s street style, lightweight, breathable, perfect for casual everyday wear.","refusal":null,"annotations":[]},"logprobs":null,"finish_reason":"stop"}],"usage":{"prompt_tokens":914,"completion_tokens":37,"total_tokens":951,"prompt_tokens_details":{"cached_tokens":0,"audio_tokens":0},"completion_tokens_details":{"reasoning_tokens":0,"audio_tokens":0,"accepted_prediction_tokens":0,"rejected_prediction_tokens":0}},"service_tier":"default","system_fingerprint":"fp_ad66631dec"}</t>
        </is>
      </c>
      <c r="M64" t="inlineStr">
        <is>
          <t>{"alt-svc":"h3=\":443\"; ma=2592000","apim-request-id":"ff605128-bfe6-4c6a-9461-35bec64e99cf","azureml-model-session":"d20260402075109-1fc5a0ec","cache-control":"no-cache","connection":"close","content-length":"987","content-type":"application/json","date":"Wed, 29 Apr 2026 01:34:44 GMT","server":"nginx","skip-error-remapping":"true","strict-transport-security":"max-age=31536000; includeSubDomains; preload","via":"1.1 Caddy","x-content-type-options":"nosniff","x-ms-client-request-id":"Not-Set","x-ms-is-spilled-over":"false","x-ms-rai-invoked":"false","x-ms-region":"West US","x-new-api-version":"0.4.35","x-oneapi-request-id":"202604290134415550419178268d9d6nVirwf0S","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d1e042ea-2a32-47b6-887e-31526fb7bfa8"}</t>
        </is>
      </c>
      <c r="N64" t="inlineStr">
        <is>
          <t>Prada Blue Denim Bucket Hat crafted from premium denim with iconic triangle logo, unisex design, retro 90s street style, lightweight, breathable, perfect for casual everyday wear.</t>
        </is>
      </c>
      <c r="O64" t="inlineStr">
        <is>
          <t>{"id":"chatcmpl-DZoMd68wwKXzRjHXU7UT8dOSTAD89","object":"chat.completion","created":1777427451,"model":"gpt-5-chat-2025-10-03","choices":[{"index":0,"message":{"role":"assistant","content":"Prada,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64" t="inlineStr">
        <is>
          <t>Prada,hat,kakobuy,kakebuy2026,kekobuysheet,kakobuysheet2026,2026kakobuy,kakobuyspreadsheeet,kakobuylink,kakebuylist,Kakobuy MEGA Spreadsheet,kakobuysheetfind,kakobuysheetfind2026,2026kakobuysheetfind,kakobuysheet2026</t>
        </is>
      </c>
      <c r="Q64" t="inlineStr">
        <is>
          <t>Denim, Blue, Retro, Streetwear, Unisex</t>
        </is>
      </c>
      <c r="R64" t="inlineStr">
        <is>
          <t>recvhju1CrImyE</t>
        </is>
      </c>
      <c r="S64" t="inlineStr">
        <is>
          <t>prada-blue-denim-bucket-hat-recvhju1crimeye</t>
        </is>
      </c>
      <c r="T64"/>
      <c r="U64"/>
      <c r="V64"/>
      <c r="W64" t="inlineStr">
        <is>
          <t>{"id":"chatcmpl-DZnzzXzqe9jdhGDKYlZzSgzL9xYJx","object":"chat.completion","created":1777426047,"model":"gpt-5-chat-2025-10-03","choices":[{"index":0,"message":{"role":"assistant","content":"Prada：蓝色牛仔渔夫帽，甄选优质丹宁面料，配以经典三角徽标设计，休闲又摩登。简约剪裁融合意式时尚质感，男女皆宜，彰显90年代复古街头风格，轻盈透气，日常出行百搭单品。","refusal":null,"annotations":[]},"logprobs":null,"finish_reason":"stop"}],"usage":{"prompt_tokens":1302,"completion_tokens":79,"total_tokens":1381,"prompt_tokens_details":{"cached_tokens":0,"audio_tokens":0},"completion_tokens_details":{"reasoning_tokens":0,"audio_tokens":0,"accepted_prediction_tokens":0,"rejected_prediction_tokens":0}},"service_tier":"default","system_fingerprint":"fp_ad66631dec"}</t>
        </is>
      </c>
      <c r="X64" t="inlineStr">
        <is>
          <t>Prada：蓝色牛仔渔夫帽，甄选优质丹宁面料，配以经典三角徽标设计，休闲又摩登。简约剪裁融合意式时尚质感，男女皆宜，彰显90年代复古街头风格，轻盈透气，日常出行百搭单品。</t>
        </is>
      </c>
    </row>
    <row r="65" ht="25.5" customHeight="1">
      <c r="A65">
        <v>1654975475</v>
      </c>
      <c r="B65">
        <v>7625650028</v>
      </c>
      <c r="C65" s="2" t="str">
        <f>=HYPERLINK("https://weidian.com/item.html?itemID=7625650028", "https://weidian.com/item.html?itemID=7625650028")</f>
        <v>https://weidian.com/item.html?itemID=7625650028</v>
      </c>
      <c r="D65"/>
      <c r="E65" s="2" t="str">
        <f>=HYPERLINK("https://si.geilicdn.com/pcitem2014204438-51a20000019adc9c4dbf0a23038e_1442_1922.jpg?w=640&amp;h=640", "https://si.geilicdn.com/pcitem2014204438-51a20000019adc9c4dbf0a23038e_1442_1922.jpg?w=640&amp;h=640")</f>
        <v>https://si.geilicdn.com/pcitem2014204438-51a20000019adc9c4dbf0a23038e_1442_1922.jpg?w=640&amp;h=640</v>
      </c>
      <c r="F65" t="inlineStr">
        <is>
          <t>Hats</t>
        </is>
      </c>
      <c r="G65" t="inlineStr">
        <is>
          <t>Vivienne Westwood</t>
        </is>
      </c>
      <c r="H65">
        <v>340</v>
      </c>
      <c r="I65">
        <v>49.2898550724637</v>
      </c>
      <c r="J65" t="inlineStr">
        <is>
          <t>{"id":"chatcmpl-DZoCRdNhEA98pNyN07sggLGRgfBmH","object":"chat.completion","created":1777426819,"model":"gpt-5-chat-2025-10-03","choices":[{"index":0,"message":{"role":"assistant","content":"Vivienne Westwood Black Wool Classic Beret Hat","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fd471178c5"}</t>
        </is>
      </c>
      <c r="K65" t="inlineStr">
        <is>
          <t>Vivienne Westwood Black Wool Classic Beret Hat</t>
        </is>
      </c>
      <c r="L65" t="inlineStr">
        <is>
          <t>{"id":"chatcmpl-DZo2b0D4pdJnyHXcYnLQNNI4LmI2B","object":"chat.completion","created":1777426209,"model":"gpt-5-chat-2025-10-03","choices":[{"index":0,"message":{"role":"assistant","content":"Vivienne Westwood Classic Wool Beret in Black, featuring the iconic Orb and Cross embroidery, blending British punk flair with vintage elegance, unisex design for timeless avant-garde style.","refusal":null,"annotations":[]},"logprobs":null,"finish_reason":"stop"}],"usage":{"prompt_tokens":899,"completion_tokens":37,"total_tokens":936,"prompt_tokens_details":{"cached_tokens":0,"audio_tokens":0},"completion_tokens_details":{"reasoning_tokens":0,"audio_tokens":0,"accepted_prediction_tokens":0,"rejected_prediction_tokens":0}},"service_tier":"default","system_fingerprint":"fp_ad66631dec"}</t>
        </is>
      </c>
      <c r="M65" t="inlineStr">
        <is>
          <t>{"alt-svc":"h3=\":443\"; ma=2592000","apim-request-id":"c0318408-3359-4e53-ae38-3a3c92fd5384","azureml-model-session":"d20260402075109-1fc5a0ec","cache-control":"no-cache","connection":"close","content-length":"998","content-type":"application/json","date":"Wed, 29 Apr 2026 01:30:10 GMT","server":"Caddy","skip-error-remapping":"true","strict-transport-security":"max-age=31536000; includeSubDomains; preload","x-content-type-options":"nosniff","x-ms-client-request-id":"Not-Set","x-ms-is-spilled-over":"false","x-ms-rai-invoked":"false","x-ms-region":"North Central US","x-new-api-version":"0.4.35","x-oneapi-request-id":"202604290130081800595428268d9d6CwOgilxi","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ec5a75d5-c5f5-4228-bcf6-5742f50c67ef"}</t>
        </is>
      </c>
      <c r="N65" t="inlineStr">
        <is>
          <t>Vivienne Westwood Classic Wool Beret in Black, featuring the iconic Orb and Cross embroidery, blending British punk flair with vintage elegance, unisex design for timeless avant-garde style.</t>
        </is>
      </c>
      <c r="O65" t="inlineStr">
        <is>
          <t>{"id":"chatcmpl-DZoMcLQkvdJC5dsjzhbq4q8orMLhk","object":"chat.completion","created":1777427450,"model":"gpt-5-chat-2025-10-03","choices":[{"index":0,"message":{"role":"assistant","content":"Vivienne Westwood,Hats,kakobuy,kakebuy2026,kekobuysheet,kakobuysheet2026,2026kakobuy,kakobuyspreadsheeet,kakobuylink,kakebuylist,Kakobuy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P65" t="inlineStr">
        <is>
          <t>Vivienne Westwood,Hats,kakobuy,kakebuy2026,kekobuysheet,kakobuysheet2026,2026kakobuy,kakobuyspreadsheeet,kakobuylink,kakebuylist,Kakobuy MEGA Spreadsheet,kakobuysheetfind,kakobuysheetfind2026,2026kakobuysheetfind,kakobuysheet2026</t>
        </is>
      </c>
      <c r="Q65" t="inlineStr">
        <is>
          <t>Wool, Black, Punk, Vintage, Unisex, Classic</t>
        </is>
      </c>
      <c r="R65" t="inlineStr">
        <is>
          <t>recvhju1Cr4KN2</t>
        </is>
      </c>
      <c r="S65" t="inlineStr">
        <is>
          <t>vivienne-westwood-black-wool-beret-recvhju1cr4kn2</t>
        </is>
      </c>
      <c r="T65"/>
      <c r="U65"/>
      <c r="V65"/>
      <c r="W65" t="inlineStr">
        <is>
          <t>{"id":"chatcmpl-DZnv0sxqnY4iE6pU7EaTGE3aWby14","object":"chat.completion","created":1777425738,"model":"gpt-5-chat-2025-10-03","choices":[{"index":0,"message":{"role":"assistant","content":"Vivienne Westwood：经典系列黑色羊毛贝雷帽，以标志性地球与十字图腾刺绣点缀，融合英伦朋克美学与复古优雅格调，男女通用，彰显设计师先锋时尚态度。","refusal":null,"annotations":[]},"logprobs":null,"finish_reason":"stop"}],"usage":{"prompt_tokens":1308,"completion_tokens":61,"total_tokens":1369,"prompt_tokens_details":{"cached_tokens":1280,"audio_tokens":0},"completion_tokens_details":{"reasoning_tokens":0,"audio_tokens":0,"accepted_prediction_tokens":0,"rejected_prediction_tokens":0}},"service_tier":"default","system_fingerprint":"fp_ad66631dec"}</t>
        </is>
      </c>
      <c r="X65" t="inlineStr">
        <is>
          <t>Vivienne Westwood：经典系列黑色羊毛贝雷帽，以标志性地球与十字图腾刺绣点缀，融合英伦朋克美学与复古优雅格调，男女通用，彰显设计师先锋时尚态度。</t>
        </is>
      </c>
    </row>
    <row r="66" ht="25.5" customHeight="1">
      <c r="A66">
        <v>1654975475</v>
      </c>
      <c r="B66">
        <v>7622590395</v>
      </c>
      <c r="C66" s="2" t="str">
        <f>=HYPERLINK("https://weidian.com/item.html?itemID=7622590395", "https://weidian.com/item.html?itemID=7622590395")</f>
        <v>https://weidian.com/item.html?itemID=7622590395</v>
      </c>
      <c r="D66"/>
      <c r="E66" s="2" t="str">
        <f>=HYPERLINK("https://si.geilicdn.com/pcitem2014204438-524d0000019adc8a06680a23041a_1440_1440.jpg?w=640&amp;h=640", "https://si.geilicdn.com/pcitem2014204438-524d0000019adc8a06680a23041a_1440_1440.jpg?w=640&amp;h=640")</f>
        <v>https://si.geilicdn.com/pcitem2014204438-524d0000019adc8a06680a23041a_1440_1440.jpg?w=640&amp;h=640</v>
      </c>
      <c r="F66" t="inlineStr">
        <is>
          <t>Hats</t>
        </is>
      </c>
      <c r="G66" t="inlineStr">
        <is>
          <t>Chanel</t>
        </is>
      </c>
      <c r="H66">
        <v>270</v>
      </c>
      <c r="I66">
        <v>39.13</v>
      </c>
      <c r="J66" t="inlineStr">
        <is>
          <t>{"id":"chatcmpl-DZoHjyjsiEpZwEyTwVIQO4BmcHJWG","object":"chat.completion","created":1777427147,"model":"gpt-5-chat-2025-10-03","choices":[{"index":0,"message":{"role":"assistant","content":"Chanel Classic Gold Raffia Straw Fisherman Hat","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fd471178c5"}</t>
        </is>
      </c>
      <c r="K66" t="inlineStr">
        <is>
          <t>Chanel Classic Gold Raffia Straw Fisherman Hat</t>
        </is>
      </c>
      <c r="L66" t="inlineStr">
        <is>
          <t>{"id":"chatcmpl-DZo984WHDU3MMG3GP0DT7jbTGvABD","object":"chat.completion","created":1777426614,"model":"gpt-5-chat-2025-10-03","choices":[{"index":0,"message":{"role":"assistant","content":"Chanel Classic Gold Straw Fisherman Hat, crafted from natural raffia with 3D weave, features iconic double C embroidery, breathable and lightweight, unisex French vacation luxury style.","refusal":null,"annotations":[]},"logprobs":null,"finish_reason":"stop"}],"usage":{"prompt_tokens":908,"completion_tokens":38,"total_tokens":946,"prompt_tokens_details":{"cached_tokens":0,"audio_tokens":0},"completion_tokens_details":{"reasoning_tokens":0,"audio_tokens":0,"accepted_prediction_tokens":0,"rejected_prediction_tokens":0}},"service_tier":"default","system_fingerprint":"fp_ad66631dec"}</t>
        </is>
      </c>
      <c r="M66" t="inlineStr">
        <is>
          <t>{"alt-svc":"h3=\":443\"; ma=2592000","apim-request-id":"ee95fbe5-7a47-4929-8d3a-552491384386","azureml-model-session":"d20260405225800-40f19e54","cache-control":"no-cache","connection":"close","content-length":"993","content-type":"application/json","date":"Wed, 29 Apr 2026 01:36:55 GMT","server":"nginx","skip-error-remapping":"true","strict-transport-security":"max-age=31536000; includeSubDomains; preload","via":"1.1 Caddy","x-content-type-options":"nosniff","x-ms-client-request-id":"Not-Set","x-ms-is-spilled-over":"false","x-ms-rai-invoked":"false","x-ms-region":"Poland Central","x-new-api-version":"0.4.35","x-oneapi-request-id":"20260429013653326254398268d9d69vK6I7Yp","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e2350b6d-263e-45a9-b4ef-851ac263bbdc"}</t>
        </is>
      </c>
      <c r="N66" t="inlineStr">
        <is>
          <t>Chanel Classic Gold Straw Fisherman Hat, crafted from natural raffia with 3D weave, features iconic double C embroidery, breathable and lightweight, unisex French vacation luxury style.</t>
        </is>
      </c>
      <c r="O66" t="inlineStr">
        <is>
          <t>{"id":"chatcmpl-DZoNz201VuP74hlGfsBKj8qtccyIl","object":"chat.completion","created":1777427535,"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66" t="inlineStr">
        <is>
          <t>Chanel,hat,kakobuy,kakebuy2026,kekobuysheet,kakobuysheet2026,2026kakobuy,kakobuyspreadsheeet,kakobuylink,kakebuylist,Kakobuy MEGA Spreadsheet,kakobuysheetfind,kakobuysheetfind2026,2026kakobuysheetfind,kakobuysheet2026</t>
        </is>
      </c>
      <c r="Q66" t="inlineStr">
        <is>
          <t>Chanel, Gold, Breathable, Lightweight, Unisex</t>
        </is>
      </c>
      <c r="R66" t="inlineStr">
        <is>
          <t>recvhju1CreiMO</t>
        </is>
      </c>
      <c r="S66" t="inlineStr">
        <is>
          <t>chanel-classic-gold-raffia-straw-fisherman-hat-recvhju1creimo</t>
        </is>
      </c>
      <c r="T66"/>
      <c r="U66"/>
      <c r="V66"/>
      <c r="W66" t="inlineStr">
        <is>
          <t>{"id":"chatcmpl-DZntA6zVD4Iy1HiO3t347ZkJK2JGU","object":"chat.completion","created":1777425624,"model":"gpt-5-chat-2025-10-03","choices":[{"index":0,"message":{"role":"assistant","content":"Chanel：经典系列金黄色草编渔夫帽，采用天然草编材质与立体编织工艺，饰以标志性双C徽标刺绣，展现优雅法式度假风格，适合男女皆宜，轻盈透气彰显夏日高定时尚品味。","refusal":null,"annotations":[]},"logprobs":null,"finish_reason":"stop"}],"usage":{"prompt_tokens":1300,"completion_tokens":74,"total_tokens":1374,"prompt_tokens_details":{"cached_tokens":1280,"audio_tokens":0},"completion_tokens_details":{"reasoning_tokens":0,"audio_tokens":0,"accepted_prediction_tokens":0,"rejected_prediction_tokens":0}},"service_tier":"default","system_fingerprint":"fp_ad66631dec"}</t>
        </is>
      </c>
      <c r="X66" t="inlineStr">
        <is>
          <t>Chanel：经典系列金黄色草编渔夫帽，采用天然草编材质与立体编织工艺，饰以标志性双C徽标刺绣，展现优雅法式度假风格，适合男女皆宜，轻盈透气彰显夏日高定时尚品味。</t>
        </is>
      </c>
    </row>
    <row r="67" ht="25.5" customHeight="1">
      <c r="A67">
        <v>1654975475</v>
      </c>
      <c r="B67">
        <v>7622551037</v>
      </c>
      <c r="C67" s="2" t="str">
        <f>=HYPERLINK("https://weidian.com/item.html?itemID=7622551037", "https://weidian.com/item.html?itemID=7622551037")</f>
        <v>https://weidian.com/item.html?itemID=7622551037</v>
      </c>
      <c r="D67"/>
      <c r="E67" s="2" t="str">
        <f>=HYPERLINK("https://si.geilicdn.com/pcitem2014204438-0f480000019adc81e88f0a231316_1080_1080.jpg?w=640&amp;h=640", "https://si.geilicdn.com/pcitem2014204438-0f480000019adc81e88f0a231316_1080_1080.jpg?w=640&amp;h=640")</f>
        <v>https://si.geilicdn.com/pcitem2014204438-0f480000019adc81e88f0a231316_1080_1080.jpg?w=640&amp;h=640</v>
      </c>
      <c r="F67" t="inlineStr">
        <is>
          <t>Hats</t>
        </is>
      </c>
      <c r="G67" t="inlineStr">
        <is>
          <t>Prada</t>
        </is>
      </c>
      <c r="H67">
        <v>250</v>
      </c>
      <c r="I67">
        <v>36.23</v>
      </c>
      <c r="J67" t="inlineStr">
        <is>
          <t>{"id":"chatcmpl-DZoEISEhYJJNnOOWCA4BoY5NtRG9O","object":"chat.completion","created":1777426934,"model":"gpt-5-chat-2025-10-03","choices":[{"index":0,"message":{"role":"assistant","content":"Prada Beige Striped Cotton Baseball Cap","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ad66631dec"}</t>
        </is>
      </c>
      <c r="K67" t="inlineStr">
        <is>
          <t>Prada Beige Striped Cotton Baseball Cap</t>
        </is>
      </c>
      <c r="L67" t="inlineStr">
        <is>
          <t>{"id":"chatcmpl-DZo6SMXrYSF7vqWCZedAhw63iIHyp","object":"chat.completion","created":1777426448,"model":"gpt-5-chat-2025-10-03","choices":[{"index":0,"message":{"role":"assistant","content":"Prada Beige Striped Casual Baseball Cap crafted from premium cotton-linen blend, lightweight and breathable. Features iconic metal triangle logo, unisex modern urban style with timeless Italian elegance.","refusal":null,"annotations":[]},"logprobs":null,"finish_reason":"stop"}],"usage":{"prompt_tokens":925,"completion_tokens":37,"total_tokens":962,"prompt_tokens_details":{"cached_tokens":0,"audio_tokens":0},"completion_tokens_details":{"reasoning_tokens":0,"audio_tokens":0,"accepted_prediction_tokens":0,"rejected_prediction_tokens":0}},"service_tier":"default","system_fingerprint":"fp_ad66631dec"}</t>
        </is>
      </c>
      <c r="M67" t="inlineStr">
        <is>
          <t>{"alt-svc":"h3=\":443\"; ma=2592000","apim-request-id":"af3dac78-8252-4d04-ada7-a7335cd1962f","azureml-model-session":"d20260402084046-4209e968","cache-control":"no-cache","connection":"close","content-length":"1011","content-type":"application/json","date":"Wed, 29 Apr 2026 01:34:09 GMT","server":"nginx","skip-error-remapping":"true","strict-transport-security":"max-age=31536000; includeSubDomains; preload","via":"1.1 Caddy","x-content-type-options":"nosniff","x-ms-client-request-id":"Not-Set","x-ms-is-spilled-over":"false","x-ms-rai-invoked":"false","x-ms-region":"North Central US","x-new-api-version":"0.4.35","x-oneapi-request-id":"20260429013408630272268268d9d61TR0mEl3","x-ratelimit-abusepenalty-active":"False","x-ratelimit-key":"gpt-5-chat-global","x-ratelimit-limit-requests":"1000","x-ratelimit-limit-tokens":"1000000","x-ratelimit-remaining-requests":"999","x-ratelimit-remaining-tokens":"998313","x-ratelimit-renewalperiod-requests":"60","x-ratelimit-renewalperiod-tokens":"60","x-ratelimit-reset-requests":"60","x-ratelimit-reset-tokens":"101","x-request-id":"ddaea0ec-fc91-44cd-a945-1326da595d09"}</t>
        </is>
      </c>
      <c r="N67" t="inlineStr">
        <is>
          <t>Prada Beige Striped Casual Baseball Cap crafted from premium cotton-linen blend, lightweight and breathable. Features iconic metal triangle logo, unisex modern urban style with timeless Italian elegance.</t>
        </is>
      </c>
      <c r="O67" t="inlineStr">
        <is>
          <t>{"id":"chatcmpl-DZoQxpj0DCsTSYuThDUKCFJMQVb3i","object":"chat.completion","created":1777427719,"model":"gpt-5-chat-2025-10-03","choices":[{"index":0,"message":{"role":"assistant","content":"Prada,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67" t="inlineStr">
        <is>
          <t>Prada,Hat,kakobuy,kakebuy2026,kekobuysheet,kakobuysheet2026,2026kakobuy,kakobuyspreadsheeet,kakobuylink,kakebuylist,Kakobuy MEGA Spreadsheet,kakobuysheetfind,kakobuysheetfind2026,2026kakobuysheetfind,kakobuysheet2026</t>
        </is>
      </c>
      <c r="Q67" t="inlineStr">
        <is>
          <t>Beige, Breathable, Lightweight, Unisex, Modern</t>
        </is>
      </c>
      <c r="R67" t="inlineStr">
        <is>
          <t>recvhju1CrKJ1k</t>
        </is>
      </c>
      <c r="S67" t="inlineStr">
        <is>
          <t>prada-beige-striped-cotton-baseball-cap-recvhju1crkj1k</t>
        </is>
      </c>
      <c r="T67"/>
      <c r="U67"/>
      <c r="V67"/>
      <c r="W67" t="inlineStr">
        <is>
          <t>{"id":"chatcmpl-DZnyCgcIBQFQY39QbRFYrNMhtMSS4","object":"chat.completion","created":1777425936,"model":"gpt-5-chat-2025-10-03","choices":[{"index":0,"message":{"role":"assistant","content":"Prada：米色细条纹休闲棒球帽，甄选高质棉麻混纺面料，轻盈透气。正面标志性三角金属徽标彰显品牌格调，简约中透出优雅格纹设计，男女皆宜，融合现代都市风与经典意式美学，适合日常出行与时尚休闲搭配。","refusal":null,"annotations":[]},"logprobs":null,"finish_reason":"stop"}],"usage":{"prompt_tokens":1300,"completion_tokens":91,"total_tokens":1391,"prompt_tokens_details":{"cached_tokens":0,"audio_tokens":0},"completion_tokens_details":{"reasoning_tokens":0,"audio_tokens":0,"accepted_prediction_tokens":0,"rejected_prediction_tokens":0}},"service_tier":"default","system_fingerprint":"fp_ad66631dec"}</t>
        </is>
      </c>
      <c r="X67" t="inlineStr">
        <is>
          <t>Prada：米色细条纹休闲棒球帽，甄选高质棉麻混纺面料，轻盈透气。正面标志性三角金属徽标彰显品牌格调，简约中透出优雅格纹设计，男女皆宜，融合现代都市风与经典意式美学，适合日常出行与时尚休闲搭配。</t>
        </is>
      </c>
    </row>
    <row r="68" ht="25.5" customHeight="1">
      <c r="A68">
        <v>1654975475</v>
      </c>
      <c r="B68">
        <v>7625542622</v>
      </c>
      <c r="C68" s="2" t="str">
        <f>=HYPERLINK("https://weidian.com/item.html?itemID=7625542622", "https://weidian.com/item.html?itemID=7625542622")</f>
        <v>https://weidian.com/item.html?itemID=7625542622</v>
      </c>
      <c r="D68"/>
      <c r="E68" s="2" t="str">
        <f>=HYPERLINK("https://si.geilicdn.com/pcitem2014204438-3a890000019adc7f7b540a20e7c7_1512_2016.jpg?w=640&amp;h=640", "https://si.geilicdn.com/pcitem2014204438-3a890000019adc7f7b540a20e7c7_1512_2016.jpg?w=640&amp;h=640")</f>
        <v>https://si.geilicdn.com/pcitem2014204438-3a890000019adc7f7b540a20e7c7_1512_2016.jpg?w=640&amp;h=640</v>
      </c>
      <c r="F68" t="inlineStr">
        <is>
          <t>Hats</t>
        </is>
      </c>
      <c r="G68" t="inlineStr">
        <is>
          <t>Cotopaxi</t>
        </is>
      </c>
      <c r="H68">
        <v>230</v>
      </c>
      <c r="I68">
        <v>33.33</v>
      </c>
      <c r="J68" t="inlineStr">
        <is>
          <t>{"id":"chatcmpl-DZoBlkVQIuF7UyImZqSs69a9QFleU","object":"chat.completion","created":1777426777,"model":"gpt-5-chat-2025-10-03","choices":[{"index":0,"message":{"role":"assistant","content":"Cotopaxi Lago Colorblock QuickDry Nylon Sun Hat","refusal":null,"annotations":[]},"logprobs":null,"finish_reason":"stop"}],"usage":{"prompt_tokens":869,"completion_tokens":12,"total_tokens":881,"prompt_tokens_details":{"cached_tokens":0,"audio_tokens":0},"completion_tokens_details":{"reasoning_tokens":0,"audio_tokens":0,"accepted_prediction_tokens":0,"rejected_prediction_tokens":0}},"service_tier":"default","system_fingerprint":"fp_fd471178c5"}</t>
        </is>
      </c>
      <c r="K68" t="inlineStr">
        <is>
          <t>Cotopaxi Lago Colorblock QuickDry Nylon Sun Hat</t>
        </is>
      </c>
      <c r="L68" t="inlineStr">
        <is>
          <t>{"id":"chatcmpl-DZo5EcbA8K9JC3k9uJCdC0hnrpqep","object":"chat.completion","created":1777426372,"model":"gpt-5-chat-2025-10-03","choices":[{"index":0,"message":{"role":"assistant","content":"Cotopaxi Lago Colorblock Sun Hat – lightweight nylon, quick-dry breathable design, unisex outdoor style, eco-friendly spirit meets modern adventure streetwear.","refusal":null,"annotations":[]},"logprobs":null,"finish_reason":"stop"}],"usage":{"prompt_tokens":894,"completion_tokens":33,"total_tokens":927,"prompt_tokens_details":{"cached_tokens":0,"audio_tokens":0},"completion_tokens_details":{"reasoning_tokens":0,"audio_tokens":0,"accepted_prediction_tokens":0,"rejected_prediction_tokens":0}},"service_tier":"default","system_fingerprint":"fp_ad66631dec"}</t>
        </is>
      </c>
      <c r="M68" t="inlineStr">
        <is>
          <t>{"alt-svc":"h3=\":443\"; ma=2592000","apim-request-id":"efefb461-2727-4525-97be-e0afa476f788","azureml-model-session":"d20260405225800-40f19e54","cache-control":"no-cache","connection":"close","content-length":"969","content-type":"application/json","date":"Wed, 29 Apr 2026 01:32:53 GMT","server":"nginx","skip-error-remapping":"true","strict-transport-security":"max-age=31536000; includeSubDomains; preload","via":"1.1 Caddy","x-content-type-options":"nosniff","x-ms-client-request-id":"Not-Set","x-ms-is-spilled-over":"false","x-ms-rai-invoked":"false","x-ms-region":"South Central US","x-new-api-version":"0.4.35","x-oneapi-request-id":"202604290132517906286158268d9d6DV8tW53n","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11c98f1a-e687-409a-8e93-562dc73e0c2e"}</t>
        </is>
      </c>
      <c r="N68" t="inlineStr">
        <is>
          <t>Cotopaxi Lago Colorblock Sun Hat – lightweight nylon, quick-dry breathable design, unisex outdoor style, eco-friendly spirit meets modern adventure streetwear.</t>
        </is>
      </c>
      <c r="O68" t="inlineStr">
        <is>
          <t>{"id":"chatcmpl-DZoP5slyyaVRm9sTzheJVjHYmOokm","object":"chat.completion","created":1777427603,"model":"gpt-5-chat-2025-10-03","choices":[{"index":0,"message":{"role":"assistant","content":"Cotopaxi,Ha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fd471178c5"}</t>
        </is>
      </c>
      <c r="P68" t="inlineStr">
        <is>
          <t>Cotopaxi,Hats,kakobuy,kakebuy2026,kekobuysheet,kakobuysheet2026,2026kakobuy,kakobuyspreadsheeet,kakobuylink,kakebuylist,Kakobuy MEGA Spreadsheet,kakobuysheetfind,kakobuysheetfind2026,2026kakobuysheetfind,kakobuysheet2026</t>
        </is>
      </c>
      <c r="Q68" t="inlineStr">
        <is>
          <t>Lightweight, Quick Dry, Breathable, Unisex, Outdoor, Streetwear</t>
        </is>
      </c>
      <c r="R68" t="inlineStr">
        <is>
          <t>recvhju1Crys6B</t>
        </is>
      </c>
      <c r="S68" t="inlineStr">
        <is>
          <t>cotopaxi-lago-colorblock-sun-hat-recvhju1crys6b</t>
        </is>
      </c>
      <c r="T68"/>
      <c r="U68"/>
      <c r="V68"/>
      <c r="W68" t="inlineStr">
        <is>
          <t>{"id":"chatcmpl-DZo0uafuuojZBMyQLJOzjt3LAZD4q","object":"chat.completion","created":1777426104,"model":"gpt-5-chat-2025-10-03","choices":[{"index":0,"message":{"role":"assistant","content":"Cotopaxi：Lago系列多彩拼色防晒帽，轻盈尼龙材质，速干透气设计，户外休闲风格，适合男女通用，彰显环保与探险精神的现代街头帽款。","refusal":null,"annotations":[]},"logprobs":null,"finish_reason":"stop"}],"usage":{"prompt_tokens":1308,"completion_tokens":56,"total_tokens":1364,"prompt_tokens_details":{"cached_tokens":1280,"audio_tokens":0},"completion_tokens_details":{"reasoning_tokens":0,"audio_tokens":0,"accepted_prediction_tokens":0,"rejected_prediction_tokens":0}},"service_tier":"default","system_fingerprint":"fp_ad66631dec"}</t>
        </is>
      </c>
      <c r="X68" t="inlineStr">
        <is>
          <t>Cotopaxi：Lago系列多彩拼色防晒帽，轻盈尼龙材质，速干透气设计，户外休闲风格，适合男女通用，彰显环保与探险精神的现代街头帽款。</t>
        </is>
      </c>
    </row>
    <row r="69" ht="25.5" customHeight="1">
      <c r="A69">
        <v>1654975475</v>
      </c>
      <c r="B69">
        <v>7623964282</v>
      </c>
      <c r="C69" s="2" t="str">
        <f>=HYPERLINK("https://weidian.com/item.html?itemID=7623964282", "https://weidian.com/item.html?itemID=7623964282")</f>
        <v>https://weidian.com/item.html?itemID=7623964282</v>
      </c>
      <c r="D69"/>
      <c r="E69" s="2" t="str">
        <f>=HYPERLINK("https://si.geilicdn.com/pcitem2014204438-3f9e0000019adc7d58850a20e672_1074_1074.jpg?w=640&amp;h=640", "https://si.geilicdn.com/pcitem2014204438-3f9e0000019adc7d58850a20e672_1074_1074.jpg?w=640&amp;h=640")</f>
        <v>https://si.geilicdn.com/pcitem2014204438-3f9e0000019adc7d58850a20e672_1074_1074.jpg?w=640&amp;h=640</v>
      </c>
      <c r="F69" t="inlineStr">
        <is>
          <t>Hats</t>
        </is>
      </c>
      <c r="G69" t="inlineStr">
        <is>
          <t>Chrome Hearts</t>
        </is>
      </c>
      <c r="H69">
        <v>220</v>
      </c>
      <c r="I69">
        <v>31.88</v>
      </c>
      <c r="J69" t="inlineStr">
        <is>
          <t>{"id":"chatcmpl-DZoE2YuQJjJB1jxG0ZLMjdw26yWZY","object":"chat.completion","created":1777426918,"model":"gpt-5-chat-2025-10-03","choices":[{"index":0,"message":{"role":"assistant","content":"Chrome Hearts Vintage Khaki Distressed Cotton Baseball Cap","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ad66631dec"}</t>
        </is>
      </c>
      <c r="K69" t="inlineStr">
        <is>
          <t>Chrome Hearts Vintage Khaki Distressed Cotton Baseball Cap</t>
        </is>
      </c>
      <c r="L69" t="inlineStr">
        <is>
          <t>{"id":"chatcmpl-DZo7YdmYknLPR54HIs3nvNDWcnLxh","object":"chat.completion","created":1777426516,"model":"gpt-5-chat-2025-10-03","choices":[{"index":0,"message":{"role":"assistant","content":"Chrome Hearts Vintage Khaki Distressed Baseball Cap made of premium high-density cotton twill, features worn brim details, 3D embroidered logo, unisex casual fit, handcrafted LA street-style design.","refusal":null,"annotations":[]},"logprobs":null,"finish_reason":"stop"}],"usage":{"prompt_tokens":926,"completion_tokens":41,"total_tokens":967,"prompt_tokens_details":{"cached_tokens":0,"audio_tokens":0},"completion_tokens_details":{"reasoning_tokens":0,"audio_tokens":0,"accepted_prediction_tokens":0,"rejected_prediction_tokens":0}},"service_tier":"default","system_fingerprint":"fp_ad66631dec"}</t>
        </is>
      </c>
      <c r="M69" t="inlineStr">
        <is>
          <t>{"alt-svc":"h3=\":443\"; ma=2592000","apim-request-id":"95b7337f-118e-4495-bd1e-43c7b1bd9047","azureml-model-session":"d20260402075109-1fc5a0ec","cache-control":"no-cache","connection":"close","content-length":"1006","content-type":"application/json","date":"Wed, 29 Apr 2026 01:35:18 GMT","server":"Caddy","skip-error-remapping":"true","strict-transport-security":"max-age=31536000; includeSubDomains; preload","x-content-type-options":"nosniff","x-ms-client-request-id":"Not-Set","x-ms-is-spilled-over":"false","x-ms-rai-invoked":"false","x-ms-region":"Sweden Central","x-new-api-version":"0.4.35","x-oneapi-request-id":"202604290135149484477348268d9d6esYkCPfO","x-ratelimit-abusepenalty-active":"False","x-ratelimit-key":"gpt-5-chat-global","x-ratelimit-limit-requests":"1000","x-ratelimit-limit-tokens":"1000000","x-ratelimit-remaining-requests":"999","x-ratelimit-remaining-tokens":"998312","x-ratelimit-renewalperiod-requests":"60","x-ratelimit-renewalperiod-tokens":"60","x-ratelimit-reset-requests":"60","x-ratelimit-reset-tokens":"101","x-request-id":"992f5c68-287b-4f59-b61d-51dedbfde3a3"}</t>
        </is>
      </c>
      <c r="N69" t="inlineStr">
        <is>
          <t>Chrome Hearts Vintage Khaki Distressed Baseball Cap made of premium high-density cotton twill, features worn brim details, 3D embroidered logo, unisex casual fit, handcrafted LA street-style design.</t>
        </is>
      </c>
      <c r="O69" t="inlineStr">
        <is>
          <t>{"id":"chatcmpl-DZoOFwaltkKB1NVQb5soVOMRBpl1P","object":"chat.completion","created":1777427551,"model":"gpt-5-chat-2025-10-03","choices":[{"index":0,"message":{"role":"assistant","content":"Chrome Hearts,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69" t="inlineStr">
        <is>
          <t>Chrome Hearts, Hats, kakobuy, kakebuy2026, kekobuysheet, kakobuysheet2026, 2026kakobuy, kakobuyspreadsheeet, kakobuylink, kakebuylist, Kakobuy MEGA Spreadsheet, kakobuysheetfind, kakobuysheetfind2026, 2026kakobuysheetfind, kakobuysheet2026</t>
        </is>
      </c>
      <c r="Q69" t="inlineStr">
        <is>
          <t>Unisex, Vintage, Streetwear</t>
        </is>
      </c>
      <c r="R69" t="inlineStr">
        <is>
          <t>recvhju1CrXCOo</t>
        </is>
      </c>
      <c r="S69" t="inlineStr">
        <is>
          <t>chrome-hearts-vintage-khaki-distressed-cotton-baseball-cap-recvhju1crxcoo</t>
        </is>
      </c>
      <c r="T69"/>
      <c r="U69"/>
      <c r="V69"/>
      <c r="W69" t="inlineStr">
        <is>
          <t>{"id":"chatcmpl-DZnxMrMsuFcNOMtbTq8MmZG5vGvKT","object":"chat.completion","created":1777425884,"model":"gpt-5-chat-2025-10-03","choices":[{"index":0,"message":{"role":"assistant","content":"Chrome Hearts：复古卡其色做旧棒球帽，甄选高密度纯棉斜纹布料，帽檐磨损细节展现街头态度，立体刺绣标志彰显品牌辨识度，中性休闲版型适合全年佩戴，融合洛杉矶手工艺术风格，凸显个性不羁魅力。","refusal":null,"annotations":[]},"logprobs":null,"finish_reason":"stop"}],"usage":{"prompt_tokens":1304,"completion_tokens":90,"total_tokens":1394,"prompt_tokens_details":{"cached_tokens":0,"audio_tokens":0},"completion_tokens_details":{"reasoning_tokens":0,"audio_tokens":0,"accepted_prediction_tokens":0,"rejected_prediction_tokens":0}},"service_tier":"default","system_fingerprint":"fp_fd471178c5"}</t>
        </is>
      </c>
      <c r="X69" t="inlineStr">
        <is>
          <t>Chrome Hearts：复古卡其色做旧棒球帽，甄选高密度纯棉斜纹布料，帽檐磨损细节展现街头态度，立体刺绣标志彰显品牌辨识度，中性休闲版型适合全年佩戴，融合洛杉矶手工艺术风格，凸显个性不羁魅力。</t>
        </is>
      </c>
    </row>
    <row r="70" ht="25.5" customHeight="1">
      <c r="A70">
        <v>1654975475</v>
      </c>
      <c r="B70">
        <v>7623576864</v>
      </c>
      <c r="C70" s="2" t="str">
        <f>=HYPERLINK("https://weidian.com/item.html?itemID=7623576864", "https://weidian.com/item.html?itemID=7623576864")</f>
        <v>https://weidian.com/item.html?itemID=7623576864</v>
      </c>
      <c r="D70"/>
      <c r="E70" s="2" t="str">
        <f>=HYPERLINK("https://si.geilicdn.com/pcitem2014204438-321b0000019adc70734e0a231177_1440_1920.jpg?w=640&amp;h=640", "https://si.geilicdn.com/pcitem2014204438-321b0000019adc70734e0a231177_1440_1920.jpg?w=640&amp;h=640")</f>
        <v>https://si.geilicdn.com/pcitem2014204438-321b0000019adc70734e0a231177_1440_1920.jpg?w=640&amp;h=640</v>
      </c>
      <c r="F70" t="inlineStr">
        <is>
          <t>Hats</t>
        </is>
      </c>
      <c r="G70" t="inlineStr">
        <is>
          <t>Barbour</t>
        </is>
      </c>
      <c r="H70">
        <v>300</v>
      </c>
      <c r="I70">
        <v>43.48</v>
      </c>
      <c r="J70" t="inlineStr">
        <is>
          <t>{"id":"chatcmpl-DZoE07QsAW4MMHpQjh9LFDWblps0j","object":"chat.completion","created":1777426916,"model":"gpt-5-chat-2025-10-03","choices":[{"index":0,"message":{"role":"assistant","content":"Barbour Light Khaki Cotton Twill Baseball Cap","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70" t="inlineStr">
        <is>
          <t>Barbour Light Khaki Cotton Twill Baseball Cap</t>
        </is>
      </c>
      <c r="L70" t="inlineStr">
        <is>
          <t>{"id":"chatcmpl-DZo6Hl8a3R7gAGKH2kIJfPfE9BC9B","object":"chat.completion","created":1777426437,"model":"gpt-5-chat-2025-10-03","choices":[{"index":0,"message":{"role":"assistant","content":"Barbour Light Khaki Cotton Twill Baseball Cap, breathable and durable, curved brim for sun protection, classic Scottish logo embroidery, unisex casual style for outdoor and daily wear.","refusal":null,"annotations":[]},"logprobs":null,"finish_reason":"stop"}],"usage":{"prompt_tokens":917,"completion_tokens":37,"total_tokens":954,"prompt_tokens_details":{"cached_tokens":0,"audio_tokens":0},"completion_tokens_details":{"reasoning_tokens":0,"audio_tokens":0,"accepted_prediction_tokens":0,"rejected_prediction_tokens":0}},"service_tier":"default","system_fingerprint":"fp_ad66631dec"}</t>
        </is>
      </c>
      <c r="M70" t="inlineStr">
        <is>
          <t>{"alt-svc":"h3=\":443\"; ma=2592000","apim-request-id":"14ac6503-56f3-433b-85ca-2ded756e7297","azureml-model-session":"d20260402075109-1fc5a0ec","cache-control":"no-cache","connection":"close","content-length":"992","content-type":"application/json","date":"Wed, 29 Apr 2026 01:33:59 GMT","server":"Caddy","skip-error-remapping":"true","strict-transport-security":"max-age=31536000; includeSubDomains; preload","x-content-type-options":"nosniff","x-ms-client-request-id":"Not-Set","x-ms-is-spilled-over":"false","x-ms-rai-invoked":"false","x-ms-region":"Sweden Central","x-new-api-version":"0.4.35","x-oneapi-request-id":"20260429013356751230218268d9d6iupaxIcK","x-ratelimit-abusepenalty-active":"False","x-ratelimit-key":"gpt-5-chat-global","x-ratelimit-limit-requests":"1000","x-ratelimit-limit-tokens":"1000000","x-ratelimit-remaining-requests":"999","x-ratelimit-remaining-tokens":"998321","x-ratelimit-renewalperiod-requests":"60","x-ratelimit-renewalperiod-tokens":"60","x-ratelimit-reset-requests":"60","x-ratelimit-reset-tokens":"100","x-request-id":"f48383f6-bde0-47c1-b47c-82e26d788103"}</t>
        </is>
      </c>
      <c r="N70" t="inlineStr">
        <is>
          <t>Barbour Light Khaki Cotton Twill Baseball Cap, breathable and durable, curved brim for sun protection, classic Scottish logo embroidery, unisex casual style for outdoor and daily wear.</t>
        </is>
      </c>
      <c r="O70" t="inlineStr">
        <is>
          <t>{"id":"chatcmpl-DZoRQzY5tf7ZSFzNjGy9TCPavffP3","object":"chat.completion","created":1777427748,"model":"gpt-5-chat-2025-10-03","choices":[{"index":0,"message":{"role":"assistant","content":"Barbou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70" t="inlineStr">
        <is>
          <t>Barbour,Hat,kakobuy,kakebuy2026,kekobuysheet,kakobuysheet2026,2026kakobuy,kakobuyspreadsheeet,kakobuylink,kakebuylist,Kakobuy MEGA Spreadsheet,kakobuysheetfind,kakobuysheetfind2026,2026kakobuysheetfind,kakobuysheet2026</t>
        </is>
      </c>
      <c r="Q70" t="inlineStr">
        <is>
          <t>Unisex, Outdoor, Breathable, Sun Protection</t>
        </is>
      </c>
      <c r="R70" t="inlineStr">
        <is>
          <t>recvhju1CrGT2P</t>
        </is>
      </c>
      <c r="S70" t="inlineStr">
        <is>
          <t>barbour-light-khaki-cotton-twill-baseball-cap-recvhju1crgt2p</t>
        </is>
      </c>
      <c r="T70"/>
      <c r="U70"/>
      <c r="V70"/>
      <c r="W70" t="inlineStr">
        <is>
          <t>{"id":"chatcmpl-DZo0t7lmJbYWCdgcQHUURTVp7HAZM","object":"chat.completion","created":1777426103,"model":"gpt-5-chat-2025-10-03","choices":[{"index":0,"message":{"role":"assistant","content":"Barbour：浅卡其色休闲棒球帽，采用耐磨纯棉斜纹布料，透气舒适，弧形帽檐设计遮阳防晒，正面绣有品牌经典苏格兰格纹徽标，展现英伦休闲格调，男女通用款，适合日常出行与户外穿搭。","refusal":null,"annotations":[]},"logprobs":null,"finish_reason":"stop"}],"usage":{"prompt_tokens":1298,"completion_tokens":84,"total_tokens":1382,"prompt_tokens_details":{"cached_tokens":0,"audio_tokens":0},"completion_tokens_details":{"reasoning_tokens":0,"audio_tokens":0,"accepted_prediction_tokens":0,"rejected_prediction_tokens":0}},"service_tier":"default","system_fingerprint":"fp_ad66631dec"}</t>
        </is>
      </c>
      <c r="X70" t="inlineStr">
        <is>
          <t>Barbour：浅卡其色休闲棒球帽，采用耐磨纯棉斜纹布料，透气舒适，弧形帽檐设计遮阳防晒，正面绣有品牌经典苏格兰格纹徽标，展现英伦休闲格调，男女通用款，适合日常出行与户外穿搭。</t>
        </is>
      </c>
    </row>
    <row r="71" ht="25.5" customHeight="1">
      <c r="A71">
        <v>1654975475</v>
      </c>
      <c r="B71">
        <v>7625581988</v>
      </c>
      <c r="C71" s="2" t="str">
        <f>=HYPERLINK("https://weidian.com/item.html?itemID=7625581988", "https://weidian.com/item.html?itemID=7625581988")</f>
        <v>https://weidian.com/item.html?itemID=7625581988</v>
      </c>
      <c r="D71"/>
      <c r="E71" s="2" t="str">
        <f>=HYPERLINK("https://si.geilicdn.com/pcitem2014204438-3e260000019adc6f26ed0a230115_1440_1920.jpg?w=640&amp;h=640", "https://si.geilicdn.com/pcitem2014204438-3e260000019adc6f26ed0a230115_1440_1920.jpg?w=640&amp;h=640")</f>
        <v>https://si.geilicdn.com/pcitem2014204438-3e260000019adc6f26ed0a230115_1440_1920.jpg?w=640&amp;h=640</v>
      </c>
      <c r="F71" t="inlineStr">
        <is>
          <t>Hats</t>
        </is>
      </c>
      <c r="G71" t="inlineStr">
        <is>
          <t>MLB</t>
        </is>
      </c>
      <c r="H71">
        <v>230</v>
      </c>
      <c r="I71">
        <v>33.33</v>
      </c>
      <c r="J71" t="inlineStr">
        <is>
          <t>{"id":"chatcmpl-DZoGH9QnvJyvWNHLoJJw1iFXwTldN","object":"chat.completion","created":1777427057,"model":"gpt-5-chat-2025-10-03","choices":[{"index":0,"message":{"role":"assistant","content":"New Era MLB 9FORTY Black NY Logo Cap","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fd471178c5"}</t>
        </is>
      </c>
      <c r="K71" t="inlineStr">
        <is>
          <t>New Era MLB 9FORTY Black NY Logo Cap</t>
        </is>
      </c>
      <c r="L71" t="inlineStr">
        <is>
          <t>{"id":"chatcmpl-DZo9wzHVwsTIZ62rdUdH1eAlKADsm","object":"chat.completion","created":1777426664,"model":"gpt-5-chat-2025-10-03","choices":[{"index":0,"message":{"role":"assistant","content":"NEW ERA MLB Black 9FORTY Adjustable Cap, premium cotton, 3D embroidered NY logo, breathable structured fit, curved visor for face-shaping, unisex streetwear style, classic American sporty vibe.","refusal":null,"annotations":[]},"logprobs":null,"finish_reason":"stop"}],"usage":{"prompt_tokens":912,"completion_tokens":44,"total_tokens":956,"prompt_tokens_details":{"cached_tokens":0,"audio_tokens":0},"completion_tokens_details":{"reasoning_tokens":0,"audio_tokens":0,"accepted_prediction_tokens":0,"rejected_prediction_tokens":0}},"service_tier":"default","system_fingerprint":"fp_fd471178c5"}</t>
        </is>
      </c>
      <c r="M71" t="inlineStr">
        <is>
          <t>{"alt-svc":"h3=\":443\"; ma=2592000","apim-request-id":"024ede6f-d0f9-479c-9a03-6c8dbf64800b","azureml-model-session":"d20260428174121-807d9cc5","cache-control":"no-cache","connection":"close","content-length":"1001","content-type":"application/json","date":"Wed, 29 Apr 2026 01:37:45 GMT","server":"Caddy","skip-error-remapping":"true","strict-transport-security":"max-age=31536000; includeSubDomains; preload","x-content-type-options":"nosniff","x-ms-client-request-id":"Not-Set","x-ms-is-spilled-over":"false","x-ms-rai-invoked":"false","x-ms-region":"North Central US","x-new-api-version":"0.4.35","x-oneapi-request-id":"202604290137428202507598268d9d6eJDQeMvq","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664f6a0d-a7c5-424b-a3a9-9aed426f956b"}</t>
        </is>
      </c>
      <c r="N71" t="inlineStr">
        <is>
          <t>NEW ERA MLB Black 9FORTY Adjustable Cap, premium cotton, 3D embroidered NY logo, breathable structured fit, curved visor for face-shaping, unisex streetwear style, classic American sporty vibe.</t>
        </is>
      </c>
      <c r="O71" t="inlineStr">
        <is>
          <t>{"id":"chatcmpl-DZoMLzWB9pFwHmewevslOxn1Z54nB","object":"chat.completion","created":1777427433,"model":"gpt-5-chat-2025-10-03","choices":[{"index":0,"message":{"role":"assistant","content":"New Era, MLB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71" t="inlineStr">
        <is>
          <t>New Era, MLB Hats, kakobuy, kakebuy2026, kekobuysheet, kakobuysheet2026, 2026kakobuy, kakobuyspreadsheeet, kakobuylink, kakebuylist, Kakobuy MEGA Spreadsheet, kakobuysheetfind, kakobuysheetfind2026, 2026kakobuysheetfind, kakobuysheet2026</t>
        </is>
      </c>
      <c r="Q71" t="inlineStr">
        <is>
          <t>Black, Streetwear, Unisex, Classic</t>
        </is>
      </c>
      <c r="R71" t="inlineStr">
        <is>
          <t>recvhju1CrZTWN</t>
        </is>
      </c>
      <c r="S71" t="inlineStr">
        <is>
          <t>mlb-9forty-black-ny-logo-cap-recvhju1crztwn</t>
        </is>
      </c>
      <c r="T71"/>
      <c r="U71"/>
      <c r="V71"/>
      <c r="W71" t="inlineStr">
        <is>
          <t>{"id":"chatcmpl-DZnv3sEz42SW1Uvq1OWGPZ5GbelRP","object":"chat.completion","created":1777425741,"model":"gpt-5-chat-2025-10-03","choices":[{"index":0,"message":{"role":"assistant","content":"MLB 黑色9FORTY可调节棒球帽，精选优质纯棉材质，立体刺绣NY标志设计，休闲街头风格，男女通用百搭款，结构挺括透气舒适，经典弧形帽檐修饰脸型，彰显美式复古运动魅力。","refusal":null,"annotations":[]},"logprobs":null,"finish_reason":"stop"}],"usage":{"prompt_tokens":1300,"completion_tokens":78,"total_tokens":1378,"prompt_tokens_details":{"cached_tokens":1280,"audio_tokens":0},"completion_tokens_details":{"reasoning_tokens":0,"audio_tokens":0,"accepted_prediction_tokens":0,"rejected_prediction_tokens":0}},"service_tier":"default","system_fingerprint":"fp_ad66631dec"}</t>
        </is>
      </c>
      <c r="X71" t="inlineStr">
        <is>
          <t>MLB 黑色9FORTY可调节棒球帽，精选优质纯棉材质，立体刺绣NY标志设计，休闲街头风格，男女通用百搭款，结构挺括透气舒适，经典弧形帽檐修饰脸型，彰显美式复古运动魅力。</t>
        </is>
      </c>
    </row>
    <row r="72" ht="25.5" customHeight="1">
      <c r="A72">
        <v>1654975475</v>
      </c>
      <c r="B72">
        <v>7697545828</v>
      </c>
      <c r="C72" s="2" t="str">
        <f>=HYPERLINK("https://weidian.com/item.html?itemID=7697545828", "https://weidian.com/item.html?itemID=7697545828")</f>
        <v>https://weidian.com/item.html?itemID=7697545828</v>
      </c>
      <c r="D72"/>
      <c r="E72" s="2" t="str">
        <f>=HYPERLINK("https://si.geilicdn.com/open1654975475-252808396-685b0000019c833cfd210aa08676_800_1959.jpg?w=640&amp;h=640", "https://si.geilicdn.com/open1654975475-252808396-685b0000019c833cfd210aa08676_800_1959.jpg?w=640&amp;h=640")</f>
        <v>https://si.geilicdn.com/open1654975475-252808396-685b0000019c833cfd210aa08676_800_1959.jpg?w=640&amp;h=640</v>
      </c>
      <c r="F72" t="inlineStr">
        <is>
          <t>Toys</t>
        </is>
      </c>
      <c r="G72" t="inlineStr">
        <is>
          <t>Other</t>
        </is>
      </c>
      <c r="H72">
        <v>154</v>
      </c>
      <c r="I72">
        <v>22.32</v>
      </c>
      <c r="J72" t="inlineStr">
        <is>
          <t>{"id":"chatcmpl-DZoHYzsTxqmuDOWPOhs1vR9OtFPrZ","object":"chat.completion","created":1777427136,"model":"gpt-5-chat-2025-10-03","choices":[{"index":0,"message":{"role":"assistant","content":"ToysOther Smart 4WD Flip Spin Robot Toy","refusal":null,"annotations":[]},"logprobs":null,"finish_reason":"stop"}],"usage":{"prompt_tokens":1447,"completion_tokens":12,"total_tokens":1459,"prompt_tokens_details":{"cached_tokens":0,"audio_tokens":0},"completion_tokens_details":{"reasoning_tokens":0,"audio_tokens":0,"accepted_prediction_tokens":0,"rejected_prediction_tokens":0}},"service_tier":"default","system_fingerprint":"fp_ad66631dec"}</t>
        </is>
      </c>
      <c r="K72" t="inlineStr">
        <is>
          <t>ToysOther Smart 4WD Flip Spin Robot Toy</t>
        </is>
      </c>
      <c r="L72" t="inlineStr">
        <is>
          <t>{"id":"chatcmpl-DZo5jsPFo62pq7tgRFduxkDYRJ5vH","object":"chat.completion","created":1777426403,"model":"gpt-5-chat-2025-10-03","choices":[{"index":0,"message":{"role":"assistant","content":"ToysOther Smart 4WD Remote Control Robot, silver-blue design with futuristic style, flexible limbs for flips and spins, eco-friendly ABS build, remote and motion show, perfect tech learning toy for kids.","refusal":null,"annotations":[]},"logprobs":null,"finish_reason":"stop"}],"usage":{"prompt_tokens":1464,"completion_tokens":43,"total_tokens":1507,"prompt_tokens_details":{"cached_tokens":0,"audio_tokens":0},"completion_tokens_details":{"reasoning_tokens":0,"audio_tokens":0,"accepted_prediction_tokens":0,"rejected_prediction_tokens":0}},"service_tier":"default","system_fingerprint":"fp_fd471178c5"}</t>
        </is>
      </c>
      <c r="M72" t="inlineStr">
        <is>
          <t>{"alt-svc":"h3=\":443\"; ma=2592000","apim-request-id":"1907e762-e608-40e2-af6f-ee3b08ebde66","azureml-model-session":"d20260428174121-807d9cc5","cache-control":"no-cache","connection":"close","content-length":"1013","content-type":"application/json","date":"Wed, 29 Apr 2026 01:33:24 GMT","server":"nginx","skip-error-remapping":"true","strict-transport-security":"max-age=31536000; includeSubDomains; preload","via":"1.1 Caddy","x-content-type-options":"nosniff","x-ms-client-request-id":"Not-Set","x-ms-is-spilled-over":"false","x-ms-rai-invoked":"false","x-ms-region":"Central US","x-new-api-version":"0.4.35","x-oneapi-request-id":"202604290133221882310168268d9d6HLmzFeZn","x-ratelimit-abusepenalty-active":"False","x-ratelimit-key":"gpt-5-chat-global","x-ratelimit-limit-requests":"1000","x-ratelimit-limit-tokens":"1000000","x-ratelimit-remaining-requests":"999","x-ratelimit-remaining-tokens":"997771","x-ratelimit-renewalperiod-requests":"60","x-ratelimit-renewalperiod-tokens":"60","x-ratelimit-reset-requests":"60","x-ratelimit-reset-tokens":"133","x-request-id":"7060656f-e52c-4705-bef4-8ceba4945139"}</t>
        </is>
      </c>
      <c r="N72" t="inlineStr">
        <is>
          <t>ToysOther Smart 4WD Remote Control Robot, silver-blue design with futuristic style, flexible limbs for flips and spins, eco-friendly ABS build, remote and motion show, perfect tech learning toy for kids.</t>
        </is>
      </c>
      <c r="O72" t="inlineStr">
        <is>
          <t>{"id":"chatcmpl-DZoJZp3NEgKk4Xe4eNF5MATF5HLPg","object":"chat.completion","created":1777427261,"model":"gpt-5-chat-2025-10-03","choices":[{"index":0,"message":{"role":"assistant","content":"Intelligent,Remote Control Robot Toy,kakobuy,kakebuy2026,kekobuysheet,kakobuysheet2026,2026kakobuy,kakobuyspreadsheeet,kakobuylink,kakebuylist,Kakobuy MEGA Spreadsheet,kakobuysheetfind,kakobuysheetfind2026,2026kakobuysheetfind,kakobuysheet2026","refusal":null,"annotations":[]},"logprobs":null,"finish_reason":"stop"}],"usage":{"prompt_tokens":1342,"completion_tokens":90,"total_tokens":1432,"prompt_tokens_details":{"cached_tokens":0,"audio_tokens":0},"completion_tokens_details":{"reasoning_tokens":0,"audio_tokens":0,"accepted_prediction_tokens":0,"rejected_prediction_tokens":0}},"service_tier":"default","system_fingerprint":"fp_fd471178c5"}</t>
        </is>
      </c>
      <c r="P72" t="inlineStr">
        <is>
          <t>Intelligent,Remote Control Robot Toy,kakobuy,kakebuy2026,kekobuysheet,kakobuysheet2026,2026kakobuy,kakobuyspreadsheeet,kakobuylink,kakebuylist,Kakobuy MEGA Spreadsheet,kakobuysheetfind,kakobuysheetfind2026,2026kakobuysheetfind,kakobuysheet2026</t>
        </is>
      </c>
      <c r="Q72"/>
      <c r="R72" t="inlineStr">
        <is>
          <t>recvhju1CrPFDw</t>
        </is>
      </c>
      <c r="S72" t="inlineStr">
        <is>
          <t>toysother-smart-4wd-flip-spin-robot-toy-recvhju1crpfdw</t>
        </is>
      </c>
      <c r="T72"/>
      <c r="U72"/>
      <c r="V72"/>
      <c r="W72" t="inlineStr">
        <is>
          <t>{"id":"chatcmpl-DZo1W9rw9GJHSPfLqmvvr5NCaoyOW","object":"chat.completion","created":1777426142,"model":"gpt-5-chat-2025-10-03","choices":[{"index":0,"message":{"role":"assistant","content":"智能遥控四驱机器人，银蓝配色，炫酷科技造型，灵活四肢可前后翻越与旋转，ABS环保材质打造，具备遥控与动作展示功能，适合男女孩玩乐与科技启蒙，未来感设计彰显前卫机械美学。","refusal":null,"annotations":[]},"logprobs":null,"finish_reason":"stop"}],"usage":{"prompt_tokens":1858,"completion_tokens":71,"total_tokens":1929,"prompt_tokens_details":{"cached_tokens":0,"audio_tokens":0},"completion_tokens_details":{"reasoning_tokens":0,"audio_tokens":0,"accepted_prediction_tokens":0,"rejected_prediction_tokens":0}},"service_tier":"default","system_fingerprint":"fp_fd471178c5"}</t>
        </is>
      </c>
      <c r="X72" t="inlineStr">
        <is>
          <t>智能遥控四驱机器人，银蓝配色，炫酷科技造型，灵活四肢可前后翻越与旋转，ABS环保材质打造，具备遥控与动作展示功能，适合男女孩玩乐与科技启蒙，未来感设计彰显前卫机械美学。</t>
        </is>
      </c>
    </row>
    <row r="73" ht="25.5" customHeight="1">
      <c r="A73">
        <v>1654975475</v>
      </c>
      <c r="B73">
        <v>7623593102</v>
      </c>
      <c r="C73" s="2" t="str">
        <f>=HYPERLINK("https://weidian.com/item.html?itemID=7623593102", "https://weidian.com/item.html?itemID=7623593102")</f>
        <v>https://weidian.com/item.html?itemID=7623593102</v>
      </c>
      <c r="D73"/>
      <c r="E73" s="2" t="str">
        <f>=HYPERLINK("https://si.geilicdn.com/pcitem2014204438-6df20000019adcfc15840a2301b4_1440_1920.jpg?w=640&amp;h=640", "https://si.geilicdn.com/pcitem2014204438-6df20000019adcfc15840a2301b4_1440_1920.jpg?w=640&amp;h=640")</f>
        <v>https://si.geilicdn.com/pcitem2014204438-6df20000019adcfc15840a2301b4_1440_1920.jpg?w=640&amp;h=640</v>
      </c>
      <c r="F73" t="inlineStr">
        <is>
          <t>Glasses</t>
        </is>
      </c>
      <c r="G73" t="inlineStr">
        <is>
          <t>Dior</t>
        </is>
      </c>
      <c r="H73">
        <v>350</v>
      </c>
      <c r="I73">
        <v>50.72</v>
      </c>
      <c r="J73" t="inlineStr">
        <is>
          <t>{"id":"chatcmpl-DZoI0P80HKTVHfLn5ox142xBYXJUt","object":"chat.completion","created":1777427164,"model":"gpt-5-chat-2025-10-03","choices":[{"index":0,"message":{"role":"assistant","content":"Dior Modern Beige Square Acetate Unisex Sunglasses","refusal":null,"annotations":[]},"logprobs":null,"finish_reason":"stop"}],"usage":{"prompt_tokens":864,"completion_tokens":13,"total_tokens":877,"prompt_tokens_details":{"cached_tokens":0,"audio_tokens":0},"completion_tokens_details":{"reasoning_tokens":0,"audio_tokens":0,"accepted_prediction_tokens":0,"rejected_prediction_tokens":0}},"service_tier":"default","system_fingerprint":"fp_fd471178c5"}</t>
        </is>
      </c>
      <c r="K73" t="inlineStr">
        <is>
          <t>Dior Modern Beige Square Acetate Unisex Sunglasses</t>
        </is>
      </c>
      <c r="L73" t="inlineStr">
        <is>
          <t>{"id":"chatcmpl-DZo8lZ4xmmyOtByGGbqKY4h8499Ea","object":"chat.completion","created":1777426591,"model":"gpt-5-chat-2025-10-03","choices":[{"index":0,"message":{"role":"assistant","content":"Dior Modern Beige Square Sunglasses feature lightweight acetate, minimalist geometric design, unisex style blending retro and modern for timeless French luxury and urban elegance.","refusal":null,"annotations":[]},"logprobs":null,"finish_reason":"stop"}],"usage":{"prompt_tokens":896,"completion_tokens":31,"total_tokens":927,"prompt_tokens_details":{"cached_tokens":0,"audio_tokens":0},"completion_tokens_details":{"reasoning_tokens":0,"audio_tokens":0,"accepted_prediction_tokens":0,"rejected_prediction_tokens":0}},"service_tier":"default","system_fingerprint":"fp_ad66631dec"}</t>
        </is>
      </c>
      <c r="M73" t="inlineStr">
        <is>
          <t>{"alt-svc":"h3=\":443\"; ma=2592000","apim-request-id":"08ae822c-e553-461f-9332-31d2f923f93e","azureml-model-session":"d20260402075109-1fc5a0ec","cache-control":"no-cache","connection":"close","content-length":"987","content-type":"application/json","date":"Wed, 29 Apr 2026 01:36:32 GMT","server":"nginx","skip-error-remapping":"true","strict-transport-security":"max-age=31536000; includeSubDomains; preload","via":"1.1 Caddy","x-content-type-options":"nosniff","x-ms-client-request-id":"Not-Set","x-ms-is-spilled-over":"false","x-ms-rai-invoked":"false","x-ms-region":"East US","x-new-api-version":"0.4.35","x-oneapi-request-id":"202604290136303345747958268d9d68nWUM30h","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811ab2cb-0607-4be9-9e41-237f735b0cfd"}</t>
        </is>
      </c>
      <c r="N73" t="inlineStr">
        <is>
          <t>Dior Modern Beige Square Sunglasses feature lightweight acetate, minimalist geometric design, unisex style blending retro and modern for timeless French luxury and urban elegance.</t>
        </is>
      </c>
      <c r="O73" t="inlineStr">
        <is>
          <t>{"id":"chatcmpl-DZoNBLQCdEBGinyQnIMoVep243WGx","object":"chat.completion","created":1777427485,"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73" t="inlineStr">
        <is>
          <t>Dior,glasses,kakobuy,kakebuy2026,kekobuysheet,kakobuysheet2026,2026kakobuy,kakobuyspreadsheeet,kakobuylink,kakebuylist,Kakobuy MEGA Spreadsheet,kakobuysheetfind,kakobuysheetfind2026,2026kakobuysheetfind,kakobuysheet2026</t>
        </is>
      </c>
      <c r="Q73" t="inlineStr">
        <is>
          <t>Dior, Acetate Fiber, Minimalist, Geometric, Retro, Unisex</t>
        </is>
      </c>
      <c r="R73" t="inlineStr">
        <is>
          <t>recvhju1CrNXUg</t>
        </is>
      </c>
      <c r="S73" t="inlineStr">
        <is>
          <t>dior-modern-beige-square-sunglasses-recvhju1crnxug</t>
        </is>
      </c>
      <c r="T73"/>
      <c r="U73"/>
      <c r="V73"/>
      <c r="W73" t="inlineStr">
        <is>
          <t>{"id":"chatcmpl-DZnzjoT3WCft7Ep0KEzX4h6nQ1f8W","object":"chat.completion","created":1777426031,"model":"gpt-5-chat-2025-10-03","choices":[{"index":0,"message":{"role":"assistant","content":"Dior: 现代系列米色方框太阳镜，采用轻盈醋酸纤维材质，简约几何设计彰显都市优雅格调，男女通用，复古与现代交融演绎法式高奢时尚魅力。","refusal":null,"annotations":[]},"logprobs":null,"finish_reason":"stop"}],"usage":{"prompt_tokens":1300,"completion_tokens":62,"total_tokens":1362,"prompt_tokens_details":{"cached_tokens":0,"audio_tokens":0},"completion_tokens_details":{"reasoning_tokens":0,"audio_tokens":0,"accepted_prediction_tokens":0,"rejected_prediction_tokens":0}},"service_tier":"default","system_fingerprint":"fp_ad66631dec"}</t>
        </is>
      </c>
      <c r="X73" t="inlineStr">
        <is>
          <t>Dior: 现代系列米色方框太阳镜，采用轻盈醋酸纤维材质，简约几何设计彰显都市优雅格调，男女通用，复古与现代交融演绎法式高奢时尚魅力。</t>
        </is>
      </c>
    </row>
    <row r="74" ht="25.5" customHeight="1">
      <c r="A74">
        <v>1654975475</v>
      </c>
      <c r="B74">
        <v>7622694613</v>
      </c>
      <c r="C74" s="2" t="str">
        <f>=HYPERLINK("https://weidian.com/item.html?itemID=7622694613", "https://weidian.com/item.html?itemID=7622694613")</f>
        <v>https://weidian.com/item.html?itemID=7622694613</v>
      </c>
      <c r="D74"/>
      <c r="E74" s="2" t="str">
        <f>=HYPERLINK("https://si.geilicdn.com/pcitem2014204438-5cf40000019adcf0cc270a239846_1442_1922.jpg?w=640&amp;h=640", "https://si.geilicdn.com/pcitem2014204438-5cf40000019adcf0cc270a239846_1442_1922.jpg?w=640&amp;h=640")</f>
        <v>https://si.geilicdn.com/pcitem2014204438-5cf40000019adcf0cc270a239846_1442_1922.jpg?w=640&amp;h=640</v>
      </c>
      <c r="F74" t="inlineStr">
        <is>
          <t>Glasses</t>
        </is>
      </c>
      <c r="G74" t="inlineStr">
        <is>
          <t>Miu Miu</t>
        </is>
      </c>
      <c r="H74">
        <v>340</v>
      </c>
      <c r="I74">
        <v>49.2898550724637</v>
      </c>
      <c r="J74" t="inlineStr">
        <is>
          <t>{"id":"chatcmpl-DZoDdAhZuccCSV7GYGP0mpSSATC7B","object":"chat.completion","created":1777426893,"model":"gpt-5-chat-2025-10-03","choices":[{"index":0,"message":{"role":"assistant","content":"Miu Miu White Square UV Protection Sunglasses","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74" t="inlineStr">
        <is>
          <t>Miu Miu White Square UV Protection Sunglasses</t>
        </is>
      </c>
      <c r="L74" t="inlineStr">
        <is>
          <t>{"id":"chatcmpl-DZo98509NV7DsBUMkpjIFipcfGoJL","object":"chat.completion","created":1777426614,"model":"gpt-5-chat-2025-10-03","choices":[{"index":0,"message":{"role":"assistant","content":"Miu Miu White Square Sunglasses feature acetate frames with black lenses, gold logo temples, UV protection, and a retro-futuristic design for stylish modern men and women.","refusal":null,"annotations":[]},"logprobs":null,"finish_reason":"stop"}],"usage":{"prompt_tokens":927,"completion_tokens":37,"total_tokens":964,"prompt_tokens_details":{"cached_tokens":0,"audio_tokens":0},"completion_tokens_details":{"reasoning_tokens":0,"audio_tokens":0,"accepted_prediction_tokens":0,"rejected_prediction_tokens":0}},"service_tier":"default","system_fingerprint":"fp_ad66631dec"}</t>
        </is>
      </c>
      <c r="M74" t="inlineStr">
        <is>
          <t>{"alt-svc":"h3=\":443\"; ma=2592000","apim-request-id":"008fc107-979d-435e-aae5-b0252ab8e316","azureml-model-session":"d20260402075109-1fc5a0ec","cache-control":"no-cache","connection":"close","content-length":"979","content-type":"application/json","date":"Wed, 29 Apr 2026 01:36:56 GMT","server":"Caddy","skip-error-remapping":"true","strict-transport-security":"max-age=31536000; includeSubDomains; preload","x-content-type-options":"nosniff","x-ms-client-request-id":"Not-Set","x-ms-is-spilled-over":"false","x-ms-rai-invoked":"false","x-ms-region":"South Central US","x-new-api-version":"0.4.35","x-oneapi-request-id":"202604290136533939619568268d9d6wXh1NTLf","x-ratelimit-abusepenalty-active":"False","x-ratelimit-key":"gpt-5-chat-global","x-ratelimit-limit-requests":"1000","x-ratelimit-limit-tokens":"1000000","x-ratelimit-remaining-requests":"999","x-ratelimit-remaining-tokens":"998311","x-ratelimit-renewalperiod-requests":"60","x-ratelimit-renewalperiod-tokens":"60","x-ratelimit-reset-requests":"60","x-ratelimit-reset-tokens":"101","x-request-id":"f50f0690-295f-4691-abde-f6a76fd774ff"}</t>
        </is>
      </c>
      <c r="N74" t="inlineStr">
        <is>
          <t>Miu Miu White Square Sunglasses feature acetate frames with black lenses, gold logo temples, UV protection, and a retro-futuristic design for stylish modern men and women.</t>
        </is>
      </c>
      <c r="O74" t="inlineStr">
        <is>
          <t>{"id":"chatcmpl-DZoQoyv8nA7rCMYxVeVf7BK7aZfi9","object":"chat.completion","created":1777427710,"model":"gpt-5-chat-2025-10-03","choices":[{"index":0,"message":{"role":"assistant","content":"Miu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fd471178c5"}</t>
        </is>
      </c>
      <c r="P74" t="inlineStr">
        <is>
          <t>Miu Miu,Glasses,kakobuy,kakebuy2026,kekobuysheet,kakobuysheet2026,2026kakobuy,kakobuyspreadsheeet,kakobuylink,kakebuylist,Kakobuy MEGA Spreadsheet,kakobuysheetfind,kakobuysheetfind2026,2026kakobuysheetfind,kakobuysheet2026</t>
        </is>
      </c>
      <c r="Q74" t="inlineStr">
        <is>
          <t>Acetate Fiber, Gold, Retro Futuristic, Anti-Ultraviolet, Unisex</t>
        </is>
      </c>
      <c r="R74" t="inlineStr">
        <is>
          <t>recvhju1Cr1Sp1</t>
        </is>
      </c>
      <c r="S74" t="inlineStr">
        <is>
          <t>miu-miu-white-square-uv-protection-sunglasses-recvhju1cr1sp1</t>
        </is>
      </c>
      <c r="T74"/>
      <c r="U74"/>
      <c r="V74"/>
      <c r="W74" t="inlineStr">
        <is>
          <t>{"id":"chatcmpl-DZnzIBrHp54Ncsuqfk1t129q6vPOo","object":"chat.completion","created":1777426004,"model":"gpt-5-chat-2025-10-03","choices":[{"index":0,"message":{"role":"assistant","content":"Miu Miu：白色方框太阳眼镜，醋酸纤维镜框搭配黑色镜片，金色品牌标识点缀镜腿，简约中透出奢华质感。复古未来主义设计，展现独立女性的时尚力量，兼具防紫外线功能与百搭风格，适合现代都市男女日常出行佩戴。","refusal":null,"annotations":[]},"logprobs":null,"finish_reason":"stop"}],"usage":{"prompt_tokens":1302,"completion_tokens":92,"total_tokens":1394,"prompt_tokens_details":{"cached_tokens":1280,"audio_tokens":0},"completion_tokens_details":{"reasoning_tokens":0,"audio_tokens":0,"accepted_prediction_tokens":0,"rejected_prediction_tokens":0}},"service_tier":"default","system_fingerprint":"fp_ad66631dec"}</t>
        </is>
      </c>
      <c r="X74" t="inlineStr">
        <is>
          <t>Miu Miu：白色方框太阳眼镜，醋酸纤维镜框搭配黑色镜片，金色品牌标识点缀镜腿，简约中透出奢华质感。复古未来主义设计，展现独立女性的时尚力量，兼具防紫外线功能与百搭风格，适合现代都市男女日常出行佩戴。</t>
        </is>
      </c>
    </row>
    <row r="75" ht="25.5" customHeight="1">
      <c r="A75">
        <v>1654975475</v>
      </c>
      <c r="B75">
        <v>7625682242</v>
      </c>
      <c r="C75" s="2" t="str">
        <f>=HYPERLINK("https://weidian.com/item.html?itemID=7625682242", "https://weidian.com/item.html?itemID=7625682242")</f>
        <v>https://weidian.com/item.html?itemID=7625682242</v>
      </c>
      <c r="D75"/>
      <c r="E75" s="2" t="str">
        <f>=HYPERLINK("https://si.geilicdn.com/pcitem2014204438-6f3f0000019adce961fc0a23111a_1290_1275.jpg?w=640&amp;h=640", "https://si.geilicdn.com/pcitem2014204438-6f3f0000019adce961fc0a23111a_1290_1275.jpg?w=640&amp;h=640")</f>
        <v>https://si.geilicdn.com/pcitem2014204438-6f3f0000019adce961fc0a23111a_1290_1275.jpg?w=640&amp;h=640</v>
      </c>
      <c r="F75" t="inlineStr">
        <is>
          <t>Glasses</t>
        </is>
      </c>
      <c r="G75" t="inlineStr">
        <is>
          <t>Miu Miu</t>
        </is>
      </c>
      <c r="H75">
        <v>340</v>
      </c>
      <c r="I75">
        <v>49.2898550724637</v>
      </c>
      <c r="J75" t="inlineStr">
        <is>
          <t>{"id":"chatcmpl-DZoEe8xEqiB86meOCZPWCLVbm2wfR","object":"chat.completion","created":1777426956,"model":"gpt-5-chat-2025-10-03","choices":[{"index":0,"message":{"role":"assistant","content":"Miu Miu Black Cat Eye Sunglasses Retro Acetate Frame","refusal":null,"annotations":[]},"logprobs":null,"finish_reason":"stop"}],"usage":{"prompt_tokens":888,"completion_tokens":15,"total_tokens":903,"prompt_tokens_details":{"cached_tokens":0,"audio_tokens":0},"completion_tokens_details":{"reasoning_tokens":0,"audio_tokens":0,"accepted_prediction_tokens":0,"rejected_prediction_tokens":0}},"service_tier":"default","system_fingerprint":"fp_ad66631dec"}</t>
        </is>
      </c>
      <c r="K75" t="inlineStr">
        <is>
          <t>Miu Miu Black Cat Eye Sunglasses Retro Acetate Frame</t>
        </is>
      </c>
      <c r="L75" t="inlineStr">
        <is>
          <t>{"id":"chatcmpl-DZo8DBKn6iKglEYV94KrxoMXQ25Tm","object":"chat.completion","created":1777426557,"model":"gpt-5-chat-2025-10-03","choices":[{"index":0,"message":{"role":"assistant","content":"Miu Miu Black Cat-Eye Sunglasses: Sleek acetate frame with metal hinge design, offering a chic retro vibe, lightweight comfort, and a perfect fit that highlights feminine elegance and modern style.","refusal":null,"annotations":[]},"logprobs":null,"finish_reason":"stop"}],"usage":{"prompt_tokens":902,"completion_tokens":42,"total_tokens":944,"prompt_tokens_details":{"cached_tokens":0,"audio_tokens":0},"completion_tokens_details":{"reasoning_tokens":0,"audio_tokens":0,"accepted_prediction_tokens":0,"rejected_prediction_tokens":0}},"service_tier":"default","system_fingerprint":"fp_ad66631dec"}</t>
        </is>
      </c>
      <c r="M75" t="inlineStr">
        <is>
          <t>{"alt-svc":"h3=\":443\"; ma=2592000","apim-request-id":"27a37645-012a-46d6-9aa4-4c227d142054","azureml-model-session":"d20260405225800-40f19e54","cache-control":"no-cache","connection":"close","content-length":"1005","content-type":"application/json","date":"Wed, 29 Apr 2026 01:35:59 GMT","server":"nginx","skip-error-remapping":"true","strict-transport-security":"max-age=31536000; includeSubDomains; preload","via":"1.1 Caddy","x-content-type-options":"nosniff","x-ms-client-request-id":"Not-Set","x-ms-is-spilled-over":"false","x-ms-rai-invoked":"false","x-ms-region":"Sweden Central","x-new-api-version":"0.4.35","x-oneapi-request-id":"202604290135555802697848268d9d66IGBniRn","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33d4d65c-66d3-40cc-aeb8-952b0d5a73bd"}</t>
        </is>
      </c>
      <c r="N75" t="inlineStr">
        <is>
          <t>Miu Miu Black Cat-Eye Sunglasses: Sleek acetate frame with metal hinge design, offering a chic retro vibe, lightweight comfort, and a perfect fit that highlights feminine elegance and modern style.</t>
        </is>
      </c>
      <c r="O75" t="inlineStr">
        <is>
          <t>{"id":"chatcmpl-DZoOv5nXVgB9xoe9YFVxfjBGA4kAB","object":"chat.completion","created":1777427593,"model":"gpt-5-chat-2025-10-03","choices":[{"index":0,"message":{"role":"assistant","content":"Miu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75" t="inlineStr">
        <is>
          <t>Miu Miu,Glasses,kakobuy,kakebuy2026,kekobuysheet,kakobuysheet2026,2026kakobuy,kakobuyspreadsheeet,kakobuylink,kakebuylist,Kakobuy MEGA Spreadsheet,kakobuysheetfind,kakobuysheetfind2026,2026kakobuysheetfind,kakobuysheet2026</t>
        </is>
      </c>
      <c r="Q75" t="inlineStr">
        <is>
          <t>Black, Retro, Sleek, Lightweight, Elegant, Modern</t>
        </is>
      </c>
      <c r="R75" t="inlineStr">
        <is>
          <t>recvhju1Crljr9</t>
        </is>
      </c>
      <c r="S75" t="inlineStr">
        <is>
          <t>miu-miu-black-cat-eye-sunglasses-retro-acetate-recvhju1crljr9</t>
        </is>
      </c>
      <c r="T75"/>
      <c r="U75"/>
      <c r="V75"/>
      <c r="W75" t="inlineStr">
        <is>
          <t>{"id":"chatcmpl-DZnwGYXYXAzlR3XrTo5Pd8zS1CQ8I","object":"chat.completion","created":1777425816,"model":"gpt-5-chat-2025-10-03","choices":[{"index":0,"message":{"role":"assistant","content":"Miu Miu：黑色猫眼太阳眼镜，醋酸纤维镜框搭配金属铰链设计，线条流畅展现摩登复古气质，轻盈舒适贴合脸型，彰显女性优雅与时尚态度。","refusal":null,"annotations":[]},"logprobs":null,"finish_reason":"stop"}],"usage":{"prompt_tokens":1308,"completion_tokens":64,"total_tokens":1372,"prompt_tokens_details":{"cached_tokens":0,"audio_tokens":0},"completion_tokens_details":{"reasoning_tokens":0,"audio_tokens":0,"accepted_prediction_tokens":0,"rejected_prediction_tokens":0}},"service_tier":"default","system_fingerprint":"fp_ad66631dec"}</t>
        </is>
      </c>
      <c r="X75" t="inlineStr">
        <is>
          <t>Miu Miu：黑色猫眼太阳眼镜，醋酸纤维镜框搭配金属铰链设计，线条流畅展现摩登复古气质，轻盈舒适贴合脸型，彰显女性优雅与时尚态度。</t>
        </is>
      </c>
    </row>
    <row r="76" ht="25.5" customHeight="1">
      <c r="A76">
        <v>1654975475</v>
      </c>
      <c r="B76">
        <v>7622615209</v>
      </c>
      <c r="C76" s="2" t="str">
        <f>=HYPERLINK("https://weidian.com/item.html?itemID=7622615209", "https://weidian.com/item.html?itemID=7622615209")</f>
        <v>https://weidian.com/item.html?itemID=7622615209</v>
      </c>
      <c r="D76"/>
      <c r="E76" s="2" t="str">
        <f>=HYPERLINK("https://si.geilicdn.com/pcitem2014204438-55fc0000019adce735e30a231177_947_1269.jpg?w=640&amp;h=640", "https://si.geilicdn.com/pcitem2014204438-55fc0000019adce735e30a231177_947_1269.jpg?w=640&amp;h=640")</f>
        <v>https://si.geilicdn.com/pcitem2014204438-55fc0000019adce735e30a231177_947_1269.jpg?w=640&amp;h=640</v>
      </c>
      <c r="F76" t="inlineStr">
        <is>
          <t>Glasses</t>
        </is>
      </c>
      <c r="G76" t="inlineStr">
        <is>
          <t>Versace</t>
        </is>
      </c>
      <c r="H76">
        <v>340</v>
      </c>
      <c r="I76">
        <v>49.2898550724637</v>
      </c>
      <c r="J76" t="inlineStr">
        <is>
          <t>{"id":"chatcmpl-DZoBsaxv260sgBFsps6BLFhJZBaHc","object":"chat.completion","created":1777426784,"model":"gpt-5-chat-2025-10-03","choices":[{"index":0,"message":{"role":"assistant","content":"Versace Black Thick Frame Medusa Sunglasses","refusal":null,"annotations":[]},"logprobs":null,"finish_reason":"stop"}],"usage":{"prompt_tokens":886,"completion_tokens":10,"total_tokens":896,"prompt_tokens_details":{"cached_tokens":0,"audio_tokens":0},"completion_tokens_details":{"reasoning_tokens":0,"audio_tokens":0,"accepted_prediction_tokens":0,"rejected_prediction_tokens":0}},"service_tier":"default","system_fingerprint":"fp_fd471178c5"}</t>
        </is>
      </c>
      <c r="K76" t="inlineStr">
        <is>
          <t>Versace Black Thick Frame Medusa Sunglasses</t>
        </is>
      </c>
      <c r="L76" t="inlineStr">
        <is>
          <t>{"id":"chatcmpl-DZo8lY5da227ON08UoMXGmMhToFYL","object":"chat.completion","created":1777426591,"model":"gpt-5-chat-2025-10-03","choices":[{"index":0,"message":{"role":"assistant","content":"Versace Black Thick Frame Sunglasses – crafted from glossy acetate with a bold 3D texture, featuring iconic Medusa metal emblem, blending modern city chic with vintage flair; unisex luxury sun protection.","refusal":null,"annotations":[]},"logprobs":null,"finish_reason":"stop"}],"usage":{"prompt_tokens":905,"completion_tokens":42,"total_tokens":947,"prompt_tokens_details":{"cached_tokens":0,"audio_tokens":0},"completion_tokens_details":{"reasoning_tokens":0,"audio_tokens":0,"accepted_prediction_tokens":0,"rejected_prediction_tokens":0}},"service_tier":"default","system_fingerprint":"fp_fd471178c5"}</t>
        </is>
      </c>
      <c r="M76" t="inlineStr">
        <is>
          <t>{"alt-svc":"h3=\":443\"; ma=2592000","apim-request-id":"a5705142-1eca-42d3-abc0-1435853f5600","azureml-model-session":"d20260428174121-807d9cc5","cache-control":"no-cache","connection":"close","content-length":"1014","content-type":"application/json","date":"Wed, 29 Apr 2026 01:36:32 GMT","server":"nginx","skip-error-remapping":"true","strict-transport-security":"max-age=31536000; includeSubDomains; preload","via":"1.1 Caddy","x-content-type-options":"nosniff","x-ms-client-request-id":"Not-Set","x-ms-is-spilled-over":"false","x-ms-rai-invoked":"false","x-ms-region":"Central US","x-new-api-version":"0.4.35","x-oneapi-request-id":"20260429013630281096998268d9d6IXZDhOpN","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4e26616f-2f7f-4850-9da0-e286061ba990"}</t>
        </is>
      </c>
      <c r="N76" t="inlineStr">
        <is>
          <t>Versace Black Thick Frame Sunglasses – crafted from glossy acetate with a bold 3D texture, featuring iconic Medusa metal emblem, blending modern city chic with vintage flair; unisex luxury sun protection.</t>
        </is>
      </c>
      <c r="O76" t="inlineStr">
        <is>
          <t>{"id":"chatcmpl-DZoMj62iDWfiwrxfVTLCIDmWzs5vc","object":"chat.completion","created":1777427457,"model":"gpt-5-chat-2025-10-03","choices":[{"index":0,"message":{"role":"assistant","content":"Versac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76" t="inlineStr">
        <is>
          <t>Versace,Glasses,kakobuy,kakebuy2026,kekobuysheet,kakobuysheet2026,2026kakobuy,kakobuyspreadsheeet,kakobuylink,kakebuylist,Kakobuy MEGA Spreadsheet,kakobuysheetfind,kakobuysheetfind2026,2026kakobuysheetfind,kakobuysheet2026</t>
        </is>
      </c>
      <c r="Q76" t="inlineStr">
        <is>
          <t>Unisex, Sun Protection, Acetate Fiber, Modern, Vintage, Black</t>
        </is>
      </c>
      <c r="R76" t="inlineStr">
        <is>
          <t>recvhju1CrjkTa</t>
        </is>
      </c>
      <c r="S76" t="inlineStr">
        <is>
          <t>versace-medusa-sunglasses-recvhju1crjkt</t>
        </is>
      </c>
      <c r="T76"/>
      <c r="U76"/>
      <c r="V76"/>
      <c r="W76" t="inlineStr">
        <is>
          <t>{"id":"chatcmpl-DZnuxtVlIHmmA6FmXDycxWB5h4hgR","object":"chat.completion","created":1777425735,"model":"gpt-5-chat-2025-10-03","choices":[{"index":0,"message":{"role":"assistant","content":"Versace：黑色厚框太阳镜，彰显意式豪华美学，以高光醋酸纤维打造立体质感镜框，饰以品牌标志性美杜莎金属徽章，融合现代都会风与复古格调，男女皆宜，时尚防晒必备单品。","refusal":null,"annotations":[]},"logprobs":null,"finish_reason":"stop"}],"usage":{"prompt_tokens":1296,"completion_tokens":73,"total_tokens":1369,"prompt_tokens_details":{"cached_tokens":0,"audio_tokens":0},"completion_tokens_details":{"reasoning_tokens":0,"audio_tokens":0,"accepted_prediction_tokens":0,"rejected_prediction_tokens":0}},"service_tier":"default","system_fingerprint":"fp_fd471178c5"}</t>
        </is>
      </c>
      <c r="X76" t="inlineStr">
        <is>
          <t>Versace：黑色厚框太阳镜，彰显意式豪华美学，以高光醋酸纤维打造立体质感镜框，饰以品牌标志性美杜莎金属徽章，融合现代都会风与复古格调，男女皆宜，时尚防晒必备单品。</t>
        </is>
      </c>
    </row>
    <row r="77" ht="25.5" customHeight="1">
      <c r="A77">
        <v>1654975475</v>
      </c>
      <c r="B77">
        <v>7622715939</v>
      </c>
      <c r="C77" s="2" t="str">
        <f>=HYPERLINK("https://weidian.com/item.html?itemID=7622715939", "https://weidian.com/item.html?itemID=7622715939")</f>
        <v>https://weidian.com/item.html?itemID=7622715939</v>
      </c>
      <c r="D77"/>
      <c r="E77" s="2" t="str">
        <f>=HYPERLINK("https://si.geilicdn.com/pcitem2014204438-3d7d0000019adce61a1b0a20e2c5_1080_1080.jpg?w=640&amp;h=640", "https://si.geilicdn.com/pcitem2014204438-3d7d0000019adce61a1b0a20e2c5_1080_1080.jpg?w=640&amp;h=640")</f>
        <v>https://si.geilicdn.com/pcitem2014204438-3d7d0000019adce61a1b0a20e2c5_1080_1080.jpg?w=640&amp;h=640</v>
      </c>
      <c r="F77" t="inlineStr">
        <is>
          <t>Glasses</t>
        </is>
      </c>
      <c r="G77" t="inlineStr">
        <is>
          <t>Marni</t>
        </is>
      </c>
      <c r="H77">
        <v>370</v>
      </c>
      <c r="I77">
        <v>53.62</v>
      </c>
      <c r="J77" t="inlineStr">
        <is>
          <t>{"id":"chatcmpl-DZoGRUsi9XQMCNTUTZkWajVkowECj","object":"chat.completion","created":1777427067,"model":"gpt-5-chat-2025-10-03","choices":[{"index":0,"message":{"role":"assistant","content":"Marni White Crystal Oval Retro UV Protection Sunglasses","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77" t="inlineStr">
        <is>
          <t>Marni White Crystal Oval Retro UV Protection Sunglasses</t>
        </is>
      </c>
      <c r="L77" t="inlineStr">
        <is>
          <t>{"id":"chatcmpl-DZo9FuQJcT9rDRZgjUjTwH8X2gwTB","object":"chat.completion","created":1777426621,"model":"gpt-5-chat-2025-10-03","choices":[{"index":0,"message":{"role":"assistant","content":"Marni White Crystal Oval Sunglasses feature premium acetate frames, UV-protection lenses, unisex retro art style, sleek and modern Italian craftsmanship for timeless luxury and sophistication.","refusal":null,"annotations":[]},"logprobs":null,"finish_reason":"stop"}],"usage":{"prompt_tokens":914,"completion_tokens":35,"total_tokens":949,"prompt_tokens_details":{"cached_tokens":0,"audio_tokens":0},"completion_tokens_details":{"reasoning_tokens":0,"audio_tokens":0,"accepted_prediction_tokens":0,"rejected_prediction_tokens":0}},"service_tier":"default","system_fingerprint":"fp_ad66631dec"}</t>
        </is>
      </c>
      <c r="M77" t="inlineStr">
        <is>
          <t>{"alt-svc":"h3=\":443\"; ma=2592000","apim-request-id":"5da712b0-4883-49a3-a615-1720f26b1d44","azureml-model-session":"d20260402075109-1fc5a0ec","cache-control":"no-cache","connection":"close","content-length":"1000","content-type":"application/json","date":"Wed, 29 Apr 2026 01:37:04 GMT","server":"Caddy","skip-error-remapping":"true","strict-transport-security":"max-age=31536000; includeSubDomains; preload","x-content-type-options":"nosniff","x-ms-client-request-id":"Not-Set","x-ms-is-spilled-over":"false","x-ms-rai-invoked":"false","x-ms-region":"Poland Central","x-new-api-version":"0.4.35","x-oneapi-request-id":"202604290137009757116078268d9d6ujDUfzpH","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82d88fff-efd6-45e2-8e6c-34dd48880b41"}</t>
        </is>
      </c>
      <c r="N77" t="inlineStr">
        <is>
          <t>Marni White Crystal Oval Sunglasses feature premium acetate frames, UV-protection lenses, unisex retro art style, sleek and modern Italian craftsmanship for timeless luxury and sophistication.</t>
        </is>
      </c>
      <c r="O77" t="inlineStr">
        <is>
          <t>{"id":"chatcmpl-DZoJTjOHW1zCaQR2VfzTP5Rm1nSEH","object":"chat.completion","created":1777427255,"model":"gpt-5-chat-2025-10-03","choices":[{"index":0,"message":{"role":"assistant","content":"Marn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77" t="inlineStr">
        <is>
          <t>Marni,Glasses,kakobuy,kakebuy2026,kekobuysheet,kakobuysheet2026,2026kakobuy,kakobuyspreadsheeet,kakobuylink,kakebuylist,Kakobuy MEGA Spreadsheet,kakobuysheetfind,kakobuysheetfind2026,2026kakobuysheetfind,kakobuysheet2026</t>
        </is>
      </c>
      <c r="Q77" t="inlineStr">
        <is>
          <t>Acetate Fiber, Anti-Ultraviolet, Unisex, Retro, Artistic Style, Modern</t>
        </is>
      </c>
      <c r="R77" t="inlineStr">
        <is>
          <t>recvhju1CrS6QX</t>
        </is>
      </c>
      <c r="S77" t="inlineStr">
        <is>
          <t>marni-white-crystal-oval-retro-uv-sunglasses-recvhju1crS6QX</t>
        </is>
      </c>
      <c r="T77"/>
      <c r="U77"/>
      <c r="V77"/>
      <c r="W77" t="inlineStr">
        <is>
          <t>{"id":"chatcmpl-DZo0MyrTMEXpdaVOaigawMldxLWc9","object":"chat.completion","created":1777426070,"model":"gpt-5-chat-2025-10-03","choices":[{"index":0,"message":{"role":"assistant","content":"Marni：白色水晶镶嵌椭圆太阳镜，采用优质醋酸纤维镜框，镜面防紫外线设计，简约却不失高级感，呈现复古艺术风格，男女皆宜，彰显现代摩登美学与意大利精致工艺。","refusal":null,"annotations":[]},"logprobs":null,"finish_reason":"stop"}],"usage":{"prompt_tokens":1312,"completion_tokens":74,"total_tokens":1386,"prompt_tokens_details":{"cached_tokens":0,"audio_tokens":0},"completion_tokens_details":{"reasoning_tokens":0,"audio_tokens":0,"accepted_prediction_tokens":0,"rejected_prediction_tokens":0}},"service_tier":"default","system_fingerprint":"fp_ad66631dec"}</t>
        </is>
      </c>
      <c r="X77" t="inlineStr">
        <is>
          <t>Marni：白色水晶镶嵌椭圆太阳镜，采用优质醋酸纤维镜框，镜面防紫外线设计，简约却不失高级感，呈现复古艺术风格，男女皆宜，彰显现代摩登美学与意大利精致工艺。</t>
        </is>
      </c>
    </row>
    <row r="78" ht="25.5" customHeight="1">
      <c r="A78">
        <v>1654975475</v>
      </c>
      <c r="B78">
        <v>7625574602</v>
      </c>
      <c r="C78" s="2" t="str">
        <f>=HYPERLINK("https://weidian.com/item.html?itemID=7625574602", "https://weidian.com/item.html?itemID=7625574602")</f>
        <v>https://weidian.com/item.html?itemID=7625574602</v>
      </c>
      <c r="D78"/>
      <c r="E78" s="2" t="str">
        <f>=HYPERLINK("https://si.geilicdn.com/pcitem2014204438-442c0000019adcabac320a20e273_1134_2016.jpg?w=640&amp;h=640", "https://si.geilicdn.com/pcitem2014204438-442c0000019adcabac320a20e273_1134_2016.jpg?w=640&amp;h=640")</f>
        <v>https://si.geilicdn.com/pcitem2014204438-442c0000019adcabac320a20e273_1134_2016.jpg?w=640&amp;h=640</v>
      </c>
      <c r="F78" t="inlineStr">
        <is>
          <t>Hats</t>
        </is>
      </c>
      <c r="G78" t="inlineStr">
        <is>
          <t>Balenciaga</t>
        </is>
      </c>
      <c r="H78">
        <v>280</v>
      </c>
      <c r="I78">
        <v>40.58</v>
      </c>
      <c r="J78" t="inlineStr">
        <is>
          <t>{"id":"chatcmpl-DZoDyKMA9vIHnqhCY0iYWhK4YimO9","object":"chat.completion","created":1777426914,"model":"gpt-5-chat-2025-10-03","choices":[{"index":0,"message":{"role":"assistant","content":"Balenciaga Classic White Cotton Baseball Cap Unisex","refusal":null,"annotations":[]},"logprobs":null,"finish_reason":"stop"}],"usage":{"prompt_tokens":1149,"completion_tokens":11,"total_tokens":1160,"prompt_tokens_details":{"cached_tokens":0,"audio_tokens":0},"completion_tokens_details":{"reasoning_tokens":0,"audio_tokens":0,"accepted_prediction_tokens":0,"rejected_prediction_tokens":0}},"service_tier":"default","system_fingerprint":"fp_ad66631dec"}</t>
        </is>
      </c>
      <c r="K78" t="inlineStr">
        <is>
          <t>Balenciaga Classic White Cotton Baseball Cap Unisex</t>
        </is>
      </c>
      <c r="L78" t="inlineStr">
        <is>
          <t>{"id":"chatcmpl-DZo9aHfsXFgMKI69efMcZr8wKh7H8","object":"chat.completion","created":1777426642,"model":"gpt-5-chat-2025-10-03","choices":[{"index":0,"message":{"role":"assistant","content":"Balenciaga Classic White Cotton Baseball Cap features minimalist embroidered logo, premium quality, unisex style for streetwear and casual looks, expressing modern minimal fashion aesthetics.","refusal":null,"annotations":[]},"logprobs":null,"finish_reason":"stop"}],"usage":{"prompt_tokens":1173,"completion_tokens":33,"total_tokens":1206,"prompt_tokens_details":{"cached_tokens":0,"audio_tokens":0},"completion_tokens_details":{"reasoning_tokens":0,"audio_tokens":0,"accepted_prediction_tokens":0,"rejected_prediction_tokens":0}},"service_tier":"default","system_fingerprint":"fp_ad66631dec"}</t>
        </is>
      </c>
      <c r="M78" t="inlineStr">
        <is>
          <t>{"alt-svc":"h3=\":443\"; ma=2592000","apim-request-id":"2aa9cb5a-673f-468d-8a66-f7c6d7c0e823","azureml-model-session":"d20260405225800-40f19e54","cache-control":"no-cache","connection":"close","content-length":"1001","content-type":"application/json","date":"Wed, 29 Apr 2026 01:37:23 GMT","server":"Caddy","skip-error-remapping":"true","strict-transport-security":"max-age=31536000; includeSubDomains; preload","x-content-type-options":"nosniff","x-ms-client-request-id":"Not-Set","x-ms-is-spilled-over":"false","x-ms-rai-invoked":"false","x-ms-region":"North Central US","x-new-api-version":"0.4.35","x-oneapi-request-id":"20260429013721259928498268d9d607IC5uHS","x-ratelimit-abusepenalty-active":"False","x-ratelimit-key":"gpt-5-chat-global","x-ratelimit-limit-requests":"1000","x-ratelimit-limit-tokens":"1000000","x-ratelimit-remaining-requests":"999","x-ratelimit-remaining-tokens":"998064","x-ratelimit-renewalperiod-requests":"60","x-ratelimit-renewalperiod-tokens":"60","x-ratelimit-reset-requests":"60","x-ratelimit-reset-tokens":"116","x-request-id":"21290034-5ca5-40c7-a877-6e1817c4b47f"}</t>
        </is>
      </c>
      <c r="N78" t="inlineStr">
        <is>
          <t>Balenciaga Classic White Cotton Baseball Cap features minimalist embroidered logo, premium quality, unisex style for streetwear and casual looks, expressing modern minimal fashion aesthetics.</t>
        </is>
      </c>
      <c r="O78" t="inlineStr">
        <is>
          <t>{"id":"chatcmpl-DZoJzOYDm7l7b5Hg1dAiR6Dn8Zh3i","object":"chat.completion","created":1777427287,"model":"gpt-5-chat-2025-10-03","choices":[{"index":0,"message":{"role":"assistant","content":"Balenciaga,Hats,kakobuy,kakebuy2026,kekobuysheet,kakobuysheet2026,2026kakobuy,kakobuyspreadsheeet,kakobuylink,kakebuylist,Kakobuy MEGA Spreadsheet,kakobuysheetfind,kakobuysheetfind2026,2026kakobuysheetfind,kakobuysheet2026","refusal":null,"annotations":[]},"logprobs":null,"finish_reason":"stop"}],"usage":{"prompt_tokens":1064,"completion_tokens":88,"total_tokens":1152,"prompt_tokens_details":{"cached_tokens":0,"audio_tokens":0},"completion_tokens_details":{"reasoning_tokens":0,"audio_tokens":0,"accepted_prediction_tokens":0,"rejected_prediction_tokens":0}},"service_tier":"default","system_fingerprint":"fp_ad66631dec"}</t>
        </is>
      </c>
      <c r="P78" t="inlineStr">
        <is>
          <t>Balenciaga,Hats,kakobuy,kakebuy2026,kekobuysheet,kakobuysheet2026,2026kakobuy,kakobuyspreadsheeet,kakobuylink,kakebuylist,Kakobuy MEGA Spreadsheet,kakobuysheetfind,kakobuysheetfind2026,2026kakobuysheetfind,kakobuysheet2026</t>
        </is>
      </c>
      <c r="Q78" t="inlineStr">
        <is>
          <t>Balenciaga, White, Minimalist, Streetwear, Unisex</t>
        </is>
      </c>
      <c r="R78" t="inlineStr">
        <is>
          <t>recvhju1CrFShK</t>
        </is>
      </c>
      <c r="S78" t="inlineStr">
        <is>
          <t>balenciaga-classic-white-cotton-baseball-cap-unisex-recvhju1crfshk</t>
        </is>
      </c>
      <c r="T78"/>
      <c r="U78"/>
      <c r="V78"/>
      <c r="W78" t="inlineStr">
        <is>
          <t>{"id":"chatcmpl-DZnx5HNoOqE0MYa2oRc66BEzXgcri","object":"chat.completion","created":1777425867,"model":"gpt-5-chat-2025-10-03","choices":[{"index":0,"message":{"role":"assistant","content":"Balenciaga：经典系列白色棒球帽，优质纯棉材质，正面简约品牌刺绣Logo设计，时尚中性款，彰显极简潮流美学，适合日常出街与休闲穿搭。","refusal":null,"annotations":[]},"logprobs":null,"finish_reason":"stop"}],"usage":{"prompt_tokens":1580,"completion_tokens":59,"total_tokens":1639,"prompt_tokens_details":{"cached_tokens":0,"audio_tokens":0},"completion_tokens_details":{"reasoning_tokens":0,"audio_tokens":0,"accepted_prediction_tokens":0,"rejected_prediction_tokens":0}},"service_tier":"default","system_fingerprint":"fp_ad66631dec"}</t>
        </is>
      </c>
      <c r="X78" t="inlineStr">
        <is>
          <t>Balenciaga：经典系列白色棒球帽，优质纯棉材质，正面简约品牌刺绣Logo设计，时尚中性款，彰显极简潮流美学，适合日常出街与休闲穿搭。</t>
        </is>
      </c>
    </row>
    <row r="79" ht="25.5" customHeight="1">
      <c r="A79">
        <v>1654975475</v>
      </c>
      <c r="B79">
        <v>7622594533</v>
      </c>
      <c r="C79" s="2" t="str">
        <f>=HYPERLINK("https://weidian.com/item.html?itemID=7622594533", "https://weidian.com/item.html?itemID=7622594533")</f>
        <v>https://weidian.com/item.html?itemID=7622594533</v>
      </c>
      <c r="D79"/>
      <c r="E79" s="2" t="str">
        <f>=HYPERLINK("https://si.geilicdn.com/pcitem2014204438-4c7b0000019adca494470a2102c5_1074_1074.jpg?w=640&amp;h=640", "https://si.geilicdn.com/pcitem2014204438-4c7b0000019adca494470a2102c5_1074_1074.jpg?w=640&amp;h=640")</f>
        <v>https://si.geilicdn.com/pcitem2014204438-4c7b0000019adca494470a2102c5_1074_1074.jpg?w=640&amp;h=640</v>
      </c>
      <c r="F79" t="inlineStr">
        <is>
          <t>Hats</t>
        </is>
      </c>
      <c r="G79" t="inlineStr">
        <is>
          <t>Celine</t>
        </is>
      </c>
      <c r="H79">
        <v>270</v>
      </c>
      <c r="I79">
        <v>39.13</v>
      </c>
      <c r="J79" t="inlineStr">
        <is>
          <t>{"id":"chatcmpl-DZoErTKU6JpRutt53uS3Qup5t15PK","object":"chat.completion","created":1777426969,"model":"gpt-5-chat-2025-10-03","choices":[{"index":0,"message":{"role":"assistant","content":"CHANEL Gray Black Gradient Denim Unisex Bucket Hat","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79" t="inlineStr">
        <is>
          <t>CHANEL Gray Black Gradient Denim Unisex Bucket Hat</t>
        </is>
      </c>
      <c r="L79" t="inlineStr">
        <is>
          <t>{"id":"chatcmpl-DZo9sGdpFZlnDedeaoJQXO7AvRv1E","object":"chat.completion","created":1777426660,"model":"gpt-5-chat-2025-10-03","choices":[{"index":0,"message":{"role":"assistant","content":"CHANEL Gray-Black Gradient Denim Bucket Hat, premium cotton fabric, breathable and structured, logo leather patch front, adjustable chin strap, unisex urban retro style for travel and street fashion.","refusal":null,"annotations":[]},"logprobs":null,"finish_reason":"stop"}],"usage":{"prompt_tokens":935,"completion_tokens":39,"total_tokens":974,"prompt_tokens_details":{"cached_tokens":0,"audio_tokens":0},"completion_tokens_details":{"reasoning_tokens":0,"audio_tokens":0,"accepted_prediction_tokens":0,"rejected_prediction_tokens":0}},"service_tier":"default","system_fingerprint":"fp_ad66631dec"}</t>
        </is>
      </c>
      <c r="M79" t="inlineStr">
        <is>
          <t>{"alt-svc":"h3=\":443\"; ma=2592000","apim-request-id":"c13b6180-7e5b-402a-8bad-d66b0a9812a2","azureml-model-session":"d20260405225800-40f19e54","cache-control":"no-cache","connection":"close","content-length":"1007","content-type":"application/json","date":"Wed, 29 Apr 2026 01:37:41 GMT","server":"nginx","skip-error-remapping":"true","strict-transport-security":"max-age=31536000; includeSubDomains; preload","via":"1.1 Caddy","x-content-type-options":"nosniff","x-ms-client-request-id":"Not-Set","x-ms-is-spilled-over":"false","x-ms-rai-invoked":"false","x-ms-region":"Central US","x-new-api-version":"0.4.35","x-oneapi-request-id":"202604290137401505276138268d9d6tattbige","x-ratelimit-abusepenalty-active":"False","x-ratelimit-key":"gpt-5-chat-global","x-ratelimit-limit-requests":"1000","x-ratelimit-limit-tokens":"1000000","x-ratelimit-remaining-requests":"999","x-ratelimit-remaining-tokens":"998303","x-ratelimit-renewalperiod-requests":"60","x-ratelimit-renewalperiod-tokens":"60","x-ratelimit-reset-requests":"60","x-ratelimit-reset-tokens":"101","x-request-id":"ebf5ebc8-508e-4d19-ab19-5f6262af2445"}</t>
        </is>
      </c>
      <c r="N79" t="inlineStr">
        <is>
          <t>CHANEL Gray-Black Gradient Denim Bucket Hat, premium cotton fabric, breathable and structured, logo leather patch front, adjustable chin strap, unisex urban retro style for travel and street fashion.</t>
        </is>
      </c>
      <c r="O79" t="inlineStr">
        <is>
          <t>{"id":"chatcmpl-DZoNaZM3x0rkfABnMCr69PcaYfD3e","object":"chat.completion","created":1777427510,"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79" t="inlineStr">
        <is>
          <t>Chanel,Hat,kakobuy,kakebuy2026,kekobuysheet,kakobuysheet2026,2026kakobuy,kakobuyspreadsheeet,kakobuylink,kakebuylist,Kakobuy MEGA Spreadsheet,kakobuysheetfind,kakobuysheetfind2026,2026kakobuysheetfind,kakobuysheet2026</t>
        </is>
      </c>
      <c r="Q79" t="inlineStr">
        <is>
          <t>Chanel, Denim, Breathable, Unisex, Retro, Streetwear</t>
        </is>
      </c>
      <c r="R79" t="inlineStr">
        <is>
          <t>recvhju1CrCEAy</t>
        </is>
      </c>
      <c r="S79" t="inlineStr">
        <is>
          <t>chanel-gray-black-gradient-denim-bucket-hat-recvhju1crceay</t>
        </is>
      </c>
      <c r="T79"/>
      <c r="U79"/>
      <c r="V79"/>
      <c r="W79" t="inlineStr">
        <is>
          <t>{"id":"chatcmpl-DZnvpyuLY5spNEpFfRY2TarYZlZiE","object":"chat.completion","created":1777425789,"model":"gpt-5-chat-2025-10-03","choices":[{"index":0,"message":{"role":"assistant","content":"CHANEL：灰黑渐变渔夫帽，采用优质牛仔棉布材质，质感挺括透气。正面饰以品牌经典徽标皮质贴片，低调彰显奢华气质。配有可调节下巴绳设计，兼具防风与装饰功能。中性风格，适合都市休闲与度假穿搭，融合复古与摩登时尚。","refusal":null,"annotations":[]},"logprobs":null,"finish_reason":"stop"}],"usage":{"prompt_tokens":1304,"completion_tokens":99,"total_tokens":1403,"prompt_tokens_details":{"cached_tokens":0,"audio_tokens":0},"completion_tokens_details":{"reasoning_tokens":0,"audio_tokens":0,"accepted_prediction_tokens":0,"rejected_prediction_tokens":0}},"service_tier":"default","system_fingerprint":"fp_fd471178c5"}</t>
        </is>
      </c>
      <c r="X79" t="inlineStr">
        <is>
          <t>CHANEL：灰黑渐变渔夫帽，采用优质牛仔棉布材质，质感挺括透气。正面饰以品牌经典徽标皮质贴片，低调彰显奢华气质。配有可调节下巴绳设计，兼具防风与装饰功能。中性风格，适合都市休闲与度假穿搭，融合复古与摩登时尚。</t>
        </is>
      </c>
    </row>
    <row r="80" ht="25.5" customHeight="1">
      <c r="A80">
        <v>1654975475</v>
      </c>
      <c r="B80">
        <v>7625644060</v>
      </c>
      <c r="C80" s="2" t="str">
        <f>=HYPERLINK("https://weidian.com/item.html?itemID=7625644060", "https://weidian.com/item.html?itemID=7625644060")</f>
        <v>https://weidian.com/item.html?itemID=7625644060</v>
      </c>
      <c r="D80"/>
      <c r="E80" s="2" t="str">
        <f>=HYPERLINK("https://si.geilicdn.com/pcitem2014204438-16050000019adc9a52c70a231316_1440_1920.jpg?w=640&amp;h=640", "https://si.geilicdn.com/pcitem2014204438-16050000019adc9a52c70a231316_1440_1920.jpg?w=640&amp;h=640")</f>
        <v>https://si.geilicdn.com/pcitem2014204438-16050000019adc9a52c70a231316_1440_1920.jpg?w=640&amp;h=640</v>
      </c>
      <c r="F80" t="inlineStr">
        <is>
          <t>Hats</t>
        </is>
      </c>
      <c r="G80" t="inlineStr">
        <is>
          <t>Louis Vuitton</t>
        </is>
      </c>
      <c r="H80">
        <v>260</v>
      </c>
      <c r="I80">
        <v>37.68</v>
      </c>
      <c r="J80" t="inlineStr">
        <is>
          <t>{"id":"chatcmpl-DZoCAqZ5KuqTzo5zhdtQlOKodTUFs","object":"chat.completion","created":1777426802,"model":"gpt-5-chat-2025-10-03","choices":[{"index":0,"message":{"role":"assistant","content":"Louis Vuitton Monogram Canvas Leather Unisex Baseball Cap","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80" t="inlineStr">
        <is>
          <t>Louis Vuitton Monogram Canvas Leather Unisex Baseball Cap</t>
        </is>
      </c>
      <c r="L80" t="inlineStr">
        <is>
          <t>{"id":"chatcmpl-DZo47EroBPK6hJZKcwNjwGMEB2yeh","object":"chat.completion","created":1777426303,"model":"gpt-5-chat-2025-10-03","choices":[{"index":0,"message":{"role":"assistant","content":"Louis Vuitton Monogram Baseball Cap – crafted from premium canvas and leather, featuring iconic LV pattern, breathable comfort fit, unisex design for daily wear, exuding timeless French elegance.","refusal":null,"annotations":[]},"logprobs":null,"finish_reason":"stop"}],"usage":{"prompt_tokens":936,"completion_tokens":37,"total_tokens":973,"prompt_tokens_details":{"cached_tokens":0,"audio_tokens":0},"completion_tokens_details":{"reasoning_tokens":0,"audio_tokens":0,"accepted_prediction_tokens":0,"rejected_prediction_tokens":0}},"service_tier":"default","system_fingerprint":"fp_fd471178c5"}</t>
        </is>
      </c>
      <c r="M80" t="inlineStr">
        <is>
          <t>{"alt-svc":"h3=\":443\"; ma=2592000","apim-request-id":"63fbda74-9c01-4a20-9e25-1b0de57bb136","azureml-model-session":"d20260428174121-807d9cc5","cache-control":"no-cache","connection":"close","content-length":"1005","content-type":"application/json","date":"Wed, 29 Apr 2026 01:31:44 GMT","server":"Caddy","skip-error-remapping":"true","strict-transport-security":"max-age=31536000; includeSubDomains; preload","x-content-type-options":"nosniff","x-ms-client-request-id":"Not-Set","x-ms-is-spilled-over":"false","x-ms-rai-invoked":"false","x-ms-region":"Central US","x-new-api-version":"0.4.35","x-oneapi-request-id":"202604290131421976844958268d9d6jp6yJ3Wq","x-ratelimit-abusepenalty-active":"False","x-ratelimit-key":"gpt-5-chat-global","x-ratelimit-limit-requests":"1000","x-ratelimit-limit-tokens":"1000000","x-ratelimit-remaining-requests":"999","x-ratelimit-remaining-tokens":"998302","x-ratelimit-renewalperiod-requests":"60","x-ratelimit-renewalperiod-tokens":"60","x-ratelimit-reset-requests":"60","x-ratelimit-reset-tokens":"101","x-request-id":"15e3589c-179e-4f02-a798-0e87aec002fe"}</t>
        </is>
      </c>
      <c r="N80" t="inlineStr">
        <is>
          <t>Louis Vuitton Monogram Baseball Cap – crafted from premium canvas and leather, featuring iconic LV pattern, breathable comfort fit, unisex design for daily wear, exuding timeless French elegance.</t>
        </is>
      </c>
      <c r="O80" t="inlineStr">
        <is>
          <t>{"id":"chatcmpl-DZoLj3KVaOhxz9umU1FXKzb8lpK1d","object":"chat.completion","created":1777427395,"model":"gpt-5-chat-2025-10-03","choices":[{"index":0,"message":{"role":"assistant","content":"Louis Vuitton,Hats,kakobuy,kakebuy2026,kekobuysheet,kakobuysheet2026,2026kakobuy,kakobuyspreadsheeet,kakobuylink,kakebuylist,Kakobuy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80" t="inlineStr">
        <is>
          <t>Louis Vuitton,Hats,kakobuy,kakebuy2026,kekobuysheet,kakobuysheet2026,2026kakobuy,kakobuyspreadsheeet,kakobuylink,kakebuylist,Kakobuy MEGA Spreadsheet,kakobuysheetfind,kakobuysheetfind2026,2026kakobuysheetfind,kakobuysheet2026</t>
        </is>
      </c>
      <c r="Q80" t="inlineStr">
        <is>
          <t>LV, Canvas, Leather, Unisex, Classic, Elegant</t>
        </is>
      </c>
      <c r="R80" t="inlineStr">
        <is>
          <t>recvhju1CrStV9</t>
        </is>
      </c>
      <c r="S80" t="inlineStr">
        <is>
          <t>louis-vuitton-monogram-canvas-leather-unisex-baseball-cap-recvhju1crstv9</t>
        </is>
      </c>
      <c r="T80"/>
      <c r="U80"/>
      <c r="V80"/>
      <c r="W80" t="inlineStr">
        <is>
          <t>{"id":"chatcmpl-DZnrsSfDkF2GMy3dpn8gK0LUFp5gN","object":"chat.completion","created":1777425544,"model":"gpt-5-chat-2025-10-03","choices":[{"index":0,"message":{"role":"assistant","content":"Louis Vuitton：经典Monogram系列黑色棒球帽，精选优质帆布与皮质拼接材质，整体采用标志性老花印花设计，低调奢华中彰显品牌格调。立体剪裁贴合头型，佩戴舒适透气，展现都市摩登休闲风格。男女通用款，适合日常出行与时尚搭配，尽显法式高端质感。","refusal":null,"annotations":[]},"logprobs":null,"finish_reason":"stop"}],"usage":{"prompt_tokens":1298,"completion_tokens":103,"total_tokens":1401,"prompt_tokens_details":{"cached_tokens":0,"audio_tokens":0},"completion_tokens_details":{"reasoning_tokens":0,"audio_tokens":0,"accepted_prediction_tokens":0,"rejected_prediction_tokens":0}},"service_tier":"default","system_fingerprint":"fp_ad66631dec"}</t>
        </is>
      </c>
      <c r="X80" t="inlineStr">
        <is>
          <t>Louis Vuitton：经典Monogram系列黑色棒球帽，精选优质帆布与皮质拼接材质，整体采用标志性老花印花设计，低调奢华中彰显品牌格调。立体剪裁贴合头型，佩戴舒适透气，展现都市摩登休闲风格。男女通用款，适合日常出行与时尚搭配，尽显法式高端质感。</t>
        </is>
      </c>
    </row>
    <row r="81" ht="25.5" customHeight="1">
      <c r="A81">
        <v>1654975475</v>
      </c>
      <c r="B81">
        <v>7622673963</v>
      </c>
      <c r="C81" s="2" t="str">
        <f>=HYPERLINK("https://weidian.com/item.html?itemID=7622673963", "https://weidian.com/item.html?itemID=7622673963")</f>
        <v>https://weidian.com/item.html?itemID=7622673963</v>
      </c>
      <c r="D81"/>
      <c r="E81" s="2" t="str">
        <f>=HYPERLINK("https://si.geilicdn.com/pcitem2014204438-47e40000019adc904f5f0a230115_1440_1440.jpg?w=640&amp;h=640", "https://si.geilicdn.com/pcitem2014204438-47e40000019adc904f5f0a230115_1440_1440.jpg?w=640&amp;h=640")</f>
        <v>https://si.geilicdn.com/pcitem2014204438-47e40000019adc904f5f0a230115_1440_1440.jpg?w=640&amp;h=640</v>
      </c>
      <c r="F81" t="inlineStr">
        <is>
          <t>Hats</t>
        </is>
      </c>
      <c r="G81" t="inlineStr">
        <is>
          <t>Emis</t>
        </is>
      </c>
      <c r="H81">
        <v>230</v>
      </c>
      <c r="I81">
        <v>33.33</v>
      </c>
      <c r="J81" t="inlineStr">
        <is>
          <t>{"id":"chatcmpl-DZoCcVVUlSXb0jcM3DPI1nlAN2eBw","object":"chat.completion","created":1777426830,"model":"gpt-5-chat-2025-10-03","choices":[{"index":0,"message":{"role":"assistant","content":"Emis Sweetheart Purple Cotton Heart Baseball Cap","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fd471178c5"}</t>
        </is>
      </c>
      <c r="K81" t="inlineStr">
        <is>
          <t>Emis Sweetheart Purple Cotton Heart Baseball Cap</t>
        </is>
      </c>
      <c r="L81" t="inlineStr">
        <is>
          <t>{"id":"chatcmpl-DZo2yZwjPUE5QhHa7mFwAd4xyB16Y","object":"chat.completion","created":1777426232,"model":"gpt-5-chat-2025-10-03","choices":[{"index":0,"message":{"role":"assistant","content":"HatsEmisEmis Sweetheart Series Light Purple Cotton Baseball Cap with Heart Embroidery Logo, Stylish and Comfortable, Unisex Casual Design for Youthful Everyday Look.","refusal":null,"annotations":[]},"logprobs":null,"finish_reason":"stop"}],"usage":{"prompt_tokens":893,"completion_tokens":35,"total_tokens":928,"prompt_tokens_details":{"cached_tokens":0,"audio_tokens":0},"completion_tokens_details":{"reasoning_tokens":0,"audio_tokens":0,"accepted_prediction_tokens":0,"rejected_prediction_tokens":0}},"service_tier":"default","system_fingerprint":"fp_ad66631dec"}</t>
        </is>
      </c>
      <c r="M81" t="inlineStr">
        <is>
          <t>{"alt-svc":"h3=\":443\"; ma=2592000","apim-request-id":"7434e74a-7b3c-4fc6-800b-2fdac481884b","azureml-model-session":"d20260405225800-40f19e54","cache-control":"no-cache","connection":"close","content-length":"973","content-type":"application/json","date":"Wed, 29 Apr 2026 01:30:33 GMT","server":"nginx","skip-error-remapping":"true","strict-transport-security":"max-age=31536000; includeSubDomains; preload","via":"1.1 Caddy","x-content-type-options":"nosniff","x-ms-client-request-id":"Not-Set","x-ms-is-spilled-over":"false","x-ms-rai-invoked":"false","x-ms-region":"North Central US","x-new-api-version":"0.4.35","x-oneapi-request-id":"202604290130321480681528268d9d6F9bXCfUa","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7a311852-dce6-4100-b236-432225459a42"}</t>
        </is>
      </c>
      <c r="N81" t="inlineStr">
        <is>
          <t>HatsEmisEmis Sweetheart Series Light Purple Cotton Baseball Cap with Heart Embroidery Logo, Stylish and Comfortable, Unisex Casual Design for Youthful Everyday Look.</t>
        </is>
      </c>
      <c r="O81" t="inlineStr">
        <is>
          <t>{"id":"chatcmpl-DZoKqulqIZLrZ6pHicKEUtB9THsCk","object":"chat.completion","created":1777427340,"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fd471178c5"}</t>
        </is>
      </c>
      <c r="P81" t="inlineStr">
        <is>
          <t>emis,hat,kakobuy,kakebuy2026,kekobuysheet,kakobuysheet2026,2026kakobuy,kakobuyspreadsheeet,kakobuylink,kakebuylist,Kakobuy MEGA Spreadsheet,kakobuysheetfind,kakobuysheetfind2026,2026kakobuysheetfind,kakobuysheet2026</t>
        </is>
      </c>
      <c r="Q81" t="inlineStr">
        <is>
          <t>Sweet, Purple, Unisex, Youth</t>
        </is>
      </c>
      <c r="R81" t="inlineStr">
        <is>
          <t>recvhju1CrVxPw</t>
        </is>
      </c>
      <c r="S81" t="inlineStr">
        <is>
          <t>emis-sweetheart-purple-cotton-heart-baseball-cap-recvhju1crvxpw</t>
        </is>
      </c>
      <c r="T81"/>
      <c r="U81"/>
      <c r="V81"/>
      <c r="W81" t="inlineStr">
        <is>
          <t>{"id":"chatcmpl-DZnsYjtdIiRo7n2Z9QdKaoXlfo6YG","object":"chat.completion","created":1777425586,"model":"gpt-5-chat-2025-10-03","choices":[{"index":0,"message":{"role":"assistant","content":"Emis：甜心系列淡紫色休闲棒球帽，柔软纯棉材质，心形刺绣logo点缀，兼具时尚与舒适，简约百搭，男女皆宜，展现青春休闲风格。","refusal":null,"annotations":[]},"logprobs":null,"finish_reason":"stop"}],"usage":{"prompt_tokens":1300,"completion_tokens":59,"total_tokens":1359,"prompt_tokens_details":{"cached_tokens":0,"audio_tokens":0},"completion_tokens_details":{"reasoning_tokens":0,"audio_tokens":0,"accepted_prediction_tokens":0,"rejected_prediction_tokens":0}},"service_tier":"default","system_fingerprint":"fp_fd471178c5"}</t>
        </is>
      </c>
      <c r="X81" t="inlineStr">
        <is>
          <t>Emis：甜心系列淡紫色休闲棒球帽，柔软纯棉材质，心形刺绣logo点缀，兼具时尚与舒适，简约百搭，男女皆宜，展现青春休闲风格。</t>
        </is>
      </c>
    </row>
    <row r="82" ht="25.5" customHeight="1">
      <c r="A82">
        <v>1654975475</v>
      </c>
      <c r="B82">
        <v>7622638079</v>
      </c>
      <c r="C82" s="2" t="str">
        <f>=HYPERLINK("https://weidian.com/item.html?itemID=7622638079", "https://weidian.com/item.html?itemID=7622638079")</f>
        <v>https://weidian.com/item.html?itemID=7622638079</v>
      </c>
      <c r="D82"/>
      <c r="E82" s="2" t="str">
        <f>=HYPERLINK("https://si.geilicdn.com/pcitem2014204438-23f60000019adc8fb61b0a2304aa_1440_1440.jpg?w=640&amp;h=640", "https://si.geilicdn.com/pcitem2014204438-23f60000019adc8fb61b0a2304aa_1440_1440.jpg?w=640&amp;h=640")</f>
        <v>https://si.geilicdn.com/pcitem2014204438-23f60000019adc8fb61b0a2304aa_1440_1440.jpg?w=640&amp;h=640</v>
      </c>
      <c r="F82" t="inlineStr">
        <is>
          <t>Hats</t>
        </is>
      </c>
      <c r="G82" t="inlineStr">
        <is>
          <t>Emis</t>
        </is>
      </c>
      <c r="H82">
        <v>230</v>
      </c>
      <c r="I82">
        <v>33.33</v>
      </c>
      <c r="J82" t="inlineStr">
        <is>
          <t>{"id":"chatcmpl-DZoCYowCIeLOjryOg0zPCTlZPVUyX","object":"chat.completion","created":1777426826,"model":"gpt-5-chat-2025-10-03","choices":[{"index":0,"message":{"role":"assistant","content":"HatsEmis Pink Heart Cotton Embroidered Baseball Cap","refusal":null,"annotations":[]},"logprobs":null,"finish_reason":"stop"}],"usage":{"prompt_tokens":904,"completion_tokens":13,"total_tokens":917,"prompt_tokens_details":{"cached_tokens":0,"audio_tokens":0},"completion_tokens_details":{"reasoning_tokens":0,"audio_tokens":0,"accepted_prediction_tokens":0,"rejected_prediction_tokens":0}},"service_tier":"default","system_fingerprint":"fp_ad66631dec"}</t>
        </is>
      </c>
      <c r="K82" t="inlineStr">
        <is>
          <t>HatsEmis Pink Heart Cotton Embroidered Baseball Cap</t>
        </is>
      </c>
      <c r="L82" t="inlineStr">
        <is>
          <t>{"id":"chatcmpl-DZoAjsPcR8HziC6l3ya3nmLiECqSl","object":"chat.completion","created":1777426713,"model":"gpt-5-chat-2025-10-03","choices":[{"index":0,"message":{"role":"assistant","content":"HatsEmisEmis Pink Heart Embroidered Baseball Cap, made of premium cotton, soft and breathable, features a 3D heart logo in Korean sweet-cool style. Adjustable fit, unisex design, perfect for daily casual fashion.","refusal":null,"annotations":[]},"logprobs":null,"finish_reason":"stop"}],"usage":{"prompt_tokens":915,"completion_tokens":51,"total_tokens":966,"prompt_tokens_details":{"cached_tokens":0,"audio_tokens":0},"completion_tokens_details":{"reasoning_tokens":0,"audio_tokens":0,"accepted_prediction_tokens":0,"rejected_prediction_tokens":0}},"service_tier":"default","system_fingerprint":"fp_ad66631dec"}</t>
        </is>
      </c>
      <c r="M82" t="inlineStr">
        <is>
          <t>{"alt-svc":"h3=\":443\"; ma=2592000","apim-request-id":"10fefe62-fe92-48a1-acc3-c60400005296","azureml-model-session":"d20260402074105-51db401e","cache-control":"no-cache","connection":"close","content-length":"1020","content-type":"application/json","date":"Wed, 29 Apr 2026 01:38:36 GMT","server":"Caddy","skip-error-remapping":"true","strict-transport-security":"max-age=31536000; includeSubDomains; preload","x-content-type-options":"nosniff","x-ms-client-request-id":"Not-Set","x-ms-is-spilled-over":"false","x-ms-rai-invoked":"false","x-ms-region":"West US","x-new-api-version":"0.4.35","x-oneapi-request-id":"202604290138327980806718268d9d6jWsT9ltD","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1d38e9ab-d0b0-47e6-b7bf-3847d344075e"}</t>
        </is>
      </c>
      <c r="N82" t="inlineStr">
        <is>
          <t>HatsEmisEmis Pink Heart Embroidered Baseball Cap, made of premium cotton, soft and breathable, features a 3D heart logo in Korean sweet-cool style. Adjustable fit, unisex design, perfect for daily casual fashion.</t>
        </is>
      </c>
      <c r="O82" t="inlineStr">
        <is>
          <t>{"id":"chatcmpl-DZoNQJpn6bJ5axnKgJPBQPecolkBQ","object":"chat.completion","created":1777427500,"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ad66631dec"}</t>
        </is>
      </c>
      <c r="P82" t="inlineStr">
        <is>
          <t>emis,hat,kakobuy,kakebuy2026,kekobuysheet,kakobuysheet2026,2026kakobuy,kakobuyspreadsheeet,kakobuylink,kakebuylist,Kakobuy MEGA Spreadsheet,kakobuysheetfind,kakobuysheetfind2026,2026kakobuysheetfind,kakobuysheet2026</t>
        </is>
      </c>
      <c r="Q82" t="inlineStr">
        <is>
          <t>Pink, Sweet, Unisex, Breathable</t>
        </is>
      </c>
      <c r="R82" t="inlineStr">
        <is>
          <t>recvhju1CrFdIJ</t>
        </is>
      </c>
      <c r="S82" t="inlineStr">
        <is>
          <t>hatsemis-pink-heart-cotton-embroidered-baseball-cap-recvhju1crfdij</t>
        </is>
      </c>
      <c r="T82"/>
      <c r="U82"/>
      <c r="V82"/>
      <c r="W82" t="inlineStr">
        <is>
          <t>{"id":"chatcmpl-DZnxvgYD5KfGh3gFK6HJL94E8Uz9q","object":"chat.completion","created":1777425919,"model":"gpt-5-chat-2025-10-03","choices":[{"index":0,"message":{"role":"assistant","content":"Emis：粉色爱心刺绣棒球帽，采用高品质纯棉材质，柔软透气，正面立体心形徽标设计融入韩系甜酷风格，彰显青春活力。可调节帽围设计，男女皆宜，休闲百搭，轻松展现日常时尚品味。","refusal":null,"annotations":[]},"logprobs":null,"finish_reason":"stop"}],"usage":{"prompt_tokens":1302,"completion_tokens":80,"total_tokens":1382,"prompt_tokens_details":{"cached_tokens":0,"audio_tokens":0},"completion_tokens_details":{"reasoning_tokens":0,"audio_tokens":0,"accepted_prediction_tokens":0,"rejected_prediction_tokens":0}},"service_tier":"default","system_fingerprint":"fp_ad66631dec"}</t>
        </is>
      </c>
      <c r="X82" t="inlineStr">
        <is>
          <t>Emis：粉色爱心刺绣棒球帽，采用高品质纯棉材质，柔软透气，正面立体心形徽标设计融入韩系甜酷风格，彰显青春活力。可调节帽围设计，男女皆宜，休闲百搭，轻松展现日常时尚品味。</t>
        </is>
      </c>
    </row>
    <row r="83" ht="25.5" customHeight="1">
      <c r="A83">
        <v>1654975475</v>
      </c>
      <c r="B83">
        <v>7625564458</v>
      </c>
      <c r="C83" s="2" t="str">
        <f>=HYPERLINK("https://weidian.com/item.html?itemID=7625564458", "https://weidian.com/item.html?itemID=7625564458")</f>
        <v>https://weidian.com/item.html?itemID=7625564458</v>
      </c>
      <c r="D83"/>
      <c r="E83" s="2" t="str">
        <f>=HYPERLINK("https://si.geilicdn.com/pcitem2014204438-39190000019adc88803e0a231177_1440_1440.jpg?w=640&amp;h=640", "https://si.geilicdn.com/pcitem2014204438-39190000019adc88803e0a231177_1440_1440.jpg?w=640&amp;h=640")</f>
        <v>https://si.geilicdn.com/pcitem2014204438-39190000019adc88803e0a231177_1440_1440.jpg?w=640&amp;h=640</v>
      </c>
      <c r="F83" t="inlineStr">
        <is>
          <t>Hats</t>
        </is>
      </c>
      <c r="G83" t="inlineStr">
        <is>
          <t>Dior</t>
        </is>
      </c>
      <c r="H83">
        <v>260</v>
      </c>
      <c r="I83">
        <v>37.68</v>
      </c>
      <c r="J83" t="inlineStr">
        <is>
          <t>{"id":"chatcmpl-DZoCZz7EJ3b69aPIlB5tvPCBqLQSN","object":"chat.completion","created":1777426827,"model":"gpt-5-chat-2025-10-03","choices":[{"index":0,"message":{"role":"assistant","content":"Dior Black Raffia Hat with Beige Lace Bow","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83" t="inlineStr">
        <is>
          <t>Dior Black Raffia Hat with Beige Lace Bow</t>
        </is>
      </c>
      <c r="L83" t="inlineStr">
        <is>
          <t>{"id":"chatcmpl-DZo8Y67UWXGLWJMTjK60iVYiu0hla","object":"chat.completion","created":1777426578,"model":"gpt-5-chat-2025-10-03","choices":[{"index":0,"message":{"role":"assistant","content":"HatsDiorDior black woven raffia hat with beige lace bow and CD metal logo, lightweight and stylish for spring and summer casual wear, blending French elegance with modern simplicity.","refusal":null,"annotations":[]},"logprobs":null,"finish_reason":"stop"}],"usage":{"prompt_tokens":902,"completion_tokens":38,"total_tokens":940,"prompt_tokens_details":{"cached_tokens":0,"audio_tokens":0},"completion_tokens_details":{"reasoning_tokens":0,"audio_tokens":0,"accepted_prediction_tokens":0,"rejected_prediction_tokens":0}},"service_tier":"default","system_fingerprint":"fp_ad66631dec"}</t>
        </is>
      </c>
      <c r="M83" t="inlineStr">
        <is>
          <t>{"alt-svc":"h3=\":443\"; ma=2592000","apim-request-id":"cac9418f-4f11-4688-90df-ca45cd4c2bb3","azureml-model-session":"d20260405225800-40f19e54","cache-control":"no-cache","connection":"close","content-length":"990","content-type":"application/json","date":"Wed, 29 Apr 2026 01:36:19 GMT","server":"nginx","skip-error-remapping":"true","strict-transport-security":"max-age=31536000; includeSubDomains; preload","via":"1.1 Caddy","x-content-type-options":"nosniff","x-ms-client-request-id":"Not-Set","x-ms-is-spilled-over":"false","x-ms-rai-invoked":"false","x-ms-region":"South Central US","x-new-api-version":"0.4.35","x-oneapi-request-id":"202604290136176513477088268d9d6FwNP1jaF","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edc9e048-5f41-428e-b215-dacde2a70df5"}</t>
        </is>
      </c>
      <c r="N83" t="inlineStr">
        <is>
          <t>HatsDiorDior black woven raffia hat with beige lace bow and CD metal logo, lightweight and stylish for spring and summer casual wear, blending French elegance with modern simplicity.</t>
        </is>
      </c>
      <c r="O83" t="inlineStr">
        <is>
          <t>{"id":"chatcmpl-DZoLFaVHRVjJj3awMNn0LHjQC3gZX","object":"chat.completion","created":1777427365,"model":"gpt-5-chat-2025-10-03","choices":[{"index":0,"message":{"role":"assistant","content":"Dio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83" t="inlineStr">
        <is>
          <t>Dior,Hat,kakobuy,kakebuy2026,kekobuysheet,kakobuysheet2026,2026kakobuy,kakobuyspreadsheeet,kakobuylink,kakebuylist,Kakobuy MEGA Spreadsheet,kakobuysheetfind,kakobuysheetfind2026,2026kakobuysheetfind,kakobuysheet2026</t>
        </is>
      </c>
      <c r="Q83" t="inlineStr">
        <is>
          <t>Dior, Black, Beige, Elegant, Simple, Spring And Summer</t>
        </is>
      </c>
      <c r="R83" t="inlineStr">
        <is>
          <t>recvhju1CrV8Gi</t>
        </is>
      </c>
      <c r="S83" t="inlineStr">
        <is>
          <t>dior-black-raffia-hat-beige-lace-bow-recvhju1crv8gi</t>
        </is>
      </c>
      <c r="T83"/>
      <c r="U83"/>
      <c r="V83"/>
      <c r="W83" t="inlineStr">
        <is>
          <t>{"id":"chatcmpl-DZnzAovbnvJh3csNgQD0FVzAwQYfV","object":"chat.completion","created":1777425996,"model":"gpt-5-chat-2025-10-03","choices":[{"index":0,"message":{"role":"assistant","content":"Dior：黑色编织藤草帽，柔韧轻盈材质搭配米色镂空蝴蝶结装饰与CD金属标识，展现法式优雅与现代简约风，适合春夏男女休闲出行佩戴，彰显品牌经典魅力。","refusal":null,"annotations":[]},"logprobs":null,"finish_reason":"stop"}],"usage":{"prompt_tokens":1296,"completion_tokens":70,"total_tokens":1366,"prompt_tokens_details":{"cached_tokens":1280,"audio_tokens":0},"completion_tokens_details":{"reasoning_tokens":0,"audio_tokens":0,"accepted_prediction_tokens":0,"rejected_prediction_tokens":0}},"service_tier":"default","system_fingerprint":"fp_ad66631dec"}</t>
        </is>
      </c>
      <c r="X83" t="inlineStr">
        <is>
          <t>Dior：黑色编织藤草帽，柔韧轻盈材质搭配米色镂空蝴蝶结装饰与CD金属标识，展现法式优雅与现代简约风，适合春夏男女休闲出行佩戴，彰显品牌经典魅力。</t>
        </is>
      </c>
    </row>
    <row r="84" ht="25.5" customHeight="1">
      <c r="A84">
        <v>1654975475</v>
      </c>
      <c r="B84">
        <v>7625596114</v>
      </c>
      <c r="C84" s="2" t="str">
        <f>=HYPERLINK("https://weidian.com/item.html?itemID=7625596114", "https://weidian.com/item.html?itemID=7625596114")</f>
        <v>https://weidian.com/item.html?itemID=7625596114</v>
      </c>
      <c r="D84"/>
      <c r="E84" s="2" t="str">
        <f>=HYPERLINK("https://si.geilicdn.com/pcitem2014204438-48fc0000019adc8459010a210256_1080_1080.jpg?w=640&amp;h=640", "https://si.geilicdn.com/pcitem2014204438-48fc0000019adc8459010a210256_1080_1080.jpg?w=640&amp;h=640")</f>
        <v>https://si.geilicdn.com/pcitem2014204438-48fc0000019adc8459010a210256_1080_1080.jpg?w=640&amp;h=640</v>
      </c>
      <c r="F84" t="inlineStr">
        <is>
          <t>Hats</t>
        </is>
      </c>
      <c r="G84" t="inlineStr">
        <is>
          <t>Prada</t>
        </is>
      </c>
      <c r="H84">
        <v>250</v>
      </c>
      <c r="I84">
        <v>36.23</v>
      </c>
      <c r="J84" t="inlineStr">
        <is>
          <t>{"id":"chatcmpl-DZoDvjdawGC7re5xYWJeBG2VmMtLl","object":"chat.completion","created":1777426911,"model":"gpt-5-chat-2025-10-03","choices":[{"index":0,"message":{"role":"assistant","content":"Prada Deep Blue Striped Cotton Twill Baseball Cap","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84" t="inlineStr">
        <is>
          <t>Prada Deep Blue Striped Cotton Twill Baseball Cap</t>
        </is>
      </c>
      <c r="L84" t="inlineStr">
        <is>
          <t>{"id":"chatcmpl-DZo62IEbq6gKWKDHgwDXcUw7RqhZf","object":"chat.completion","created":1777426422,"model":"gpt-5-chat-2025-10-03","choices":[{"index":0,"message":{"role":"assistant","content":"Prada Deep Blue Striped Cotton Twill Baseball Cap features iconic metal triangle logo, unisex urban-luxury style, modern and premium design for casual high-fashion looks.","refusal":null,"annotations":[]},"logprobs":null,"finish_reason":"stop"}],"usage":{"prompt_tokens":899,"completion_tokens":36,"total_tokens":935,"prompt_tokens_details":{"cached_tokens":0,"audio_tokens":0},"completion_tokens_details":{"reasoning_tokens":0,"audio_tokens":0,"accepted_prediction_tokens":0,"rejected_prediction_tokens":0}},"service_tier":"default","system_fingerprint":"fp_ad66631dec"}</t>
        </is>
      </c>
      <c r="M84" t="inlineStr">
        <is>
          <t>{"alt-svc":"h3=\":443\"; ma=2592000","apim-request-id":"287a1177-e9cc-40a7-bd3d-89839c6610ef","azureml-model-session":"d20260405225800-40f19e54","cache-control":"no-cache","connection":"close","content-length":"978","content-type":"application/json","date":"Wed, 29 Apr 2026 01:33:43 GMT","server":"nginx","skip-error-remapping":"true","strict-transport-security":"max-age=31536000; includeSubDomains; preload","via":"1.1 Caddy","x-content-type-options":"nosniff","x-ms-client-request-id":"Not-Set","x-ms-is-spilled-over":"false","x-ms-rai-invoked":"false","x-ms-region":"Central US","x-new-api-version":"0.4.35","x-oneapi-request-id":"202604290133412088233018268d9d6GaRWrRXq","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4bc8d1e0-7b40-435b-ac1b-a6a0b8dada8c"}</t>
        </is>
      </c>
      <c r="N84" t="inlineStr">
        <is>
          <t>Prada Deep Blue Striped Cotton Twill Baseball Cap features iconic metal triangle logo, unisex urban-luxury style, modern and premium design for casual high-fashion looks.</t>
        </is>
      </c>
      <c r="O84" t="inlineStr">
        <is>
          <t>{"id":"chatcmpl-DZoJS1pIUecIYPnGQl8BsSD4FlOa7","object":"chat.completion","created":1777427254,"model":"gpt-5-chat-2025-10-03","choices":[{"index":0,"message":{"role":"assistant","content":"Prada,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84" t="inlineStr">
        <is>
          <t>Prada,Hat,kakobuy,kakebuy2026,kekobuysheet,kakobuysheet2026,2026kakobuy,kakobuyspreadsheeet,kakobuylink,kakebuylist,Kakobuy MEGA Spreadsheet,kakobuysheetfind,kakobuysheetfind2026,2026kakobuysheetfind,kakobuysheet2026</t>
        </is>
      </c>
      <c r="Q84" t="inlineStr">
        <is>
          <t>Blue, Unisex, Modern, High End</t>
        </is>
      </c>
      <c r="R84" t="inlineStr">
        <is>
          <t>recvhju1CrvQlp</t>
        </is>
      </c>
      <c r="S84" t="inlineStr">
        <is>
          <t>prada-deep-blue-striped-cotton-twill-baseball-cap-recvhju1crvqlp</t>
        </is>
      </c>
      <c r="T84"/>
      <c r="U84"/>
      <c r="V84"/>
      <c r="W84" t="inlineStr">
        <is>
          <t>{"id":"chatcmpl-DZnzkhydl84nuJpSOaHtuwVAZjG22","object":"chat.completion","created":1777426032,"model":"gpt-5-chat-2025-10-03","choices":[{"index":0,"message":{"role":"assistant","content":"Prada：深蓝色条纹休闲棒球帽，甄选优质棉质斜纹织料，搭配标志性三角金属徽标设计，融合简约奢华与都市风格，男女通用款，展现现代高级时尚质感。","refusal":null,"annotations":[]},"logprobs":null,"finish_reason":"stop"}],"usage":{"prompt_tokens":1296,"completion_tokens":67,"total_tokens":1363,"prompt_tokens_details":{"cached_tokens":0,"audio_tokens":0},"completion_tokens_details":{"reasoning_tokens":0,"audio_tokens":0,"accepted_prediction_tokens":0,"rejected_prediction_tokens":0}},"service_tier":"default","system_fingerprint":"fp_ad66631dec"}</t>
        </is>
      </c>
      <c r="X84" t="inlineStr">
        <is>
          <t>Prada：深蓝色条纹休闲棒球帽，甄选优质棉质斜纹织料，搭配标志性三角金属徽标设计，融合简约奢华与都市风格，男女通用款，展现现代高级时尚质感。</t>
        </is>
      </c>
    </row>
    <row r="85" ht="25.5" customHeight="1">
      <c r="A85">
        <v>1654975475</v>
      </c>
      <c r="B85">
        <v>7622533469</v>
      </c>
      <c r="C85" s="2" t="str">
        <f>=HYPERLINK("https://weidian.com/item.html?itemID=7622533469", "https://weidian.com/item.html?itemID=7622533469")</f>
        <v>https://weidian.com/item.html?itemID=7622533469</v>
      </c>
      <c r="D85"/>
      <c r="E85" s="2" t="str">
        <f>=HYPERLINK("https://si.geilicdn.com/pcitem2014204438-108b0000019adc80b0c00a811411_1440_1920.jpg?w=640&amp;h=640", "https://si.geilicdn.com/pcitem2014204438-108b0000019adc80b0c00a811411_1440_1920.jpg?w=640&amp;h=640")</f>
        <v>https://si.geilicdn.com/pcitem2014204438-108b0000019adc80b0c00a811411_1440_1920.jpg?w=640&amp;h=640</v>
      </c>
      <c r="F85" t="inlineStr">
        <is>
          <t>Hats</t>
        </is>
      </c>
      <c r="G85" t="inlineStr">
        <is>
          <t>Chrome Hearts</t>
        </is>
      </c>
      <c r="H85">
        <v>350</v>
      </c>
      <c r="I85">
        <v>50.72</v>
      </c>
      <c r="J85" t="inlineStr">
        <is>
          <t>{"id":"chatcmpl-DZoG5WS6yNl9Ikvca1ZMj2Yt7wyxH","object":"chat.completion","created":1777427045,"model":"gpt-5-chat-2025-10-03","choices":[{"index":0,"message":{"role":"assistant","content":"Chrome Hearts Tan Raffia Wide Brim Cross Hat","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85" t="inlineStr">
        <is>
          <t>Chrome Hearts Tan Raffia Wide Brim Cross Hat</t>
        </is>
      </c>
      <c r="L85" t="inlineStr">
        <is>
          <t>{"id":"chatcmpl-DZo9VnkZLWjrbYyWlBzPM5XoEGeSz","object":"chat.completion","created":1777426637,"model":"gpt-5-chat-2025-10-03","choices":[{"index":0,"message":{"role":"assistant","content":"Chrome Hearts classic tan straw wide-brim hat made from natural raffia, featuring black leather cross motifs and silver logo badge. Unisex summer style combining gothic luxury and street fashion.","refusal":null,"annotations":[]},"logprobs":null,"finish_reason":"stop"}],"usage":{"prompt_tokens":926,"completion_tokens":37,"total_tokens":963,"prompt_tokens_details":{"cached_tokens":0,"audio_tokens":0},"completion_tokens_details":{"reasoning_tokens":0,"audio_tokens":0,"accepted_prediction_tokens":0,"rejected_prediction_tokens":0}},"service_tier":"default","system_fingerprint":"fp_fd471178c5"}</t>
        </is>
      </c>
      <c r="M85" t="inlineStr">
        <is>
          <t>{"alt-svc":"h3=\":443\"; ma=2592000","apim-request-id":"5de3cc61-dd3b-45d7-a431-c412c6b2739f","azureml-model-session":"d20260428205641-55ca9797","cache-control":"no-cache","connection":"close","content-length":"1003","content-type":"application/json","date":"Wed, 29 Apr 2026 01:37:19 GMT","server":"nginx","skip-error-remapping":"true","strict-transport-security":"max-age=31536000; includeSubDomains; preload","via":"1.1 Caddy","x-content-type-options":"nosniff","x-ms-client-request-id":"Not-Set","x-ms-is-spilled-over":"false","x-ms-rai-invoked":"false","x-ms-region":"West US","x-new-api-version":"0.4.35","x-oneapi-request-id":"202604290137167988735908268d9d6jTsWHBHr","x-ratelimit-abusepenalty-active":"False","x-ratelimit-key":"gpt-5-chat-global","x-ratelimit-limit-requests":"1000","x-ratelimit-limit-tokens":"1000000","x-ratelimit-remaining-requests":"999","x-ratelimit-remaining-tokens":"998312","x-ratelimit-renewalperiod-requests":"60","x-ratelimit-renewalperiod-tokens":"60","x-ratelimit-reset-requests":"60","x-ratelimit-reset-tokens":"101","x-request-id":"81714605-9c91-4b64-81bf-b69ad7ad16bd"}</t>
        </is>
      </c>
      <c r="N85" t="inlineStr">
        <is>
          <t>Chrome Hearts classic tan straw wide-brim hat made from natural raffia, featuring black leather cross motifs and silver logo badge. Unisex summer style combining gothic luxury and street fashion.</t>
        </is>
      </c>
      <c r="O85" t="inlineStr">
        <is>
          <t>{"id":"chatcmpl-DZoPgXqsk4xAgjDGm7xNdbufzrhxe","object":"chat.completion","created":1777427640,"model":"gpt-5-chat-2025-10-03","choices":[{"index":0,"message":{"role":"assistant","content":"Chrome Hearts,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fd471178c5"}</t>
        </is>
      </c>
      <c r="P85" t="inlineStr">
        <is>
          <t>Chrome Hearts, Hats, kakobuy, kakebuy2026, kekobuysheet, kakobuysheet2026, 2026kakobuy, kakobuyspreadsheeet, kakobuylink, kakebuylist, Kakobuy MEGA Spreadsheet, kakobuysheetfind, kakobuysheetfind2026, 2026kakobuysheetfind, kakobuysheet2026</t>
        </is>
      </c>
      <c r="Q85" t="inlineStr">
        <is>
          <t>Tan, Summer, Unisex, Streetwear, Gothic</t>
        </is>
      </c>
      <c r="R85" t="inlineStr">
        <is>
          <t>recvhju1Cr1Th0</t>
        </is>
      </c>
      <c r="S85" t="inlineStr">
        <is>
          <t>chrome-hearts-tan-raffia-wide-brim-cross-hat-recvhju1cr1th0</t>
        </is>
      </c>
      <c r="T85"/>
      <c r="U85"/>
      <c r="V85"/>
      <c r="W85" t="inlineStr">
        <is>
          <t>{"id":"chatcmpl-DZny6jZVgU63KKY6J5RMdyxU2RSk2","object":"chat.completion","created":1777425930,"model":"gpt-5-chat-2025-10-03","choices":[{"index":0,"message":{"role":"assistant","content":"Chrome Hearts：经典麦色草编宽檐帽，甄选天然草编材质，点缀标志性黑色皮革十字花图腾，结合银色Logo徽章设计，展现品牌哥特奢华美学。男女皆宜，休闲与街头风格并存，夏日遮阳与造型兼备，彰显不羁个性态度。","refusal":null,"annotations":[]},"logprobs":null,"finish_reason":"stop"}],"usage":{"prompt_tokens":1300,"completion_tokens":92,"total_tokens":1392,"prompt_tokens_details":{"cached_tokens":0,"audio_tokens":0},"completion_tokens_details":{"reasoning_tokens":0,"audio_tokens":0,"accepted_prediction_tokens":0,"rejected_prediction_tokens":0}},"service_tier":"default","system_fingerprint":"fp_ad66631dec"}</t>
        </is>
      </c>
      <c r="X85" t="inlineStr">
        <is>
          <t>Chrome Hearts：经典麦色草编宽檐帽，甄选天然草编材质，点缀标志性黑色皮革十字花图腾，结合银色Logo徽章设计，展现品牌哥特奢华美学。男女皆宜，休闲与街头风格并存，夏日遮阳与造型兼备，彰显不羁个性态度。</t>
        </is>
      </c>
    </row>
    <row r="86" ht="25.5" customHeight="1">
      <c r="A86">
        <v>1654975475</v>
      </c>
      <c r="B86">
        <v>7623592826</v>
      </c>
      <c r="C86" s="2" t="str">
        <f>=HYPERLINK("https://weidian.com/item.html?itemID=7623592826", "https://weidian.com/item.html?itemID=7623592826")</f>
        <v>https://weidian.com/item.html?itemID=7623592826</v>
      </c>
      <c r="D86"/>
      <c r="E86" s="2" t="str">
        <f>=HYPERLINK("https://si.geilicdn.com/pcitem2014204438-3b910000019adc70047c0a8134f0_800_800.jpg?w=640&amp;h=640", "https://si.geilicdn.com/pcitem2014204438-3b910000019adc70047c0a8134f0_800_800.jpg?w=640&amp;h=640")</f>
        <v>https://si.geilicdn.com/pcitem2014204438-3b910000019adc70047c0a8134f0_800_800.jpg?w=640&amp;h=640</v>
      </c>
      <c r="F86" t="inlineStr">
        <is>
          <t>Hats</t>
        </is>
      </c>
      <c r="G86" t="inlineStr">
        <is>
          <t>lululemon</t>
        </is>
      </c>
      <c r="H86">
        <v>216</v>
      </c>
      <c r="I86">
        <v>31.3</v>
      </c>
      <c r="J86" t="inlineStr">
        <is>
          <t>{"id":"chatcmpl-DZoI3JCazUWjj4bbCQae6YLkUVtrs","object":"chat.completion","created":1777427167,"model":"gpt-5-chat-2025-10-03","choices":[{"index":0,"message":{"role":"assistant","content":"Lululemon Beige Waterproof Nylon Bucket Hat Unisex","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86" t="inlineStr">
        <is>
          <t>Lululemon Beige Waterproof Nylon Bucket Hat Unisex</t>
        </is>
      </c>
      <c r="L86" t="inlineStr">
        <is>
          <t>{"id":"chatcmpl-DZo6mi0Tch9k8uDhws8Q71vm1w83J","object":"chat.completion","created":1777426468,"model":"gpt-5-chat-2025-10-03","choices":[{"index":0,"message":{"role":"assistant","content":"Lululemon Beige Waterproof Quick-Dry Nylon Bucket Hat, lightweight and breathable with reflective logo, minimalist design for men and women, perfect for urban style, travel, and outdoor sports.","refusal":null,"annotations":[]},"logprobs":null,"finish_reason":"stop"}],"usage":{"prompt_tokens":913,"completion_tokens":39,"total_tokens":952,"prompt_tokens_details":{"cached_tokens":0,"audio_tokens":0},"completion_tokens_details":{"reasoning_tokens":0,"audio_tokens":0,"accepted_prediction_tokens":0,"rejected_prediction_tokens":0}},"service_tier":"default","system_fingerprint":"fp_fd471178c5"}</t>
        </is>
      </c>
      <c r="M86" t="inlineStr">
        <is>
          <t>{"alt-svc":"h3=\":443\"; ma=2592000","apim-request-id":"bda0d06f-792c-4f0e-9a89-b4b9d1596274","azureml-model-session":"d20260428165144-a78ba574","cache-control":"no-cache","connection":"close","content-length":"1001","content-type":"application/json","date":"Wed, 29 Apr 2026 01:34:29 GMT","server":"Caddy","skip-error-remapping":"true","strict-transport-security":"max-age=31536000; includeSubDomains; preload","x-content-type-options":"nosniff","x-ms-client-request-id":"Not-Set","x-ms-is-spilled-over":"false","x-ms-rai-invoked":"false","x-ms-region":"North Central US","x-new-api-version":"0.4.35","x-oneapi-request-id":"202604290134273851452348268d9d6zK6PahTN","x-ratelimit-abusepenalty-active":"False","x-ratelimit-key":"gpt-5-chat-global","x-ratelimit-limit-requests":"1000","x-ratelimit-limit-tokens":"1000000","x-ratelimit-remaining-requests":"999","x-ratelimit-remaining-tokens":"998231","x-ratelimit-renewalperiod-requests":"60","x-ratelimit-renewalperiod-tokens":"60","x-ratelimit-reset-requests":"60","x-ratelimit-reset-tokens":"106","x-request-id":"af2baecf-258f-4dcb-a872-0f0871e9c9df"}</t>
        </is>
      </c>
      <c r="N86" t="inlineStr">
        <is>
          <t>Lululemon Beige Waterproof Quick-Dry Nylon Bucket Hat, lightweight and breathable with reflective logo, minimalist design for men and women, perfect for urban style, travel, and outdoor sports.</t>
        </is>
      </c>
      <c r="O86" t="inlineStr">
        <is>
          <t>{"id":"chatcmpl-DZoKjygnDI9ivrcyC4nDszHXm7cgA","object":"chat.completion","created":1777427333,"model":"gpt-5-chat-2025-10-03","choices":[{"index":0,"message":{"role":"assistant","content":"Lululemon,hat,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86" t="inlineStr">
        <is>
          <t>Lululemon,hat,kakobuy,kakebuy2026,kekobuysheet,kakobuysheet2026,2026kakobuy,kakobuyspreadsheeet,kakobuylink,kakebuylist,Kakobuy MEGA Spreadsheet,kakobuysheetfind,kakobuysheetfind2026,2026kakobuysheetfind,kakobuysheet2026</t>
        </is>
      </c>
      <c r="Q86" t="inlineStr">
        <is>
          <t>Beige, Waterproof, Quick Dry, Nylon, Lightweight, Breathable</t>
        </is>
      </c>
      <c r="R86" t="inlineStr">
        <is>
          <t>recvhju1CrZwNA</t>
        </is>
      </c>
      <c r="S86" t="inlineStr">
        <is>
          <t>lululemon-beige-waterproof-nylon-bucket-hat-recvhju1crzwna</t>
        </is>
      </c>
      <c r="T86"/>
      <c r="U86"/>
      <c r="V86"/>
      <c r="W86" t="inlineStr">
        <is>
          <t>{"id":"chatcmpl-DZo1CWSLYXrwWe4rQYlIf2mM2cF30","object":"chat.completion","created":1777426122,"model":"gpt-5-chat-2025-10-03","choices":[{"index":0,"message":{"role":"assistant","content":"Lululemon米色休闲渔夫帽，采用防水速干尼龙材质，轻盈透气，简约立体剪裁搭配标志性反光Logo，小巧低调却不失高级质感。男女皆宜，都市运动与街头风完美融合，适合日常出行与户外活动。","refusal":null,"annotations":[]},"logprobs":null,"finish_reason":"stop"}],"usage":{"prompt_tokens":1300,"completion_tokens":79,"total_tokens":1379,"prompt_tokens_details":{"cached_tokens":1280,"audio_tokens":0},"completion_tokens_details":{"reasoning_tokens":0,"audio_tokens":0,"accepted_prediction_tokens":0,"rejected_prediction_tokens":0}},"service_tier":"default","system_fingerprint":"fp_ad66631dec"}</t>
        </is>
      </c>
      <c r="X86" t="inlineStr">
        <is>
          <t>Lululemon米色休闲渔夫帽，采用防水速干尼龙材质，轻盈透气，简约立体剪裁搭配标志性反光Logo，小巧低调却不失高级质感。男女皆宜，都市运动与街头风完美融合，适合日常出行与户外活动。</t>
        </is>
      </c>
    </row>
    <row r="87" ht="25.5" customHeight="1">
      <c r="A87">
        <v>1654975475</v>
      </c>
      <c r="B87">
        <v>7694482899</v>
      </c>
      <c r="C87" s="2" t="str">
        <f>=HYPERLINK("https://weidian.com/item.html?itemID=7694482899", "https://weidian.com/item.html?itemID=7694482899")</f>
        <v>https://weidian.com/item.html?itemID=7694482899</v>
      </c>
      <c r="D87"/>
      <c r="E87" s="2" t="str">
        <f>=HYPERLINK("https://si.geilicdn.com/open1654975475-252808396-742d0000019c833b62440a23b4de_800_800.jpg?w=750&amp;h=750&amp;cp=1", "https://si.geilicdn.com/open1654975475-252808396-742d0000019c833b62440a23b4de_800_800.jpg?w=750&amp;h=750&amp;cp=1")</f>
        <v>https://si.geilicdn.com/open1654975475-252808396-742d0000019c833b62440a23b4de_800_800.jpg?w=750&amp;h=750&amp;cp=1</v>
      </c>
      <c r="F87" t="inlineStr">
        <is>
          <t>Toys</t>
        </is>
      </c>
      <c r="G87" t="inlineStr">
        <is>
          <t>Other</t>
        </is>
      </c>
      <c r="H87">
        <v>132</v>
      </c>
      <c r="I87">
        <v>19.13</v>
      </c>
      <c r="J87" t="inlineStr">
        <is>
          <t>{"id":"chatcmpl-DZoFsfZPomD3eBVRjedCgh7Z73RYh","object":"chat.completion","created":1777427032,"model":"gpt-5-chat-2025-10-03","choices":[{"index":0,"message":{"role":"assistant","content":"ToysOther Drift Racing Series Yellow RC Car Rechargeable","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87" t="inlineStr">
        <is>
          <t>ToysOther Drift Racing Series Yellow RC Car Rechargeable</t>
        </is>
      </c>
      <c r="L87" t="inlineStr">
        <is>
          <t>{"id":"chatcmpl-DZoA2Uson7Co3emxwiO8L6DJBeHQA","object":"chat.completion","created":1777426670,"model":"gpt-5-chat-2025-10-03","choices":[{"index":0,"message":{"role":"assistant","content":"ToysOther Drift Racing Series Yellow RC Car features rechargeable power, eco-friendly ABS body, dual racing &amp; drift tires, smooth remote control, and sleek design for high-speed fun and collection.","refusal":null,"annotations":[]},"logprobs":null,"finish_reason":"stop"}],"usage":{"prompt_tokens":922,"completion_tokens":39,"total_tokens":961,"prompt_tokens_details":{"cached_tokens":0,"audio_tokens":0},"completion_tokens_details":{"reasoning_tokens":0,"audio_tokens":0,"accepted_prediction_tokens":0,"rejected_prediction_tokens":0}},"service_tier":"default","system_fingerprint":"fp_ad66631dec"}</t>
        </is>
      </c>
      <c r="M87" t="inlineStr">
        <is>
          <t>{"alt-svc":"h3=\":443\"; ma=2592000","apim-request-id":"1e2260e6-1771-4288-a82d-cb2d57d0c8ee","azureml-model-session":"d20260402074105-51db401e","cache-control":"no-cache","connection":"close","content-length":"1005","content-type":"application/json","date":"Wed, 29 Apr 2026 01:37:52 GMT","server":"nginx","skip-error-remapping":"true","strict-transport-security":"max-age=31536000; includeSubDomains; preload","via":"1.1 Caddy","x-content-type-options":"nosniff","x-ms-client-request-id":"Not-Set","x-ms-is-spilled-over":"false","x-ms-rai-invoked":"false","x-ms-region":"Poland Central","x-new-api-version":"0.4.35","x-oneapi-request-id":"202604290137493384410348268d9d6c3DJpW3L","x-ratelimit-abusepenalty-active":"False","x-ratelimit-key":"gpt-5-chat-global","x-ratelimit-limit-requests":"1000","x-ratelimit-limit-tokens":"1000000","x-ratelimit-remaining-requests":"998","x-ratelimit-remaining-tokens":"997830","x-ratelimit-renewalperiod-requests":"60","x-ratelimit-renewalperiod-tokens":"60","x-ratelimit-reset-requests":"106","x-ratelimit-reset-tokens":"130","x-request-id":"8336a1b3-6550-43ad-8ddd-9560d2ccab3c"}</t>
        </is>
      </c>
      <c r="N87" t="inlineStr">
        <is>
          <t>ToysOther Drift Racing Series Yellow RC Car features rechargeable power, eco-friendly ABS body, dual racing &amp; drift tires, smooth remote control, and sleek design for high-speed fun and collection.</t>
        </is>
      </c>
      <c r="O87" t="inlineStr">
        <is>
          <t>{"id":"chatcmpl-DZoNbZGuL82CFe5SAn7jGLh354Kaj","object":"chat.completion","created":1777427511,"model":"gpt-5-chat-2025-10-03","choices":[{"index":0,"message":{"role":"assistant","content":"Ultra, RC Car,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87" t="inlineStr">
        <is>
          <t>Ultra, RC Car, kakobuy, kakebuy2026, kekobuysheet, kakobuysheet2026, 2026kakobuy, kakobuyspreadsheeet, kakobuylink, kakebuylist, Kakobuy MEGA Spreadsheet, kakobuysheetfind, kakobuysheetfind2026, 2026kakobuysheetfind, kakobuysheet2026</t>
        </is>
      </c>
      <c r="Q87"/>
      <c r="R87" t="inlineStr">
        <is>
          <t>recvhju1CrPE9Z</t>
        </is>
      </c>
      <c r="S87" t="inlineStr">
        <is>
          <t>toysother-drift-racing-series-yellow-rc-car-recvhju1crpe9z</t>
        </is>
      </c>
      <c r="T87"/>
      <c r="U87"/>
      <c r="V87"/>
      <c r="W87" t="inlineStr">
        <is>
          <t>{"id":"chatcmpl-DZnwLO9WeiVzrmDnzh5v7lHZtRJKD","object":"chat.completion","created":1777425821,"model":"gpt-5-chat-2025-10-03","choices":[{"index":0,"message":{"role":"assistant","content":"漂移赛车系列黄色高速遥控车，支持充电功能，ABS环保塑料材质打造，流线型车身设计与炫酷贴花图腾，配备双套竞技与漂移轮胎，附遥控与电池组，操控灵敏顺滑，适合男女玩家体验竞速激情，现代科技风格收藏与娱乐兼备。","refusal":null,"annotations":[]},"logprobs":null,"finish_reason":"stop"}],"usage":{"prompt_tokens":1308,"completion_tokens":84,"total_tokens":1392,"prompt_tokens_details":{"cached_tokens":1280,"audio_tokens":0},"completion_tokens_details":{"reasoning_tokens":0,"audio_tokens":0,"accepted_prediction_tokens":0,"rejected_prediction_tokens":0}},"service_tier":"default","system_fingerprint":"fp_ad66631dec"}</t>
        </is>
      </c>
      <c r="X87" t="inlineStr">
        <is>
          <t>漂移赛车系列黄色高速遥控车，支持充电功能，ABS环保塑料材质打造，流线型车身设计与炫酷贴花图腾，配备双套竞技与漂移轮胎，附遥控与电池组，操控灵敏顺滑，适合男女玩家体验竞速激情，现代科技风格收藏与娱乐兼备。</t>
        </is>
      </c>
    </row>
    <row r="88" ht="25.5" customHeight="1">
      <c r="A88">
        <v>1654975475</v>
      </c>
      <c r="B88">
        <v>7623648918</v>
      </c>
      <c r="C88" s="2" t="str">
        <f>=HYPERLINK("https://weidian.com/item.html?itemID=7623648918", "https://weidian.com/item.html?itemID=7623648918")</f>
        <v>https://weidian.com/item.html?itemID=7623648918</v>
      </c>
      <c r="D88"/>
      <c r="E88" s="2" t="str">
        <f>=HYPERLINK("https://si.geilicdn.com/pcitem2014204438-6a7c0000019adcf26f9b0a81347d_1512_2016.jpg?w=640&amp;h=640", "https://si.geilicdn.com/pcitem2014204438-6a7c0000019adcf26f9b0a81347d_1512_2016.jpg?w=640&amp;h=640")</f>
        <v>https://si.geilicdn.com/pcitem2014204438-6a7c0000019adcf26f9b0a81347d_1512_2016.jpg?w=640&amp;h=640</v>
      </c>
      <c r="F88" t="inlineStr">
        <is>
          <t>Glasses</t>
        </is>
      </c>
      <c r="G88" t="inlineStr">
        <is>
          <t>Miu Miu</t>
        </is>
      </c>
      <c r="H88">
        <v>320</v>
      </c>
      <c r="I88">
        <v>46.38</v>
      </c>
      <c r="J88" t="inlineStr">
        <is>
          <t>{"id":"chatcmpl-DZoFY2S20GvOQAONiqtiAs27M5Ydf","object":"chat.completion","created":1777427012,"model":"gpt-5-chat-2025-10-03","choices":[{"index":0,"message":{"role":"assistant","content":"Miu Miu Classic Brown Rectangular Gradient Sunglasses","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88" t="inlineStr">
        <is>
          <t>Miu Miu Classic Brown Rectangular Gradient Sunglasses</t>
        </is>
      </c>
      <c r="L88" t="inlineStr">
        <is>
          <t>{"id":"chatcmpl-DZo5ld70YhaAAPh003fu0zz98aAPv","object":"chat.completion","created":1777426405,"model":"gpt-5-chat-2025-10-03","choices":[{"index":0,"message":{"role":"assistant","content":"Miu Miu Classic Brown Rectangular Sunglasses feature acetate frames, light brown gradient lenses, gold-tone accents, and a retro-modern style perfect for daily wear or vacation elegance.","refusal":null,"annotations":[]},"logprobs":null,"finish_reason":"stop"}],"usage":{"prompt_tokens":926,"completion_tokens":37,"total_tokens":963,"prompt_tokens_details":{"cached_tokens":0,"audio_tokens":0},"completion_tokens_details":{"reasoning_tokens":0,"audio_tokens":0,"accepted_prediction_tokens":0,"rejected_prediction_tokens":0}},"service_tier":"default","system_fingerprint":"fp_ad66631dec"}</t>
        </is>
      </c>
      <c r="M88" t="inlineStr">
        <is>
          <t>{"alt-svc":"h3=\":443\"; ma=2592000","apim-request-id":"c1b93d5a-2303-46fd-b68b-61fbb31d13fd","azureml-model-session":"d20260402074105-51db401e","cache-control":"no-cache","connection":"close","content-length":"994","content-type":"application/json","date":"Wed, 29 Apr 2026 01:33:27 GMT","server":"nginx","skip-error-remapping":"true","strict-transport-security":"max-age=31536000; includeSubDomains; preload","via":"1.1 Caddy","x-content-type-options":"nosniff","x-ms-client-request-id":"Not-Set","x-ms-is-spilled-over":"false","x-ms-rai-invoked":"false","x-ms-region":"East US","x-new-api-version":"0.4.35","x-oneapi-request-id":"202604290133243448348778268d9d6KwTdYtSh","x-ratelimit-abusepenalty-active":"False","x-ratelimit-key":"gpt-5-chat-global","x-ratelimit-limit-requests":"1000","x-ratelimit-limit-tokens":"1000000","x-ratelimit-remaining-requests":"999","x-ratelimit-remaining-tokens":"998312","x-ratelimit-renewalperiod-requests":"60","x-ratelimit-renewalperiod-tokens":"60","x-ratelimit-reset-requests":"60","x-ratelimit-reset-tokens":"101","x-request-id":"29b0c24b-6878-4141-8f4f-b6abc8b3208c"}</t>
        </is>
      </c>
      <c r="N88" t="inlineStr">
        <is>
          <t>Miu Miu Classic Brown Rectangular Sunglasses feature acetate frames, light brown gradient lenses, gold-tone accents, and a retro-modern style perfect for daily wear or vacation elegance.</t>
        </is>
      </c>
      <c r="O88" t="inlineStr">
        <is>
          <t>{"id":"chatcmpl-DZoMxIjoOWGmspmrv84uiAZvHG0a5","object":"chat.completion","created":1777427471,"model":"gpt-5-chat-2025-10-03","choices":[{"index":0,"message":{"role":"assistant","content":"Miu Miu,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88" t="inlineStr">
        <is>
          <t>Miu Miu, Glasses, kakobuy, kakebuy2026, kekobuysheet, kakobuysheet2026, 2026kakobuy, kakobuyspreadsheeet, kakobuylink, kakebuylist, Kakobuy MEGA Spreadsheet, kakobuysheetfind, kakobuysheetfind2026, 2026kakobuysheetfind, kakobuysheet2026</t>
        </is>
      </c>
      <c r="Q88" t="inlineStr">
        <is>
          <t>Acetate Fiber, Brown, Gradient, Retro, Elegant</t>
        </is>
      </c>
      <c r="R88" t="inlineStr">
        <is>
          <t>recvhju1CrUB2F</t>
        </is>
      </c>
      <c r="S88" t="inlineStr">
        <is>
          <t>miu-miu-classic-brown-rectangular-gradient-sunglasses-recvhju1CrUB2F</t>
        </is>
      </c>
      <c r="T88"/>
      <c r="U88"/>
      <c r="V88"/>
      <c r="W88" t="inlineStr">
        <is>
          <t>{"id":"chatcmpl-DZnwtRwy2zN6vJgauBXmDTxmtJ8IR","object":"chat.completion","created":1777425855,"model":"gpt-5-chat-2025-10-03","choices":[{"index":0,"message":{"role":"assistant","content":"Miu Miu：经典棕色矩形太阳眼镜，采用醋酸纤维镜框与浅棕渐变镜片设计，复古摩登风格，简约线条勾勒优雅气质，细节镶金装饰展现精致感，适合女性日常与度假佩戴，彰显现代时尚态度。","refusal":null,"annotations":[]},"logprobs":null,"finish_reason":"stop"}],"usage":{"prompt_tokens":1312,"completion_tokens":86,"total_tokens":1398,"prompt_tokens_details":{"cached_tokens":0,"audio_tokens":0},"completion_tokens_details":{"reasoning_tokens":0,"audio_tokens":0,"accepted_prediction_tokens":0,"rejected_prediction_tokens":0}},"service_tier":"default","system_fingerprint":"fp_ad66631dec"}</t>
        </is>
      </c>
      <c r="X88" t="inlineStr">
        <is>
          <t>Miu Miu：经典棕色矩形太阳眼镜，采用醋酸纤维镜框与浅棕渐变镜片设计，复古摩登风格，简约线条勾勒优雅气质，细节镶金装饰展现精致感，适合女性日常与度假佩戴，彰显现代时尚态度。</t>
        </is>
      </c>
    </row>
    <row r="89" ht="25.5" customHeight="1">
      <c r="A89">
        <v>1654975475</v>
      </c>
      <c r="B89">
        <v>7625684204</v>
      </c>
      <c r="C89" s="2" t="str">
        <f>=HYPERLINK("https://weidian.com/item.html?itemID=7625684204", "https://weidian.com/item.html?itemID=7625684204")</f>
        <v>https://weidian.com/item.html?itemID=7625684204</v>
      </c>
      <c r="D89"/>
      <c r="E89" s="2" t="str">
        <f>=HYPERLINK("https://si.geilicdn.com/pcitem2014204438-602c0000019adce854950a8134f0_1442_1922.jpg?w=640&amp;h=640", "https://si.geilicdn.com/pcitem2014204438-602c0000019adce854950a8134f0_1442_1922.jpg?w=640&amp;h=640")</f>
        <v>https://si.geilicdn.com/pcitem2014204438-602c0000019adce854950a8134f0_1442_1922.jpg?w=640&amp;h=640</v>
      </c>
      <c r="F89" t="inlineStr">
        <is>
          <t>Glasses</t>
        </is>
      </c>
      <c r="G89" t="inlineStr">
        <is>
          <t>Versace</t>
        </is>
      </c>
      <c r="H89">
        <v>340</v>
      </c>
      <c r="I89">
        <v>49.2898550724637</v>
      </c>
      <c r="J89" t="inlineStr">
        <is>
          <t>{"id":"chatcmpl-DZoCDFSGA5laXQrpSBHpxt22GxdL5","object":"chat.completion","created":1777426805,"model":"gpt-5-chat-2025-10-03","choices":[{"index":0,"message":{"role":"assistant","content":"Versace Classic Black Gold Medusa Vintage Sunglasses","refusal":null,"annotations":[]},"logprobs":null,"finish_reason":"stop"}],"usage":{"prompt_tokens":866,"completion_tokens":11,"total_tokens":877,"prompt_tokens_details":{"cached_tokens":0,"audio_tokens":0},"completion_tokens_details":{"reasoning_tokens":0,"audio_tokens":0,"accepted_prediction_tokens":0,"rejected_prediction_tokens":0}},"service_tier":"default","system_fingerprint":"fp_ad66631dec"}</t>
        </is>
      </c>
      <c r="K89" t="inlineStr">
        <is>
          <t>Versace Classic Black Gold Medusa Vintage Sunglasses</t>
        </is>
      </c>
      <c r="L89" t="inlineStr">
        <is>
          <t>{"id":"chatcmpl-DZo5kcTMJUD7jso8JIe4xzijLuEEP","object":"chat.completion","created":1777426404,"model":"gpt-5-chat-2025-10-03","choices":[{"index":0,"message":{"role":"assistant","content":"Versace Classic Black Gold Vintage Sunglasses, featuring metal frame and iconic Medusa emblem, unisex luxury eyewear blending Italian elegance and modern fashion style.","refusal":null,"annotations":[]},"logprobs":null,"finish_reason":"stop"}],"usage":{"prompt_tokens":889,"completion_tokens":32,"total_tokens":921,"prompt_tokens_details":{"cached_tokens":0,"audio_tokens":0},"completion_tokens_details":{"reasoning_tokens":0,"audio_tokens":0,"accepted_prediction_tokens":0,"rejected_prediction_tokens":0}},"service_tier":"default","system_fingerprint":"fp_ad66631dec"}</t>
        </is>
      </c>
      <c r="M89" t="inlineStr">
        <is>
          <t>{"alt-svc":"h3=\":443\"; ma=2592000","apim-request-id":"b491e267-9225-4f40-9bc8-bfccb46c13f1","azureml-model-session":"d20260402084046-4209e968","cache-control":"no-cache","connection":"close","content-length":"976","content-type":"application/json","date":"Wed, 29 Apr 2026 01:33:25 GMT","server":"Caddy","skip-error-remapping":"true","strict-transport-security":"max-age=31536000; includeSubDomains; preload","x-content-type-options":"nosniff","x-ms-client-request-id":"Not-Set","x-ms-is-spilled-over":"false","x-ms-rai-invoked":"false","x-ms-region":"Sweden Central","x-new-api-version":"0.4.35","x-oneapi-request-id":"202604290133219187860458268d9d6NIOhfXI3","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e5b38f80-a15f-4c06-be9a-d2e315254c4a"}</t>
        </is>
      </c>
      <c r="N89" t="inlineStr">
        <is>
          <t>Versace Classic Black Gold Vintage Sunglasses, featuring metal frame and iconic Medusa emblem, unisex luxury eyewear blending Italian elegance and modern fashion style.</t>
        </is>
      </c>
      <c r="O89" t="inlineStr">
        <is>
          <t>{"id":"chatcmpl-DZoMInVfPyjCrBJRyVqAbg88cc9Vt","object":"chat.completion","created":1777427430,"model":"gpt-5-chat-2025-10-03","choices":[{"index":0,"message":{"role":"assistant","content":"Versac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9" t="inlineStr">
        <is>
          <t>Versace,Glasses,kakobuy,kakebuy2026,kekobuysheet,kakobuysheet2026,2026kakobuy,kakobuyspreadsheeet,kakobuylink,kakebuylist,Kakobuy MEGA Spreadsheet,kakobuysheetfind,kakobuysheetfind2026,2026kakobuysheetfind,kakobuysheet2026</t>
        </is>
      </c>
      <c r="Q89" t="inlineStr">
        <is>
          <t>Black Gold, Vintage, Unisex, Elegant, Modern</t>
        </is>
      </c>
      <c r="R89" t="inlineStr">
        <is>
          <t>recvhju1CrBLaA</t>
        </is>
      </c>
      <c r="S89" t="inlineStr">
        <is>
          <t>versace-medusa-vintage-sunglasses-recvhju1crblaa</t>
        </is>
      </c>
      <c r="T89"/>
      <c r="U89"/>
      <c r="V89"/>
      <c r="W89" t="inlineStr">
        <is>
          <t>{"id":"chatcmpl-DZnwTbptlUjWnFf1MJf256owKABXh","object":"chat.completion","created":1777425829,"model":"gpt-5-chat-2025-10-03","choices":[{"index":0,"message":{"role":"assistant","content":"Versace：经典黑金系列复古太阳眼镜，金属镜框搭配标志性美杜莎徽章设计，兼具奢华与现代感，男女通用款，彰显意式高端时尚风格。","refusal":null,"annotations":[]},"logprobs":null,"finish_reason":"stop"}],"usage":{"prompt_tokens":1300,"completion_tokens":55,"total_tokens":1355,"prompt_tokens_details":{"cached_tokens":0,"audio_tokens":0},"completion_tokens_details":{"reasoning_tokens":0,"audio_tokens":0,"accepted_prediction_tokens":0,"rejected_prediction_tokens":0}},"service_tier":"default","system_fingerprint":"fp_fd471178c5"}</t>
        </is>
      </c>
      <c r="X89" t="inlineStr">
        <is>
          <t>Versace：经典黑金系列复古太阳眼镜，金属镜框搭配标志性美杜莎徽章设计，兼具奢华与现代感，男女通用款，彰显意式高端时尚风格。</t>
        </is>
      </c>
    </row>
    <row r="90" ht="25.5" customHeight="1">
      <c r="A90">
        <v>1654975475</v>
      </c>
      <c r="B90">
        <v>7623592850</v>
      </c>
      <c r="C90" s="2" t="str">
        <f>=HYPERLINK("https://weidian.com/item.html?itemID=7623592850", "https://weidian.com/item.html?itemID=7623592850")</f>
        <v>https://weidian.com/item.html?itemID=7623592850</v>
      </c>
      <c r="D90"/>
      <c r="E90" s="2" t="str">
        <f>=HYPERLINK("https://si.geilicdn.com/pcitem2014204438-53ee0000019adca878eb0a23037f_1512_2016.jpg?w=640&amp;h=640", "https://si.geilicdn.com/pcitem2014204438-53ee0000019adca878eb0a23037f_1512_2016.jpg?w=640&amp;h=640")</f>
        <v>https://si.geilicdn.com/pcitem2014204438-53ee0000019adca878eb0a23037f_1512_2016.jpg?w=640&amp;h=640</v>
      </c>
      <c r="F90" t="inlineStr">
        <is>
          <t>Hats</t>
        </is>
      </c>
      <c r="G90" t="inlineStr">
        <is>
          <t>Prada</t>
        </is>
      </c>
      <c r="H90">
        <v>220</v>
      </c>
      <c r="I90">
        <v>31.88</v>
      </c>
      <c r="J90" t="inlineStr">
        <is>
          <t>{"id":"chatcmpl-DZoBkQ7lrm65cnWPx53RPLmKytL3c","object":"chat.completion","created":1777426776,"model":"gpt-5-chat-2025-10-03","choices":[{"index":0,"message":{"role":"assistant","content":"Prada Classic Nylon Sun Visor Hat Unisex UV Protection","refusal":null,"annotations":[]},"logprobs":null,"finish_reason":"stop"}],"usage":{"prompt_tokens":874,"completion_tokens":13,"total_tokens":887,"prompt_tokens_details":{"cached_tokens":0,"audio_tokens":0},"completion_tokens_details":{"reasoning_tokens":0,"audio_tokens":0,"accepted_prediction_tokens":0,"rejected_prediction_tokens":0}},"service_tier":"default","system_fingerprint":"fp_ad66631dec"}</t>
        </is>
      </c>
      <c r="K90" t="inlineStr">
        <is>
          <t>Prada Classic Nylon Sun Visor Hat Unisex UV Protection</t>
        </is>
      </c>
      <c r="L90" t="inlineStr">
        <is>
          <t>{"id":"chatcmpl-DZo56zFt7kNFg9ypF2V9dsS4uxJJ5","object":"chat.completion","created":1777426364,"model":"gpt-5-chat-2025-10-03","choices":[{"index":0,"message":{"role":"assistant","content":"Prada Classic Nylon Sun Visor Hat – Lightweight, unisex design with iconic metal triangle logo, offering UV protection, modern sporty style, and luxurious practicality for everyday wear.","refusal":null,"annotations":[]},"logprobs":null,"finish_reason":"stop"}],"usage":{"prompt_tokens":887,"completion_tokens":36,"total_tokens":923,"prompt_tokens_details":{"cached_tokens":0,"audio_tokens":0},"completion_tokens_details":{"reasoning_tokens":0,"audio_tokens":0,"accepted_prediction_tokens":0,"rejected_prediction_tokens":0}},"service_tier":"default","system_fingerprint":"fp_ad66631dec"}</t>
        </is>
      </c>
      <c r="M90" t="inlineStr">
        <is>
          <t>{"alt-svc":"h3=\":443\"; ma=2592000","apim-request-id":"be614868-ab11-476f-a20e-a883ac11af2f","azureml-model-session":"d20260405225800-40f19e54","cache-control":"no-cache","connection":"close","content-length":"996","content-type":"application/json","date":"Wed, 29 Apr 2026 01:32:45 GMT","server":"nginx","skip-error-remapping":"true","strict-transport-security":"max-age=31536000; includeSubDomains; preload","via":"1.1 Caddy","x-content-type-options":"nosniff","x-ms-client-request-id":"Not-Set","x-ms-is-spilled-over":"false","x-ms-rai-invoked":"false","x-ms-region":"East US 2","x-new-api-version":"0.4.35","x-oneapi-request-id":"202604290132432911775598268d9d6M2el7qYI","x-ratelimit-abusepenalty-active":"False","x-ratelimit-key":"gpt-5-chat-global","x-ratelimit-limit-requests":"1000","x-ratelimit-limit-tokens":"1000000","x-ratelimit-remaining-requests":"999","x-ratelimit-remaining-tokens":"998351","x-ratelimit-renewalperiod-requests":"60","x-ratelimit-renewalperiod-tokens":"60","x-ratelimit-reset-requests":"60","x-ratelimit-reset-tokens":"98","x-request-id":"bcb0ad92-8e73-47ed-910f-7fcb02cc3bce"}</t>
        </is>
      </c>
      <c r="N90" t="inlineStr">
        <is>
          <t>Prada Classic Nylon Sun Visor Hat – Lightweight, unisex design with iconic metal triangle logo, offering UV protection, modern sporty style, and luxurious practicality for everyday wear.</t>
        </is>
      </c>
      <c r="O90" t="inlineStr">
        <is>
          <t>{"id":"chatcmpl-DZoQwYIyNaSTiyUJnxyM9akqkIetH","object":"chat.completion","created":1777427718,"model":"gpt-5-chat-2025-10-03","choices":[{"index":0,"message":{"role":"assistant","content":"Prada,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90" t="inlineStr">
        <is>
          <t>Prada,hat,kakobuy,kakebuy2026,kekobuysheet,kakobuysheet2026,2026kakobuy,kakobuyspreadsheeet,kakobuylink,kakebuylist,Kakobuy MEGA Spreadsheet,kakobuysheetfind,kakobuysheetfind2026,2026kakobuysheetfind,kakobuysheet2026</t>
        </is>
      </c>
      <c r="Q90" t="inlineStr">
        <is>
          <t>Unisex, Lightweight, Anti-Ultraviolet, Modern, Sporty, All Seasons</t>
        </is>
      </c>
      <c r="R90" t="inlineStr">
        <is>
          <t>recvhju1CrHlq7</t>
        </is>
      </c>
      <c r="S90" t="inlineStr">
        <is>
          <t>prada-classic-nylon-sun-visor-hat-unisex-uv-protection-recvhju1crhlq7</t>
        </is>
      </c>
      <c r="T90"/>
      <c r="U90"/>
      <c r="V90"/>
      <c r="W90" t="inlineStr">
        <is>
          <t>{"id":"chatcmpl-DZnzyAHsnZWwXiMs9An7nDNNtFQPP","object":"chat.completion","created":1777426046,"model":"gpt-5-chat-2025-10-03","choices":[{"index":0,"message":{"role":"assistant","content":"Prada：经典系列黑色尼龙遮阳帽，饰以品牌三角金属徽标，简约运动风格设计，轻盈防晒功能，男女皆宜，展现现代奢华与实用美学。","refusal":null,"annotations":[]},"logprobs":null,"finish_reason":"stop"}],"usage":{"prompt_tokens":1300,"completion_tokens":53,"total_tokens":1353,"prompt_tokens_details":{"cached_tokens":0,"audio_tokens":0},"completion_tokens_details":{"reasoning_tokens":0,"audio_tokens":0,"accepted_prediction_tokens":0,"rejected_prediction_tokens":0}},"service_tier":"default","system_fingerprint":"fp_fd471178c5"}</t>
        </is>
      </c>
      <c r="X90" t="inlineStr">
        <is>
          <t>Prada：经典系列黑色尼龙遮阳帽，饰以品牌三角金属徽标，简约运动风格设计，轻盈防晒功能，男女皆宜，展现现代奢华与实用美学。</t>
        </is>
      </c>
    </row>
    <row r="91" ht="25.5" customHeight="1">
      <c r="A91">
        <v>1654975475</v>
      </c>
      <c r="B91">
        <v>7623648680</v>
      </c>
      <c r="C91" s="2" t="str">
        <f>=HYPERLINK("https://weidian.com/item.html?itemID=7623648680", "https://weidian.com/item.html?itemID=7623648680")</f>
        <v>https://weidian.com/item.html?itemID=7623648680</v>
      </c>
      <c r="D91"/>
      <c r="E91" s="2" t="str">
        <f>=HYPERLINK("https://si.geilicdn.com/pcitem2014204438-40d00000019adca11b7a0a239646_1442_1922.jpg?w=640&amp;h=640", "https://si.geilicdn.com/pcitem2014204438-40d00000019adca11b7a0a239646_1442_1922.jpg?w=640&amp;h=640")</f>
        <v>https://si.geilicdn.com/pcitem2014204438-40d00000019adca11b7a0a239646_1442_1922.jpg?w=640&amp;h=640</v>
      </c>
      <c r="F91" t="inlineStr">
        <is>
          <t>Hats</t>
        </is>
      </c>
      <c r="G91" t="inlineStr">
        <is>
          <t>Chanel</t>
        </is>
      </c>
      <c r="H91">
        <v>236</v>
      </c>
      <c r="I91">
        <v>34.2</v>
      </c>
      <c r="J91" t="inlineStr">
        <is>
          <t>{"id":"chatcmpl-DZoHDkEHXfc0KVd2Tp3KvkB4M6JOn","object":"chat.completion","created":1777427115,"model":"gpt-5-chat-2025-10-03","choices":[{"index":0,"message":{"role":"assistant","content":"Chanel Classic Black Double C Nylon Bucket Hat","refusal":null,"annotations":[]},"logprobs":null,"finish_reason":"stop"}],"usage":{"prompt_tokens":886,"completion_tokens":10,"total_tokens":896,"prompt_tokens_details":{"cached_tokens":0,"audio_tokens":0},"completion_tokens_details":{"reasoning_tokens":0,"audio_tokens":0,"accepted_prediction_tokens":0,"rejected_prediction_tokens":0}},"service_tier":"default","system_fingerprint":"fp_ad66631dec"}</t>
        </is>
      </c>
      <c r="K91" t="inlineStr">
        <is>
          <t>Chanel Classic Black Double C Nylon Bucket Hat</t>
        </is>
      </c>
      <c r="L91" t="inlineStr">
        <is>
          <t>{"id":"chatcmpl-DZo3EMJnYsKv3LuW9nowEhN2y9ZKG","object":"chat.completion","created":1777426248,"model":"gpt-5-chat-2025-10-03","choices":[{"index":0,"message":{"role":"assistant","content":"Chanel Classic Black Double C Embroidered Bucket Hat, made from premium nylon blend, structured, breathable, and sunproof. Minimalist design unites French elegance with modern street style for all genders.","refusal":null,"annotations":[]},"logprobs":null,"finish_reason":"stop"}],"usage":{"prompt_tokens":903,"completion_tokens":42,"total_tokens":945,"prompt_tokens_details":{"cached_tokens":0,"audio_tokens":0},"completion_tokens_details":{"reasoning_tokens":0,"audio_tokens":0,"accepted_prediction_tokens":0,"rejected_prediction_tokens":0}},"service_tier":"default","system_fingerprint":"fp_ad66631dec"}</t>
        </is>
      </c>
      <c r="M91" t="inlineStr">
        <is>
          <t>{"alt-svc":"h3=\":443\"; ma=2592000","apim-request-id":"7b38b6d6-534e-430c-ad0a-c92cba95191b","azureml-model-session":"d20260402075109-1fc5a0ec","cache-control":"no-cache","connection":"close","content-length":"1013","content-type":"application/json","date":"Wed, 29 Apr 2026 01:30:49 GMT","server":"nginx","skip-error-remapping":"true","strict-transport-security":"max-age=31536000; includeSubDomains; preload","via":"1.1 Caddy","x-content-type-options":"nosniff","x-ms-client-request-id":"Not-Set","x-ms-is-spilled-over":"false","x-ms-rai-invoked":"false","x-ms-region":"East US 2","x-new-api-version":"0.4.35","x-oneapi-request-id":"202604290130473686217028268d9d6XQBXDsgQ","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0d596e62-c882-4fcf-aa90-e91ab905e168"}</t>
        </is>
      </c>
      <c r="N91" t="inlineStr">
        <is>
          <t>Chanel Classic Black Double C Embroidered Bucket Hat, made from premium nylon blend, structured, breathable, and sunproof. Minimalist design unites French elegance with modern street style for all genders.</t>
        </is>
      </c>
      <c r="O91" t="inlineStr">
        <is>
          <t>{"id":"chatcmpl-DZoRRoOPC6RlA5MZ9yCS4lWvVS1y2","object":"chat.completion","created":1777427749,"model":"gpt-5-chat-2025-10-03","choices":[{"index":0,"message":{"role":"assistant","content":"Chanel,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91" t="inlineStr">
        <is>
          <t>Chanel,Hats,kakobuy,kakebuy2026,kekobuysheet,kakobuysheet2026,2026kakobuy,kakobuyspreadsheeet,kakobuylink,kakebuylist,Kakobuy MEGA Spreadsheet,kakobuysheetfind,kakobuysheetfind2026,2026kakobuysheetfind,kakobuysheet2026</t>
        </is>
      </c>
      <c r="Q91" t="inlineStr">
        <is>
          <t>Chanel, Nylon, Minimalist, Elegant, Streetwear, Unisex</t>
        </is>
      </c>
      <c r="R91" t="inlineStr">
        <is>
          <t>recvhju1Cr9qW8</t>
        </is>
      </c>
      <c r="S91" t="inlineStr">
        <is>
          <t>chanel-classic-black-double-c-nylon-bucket-hat-recvhju1cr9qw8</t>
        </is>
      </c>
      <c r="T91"/>
      <c r="U91"/>
      <c r="V91"/>
      <c r="W91" t="inlineStr">
        <is>
          <t>{"id":"chatcmpl-DZntMzSxXysuvwbYxZDfNlpP7cQMZ","object":"chat.completion","created":1777425636,"model":"gpt-5-chat-2025-10-03","choices":[{"index":0,"message":{"role":"assistant","content":"Chanel：经典黑色双C标刺绣渔夫帽，采用优质尼龙混纺材质，版型挺括防晒透气。极简设计融合高级街头风格，男女皆可佩戴，展现法式优雅与现代都市时尚质感。","refusal":null,"annotations":[]},"logprobs":null,"finish_reason":"stop"}],"usage":{"prompt_tokens":1302,"completion_tokens":68,"total_tokens":1370,"prompt_tokens_details":{"cached_tokens":0,"audio_tokens":0},"completion_tokens_details":{"reasoning_tokens":0,"audio_tokens":0,"accepted_prediction_tokens":0,"rejected_prediction_tokens":0}},"service_tier":"default","system_fingerprint":"fp_ad66631dec"}</t>
        </is>
      </c>
      <c r="X91" t="inlineStr">
        <is>
          <t>Chanel：经典黑色双C标刺绣渔夫帽，采用优质尼龙混纺材质，版型挺括防晒透气。极简设计融合高级街头风格，男女皆可佩戴，展现法式优雅与现代都市时尚质感。</t>
        </is>
      </c>
    </row>
    <row r="92" ht="25.5" customHeight="1">
      <c r="A92">
        <v>1654975475</v>
      </c>
      <c r="B92">
        <v>7625580298</v>
      </c>
      <c r="C92" s="2" t="str">
        <f>=HYPERLINK("https://weidian.com/item.html?itemID=7625580298", "https://weidian.com/item.html?itemID=7625580298")</f>
        <v>https://weidian.com/item.html?itemID=7625580298</v>
      </c>
      <c r="D92"/>
      <c r="E92" s="2" t="str">
        <f>=HYPERLINK("https://si.geilicdn.com/pcitem2014204438-1b000000019adc865d7f0a210139_1080_1080.jpg?w=640&amp;h=640", "https://si.geilicdn.com/pcitem2014204438-1b000000019adc865d7f0a210139_1080_1080.jpg?w=640&amp;h=640")</f>
        <v>https://si.geilicdn.com/pcitem2014204438-1b000000019adc865d7f0a210139_1080_1080.jpg?w=640&amp;h=640</v>
      </c>
      <c r="F92" t="inlineStr">
        <is>
          <t>Hats</t>
        </is>
      </c>
      <c r="G92" t="inlineStr">
        <is>
          <t>Dior</t>
        </is>
      </c>
      <c r="H92">
        <v>260</v>
      </c>
      <c r="I92">
        <v>37.68</v>
      </c>
      <c r="J92" t="inlineStr">
        <is>
          <t>{"id":"chatcmpl-DZoHuTtaAWQvBMO9MCwVPzUVhosWm","object":"chat.completion","created":1777427158,"model":"gpt-5-chat-2025-10-03","choices":[{"index":0,"message":{"role":"assistant","content":"HatsDior Beige Crochet Knit Straw Bucket Hat","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is>
      </c>
      <c r="K92" t="inlineStr">
        <is>
          <t>HatsDior Beige Crochet Knit Straw Bucket Hat</t>
        </is>
      </c>
      <c r="L92" t="inlineStr">
        <is>
          <t>{"id":"chatcmpl-DZo3WLIYuEXPDx4eHlMvoRPKO5OTx","object":"chat.completion","created":1777426266,"model":"gpt-5-chat-2025-10-03","choices":[{"index":0,"message":{"role":"assistant","content":"HatsDiorDior Beige Crochet Knit Bucket Hat, crafted from premium straw-blend material, lightweight and breathable with sun protection, featuring logo patch and handwoven texture for chic unisex French style.","refusal":null,"annotations":[]},"logprobs":null,"finish_reason":"stop"}],"usage":{"prompt_tokens":912,"completion_tokens":42,"total_tokens":954,"prompt_tokens_details":{"cached_tokens":0,"audio_tokens":0},"completion_tokens_details":{"reasoning_tokens":0,"audio_tokens":0,"accepted_prediction_tokens":0,"rejected_prediction_tokens":0}},"service_tier":"default","system_fingerprint":"fp_ad66631dec"}</t>
        </is>
      </c>
      <c r="M92" t="inlineStr">
        <is>
          <t>{"alt-svc":"h3=\":443\"; ma=2592000","apim-request-id":"9a4433aa-e62b-499e-90c1-b05489b92bf3","azureml-model-session":"d20260405225800-40f19e54","cache-control":"no-cache","connection":"close","content-length":"1015","content-type":"application/json","date":"Wed, 29 Apr 2026 01:31:07 GMT","server":"Caddy","skip-error-remapping":"true","strict-transport-security":"max-age=31536000; includeSubDomains; preload","x-content-type-options":"nosniff","x-ms-client-request-id":"Not-Set","x-ms-is-spilled-over":"false","x-ms-rai-invoked":"false","x-ms-region":"East US 2","x-new-api-version":"0.4.35","x-oneapi-request-id":"202604290131053627222168268d9d6VNOz8bsF","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d451c751-2027-412f-a1b7-7d391240a2ca"}</t>
        </is>
      </c>
      <c r="N92" t="inlineStr">
        <is>
          <t>HatsDiorDior Beige Crochet Knit Bucket Hat, crafted from premium straw-blend material, lightweight and breathable with sun protection, featuring logo patch and handwoven texture for chic unisex French style.</t>
        </is>
      </c>
      <c r="O92" t="inlineStr">
        <is>
          <t>{"id":"chatcmpl-DZoPzYjirfErliADMmxfp1BIoMZbf","object":"chat.completion","created":1777427659,"model":"gpt-5-chat-2025-10-03","choices":[{"index":0,"message":{"role":"assistant","content":"Dio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92" t="inlineStr">
        <is>
          <t>Dior,Hat,kakobuy,kakebuy2026,kekobuysheet,kakobuysheet2026,2026kakobuy,kakobuyspreadsheeet,kakobuylink,kakebuylist,Kakobuy MEGA Spreadsheet,kakobuysheetfind,kakobuysheetfind2026,2026kakobuysheetfind,kakobuysheet2026</t>
        </is>
      </c>
      <c r="Q92" t="inlineStr">
        <is>
          <t>Dior, Beige, Knit, Sun Protection, Unisex</t>
        </is>
      </c>
      <c r="R92" t="inlineStr">
        <is>
          <t>recvhju1CrHunt</t>
        </is>
      </c>
      <c r="S92" t="inlineStr">
        <is>
          <t>hats-dior-beige-crochet-knit-straw-bucket-hat-recvhju1crhunt</t>
        </is>
      </c>
      <c r="T92"/>
      <c r="U92"/>
      <c r="V92"/>
      <c r="W92" t="inlineStr">
        <is>
          <t>{"id":"chatcmpl-DZnvUNNBibtn63A6YrjevUeQgf5Ed","object":"chat.completion","created":1777425768,"model":"gpt-5-chat-2025-10-03","choices":[{"index":0,"message":{"role":"assistant","content":"Dior：米色镂空针织渔夫帽，采用高品质草编混纺材质，轻盈透气兼具遮阳功能，正面饰以品牌标识织章，手工编织纹理展现法式优雅与现代休闲感，男女皆宜，彰显精致时尚品味。","refusal":null,"annotations":[]},"logprobs":null,"finish_reason":"stop"}],"usage":{"prompt_tokens":1300,"completion_tokens":78,"total_tokens":1378,"prompt_tokens_details":{"cached_tokens":1280,"audio_tokens":0},"completion_tokens_details":{"reasoning_tokens":0,"audio_tokens":0,"accepted_prediction_tokens":0,"rejected_prediction_tokens":0}},"service_tier":"default","system_fingerprint":"fp_ad66631dec"}</t>
        </is>
      </c>
      <c r="X92" t="inlineStr">
        <is>
          <t>Dior：米色镂空针织渔夫帽，采用高品质草编混纺材质，轻盈透气兼具遮阳功能，正面饰以品牌标识织章，手工编织纹理展现法式优雅与现代休闲感，男女皆宜，彰显精致时尚品味。</t>
        </is>
      </c>
    </row>
    <row r="93" ht="25.5" customHeight="1">
      <c r="A93">
        <v>1654975475</v>
      </c>
      <c r="B93">
        <v>7694471071</v>
      </c>
      <c r="C93" s="2" t="str">
        <f>=HYPERLINK("https://weidian.com/item.html?itemID=7694471071", "https://weidian.com/item.html?itemID=7694471071")</f>
        <v>https://weidian.com/item.html?itemID=7694471071</v>
      </c>
      <c r="D93"/>
      <c r="E93" s="2" t="str">
        <f>=HYPERLINK("https://si.geilicdn.com/open1654975475-252808396-731b0000019c833e7d9b0a231226_750_3775.jpg?w=640&amp;h=640", "https://si.geilicdn.com/open1654975475-252808396-731b0000019c833e7d9b0a231226_750_3775.jpg?w=640&amp;h=640")</f>
        <v>https://si.geilicdn.com/open1654975475-252808396-731b0000019c833e7d9b0a231226_750_3775.jpg?w=640&amp;h=640</v>
      </c>
      <c r="F93" t="inlineStr">
        <is>
          <t>Toys</t>
        </is>
      </c>
      <c r="G93" t="inlineStr">
        <is>
          <t>Other</t>
        </is>
      </c>
      <c r="H93">
        <v>229</v>
      </c>
      <c r="I93">
        <v>33.19</v>
      </c>
      <c r="J93" t="inlineStr">
        <is>
          <t>{"id":"chatcmpl-DZoDGXGocr0t9SE8gnnZUN13Vafb9","object":"chat.completion","created":1777426870,"model":"gpt-5-chat-2025-10-03","choices":[{"index":0,"message":{"role":"assistant","content":"ToysOther AI Robot Dog Voice Control APP Remote","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fd471178c5"}</t>
        </is>
      </c>
      <c r="K93" t="inlineStr">
        <is>
          <t>ToysOther AI Robot Dog Voice Control APP Remote</t>
        </is>
      </c>
      <c r="L93" t="inlineStr">
        <is>
          <t>{"id":"chatcmpl-DZo2fsd4uxPqunmIV30bppEm5oDu0","object":"chat.completion","created":1777426213,"model":"gpt-5-chat-2025-10-03","choices":[{"index":0,"message":{"role":"assistant","content":"ToysOtherAI Intelligent Programming Robot Dog – futuristic blue-white design with voice control, APP remote, gait simulation, water bullet shooting, bionic motion, metallic body, cool sci-fi toy for kids.","refusal":null,"annotations":[]},"logprobs":null,"finish_reason":"stop"}],"usage":{"prompt_tokens":907,"completion_tokens":42,"total_tokens":949,"prompt_tokens_details":{"cached_tokens":0,"audio_tokens":0},"completion_tokens_details":{"reasoning_tokens":0,"audio_tokens":0,"accepted_prediction_tokens":0,"rejected_prediction_tokens":0}},"service_tier":"default","system_fingerprint":"fp_ad66631dec"}</t>
        </is>
      </c>
      <c r="M93" t="inlineStr">
        <is>
          <t>{"alt-svc":"h3=\":443\"; ma=2592000","apim-request-id":"114a4c65-6d59-4ea1-80e5-e6d3c190cb87","azureml-model-session":"d20260402075109-1fc5a0ec","cache-control":"no-cache","connection":"close","content-length":"1014","content-type":"application/json","date":"Wed, 29 Apr 2026 01:30:15 GMT","server":"nginx","skip-error-remapping":"true","strict-transport-security":"max-age=31536000; includeSubDomains; preload","via":"1.1 Caddy","x-content-type-options":"nosniff","x-ms-client-request-id":"Not-Set","x-ms-is-spilled-over":"false","x-ms-rai-invoked":"false","x-ms-region":"East US 2","x-new-api-version":"0.4.35","x-oneapi-request-id":"202604290130121265881438268d9d6y8RiPJzX","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74d54031-2468-4aa2-9c74-0ec254e06527"}</t>
        </is>
      </c>
      <c r="N93" t="inlineStr">
        <is>
          <t>ToysOtherAI Intelligent Programming Robot Dog – futuristic blue-white design with voice control, APP remote, gait simulation, water bullet shooting, bionic motion, metallic body, cool sci-fi toy for kids.</t>
        </is>
      </c>
      <c r="O93" t="inlineStr">
        <is>
          <t>{"id":"chatcmpl-DZoMCKZJEJ7uqrPUMw20DLkNdWQs7","object":"chat.completion","created":1777427424,"model":"gpt-5-chat-2025-10-03","choices":[{"index":0,"message":{"role":"assistant","content":"AI Intelligent Robotic Dog,ToysOther,kakobuy,kakebuy2026,kekobuysheet,kakobuysheet2026,2026kakobuy,kakobuyspreadsheeet,kakobuylink,kakebuylist,Kakobuy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3" t="inlineStr">
        <is>
          <t>AI Intelligent Robotic Dog,ToysOther,kakobuy,kakebuy2026,kekobuysheet,kakobuysheet2026,2026kakobuy,kakobuyspreadsheeet,kakobuylink,kakebuylist,Kakobuy MEGA Spreadsheet,kakobuysheetfind,kakobuysheetfind2026,2026kakobuysheetfind,kakobuysheet2026</t>
        </is>
      </c>
      <c r="Q93"/>
      <c r="R93" t="inlineStr">
        <is>
          <t>recvhju1CrCV9O</t>
        </is>
      </c>
      <c r="S93" t="inlineStr">
        <is>
          <t>toysother-ai-robot-dog-voice-control-app-remote-recvhju1crcv9o</t>
        </is>
      </c>
      <c r="T93"/>
      <c r="U93"/>
      <c r="V93"/>
      <c r="W93" t="inlineStr">
        <is>
          <t>{"id":"chatcmpl-DZnwvldDLP9lN5JDZ0zrwVQn8FSLc","object":"chat.completion","created":1777425857,"model":"gpt-5-chat-2025-10-03","choices":[{"index":0,"message":{"role":"assistant","content":"AI智能编程机甲狗，未来科技蓝白配色，支持语音识别与APP遥控，具备步态模拟、水弹发射等互动功能，仿生设计动感十足，金属质感机身，男女孩皆宜，潮流科幻风格儿童智能玩具。","refusal":null,"annotations":[]},"logprobs":null,"finish_reason":"stop"}],"usage":{"prompt_tokens":1304,"completion_tokens":71,"total_tokens":1375,"prompt_tokens_details":{"cached_tokens":0,"audio_tokens":0},"completion_tokens_details":{"reasoning_tokens":0,"audio_tokens":0,"accepted_prediction_tokens":0,"rejected_prediction_tokens":0}},"service_tier":"default","system_fingerprint":"fp_fd471178c5"}</t>
        </is>
      </c>
      <c r="X93" t="inlineStr">
        <is>
          <t>AI智能编程机甲狗，未来科技蓝白配色，支持语音识别与APP遥控，具备步态模拟、水弹发射等互动功能，仿生设计动感十足，金属质感机身，男女孩皆宜，潮流科幻风格儿童智能玩具。</t>
        </is>
      </c>
    </row>
    <row r="94" ht="25.5" customHeight="1">
      <c r="A94">
        <v>1654975475</v>
      </c>
      <c r="B94">
        <v>7694465129</v>
      </c>
      <c r="C94" s="2" t="str">
        <f>=HYPERLINK("https://weidian.com/item.html?itemID=7694465129", "https://weidian.com/item.html?itemID=7694465129")</f>
        <v>https://weidian.com/item.html?itemID=7694465129</v>
      </c>
      <c r="D94"/>
      <c r="E94" s="2" t="str">
        <f>=HYPERLINK("https://si.geilicdn.com/open1654975475-252808396-68230000019c833b36010aa08676_790_1902.jpg?w=640&amp;h=640", "https://si.geilicdn.com/open1654975475-252808396-68230000019c833b36010aa08676_790_1902.jpg?w=640&amp;h=640")</f>
        <v>https://si.geilicdn.com/open1654975475-252808396-68230000019c833b36010aa08676_790_1902.jpg?w=640&amp;h=640</v>
      </c>
      <c r="F94" t="inlineStr">
        <is>
          <t>Toys</t>
        </is>
      </c>
      <c r="G94" t="inlineStr">
        <is>
          <t>Other</t>
        </is>
      </c>
      <c r="H94">
        <v>166</v>
      </c>
      <c r="I94">
        <v>24.06</v>
      </c>
      <c r="J94" t="inlineStr">
        <is>
          <t>{"id":"chatcmpl-DZoGeOXsOBZLEp7n2raAQbtgqYVOn","object":"chat.completion","created":1777427080,"model":"gpt-5-chat-2025-10-03","choices":[{"index":0,"message":{"role":"assistant","content":"AI Robot Dog White Smart Toy with LED Music","refusal":null,"annotations":[]},"logprobs":null,"finish_reason":"stop"}],"usage":{"prompt_tokens":1447,"completion_tokens":10,"total_tokens":1457,"prompt_tokens_details":{"cached_tokens":0,"audio_tokens":0},"completion_tokens_details":{"reasoning_tokens":0,"audio_tokens":0,"accepted_prediction_tokens":0,"rejected_prediction_tokens":0}},"service_tier":"default","system_fingerprint":"fp_fd471178c5"}</t>
        </is>
      </c>
      <c r="K94" t="inlineStr">
        <is>
          <t>AI Robot Dog White Smart Toy with LED Music</t>
        </is>
      </c>
      <c r="L94" t="inlineStr">
        <is>
          <t>{"id":"chatcmpl-DZo5GJXwPSpCh4BkgWHD0REviShQP","object":"chat.completion","created":1777426374,"model":"gpt-5-chat-2025-10-03","choices":[{"index":0,"message":{"role":"assistant","content":"ToysOtherAI Robot Dog – White futuristic smart pet toy with voice interaction, water bullet shooting, LED light &amp; music effects, eco‑friendly durable plastic, agile remote control, perfect for boys &amp; girls.","refusal":null,"annotations":[]},"logprobs":null,"finish_reason":"stop"}],"usage":{"prompt_tokens":1457,"completion_tokens":43,"total_tokens":1500,"prompt_tokens_details":{"cached_tokens":0,"audio_tokens":0},"completion_tokens_details":{"reasoning_tokens":0,"audio_tokens":0,"accepted_prediction_tokens":0,"rejected_prediction_tokens":0}},"service_tier":"default","system_fingerprint":"fp_fd471178c5"}</t>
        </is>
      </c>
      <c r="M94" t="inlineStr">
        <is>
          <t>{"alt-svc":"h3=\":443\"; ma=2592000","apim-request-id":"49b4ba83-59b1-43c6-b7d0-eca1437b6ffb","azureml-model-session":"d20260428165144-a78ba574","cache-control":"no-cache","connection":"close","content-length":"1020","content-type":"application/json","date":"Wed, 29 Apr 2026 01:32:57 GMT","server":"Caddy","skip-error-remapping":"true","strict-transport-security":"max-age=31536000; includeSubDomains; preload","x-content-type-options":"nosniff","x-ms-client-request-id":"Not-Set","x-ms-is-spilled-over":"false","x-ms-rai-invoked":"false","x-ms-region":"Poland Central","x-new-api-version":"0.4.35","x-oneapi-request-id":"202604290132533242694408268d9d6SMRpB2oR","x-ratelimit-abusepenalty-active":"False","x-ratelimit-key":"gpt-5-chat-global","x-ratelimit-limit-requests":"1000","x-ratelimit-limit-tokens":"1000000","x-ratelimit-remaining-requests":"999","x-ratelimit-remaining-tokens":"997778","x-ratelimit-renewalperiod-requests":"60","x-ratelimit-renewalperiod-tokens":"60","x-ratelimit-reset-requests":"60","x-ratelimit-reset-tokens":"133","x-request-id":"25cbce12-36c2-403c-a8a9-694d6c704cff"}</t>
        </is>
      </c>
      <c r="N94" t="inlineStr">
        <is>
          <t>ToysOtherAI Robot Dog – White futuristic smart pet toy with voice interaction, water bullet shooting, LED light &amp; music effects, eco‑friendly durable plastic, agile remote control, perfect for boys &amp; girls.</t>
        </is>
      </c>
      <c r="O94" t="inlineStr">
        <is>
          <t>{"id":"chatcmpl-DZoNuGJszdHoPHFQed6ysM1kTX5si","object":"chat.completion","created":1777427530,"model":"gpt-5-chat-2025-10-03","choices":[{"index":0,"message":{"role":"assistant","content":"Machine, Robot Dog, kakobuy, kakebuy2026, kekobuysheet, kakobuysheet2026, 2026kakobuy, kakobuyspreadsheet, kakobuylink, kakebuylist, Kakobuy MEGA Spreadsheet, kakobuysheetfind, kakobuysheetfind2026, 2026kakobuysheetfind, kakobuysheet2026","refusal":null,"annotations":[]},"logprobs":null,"finish_reason":"stop"}],"usage":{"prompt_tokens":1342,"completion_tokens":89,"total_tokens":1431,"prompt_tokens_details":{"cached_tokens":0,"audio_tokens":0},"completion_tokens_details":{"reasoning_tokens":0,"audio_tokens":0,"accepted_prediction_tokens":0,"rejected_prediction_tokens":0}},"service_tier":"default","system_fingerprint":"fp_ad66631dec"}</t>
        </is>
      </c>
      <c r="P94" t="inlineStr">
        <is>
          <t>Machine, Robot Dog, kakobuy, kakebuy2026, kekobuysheet, kakobuysheet2026, 2026kakobuy, kakobuyspreadsheet, kakobuylink, kakebuylist, Kakobuy MEGA Spreadsheet, kakobuysheetfind, kakobuysheetfind2026, 2026kakobuysheetfind, kakobuysheet2026</t>
        </is>
      </c>
      <c r="Q94"/>
      <c r="R94" t="inlineStr">
        <is>
          <t>recvhju1CrSK6p</t>
        </is>
      </c>
      <c r="S94" t="inlineStr">
        <is>
          <t>ai-robot-dog-white-smart-toy-led-music-recvhju1crsk6p</t>
        </is>
      </c>
      <c r="T94"/>
      <c r="U94"/>
      <c r="V94"/>
      <c r="W94" t="inlineStr">
        <is>
          <t>{"id":"chatcmpl-DZnuAn0y0gW19Rvwna2JklrMQ52zZ","object":"chat.completion","created":1777425686,"model":"gpt-5-chat-2025-10-03","choices":[{"index":0,"message":{"role":"assistant","content":"AI编程智能机械狗，白色未来科技风设计，采用环保高强度塑料材质，具语音互动与水弹发射功能，灯光音乐特效炫酷逼真，遥控操作灵敏，男女皆宜新一代智能宠物玩具。","refusal":null,"annotations":[]},"logprobs":null,"finish_reason":"stop"}],"usage":{"prompt_tokens":1856,"completion_tokens":65,"total_tokens":1921,"prompt_tokens_details":{"cached_tokens":0,"audio_tokens":0},"completion_tokens_details":{"reasoning_tokens":0,"audio_tokens":0,"accepted_prediction_tokens":0,"rejected_prediction_tokens":0}},"service_tier":"default","system_fingerprint":"fp_ad66631dec"}</t>
        </is>
      </c>
      <c r="X94" t="inlineStr">
        <is>
          <t>AI编程智能机械狗，白色未来科技风设计，采用环保高强度塑料材质，具语音互动与水弹发射功能，灯光音乐特效炫酷逼真，遥控操作灵敏，男女皆宜新一代智能宠物玩具。</t>
        </is>
      </c>
    </row>
    <row r="95" ht="25.5" customHeight="1">
      <c r="A95">
        <v>1654975475</v>
      </c>
      <c r="B95">
        <v>7694394961</v>
      </c>
      <c r="C95" s="2" t="str">
        <f>=HYPERLINK("https://weidian.com/item.html?itemID=7694394961", "https://weidian.com/item.html?itemID=7694394961")</f>
        <v>https://weidian.com/item.html?itemID=7694394961</v>
      </c>
      <c r="D95"/>
      <c r="E95" s="2" t="str">
        <f>=HYPERLINK("https://si.geilicdn.com/open1654975475-252808396-0f000000019c7f1fabcd0a231226_1024_1024.jpg?w=750&amp;h=750&amp;cp=1", "https://si.geilicdn.com/open1654975475-252808396-0f000000019c7f1fabcd0a231226_1024_1024.jpg?w=750&amp;h=750&amp;cp=1")</f>
        <v>https://si.geilicdn.com/open1654975475-252808396-0f000000019c7f1fabcd0a231226_1024_1024.jpg?w=750&amp;h=750&amp;cp=1</v>
      </c>
      <c r="F95" t="inlineStr">
        <is>
          <t>Accessories</t>
        </is>
      </c>
      <c r="G95" t="inlineStr">
        <is>
          <t>Other</t>
        </is>
      </c>
      <c r="H95">
        <v>72</v>
      </c>
      <c r="I95">
        <v>10.43</v>
      </c>
      <c r="J95" t="inlineStr">
        <is>
          <t>{"id":"chatcmpl-DZoFNzRFjSj0Aj3UpllTbMc46VTkT","object":"chat.completion","created":1777427001,"model":"gpt-5-chat-2025-10-03","choices":[{"index":0,"message":{"role":"assistant","content":"Heilongxian Black Obsidian Pixiu Bracelet","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95" t="inlineStr">
        <is>
          <t>Heilongxian Black Obsidian Pixiu Bracelet</t>
        </is>
      </c>
      <c r="L95" t="inlineStr">
        <is>
          <t>{"id":"chatcmpl-DZo4CSQ3nSbB4ajBJDDzT581W4W3m","object":"chat.completion","created":1777426308,"model":"gpt-5-chat-2025-10-03","choices":[{"index":0,"message":{"role":"assistant","content":"Heilongxian Black Obsidian Energy Bracelet, handmade with natural obsidian beads and a gold-plated Pixiu charm for wealth and protection, unisex design with vintage oriental style.","refusal":null,"annotations":[]},"logprobs":null,"finish_reason":"stop"}],"usage":{"prompt_tokens":898,"completion_tokens":40,"total_tokens":938,"prompt_tokens_details":{"cached_tokens":0,"audio_tokens":0},"completion_tokens_details":{"reasoning_tokens":0,"audio_tokens":0,"accepted_prediction_tokens":0,"rejected_prediction_tokens":0}},"service_tier":"default","system_fingerprint":"fp_ad66631dec"}</t>
        </is>
      </c>
      <c r="M95" t="inlineStr">
        <is>
          <t>{"alt-svc":"h3=\":443\"; ma=2592000","apim-request-id":"df41d071-f4dc-4e26-9593-101bcf6dbb0a","azureml-model-session":"d20260402074105-51db401e","cache-control":"no-cache","connection":"close","content-length":"988","content-type":"application/json","date":"Wed, 29 Apr 2026 01:31:49 GMT","server":"Caddy","skip-error-remapping":"true","strict-transport-security":"max-age=31536000; includeSubDomains; preload","x-content-type-options":"nosniff","x-ms-client-request-id":"Not-Set","x-ms-is-spilled-over":"false","x-ms-rai-invoked":"false","x-ms-region":"East US 2","x-new-api-version":"0.4.35","x-oneapi-request-id":"202604290131467179034948268d9d6dmAoVDHY","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dd7707a9-01e4-4764-8c2f-6791dc47e75e"}</t>
        </is>
      </c>
      <c r="N95" t="inlineStr">
        <is>
          <t>Heilongxian Black Obsidian Energy Bracelet, handmade with natural obsidian beads and a gold-plated Pixiu charm for wealth and protection, unisex design with vintage oriental style.</t>
        </is>
      </c>
      <c r="O95" t="inlineStr">
        <is>
          <t>{"id":"chatcmpl-DZoME9rcqeRIcVAwiiGYe3qf21bDh","object":"chat.completion","created":1777427426,"model":"gpt-5-chat-2025-10-03","choices":[{"index":0,"message":{"role":"assistant","content":"Heilongyu,Bracele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fd471178c5"}</t>
        </is>
      </c>
      <c r="P95" t="inlineStr">
        <is>
          <t>Heilongyu,Bracelet,kakobuy,kakebuy2026,kekobuysheet,kakobuysheet2026,2026kakobuy,kakobuyspreadsheeet,kakobuylink,kakebuylist,Kakobuy MEGA Spreadsheet,kakobuysheetfind,kakobuysheetfind2026,2026kakobuysheetfind,kakobuysheet2026</t>
        </is>
      </c>
      <c r="Q95" t="inlineStr">
        <is>
          <t>Unisex, Vintage, Oriental</t>
        </is>
      </c>
      <c r="R95" t="inlineStr">
        <is>
          <t>recvhju1CraZEj</t>
        </is>
      </c>
      <c r="S95" t="inlineStr">
        <is>
          <t>heilongxian-black-obsidian-pixiu-bracelet-recvhju1crazej</t>
        </is>
      </c>
      <c r="T95"/>
      <c r="U95"/>
      <c r="V95"/>
      <c r="W95" t="inlineStr">
        <is>
          <t>{"id":"chatcmpl-DZnvsCRFzvesvadWxpKZe1t6fr1yO","object":"chat.completion","created":1777425792,"model":"gpt-5-chat-2025-10-03","choices":[{"index":0,"message":{"role":"assistant","content":"黑龙涎黑色能量手链，精选天然黑曜石珠串搭配金属鎏金貔貅吊坠设计，寓意招财辟邪，男女皆宜，复古东方风格手作工艺饰品。","refusal":null,"annotations":[]},"logprobs":null,"finish_reason":"stop"}],"usage":{"prompt_tokens":1311,"completion_tokens":59,"total_tokens":1370,"prompt_tokens_details":{"cached_tokens":1280,"audio_tokens":0},"completion_tokens_details":{"reasoning_tokens":0,"audio_tokens":0,"accepted_prediction_tokens":0,"rejected_prediction_tokens":0}},"service_tier":"default","system_fingerprint":"fp_fd471178c5"}</t>
        </is>
      </c>
      <c r="X95" t="inlineStr">
        <is>
          <t>黑龙涎黑色能量手链，精选天然黑曜石珠串搭配金属鎏金貔貅吊坠设计，寓意招财辟邪，男女皆宜，复古东方风格手作工艺饰品。</t>
        </is>
      </c>
    </row>
    <row r="96" ht="25.5" customHeight="1">
      <c r="A96">
        <v>1654975475</v>
      </c>
      <c r="B96">
        <v>7625632768</v>
      </c>
      <c r="C96" s="2" t="str">
        <f>=HYPERLINK("https://weidian.com/item.html?itemID=7625632768", "https://weidian.com/item.html?itemID=7625632768")</f>
        <v>https://weidian.com/item.html?itemID=7625632768</v>
      </c>
      <c r="D96"/>
      <c r="E96" s="2" t="str">
        <f>=HYPERLINK("https://si.geilicdn.com/pcitem2014204438-61550000019adcf13d270a2396f4_1442_1922.jpg?w=640&amp;h=640", "https://si.geilicdn.com/pcitem2014204438-61550000019adcf13d270a2396f4_1442_1922.jpg?w=640&amp;h=640")</f>
        <v>https://si.geilicdn.com/pcitem2014204438-61550000019adcf13d270a2396f4_1442_1922.jpg?w=640&amp;h=640</v>
      </c>
      <c r="F96" t="inlineStr">
        <is>
          <t>Glasses</t>
        </is>
      </c>
      <c r="G96" t="inlineStr">
        <is>
          <t>Miu Miu</t>
        </is>
      </c>
      <c r="H96">
        <v>340</v>
      </c>
      <c r="I96">
        <v>49.2898550724637</v>
      </c>
      <c r="J96" t="inlineStr">
        <is>
          <t>{"id":"chatcmpl-DZoEygpbqgfoFv3sFviWW79in1ngr","object":"chat.completion","created":1777426976,"model":"gpt-5-chat-2025-10-03","choices":[{"index":0,"message":{"role":"assistant","content":"Miu Miu Black Cat Eye UV Protection Sunglasses","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ad66631dec"}</t>
        </is>
      </c>
      <c r="K96" t="inlineStr">
        <is>
          <t>Miu Miu Black Cat Eye UV Protection Sunglasses</t>
        </is>
      </c>
      <c r="L96" t="inlineStr">
        <is>
          <t>{"id":"chatcmpl-DZo8woHstM9VDzen9CACSg5dOBPss","object":"chat.completion","created":1777426602,"model":"gpt-5-chat-2025-10-03","choices":[{"index":0,"message":{"role":"assistant","content":"Miu Miu Black Cat-Eye Sunglasses – crafted from premium resin with UV-protection lenses. Minimalist retro design exudes modern feminine elegance and style. Lightweight, ideal for daily wear or vacations.","refusal":null,"annotations":[]},"logprobs":null,"finish_reason":"stop"}],"usage":{"prompt_tokens":897,"completion_tokens":43,"total_tokens":940,"prompt_tokens_details":{"cached_tokens":0,"audio_tokens":0},"completion_tokens_details":{"reasoning_tokens":0,"audio_tokens":0,"accepted_prediction_tokens":0,"rejected_prediction_tokens":0}},"service_tier":"default","system_fingerprint":"fp_ad66631dec"}</t>
        </is>
      </c>
      <c r="M96" t="inlineStr">
        <is>
          <t>{"alt-svc":"h3=\":443\"; ma=2592000","apim-request-id":"f4cef16e-7342-498d-9cbf-a964d9141d1c","azureml-model-session":"d20260402075109-1fc5a0ec","cache-control":"no-cache","connection":"close","content-length":"1013","content-type":"application/json","date":"Wed, 29 Apr 2026 01:36:43 GMT","server":"nginx","skip-error-remapping":"true","strict-transport-security":"max-age=31536000; includeSubDomains; preload","via":"1.1 Caddy","x-content-type-options":"nosniff","x-ms-client-request-id":"Not-Set","x-ms-is-spilled-over":"false","x-ms-rai-invoked":"false","x-ms-region":"East US","x-new-api-version":"0.4.35","x-oneapi-request-id":"202604290136413069659358268d9d6ujXT7A0B","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21b67160-0ee3-4e99-a39b-9456a260e533"}</t>
        </is>
      </c>
      <c r="N96" t="inlineStr">
        <is>
          <t>Miu Miu Black Cat-Eye Sunglasses – crafted from premium resin with UV-protection lenses. Minimalist retro design exudes modern feminine elegance and style. Lightweight, ideal for daily wear or vacations.</t>
        </is>
      </c>
      <c r="O96" t="inlineStr">
        <is>
          <t>{"id":"chatcmpl-DZoO5YplQW9s2n0kfDtkuuhHADnlO","object":"chat.completion","created":1777427541,"model":"gpt-5-chat-2025-10-03","choices":[{"index":0,"message":{"role":"assistant","content":"Miu Miu,Glasses,kakobuy,kakebuy2026,kekobuysheet,kakobuysheet2026,2026kakobuy,kakobuyspreadsheeet,kakobuylink,kakebuylist,Kakobuy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96" t="inlineStr">
        <is>
          <t>Miu Miu,Glasses,kakobuy,kakebuy2026,kekobuysheet,kakobuysheet2026,2026kakobuy,kakobuyspreadsheeet,kakobuylink,kakebuylist,Kakobuy MEGA Spreadsheet,kakobuysheetfind,kakobuysheetfind2026,2026kakobuysheetfind,kakobuysheet2026</t>
        </is>
      </c>
      <c r="Q96" t="inlineStr">
        <is>
          <t>Black, Minimalist, Retro, Modern, Anti-Ultraviolet, Women</t>
        </is>
      </c>
      <c r="R96" t="inlineStr">
        <is>
          <t>recvhju1Crh7E5</t>
        </is>
      </c>
      <c r="S96" t="inlineStr">
        <is>
          <t>miu-miu-black-cat-eye-sunglasses-recvhju1crh7e5</t>
        </is>
      </c>
      <c r="T96"/>
      <c r="U96"/>
      <c r="V96"/>
      <c r="W96" t="inlineStr">
        <is>
          <t>{"id":"chatcmpl-DZnvCpNZNIGmEzf7QLp81IswpCfhW","object":"chat.completion","created":1777425750,"model":"gpt-5-chat-2025-10-03","choices":[{"index":0,"message":{"role":"assistant","content":"Miu Miu：黑色猫眼太阳镜，采用高品质树脂镜框与防紫外线镜片，极简复古设计，展现现代女性优雅与时尚气质，轻盈舒适，适合日常与度假佩戴。","refusal":null,"annotations":[]},"logprobs":null,"finish_reason":"stop"}],"usage":{"prompt_tokens":1304,"completion_tokens":61,"total_tokens":1365,"prompt_tokens_details":{"cached_tokens":1280,"audio_tokens":0},"completion_tokens_details":{"reasoning_tokens":0,"audio_tokens":0,"accepted_prediction_tokens":0,"rejected_prediction_tokens":0}},"service_tier":"default","system_fingerprint":"fp_ad66631dec"}</t>
        </is>
      </c>
      <c r="X96" t="inlineStr">
        <is>
          <t>Miu Miu：黑色猫眼太阳镜，采用高品质树脂镜框与防紫外线镜片，极简复古设计，展现现代女性优雅与时尚气质，轻盈舒适，适合日常与度假佩戴。</t>
        </is>
      </c>
    </row>
    <row r="97" ht="25.5" customHeight="1">
      <c r="A97">
        <v>1654975475</v>
      </c>
      <c r="B97">
        <v>7622684773</v>
      </c>
      <c r="C97" s="2" t="str">
        <f>=HYPERLINK("https://weidian.com/item.html?itemID=7622684773", "https://weidian.com/item.html?itemID=7622684773")</f>
        <v>https://weidian.com/item.html?itemID=7622684773</v>
      </c>
      <c r="D97"/>
      <c r="E97" s="2" t="str">
        <f>=HYPERLINK("https://si.geilicdn.com/pcitem2014204438-608c0000019adce8cf680a20e672_1442_1922.jpg?w=640&amp;h=640", "https://si.geilicdn.com/pcitem2014204438-608c0000019adce8cf680a20e672_1442_1922.jpg?w=640&amp;h=640")</f>
        <v>https://si.geilicdn.com/pcitem2014204438-608c0000019adce8cf680a20e672_1442_1922.jpg?w=640&amp;h=640</v>
      </c>
      <c r="F97" t="inlineStr">
        <is>
          <t>Glasses</t>
        </is>
      </c>
      <c r="G97" t="inlineStr">
        <is>
          <t>Versace</t>
        </is>
      </c>
      <c r="H97">
        <v>340</v>
      </c>
      <c r="I97">
        <v>49.2898550724637</v>
      </c>
      <c r="J97" t="inlineStr">
        <is>
          <t>{"id":"chatcmpl-DZoDFxfq0zvxgVkG2RyII7Iqqdc5h","object":"chat.completion","created":1777426869,"model":"gpt-5-chat-2025-10-03","choices":[{"index":0,"message":{"role":"assistant","content":"Versace Vintage Brown Square Sunglasses Unisex 90s Style","refusal":null,"annotations":[]},"logprobs":null,"finish_reason":"stop"}],"usage":{"prompt_tokens":882,"completion_tokens":14,"total_tokens":896,"prompt_tokens_details":{"cached_tokens":0,"audio_tokens":0},"completion_tokens_details":{"reasoning_tokens":0,"audio_tokens":0,"accepted_prediction_tokens":0,"rejected_prediction_tokens":0}},"service_tier":"default","system_fingerprint":"fp_ad66631dec"}</t>
        </is>
      </c>
      <c r="K97" t="inlineStr">
        <is>
          <t>Versace Vintage Brown Square Sunglasses Unisex 90s Style</t>
        </is>
      </c>
      <c r="L97" t="inlineStr">
        <is>
          <t>{"id":"chatcmpl-DZo4QRzSdoQL1gASIjNXfMc8OmgZx","object":"chat.completion","created":1777426322,"model":"gpt-5-chat-2025-10-03","choices":[{"index":0,"message":{"role":"assistant","content":"Versace Vintage Brown Acetate Square Sunglasses with High-Gloss Frame, Dark Brown UV-Protection Lenses, Medusa Logo Details, 90s Inspired Unisex Luxury Italian Design.","refusal":null,"annotations":[]},"logprobs":null,"finish_reason":"stop"}],"usage":{"prompt_tokens":911,"completion_tokens":40,"total_tokens":951,"prompt_tokens_details":{"cached_tokens":0,"audio_tokens":0},"completion_tokens_details":{"reasoning_tokens":0,"audio_tokens":0,"accepted_prediction_tokens":0,"rejected_prediction_tokens":0}},"service_tier":"default","system_fingerprint":"fp_ad66631dec"}</t>
        </is>
      </c>
      <c r="M97" t="inlineStr">
        <is>
          <t>{"alt-svc":"h3=\":443\"; ma=2592000","apim-request-id":"800f1cf0-5571-4d14-9d1e-83cdfb451d94","azureml-model-session":"d20260405225800-40f19e54","cache-control":"no-cache","connection":"close","content-length":"975","content-type":"application/json","date":"Wed, 29 Apr 2026 01:32:03 GMT","server":"nginx","skip-error-remapping":"true","strict-transport-security":"max-age=31536000; includeSubDomains; preload","via":"1.1 Caddy","x-content-type-options":"nosniff","x-ms-client-request-id":"Not-Set","x-ms-is-spilled-over":"false","x-ms-rai-invoked":"false","x-ms-region":"North Central US","x-new-api-version":"0.4.35","x-oneapi-request-id":"202604290132013760377498268d9d6BOrfOKdR","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7f59037a-1a07-9932-b72f-570965bf7958"}</t>
        </is>
      </c>
      <c r="N97" t="inlineStr">
        <is>
          <t>Versace Vintage Brown Acetate Square Sunglasses with High-Gloss Frame, Dark Brown UV-Protection Lenses, Medusa Logo Details, 90s Inspired Unisex Luxury Italian Design.</t>
        </is>
      </c>
      <c r="O97" t="inlineStr">
        <is>
          <t>{"id":"chatcmpl-DZoNCpCuMWJ60CgJFbcTHcT4zmwQL","object":"chat.completion","created":1777427486,"model":"gpt-5-chat-2025-10-03","choices":[{"index":0,"message":{"role":"assistant","content":"Versac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97" t="inlineStr">
        <is>
          <t>Versace,Glasses,kakobuy,kakebuy2026,kekobuysheet,kakobuysheet2026,2026kakobuy,kakobuyspreadsheeet,kakobuylink,kakebuylist,Kakobuy MEGA Spreadsheet,kakobuysheetfind,kakobuysheetfind2026,2026kakobuysheetfind,kakobuysheet2026</t>
        </is>
      </c>
      <c r="Q97" t="inlineStr">
        <is>
          <t>Vintage, Brown, Unisex, Acetate Fiber, Anti-Ultraviolet</t>
        </is>
      </c>
      <c r="R97" t="inlineStr">
        <is>
          <t>recvhju1CregT1</t>
        </is>
      </c>
      <c r="S97" t="inlineStr">
        <is>
          <t>versace-vintage-brown-square-sunglasses-90s-recvhju1cregt1</t>
        </is>
      </c>
      <c r="T97"/>
      <c r="U97"/>
      <c r="V97"/>
      <c r="W97" t="inlineStr">
        <is>
          <t>{"id":"chatcmpl-DZnwaenfBmboheyWZV0UUcH3VlxkQ","object":"chat.completion","created":1777425836,"model":"gpt-5-chat-2025-10-03","choices":[{"index":0,"message":{"role":"assistant","content":"Versace：复古系列棕色板材方框太阳镜，镜架采用高光醋酸纤维材质，配深棕防UV镜片，硬朗线条与品牌美杜莎徽标相映成趣，适合男女时尚佩戴，彰显90年代奢华意式设计风格。","refusal":null,"annotations":[]},"logprobs":null,"finish_reason":"stop"}],"usage":{"prompt_tokens":1300,"completion_tokens":77,"total_tokens":1377,"prompt_tokens_details":{"cached_tokens":1280,"audio_tokens":0},"completion_tokens_details":{"reasoning_tokens":0,"audio_tokens":0,"accepted_prediction_tokens":0,"rejected_prediction_tokens":0}},"service_tier":"default","system_fingerprint":"fp_fd471178c5"}</t>
        </is>
      </c>
      <c r="X97" t="inlineStr">
        <is>
          <t>Versace：复古系列棕色板材方框太阳镜，镜架采用高光醋酸纤维材质，配深棕防UV镜片，硬朗线条与品牌美杜莎徽标相映成趣，适合男女时尚佩戴，彰显90年代奢华意式设计风格。</t>
        </is>
      </c>
    </row>
    <row r="98" ht="25.5" customHeight="1">
      <c r="A98">
        <v>1654975475</v>
      </c>
      <c r="B98">
        <v>7622656223</v>
      </c>
      <c r="C98" s="2" t="str">
        <f>=HYPERLINK("https://weidian.com/item.html?itemID=7622656223", "https://weidian.com/item.html?itemID=7622656223")</f>
        <v>https://weidian.com/item.html?itemID=7622656223</v>
      </c>
      <c r="D98"/>
      <c r="E98" s="2" t="str">
        <f>=HYPERLINK("https://si.geilicdn.com/pcitem2014204438-517b0000019adca38ae40a207569_1074_1074.jpg?w=640&amp;h=640", "https://si.geilicdn.com/pcitem2014204438-517b0000019adca38ae40a207569_1074_1074.jpg?w=640&amp;h=640")</f>
        <v>https://si.geilicdn.com/pcitem2014204438-517b0000019adca38ae40a207569_1074_1074.jpg?w=640&amp;h=640</v>
      </c>
      <c r="F98" t="inlineStr">
        <is>
          <t>Hats</t>
        </is>
      </c>
      <c r="G98" t="inlineStr">
        <is>
          <t>Dior</t>
        </is>
      </c>
      <c r="H98">
        <v>260</v>
      </c>
      <c r="I98">
        <v>37.68</v>
      </c>
      <c r="J98" t="inlineStr">
        <is>
          <t>{"id":"chatcmpl-DZoIKUGIxVyG2i17WtggLEXgXvjsl","object":"chat.completion","created":1777427184,"model":"gpt-5-chat-2025-10-03","choices":[{"index":0,"message":{"role":"assistant","content":"Dior Black Wool Knit Fisherman Hat Unisex","refusal":null,"annotations":[]},"logprobs":null,"finish_reason":"stop"}],"usage":{"prompt_tokens":894,"completion_tokens":11,"total_tokens":905,"prompt_tokens_details":{"cached_tokens":0,"audio_tokens":0},"completion_tokens_details":{"reasoning_tokens":0,"audio_tokens":0,"accepted_prediction_tokens":0,"rejected_prediction_tokens":0}},"service_tier":"default","system_fingerprint":"fp_fd471178c5"}</t>
        </is>
      </c>
      <c r="K98" t="inlineStr">
        <is>
          <t>Dior Black Wool Knit Fisherman Hat Unisex</t>
        </is>
      </c>
      <c r="L98" t="inlineStr">
        <is>
          <t>{"id":"chatcmpl-DZo8uOjp2eeDuSr7tVvv06DdcQm0p","object":"chat.completion","created":1777426600,"model":"gpt-5-chat-2025-10-03","choices":[{"index":0,"message":{"role":"assistant","content":"Dior Black Knit Fisherman Hat, made from premium wool blend, features a 3D embroidered logo, soft, warm, and breathable. Combines French elegance with street style, perfect unisex fall-winter wear.","refusal":null,"annotations":[]},"logprobs":null,"finish_reason":"stop"}],"usage":{"prompt_tokens":905,"completion_tokens":46,"total_tokens":951,"prompt_tokens_details":{"cached_tokens":0,"audio_tokens":0},"completion_tokens_details":{"reasoning_tokens":0,"audio_tokens":0,"accepted_prediction_tokens":0,"rejected_prediction_tokens":0}},"service_tier":"default","system_fingerprint":"fp_ad66631dec"}</t>
        </is>
      </c>
      <c r="M98" t="inlineStr">
        <is>
          <t>{"alt-svc":"h3=\":443\"; ma=2592000","apim-request-id":"45c617ef-a792-42df-aac1-2b5f2c3558fe","azureml-model-session":"d20260402075109-1fc5a0ec","cache-control":"no-cache","connection":"close","content-length":"1005","content-type":"application/json","date":"Wed, 29 Apr 2026 01:36:41 GMT","server":"Caddy","skip-error-remapping":"true","strict-transport-security":"max-age=31536000; includeSubDomains; preload","x-content-type-options":"nosniff","x-ms-client-request-id":"Not-Set","x-ms-is-spilled-over":"false","x-ms-rai-invoked":"false","x-ms-region":"West US","x-new-api-version":"0.4.35","x-oneapi-request-id":"20260429013639916379118268d9d690yLK3r8","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54be673d-203f-4a00-a11a-1b2ae06c5145"}</t>
        </is>
      </c>
      <c r="N98" t="inlineStr">
        <is>
          <t>Dior Black Knit Fisherman Hat, made from premium wool blend, features a 3D embroidered logo, soft, warm, and breathable. Combines French elegance with street style, perfect unisex fall-winter wear.</t>
        </is>
      </c>
      <c r="O98" t="inlineStr">
        <is>
          <t>{"id":"chatcmpl-DZoOOYRKdWX0vbKoWPaP4Vym1z2ff","object":"chat.completion","created":1777427560,"model":"gpt-5-chat-2025-10-03","choices":[{"index":0,"message":{"role":"assistant","content":"Dior,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98" t="inlineStr">
        <is>
          <t>Dior, Hat, kakobuy, kakebuy2026, kekobuysheet, kakobuysheet2026, 2026kakobuy, kakobuyspreadsheeet, kakobuylink, kakebuylist, Kakobuy MEGA Spreadsheet, kakobuysheetfind, kakobuysheetfind2026, 2026kakobuysheetfind, kakobuysheet2026</t>
        </is>
      </c>
      <c r="Q98" t="inlineStr">
        <is>
          <t>Dior, Black, Wool, Elegant, Streetwear, Autumn And Winter</t>
        </is>
      </c>
      <c r="R98" t="inlineStr">
        <is>
          <t>recvhju1Cr2Yys</t>
        </is>
      </c>
      <c r="S98" t="inlineStr">
        <is>
          <t>dior-black-wool-knit-fisherman-hat-recvhju1cr2yys</t>
        </is>
      </c>
      <c r="T98"/>
      <c r="U98"/>
      <c r="V98"/>
      <c r="W98" t="inlineStr">
        <is>
          <t>{"id":"chatcmpl-DZnytrg9gN1zDlvUDshAfy7PtXdNu","object":"chat.completion","created":1777425979,"model":"gpt-5-chat-2025-10-03","choices":[{"index":0,"message":{"role":"assistant","content":"Dior：黑色针织渔夫帽，采用高级羊毛混纺材质，立体刺绣logo设计简约大气，柔软保暖且透气，展现法式优雅与街头时尚结合，男女通用款，适合秋冬休闲出行佩戴。","refusal":null,"annotations":[]},"logprobs":null,"finish_reason":"stop"}],"usage":{"prompt_tokens":1298,"completion_tokens":72,"total_tokens":1370,"prompt_tokens_details":{"cached_tokens":1280,"audio_tokens":0},"completion_tokens_details":{"reasoning_tokens":0,"audio_tokens":0,"accepted_prediction_tokens":0,"rejected_prediction_tokens":0}},"service_tier":"default","system_fingerprint":"fp_ad66631dec"}</t>
        </is>
      </c>
      <c r="X98" t="inlineStr">
        <is>
          <t>Dior：黑色针织渔夫帽，采用高级羊毛混纺材质，立体刺绣logo设计简约大气，柔软保暖且透气，展现法式优雅与街头时尚结合，男女通用款，适合秋冬休闲出行佩戴。</t>
        </is>
      </c>
    </row>
    <row r="99" ht="25.5" customHeight="1">
      <c r="A99">
        <v>1654975475</v>
      </c>
      <c r="B99">
        <v>7625562504</v>
      </c>
      <c r="C99" s="2" t="str">
        <f>=HYPERLINK("https://weidian.com/item.html?itemID=7625562504", "https://weidian.com/item.html?itemID=7625562504")</f>
        <v>https://weidian.com/item.html?itemID=7625562504</v>
      </c>
      <c r="D99"/>
      <c r="E99" s="2" t="str">
        <f>=HYPERLINK("https://si.geilicdn.com/pcitem2014204438-208a0000019adc9ae5140a210139_1440_1920.jpg?w=640&amp;h=640", "https://si.geilicdn.com/pcitem2014204438-208a0000019adc9ae5140a210139_1440_1920.jpg?w=640&amp;h=640")</f>
        <v>https://si.geilicdn.com/pcitem2014204438-208a0000019adc9ae5140a210139_1440_1920.jpg?w=640&amp;h=640</v>
      </c>
      <c r="F99" t="inlineStr">
        <is>
          <t>Hats</t>
        </is>
      </c>
      <c r="G99" t="inlineStr">
        <is>
          <t>Ralph Lauren</t>
        </is>
      </c>
      <c r="H99">
        <v>226</v>
      </c>
      <c r="I99">
        <v>32.75</v>
      </c>
      <c r="J99" t="inlineStr">
        <is>
          <t>{"id":"chatcmpl-DZoDbUdx7g71BPAZtf2lsEqQ1YBcm","object":"chat.completion","created":1777426891,"model":"gpt-5-chat-2025-10-03","choices":[{"index":0,"message":{"role":"assistant","content":"Ralph Lauren Classic Black Polo Baseball Cap","refusal":null,"annotations":[]},"logprobs":null,"finish_reason":"stop"}],"usage":{"prompt_tokens":879,"completion_tokens":9,"total_tokens":888,"prompt_tokens_details":{"cached_tokens":0,"audio_tokens":0},"completion_tokens_details":{"reasoning_tokens":0,"audio_tokens":0,"accepted_prediction_tokens":0,"rejected_prediction_tokens":0}},"service_tier":"default","system_fingerprint":"fp_fd471178c5"}</t>
        </is>
      </c>
      <c r="K99" t="inlineStr">
        <is>
          <t>Ralph Lauren Classic Black Polo Baseball Cap</t>
        </is>
      </c>
      <c r="L99" t="inlineStr">
        <is>
          <t>{"id":"chatcmpl-DZoAcVcK5TmC7ZBwjXUc4ZMjSunMi","object":"chat.completion","created":1777426706,"model":"gpt-5-chat-2025-10-03","choices":[{"index":0,"message":{"role":"assistant","content":"Ralph Lauren Classic Black Embroidered Polo Baseball Cap, made from premium cotton twill, breathable six-panel design with adjustable strap, unisex casual style, timeless American vintage fashion.","refusal":null,"annotations":[]},"logprobs":null,"finish_reason":"stop"}],"usage":{"prompt_tokens":901,"completion_tokens":38,"total_tokens":939,"prompt_tokens_details":{"cached_tokens":0,"audio_tokens":0},"completion_tokens_details":{"reasoning_tokens":0,"audio_tokens":0,"accepted_prediction_tokens":0,"rejected_prediction_tokens":0}},"service_tier":"default","system_fingerprint":"fp_ad66631dec"}</t>
        </is>
      </c>
      <c r="M99" t="inlineStr">
        <is>
          <t>{"alt-svc":"h3=\":443\"; ma=2592000","apim-request-id":"6b18e9bb-ff2f-4905-a4b9-a30f2fc1f8d5","azureml-model-session":"d20260402084046-4209e968","cache-control":"no-cache","connection":"close","content-length":"1004","content-type":"application/json","date":"Wed, 29 Apr 2026 01:38:27 GMT","server":"nginx","skip-error-remapping":"true","strict-transport-security":"max-age=31536000; includeSubDomains; preload","via":"1.1 Caddy","x-content-type-options":"nosniff","x-ms-client-request-id":"Not-Set","x-ms-is-spilled-over":"false","x-ms-rai-invoked":"false","x-ms-region":"South Central US","x-new-api-version":"0.4.35","x-oneapi-request-id":"202604290138251947424938268d9d6N9wwzVbE","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bb8cbab8-feb2-4bed-8fe0-0d793bee17d8"}</t>
        </is>
      </c>
      <c r="N99" t="inlineStr">
        <is>
          <t>Ralph Lauren Classic Black Embroidered Polo Baseball Cap, made from premium cotton twill, breathable six-panel design with adjustable strap, unisex casual style, timeless American vintage fashion.</t>
        </is>
      </c>
      <c r="O99" t="inlineStr">
        <is>
          <t>{"id":"chatcmpl-DZoPXYOl6ikebjkU0gRyYWpVhyYY9","object":"chat.completion","created":1777427631,"model":"gpt-5-chat-2025-10-03","choices":[{"index":0,"message":{"role":"assistant","content":"Ralph Lauren,Hats,kakobuy,kakebuy2026,kekobuysheet,kakobuysheet2026,2026kakobuy,kakobuyspreadsheeet,kakobuylink,kakebuylist,Kakobuy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fd471178c5"}</t>
        </is>
      </c>
      <c r="P99" t="inlineStr">
        <is>
          <t>Ralph Lauren,Hats,kakobuy,kakebuy2026,kekobuysheet,kakobuysheet2026,2026kakobuy,kakobuyspreadsheeet,kakobuylink,kakebuylist,Kakobuy MEGA Spreadsheet,kakobuysheetfind,kakobuysheetfind2026,2026kakobuysheetfind,kakobuysheet2026</t>
        </is>
      </c>
      <c r="Q99" t="inlineStr">
        <is>
          <t>Black, Vintage, Unisex</t>
        </is>
      </c>
      <c r="R99" t="inlineStr">
        <is>
          <t>recvhju1Crewrk</t>
        </is>
      </c>
      <c r="S99" t="inlineStr">
        <is>
          <t>ralph-lauren-black-polo-baseball-cap-recvhju1crewrk</t>
        </is>
      </c>
      <c r="T99"/>
      <c r="U99"/>
      <c r="V99"/>
      <c r="W99" t="inlineStr">
        <is>
          <t>{"id":"chatcmpl-DZnxrDGoJsWMxB6jHorrjEyiNCm4R","object":"chat.completion","created":1777425915,"model":"gpt-5-chat-2025-10-03","choices":[{"index":0,"message":{"role":"assistant","content":"Ralph Lauren：经典款黑色刺绣马球标棒球帽，精选纯棉斜纹布材质，透气舒适，六片式结构配调节扣设计，简约百搭休闲风格，男女皆宜，彰显美式复古时尚。","refusal":null,"annotations":[]},"logprobs":null,"finish_reason":"stop"}],"usage":{"prompt_tokens":1300,"completion_tokens":67,"total_tokens":1367,"prompt_tokens_details":{"cached_tokens":0,"audio_tokens":0},"completion_tokens_details":{"reasoning_tokens":0,"audio_tokens":0,"accepted_prediction_tokens":0,"rejected_prediction_tokens":0}},"service_tier":"default","system_fingerprint":"fp_ad66631dec"}</t>
        </is>
      </c>
      <c r="X99" t="inlineStr">
        <is>
          <t>Ralph Lauren：经典款黑色刺绣马球标棒球帽，精选纯棉斜纹布材质，透气舒适，六片式结构配调节扣设计，简约百搭休闲风格，男女皆宜，彰显美式复古时尚。</t>
        </is>
      </c>
    </row>
    <row r="100" ht="25.5" customHeight="1">
      <c r="A100">
        <v>1654975475</v>
      </c>
      <c r="B100">
        <v>7622580565</v>
      </c>
      <c r="C100" s="2" t="str">
        <f>=HYPERLINK("https://weidian.com/item.html?itemID=7622580565", "https://weidian.com/item.html?itemID=7622580565")</f>
        <v>https://weidian.com/item.html?itemID=7622580565</v>
      </c>
      <c r="D100"/>
      <c r="E100" s="2" t="str">
        <f>=HYPERLINK("https://si.geilicdn.com/pcitem2014204438-4f350000019adc9780960a23037f_1080_1080.jpg?w=640&amp;h=640", "https://si.geilicdn.com/pcitem2014204438-4f350000019adc9780960a23037f_1080_1080.jpg?w=640&amp;h=640")</f>
        <v>https://si.geilicdn.com/pcitem2014204438-4f350000019adc9780960a23037f_1080_1080.jpg?w=640&amp;h=640</v>
      </c>
      <c r="F100" t="inlineStr">
        <is>
          <t>Hats</t>
        </is>
      </c>
      <c r="G100" t="inlineStr">
        <is>
          <t>Gucci</t>
        </is>
      </c>
      <c r="H100">
        <v>270</v>
      </c>
      <c r="I100">
        <v>39.13</v>
      </c>
      <c r="J100" t="inlineStr">
        <is>
          <t>{"id":"chatcmpl-DZoEGKqHSYh36zXnCEAnkUAOvaDJ1","object":"chat.completion","created":1777426932,"model":"gpt-5-chat-2025-10-03","choices":[{"index":0,"message":{"role":"assistant","content":"Gucci Raffia Straw Bucket Hat Beige Summer Style","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fd471178c5"}</t>
        </is>
      </c>
      <c r="K100" t="inlineStr">
        <is>
          <t>Gucci Raffia Straw Bucket Hat Beige Summer Style</t>
        </is>
      </c>
      <c r="L100" t="inlineStr">
        <is>
          <t>{"id":"chatcmpl-DZo6w47hWrypGntQxuSC0Xvww7FKr","object":"chat.completion","created":1777426478,"model":"gpt-5-chat-2025-10-03","choices":[{"index":0,"message":{"role":"assistant","content":"Gucci Straw Bucket Hat: Natural beige woven raffia design with iconic gold double G logo, breathable and stylish, unisex summer accessory for travel, beach, or casual Italian elegance.","refusal":null,"annotations":[]},"logprobs":null,"finish_reason":"stop"}],"usage":{"prompt_tokens":894,"completion_tokens":38,"total_tokens":932,"prompt_tokens_details":{"cached_tokens":0,"audio_tokens":0},"completion_tokens_details":{"reasoning_tokens":0,"audio_tokens":0,"accepted_prediction_tokens":0,"rejected_prediction_tokens":0}},"service_tier":"default","system_fingerprint":"fp_ad66631dec"}</t>
        </is>
      </c>
      <c r="M100" t="inlineStr">
        <is>
          <t>{"alt-svc":"h3=\":443\"; ma=2592000","apim-request-id":"01ba91d4-d3f7-4460-8123-b6baba507158","azureml-model-session":"d20260402075109-1fc5a0ec","cache-control":"no-cache","connection":"close","content-length":"992","content-type":"application/json","date":"Wed, 29 Apr 2026 01:34:39 GMT","server":"Caddy","skip-error-remapping":"true","strict-transport-security":"max-age=31536000; includeSubDomains; preload","x-content-type-options":"nosniff","x-ms-client-request-id":"Not-Set","x-ms-is-spilled-over":"false","x-ms-rai-invoked":"false","x-ms-region":"North Central US","x-new-api-version":"0.4.35","x-oneapi-request-id":"202604290134375450786668268d9d62qcbtxHq","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ba22645a-d63a-4bfe-84b5-73a2b01fd36f"}</t>
        </is>
      </c>
      <c r="N100" t="inlineStr">
        <is>
          <t>Gucci Straw Bucket Hat: Natural beige woven raffia design with iconic gold double G logo, breathable and stylish, unisex summer accessory for travel, beach, or casual Italian elegance.</t>
        </is>
      </c>
      <c r="O100" t="inlineStr">
        <is>
          <t>{"id":"chatcmpl-DZoRLEC1le6R94s0giPGJmaLriTwf","object":"chat.completion","created":1777427743,"model":"gpt-5-chat-2025-10-03","choices":[{"index":0,"message":{"role":"assistant","content":"Gucci,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100" t="inlineStr">
        <is>
          <t>Gucci,Hat,kakobuy,kakebuy2026,kekobuysheet,kakobuysheet2026,2026kakobuy,kakobuyspreadsheeet,kakobuylink,kakebuylist,Kakobuy MEGA Spreadsheet,kakobuysheetfind,kakobuysheetfind2026,2026kakobuysheetfind,kakobuysheet2026</t>
        </is>
      </c>
      <c r="Q100" t="inlineStr">
        <is>
          <t>Gucci Superstar, Beige, Summer, Unisex, Breathable</t>
        </is>
      </c>
      <c r="R100" t="inlineStr">
        <is>
          <t>recvhju1Cr21fW</t>
        </is>
      </c>
      <c r="S100" t="inlineStr">
        <is>
          <t>gucci-raffia-straw-bucket-hat-beige-summer-recvhju1cr21fw</t>
        </is>
      </c>
      <c r="T100"/>
      <c r="U100"/>
      <c r="V100"/>
      <c r="W100" t="inlineStr">
        <is>
          <t>{"id":"chatcmpl-DZnsNJOY6WFn3y7TvrtgEmk41llxS","object":"chat.completion","created":1777425575,"model":"gpt-5-chat-2025-10-03","choices":[{"index":0,"message":{"role":"assistant","content":"Gucci：草编浅米色渔夫帽，甄选天然编织材质，饰以经典金色双G徽标，透气舒适，展现意式优雅休闲风格，适合男女通用夏日出行佩戴。","refusal":null,"annotations":[]},"logprobs":null,"finish_reason":"stop"}],"usage":{"prompt_tokens":1298,"completion_tokens":61,"total_tokens":1359,"prompt_tokens_details":{"cached_tokens":0,"audio_tokens":0},"completion_tokens_details":{"reasoning_tokens":0,"audio_tokens":0,"accepted_prediction_tokens":0,"rejected_prediction_tokens":0}},"service_tier":"default","system_fingerprint":"fp_ad66631dec"}</t>
        </is>
      </c>
      <c r="X100" t="inlineStr">
        <is>
          <t>Gucci：草编浅米色渔夫帽，甄选天然编织材质，饰以经典金色双G徽标，透气舒适，展现意式优雅休闲风格，适合男女通用夏日出行佩戴。</t>
        </is>
      </c>
    </row>
    <row r="101" ht="25.5" customHeight="1">
      <c r="A101">
        <v>1654975475</v>
      </c>
      <c r="B101">
        <v>7625562462</v>
      </c>
      <c r="C101" s="2" t="str">
        <f>=HYPERLINK("https://weidian.com/item.html?itemID=7625562462", "https://weidian.com/item.html?itemID=7625562462")</f>
        <v>https://weidian.com/item.html?itemID=7625562462</v>
      </c>
      <c r="D101"/>
      <c r="E101" s="2" t="str">
        <f>=HYPERLINK("https://si.geilicdn.com/pcitem2014204438-4a2e0000019adc956a8c0a23047e_1080_1080.jpg?w=640&amp;h=640", "https://si.geilicdn.com/pcitem2014204438-4a2e0000019adc956a8c0a23047e_1080_1080.jpg?w=640&amp;h=640")</f>
        <v>https://si.geilicdn.com/pcitem2014204438-4a2e0000019adc956a8c0a23047e_1080_1080.jpg?w=640&amp;h=640</v>
      </c>
      <c r="F101" t="inlineStr">
        <is>
          <t>Hats</t>
        </is>
      </c>
      <c r="G101" t="inlineStr">
        <is>
          <t>Gucci</t>
        </is>
      </c>
      <c r="H101">
        <v>270</v>
      </c>
      <c r="I101">
        <v>39.13</v>
      </c>
      <c r="J101" t="inlineStr">
        <is>
          <t>{"id":"chatcmpl-DZoHD82GKntIjbqblCFzjTCqLZmo4","object":"chat.completion","created":1777427115,"model":"gpt-5-chat-2025-10-03","choices":[{"index":0,"message":{"role":"assistant","content":"Gucci Black Straw Bucket Hat Gold Logo","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fd471178c5"}</t>
        </is>
      </c>
      <c r="K101" t="inlineStr">
        <is>
          <t>Gucci Black Straw Bucket Hat Gold Logo</t>
        </is>
      </c>
      <c r="L101" t="inlineStr">
        <is>
          <t>{"id":"chatcmpl-DZo6n2ryb1aHLtoVsx48UaSI9AXRK","object":"chat.completion","created":1777426469,"model":"gpt-5-chat-2025-10-03","choices":[{"index":0,"message":{"role":"assistant","content":"Gucci black handmade woven straw bucket hat with gold GG logo, unisex vintage minimalist design, lightweight, breathable, sun-shading, blending Italian modern luxury style for daily wear.","refusal":null,"annotations":[]},"logprobs":null,"finish_reason":"stop"}],"usage":{"prompt_tokens":913,"completion_tokens":37,"total_tokens":950,"prompt_tokens_details":{"cached_tokens":0,"audio_tokens":0},"completion_tokens_details":{"reasoning_tokens":0,"audio_tokens":0,"accepted_prediction_tokens":0,"rejected_prediction_tokens":0}},"service_tier":"default","system_fingerprint":"fp_ad66631dec"}</t>
        </is>
      </c>
      <c r="M101" t="inlineStr">
        <is>
          <t>{"alt-svc":"h3=\":443\"; ma=2592000","apim-request-id":"33333c74-161f-4357-9bfa-e2812f6d97b0","azureml-model-session":"d20260402084046-4209e968","cache-control":"no-cache","connection":"close","content-length":"995","content-type":"application/json","date":"Wed, 29 Apr 2026 01:34:31 GMT","server":"nginx","skip-error-remapping":"true","strict-transport-security":"max-age=31536000; includeSubDomains; preload","via":"1.1 Caddy","x-content-type-options":"nosniff","x-ms-client-request-id":"Not-Set","x-ms-is-spilled-over":"false","x-ms-rai-invoked":"false","x-ms-region":"Central US","x-new-api-version":"0.4.35","x-oneapi-request-id":"202604290134289250545558268d9d6ZLSGTMsP","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396a0fe8-c6c4-4c8a-b30e-b3d3b129aa8c"}</t>
        </is>
      </c>
      <c r="N101" t="inlineStr">
        <is>
          <t>Gucci black handmade woven straw bucket hat with gold GG logo, unisex vintage minimalist design, lightweight, breathable, sun-shading, blending Italian modern luxury style for daily wear.</t>
        </is>
      </c>
      <c r="O101" t="inlineStr">
        <is>
          <t>{"id":"chatcmpl-DZoRmKTq5rUgOEVOHe67NtEmLqCgZ","object":"chat.completion","created":1777427770,"model":"gpt-5-chat-2025-10-03","choices":[{"index":0,"message":{"role":"assistant","content":"Gucci,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101" t="inlineStr">
        <is>
          <t>Gucci,Hat,kakobuy,kakebuy2026,kekobuysheet,kakobuysheet2026,2026kakobuy,kakobuyspreadsheeet,kakobuylink,kakebuylist,Kakobuy MEGA Spreadsheet,kakobuysheetfind,kakobuysheetfind2026,2026kakobuysheetfind,kakobuysheet2026</t>
        </is>
      </c>
      <c r="Q101" t="inlineStr">
        <is>
          <t>Black, Gold, Vintage, Minimalist, Unisex</t>
        </is>
      </c>
      <c r="R101" t="inlineStr">
        <is>
          <t>recvhju1CriydW</t>
        </is>
      </c>
      <c r="S101" t="inlineStr">
        <is>
          <t>gucci-black-straw-bucket-hat-gold-logo-recvhju1criydw</t>
        </is>
      </c>
      <c r="T101"/>
      <c r="U101"/>
      <c r="V101"/>
      <c r="W101" t="inlineStr">
        <is>
          <t>{"id":"chatcmpl-DZo1JJGujtE5sMPJaVpYCfFeRWMrQ","object":"chat.completion","created":1777426129,"model":"gpt-5-chat-2025-10-03","choices":[{"index":0,"message":{"role":"assistant","content":"Gucci：黑色手工编织渔夫帽，甄选质感草编材质，金色双G徽标点缀彰显经典奢华，简约复古设计适合男女日常穿搭，融合现代意式时尚美学，轻盈透气兼具遮阳与造型功能。","refusal":null,"annotations":[]},"logprobs":null,"finish_reason":"stop"}],"usage":{"prompt_tokens":1306,"completion_tokens":76,"total_tokens":1382,"prompt_tokens_details":{"cached_tokens":0,"audio_tokens":0},"completion_tokens_details":{"reasoning_tokens":0,"audio_tokens":0,"accepted_prediction_tokens":0,"rejected_prediction_tokens":0}},"service_tier":"default","system_fingerprint":"fp_ad66631dec"}</t>
        </is>
      </c>
      <c r="X101" t="inlineStr">
        <is>
          <t>Gucci：黑色手工编织渔夫帽，甄选质感草编材质，金色双G徽标点缀彰显经典奢华，简约复古设计适合男女日常穿搭，融合现代意式时尚美学，轻盈透气兼具遮阳与造型功能。</t>
        </is>
      </c>
    </row>
    <row r="102" ht="25.5" customHeight="1">
      <c r="A102">
        <v>1654975475</v>
      </c>
      <c r="B102">
        <v>7625628242</v>
      </c>
      <c r="C102" s="2" t="str">
        <f>=HYPERLINK("https://weidian.com/item.html?itemID=7625628242", "https://weidian.com/item.html?itemID=7625628242")</f>
        <v>https://weidian.com/item.html?itemID=7625628242</v>
      </c>
      <c r="D102"/>
      <c r="E102" s="2" t="str">
        <f>=HYPERLINK("https://si.geilicdn.com/pcitem2014204438-487f0000019adc83a7af0a2301b4_1080_1080.jpg?w=640&amp;h=640", "https://si.geilicdn.com/pcitem2014204438-487f0000019adc83a7af0a2301b4_1080_1080.jpg?w=640&amp;h=640")</f>
        <v>https://si.geilicdn.com/pcitem2014204438-487f0000019adc83a7af0a2301b4_1080_1080.jpg?w=640&amp;h=640</v>
      </c>
      <c r="F102" t="inlineStr">
        <is>
          <t>Hats</t>
        </is>
      </c>
      <c r="G102" t="inlineStr">
        <is>
          <t>Prada</t>
        </is>
      </c>
      <c r="H102">
        <v>250</v>
      </c>
      <c r="I102">
        <v>36.23</v>
      </c>
      <c r="J102" t="inlineStr">
        <is>
          <t>{"id":"chatcmpl-DZoCQHfTklRFXLqQ1TsbmM7glRv7c","object":"chat.completion","created":1777426818,"model":"gpt-5-chat-2025-10-03","choices":[{"index":0,"message":{"role":"assistant","content":"Prada Black Pinstripe Cotton Baseball Cap","refusal":null,"annotations":[]},"logprobs":null,"finish_reason":"stop"}],"usage":{"prompt_tokens":868,"completion_tokens":9,"total_tokens":877,"prompt_tokens_details":{"cached_tokens":0,"audio_tokens":0},"completion_tokens_details":{"reasoning_tokens":0,"audio_tokens":0,"accepted_prediction_tokens":0,"rejected_prediction_tokens":0}},"service_tier":"default","system_fingerprint":"fp_ad66631dec"}</t>
        </is>
      </c>
      <c r="K102" t="inlineStr">
        <is>
          <t>Prada Black Pinstripe Cotton Baseball Cap</t>
        </is>
      </c>
      <c r="L102" t="inlineStr">
        <is>
          <t>{"id":"chatcmpl-DZo2SdsJlRSMrjEJt3FTxtvDto0t1","object":"chat.completion","created":1777426200,"model":"gpt-5-chat-2025-10-03","choices":[{"index":0,"message":{"role":"assistant","content":"Prada Black Pinstripe Cotton Baseball Cap, featuring signature triangle logo, minimalist urban luxury design, unisex fit, stylish and comfortable for a modern casual look.","refusal":null,"annotations":[]},"logprobs":null,"finish_reason":"stop"}],"usage":{"prompt_tokens":903,"completion_tokens":33,"total_tokens":936,"prompt_tokens_details":{"cached_tokens":0,"audio_tokens":0},"completion_tokens_details":{"reasoning_tokens":0,"audio_tokens":0,"accepted_prediction_tokens":0,"rejected_prediction_tokens":0}},"service_tier":"default","system_fingerprint":"fp_ad66631dec"}</t>
        </is>
      </c>
      <c r="M102" t="inlineStr">
        <is>
          <t>{"alt-svc":"h3=\":443\"; ma=2592000","apim-request-id":"7946bd2a-e97f-41b3-815d-09a5fa90fc5d","azureml-model-session":"d20260402075109-1fc5a0ec","cache-control":"no-cache","connection":"close","content-length":"979","content-type":"application/json","date":"Wed, 29 Apr 2026 01:30:02 GMT","server":"nginx","skip-error-remapping":"true","strict-transport-security":"max-age=31536000; includeSubDomains; preload","via":"1.1 Caddy","x-content-type-options":"nosniff","x-ms-client-request-id":"Not-Set","x-ms-is-spilled-over":"false","x-ms-rai-invoked":"false","x-ms-region":"East US","x-new-api-version":"0.4.35","x-oneapi-request-id":"202604290129597998889328268d9d6I4UEwMcq","x-ratelimit-abusepenalty-active":"False","x-ratelimit-key":"gpt-5-chat-global","x-ratelimit-limit-requests":"1000","x-ratelimit-limit-tokens":"1000000","x-ratelimit-remaining-requests":"998","x-ratelimit-remaining-tokens":"997124","x-ratelimit-renewalperiod-requests":"60","x-ratelimit-renewalperiod-tokens":"60","x-ratelimit-reset-requests":"93","x-ratelimit-reset-tokens":"172","x-request-id":"5009ae2e-2774-4d5d-a8eb-ef94ae9d07f2"}</t>
        </is>
      </c>
      <c r="N102" t="inlineStr">
        <is>
          <t>Prada Black Pinstripe Cotton Baseball Cap, featuring signature triangle logo, minimalist urban luxury design, unisex fit, stylish and comfortable for a modern casual look.</t>
        </is>
      </c>
      <c r="O102" t="inlineStr">
        <is>
          <t>{"id":"chatcmpl-DZoNAqf5IUz26W7Kwy6VSoypuEcX1","object":"chat.completion","created":1777427484,"model":"gpt-5-chat-2025-10-03","choices":[{"index":0,"message":{"role":"assistant","content":"Prada,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fd471178c5"}</t>
        </is>
      </c>
      <c r="P102" t="inlineStr">
        <is>
          <t>Prada, Hat, kakobuy, kakebuy2026, kekobuysheet, kakobuysheet2026, 2026kakobuy, kakobuyspreadsheeet, kakobuylink, kakebuylist, Kakobuy MEGA Spreadsheet, kakobuysheetfind, kakobuysheetfind2026, 2026kakobuysheetfind, kakobuysheet2026</t>
        </is>
      </c>
      <c r="Q102" t="inlineStr">
        <is>
          <t>Black, Minimalist, Unisex, Modern</t>
        </is>
      </c>
      <c r="R102" t="inlineStr">
        <is>
          <t>recvhju1CrQeKv</t>
        </is>
      </c>
      <c r="S102" t="inlineStr">
        <is>
          <t>prada-black-pinstripe-cotton-baseball-cap-recvhju1crqekv</t>
        </is>
      </c>
      <c r="T102"/>
      <c r="U102"/>
      <c r="V102"/>
      <c r="W102" t="inlineStr">
        <is>
          <t>{"id":"chatcmpl-DZo19m7d3BvVKLrmOWurpQaLBuWs6","object":"chat.completion","created":1777426119,"model":"gpt-5-chat-2025-10-03","choices":[{"index":0,"message":{"role":"assistant","content":"Prada：黑色细条纹运动棒球帽，精选高品质棉质面料，饰以标志性三角徽标，极简都市设计凸显奢华质感，男女皆宜，兼具时尚与舒适，展现现代休闲风格魅力。","refusal":null,"annotations":[]},"logprobs":null,"finish_reason":"stop"}],"usage":{"prompt_tokens":1304,"completion_tokens":67,"total_tokens":1371,"prompt_tokens_details":{"cached_tokens":0,"audio_tokens":0},"completion_tokens_details":{"reasoning_tokens":0,"audio_tokens":0,"accepted_prediction_tokens":0,"rejected_prediction_tokens":0}},"service_tier":"default","system_fingerprint":"fp_ad66631dec"}</t>
        </is>
      </c>
      <c r="X102" t="inlineStr">
        <is>
          <t>Prada：黑色细条纹运动棒球帽，精选高品质棉质面料，饰以标志性三角徽标，极简都市设计凸显奢华质感，男女皆宜，兼具时尚与舒适，展现现代休闲风格魅力。</t>
        </is>
      </c>
    </row>
    <row r="103" ht="25.5" customHeight="1">
      <c r="A103">
        <v>1654975475</v>
      </c>
      <c r="B103">
        <v>7625550344</v>
      </c>
      <c r="C103" s="2" t="str">
        <f>=HYPERLINK("https://weidian.com/item.html?itemID=7625550344", "https://weidian.com/item.html?itemID=7625550344")</f>
        <v>https://weidian.com/item.html?itemID=7625550344</v>
      </c>
      <c r="D103"/>
      <c r="E103" s="2" t="str">
        <f>=HYPERLINK("https://si.geilicdn.com/pcitem2014204438-4bd70000019adc7cd18c0a2303ee_1074_1074.jpg?w=640&amp;h=640", "https://si.geilicdn.com/pcitem2014204438-4bd70000019adc7cd18c0a2303ee_1074_1074.jpg?w=640&amp;h=640")</f>
        <v>https://si.geilicdn.com/pcitem2014204438-4bd70000019adc7cd18c0a2303ee_1074_1074.jpg?w=640&amp;h=640</v>
      </c>
      <c r="F103" t="inlineStr">
        <is>
          <t>Hats</t>
        </is>
      </c>
      <c r="G103" t="inlineStr">
        <is>
          <t>Chrome Hearts</t>
        </is>
      </c>
      <c r="H103">
        <v>220</v>
      </c>
      <c r="I103">
        <v>31.88</v>
      </c>
      <c r="J103" t="inlineStr">
        <is>
          <t>{"id":"chatcmpl-DZoDTxeGvMQgS0ZfVdmGkGbVxMz5n","object":"chat.completion","created":1777426883,"model":"gpt-5-chat-2025-10-03","choices":[{"index":0,"message":{"role":"assistant","content":"Chrome Hearts Black Cross Distressed Cotton Baseball Cap","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103" t="inlineStr">
        <is>
          <t>Chrome Hearts Black Cross Distressed Cotton Baseball Cap</t>
        </is>
      </c>
      <c r="L103" t="inlineStr">
        <is>
          <t>{"id":"chatcmpl-DZo8bWvibAAMyq3JxQDNiS47Tpp9x","object":"chat.completion","created":1777426581,"model":"gpt-5-chat-2025-10-03","choices":[{"index":0,"message":{"role":"assistant","content":"Chrome Hearts Black Cross Metal Baseball Cap – crafted from distressed cotton with silver cross studs, showcasing vintage American street style for unisex wear, blending individuality and luxury.","refusal":null,"annotations":[]},"logprobs":null,"finish_reason":"stop"}],"usage":{"prompt_tokens":906,"completion_tokens":33,"total_tokens":939,"prompt_tokens_details":{"cached_tokens":0,"audio_tokens":0},"completion_tokens_details":{"reasoning_tokens":0,"audio_tokens":0,"accepted_prediction_tokens":0,"rejected_prediction_tokens":0}},"service_tier":"default","system_fingerprint":"fp_ad66631dec"}</t>
        </is>
      </c>
      <c r="M103" t="inlineStr">
        <is>
          <t>{"alt-svc":"h3=\":443\"; ma=2592000","apim-request-id":"b54b43e8-733d-4d9f-af19-9fa717a2b8b2","azureml-model-session":"d20260402084046-4209e968","cache-control":"no-cache","connection":"close","content-length":"1005","content-type":"application/json","date":"Wed, 29 Apr 2026 01:36:23 GMT","server":"Caddy","skip-error-remapping":"true","strict-transport-security":"max-age=31536000; includeSubDomains; preload","x-content-type-options":"nosniff","x-ms-client-request-id":"Not-Set","x-ms-is-spilled-over":"false","x-ms-rai-invoked":"false","x-ms-region":"Sweden Central","x-new-api-version":"0.4.35","x-oneapi-request-id":"202604290136207175130908268d9d6FndAeO1j","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b34a6b18-8dd1-4e1e-91c0-5cddf8f9e5e1"}</t>
        </is>
      </c>
      <c r="N103" t="inlineStr">
        <is>
          <t>Chrome Hearts Black Cross Metal Baseball Cap – crafted from distressed cotton with silver cross studs, showcasing vintage American street style for unisex wear, blending individuality and luxury.</t>
        </is>
      </c>
      <c r="O103" t="inlineStr">
        <is>
          <t>{"id":"chatcmpl-DZoQMLDck3FIyyA1KEer8vOlu7moj","object":"chat.completion","created":1777427682,"model":"gpt-5-chat-2025-10-03","choices":[{"index":0,"message":{"role":"assistant","content":"Chrome Hearts,Hats,kakobuy,kakebuy2026,kekobuysheet,kakobuysheet2026,2026kakobuy,kakobuyspreadsheeet,kakobuylink,kakebuylist,Kakobuy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03" t="inlineStr">
        <is>
          <t>Chrome Hearts,Hats,kakobuy,kakebuy2026,kekobuysheet,kakobuysheet2026,2026kakobuy,kakobuyspreadsheeet,kakobuylink,kakebuylist,Kakobuy MEGA Spreadsheet,kakobuysheetfind,kakobuysheetfind2026,2026kakobuysheetfind,kakobuysheet2026</t>
        </is>
      </c>
      <c r="Q103" t="inlineStr">
        <is>
          <t>Distressed, Vintage, Streetwear, Unisex</t>
        </is>
      </c>
      <c r="R103" t="inlineStr">
        <is>
          <t>recvhju1CrLeZ1</t>
        </is>
      </c>
      <c r="S103" t="inlineStr">
        <is>
          <t>chrome-hearts-black-cross-cap-recvhju1crlez1</t>
        </is>
      </c>
      <c r="T103"/>
      <c r="U103"/>
      <c r="V103"/>
      <c r="W103" t="inlineStr">
        <is>
          <t>{"id":"chatcmpl-DZo0L3YcpNrnSgUXEBic2WnalTzTl","object":"chat.completion","created":1777426069,"model":"gpt-5-chat-2025-10-03","choices":[{"index":0,"message":{"role":"assistant","content":"Chrome Hearts：黑色十字金属徽章棒球帽，精选做旧质感纯棉面料，银色立体十字饰钉点缀，呈现美式复古街头风格，男女通用休闲款，彰显独立个性与高级工艺质感。","refusal":null,"annotations":[]},"logprobs":null,"finish_reason":"stop"}],"usage":{"prompt_tokens":1302,"completion_tokens":71,"total_tokens":1373,"prompt_tokens_details":{"cached_tokens":0,"audio_tokens":0},"completion_tokens_details":{"reasoning_tokens":0,"audio_tokens":0,"accepted_prediction_tokens":0,"rejected_prediction_tokens":0}},"service_tier":"default","system_fingerprint":"fp_fd471178c5"}</t>
        </is>
      </c>
      <c r="X103" t="inlineStr">
        <is>
          <t>Chrome Hearts：黑色十字金属徽章棒球帽，精选做旧质感纯棉面料，银色立体十字饰钉点缀，呈现美式复古街头风格，男女通用休闲款，彰显独立个性与高级工艺质感。</t>
        </is>
      </c>
    </row>
    <row r="104" ht="25.5" customHeight="1">
      <c r="A104">
        <v>1654975475</v>
      </c>
      <c r="B104">
        <v>7625643638</v>
      </c>
      <c r="C104" s="2" t="str">
        <f>=HYPERLINK("https://weidian.com/item.html?itemID=7625643638", "https://weidian.com/item.html?itemID=7625643638")</f>
        <v>https://weidian.com/item.html?itemID=7625643638</v>
      </c>
      <c r="D104"/>
      <c r="E104" s="2" t="str">
        <f>=HYPERLINK("https://si.geilicdn.com/pcitem2014204438-3ddd0000019adc6e24e60a230115_1080_1440.jpg?w=640&amp;h=640", "https://si.geilicdn.com/pcitem2014204438-3ddd0000019adc6e24e60a230115_1080_1440.jpg?w=640&amp;h=640")</f>
        <v>https://si.geilicdn.com/pcitem2014204438-3ddd0000019adc6e24e60a230115_1080_1440.jpg?w=640&amp;h=640</v>
      </c>
      <c r="F104" t="inlineStr">
        <is>
          <t>Hats</t>
        </is>
      </c>
      <c r="G104" t="inlineStr">
        <is>
          <t>Rest &amp; Recreation</t>
        </is>
      </c>
      <c r="H104">
        <v>188</v>
      </c>
      <c r="I104">
        <v>27.25</v>
      </c>
      <c r="J104" t="inlineStr">
        <is>
          <t>{"id":"chatcmpl-DZoIRyXiH85zcj1NRlYy46yXJSK5b","object":"chat.completion","created":1777427191,"model":"gpt-5-chat-2025-10-03","choices":[{"index":0,"message":{"role":"assistant","content":"HatsRest Light Blue Denim Baseball Cap Unisex","refusal":null,"annotations":[]},"logprobs":null,"finish_reason":"stop"}],"usage":{"prompt_tokens":885,"completion_tokens":11,"total_tokens":896,"prompt_tokens_details":{"cached_tokens":0,"audio_tokens":0},"completion_tokens_details":{"reasoning_tokens":0,"audio_tokens":0,"accepted_prediction_tokens":0,"rejected_prediction_tokens":0}},"service_tier":"default","system_fingerprint":"fp_fd471178c5"}</t>
        </is>
      </c>
      <c r="K104" t="inlineStr">
        <is>
          <t>HatsRest Light Blue Denim Baseball Cap Unisex</t>
        </is>
      </c>
      <c r="L104" t="inlineStr">
        <is>
          <t>{"id":"chatcmpl-DZo9CWsDW2GZIZ8uzIRoKgReHV7O6","object":"chat.completion","created":1777426618,"model":"gpt-5-chat-2025-10-03","choices":[{"index":0,"message":{"role":"assistant","content":"HatsRest &amp; Recreation Light Blue Denim Baseball Cap – Soft cotton, breathable and lightweight, features black embroidered logo, minimalist retro casual design, unisex style, perfect for sun protection and urban fashion.","refusal":null,"annotations":[]},"logprobs":null,"finish_reason":"stop"}],"usage":{"prompt_tokens":918,"completion_tokens":41,"total_tokens":959,"prompt_tokens_details":{"cached_tokens":0,"audio_tokens":0},"completion_tokens_details":{"reasoning_tokens":0,"audio_tokens":0,"accepted_prediction_tokens":0,"rejected_prediction_tokens":0}},"service_tier":"default","system_fingerprint":"fp_ad66631dec"}</t>
        </is>
      </c>
      <c r="M104" t="inlineStr">
        <is>
          <t>{"alt-svc":"h3=\":443\"; ma=2592000","apim-request-id":"aeda69c6-b108-41cf-97d4-2d1936549ece","azureml-model-session":"d20260402084046-4209e968","cache-control":"no-cache","connection":"close","content-length":"1029","content-type":"application/json","date":"Wed, 29 Apr 2026 01:36:59 GMT","server":"nginx","skip-error-remapping":"true","strict-transport-security":"max-age=31536000; includeSubDomains; preload","vary":"Accept-Encoding","via":"1.1 Caddy","x-content-type-options":"nosniff","x-ms-client-request-id":"Not-Set","x-ms-is-spilled-over":"false","x-ms-rai-invoked":"false","x-ms-region":"East US 2","x-new-api-version":"0.4.35","x-oneapi-request-id":"202604290136565984819698268d9d6mWTziZdS","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5192b12a-746b-4681-b434-5f5b14491ce9"}</t>
        </is>
      </c>
      <c r="N104" t="inlineStr">
        <is>
          <t>HatsRest &amp; Recreation Light Blue Denim Baseball Cap – Soft cotton, breathable and lightweight, features black embroidered logo, minimalist retro casual design, unisex style, perfect for sun protection and urban fashion.</t>
        </is>
      </c>
      <c r="O104" t="inlineStr">
        <is>
          <t>{"id":"chatcmpl-DZoQNvyGBsMyeDfMR1e8ev6f4ERyp","object":"chat.completion","created":1777427683,"model":"gpt-5-chat-2025-10-03","choices":[{"index":0,"message":{"role":"assistant","content":"HatsRest &amp; Recreation, hat, kakobuy, kakebuy2026, kekobuysheet, kakobuysheet2026, 2026kakobuy, kakobuyspreadsheet,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fd471178c5"}</t>
        </is>
      </c>
      <c r="P104" t="inlineStr">
        <is>
          <t>HatsRest &amp; Recreation, hat, kakobuy, kakebuy2026, kekobuysheet, kakobuysheet2026, 2026kakobuy, kakobuyspreadsheet, kakobuylink, kakebuylist, Kakobuy MEGA Spreadsheet, kakobuysheetfind, kakobuysheetfind2026, 2026kakobuysheetfind, kakobuysheet2026</t>
        </is>
      </c>
      <c r="Q104" t="inlineStr">
        <is>
          <t>Lightweight, Breathable, Sun Protection, Retro Casual, Minimalist, Unisex</t>
        </is>
      </c>
      <c r="R104" t="inlineStr">
        <is>
          <t>recvhju1CrzzF9</t>
        </is>
      </c>
      <c r="S104" t="inlineStr">
        <is>
          <t>hatsrest-light-blue-denim-baseball-cap-unisex-recvhju1crzzf9</t>
        </is>
      </c>
      <c r="T104"/>
      <c r="U104"/>
      <c r="V104"/>
      <c r="W104" t="inlineStr">
        <is>
          <t>{"id":"chatcmpl-DZnvbqGlCGGrvOjMymmdYieL36Oju","object":"chat.completion","created":1777425775,"model":"gpt-5-chat-2025-10-03","choices":[{"index":0,"message":{"role":"assistant","content":"HatsRest &amp; Recreation：浅蓝色牛仔棒球帽，柔软棉质面料轻盈透气，正面点缀黑色符号刺绣标志，极简设计融合复古休闲风格，中性款式适合男女佩戴，展现都市休闲与个性魅力，兼具遮阳与时尚功能。","refusal":null,"annotations":[]},"logprobs":null,"finish_reason":"stop"}],"usage":{"prompt_tokens":1302,"completion_tokens":83,"total_tokens":1385,"prompt_tokens_details":{"cached_tokens":0,"audio_tokens":0},"completion_tokens_details":{"reasoning_tokens":0,"audio_tokens":0,"accepted_prediction_tokens":0,"rejected_prediction_tokens":0}},"service_tier":"default","system_fingerprint":"fp_ad66631dec"}</t>
        </is>
      </c>
      <c r="X104" t="inlineStr">
        <is>
          <t>HatsRest &amp; Recreation：浅蓝色牛仔棒球帽，柔软棉质面料轻盈透气，正面点缀黑色符号刺绣标志，极简设计融合复古休闲风格，中性款式适合男女佩戴，展现都市休闲与个性魅力，兼具遮阳与时尚功能。</t>
        </is>
      </c>
    </row>
    <row r="105" ht="25.5" customHeight="1">
      <c r="A105">
        <v>1654975475</v>
      </c>
      <c r="B105">
        <v>7623576862</v>
      </c>
      <c r="C105" s="2" t="str">
        <f>=HYPERLINK("https://weidian.com/item.html?itemID=7623576862", "https://weidian.com/item.html?itemID=7623576862")</f>
        <v>https://weidian.com/item.html?itemID=7623576862</v>
      </c>
      <c r="D105"/>
      <c r="E105" s="2" t="str">
        <f>=HYPERLINK("https://si.geilicdn.com/pcitem2014204438-3c050000019adc67d1ef0a230115_1440_1920.jpg?w=640&amp;h=640", "https://si.geilicdn.com/pcitem2014204438-3c050000019adc67d1ef0a230115_1440_1920.jpg?w=640&amp;h=640")</f>
        <v>https://si.geilicdn.com/pcitem2014204438-3c050000019adc67d1ef0a230115_1440_1920.jpg?w=640&amp;h=640</v>
      </c>
      <c r="F105" t="inlineStr">
        <is>
          <t>Hats</t>
        </is>
      </c>
      <c r="G105" t="inlineStr">
        <is>
          <t>Gucci</t>
        </is>
      </c>
      <c r="H105">
        <v>200</v>
      </c>
      <c r="I105">
        <v>28.99</v>
      </c>
      <c r="J105" t="inlineStr">
        <is>
          <t>{"id":"chatcmpl-DZoECgAUunlsRdnPw9lk1p1e6tYyc","object":"chat.completion","created":1777426928,"model":"gpt-5-chat-2025-10-03","choices":[{"index":0,"message":{"role":"assistant","content":"Gucci GG Denim Bucket Hat Deep Blue","refusal":null,"annotations":[]},"logprobs":null,"finish_reason":"stop"}],"usage":{"prompt_tokens":878,"completion_tokens":9,"total_tokens":887,"prompt_tokens_details":{"cached_tokens":0,"audio_tokens":0},"completion_tokens_details":{"reasoning_tokens":0,"audio_tokens":0,"accepted_prediction_tokens":0,"rejected_prediction_tokens":0}},"service_tier":"default","system_fingerprint":"fp_ad66631dec"}</t>
        </is>
      </c>
      <c r="K105" t="inlineStr">
        <is>
          <t>Gucci GG Denim Bucket Hat Deep Blue</t>
        </is>
      </c>
      <c r="L105" t="inlineStr">
        <is>
          <t>{"id":"chatcmpl-DZo3MjoUcdNdVmtTvYLDstyRXCSyn","object":"chat.completion","created":1777426256,"model":"gpt-5-chat-2025-10-03","choices":[{"index":0,"message":{"role":"assistant","content":"Gucci GG Monogram Denim Bucket Hat in Deep Blue, crafted from premium denim with signature Double G motif and leather trim. Unisex luxury style for city outings and casual daily wear.","refusal":null,"annotations":[]},"logprobs":null,"finish_reason":"stop"}],"usage":{"prompt_tokens":912,"completion_tokens":38,"total_tokens":950,"prompt_tokens_details":{"cached_tokens":0,"audio_tokens":0},"completion_tokens_details":{"reasoning_tokens":0,"audio_tokens":0,"accepted_prediction_tokens":0,"rejected_prediction_tokens":0}},"service_tier":"default","system_fingerprint":"fp_ad66631dec"}</t>
        </is>
      </c>
      <c r="M105" t="inlineStr">
        <is>
          <t>{"alt-svc":"h3=\":443\"; ma=2592000","apim-request-id":"d4002630-c6bf-4ccd-aa82-f88ea9319982","azureml-model-session":"d20260402075109-1fc5a0ec","cache-control":"no-cache","connection":"close","content-length":"991","content-type":"application/json","date":"Wed, 29 Apr 2026 01:30:57 GMT","server":"Caddy","skip-error-remapping":"true","strict-transport-security":"max-age=31536000; includeSubDomains; preload","x-content-type-options":"nosniff","x-ms-client-request-id":"Not-Set","x-ms-is-spilled-over":"false","x-ms-rai-invoked":"false","x-ms-region":"West US","x-new-api-version":"0.4.35","x-oneapi-request-id":"202604290130547415378178268d9d6H2ZqD40g","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9c4163c7-3ab9-4ad8-9c82-6fcae9adbda4"}</t>
        </is>
      </c>
      <c r="N105" t="inlineStr">
        <is>
          <t>Gucci GG Monogram Denim Bucket Hat in Deep Blue, crafted from premium denim with signature Double G motif and leather trim. Unisex luxury style for city outings and casual daily wear.</t>
        </is>
      </c>
      <c r="O105" t="inlineStr">
        <is>
          <t>{"id":"chatcmpl-DZoRvtgw3H0yjizuH7nT4kAquMhz5","object":"chat.completion","created":1777427779,"model":"gpt-5-chat-2025-10-03","choices":[{"index":0,"message":{"role":"assistant","content":"Gucci,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05" t="inlineStr">
        <is>
          <t>Gucci,Hat,kakobuy,kakebuy2026,kekobuysheet,kakobuysheet2026,2026kakobuy,kakobuyspreadsheeet,kakobuylink,kakebuylist,Kakobuy MEGA Spreadsheet,kakobuysheetfind,kakobuysheetfind2026,2026kakobuysheetfind,kakobuysheet2026</t>
        </is>
      </c>
      <c r="Q105" t="inlineStr">
        <is>
          <t>Denim, Unisex</t>
        </is>
      </c>
      <c r="R105" t="inlineStr">
        <is>
          <t>recvhju1CrVmMV</t>
        </is>
      </c>
      <c r="S105" t="inlineStr">
        <is>
          <t>gucci-gg-denim-bucket-hat-deep-blue-recvhju1crvmmv</t>
        </is>
      </c>
      <c r="T105"/>
      <c r="U105"/>
      <c r="V105"/>
      <c r="W105" t="inlineStr">
        <is>
          <t>{"id":"chatcmpl-DZnz1HfCIopwhkUtPPSuMIuerLqop","object":"chat.completion","created":1777425987,"model":"gpt-5-chat-2025-10-03","choices":[{"index":0,"message":{"role":"assistant","content":"Gucci：GG Monogram 深蓝色牛仔渔夫帽，甄选优质丹宁面料，饰以品牌标志性双G图腾与皮质滚边设计，展现复古奢华格调。中性款式，休闲与精致兼具，适合都市出行与日常穿搭。","refusal":null,"annotations":[]},"logprobs":null,"finish_reason":"stop"}],"usage":{"prompt_tokens":1300,"completion_tokens":78,"total_tokens":1378,"prompt_tokens_details":{"cached_tokens":1280,"audio_tokens":0},"completion_tokens_details":{"reasoning_tokens":0,"audio_tokens":0,"accepted_prediction_tokens":0,"rejected_prediction_tokens":0}},"service_tier":"default","system_fingerprint":"fp_ad66631dec"}</t>
        </is>
      </c>
      <c r="X105" t="inlineStr">
        <is>
          <t>Gucci：GG Monogram 深蓝色牛仔渔夫帽，甄选优质丹宁面料，饰以品牌标志性双G图腾与皮质滚边设计，展现复古奢华格调。中性款式，休闲与精致兼具，适合都市出行与日常穿搭。</t>
        </is>
      </c>
    </row>
    <row r="106" ht="25.5" customHeight="1">
      <c r="A106">
        <v>1654975475</v>
      </c>
      <c r="B106">
        <v>7625621512</v>
      </c>
      <c r="C106" s="2" t="str">
        <f>=HYPERLINK("https://weidian.com/item.html?itemID=7625621512", "https://weidian.com/item.html?itemID=7625621512")</f>
        <v>https://weidian.com/item.html?itemID=7625621512</v>
      </c>
      <c r="D106"/>
      <c r="E106" s="2" t="str">
        <f>=HYPERLINK("https://si.geilicdn.com/pcitem2014204438-46480000019adc6cf5650a8133cc_1440_1920.jpg?w=750&amp;h=750&amp;cp=1", "https://si.geilicdn.com/pcitem2014204438-46480000019adc6cf5650a8133cc_1440_1920.jpg?w=750&amp;h=750&amp;cp=1")</f>
        <v>https://si.geilicdn.com/pcitem2014204438-46480000019adc6cf5650a8133cc_1440_1920.jpg?w=750&amp;h=750&amp;cp=1</v>
      </c>
      <c r="F106" t="inlineStr">
        <is>
          <t>Hats</t>
        </is>
      </c>
      <c r="G106" t="inlineStr">
        <is>
          <t>Snow Peak</t>
        </is>
      </c>
      <c r="H106">
        <v>196</v>
      </c>
      <c r="I106">
        <v>28.41</v>
      </c>
      <c r="J106" t="inlineStr">
        <is>
          <t>{"id":"chatcmpl-DZoC53Gt9AoYHxDwVxUidQRY0NVDu","object":"chat.completion","created":1777426797,"model":"gpt-5-chat-2025-10-03","choices":[{"index":0,"message":{"role":"assistant","content":"Snow Peak Beige Lightweight Nylon Outdoor Cap","refusal":null,"annotations":[]},"logprobs":null,"finish_reason":"stop"}],"usage":{"prompt_tokens":880,"completion_tokens":8,"total_tokens":888,"prompt_tokens_details":{"cached_tokens":0,"audio_tokens":0},"completion_tokens_details":{"reasoning_tokens":0,"audio_tokens":0,"accepted_prediction_tokens":0,"rejected_prediction_tokens":0}},"service_tier":"default","system_fingerprint":"fp_ad66631dec"}</t>
        </is>
      </c>
      <c r="K106" t="inlineStr">
        <is>
          <t>Snow Peak Beige Lightweight Nylon Outdoor Cap</t>
        </is>
      </c>
      <c r="L106" t="inlineStr">
        <is>
          <t>{"id":"chatcmpl-DZo7KK38c55V5NhkDBRB31BZKm4tk","object":"chat.completion","created":1777426502,"model":"gpt-5-chat-2025-10-03","choices":[{"index":0,"message":{"role":"assistant","content":"Snow Peak Beige Lightweight Outdoor Cap – Durable nylon fabric, breathable and moisture-wicking, 3D embroidered logo, minimal Japanese style, unisex design for travel, camping and daily wear.","refusal":null,"annotations":[]},"logprobs":null,"finish_reason":"stop"}],"usage":{"prompt_tokens":910,"completion_tokens":39,"total_tokens":949,"prompt_tokens_details":{"cached_tokens":0,"audio_tokens":0},"completion_tokens_details":{"reasoning_tokens":0,"audio_tokens":0,"accepted_prediction_tokens":0,"rejected_prediction_tokens":0}},"service_tier":"default","system_fingerprint":"fp_ad66631dec"}</t>
        </is>
      </c>
      <c r="M106" t="inlineStr">
        <is>
          <t>{"alt-svc":"h3=\":443\"; ma=2592000","apim-request-id":"5d71dd12-3885-4ddd-a363-9ed37202a099","azureml-model-session":"d20260402075109-1fc5a0ec","cache-control":"no-cache","connection":"close","content-length":"1001","content-type":"application/json","date":"Wed, 29 Apr 2026 01:35:04 GMT","server":"Caddy","skip-error-remapping":"true","strict-transport-security":"max-age=31536000; includeSubDomains; preload","x-content-type-options":"nosniff","x-ms-client-request-id":"Not-Set","x-ms-is-spilled-over":"false","x-ms-rai-invoked":"false","x-ms-region":"East US 2","x-new-api-version":"0.4.35","x-oneapi-request-id":"202604290135016538775178268d9d6aPkiCTZu","x-ratelimit-abusepenalty-active":"False","x-ratelimit-key":"gpt-5-chat-global","x-ratelimit-limit-requests":"1000","x-ratelimit-limit-tokens":"1000000","x-ratelimit-remaining-requests":"999","x-ratelimit-remaining-tokens":"998328","x-ratelimit-renewalperiod-requests":"60","x-ratelimit-renewalperiod-tokens":"60","x-ratelimit-reset-requests":"60","x-ratelimit-reset-tokens":"100","x-request-id":"be406759-8deb-4874-8642-1c0e72cf8291"}</t>
        </is>
      </c>
      <c r="N106" t="inlineStr">
        <is>
          <t>Snow Peak Beige Lightweight Outdoor Cap – Durable nylon fabric, breathable and moisture-wicking, 3D embroidered logo, minimal Japanese style, unisex design for travel, camping and daily wear.</t>
        </is>
      </c>
      <c r="O106" t="inlineStr">
        <is>
          <t>{"id":"chatcmpl-DZoLlAffWkgAkyrSyQzRjOfw3Fghj","object":"chat.completion","created":1777427397,"model":"gpt-5-chat-2025-10-03","choices":[{"index":0,"message":{"role":"assistant","content":"Snow Peak,Hats,kakobuy,kakebuy2026,kekobuysheet,kakobuysheet2026,2026kakobuy,kakobuyspreadsheeet,kakobuylink,kakebuylist,Kakobuy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06" t="inlineStr">
        <is>
          <t>Snow Peak,Hats,kakobuy,kakebuy2026,kekobuysheet,kakobuysheet2026,2026kakobuy,kakobuyspreadsheeet,kakobuylink,kakebuylist,Kakobuy MEGA Spreadsheet,kakobuysheetfind,kakobuysheetfind2026,2026kakobuysheetfind,kakobuysheet2026</t>
        </is>
      </c>
      <c r="Q106" t="inlineStr">
        <is>
          <t>Beige, Lightweight, Breathable, Moisture Wicking, Outdoor, Unisex</t>
        </is>
      </c>
      <c r="R106" t="inlineStr">
        <is>
          <t>recvhju1CrEOA0</t>
        </is>
      </c>
      <c r="S106" t="inlineStr">
        <is>
          <t>snow-peak-beige-lightweight-nylon-outdoor-cap-recvhju1creoa0</t>
        </is>
      </c>
      <c r="T106"/>
      <c r="U106"/>
      <c r="V106"/>
      <c r="W106" t="inlineStr">
        <is>
          <t>{"id":"chatcmpl-DZnxFBVclwi4YUAJr4j04GmD4HEo9","object":"chat.completion","created":1777425877,"model":"gpt-5-chat-2025-10-03","choices":[{"index":0,"message":{"role":"assistant","content":"Snow Peak：米色轻量户外棒球帽，采用耐磨尼龙面料，干爽透气，立体刺绣LOGO简约设计，融合日系自然风格，中性款适合男女通用，休闲出行与露营皆可搭配，彰显极简功能美学。","refusal":null,"annotations":[]},"logprobs":null,"finish_reason":"stop"}],"usage":{"prompt_tokens":1306,"completion_tokens":73,"total_tokens":1379,"prompt_tokens_details":{"cached_tokens":0,"audio_tokens":0},"completion_tokens_details":{"reasoning_tokens":0,"audio_tokens":0,"accepted_prediction_tokens":0,"rejected_prediction_tokens":0}},"service_tier":"default","system_fingerprint":"fp_ad66631dec"}</t>
        </is>
      </c>
      <c r="X106" t="inlineStr">
        <is>
          <t>Snow Peak：米色轻量户外棒球帽，采用耐磨尼龙面料，干爽透气，立体刺绣LOGO简约设计，融合日系自然风格，中性款适合男女通用，休闲出行与露营皆可搭配，彰显极简功能美学。</t>
        </is>
      </c>
    </row>
    <row r="107" ht="25.5" customHeight="1">
      <c r="A107">
        <v>1654975475</v>
      </c>
      <c r="B107">
        <v>7625503526</v>
      </c>
      <c r="C107" s="2" t="str">
        <f>=HYPERLINK("https://weidian.com/item.html?itemID=7625503526", "https://weidian.com/item.html?itemID=7625503526")</f>
        <v>https://weidian.com/item.html?itemID=7625503526</v>
      </c>
      <c r="D107"/>
      <c r="E107" s="2" t="str">
        <f>=HYPERLINK("https://si.geilicdn.com/pcitem2014204438-41300000019adc6affae0a81347d_1080_1363.jpg?w=640&amp;h=640", "https://si.geilicdn.com/pcitem2014204438-41300000019adc6affae0a81347d_1080_1363.jpg?w=640&amp;h=640")</f>
        <v>https://si.geilicdn.com/pcitem2014204438-41300000019adc6affae0a81347d_1080_1363.jpg?w=640&amp;h=640</v>
      </c>
      <c r="F107" t="inlineStr">
        <is>
          <t>Hats</t>
        </is>
      </c>
      <c r="G107" t="inlineStr">
        <is>
          <t>Emis</t>
        </is>
      </c>
      <c r="H107">
        <v>198</v>
      </c>
      <c r="I107">
        <v>28.695652173913</v>
      </c>
      <c r="J107" t="inlineStr">
        <is>
          <t>{"id":"chatcmpl-DZoDS90pCK38U2GIGw8hwEzHjMl5Q","object":"chat.completion","created":1777426882,"model":"gpt-5-chat-2025-10-03","choices":[{"index":0,"message":{"role":"assistant","content":"HatsEmis Grey Corduroy Vintage 3D Logo Baseball Cap","refusal":null,"annotations":[]},"logprobs":null,"finish_reason":"stop"}],"usage":{"prompt_tokens":890,"completion_tokens":16,"total_tokens":906,"prompt_tokens_details":{"cached_tokens":0,"audio_tokens":0},"completion_tokens_details":{"reasoning_tokens":0,"audio_tokens":0,"accepted_prediction_tokens":0,"rejected_prediction_tokens":0}},"service_tier":"default","system_fingerprint":"fp_ad66631dec"}</t>
        </is>
      </c>
      <c r="K107" t="inlineStr">
        <is>
          <t>HatsEmis Grey Corduroy Vintage 3D Logo Baseball Cap</t>
        </is>
      </c>
      <c r="L107" t="inlineStr">
        <is>
          <t>{"id":"chatcmpl-DZo7NAY3nJfVrjUivt4Hcbi9y8OTI","object":"chat.completion","created":1777426505,"model":"gpt-5-chat-2025-10-03","choices":[{"index":0,"message":{"role":"assistant","content":"HatsEmisEmis grey corduroy baseball cap with 3D blue-yellow logo embroidery, vintage streetwear style, breathable lightweight fabric, adjustable back strap, unisex, casual yet stylish urban look.","refusal":null,"annotations":[]},"logprobs":null,"finish_reason":"stop"}],"usage":{"prompt_tokens":906,"completion_tokens":44,"total_tokens":950,"prompt_tokens_details":{"cached_tokens":0,"audio_tokens":0},"completion_tokens_details":{"reasoning_tokens":0,"audio_tokens":0,"accepted_prediction_tokens":0,"rejected_prediction_tokens":0}},"service_tier":"default","system_fingerprint":"fp_ad66631dec"}</t>
        </is>
      </c>
      <c r="M107" t="inlineStr">
        <is>
          <t>{"alt-svc":"h3=\":443\"; ma=2592000","apim-request-id":"d58df787-1113-4a8a-8c90-1538cf26790b","azureml-model-session":"d20260402075109-1fc5a0ec","cache-control":"no-cache","connection":"close","content-length":"1003","content-type":"application/json","date":"Wed, 29 Apr 2026 01:35:07 GMT","server":"nginx","skip-error-remapping":"true","strict-transport-security":"max-age=31536000; includeSubDomains; preload","via":"1.1 Caddy","x-content-type-options":"nosniff","x-ms-client-request-id":"Not-Set","x-ms-is-spilled-over":"false","x-ms-rai-invoked":"false","x-ms-region":"North Central US","x-new-api-version":"0.4.35","x-oneapi-request-id":"202604290135042204090078268d9d6q2LV0iBr","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21e94698-4259-404d-a8fd-799c5346a6c3"}</t>
        </is>
      </c>
      <c r="N107" t="inlineStr">
        <is>
          <t>HatsEmisEmis grey corduroy baseball cap with 3D blue-yellow logo embroidery, vintage streetwear style, breathable lightweight fabric, adjustable back strap, unisex, casual yet stylish urban look.</t>
        </is>
      </c>
      <c r="O107" t="inlineStr">
        <is>
          <t>{"id":"chatcmpl-DZoQPzSft4yWouRFmwUKsYV8JNim4","object":"chat.completion","created":1777427685,"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07" t="inlineStr">
        <is>
          <t>Emis,hat,kakobuy,kakebuy2026,kekobuysheet,kakobuysheet2026,2026kakobuy,kakobuyspreadsheeet,kakobuylink,kakebuylist,Kakobuy MEGA Spreadsheet,kakobuysheetfind,kakobuysheetfind2026,2026kakobuysheetfind,kakobuysheet2026</t>
        </is>
      </c>
      <c r="Q107" t="inlineStr">
        <is>
          <t>Grey, Vintage, Streetwear, Unisex, Breathable</t>
        </is>
      </c>
      <c r="R107" t="inlineStr">
        <is>
          <t>recvhju1CrLbCo</t>
        </is>
      </c>
      <c r="S107" t="inlineStr">
        <is>
          <t>hats-emis-grey-corduroy-vintage-3d-logo-baseball-cap-recvhju1crlbco</t>
        </is>
      </c>
      <c r="T107"/>
      <c r="U107"/>
      <c r="V107"/>
      <c r="W107" t="inlineStr">
        <is>
          <t>{"id":"chatcmpl-DZnsymCU6QK2wRhUqMtQJ1HYCMSqf","object":"chat.completion","created":1777425612,"model":"gpt-5-chat-2025-10-03","choices":[{"index":0,"message":{"role":"assistant","content":"Emis：灰色灯芯绒棒球帽，正面立体蓝黄撞色刺绣Logo设计，展现复古街头风格。轻盈透气面料搭配可调节后扣，舒适贴合男女皆宜，彰显休闲与时尚并存的都市态度。","refusal":null,"annotations":[]},"logprobs":null,"finish_reason":"stop"}],"usage":{"prompt_tokens":1298,"completion_tokens":73,"total_tokens":1371,"prompt_tokens_details":{"cached_tokens":0,"audio_tokens":0},"completion_tokens_details":{"reasoning_tokens":0,"audio_tokens":0,"accepted_prediction_tokens":0,"rejected_prediction_tokens":0}},"service_tier":"default","system_fingerprint":"fp_ad66631dec"}</t>
        </is>
      </c>
      <c r="X107" t="inlineStr">
        <is>
          <t>Emis：灰色灯芯绒棒球帽，正面立体蓝黄撞色刺绣Logo设计，展现复古街头风格。轻盈透气面料搭配可调节后扣，舒适贴合男女皆宜，彰显休闲与时尚并存的都市态度。</t>
        </is>
      </c>
    </row>
    <row r="108" ht="25.5" customHeight="1">
      <c r="A108">
        <v>1654975475</v>
      </c>
      <c r="B108">
        <v>7625546268</v>
      </c>
      <c r="C108" s="2" t="str">
        <f>=HYPERLINK("https://weidian.com/item.html?itemID=7625546268", "https://weidian.com/item.html?itemID=7625546268")</f>
        <v>https://weidian.com/item.html?itemID=7625546268</v>
      </c>
      <c r="D108"/>
      <c r="E108" s="2" t="str">
        <f>=HYPERLINK("https://si.geilicdn.com/pcitem2014204438-33df0000019adc686f500a20e7c7_1080_1080.jpg?w=640&amp;h=640", "https://si.geilicdn.com/pcitem2014204438-33df0000019adc686f500a20e7c7_1080_1080.jpg?w=640&amp;h=640")</f>
        <v>https://si.geilicdn.com/pcitem2014204438-33df0000019adc686f500a20e7c7_1080_1080.jpg?w=640&amp;h=640</v>
      </c>
      <c r="F108" t="inlineStr">
        <is>
          <t>Hats</t>
        </is>
      </c>
      <c r="G108" t="inlineStr">
        <is>
          <t>The North Face</t>
        </is>
      </c>
      <c r="H108">
        <v>110</v>
      </c>
      <c r="I108">
        <v>15.94</v>
      </c>
      <c r="J108" t="inlineStr">
        <is>
          <t>{"id":"chatcmpl-DZoFbcNVCVC9ru90t8oSLP7ulwlg4","object":"chat.completion","created":1777427015,"model":"gpt-5-chat-2025-10-03","choices":[{"index":0,"message":{"role":"assistant","content":"The North Face Retro Denim Baseball Cap Gray","refusal":null,"annotations":[]},"logprobs":null,"finish_reason":"stop"}],"usage":{"prompt_tokens":877,"completion_tokens":9,"total_tokens":886,"prompt_tokens_details":{"cached_tokens":0,"audio_tokens":0},"completion_tokens_details":{"reasoning_tokens":0,"audio_tokens":0,"accepted_prediction_tokens":0,"rejected_prediction_tokens":0}},"service_tier":"default","system_fingerprint":"fp_ad66631dec"}</t>
        </is>
      </c>
      <c r="K108" t="inlineStr">
        <is>
          <t>The North Face Retro Denim Baseball Cap Gray</t>
        </is>
      </c>
      <c r="L108" t="inlineStr">
        <is>
          <t>{"id":"chatcmpl-DZo3E4hRt3uvHWM0gwrFuRK1UAitr","object":"chat.completion","created":1777426248,"model":"gpt-5-chat-2025-10-03","choices":[{"index":0,"message":{"role":"assistant","content":"The North Face Retro Washed Denim Baseball Cap, vintage gray casual design with 3D embroidered logo, breathable and lightweight, unisex, perfect for American street and outdoor style.","refusal":null,"annotations":[]},"logprobs":null,"finish_reason":"stop"}],"usage":{"prompt_tokens":896,"completion_tokens":37,"total_tokens":933,"prompt_tokens_details":{"cached_tokens":0,"audio_tokens":0},"completion_tokens_details":{"reasoning_tokens":0,"audio_tokens":0,"accepted_prediction_tokens":0,"rejected_prediction_tokens":0}},"service_tier":"default","system_fingerprint":"fp_fd471178c5"}</t>
        </is>
      </c>
      <c r="M108" t="inlineStr">
        <is>
          <t>{"alt-svc":"h3=\":443\"; ma=2592000","apim-request-id":"1a923e35-0d8e-4646-832a-d565f935ac1a","azureml-model-session":"d20260428205641-55ca9797","cache-control":"no-cache","connection":"close","content-length":"991","content-type":"application/json","date":"Wed, 29 Apr 2026 01:30:51 GMT","server":"Caddy","skip-error-remapping":"true","strict-transport-security":"max-age=31536000; includeSubDomains; preload","x-content-type-options":"nosniff","x-ms-client-request-id":"Not-Set","x-ms-is-spilled-over":"false","x-ms-rai-invoked":"false","x-ms-region":"Poland Central","x-new-api-version":"0.4.35","x-oneapi-request-id":"202604290130482058492638268d9d6l8Aw5nWh","x-ratelimit-abusepenalty-active":"False","x-ratelimit-key":"gpt-5-chat-global","x-ratelimit-limit-requests":"1000","x-ratelimit-limit-tokens":"1000000","x-ratelimit-remaining-requests":"998","x-ratelimit-remaining-tokens":"996494","x-ratelimit-renewalperiod-requests":"60","x-ratelimit-renewalperiod-tokens":"60","x-ratelimit-reset-requests":"119","x-ratelimit-reset-tokens":"210","x-request-id":"b5fa4832-fa66-4650-83c1-5108172f48c8"}</t>
        </is>
      </c>
      <c r="N108" t="inlineStr">
        <is>
          <t>The North Face Retro Washed Denim Baseball Cap, vintage gray casual design with 3D embroidered logo, breathable and lightweight, unisex, perfect for American street and outdoor style.</t>
        </is>
      </c>
      <c r="O108" t="inlineStr">
        <is>
          <t>{"id":"chatcmpl-DZoOMed7aAa8WPrMl8t7wy0C9eidW","object":"chat.completion","created":1777427558,"model":"gpt-5-chat-2025-10-03","choices":[{"index":0,"message":{"role":"assistant","content":"The North Face,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fd471178c5"}</t>
        </is>
      </c>
      <c r="P108" t="inlineStr">
        <is>
          <t>The North Face, Hats, kakobuy, kakebuy2026, kekobuysheet, kakobuysheet2026, 2026kakobuy, kakobuyspreadsheeet, kakobuylink, kakebuylist, Kakobuy MEGA Spreadsheet, kakobuysheetfind, kakobuysheetfind2026, 2026kakobuysheetfind, kakobuysheet2026</t>
        </is>
      </c>
      <c r="Q108" t="inlineStr">
        <is>
          <t>Vintage, Gray, Unisex, Outdoor, Streetwear</t>
        </is>
      </c>
      <c r="R108" t="inlineStr">
        <is>
          <t>recvhju1CrPEEi</t>
        </is>
      </c>
      <c r="S108" t="inlineStr">
        <is>
          <t>north-face-retro-denim-baseball-cap-gray-recvhju1crpeei</t>
        </is>
      </c>
      <c r="T108"/>
      <c r="U108"/>
      <c r="V108"/>
      <c r="W108" t="inlineStr">
        <is>
          <t>{"id":"chatcmpl-DZnzc4R138VGBHatQKrcLQ88XnLNu","object":"chat.completion","created":1777426024,"model":"gpt-5-chat-2025-10-03","choices":[{"index":0,"message":{"role":"assistant","content":"The North Face 复古灰色休闲棒球帽，采用做旧牛仔质感面料，立体刺绣品牌标识设计，透气轻盈，男女皆宜，展现美式街头户外风格，百搭时尚。","refusal":null,"annotations":[]},"logprobs":null,"finish_reason":"stop"}],"usage":{"prompt_tokens":1304,"completion_tokens":60,"total_tokens":1364,"prompt_tokens_details":{"cached_tokens":0,"audio_tokens":0},"completion_tokens_details":{"reasoning_tokens":0,"audio_tokens":0,"accepted_prediction_tokens":0,"rejected_prediction_tokens":0}},"service_tier":"default","system_fingerprint":"fp_fd471178c5"}</t>
        </is>
      </c>
      <c r="X108" t="inlineStr">
        <is>
          <t>The North Face 复古灰色休闲棒球帽，采用做旧牛仔质感面料，立体刺绣品牌标识设计，透气轻盈，男女皆宜，展现美式街头户外风格，百搭时尚。</t>
        </is>
      </c>
    </row>
    <row r="109" ht="25.5" customHeight="1">
      <c r="A109">
        <v>1654975475</v>
      </c>
      <c r="B109">
        <v>7622548841</v>
      </c>
      <c r="C109" s="2" t="str">
        <f>=HYPERLINK("https://weidian.com/item.html?itemID=7622548841", "https://weidian.com/item.html?itemID=7622548841")</f>
        <v>https://weidian.com/item.html?itemID=7622548841</v>
      </c>
      <c r="D109"/>
      <c r="E109" s="2" t="str">
        <f>=HYPERLINK("https://si.geilicdn.com/pcitem2014204438-452b0000019adc6910570a8133cc_1440_1440.jpg?w=640&amp;h=640", "https://si.geilicdn.com/pcitem2014204438-452b0000019adc6910570a8133cc_1440_1440.jpg?w=640&amp;h=640")</f>
        <v>https://si.geilicdn.com/pcitem2014204438-452b0000019adc6910570a8133cc_1440_1440.jpg?w=640&amp;h=640</v>
      </c>
      <c r="F109" t="inlineStr">
        <is>
          <t>Hats</t>
        </is>
      </c>
      <c r="G109" t="inlineStr">
        <is>
          <t>Chrome Hearts</t>
        </is>
      </c>
      <c r="H109">
        <v>282</v>
      </c>
      <c r="I109">
        <v>40.87</v>
      </c>
      <c r="J109" t="inlineStr">
        <is>
          <t>{"id":"chatcmpl-DZoH6PsGVQj7my7ecFZ5yOS2Vwog9","object":"chat.completion","created":1777427108,"model":"gpt-5-chat-2025-10-03","choices":[{"index":0,"message":{"role":"assistant","content":"Chrome Hearts Beige Straw Hat Summer Unisex","refusal":null,"annotations":[]},"logprobs":null,"finish_reason":"stop"}],"usage":{"prompt_tokens":878,"completion_tokens":9,"total_tokens":887,"prompt_tokens_details":{"cached_tokens":0,"audio_tokens":0},"completion_tokens_details":{"reasoning_tokens":0,"audio_tokens":0,"accepted_prediction_tokens":0,"rejected_prediction_tokens":0}},"service_tier":"default","system_fingerprint":"fp_fd471178c5"}</t>
        </is>
      </c>
      <c r="K109" t="inlineStr">
        <is>
          <t>Chrome Hearts Beige Straw Hat Summer Unisex</t>
        </is>
      </c>
      <c r="L109" t="inlineStr">
        <is>
          <t>{"id":"chatcmpl-DZo8FjooAEDhADEWQAm5cs41AJB1u","object":"chat.completion","created":1777426559,"model":"gpt-5-chat-2025-10-03","choices":[{"index":0,"message":{"role":"assistant","content":"Chrome Hearts classic straw hat in natural beige, handmade with signature silver cross charm and colorful woven band, blending bohemian and LA street style; lightweight, unisex, perfect for summer.","refusal":null,"annotations":[]},"logprobs":null,"finish_reason":"stop"}],"usage":{"prompt_tokens":907,"completion_tokens":38,"total_tokens":945,"prompt_tokens_details":{"cached_tokens":0,"audio_tokens":0},"completion_tokens_details":{"reasoning_tokens":0,"audio_tokens":0,"accepted_prediction_tokens":0,"rejected_prediction_tokens":0}},"service_tier":"default","system_fingerprint":"fp_ad66631dec"}</t>
        </is>
      </c>
      <c r="M109" t="inlineStr">
        <is>
          <t>{"alt-svc":"h3=\":443\"; ma=2592000","apim-request-id":"86b7031a-b26c-44ca-91a7-fd313d34df2a","azureml-model-session":"d20260402075109-1fc5a0ec","cache-control":"no-cache","connection":"close","content-length":"1005","content-type":"application/json","date":"Wed, 29 Apr 2026 01:36:02 GMT","server":"nginx","skip-error-remapping":"true","strict-transport-security":"max-age=31536000; includeSubDomains; preload","via":"1.1 Caddy","x-content-type-options":"nosniff","x-ms-client-request-id":"Not-Set","x-ms-is-spilled-over":"false","x-ms-rai-invoked":"false","x-ms-region":"East US 2","x-new-api-version":"0.4.35","x-oneapi-request-id":"202604290135585587072958268d9d6rHhYhMDT","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6a58f0d2-914b-4136-aa83-88ef3f8d1947"}</t>
        </is>
      </c>
      <c r="N109" t="inlineStr">
        <is>
          <t>Chrome Hearts classic straw hat in natural beige, handmade with signature silver cross charm and colorful woven band, blending bohemian and LA street style; lightweight, unisex, perfect for summer.</t>
        </is>
      </c>
      <c r="O109" t="inlineStr">
        <is>
          <t>{"id":"chatcmpl-DZoSFuVpvc8cfSSbIcvnSof4ZYle3","object":"chat.completion","created":1777427799,"model":"gpt-5-chat-2025-10-03","choices":[{"index":0,"message":{"role":"assistant","content":"Chrome Hearts,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09" t="inlineStr">
        <is>
          <t>Chrome Hearts, Hat, kakobuy, kakebuy2026, kekobuysheet, kakobuysheet2026, 2026kakobuy, kakobuyspreadsheeet, kakobuylink, kakebuylist, Kakobuy MEGA Spreadsheet, kakobuysheetfind, kakobuysheetfind2026, 2026kakobuysheetfind, kakobuysheet2026</t>
        </is>
      </c>
      <c r="Q109" t="inlineStr">
        <is>
          <t>Natural, Beige, Bohemian, Street, Streetwear, Summer</t>
        </is>
      </c>
      <c r="R109" t="inlineStr">
        <is>
          <t>recvhju1CroUL7</t>
        </is>
      </c>
      <c r="S109" t="inlineStr">
        <is>
          <t>chrome-hearts-beige-straw-hat-recvhju1croul7</t>
        </is>
      </c>
      <c r="T109"/>
      <c r="U109"/>
      <c r="V109"/>
      <c r="W109" t="inlineStr">
        <is>
          <t>{"id":"chatcmpl-DZnz8MprJEf7AnFhd6y4RUW9vHRuW","object":"chat.completion","created":1777425994,"model":"gpt-5-chat-2025-10-03","choices":[{"index":0,"message":{"role":"assistant","content":"Chrome Hearts：经典草编帽，自然米色手工编织，饰以标志性银色十字吊饰与彩色织带设计，展现波西米亚与洛杉矶街头混合风格，男女皆宜，轻盈透气，适合夏季休闲与度假穿搭。","refusal":null,"annotations":[]},"logprobs":null,"finish_reason":"stop"}],"usage":{"prompt_tokens":1298,"completion_tokens":74,"total_tokens":1372,"prompt_tokens_details":{"cached_tokens":0,"audio_tokens":0},"completion_tokens_details":{"reasoning_tokens":0,"audio_tokens":0,"accepted_prediction_tokens":0,"rejected_prediction_tokens":0}},"service_tier":"default","system_fingerprint":"fp_ad66631dec"}</t>
        </is>
      </c>
      <c r="X109" t="inlineStr">
        <is>
          <t>Chrome Hearts：经典草编帽，自然米色手工编织，饰以标志性银色十字吊饰与彩色织带设计，展现波西米亚与洛杉矶街头混合风格，男女皆宜，轻盈透气，适合夏季休闲与度假穿搭。</t>
        </is>
      </c>
    </row>
    <row r="110" ht="25.5" customHeight="1">
      <c r="A110">
        <v>1654975475</v>
      </c>
      <c r="B110">
        <v>7622566373</v>
      </c>
      <c r="C110" s="2" t="str">
        <f>=HYPERLINK("https://weidian.com/item.html?itemID=7622566373", "https://weidian.com/item.html?itemID=7622566373")</f>
        <v>https://weidian.com/item.html?itemID=7622566373</v>
      </c>
      <c r="D110"/>
      <c r="E110" s="2" t="str">
        <f>=HYPERLINK("https://si.geilicdn.com/pcitem2014204438-4db60000019adc6da2a70a2315ef_1440_1920.jpg?w=640&amp;h=640", "https://si.geilicdn.com/pcitem2014204438-4db60000019adc6da2a70a2315ef_1440_1920.jpg?w=640&amp;h=640")</f>
        <v>https://si.geilicdn.com/pcitem2014204438-4db60000019adc6da2a70a2315ef_1440_1920.jpg?w=640&amp;h=640</v>
      </c>
      <c r="F110" t="inlineStr">
        <is>
          <t>Hats</t>
        </is>
      </c>
      <c r="G110" t="inlineStr">
        <is>
          <t>Rest &amp; Recreation</t>
        </is>
      </c>
      <c r="H110">
        <v>188</v>
      </c>
      <c r="I110">
        <v>27.25</v>
      </c>
      <c r="J110" t="inlineStr">
        <is>
          <t>{"id":"chatcmpl-DZoELJktAMLlfRAOJKD3CKVh1MNaL","object":"chat.completion","created":1777426937,"model":"gpt-5-chat-2025-10-03","choices":[{"index":0,"message":{"role":"assistant","content":"HatsRest Light Gray Cotton Baseball Cap","refusal":null,"annotations":[]},"logprobs":null,"finish_reason":"stop"}],"usage":{"prompt_tokens":889,"completion_tokens":9,"total_tokens":898,"prompt_tokens_details":{"cached_tokens":0,"audio_tokens":0},"completion_tokens_details":{"reasoning_tokens":0,"audio_tokens":0,"accepted_prediction_tokens":0,"rejected_prediction_tokens":0}},"service_tier":"default","system_fingerprint":"fp_ad66631dec"}</t>
        </is>
      </c>
      <c r="K110" t="inlineStr">
        <is>
          <t>HatsRest Light Gray Cotton Baseball Cap</t>
        </is>
      </c>
      <c r="L110" t="inlineStr">
        <is>
          <t>{"id":"chatcmpl-DZo6ktT3aE57GTPQeS92TDxcjJ3Cp","object":"chat.completion","created":1777426466,"model":"gpt-5-chat-2025-10-03","choices":[{"index":0,"message":{"role":"assistant","content":"HatsRest &amp; Recreation light gray cotton twill baseball cap, soft, breathable, minimalist black logo, six-panel curved brim, unisex style for travel, sports, or daily wear, effortless modern fashion.","refusal":null,"annotations":[]},"logprobs":null,"finish_reason":"stop"}],"usage":{"prompt_tokens":947,"completion_tokens":43,"total_tokens":990,"prompt_tokens_details":{"cached_tokens":0,"audio_tokens":0},"completion_tokens_details":{"reasoning_tokens":0,"audio_tokens":0,"accepted_prediction_tokens":0,"rejected_prediction_tokens":0}},"service_tier":"default","system_fingerprint":"fp_ad66631dec"}</t>
        </is>
      </c>
      <c r="M110" t="inlineStr">
        <is>
          <t>{"alt-svc":"h3=\":443\"; ma=2592000","apim-request-id":"4fe0fbbe-00c8-4093-b02a-215922d9c2f7","azureml-model-session":"d20260402084046-4209e968","cache-control":"no-cache","connection":"close","content-length":"1006","content-type":"application/json","date":"Wed, 29 Apr 2026 01:34:27 GMT","server":"nginx","skip-error-remapping":"true","strict-transport-security":"max-age=31536000; includeSubDomains; preload","via":"1.1 Caddy","x-content-type-options":"nosniff","x-ms-client-request-id":"Not-Set","x-ms-is-spilled-over":"false","x-ms-rai-invoked":"false","x-ms-region":"South Central US","x-new-api-version":"0.4.35","x-oneapi-request-id":"202604290134252100053418268d9d6g9jCfUOl","x-ratelimit-abusepenalty-active":"False","x-ratelimit-key":"gpt-5-chat-global","x-ratelimit-limit-requests":"1000","x-ratelimit-limit-tokens":"1000000","x-ratelimit-remaining-requests":"999","x-ratelimit-remaining-tokens":"998291","x-ratelimit-renewalperiod-requests":"60","x-ratelimit-renewalperiod-tokens":"60","x-ratelimit-reset-requests":"60","x-ratelimit-reset-tokens":"102","x-request-id":"5a09500e-9dc7-4384-81ad-145296f555c9"}</t>
        </is>
      </c>
      <c r="N110" t="inlineStr">
        <is>
          <t>HatsRest &amp; Recreation light gray cotton twill baseball cap, soft, breathable, minimalist black logo, six-panel curved brim, unisex style for travel, sports, or daily wear, effortless modern fashion.</t>
        </is>
      </c>
      <c r="O110" t="inlineStr">
        <is>
          <t>{"id":"chatcmpl-DZoQtpEk4EnXljRVHS0ebMRZE8GX9","object":"chat.completion","created":1777427715,"model":"gpt-5-chat-2025-10-03","choices":[{"index":0,"message":{"role":"assistant","content":"HatsRest &amp; Recreation,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94,"total_tokens":878,"prompt_tokens_details":{"cached_tokens":0,"audio_tokens":0},"completion_tokens_details":{"reasoning_tokens":0,"audio_tokens":0,"accepted_prediction_tokens":0,"rejected_prediction_tokens":0}},"service_tier":"default","system_fingerprint":"fp_fd471178c5"}</t>
        </is>
      </c>
      <c r="P110" t="inlineStr">
        <is>
          <t>HatsRest &amp; Recreation, hats, kakobuy, kakebuy2026, kekobuysheet, kakobuysheet2026, 2026kakobuy, kakobuyspreadsheeet, kakobuylink, kakebuylist, Kakobuy MEGA Spreadsheet, kakobuysheetfind, kakobuysheetfind2026, 2026kakobuysheetfind, kakobuysheet2026</t>
        </is>
      </c>
      <c r="Q110" t="inlineStr">
        <is>
          <t>Gray, Minimalist, Unisex, Breathable</t>
        </is>
      </c>
      <c r="R110" t="inlineStr">
        <is>
          <t>recvhju1Cr32Iv</t>
        </is>
      </c>
      <c r="S110" t="inlineStr">
        <is>
          <t>hatsrest-light-gray-cotton-baseball-cap-recvhju1cr32iv</t>
        </is>
      </c>
      <c r="T110"/>
      <c r="U110"/>
      <c r="V110"/>
      <c r="W110" t="inlineStr">
        <is>
          <t>{"id":"chatcmpl-DZnx7hiWg4EuVwW9iea8rxJjqhveA","object":"chat.completion","created":1777425869,"model":"gpt-5-chat-2025-10-03","choices":[{"index":0,"message":{"role":"assistant","content":"Rest &amp; Recreation浅灰色休闲棒球帽，采用高密度棉质斜纹面料，触感柔软透气。正面饰以极简黑色品牌标识图案，展现现代极简设计风格。六片式结构搭配弧形帽檐，男女人群皆宜，诠释都市休闲与自在品质感。适合日常出街、旅行或运动穿搭，彰显低调时尚与高舒适度。","refusal":null,"annotations":[]},"logprobs":null,"finish_reason":"stop"}],"usage":{"prompt_tokens":1304,"completion_tokens":111,"total_tokens":1415,"prompt_tokens_details":{"cached_tokens":0,"audio_tokens":0},"completion_tokens_details":{"reasoning_tokens":0,"audio_tokens":0,"accepted_prediction_tokens":0,"rejected_prediction_tokens":0}},"service_tier":"default","system_fingerprint":"fp_ad66631dec"}</t>
        </is>
      </c>
      <c r="X110" t="inlineStr">
        <is>
          <t>Rest &amp; Recreation浅灰色休闲棒球帽，采用高密度棉质斜纹面料，触感柔软透气。正面饰以极简黑色品牌标识图案，展现现代极简设计风格。六片式结构搭配弧形帽檐，男女人群皆宜，诠释都市休闲与自在品质感。适合日常出街、旅行或运动穿搭，彰显低调时尚与高舒适度。</t>
        </is>
      </c>
    </row>
    <row r="111" ht="25.5" customHeight="1">
      <c r="A111">
        <v>1654975475</v>
      </c>
      <c r="B111">
        <v>7625544368</v>
      </c>
      <c r="C111" s="2" t="str">
        <f>=HYPERLINK("https://weidian.com/item.html?itemID=7625544368", "https://weidian.com/item.html?itemID=7625544368")</f>
        <v>https://weidian.com/item.html?itemID=7625544368</v>
      </c>
      <c r="D111"/>
      <c r="E111" s="2" t="str">
        <f>=HYPERLINK("https://si.geilicdn.com/pcitem2014204438-421b0000019adc6a6b370a23037f_1080_1440.jpg?w=640&amp;h=640", "https://si.geilicdn.com/pcitem2014204438-421b0000019adc6a6b370a23037f_1080_1440.jpg?w=640&amp;h=640")</f>
        <v>https://si.geilicdn.com/pcitem2014204438-421b0000019adc6a6b370a23037f_1080_1440.jpg?w=640&amp;h=640</v>
      </c>
      <c r="F111" t="inlineStr">
        <is>
          <t>Hats</t>
        </is>
      </c>
      <c r="G111" t="inlineStr">
        <is>
          <t>Dior</t>
        </is>
      </c>
      <c r="H111">
        <v>200</v>
      </c>
      <c r="I111">
        <v>28.99</v>
      </c>
      <c r="J111" t="inlineStr">
        <is>
          <t>{"id":"chatcmpl-DZoFnaliXQDHAZFVLUc7CJOuBhJjv","object":"chat.completion","created":1777427027,"model":"gpt-5-chat-2025-10-03","choices":[{"index":0,"message":{"role":"assistant","content":"Dior Brown Wool Newsboy Cap Unisex Vintage Hat","refusal":null,"annotations":[]},"logprobs":null,"finish_reason":"stop"}],"usage":{"prompt_tokens":864,"completion_tokens":12,"total_tokens":876,"prompt_tokens_details":{"cached_tokens":0,"audio_tokens":0},"completion_tokens_details":{"reasoning_tokens":0,"audio_tokens":0,"accepted_prediction_tokens":0,"rejected_prediction_tokens":0}},"service_tier":"default","system_fingerprint":"fp_fd471178c5"}</t>
        </is>
      </c>
      <c r="K111" t="inlineStr">
        <is>
          <t>Dior Brown Wool Newsboy Cap Unisex Vintage Hat</t>
        </is>
      </c>
      <c r="L111" t="inlineStr">
        <is>
          <t>{"id":"chatcmpl-DZo7HxdAeiAnRhUtmA3MxfNVT5iIV","object":"chat.completion","created":1777426499,"model":"gpt-5-chat-2025-10-03","choices":[{"index":0,"message":{"role":"assistant","content":"HatsDiorDior Brown Wool Newsboy Cap with Leather Logo Band, Unisex Vintage Style, Elegant Fall Winter Street Fashion Classic Accessory.","refusal":null,"annotations":[]},"logprobs":null,"finish_reason":"stop"}],"usage":{"prompt_tokens":881,"completion_tokens":31,"total_tokens":912,"prompt_tokens_details":{"cached_tokens":0,"audio_tokens":0},"completion_tokens_details":{"reasoning_tokens":0,"audio_tokens":0,"accepted_prediction_tokens":0,"rejected_prediction_tokens":0}},"service_tier":"default","system_fingerprint":"fp_fd471178c5"}</t>
        </is>
      </c>
      <c r="M111" t="inlineStr">
        <is>
          <t>{"alt-svc":"h3=\":443\"; ma=2592000","apim-request-id":"d560df13-9b48-420b-af31-c6827673b58d","azureml-model-session":"d20260428165144-a78ba574","cache-control":"no-cache","connection":"close","content-length":"943","content-type":"application/json","date":"Wed, 29 Apr 2026 01:35:00 GMT","server":"nginx","skip-error-remapping":"true","strict-transport-security":"max-age=31536000; includeSubDomains; preload","via":"1.1 Caddy","x-content-type-options":"nosniff","x-ms-client-request-id":"Not-Set","x-ms-is-spilled-over":"false","x-ms-rai-invoked":"false","x-ms-region":"East US","x-new-api-version":"0.4.35","x-oneapi-request-id":"202604290134585047016688268d9d6fcIKMIHD","x-ratelimit-abusepenalty-active":"False","x-ratelimit-key":"gpt-5-chat-global","x-ratelimit-limit-requests":"1000","x-ratelimit-limit-tokens":"1000000","x-ratelimit-remaining-requests":"999","x-ratelimit-remaining-tokens":"998357","x-ratelimit-renewalperiod-requests":"60","x-ratelimit-renewalperiod-tokens":"60","x-ratelimit-reset-requests":"60","x-ratelimit-reset-tokens":"98","x-request-id":"ec42c48d-1dbc-4f05-ae64-0958d1cd3be9"}</t>
        </is>
      </c>
      <c r="N111" t="inlineStr">
        <is>
          <t>HatsDiorDior Brown Wool Newsboy Cap with Leather Logo Band, Unisex Vintage Style, Elegant Fall Winter Street Fashion Classic Accessory.</t>
        </is>
      </c>
      <c r="O111" t="inlineStr">
        <is>
          <t>{"id":"chatcmpl-DZoJrQ4IYXYREDTPPynQdjksMgTay","object":"chat.completion","created":1777427279,"model":"gpt-5-chat-2025-10-03","choices":[{"index":0,"message":{"role":"assistant","content":"Dior,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fd471178c5"}</t>
        </is>
      </c>
      <c r="P111" t="inlineStr">
        <is>
          <t>Dior, hats, kakobuy, kakebuy2026, kekobuysheet, kakobuysheet2026, 2026kakobuy, kakobuyspreadsheeet, kakobuylink, kakebuylist, Kakobuy MEGA Spreadsheet, kakobuysheetfind, kakobuysheetfind2026, 2026kakobuysheetfind, kakobuysheet2026</t>
        </is>
      </c>
      <c r="Q111" t="inlineStr">
        <is>
          <t>Dior, Brown, Wool, Vintage, Autumn And Winter, Unisex</t>
        </is>
      </c>
      <c r="R111" t="inlineStr">
        <is>
          <t>recvhju1CrNUAH</t>
        </is>
      </c>
      <c r="S111" t="inlineStr">
        <is>
          <t>dior-brown-wool-newsboy-cap-recvhju1crnuah</t>
        </is>
      </c>
      <c r="T111"/>
      <c r="U111"/>
      <c r="V111"/>
      <c r="W111" t="inlineStr">
        <is>
          <t>{"id":"chatcmpl-DZnyIa8vLrZm3QV5Su6Gy4SBe2I3e","object":"chat.completion","created":1777425942,"model":"gpt-5-chat-2025-10-03","choices":[{"index":0,"message":{"role":"assistant","content":"Dior：棕色羊毛质感报童帽，搭配皮质logo饰带，展现复古优雅格调，男女皆宜，秋冬街头时尚经典单品。","refusal":null,"annotations":[]},"logprobs":null,"finish_reason":"stop"}],"usage":{"prompt_tokens":1302,"completion_tokens":46,"total_tokens":1348,"prompt_tokens_details":{"cached_tokens":0,"audio_tokens":0},"completion_tokens_details":{"reasoning_tokens":0,"audio_tokens":0,"accepted_prediction_tokens":0,"rejected_prediction_tokens":0}},"service_tier":"default","system_fingerprint":"fp_fd471178c5"}</t>
        </is>
      </c>
      <c r="X111" t="inlineStr">
        <is>
          <t>Dior：棕色羊毛质感报童帽，搭配皮质logo饰带，展现复古优雅格调，男女皆宜，秋冬街头时尚经典单品。</t>
        </is>
      </c>
    </row>
    <row r="112" ht="25.5" customHeight="1">
      <c r="A112">
        <v>1654975475</v>
      </c>
      <c r="B112">
        <v>7625566054</v>
      </c>
      <c r="C112" s="2" t="str">
        <f>=HYPERLINK("https://weidian.com/item.html?itemID=7625566054", "https://weidian.com/item.html?itemID=7625566054")</f>
        <v>https://weidian.com/item.html?itemID=7625566054</v>
      </c>
      <c r="D112"/>
      <c r="E112" s="2" t="str">
        <f>=HYPERLINK("https://si.geilicdn.com/pcitem2014204438-47c10000019adc6ec22a0a2303ee_1280_1629.jpg?w=640&amp;h=640", "https://si.geilicdn.com/pcitem2014204438-47c10000019adc6ec22a0a2303ee_1280_1629.jpg?w=640&amp;h=640")</f>
        <v>https://si.geilicdn.com/pcitem2014204438-47c10000019adc6ec22a0a2303ee_1280_1629.jpg?w=640&amp;h=640</v>
      </c>
      <c r="F112" t="inlineStr">
        <is>
          <t>Hats</t>
        </is>
      </c>
      <c r="G112" t="inlineStr">
        <is>
          <t>MLB</t>
        </is>
      </c>
      <c r="H112">
        <v>230</v>
      </c>
      <c r="I112">
        <v>33.33</v>
      </c>
      <c r="J112" t="inlineStr">
        <is>
          <t>{"id":"chatcmpl-DZoGqYtkrTPzA8Ufa0euCuc8b2VFr","object":"chat.completion","created":1777427092,"model":"gpt-5-chat-2025-10-03","choices":[{"index":0,"message":{"role":"assistant","content":"HatsMLB Classic Black Cotton Twill Baseball Cap","refusal":null,"annotations":[]},"logprobs":null,"finish_reason":"stop"}],"usage":{"prompt_tokens":895,"completion_tokens":12,"total_tokens":907,"prompt_tokens_details":{"cached_tokens":0,"audio_tokens":0},"completion_tokens_details":{"reasoning_tokens":0,"audio_tokens":0,"accepted_prediction_tokens":0,"rejected_prediction_tokens":0}},"service_tier":"default","system_fingerprint":"fp_ad66631dec"}</t>
        </is>
      </c>
      <c r="K112" t="inlineStr">
        <is>
          <t>HatsMLB Classic Black Cotton Twill Baseball Cap</t>
        </is>
      </c>
      <c r="L112" t="inlineStr">
        <is>
          <t>{"id":"chatcmpl-DZo90bHTVRJeSKzqGSqNoc3utT6Ya","object":"chat.completion","created":1777426606,"model":"gpt-5-chat-2025-10-03","choices":[{"index":0,"message":{"role":"assistant","content":"HatsMLBMLB Classic Black Baseball Cap made from premium cotton twill, breathable and durable. Features 3D embroidered logo, curved brim, unisex design—perfect for sporty, casual, and streetwear looks.","refusal":null,"annotations":[]},"logprobs":null,"finish_reason":"stop"}],"usage":{"prompt_tokens":921,"completion_tokens":47,"total_tokens":968,"prompt_tokens_details":{"cached_tokens":0,"audio_tokens":0},"completion_tokens_details":{"reasoning_tokens":0,"audio_tokens":0,"accepted_prediction_tokens":0,"rejected_prediction_tokens":0}},"service_tier":"default","system_fingerprint":"fp_ad66631dec"}</t>
        </is>
      </c>
      <c r="M112" t="inlineStr">
        <is>
          <t>{"alt-svc":"h3=\":443\"; ma=2592000","apim-request-id":"f845db59-2ab7-4fd0-92f2-7878c124131a","azureml-model-session":"d20260402075109-1fc5a0ec","cache-control":"no-cache","connection":"close","content-length":"1010","content-type":"application/json","date":"Wed, 29 Apr 2026 01:36:48 GMT","server":"nginx","skip-error-remapping":"true","strict-transport-security":"max-age=31536000; includeSubDomains; preload","via":"1.1 Caddy","x-content-type-options":"nosniff","x-ms-client-request-id":"Not-Set","x-ms-is-spilled-over":"false","x-ms-rai-invoked":"false","x-ms-region":"East US 2","x-new-api-version":"0.4.35","x-oneapi-request-id":"202604290136449904253828268d9d6xDjHyVzU","x-ratelimit-abusepenalty-active":"False","x-ratelimit-key":"gpt-5-chat-global","x-ratelimit-limit-requests":"1000","x-ratelimit-limit-tokens":"1000000","x-ratelimit-remaining-requests":"999","x-ratelimit-remaining-tokens":"998317","x-ratelimit-renewalperiod-requests":"60","x-ratelimit-renewalperiod-tokens":"60","x-ratelimit-reset-requests":"60","x-ratelimit-reset-tokens":"100","x-request-id":"a431bc99-b74b-465a-97e1-3df2a8ad808f"}</t>
        </is>
      </c>
      <c r="N112" t="inlineStr">
        <is>
          <t>HatsMLBMLB Classic Black Baseball Cap made from premium cotton twill, breathable and durable. Features 3D embroidered logo, curved brim, unisex design—perfect for sporty, casual, and streetwear looks.</t>
        </is>
      </c>
      <c r="O112" t="inlineStr">
        <is>
          <t>{"id":"chatcmpl-DZoPhb5rK4i40WWB9TUT75S2KAc2m","object":"chat.completion","created":1777427641,"model":"gpt-5-chat-2025-10-03","choices":[{"index":0,"message":{"role":"assistant","content":"MLB,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12" t="inlineStr">
        <is>
          <t>MLB,hat,kakobuy,kakebuy2026,kekobuysheet,kakobuysheet2026,2026kakobuy,kakobuyspreadsheeet,kakobuylink,kakebuylist,Kakobuy MEGA Spreadsheet,kakobuysheetfind,kakobuysheetfind2026,2026kakobuysheetfind,kakobuysheet2026</t>
        </is>
      </c>
      <c r="Q112" t="inlineStr">
        <is>
          <t>Black, Sporty, Streetwear, Unisex</t>
        </is>
      </c>
      <c r="R112" t="inlineStr">
        <is>
          <t>recvhju1CrqsjX</t>
        </is>
      </c>
      <c r="S112" t="inlineStr">
        <is>
          <t>mlb-classic-black-cotton-twill-baseball-cap-recvhju1crqsjx</t>
        </is>
      </c>
      <c r="T112"/>
      <c r="U112"/>
      <c r="V112"/>
      <c r="W112" t="inlineStr">
        <is>
          <t>{"id":"chatcmpl-DZntXTCIi5LQJ2NAnYLQnTSsrB2ix","object":"chat.completion","created":1777425647,"model":"gpt-5-chat-2025-10-03","choices":[{"index":0,"message":{"role":"assistant","content":"MLB：经典黑色棒球帽，采用高密度纯棉斜纹布料打造，透气轻盈且耐磨。前方立体刺绣品牌标志，彰显运动街头风格。简约弧形帽檐设计，适合男女通用搭配，休闲与时尚兼具，展现现代都市年轻态度。","refusal":null,"annotations":[]},"logprobs":null,"finish_reason":"stop"}],"usage":{"prompt_tokens":1302,"completion_tokens":86,"total_tokens":1388,"prompt_tokens_details":{"cached_tokens":1280,"audio_tokens":0},"completion_tokens_details":{"reasoning_tokens":0,"audio_tokens":0,"accepted_prediction_tokens":0,"rejected_prediction_tokens":0}},"service_tier":"default","system_fingerprint":"fp_ad66631dec"}</t>
        </is>
      </c>
      <c r="X112" t="inlineStr">
        <is>
          <t>MLB：经典黑色棒球帽，采用高密度纯棉斜纹布料打造，透气轻盈且耐磨。前方立体刺绣品牌标志，彰显运动街头风格。简约弧形帽檐设计，适合男女通用搭配，休闲与时尚兼具，展现现代都市年轻态度。</t>
        </is>
      </c>
    </row>
    <row r="113" ht="25.5" customHeight="1">
      <c r="A113">
        <v>1654975475</v>
      </c>
      <c r="B113">
        <v>7625521122</v>
      </c>
      <c r="C113" s="2" t="str">
        <f>=HYPERLINK("https://weidian.com/item.html?itemID=7625521122", "https://weidian.com/item.html?itemID=7625521122")</f>
        <v>https://weidian.com/item.html?itemID=7625521122</v>
      </c>
      <c r="D113"/>
      <c r="E113" s="2" t="str">
        <f>=HYPERLINK("https://si.geilicdn.com/pcitem2014204438-42ac0000019adc6c4e660a23037f_1440_1920.jpg?w=640&amp;h=640", "https://si.geilicdn.com/pcitem2014204438-42ac0000019adc6c4e660a23037f_1440_1920.jpg?w=640&amp;h=640")</f>
        <v>https://si.geilicdn.com/pcitem2014204438-42ac0000019adc6c4e660a23037f_1440_1920.jpg?w=640&amp;h=640</v>
      </c>
      <c r="F113" t="inlineStr">
        <is>
          <t>Hats</t>
        </is>
      </c>
      <c r="G113" t="inlineStr">
        <is>
          <t>Snow Peak</t>
        </is>
      </c>
      <c r="H113">
        <v>196</v>
      </c>
      <c r="I113">
        <v>28.41</v>
      </c>
      <c r="J113" t="inlineStr">
        <is>
          <t>{"id":"chatcmpl-DZoDwvDQW6eyloiESWLQXVmZFpWuH","object":"chat.completion","created":1777426912,"model":"gpt-5-chat-2025-10-03","choices":[{"index":0,"message":{"role":"assistant","content":"Snow Peak Light Khaki Water-Repellent Nylon Cap","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fd471178c5"}</t>
        </is>
      </c>
      <c r="K113" t="inlineStr">
        <is>
          <t>Snow Peak Light Khaki Water-Repellent Nylon Cap</t>
        </is>
      </c>
      <c r="L113" t="inlineStr">
        <is>
          <t>{"id":"chatcmpl-DZo34fhcxophGaaw7weaTfnO0fBrU","object":"chat.completion","created":1777426238,"model":"gpt-5-chat-2025-10-03","choices":[{"index":0,"message":{"role":"assistant","content":"Snow Peak Lightweight Water-Repellent Nylon Cap in Light Khaki, six-panel breathable design for men and women, perfect for camping, outdoor adventures, and urban commuting style.","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is>
      </c>
      <c r="M113" t="inlineStr">
        <is>
          <t>{"alt-svc":"h3=\":443\"; ma=2592000","apim-request-id":"20c2ddf2-8f72-45c5-bede-9c4266e2334b","azureml-model-session":"d20260402075109-1fc5a0ec","cache-control":"no-cache","connection":"close","content-length":"986","content-type":"application/json","date":"Wed, 29 Apr 2026 01:30:39 GMT","server":"nginx","skip-error-remapping":"true","strict-transport-security":"max-age=31536000; includeSubDomains; preload","via":"1.1 Caddy","x-content-type-options":"nosniff","x-ms-client-request-id":"Not-Set","x-ms-is-spilled-over":"false","x-ms-rai-invoked":"false","x-ms-region":"South Central US","x-new-api-version":"0.4.35","x-oneapi-request-id":"202604290130373308604738268d9d6IQxy8hnz","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b39d282e-9ffd-44f3-bbb7-f3daa59b3bd4"}</t>
        </is>
      </c>
      <c r="N113" t="inlineStr">
        <is>
          <t>Snow Peak Lightweight Water-Repellent Nylon Cap in Light Khaki, six-panel breathable design for men and women, perfect for camping, outdoor adventures, and urban commuting style.</t>
        </is>
      </c>
      <c r="O113" t="inlineStr">
        <is>
          <t>{"id":"chatcmpl-DZoRGG5XQjptyNwm006i5NYX8qo0O","object":"chat.completion","created":1777427738,"model":"gpt-5-chat-2025-10-03","choices":[{"index":0,"message":{"role":"assistant","content":"Snow Peak,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13" t="inlineStr">
        <is>
          <t>Snow Peak, Hat, kakobuy, kakebuy2026, kekobuysheet, kakobuysheet2026, 2026kakobuy, kakobuyspreadsheeet, kakobuylink, kakebuylist, Kakobuy MEGA Spreadsheet, kakobuysheetfind, kakobuysheetfind2026, 2026kakobuysheetfind, kakobuysheet2026</t>
        </is>
      </c>
      <c r="Q113" t="inlineStr">
        <is>
          <t>Unisex, Nylon, Waterproof, Outdoor, Breathable, Lightweight</t>
        </is>
      </c>
      <c r="R113" t="inlineStr">
        <is>
          <t>recvhju1CrXE6C</t>
        </is>
      </c>
      <c r="S113" t="inlineStr">
        <is>
          <t>snow-peak-light-khaki-water-repellent-nylon-cap-recvhju1crxe6c</t>
        </is>
      </c>
      <c r="T113"/>
      <c r="U113"/>
      <c r="V113"/>
      <c r="W113" t="inlineStr">
        <is>
          <t>{"id":"chatcmpl-DZnztEW0x15Wi0ovaweqoYXPoSgo5","object":"chat.completion","created":1777426041,"model":"gpt-5-chat-2025-10-03","choices":[{"index":0,"message":{"role":"assistant","content":"Snow Peak：浅卡其色户外功能棒球帽，选用轻量防泼水尼龙面料，六片拼接设计简约实用，透气孔布局提升舒适度，适合男女通用，兼具露营休闲与都市通勤风格。","refusal":null,"annotations":[]},"logprobs":null,"finish_reason":"stop"}],"usage":{"prompt_tokens":1302,"completion_tokens":66,"total_tokens":1368,"prompt_tokens_details":{"cached_tokens":0,"audio_tokens":0},"completion_tokens_details":{"reasoning_tokens":0,"audio_tokens":0,"accepted_prediction_tokens":0,"rejected_prediction_tokens":0}},"service_tier":"default","system_fingerprint":"fp_ad66631dec"}</t>
        </is>
      </c>
      <c r="X113" t="inlineStr">
        <is>
          <t>Snow Peak：浅卡其色户外功能棒球帽，选用轻量防泼水尼龙面料，六片拼接设计简约实用，透气孔布局提升舒适度，适合男女通用，兼具露营休闲与都市通勤风格。</t>
        </is>
      </c>
    </row>
    <row r="114" ht="25.5" customHeight="1">
      <c r="A114">
        <v>1654975475</v>
      </c>
      <c r="B114">
        <v>7623668596</v>
      </c>
      <c r="C114" s="2" t="str">
        <f>=HYPERLINK("https://weidian.com/item.html?itemID=7623668596", "https://weidian.com/item.html?itemID=7623668596")</f>
        <v>https://weidian.com/item.html?itemID=7623668596</v>
      </c>
      <c r="D114"/>
      <c r="E114" s="2" t="str">
        <f>=HYPERLINK("https://si.geilicdn.com/pcitem2014204438-67390000019adc69c30a0a2103bd_1080_1440.jpg?w=640&amp;h=640", "https://si.geilicdn.com/pcitem2014204438-67390000019adc69c30a0a2103bd_1080_1440.jpg?w=640&amp;h=640")</f>
        <v>https://si.geilicdn.com/pcitem2014204438-67390000019adc69c30a0a2103bd_1080_1440.jpg?w=640&amp;h=640</v>
      </c>
      <c r="F114" t="inlineStr">
        <is>
          <t>Hats</t>
        </is>
      </c>
      <c r="G114" t="inlineStr">
        <is>
          <t>Miu Miu</t>
        </is>
      </c>
      <c r="H114">
        <v>220</v>
      </c>
      <c r="I114">
        <v>31.88</v>
      </c>
      <c r="J114" t="inlineStr">
        <is>
          <t>{"id":"chatcmpl-DZoIcotr3siWOLnkl2yDQSVMgFNIm","object":"chat.completion","created":1777427202,"model":"gpt-5-chat-2025-10-03","choices":[{"index":0,"message":{"role":"assistant","content":"Miu Miu Classic Gray Wool Check Newsboy Cap","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ad66631dec"}</t>
        </is>
      </c>
      <c r="K114" t="inlineStr">
        <is>
          <t>Miu Miu Classic Gray Wool Check Newsboy Cap</t>
        </is>
      </c>
      <c r="L114" t="inlineStr">
        <is>
          <t>{"id":"chatcmpl-DZo2qxPjpzptdb4LPn1j2CWpLSACJ","object":"chat.completion","created":1777426224,"model":"gpt-5-chat-2025-10-03","choices":[{"index":0,"message":{"role":"assistant","content":"Miu Miu Classic Gray Check Newsboy Cap, crafted from premium wool-blend fabric with a structured fit, minimalist logo embroidery, vintage yet modern unisex design, perfect for autumn and winter street style.","refusal":null,"annotations":[]},"logprobs":null,"finish_reason":"stop"}],"usage":{"prompt_tokens":915,"completion_tokens":43,"total_tokens":958,"prompt_tokens_details":{"cached_tokens":0,"audio_tokens":0},"completion_tokens_details":{"reasoning_tokens":0,"audio_tokens":0,"accepted_prediction_tokens":0,"rejected_prediction_tokens":0}},"service_tier":"default","system_fingerprint":"fp_ad66631dec"}</t>
        </is>
      </c>
      <c r="M114" t="inlineStr">
        <is>
          <t>{"alt-svc":"h3=\":443\"; ma=2592000","apim-request-id":"220bb940-b32c-4376-8b1c-f4e19943b274","azureml-model-session":"d20260402074105-51db401e","cache-control":"no-cache","connection":"close","content-length":"1015","content-type":"application/json","date":"Wed, 29 Apr 2026 01:30:26 GMT","server":"Caddy","skip-error-remapping":"true","strict-transport-security":"max-age=31536000; includeSubDomains; preload","x-content-type-options":"nosniff","x-ms-client-request-id":"Not-Set","x-ms-is-spilled-over":"false","x-ms-rai-invoked":"false","x-ms-region":"West US","x-new-api-version":"0.4.35","x-oneapi-request-id":"202604290130233994575588268d9d6l55LwdjP","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83a21ace-5137-4967-9501-0ff1a1ca8256"}</t>
        </is>
      </c>
      <c r="N114" t="inlineStr">
        <is>
          <t>Miu Miu Classic Gray Check Newsboy Cap, crafted from premium wool-blend fabric with a structured fit, minimalist logo embroidery, vintage yet modern unisex design, perfect for autumn and winter street style.</t>
        </is>
      </c>
      <c r="O114" t="inlineStr">
        <is>
          <t>{"id":"chatcmpl-DZoOqRLrK9l8drCMRlO9EJ1rxwg1l","object":"chat.completion","created":1777427588,"model":"gpt-5-chat-2025-10-03","choices":[{"index":0,"message":{"role":"assistant","content":"Miu Miu,Hats,kakobuy,kakebuy2026,kekobuysheet,kakobuysheet2026,2026kakobuy,kakobuyspreadsheeet,kakobuylink,kakebuylist,Kakobuy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P114" t="inlineStr">
        <is>
          <t>Miu Miu,Hats,kakobuy,kakebuy2026,kekobuysheet,kakobuysheet2026,2026kakobuy,kakobuyspreadsheeet,kakobuylink,kakebuylist,Kakobuy MEGA Spreadsheet,kakobuysheetfind,kakobuysheetfind2026,2026kakobuysheetfind,kakobuysheet2026</t>
        </is>
      </c>
      <c r="Q114" t="inlineStr">
        <is>
          <t>Grey, Wool, Minimalist, Vintage, Autumn And Winter, Unisex</t>
        </is>
      </c>
      <c r="R114" t="inlineStr">
        <is>
          <t>recvhju1Cr4LwT</t>
        </is>
      </c>
      <c r="S114" t="inlineStr">
        <is>
          <t>miu-miu-classic-gray-wool-check-newsboy-cap-recvhju1cr4lwt</t>
        </is>
      </c>
      <c r="T114"/>
      <c r="U114"/>
      <c r="V114"/>
      <c r="W114" t="inlineStr">
        <is>
          <t>{"id":"chatcmpl-DZnz08Q8EEEPzCnOAxprcq3mSMKop","object":"chat.completion","created":1777425986,"model":"gpt-5-chat-2025-10-03","choices":[{"index":0,"message":{"role":"assistant","content":"Miu Miu：经典格纹灰色报童帽，甄选高质感混纺呢料，立体剪裁贴合头型，简约徽标刺绣点缀，彰显复古摩登格调，男女皆宜，休闲与优雅并存，适合秋冬街头日常造型。","refusal":null,"annotations":[]},"logprobs":null,"finish_reason":"stop"}],"usage":{"prompt_tokens":1304,"completion_tokens":79,"total_tokens":1383,"prompt_tokens_details":{"cached_tokens":1280,"audio_tokens":0},"completion_tokens_details":{"reasoning_tokens":0,"audio_tokens":0,"accepted_prediction_tokens":0,"rejected_prediction_tokens":0}},"service_tier":"default","system_fingerprint":"fp_ad66631dec"}</t>
        </is>
      </c>
      <c r="X114" t="inlineStr">
        <is>
          <t>Miu Miu：经典格纹灰色报童帽，甄选高质感混纺呢料，立体剪裁贴合头型，简约徽标刺绣点缀，彰显复古摩登格调，男女皆宜，休闲与优雅并存，适合秋冬街头日常造型。</t>
        </is>
      </c>
    </row>
    <row r="115" ht="25.5" customHeight="1">
      <c r="A115">
        <v>1654975475</v>
      </c>
      <c r="B115">
        <v>7622521577</v>
      </c>
      <c r="C115" s="2" t="str">
        <f>=HYPERLINK("https://weidian.com/item.html?itemID=7622521577", "https://weidian.com/item.html?itemID=7622521577")</f>
        <v>https://weidian.com/item.html?itemID=7622521577</v>
      </c>
      <c r="D115"/>
      <c r="E115" s="2" t="str">
        <f>=HYPERLINK("https://si.geilicdn.com/pcitem2014204438-3bd10000019adc6731f30a230115_750_1000.jpg?w=640&amp;h=640", "https://si.geilicdn.com/pcitem2014204438-3bd10000019adc6731f30a230115_750_1000.jpg?w=640&amp;h=640")</f>
        <v>https://si.geilicdn.com/pcitem2014204438-3bd10000019adc6731f30a230115_750_1000.jpg?w=640&amp;h=640</v>
      </c>
      <c r="F115" t="inlineStr">
        <is>
          <t>Hats</t>
        </is>
      </c>
      <c r="G115" t="inlineStr">
        <is>
          <t>Maison Margiela</t>
        </is>
      </c>
      <c r="H115">
        <v>276</v>
      </c>
      <c r="I115">
        <v>40</v>
      </c>
      <c r="J115" t="inlineStr">
        <is>
          <t>{"id":"chatcmpl-DZoFPnRs3hrgtTAQYzLfsV3oTBwaW","object":"chat.completion","created":1777427003,"model":"gpt-5-chat-2025-10-03","choices":[{"index":0,"message":{"role":"assistant","content":"Maison Margiela Grey Cotton Twill Unisex Baseball Cap","refusal":null,"annotations":[]},"logprobs":null,"finish_reason":"stop"}],"usage":{"prompt_tokens":869,"completion_tokens":12,"total_tokens":881,"prompt_tokens_details":{"cached_tokens":0,"audio_tokens":0},"completion_tokens_details":{"reasoning_tokens":0,"audio_tokens":0,"accepted_prediction_tokens":0,"rejected_prediction_tokens":0}},"service_tier":"default","system_fingerprint":"fp_ad66631dec"}</t>
        </is>
      </c>
      <c r="K115" t="inlineStr">
        <is>
          <t>Maison Margiela Grey Cotton Twill Unisex Baseball Cap</t>
        </is>
      </c>
      <c r="L115" t="inlineStr">
        <is>
          <t>{"id":"chatcmpl-DZoAqTZodx64sYAhlnsZ098cIQOxs","object":"chat.completion","created":1777426720,"model":"gpt-5-chat-2025-10-03","choices":[{"index":0,"message":{"role":"assistant","content":"Maison Margiela Grey Cotton Twill Baseball Cap with signature numeric logo, minimalist deconstructed design, breathable and unisex, blending casual comfort with understated luxury style.","refusal":null,"annotations":[]},"logprobs":null,"finish_reason":"stop"}],"usage":{"prompt_tokens":902,"completion_tokens":33,"total_tokens":935,"prompt_tokens_details":{"cached_tokens":0,"audio_tokens":0},"completion_tokens_details":{"reasoning_tokens":0,"audio_tokens":0,"accepted_prediction_tokens":0,"rejected_prediction_tokens":0}},"service_tier":"default","system_fingerprint":"fp_ad66631dec"}</t>
        </is>
      </c>
      <c r="M115" t="inlineStr">
        <is>
          <t>{"alt-svc":"h3=\":443\"; ma=2592000","apim-request-id":"74b1fd83-c545-456f-887f-fd7eb21ea42d","azureml-model-session":"d20260405225800-40f19e54","cache-control":"no-cache","connection":"close","content-length":"994","content-type":"application/json","date":"Wed, 29 Apr 2026 01:38:41 GMT","server":"nginx","skip-error-remapping":"true","strict-transport-security":"max-age=31536000; includeSubDomains; preload","via":"1.1 Caddy","x-content-type-options":"nosniff","x-ms-client-request-id":"Not-Set","x-ms-is-spilled-over":"false","x-ms-rai-invoked":"false","x-ms-region":"East US 2","x-new-api-version":"0.4.35","x-oneapi-request-id":"202604290138393860071138268d9d6yzKzmplW","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cc39aec6-c452-4720-8fb9-b55745b7fa93"}</t>
        </is>
      </c>
      <c r="N115" t="inlineStr">
        <is>
          <t>Maison Margiela Grey Cotton Twill Baseball Cap with signature numeric logo, minimalist deconstructed design, breathable and unisex, blending casual comfort with understated luxury style.</t>
        </is>
      </c>
      <c r="O115" t="inlineStr">
        <is>
          <t>{"id":"chatcmpl-DZoK07mJKm4F8Xi2Yi94rWrpHqjH9","object":"chat.completion","created":1777427288,"model":"gpt-5-chat-2025-10-03","choices":[{"index":0,"message":{"role":"assistant","content":"Maison Margiela,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fd471178c5"}</t>
        </is>
      </c>
      <c r="P115" t="inlineStr">
        <is>
          <t>Maison Margiela, Hats, kakobuy, kakebuy2026, kekobuysheet, kakobuysheet2026, 2026kakobuy, kakobuyspreadsheeet, kakobuylink, kakebuylist, Kakobuy MEGA Spreadsheet, kakobuysheetfind, kakobuysheetfind2026, 2026kakobuysheetfind, kakobuysheet2026</t>
        </is>
      </c>
      <c r="Q115" t="inlineStr">
        <is>
          <t>Grey, Minimalist, Deconstructed, Breathable, Unisex</t>
        </is>
      </c>
      <c r="R115" t="inlineStr">
        <is>
          <t>recvhju1CrJndz</t>
        </is>
      </c>
      <c r="S115" t="inlineStr">
        <is>
          <t>maison-margiela-grey-cotton-twill-baseball-cap-recvhju1crjndz</t>
        </is>
      </c>
      <c r="T115"/>
      <c r="U115"/>
      <c r="V115"/>
      <c r="W115" t="inlineStr">
        <is>
          <t>{"id":"chatcmpl-DZnvS2O8zWsheYjqcUo5r5nudBGPn","object":"chat.completion","created":1777425766,"model":"gpt-5-chat-2025-10-03","choices":[{"index":0,"message":{"role":"assistant","content":"Maison Margiela：灰色经典数字标识棒球帽，采用优质纯棉斜纹布，透气舒适，极简解构设计凸显品牌前卫风格，男女皆宜，休闲与高级感并存，展现低调奢华的时尚态度。","refusal":null,"annotations":[]},"logprobs":null,"finish_reason":"stop"}],"usage":{"prompt_tokens":1298,"completion_tokens":69,"total_tokens":1367,"prompt_tokens_details":{"cached_tokens":0,"audio_tokens":0},"completion_tokens_details":{"reasoning_tokens":0,"audio_tokens":0,"accepted_prediction_tokens":0,"rejected_prediction_tokens":0}},"service_tier":"default","system_fingerprint":"fp_ad66631dec"}</t>
        </is>
      </c>
      <c r="X115" t="inlineStr">
        <is>
          <t>Maison Margiela：灰色经典数字标识棒球帽，采用优质纯棉斜纹布，透气舒适，极简解构设计凸显品牌前卫风格，男女皆宜，休闲与高级感并存，展现低调奢华的时尚态度。</t>
        </is>
      </c>
    </row>
    <row r="116" ht="25.5" customHeight="1">
      <c r="A116">
        <v>1654975475</v>
      </c>
      <c r="B116">
        <v>7694420769</v>
      </c>
      <c r="C116" s="2" t="str">
        <f>=HYPERLINK("https://weidian.com/item.html?itemID=7694420769", "https://weidian.com/item.html?itemID=7694420769")</f>
        <v>https://weidian.com/item.html?itemID=7694420769</v>
      </c>
      <c r="D116"/>
      <c r="E116" s="2" t="str">
        <f>=HYPERLINK("https://si.geilicdn.com/open1654975475-252808396-0ed00000019c7f1ee3180a231226_1024_1024.jpg?w=750&amp;h=750&amp;cp=1", "https://si.geilicdn.com/open1654975475-252808396-0ed00000019c7f1ee3180a231226_1024_1024.jpg?w=750&amp;h=750&amp;cp=1")</f>
        <v>https://si.geilicdn.com/open1654975475-252808396-0ed00000019c7f1ee3180a231226_1024_1024.jpg?w=750&amp;h=750&amp;cp=1</v>
      </c>
      <c r="F116" t="inlineStr">
        <is>
          <t>Accessories</t>
        </is>
      </c>
      <c r="G116" t="inlineStr">
        <is>
          <t>Other</t>
        </is>
      </c>
      <c r="H116">
        <v>65</v>
      </c>
      <c r="I116">
        <v>9.42</v>
      </c>
      <c r="J116" t="inlineStr">
        <is>
          <t>{"id":"chatcmpl-DZoHIPcbPMnQd8zJTZ5NgAncz9nC0","object":"chat.completion","created":1777427120,"model":"gpt-5-chat-2025-10-03","choices":[{"index":0,"message":{"role":"assistant","content":"Suhexiang Brown Sandalwood Pixiu Luck Wealth Bracelet","refusal":null,"annotations":[]},"logprobs":null,"finish_reason":"stop"}],"usage":{"prompt_tokens":890,"completion_tokens":13,"total_tokens":903,"prompt_tokens_details":{"cached_tokens":0,"audio_tokens":0},"completion_tokens_details":{"reasoning_tokens":0,"audio_tokens":0,"accepted_prediction_tokens":0,"rejected_prediction_tokens":0}},"service_tier":"default","system_fingerprint":"fp_ad66631dec"}</t>
        </is>
      </c>
      <c r="K116" t="inlineStr">
        <is>
          <t>Suhexiang Brown Sandalwood Pixiu Luck Wealth Bracelet</t>
        </is>
      </c>
      <c r="L116" t="inlineStr">
        <is>
          <t>{"id":"chatcmpl-DZo5ipLbXyapZ36zVQIiya757jQKo","object":"chat.completion","created":1777426402,"model":"gpt-5-chat-2025-10-03","choices":[{"index":0,"message":{"role":"assistant","content":"Suhexiang Brown Sandalwood Pixiu Bracelet, crafted with natural aromatic wood beads, metal Buddha head, and colorful Pixiu charm for luck, wealth, and peace—vintage Zen style for men and women.","refusal":null,"annotations":[]},"logprobs":null,"finish_reason":"stop"}],"usage":{"prompt_tokens":907,"completion_tokens":45,"total_tokens":952,"prompt_tokens_details":{"cached_tokens":0,"audio_tokens":0},"completion_tokens_details":{"reasoning_tokens":0,"audio_tokens":0,"accepted_prediction_tokens":0,"rejected_prediction_tokens":0}},"service_tier":"default","system_fingerprint":"fp_ad66631dec"}</t>
        </is>
      </c>
      <c r="M116" t="inlineStr">
        <is>
          <t>{"alt-svc":"h3=\":443\"; ma=2592000","apim-request-id":"9f115d45-c2f6-41f9-a409-935d5ce889a9","azureml-model-session":"d20260402075109-1fc5a0ec","cache-control":"no-cache","connection":"close","content-length":"1003","content-type":"application/json","date":"Wed, 29 Apr 2026 01:33:24 GMT","server":"nginx","skip-error-remapping":"true","strict-transport-security":"max-age=31536000; includeSubDomains; preload","via":"1.1 Caddy","x-content-type-options":"nosniff","x-ms-client-request-id":"Not-Set","x-ms-is-spilled-over":"false","x-ms-rai-invoked":"false","x-ms-region":"East US 2","x-new-api-version":"0.4.35","x-oneapi-request-id":"202604290133215110602478268d9d6z3PZdlwz","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3509e046-8660-4ea8-8db4-617547f7a4e1"}</t>
        </is>
      </c>
      <c r="N116" t="inlineStr">
        <is>
          <t>Suhexiang Brown Sandalwood Pixiu Bracelet, crafted with natural aromatic wood beads, metal Buddha head, and colorful Pixiu charm for luck, wealth, and peace—vintage Zen style for men and women.</t>
        </is>
      </c>
      <c r="O116" t="inlineStr">
        <is>
          <t>{"id":"chatcmpl-DZoQTAI8eLrV9ZKh1FIlFu1F1i9HA","object":"chat.completion","created":1777427689,"model":"gpt-5-chat-2025-10-03","choices":[{"index":0,"message":{"role":"assistant","content":"Suhexiang,Bracele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89,"total_tokens":870,"prompt_tokens_details":{"cached_tokens":0,"audio_tokens":0},"completion_tokens_details":{"reasoning_tokens":0,"audio_tokens":0,"accepted_prediction_tokens":0,"rejected_prediction_tokens":0}},"service_tier":"default","system_fingerprint":"fp_ad66631dec"}</t>
        </is>
      </c>
      <c r="P116" t="inlineStr">
        <is>
          <t>Suhexiang,Bracelet,kakobuy,kakebuy2026,kekobuysheet,kakobuysheet2026,2026kakobuy,kakobuyspreadsheeet,kakobuylink,kakebuylist,Kakobuy MEGA Spreadsheet,kakobuysheetfind,kakobuysheetfind2026,2026kakobuysheetfind,kakobuysheet2026</t>
        </is>
      </c>
      <c r="Q116"/>
      <c r="R116" t="inlineStr">
        <is>
          <t>recvhju1CrHPOs</t>
        </is>
      </c>
      <c r="S116" t="inlineStr">
        <is>
          <t>suhexiang-brown-sandalwood-pixiu-luck-wealth-bracelet-recvhju1crhpos</t>
        </is>
      </c>
      <c r="T116"/>
      <c r="U116"/>
      <c r="V116"/>
      <c r="W116" t="inlineStr">
        <is>
          <t>{"id":"chatcmpl-DZnwTRmd5FhPwJiSLhmc4d9MRLMkg","object":"chat.completion","created":1777425829,"model":"gpt-5-chat-2025-10-03","choices":[{"index":0,"message":{"role":"assistant","content":"苏合香棕色招财貔貅手链，甄选天然香木珠串搭配金属佛头与彩绘貔貅设计，寓意平安富贵，复古禅意风格，男女皆宜，兼具装饰与祈福功能。","refusal":null,"annotations":[]},"logprobs":null,"finish_reason":"stop"}],"usage":{"prompt_tokens":1311,"completion_tokens":68,"total_tokens":1379,"prompt_tokens_details":{"cached_tokens":0,"audio_tokens":0},"completion_tokens_details":{"reasoning_tokens":0,"audio_tokens":0,"accepted_prediction_tokens":0,"rejected_prediction_tokens":0}},"service_tier":"default","system_fingerprint":"fp_ad66631dec"}</t>
        </is>
      </c>
      <c r="X116" t="inlineStr">
        <is>
          <t>苏合香棕色招财貔貅手链，甄选天然香木珠串搭配金属佛头与彩绘貔貅设计，寓意平安富贵，复古禅意风格，男女皆宜，兼具装饰与祈福功能。</t>
        </is>
      </c>
    </row>
    <row r="117" ht="25.5" customHeight="1">
      <c r="A117">
        <v>1654975475</v>
      </c>
      <c r="B117">
        <v>7697382950</v>
      </c>
      <c r="C117" s="2" t="str">
        <f>=HYPERLINK("https://weidian.com/item.html?itemID=7697382950", "https://weidian.com/item.html?itemID=7697382950")</f>
        <v>https://weidian.com/item.html?itemID=7697382950</v>
      </c>
      <c r="D117"/>
      <c r="E117" s="2" t="str">
        <f>=HYPERLINK("https://si.geilicdn.com/open1654975475-252808396-14cc0000019c7f1b599c0a22d249_1024_1024.jpg?w=640&amp;h=640", "https://si.geilicdn.com/open1654975475-252808396-14cc0000019c7f1b599c0a22d249_1024_1024.jpg?w=640&amp;h=640")</f>
        <v>https://si.geilicdn.com/open1654975475-252808396-14cc0000019c7f1b599c0a22d249_1024_1024.jpg?w=640&amp;h=640</v>
      </c>
      <c r="F117" t="inlineStr">
        <is>
          <t>Accessories</t>
        </is>
      </c>
      <c r="G117" t="inlineStr">
        <is>
          <t>Other</t>
        </is>
      </c>
      <c r="H117">
        <v>40</v>
      </c>
      <c r="I117">
        <v>5.79710144927536</v>
      </c>
      <c r="J117" t="inlineStr">
        <is>
          <t>{"id":"chatcmpl-DZoHM2i9Th6zbFTUCTdLwRXLoeGVn","object":"chat.completion","created":1777427124,"model":"gpt-5-chat-2025-10-03","choices":[{"index":0,"message":{"role":"assistant","content":"Huaxin Lady Red Brown Wood Bead Necklace","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is>
      </c>
      <c r="K117" t="inlineStr">
        <is>
          <t>Huaxin Lady Red Brown Wood Bead Necklace</t>
        </is>
      </c>
      <c r="L117" t="inlineStr">
        <is>
          <t>{"id":"chatcmpl-DZo2sWMav7uLdFew0PHXf50CK4m7F","object":"chat.completion","created":1777426226,"model":"gpt-5-chat-2025-10-03","choices":[{"index":0,"message":{"role":"assistant","content":"Huaxin Lady Red Brown Natural Wood Bead Necklace, crafted from high-density solid wood, handwoven black cord, vintage Zen style, unisex, minimalist and elegant, perfect for daily wear or gift.","refusal":null,"annotations":[]},"logprobs":null,"finish_reason":"stop"}],"usage":{"prompt_tokens":902,"completion_tokens":43,"total_tokens":945,"prompt_tokens_details":{"cached_tokens":0,"audio_tokens":0},"completion_tokens_details":{"reasoning_tokens":0,"audio_tokens":0,"accepted_prediction_tokens":0,"rejected_prediction_tokens":0}},"service_tier":"default","system_fingerprint":"fp_ad66631dec"}</t>
        </is>
      </c>
      <c r="M117" t="inlineStr">
        <is>
          <t>{"alt-svc":"h3=\":443\"; ma=2592000","apim-request-id":"154101b5-1049-416f-b617-e1cc566ecbb8","azureml-model-session":"d20260405225800-40f19e54","cache-control":"no-cache","connection":"close","content-length":"1000","content-type":"application/json","date":"Wed, 29 Apr 2026 01:30:27 GMT","server":"nginx","skip-error-remapping":"true","strict-transport-security":"max-age=31536000; includeSubDomains; preload","via":"1.1 Caddy","x-content-type-options":"nosniff","x-ms-client-request-id":"Not-Set","x-ms-is-spilled-over":"false","x-ms-rai-invoked":"false","x-ms-region":"East US","x-new-api-version":"0.4.35","x-oneapi-request-id":"20260429013025926928788268d9d6iHDNOYGp","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5f959096-ed77-4f8a-af45-532b46224e1d"}</t>
        </is>
      </c>
      <c r="N117" t="inlineStr">
        <is>
          <t>Huaxin Lady Red Brown Natural Wood Bead Necklace, crafted from high-density solid wood, handwoven black cord, vintage Zen style, unisex, minimalist and elegant, perfect for daily wear or gift.</t>
        </is>
      </c>
      <c r="O117" t="inlineStr">
        <is>
          <t>{"id":"chatcmpl-DZoMBeDNsOXbpqVL7SUm6Vx7cWofL","object":"chat.completion","created":1777427423,"model":"gpt-5-chat-2025-10-03","choices":[{"index":0,"message":{"role":"assistant","content":"Huaxin Madam, Necklace,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93,"total_tokens":874,"prompt_tokens_details":{"cached_tokens":0,"audio_tokens":0},"completion_tokens_details":{"reasoning_tokens":0,"audio_tokens":0,"accepted_prediction_tokens":0,"rejected_prediction_tokens":0}},"service_tier":"default","system_fingerprint":"fp_ad66631dec"}</t>
        </is>
      </c>
      <c r="P117" t="inlineStr">
        <is>
          <t>Huaxin Madam, Necklace, kakobuy, kakebuy2026, kekobuysheet, kakobuysheet2026, 2026kakobuy, kakobuyspreadsheeet, kakobuylink, kakebuylist, Kakobuy MEGA Spreadsheet, kakobuysheetfind, kakobuysheetfind2026, 2026kakobuysheetfind, kakobuysheet2026</t>
        </is>
      </c>
      <c r="Q117" t="inlineStr">
        <is>
          <t>Unisex, Minimalist, Elegant, Retro</t>
        </is>
      </c>
      <c r="R117" t="inlineStr">
        <is>
          <t>recvhju1CrEhZJ</t>
        </is>
      </c>
      <c r="S117" t="inlineStr">
        <is>
          <t>huaxin-lady-red-brown-wood-bead-necklace-recvhju1cr ehzj</t>
        </is>
      </c>
      <c r="T117"/>
      <c r="U117"/>
      <c r="V117"/>
      <c r="W117" t="inlineStr">
        <is>
          <t>{"id":"chatcmpl-DZnxBHHNb48VGy3qJ0qVrQoYVaVbM","object":"chat.completion","created":1777425873,"model":"gpt-5-chat-2025-10-03","choices":[{"index":0,"message":{"role":"assistant","content":"花芯夫人系列红棕色天然木珠项链，精选高密度原木材质，搭配手工编织黑绳设计，复古东方禅意风格，男女皆宜，简约雅致，适合日常佩戴与礼赠收藏。","refusal":null,"annotations":[]},"logprobs":null,"finish_reason":"stop"}],"usage":{"prompt_tokens":1307,"completion_tokens":65,"total_tokens":1372,"prompt_tokens_details":{"cached_tokens":1280,"audio_tokens":0},"completion_tokens_details":{"reasoning_tokens":0,"audio_tokens":0,"accepted_prediction_tokens":0,"rejected_prediction_tokens":0}},"service_tier":"default","system_fingerprint":"fp_ad66631dec"}</t>
        </is>
      </c>
      <c r="X117" t="inlineStr">
        <is>
          <t>花芯夫人系列红棕色天然木珠项链，精选高密度原木材质，搭配手工编织黑绳设计，复古东方禅意风格，男女皆宜，简约雅致，适合日常佩戴与礼赠收藏。</t>
        </is>
      </c>
    </row>
    <row r="118" ht="25.5" customHeight="1">
      <c r="A118">
        <v>1654975475</v>
      </c>
      <c r="B118">
        <v>7625688206</v>
      </c>
      <c r="C118" s="2" t="str">
        <f>=HYPERLINK("https://weidian.com/item.html?itemID=7625688206", "https://weidian.com/item.html?itemID=7625688206")</f>
        <v>https://weidian.com/item.html?itemID=7625688206</v>
      </c>
      <c r="D118"/>
      <c r="E118" s="2" t="str">
        <f>=HYPERLINK("https://si.geilicdn.com/pcitem2014204438-3ee20000019adcfa27350a210139_1440_1920.jpg?w=640&amp;h=640", "https://si.geilicdn.com/pcitem2014204438-3ee20000019adcfa27350a210139_1440_1920.jpg?w=640&amp;h=640")</f>
        <v>https://si.geilicdn.com/pcitem2014204438-3ee20000019adcfa27350a210139_1440_1920.jpg?w=640&amp;h=640</v>
      </c>
      <c r="F118" t="inlineStr">
        <is>
          <t>Glasses</t>
        </is>
      </c>
      <c r="G118" t="inlineStr">
        <is>
          <t>Dior</t>
        </is>
      </c>
      <c r="H118">
        <v>370</v>
      </c>
      <c r="I118">
        <v>53.62</v>
      </c>
      <c r="J118" t="inlineStr">
        <is>
          <t>{"id":"chatcmpl-DZoIHpPZWHyMIvXFPIOW3vf95UFjr","object":"chat.completion","created":1777427181,"model":"gpt-5-chat-2025-10-03","choices":[{"index":0,"message":{"role":"assistant","content":"Dior Black Square Sunglasses Men Women Fashion Eyewear","refusal":null,"annotations":[]},"logprobs":null,"finish_reason":"stop"}],"usage":{"prompt_tokens":876,"completion_tokens":13,"total_tokens":889,"prompt_tokens_details":{"cached_tokens":0,"audio_tokens":0},"completion_tokens_details":{"reasoning_tokens":0,"audio_tokens":0,"accepted_prediction_tokens":0,"rejected_prediction_tokens":0}},"service_tier":"default","system_fingerprint":"fp_ad66631dec"}</t>
        </is>
      </c>
      <c r="K118" t="inlineStr">
        <is>
          <t>Dior Black Square Sunglasses Men Women Fashion Eyewear</t>
        </is>
      </c>
      <c r="L118" t="inlineStr">
        <is>
          <t>{"id":"chatcmpl-DZo80NbUfR3JS2qHPYih9rOh6arnP","object":"chat.completion","created":1777426544,"model":"gpt-5-chat-2025-10-03","choices":[{"index":0,"message":{"role":"assistant","content":"Dior Black Square Sunglasses feature glossy acetate frame and signature metal temples, blending minimalist luxury and modern elegance; lightweight, durable, perfect for men and women in any stylish occasion.","refusal":null,"annotations":[]},"logprobs":null,"finish_reason":"stop"}],"usage":{"prompt_tokens":925,"completion_tokens":37,"total_tokens":962,"prompt_tokens_details":{"cached_tokens":0,"audio_tokens":0},"completion_tokens_details":{"reasoning_tokens":0,"audio_tokens":0,"accepted_prediction_tokens":0,"rejected_prediction_tokens":0}},"service_tier":"default","system_fingerprint":"fp_fd471178c5"}</t>
        </is>
      </c>
      <c r="M118" t="inlineStr">
        <is>
          <t>{"alt-svc":"h3=\":443\"; ma=2592000","apim-request-id":"38a2e8b2-5346-4695-bb07-c6fef8e1e1d2","azureml-model-session":"d20260428174121-807d9cc5","cache-control":"no-cache","connection":"close","content-length":"1015","content-type":"application/json","date":"Wed, 29 Apr 2026 01:35:45 GMT","server":"Caddy","skip-error-remapping":"true","strict-transport-security":"max-age=31536000; includeSubDomains; preload","x-content-type-options":"nosniff","x-ms-client-request-id":"Not-Set","x-ms-is-spilled-over":"false","x-ms-rai-invoked":"false","x-ms-region":"East US 2","x-new-api-version":"0.4.35","x-oneapi-request-id":"202604290135436089126138268d9d6SYI6Gdcz","x-ratelimit-abusepenalty-active":"False","x-ratelimit-key":"gpt-5-chat-global","x-ratelimit-limit-requests":"1000","x-ratelimit-limit-tokens":"1000000","x-ratelimit-remaining-requests":"999","x-ratelimit-remaining-tokens":"998313","x-ratelimit-renewalperiod-requests":"60","x-ratelimit-renewalperiod-tokens":"60","x-ratelimit-reset-requests":"60","x-ratelimit-reset-tokens":"101","x-request-id":"746074bf-e279-4c30-a364-ed06e9cd1d07"}</t>
        </is>
      </c>
      <c r="N118" t="inlineStr">
        <is>
          <t>Dior Black Square Sunglasses feature glossy acetate frame and signature metal temples, blending minimalist luxury and modern elegance; lightweight, durable, perfect for men and women in any stylish occasion.</t>
        </is>
      </c>
      <c r="O118" t="inlineStr">
        <is>
          <t>{"id":"chatcmpl-DZoNqKTGBCKbcDh0KVexsfXVikTBh","object":"chat.completion","created":1777427526,"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18" t="inlineStr">
        <is>
          <t>Dior,Glasses,kakobuy,kakebuy2026,kekobuysheet,kakobuysheet2026,2026kakobuy,kakobuyspreadsheeet,kakobuylink,kakebuylist,Kakobuy MEGA Spreadsheet,kakobuysheetfind,kakobuysheetfind2026,2026kakobuysheetfind,kakobuysheet2026</t>
        </is>
      </c>
      <c r="Q118" t="inlineStr">
        <is>
          <t>Dior, Minimalist, Unisex, Acetate Fiber, All Seasons</t>
        </is>
      </c>
      <c r="R118" t="inlineStr">
        <is>
          <t>recvhju1CrmMcd</t>
        </is>
      </c>
      <c r="S118" t="inlineStr">
        <is>
          <t>dior-black-square-sunglasses-recvhju1crmcd</t>
        </is>
      </c>
      <c r="T118"/>
      <c r="U118"/>
      <c r="V118"/>
      <c r="W118" t="inlineStr">
        <is>
          <t>{"id":"chatcmpl-DZnvIdLU2cIAuiuDgmltQRO0wsi88","object":"chat.completion","created":1777425756,"model":"gpt-5-chat-2025-10-03","choices":[{"index":0,"message":{"role":"assistant","content":"Dior：黑色方框太阳眼镜，采用高光泽醋酸纤维材质，镜腿饰以品牌标志性金属细节，展现极简奢华设计美学。经典廓形融合现代优雅风格，轻盈耐用，适合男女佩戴。无论街头休闲或度假出行，皆尽显高定时尚格调。","refusal":null,"annotations":[]},"logprobs":null,"finish_reason":"stop"}],"usage":{"prompt_tokens":1296,"completion_tokens":93,"total_tokens":1389,"prompt_tokens_details":{"cached_tokens":0,"audio_tokens":0},"completion_tokens_details":{"reasoning_tokens":0,"audio_tokens":0,"accepted_prediction_tokens":0,"rejected_prediction_tokens":0}},"service_tier":"default","system_fingerprint":"fp_ad66631dec"}</t>
        </is>
      </c>
      <c r="X118" t="inlineStr">
        <is>
          <t>Dior：黑色方框太阳眼镜，采用高光泽醋酸纤维材质，镜腿饰以品牌标志性金属细节，展现极简奢华设计美学。经典廓形融合现代优雅风格，轻盈耐用，适合男女佩戴。无论街头休闲或度假出行，皆尽显高定时尚格调。</t>
        </is>
      </c>
    </row>
    <row r="119" ht="25.5" customHeight="1">
      <c r="A119">
        <v>1654975475</v>
      </c>
      <c r="B119">
        <v>7620986539</v>
      </c>
      <c r="C119" s="2" t="str">
        <f>=HYPERLINK("https://weidian.com/item.html?itemID=7620986539", "https://weidian.com/item.html?itemID=7620986539")</f>
        <v>https://weidian.com/item.html?itemID=7620986539</v>
      </c>
      <c r="D119"/>
      <c r="E119" s="2" t="str">
        <f>=HYPERLINK("https://si.geilicdn.com/pcitem2014204438-6c530000019adcf390b90a23037f_1442_1922.jpg?w=640&amp;h=640", "https://si.geilicdn.com/pcitem2014204438-6c530000019adcf390b90a23037f_1442_1922.jpg?w=640&amp;h=640")</f>
        <v>https://si.geilicdn.com/pcitem2014204438-6c530000019adcf390b90a23037f_1442_1922.jpg?w=640&amp;h=640</v>
      </c>
      <c r="F119" t="inlineStr">
        <is>
          <t>Glasses</t>
        </is>
      </c>
      <c r="G119" t="inlineStr">
        <is>
          <t>Chloe</t>
        </is>
      </c>
      <c r="H119">
        <v>660</v>
      </c>
      <c r="I119">
        <v>95.65</v>
      </c>
      <c r="J119" t="inlineStr">
        <is>
          <t>{"id":"chatcmpl-DZoIDfoiT0Gd6qgWbP1TnoLqBPOUT","object":"chat.completion","created":1777427177,"model":"gpt-5-chat-2025-10-03","choices":[{"index":0,"message":{"role":"assistant","content":"Chloe Powder Pink ZEISS Lens Ski Goggles","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119" t="inlineStr">
        <is>
          <t>Chloe Powder Pink ZEISS Lens Ski Goggles</t>
        </is>
      </c>
      <c r="L119" t="inlineStr">
        <is>
          <t>{"id":"chatcmpl-DZo6K5FtaYH58SHEcrpPmXpcyog4L","object":"chat.completion","created":1777426440,"model":"gpt-5-chat-2025-10-03","choices":[{"index":0,"message":{"role":"assistant","content":"Chloé Powder Pink Ski Goggles with ZEISS anti-fog UV protective lens, soft elastic logo strap, minimalist modern design for urban athletes, unisex must-have for winter mountain adventures.","refusal":null,"annotations":[]},"logprobs":null,"finish_reason":"stop"}],"usage":{"prompt_tokens":899,"completion_tokens":40,"total_tokens":939,"prompt_tokens_details":{"cached_tokens":0,"audio_tokens":0},"completion_tokens_details":{"reasoning_tokens":0,"audio_tokens":0,"accepted_prediction_tokens":0,"rejected_prediction_tokens":0}},"service_tier":"default","system_fingerprint":"fp_fd471178c5"}</t>
        </is>
      </c>
      <c r="M119" t="inlineStr">
        <is>
          <t>{"alt-svc":"h3=\":443\"; ma=2592000","apim-request-id":"8fc2b966-a874-41e7-97db-f1be4ddb033e","azureml-model-session":"d20260428165144-a78ba574","cache-control":"no-cache","connection":"close","content-length":"997","content-type":"application/json","date":"Wed, 29 Apr 2026 01:34:02 GMT","server":"nginx","skip-error-remapping":"true","strict-transport-security":"max-age=31536000; includeSubDomains; preload","via":"1.1 Caddy","x-content-type-options":"nosniff","x-ms-client-request-id":"Not-Set","x-ms-is-spilled-over":"false","x-ms-rai-invoked":"false","x-ms-region":"Poland Central","x-new-api-version":"0.4.35","x-oneapi-request-id":"202604290133573208897248268d9d6kl2MLIcx","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313554d1-8e2b-4979-a943-6ecb0cc191f0"}</t>
        </is>
      </c>
      <c r="N119" t="inlineStr">
        <is>
          <t>Chloé Powder Pink Ski Goggles with ZEISS anti-fog UV protective lens, soft elastic logo strap, minimalist modern design for urban athletes, unisex must-have for winter mountain adventures.</t>
        </is>
      </c>
      <c r="O119" t="inlineStr">
        <is>
          <t>{"id":"chatcmpl-DZoLEoqJqvmUHANRT4IV1nP8p08yO","object":"chat.completion","created":1777427364,"model":"gpt-5-chat-2025-10-03","choices":[{"index":0,"message":{"role":"assistant","content":"Chloé,ski goggles,kakobuy,kakebuy2026,kekobuysheet,kakobuysheet2026,2026kakobuy,kakobuyspreadsheeet,kakobuylink,kakebuylist,Kakobuy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89,"total_tokens":872,"prompt_tokens_details":{"cached_tokens":0,"audio_tokens":0},"completion_tokens_details":{"reasoning_tokens":0,"audio_tokens":0,"accepted_prediction_tokens":0,"rejected_prediction_tokens":0}},"service_tier":"default","system_fingerprint":"fp_ad66631dec"}</t>
        </is>
      </c>
      <c r="P119" t="inlineStr">
        <is>
          <t>Chloé,ski goggles,kakobuy,kakebuy2026,kekobuysheet,kakobuysheet2026,2026kakobuy,kakobuyspreadsheeet,kakobuylink,kakebuylist,Kakobuy MEGA Spreadsheet,kakobuysheetfind,kakobuysheetfind2026,2026kakobuysheetfind,kakobuysheet2026</t>
        </is>
      </c>
      <c r="Q119" t="inlineStr">
        <is>
          <t>Pink, Minimalist, Modern, Winter, Unisex, Anti-Ultraviolet</t>
        </is>
      </c>
      <c r="R119" t="inlineStr">
        <is>
          <t>recvhju1CrLUer</t>
        </is>
      </c>
      <c r="S119" t="inlineStr">
        <is>
          <t>chloe-powder-pink-zeiss-lens-ski-goggles-recvhju1crluer</t>
        </is>
      </c>
      <c r="T119"/>
      <c r="U119"/>
      <c r="V119"/>
      <c r="W119" t="inlineStr">
        <is>
          <t>{"id":"chatcmpl-DZnsSiXrE0qvjEJ9GByFODNHR3gff","object":"chat.completion","created":1777425580,"model":"gpt-5-chat-2025-10-03","choices":[{"index":0,"message":{"role":"assistant","content":"Chloé：粉白色滑雪护目镜，搭载ZEISS防雾防紫外线镜片，柔软弹力织带饰品牌标识，简约现代设计彰显都市运动美学，男女皆宜，冬季高山滑雪必备单品。","refusal":null,"annotations":[]},"logprobs":null,"finish_reason":"stop"}],"usage":{"prompt_tokens":1300,"completion_tokens":65,"total_tokens":1365,"prompt_tokens_details":{"cached_tokens":0,"audio_tokens":0},"completion_tokens_details":{"reasoning_tokens":0,"audio_tokens":0,"accepted_prediction_tokens":0,"rejected_prediction_tokens":0}},"service_tier":"default","system_fingerprint":"fp_ad66631dec"}</t>
        </is>
      </c>
      <c r="X119" t="inlineStr">
        <is>
          <t>Chloé：粉白色滑雪护目镜，搭载ZEISS防雾防紫外线镜片，柔软弹力织带饰品牌标识，简约现代设计彰显都市运动美学，男女皆宜，冬季高山滑雪必备单品。</t>
        </is>
      </c>
    </row>
    <row r="120" ht="25.5" customHeight="1">
      <c r="A120">
        <v>1654975475</v>
      </c>
      <c r="B120">
        <v>7625703610</v>
      </c>
      <c r="C120" s="2" t="str">
        <f>=HYPERLINK("https://weidian.com/item.html?itemID=7625703610", "https://weidian.com/item.html?itemID=7625703610")</f>
        <v>https://weidian.com/item.html?itemID=7625703610</v>
      </c>
      <c r="D120"/>
      <c r="E120" s="2" t="str">
        <f>=HYPERLINK("https://si.geilicdn.com/pcitem2014204438-66ad0000019adce6a6100a2301b4_1080_1080.jpg?w=640&amp;h=640", "https://si.geilicdn.com/pcitem2014204438-66ad0000019adce6a6100a2301b4_1080_1080.jpg?w=640&amp;h=640")</f>
        <v>https://si.geilicdn.com/pcitem2014204438-66ad0000019adce6a6100a2301b4_1080_1080.jpg?w=640&amp;h=640</v>
      </c>
      <c r="F120" t="inlineStr">
        <is>
          <t>Glasses</t>
        </is>
      </c>
      <c r="G120" t="inlineStr">
        <is>
          <t>Salvatore Ferragamo</t>
        </is>
      </c>
      <c r="H120">
        <v>370</v>
      </c>
      <c r="I120">
        <v>53.62</v>
      </c>
      <c r="J120" t="inlineStr">
        <is>
          <t>{"id":"chatcmpl-DZoCFFFc5KHuFfzpOZipM9FAU4dh6","object":"chat.completion","created":1777426807,"model":"gpt-5-chat-2025-10-03","choices":[{"index":0,"message":{"role":"assistant","content":"Salvatore Ferragamo Black Square Unisex UV Protection Sunglasses","refusal":null,"annotations":[]},"logprobs":null,"finish_reason":"stop"}],"usage":{"prompt_tokens":877,"completion_tokens":14,"total_tokens":891,"prompt_tokens_details":{"cached_tokens":0,"audio_tokens":0},"completion_tokens_details":{"reasoning_tokens":0,"audio_tokens":0,"accepted_prediction_tokens":0,"rejected_prediction_tokens":0}},"service_tier":"default","system_fingerprint":"fp_ad66631dec"}</t>
        </is>
      </c>
      <c r="K120" t="inlineStr">
        <is>
          <t>Salvatore Ferragamo Black Square Unisex UV Protection Sunglasses</t>
        </is>
      </c>
      <c r="L120" t="inlineStr">
        <is>
          <t>{"id":"chatcmpl-DZo3mmI2jD6cVk9A9iYdNbKe4eegS","object":"chat.completion","created":1777426282,"model":"gpt-5-chat-2025-10-03","choices":[{"index":0,"message":{"role":"assistant","content":"Salvatore Ferragamo Black Square Sunglasses with Gold Metal Rivet Arms, UV Protection, Unisex Design, Modern Urban Style, Show Italian Elegance and Luxury Fashion.","refusal":null,"annotations":[]},"logprobs":null,"finish_reason":"stop"}],"usage":{"prompt_tokens":912,"completion_tokens":36,"total_tokens":948,"prompt_tokens_details":{"cached_tokens":0,"audio_tokens":0},"completion_tokens_details":{"reasoning_tokens":0,"audio_tokens":0,"accepted_prediction_tokens":0,"rejected_prediction_tokens":0}},"service_tier":"default","system_fingerprint":"fp_fd471178c5"}</t>
        </is>
      </c>
      <c r="M120" t="inlineStr">
        <is>
          <t>{"alt-svc":"h3=\":443\"; ma=2592000","apim-request-id":"a38ffc12-6f57-4ebc-b239-65f7de649275","azureml-model-session":"d20260428205641-55ca9797","cache-control":"no-cache","connection":"close","content-length":"971","content-type":"application/json","date":"Wed, 29 Apr 2026 01:31:23 GMT","server":"Caddy","skip-error-remapping":"true","strict-transport-security":"max-age=31536000; includeSubDomains; preload","x-content-type-options":"nosniff","x-ms-client-request-id":"Not-Set","x-ms-is-spilled-over":"false","x-ms-rai-invoked":"false","x-ms-region":"East US","x-new-api-version":"0.4.35","x-oneapi-request-id":"202604290131217843093388268d9d6XNwD462Y","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2045d4c9-3436-4e74-8cc8-c6af9aa380d9"}</t>
        </is>
      </c>
      <c r="N120" t="inlineStr">
        <is>
          <t>Salvatore Ferragamo Black Square Sunglasses with Gold Metal Rivet Arms, UV Protection, Unisex Design, Modern Urban Style, Show Italian Elegance and Luxury Fashion.</t>
        </is>
      </c>
      <c r="O120" t="inlineStr">
        <is>
          <t>{"id":"chatcmpl-DZoKNzhKEVULNxkbp5EYS7OsWRWvM","object":"chat.completion","created":1777427311,"model":"gpt-5-chat-2025-10-03","choices":[{"index":0,"message":{"role":"assistant","content":"Salvatore Ferragamo,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95,"total_tokens":881,"prompt_tokens_details":{"cached_tokens":0,"audio_tokens":0},"completion_tokens_details":{"reasoning_tokens":0,"audio_tokens":0,"accepted_prediction_tokens":0,"rejected_prediction_tokens":0}},"service_tier":"default","system_fingerprint":"fp_ad66631dec"}</t>
        </is>
      </c>
      <c r="P120" t="inlineStr">
        <is>
          <t>Salvatore Ferragamo, Glasses, kakobuy, kakebuy2026, kekobuysheet, kakobuysheet2026, 2026kakobuy, kakobuyspreadsheeet, kakobuylink, kakebuylist, Kakobuy MEGA Spreadsheet, kakobuysheetfind, kakobuysheetfind2026, 2026kakobuysheetfind, kakobuysheet2026</t>
        </is>
      </c>
      <c r="Q120" t="inlineStr">
        <is>
          <t>Black, Gold, Unisex, Modern, Fashion</t>
        </is>
      </c>
      <c r="R120" t="inlineStr">
        <is>
          <t>recvhju1Cr8v3F</t>
        </is>
      </c>
      <c r="S120" t="inlineStr">
        <is>
          <t>ferragamo-black-square-uv-sunglasses-recvhju1cr8v3f</t>
        </is>
      </c>
      <c r="T120"/>
      <c r="U120"/>
      <c r="V120"/>
      <c r="W120" t="inlineStr">
        <is>
          <t>{"id":"chatcmpl-DZntuuJAM0DaptqjVEcF6eqlcCtvv","object":"chat.completion","created":1777425670,"model":"gpt-5-chat-2025-10-03","choices":[{"index":0,"message":{"role":"assistant","content":"Salvatore Ferragamo：黑色方框太阳眼镜，镀金金属铆接镜腿设计，简约奢华质感。防紫外线镜片有效阻隔眩光，适合男女通用。现代都市风格，彰显意式优雅与高端时尚品味。","refusal":null,"annotations":[]},"logprobs":null,"finish_reason":"stop"}],"usage":{"prompt_tokens":1310,"completion_tokens":73,"total_tokens":1383,"prompt_tokens_details":{"cached_tokens":1280,"audio_tokens":0},"completion_tokens_details":{"reasoning_tokens":0,"audio_tokens":0,"accepted_prediction_tokens":0,"rejected_prediction_tokens":0}},"service_tier":"default","system_fingerprint":"fp_ad66631dec"}</t>
        </is>
      </c>
      <c r="X120" t="inlineStr">
        <is>
          <t>Salvatore Ferragamo：黑色方框太阳眼镜，镀金金属铆接镜腿设计，简约奢华质感。防紫外线镜片有效阻隔眩光，适合男女通用。现代都市风格，彰显意式优雅与高端时尚品味。</t>
        </is>
      </c>
    </row>
    <row r="121" ht="25.5" customHeight="1">
      <c r="A121">
        <v>1654975475</v>
      </c>
      <c r="B121">
        <v>7625688082</v>
      </c>
      <c r="C121" s="2" t="str">
        <f>=HYPERLINK("https://weidian.com/item.html?itemID=7625688082", "https://weidian.com/item.html?itemID=7625688082")</f>
        <v>https://weidian.com/item.html?itemID=7625688082</v>
      </c>
      <c r="D121"/>
      <c r="E121" s="2" t="str">
        <f>=HYPERLINK("https://si.geilicdn.com/pcitem2014204438-5f6c0000019adce586e90a20e672_1080_1080.jpg?w=640&amp;h=640", "https://si.geilicdn.com/pcitem2014204438-5f6c0000019adce586e90a20e672_1080_1080.jpg?w=640&amp;h=640")</f>
        <v>https://si.geilicdn.com/pcitem2014204438-5f6c0000019adce586e90a20e672_1080_1080.jpg?w=640&amp;h=640</v>
      </c>
      <c r="F121" t="inlineStr">
        <is>
          <t>Glasses</t>
        </is>
      </c>
      <c r="G121" t="inlineStr">
        <is>
          <t>Bvlgari</t>
        </is>
      </c>
      <c r="H121">
        <v>370</v>
      </c>
      <c r="I121">
        <v>53.62</v>
      </c>
      <c r="J121" t="inlineStr">
        <is>
          <t>{"id":"chatcmpl-DZoFd35Rm8UNo5URTXSkUh6uRbekG","object":"chat.completion","created":1777427017,"model":"gpt-5-chat-2025-10-03","choices":[{"index":0,"message":{"role":"assistant","content":"BVLGARI Black Cat Eye Women’s Luxury Sunglasses","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121" t="inlineStr">
        <is>
          <t>BVLGARI Black Cat Eye Women’s Luxury Sunglasses</t>
        </is>
      </c>
      <c r="L121" t="inlineStr">
        <is>
          <t>{"id":"chatcmpl-DZoA5pkwzfgQv2FXM0gAmn33w8HR1","object":"chat.completion","created":1777426673,"model":"gpt-5-chat-2025-10-03","choices":[{"index":0,"message":{"role":"assistant","content":"BVLGARI Black Cat Eye Sunglasses – elegant Italian luxury design with high-gloss acetate frame, metal logo temples for refined style, UV-protection lenses, perfect fashion choice for women.","refusal":null,"annotations":[]},"logprobs":null,"finish_reason":"stop"}],"usage":{"prompt_tokens":909,"completion_tokens":39,"total_tokens":948,"prompt_tokens_details":{"cached_tokens":0,"audio_tokens":0},"completion_tokens_details":{"reasoning_tokens":0,"audio_tokens":0,"accepted_prediction_tokens":0,"rejected_prediction_tokens":0}},"service_tier":"default","system_fingerprint":"fp_ad66631dec"}</t>
        </is>
      </c>
      <c r="M121" t="inlineStr">
        <is>
          <t>{"alt-svc":"h3=\":443\"; ma=2592000","apim-request-id":"f9781d70-d432-459b-b7a0-9798226eea2e","azureml-model-session":"d20260405225800-40f19e54","cache-control":"no-cache","connection":"close","content-length":"999","content-type":"application/json","date":"Wed, 29 Apr 2026 01:37:55 GMT","server":"nginx","skip-error-remapping":"true","strict-transport-security":"max-age=31536000; includeSubDomains; preload","via":"1.1 Caddy","x-content-type-options":"nosniff","x-ms-client-request-id":"Not-Set","x-ms-is-spilled-over":"false","x-ms-rai-invoked":"false","x-ms-region":"Sweden Central","x-new-api-version":"0.4.35","x-oneapi-request-id":"202604290137524387727318268d9d6r0H7UQRz","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45994a6e-8e6d-41d1-b1ef-693bdd001276"}</t>
        </is>
      </c>
      <c r="N121" t="inlineStr">
        <is>
          <t>BVLGARI Black Cat Eye Sunglasses – elegant Italian luxury design with high-gloss acetate frame, metal logo temples for refined style, UV-protection lenses, perfect fashion choice for women.</t>
        </is>
      </c>
      <c r="O121" t="inlineStr">
        <is>
          <t>{"id":"chatcmpl-DZoRN8GFmi1t9qx2L5DXUVU4QNWD6","object":"chat.completion","created":1777427745,"model":"gpt-5-chat-2025-10-03","choices":[{"index":0,"message":{"role":"assistant","content":"Bvlgari,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21" t="inlineStr">
        <is>
          <t>Bvlgari,Glasses,kakobuy,kakebuy2026,kekobuysheet,kakobuysheet2026,2026kakobuy,kakobuyspreadsheeet,kakobuylink,kakebuylist,Kakobuy MEGA Spreadsheet,kakobuysheetfind,kakobuysheetfind2026,2026kakobuysheetfind,kakobuysheet2026</t>
        </is>
      </c>
      <c r="Q121"/>
      <c r="R121" t="inlineStr">
        <is>
          <t>recvhju1CrqAcz</t>
        </is>
      </c>
      <c r="S121" t="inlineStr">
        <is>
          <t>bvlgari-black-cat-eye-sunglasses-recvhju1crqacz</t>
        </is>
      </c>
      <c r="T121"/>
      <c r="U121"/>
      <c r="V121"/>
      <c r="W121" t="inlineStr">
        <is>
          <t>{"id":"chatcmpl-DZntHIks2dlAT1U0itJrBnFKVuR2u","object":"chat.completion","created":1777425631,"model":"gpt-5-chat-2025-10-03","choices":[{"index":0,"message":{"role":"assistant","content":"Bvlgari：黑色优雅猫眼太阳镜，甄选高光醋酸板材质，结合意式奢华美学设计，镜腿金属Logo点缀彰显精致格调，防紫外线镜片呵护视界，女士时尚休闲之选。","refusal":null,"annotations":[]},"logprobs":null,"finish_reason":"stop"}],"usage":{"prompt_tokens":1308,"completion_tokens":71,"total_tokens":1379,"prompt_tokens_details":{"cached_tokens":0,"audio_tokens":0},"completion_tokens_details":{"reasoning_tokens":0,"audio_tokens":0,"accepted_prediction_tokens":0,"rejected_prediction_tokens":0}},"service_tier":"default","system_fingerprint":"fp_fd471178c5"}</t>
        </is>
      </c>
      <c r="X121" t="inlineStr">
        <is>
          <t>Bvlgari：黑色优雅猫眼太阳镜，甄选高光醋酸板材质，结合意式奢华美学设计，镜腿金属Logo点缀彰显精致格调，防紫外线镜片呵护视界，女士时尚休闲之选。</t>
        </is>
      </c>
    </row>
    <row r="122" ht="25.5" customHeight="1">
      <c r="A122">
        <v>1654975475</v>
      </c>
      <c r="B122">
        <v>7623956350</v>
      </c>
      <c r="C122" s="2" t="str">
        <f>=HYPERLINK("https://weidian.com/item.html?itemID=7623956350", "https://weidian.com/item.html?itemID=7623956350")</f>
        <v>https://weidian.com/item.html?itemID=7623956350</v>
      </c>
      <c r="D122"/>
      <c r="E122" s="2" t="str">
        <f>=HYPERLINK("https://si.geilicdn.com/pcitem2014204438-08bd0000019adca409be0a21146b_1074_1074.jpg?w=640&amp;h=640", "https://si.geilicdn.com/pcitem2014204438-08bd0000019adca409be0a21146b_1074_1074.jpg?w=640&amp;h=640")</f>
        <v>https://si.geilicdn.com/pcitem2014204438-08bd0000019adca409be0a21146b_1074_1074.jpg?w=640&amp;h=640</v>
      </c>
      <c r="F122" t="inlineStr">
        <is>
          <t>Hats</t>
        </is>
      </c>
      <c r="G122" t="inlineStr">
        <is>
          <t>Dior</t>
        </is>
      </c>
      <c r="H122">
        <v>260</v>
      </c>
      <c r="I122">
        <v>37.68</v>
      </c>
      <c r="J122" t="inlineStr">
        <is>
          <t>{"id":"chatcmpl-DZoFCBqdGS9BylEZmUxuyLM2lckkh","object":"chat.completion","created":1777426990,"model":"gpt-5-chat-2025-10-03","choices":[{"index":0,"message":{"role":"assistant","content":"Dior White Wool Knit Bucket Hat 2024 Fashion","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22" t="inlineStr">
        <is>
          <t>Dior White Wool Knit Bucket Hat 2024 Fashion</t>
        </is>
      </c>
      <c r="L122" t="inlineStr">
        <is>
          <t>{"id":"chatcmpl-DZo7x318FV2LlCfHRTphFaMRDYEi1","object":"chat.completion","created":1777426541,"model":"gpt-5-chat-2025-10-03","choices":[{"index":0,"message":{"role":"assistant","content":"Dior White Knitted Wool Blend Bucket Hat features soft texture, silver Dior logo, minimalist unisex design, blending French elegance with modern casual style for 2024 fashion trends.","refusal":null,"annotations":[]},"logprobs":null,"finish_reason":"stop"}],"usage":{"prompt_tokens":912,"completion_tokens":37,"total_tokens":949,"prompt_tokens_details":{"cached_tokens":0,"audio_tokens":0},"completion_tokens_details":{"reasoning_tokens":0,"audio_tokens":0,"accepted_prediction_tokens":0,"rejected_prediction_tokens":0}},"service_tier":"default","system_fingerprint":"fp_ad66631dec"}</t>
        </is>
      </c>
      <c r="M122" t="inlineStr">
        <is>
          <t>{"alt-svc":"h3=\":443\"; ma=2592000","apim-request-id":"d02cc63d-7231-4ab2-bb07-99d7982db735","azureml-model-session":"d20260402075109-1fc5a0ec","cache-control":"no-cache","connection":"close","content-length":"990","content-type":"application/json","date":"Wed, 29 Apr 2026 01:35:42 GMT","server":"Caddy","skip-error-remapping":"true","strict-transport-security":"max-age=31536000; includeSubDomains; preload","x-content-type-options":"nosniff","x-ms-client-request-id":"Not-Set","x-ms-is-spilled-over":"false","x-ms-rai-invoked":"false","x-ms-region":"North Central US","x-new-api-version":"0.4.35","x-oneapi-request-id":"202604290135407965089168268d9d6Y20eIIzr","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f2117b05-a8c7-425e-a62d-31b9438f649e"}</t>
        </is>
      </c>
      <c r="N122" t="inlineStr">
        <is>
          <t>Dior White Knitted Wool Blend Bucket Hat features soft texture, silver Dior logo, minimalist unisex design, blending French elegance with modern casual style for 2024 fashion trends.</t>
        </is>
      </c>
      <c r="O122" t="inlineStr">
        <is>
          <t>{"id":"chatcmpl-DZoJYlTDY6xJ5LmrYMek6AHOC7bVY","object":"chat.completion","created":1777427260,"model":"gpt-5-chat-2025-10-03","choices":[{"index":0,"message":{"role":"assistant","content":"Dior,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fd471178c5"}</t>
        </is>
      </c>
      <c r="P122" t="inlineStr">
        <is>
          <t>Dior, Hat, kakobuy, kakebuy2026, kekobuysheet, kakobuysheet2026, 2026kakobuy, kakobuyspreadsheeet, kakobuylink, kakebuylist, Kakobuy MEGA Spreadsheet, kakobuysheetfind, kakobuysheetfind2026, 2026kakobuysheetfind, kakobuysheet2026</t>
        </is>
      </c>
      <c r="Q122" t="inlineStr">
        <is>
          <t>Dior, White, Knit, Wool, Minimalist, Unisex</t>
        </is>
      </c>
      <c r="R122" t="inlineStr">
        <is>
          <t>recvhju1CrT8cK</t>
        </is>
      </c>
      <c r="S122" t="inlineStr">
        <is>
          <t>dior-white-wool-knit-bucket-hat-recvhju1crt8ck</t>
        </is>
      </c>
      <c r="T122"/>
      <c r="U122"/>
      <c r="V122"/>
      <c r="W122" t="inlineStr">
        <is>
          <t>{"id":"chatcmpl-DZo1IFKe4kiH13Q4h8EjOpFiDn787","object":"chat.completion","created":1777426128,"model":"gpt-5-chat-2025-10-03","choices":[{"index":0,"message":{"role":"assistant","content":"Dior：白色针织渔夫帽，采用高品质羊毛混纺材质，织纹细腻柔软，正面银色Dior标识彰显品牌格调，极简中性设计适合男女佩戴，法式优雅与现代休闲完美融合，展现2024潮流格调。","refusal":null,"annotations":[]},"logprobs":null,"finish_reason":"stop"}],"usage":{"prompt_tokens":1300,"completion_tokens":78,"total_tokens":1378,"prompt_tokens_details":{"cached_tokens":1280,"audio_tokens":0},"completion_tokens_details":{"reasoning_tokens":0,"audio_tokens":0,"accepted_prediction_tokens":0,"rejected_prediction_tokens":0}},"service_tier":"default","system_fingerprint":"fp_ad66631dec"}</t>
        </is>
      </c>
      <c r="X122" t="inlineStr">
        <is>
          <t>Dior：白色针织渔夫帽，采用高品质羊毛混纺材质，织纹细腻柔软，正面银色Dior标识彰显品牌格调，极简中性设计适合男女佩戴，法式优雅与现代休闲完美融合，展现2024潮流格调。</t>
        </is>
      </c>
    </row>
    <row r="123" ht="25.5" customHeight="1">
      <c r="A123">
        <v>1654975475</v>
      </c>
      <c r="B123">
        <v>7625644078</v>
      </c>
      <c r="C123" s="2" t="str">
        <f>=HYPERLINK("https://weidian.com/item.html?itemID=7625644078", "https://weidian.com/item.html?itemID=7625644078")</f>
        <v>https://weidian.com/item.html?itemID=7625644078</v>
      </c>
      <c r="D123"/>
      <c r="E123" s="2" t="str">
        <f>=HYPERLINK("https://si.geilicdn.com/pcitem2014204438-27180000019adc9bce170a2304aa_1442_1922.jpg?w=640&amp;h=640", "https://si.geilicdn.com/pcitem2014204438-27180000019adc9bce170a2304aa_1442_1922.jpg?w=640&amp;h=640")</f>
        <v>https://si.geilicdn.com/pcitem2014204438-27180000019adc9bce170a2304aa_1442_1922.jpg?w=640&amp;h=640</v>
      </c>
      <c r="F123" t="inlineStr">
        <is>
          <t>Hats</t>
        </is>
      </c>
      <c r="G123" t="inlineStr">
        <is>
          <t>Miu Miu</t>
        </is>
      </c>
      <c r="H123">
        <v>200</v>
      </c>
      <c r="I123">
        <v>28.99</v>
      </c>
      <c r="J123" t="inlineStr">
        <is>
          <t>{"id":"chatcmpl-DZoGBTv5FATGsVUKFVF5TqXRak6tw","object":"chat.completion","created":1777427051,"model":"gpt-5-chat-2025-10-03","choices":[{"index":0,"message":{"role":"assistant","content":"Miu Miu Navy Blue Cotton Logo Baseball Cap","refusal":null,"annotations":[]},"logprobs":null,"finish_reason":"stop"}],"usage":{"prompt_tokens":888,"completion_tokens":11,"total_tokens":899,"prompt_tokens_details":{"cached_tokens":0,"audio_tokens":0},"completion_tokens_details":{"reasoning_tokens":0,"audio_tokens":0,"accepted_prediction_tokens":0,"rejected_prediction_tokens":0}},"service_tier":"default","system_fingerprint":"fp_fd471178c5"}</t>
        </is>
      </c>
      <c r="K123" t="inlineStr">
        <is>
          <t>Miu Miu Navy Blue Cotton Logo Baseball Cap</t>
        </is>
      </c>
      <c r="L123" t="inlineStr">
        <is>
          <t>{"id":"chatcmpl-DZo2uaKNSWMwDXUeA9csFJIAX42gQ","object":"chat.completion","created":1777426228,"model":"gpt-5-chat-2025-10-03","choices":[{"index":0,"message":{"role":"assistant","content":"Miu Miu Navy Blue Embroidered Logo Baseball Cap made from premium cotton twill, breathable and structured with a curved brim, unisex style blending casual elegance and 2000s retro fashion.","refusal":null,"annotations":[]},"logprobs":null,"finish_reason":"stop"}],"usage":{"prompt_tokens":920,"completion_tokens":42,"total_tokens":962,"prompt_tokens_details":{"cached_tokens":0,"audio_tokens":0},"completion_tokens_details":{"reasoning_tokens":0,"audio_tokens":0,"accepted_prediction_tokens":0,"rejected_prediction_tokens":0}},"service_tier":"default","system_fingerprint":"fp_fd471178c5"}</t>
        </is>
      </c>
      <c r="M123" t="inlineStr">
        <is>
          <t>{"alt-svc":"h3=\":443\"; ma=2592000","apim-request-id":"5685e46c-d33d-4139-9d32-81e75a6adf1c","azureml-model-session":"d20260428165144-a78ba574","cache-control":"no-cache","connection":"close","content-length":"996","content-type":"application/json","date":"Wed, 29 Apr 2026 01:30:29 GMT","server":"nginx","skip-error-remapping":"true","strict-transport-security":"max-age=31536000; includeSubDomains; preload","via":"1.1 Caddy","x-content-type-options":"nosniff","x-ms-client-request-id":"Not-Set","x-ms-is-spilled-over":"false","x-ms-rai-invoked":"false","x-ms-region":"East US 2","x-new-api-version":"0.4.35","x-oneapi-request-id":"202604290130275056546948268d9d6GbqZfsAD","x-ratelimit-abusepenalty-active":"False","x-ratelimit-key":"gpt-5-chat-global","x-ratelimit-limit-requests":"1000","x-ratelimit-limit-tokens":"1000000","x-ratelimit-remaining-requests":"999","x-ratelimit-remaining-tokens":"998318","x-ratelimit-renewalperiod-requests":"60","x-ratelimit-renewalperiod-tokens":"60","x-ratelimit-reset-requests":"60","x-ratelimit-reset-tokens":"100","x-request-id":"83bd21d0-047d-48e0-8e49-0a77634bfc66"}</t>
        </is>
      </c>
      <c r="N123" t="inlineStr">
        <is>
          <t>Miu Miu Navy Blue Embroidered Logo Baseball Cap made from premium cotton twill, breathable and structured with a curved brim, unisex style blending casual elegance and 2000s retro fashion.</t>
        </is>
      </c>
      <c r="O123" t="inlineStr">
        <is>
          <t>{"id":"chatcmpl-DZoNrJKqmjv5lOsmR19iAzJNmAWw4","object":"chat.completion","created":1777427527,"model":"gpt-5-chat-2025-10-03","choices":[{"index":0,"message":{"role":"assistant","content":"Miu Miu, Hats,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is>
      </c>
      <c r="P123" t="inlineStr">
        <is>
          <t>Miu Miu, Hats, kakobuy, kakebuy2026, kekobuysheet, kakobuysheet2026, 2026kakobuy, kakobuyspreadsheeet, kakobuylink, kakebuylist, Kakobuy MEGA Spreadsheet, kakobuysheetfind, kakobuysheetfind2026, 2026kakobuysheetfind, kakobuysheet2026</t>
        </is>
      </c>
      <c r="Q123" t="inlineStr">
        <is>
          <t>Navy, Unisex, Retro, Breathable</t>
        </is>
      </c>
      <c r="R123" t="inlineStr">
        <is>
          <t>recvhju1CrJWgU</t>
        </is>
      </c>
      <c r="S123" t="inlineStr">
        <is>
          <t>miu-miu-navy-blue-cotton-logo-baseball-cap-recvhju1crjwgu</t>
        </is>
      </c>
      <c r="T123"/>
      <c r="U123"/>
      <c r="V123"/>
      <c r="W123" t="inlineStr">
        <is>
          <t>{"id":"chatcmpl-DZnwYjEYXWK5RefDRL2jvTyNJRSxs","object":"chat.completion","created":1777425834,"model":"gpt-5-chat-2025-10-03","choices":[{"index":0,"message":{"role":"assistant","content":"Miu Miu：海军蓝刺绣Logo棒球帽，选用优质纯棉斜纹面料，挺括透气，弧形帽檐设计彰显休闲与优雅并存的现代风格，简约字母标识点缀前幅，男女皆宜，轻松演绎2000年代复古潮流。","refusal":null,"annotations":[]},"logprobs":null,"finish_reason":"stop"}],"usage":{"prompt_tokens":1302,"completion_tokens":85,"total_tokens":1387,"prompt_tokens_details":{"cached_tokens":0,"audio_tokens":0},"completion_tokens_details":{"reasoning_tokens":0,"audio_tokens":0,"accepted_prediction_tokens":0,"rejected_prediction_tokens":0}},"service_tier":"default","system_fingerprint":"fp_ad66631dec"}</t>
        </is>
      </c>
      <c r="X123" t="inlineStr">
        <is>
          <t>Miu Miu：海军蓝刺绣Logo棒球帽，选用优质纯棉斜纹面料，挺括透气，弧形帽檐设计彰显休闲与优雅并存的现代风格，简约字母标识点缀前幅，男女皆宜，轻松演绎2000年代复古潮流。</t>
        </is>
      </c>
    </row>
    <row r="124" ht="25.5" customHeight="1">
      <c r="A124">
        <v>1654975475</v>
      </c>
      <c r="B124">
        <v>7625612116</v>
      </c>
      <c r="C124" s="2" t="str">
        <f>=HYPERLINK("https://weidian.com/item.html?itemID=7625612116", "https://weidian.com/item.html?itemID=7625612116")</f>
        <v>https://weidian.com/item.html?itemID=7625612116</v>
      </c>
      <c r="D124"/>
      <c r="E124" s="2" t="str">
        <f>=HYPERLINK("https://si.geilicdn.com/pcitem2014204438-53a90000019adc98355f0a2303ee_1080_1080.jpg?w=640&amp;h=640", "https://si.geilicdn.com/pcitem2014204438-53a90000019adc98355f0a2303ee_1080_1080.jpg?w=640&amp;h=640")</f>
        <v>https://si.geilicdn.com/pcitem2014204438-53a90000019adc98355f0a2303ee_1080_1080.jpg?w=640&amp;h=640</v>
      </c>
      <c r="F124" t="inlineStr">
        <is>
          <t>Hats</t>
        </is>
      </c>
      <c r="G124" t="inlineStr">
        <is>
          <t>Moncler</t>
        </is>
      </c>
      <c r="H124">
        <v>250</v>
      </c>
      <c r="I124">
        <v>36.23</v>
      </c>
      <c r="J124" t="inlineStr">
        <is>
          <t>{"id":"chatcmpl-DZoGP5CgbLgX4M1SbT7LFzOkVAXMP","object":"chat.completion","created":1777427065,"model":"gpt-5-chat-2025-10-03","choices":[{"index":0,"message":{"role":"assistant","content":"Moncler Beige Distressed Cotton Embroidered Logo Baseball Cap","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ad66631dec"}</t>
        </is>
      </c>
      <c r="K124" t="inlineStr">
        <is>
          <t>Moncler Beige Distressed Cotton Embroidered Logo Baseball Cap</t>
        </is>
      </c>
      <c r="L124" t="inlineStr">
        <is>
          <t>{"id":"chatcmpl-DZo6ESlxL8aFxrsgVneL6oazyX4ZK","object":"chat.completion","created":1777426434,"model":"gpt-5-chat-2025-10-03","choices":[{"index":0,"message":{"role":"assistant","content":"Moncler Beige Cotton Baseball Cap with embroidered logo patch, distressed vintage design, lightweight and breathable for men and women, perfect for all-season casual or commute wear.","refusal":null,"annotations":[]},"logprobs":null,"finish_reason":"stop"}],"usage":{"prompt_tokens":899,"completion_tokens":33,"total_tokens":932,"prompt_tokens_details":{"cached_tokens":0,"audio_tokens":0},"completion_tokens_details":{"reasoning_tokens":0,"audio_tokens":0,"accepted_prediction_tokens":0,"rejected_prediction_tokens":0}},"service_tier":"default","system_fingerprint":"fp_fd471178c5"}</t>
        </is>
      </c>
      <c r="M124" t="inlineStr">
        <is>
          <t>{"alt-svc":"h3=\":443\"; ma=2592000","apim-request-id":"5ffa813d-15ce-442c-af66-181cfea2d5b7","azureml-model-session":"d20260428205641-55ca9797","cache-control":"no-cache","connection":"close","content-length":"990","content-type":"application/json","date":"Wed, 29 Apr 2026 01:33:56 GMT","server":"Caddy","skip-error-remapping":"true","strict-transport-security":"max-age=31536000; includeSubDomains; preload","x-content-type-options":"nosniff","x-ms-client-request-id":"Not-Set","x-ms-is-spilled-over":"false","x-ms-rai-invoked":"false","x-ms-region":"Poland Central","x-new-api-version":"0.4.35","x-oneapi-request-id":"202604290133534987317368268d9d6Lo9VAG6D","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242c157b-c2dd-40ff-9f55-b46652cfaa1a"}</t>
        </is>
      </c>
      <c r="N124" t="inlineStr">
        <is>
          <t>Moncler Beige Cotton Baseball Cap with embroidered logo patch, distressed vintage design, lightweight and breathable for men and women, perfect for all-season casual or commute wear.</t>
        </is>
      </c>
      <c r="O124" t="inlineStr">
        <is>
          <t>{"id":"chatcmpl-DZoKnbtf4tXVFL30PVl1WKM2jA0ib","object":"chat.completion","created":1777427337,"model":"gpt-5-chat-2025-10-03","choices":[{"index":0,"message":{"role":"assistant","content":"Moncle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24" t="inlineStr">
        <is>
          <t>Moncler,Hat,kakobuy,kakebuy2026,kekobuysheet,kakobuysheet2026,2026kakobuy,kakobuyspreadsheeet,kakobuylink,kakebuylist,Kakobuy MEGA Spreadsheet,kakobuysheetfind,kakobuysheetfind2026,2026kakobuysheetfind,kakobuysheet2026</t>
        </is>
      </c>
      <c r="Q124" t="inlineStr">
        <is>
          <t>Beige, Vintage, Lightweight, Breathable, All Seasons, Unisex</t>
        </is>
      </c>
      <c r="R124" t="inlineStr">
        <is>
          <t>recvhju1CrZOB6</t>
        </is>
      </c>
      <c r="S124" t="inlineStr">
        <is>
          <t>moncler-beige-distressed-cotton-embroidered-logo-baseball-cap-recvhju1crzob6</t>
        </is>
      </c>
      <c r="T124"/>
      <c r="U124"/>
      <c r="V124"/>
      <c r="W124" t="inlineStr">
        <is>
          <t>{"id":"chatcmpl-DZny41Y0Bo9w0nHhbZsnQxAvLqzIs","object":"chat.completion","created":1777425928,"model":"gpt-5-chat-2025-10-03","choices":[{"index":0,"message":{"role":"assistant","content":"Moncler 米色休闲棒球帽，采用纯棉质地，轻盈透气，正面饰品牌徽标刺绣贴章，做旧磨损设计展现复古街头风格，男女皆宜，适合四季通勤与休闲穿搭。","refusal":null,"annotations":[]},"logprobs":null,"finish_reason":"stop"}],"usage":{"prompt_tokens":1300,"completion_tokens":65,"total_tokens":1365,"prompt_tokens_details":{"cached_tokens":0,"audio_tokens":0},"completion_tokens_details":{"reasoning_tokens":0,"audio_tokens":0,"accepted_prediction_tokens":0,"rejected_prediction_tokens":0}},"service_tier":"default","system_fingerprint":"fp_fd471178c5"}</t>
        </is>
      </c>
      <c r="X124" t="inlineStr">
        <is>
          <t>Moncler 米色休闲棒球帽，采用纯棉质地，轻盈透气，正面饰品牌徽标刺绣贴章，做旧磨损设计展现复古街头风格，男女皆宜，适合四季通勤与休闲穿搭。</t>
        </is>
      </c>
    </row>
    <row r="125" ht="25.5" customHeight="1">
      <c r="A125">
        <v>1654975475</v>
      </c>
      <c r="B125">
        <v>7622604331</v>
      </c>
      <c r="C125" s="2" t="str">
        <f>=HYPERLINK("https://weidian.com/item.html?itemID=7622604331", "https://weidian.com/item.html?itemID=7622604331")</f>
        <v>https://weidian.com/item.html?itemID=7622604331</v>
      </c>
      <c r="D125"/>
      <c r="E125" s="2" t="str">
        <f>=HYPERLINK("https://si.geilicdn.com/pcitem2014204438-4ad70000019adc8d386f0a20e284_1440_1440.jpg?w=640&amp;h=640", "https://si.geilicdn.com/pcitem2014204438-4ad70000019adc8d386f0a20e284_1440_1440.jpg?w=640&amp;h=640")</f>
        <v>https://si.geilicdn.com/pcitem2014204438-4ad70000019adc8d386f0a20e284_1440_1440.jpg?w=640&amp;h=640</v>
      </c>
      <c r="F125" t="inlineStr">
        <is>
          <t>Hats</t>
        </is>
      </c>
      <c r="G125" t="inlineStr">
        <is>
          <t>Emis</t>
        </is>
      </c>
      <c r="H125">
        <v>230</v>
      </c>
      <c r="I125">
        <v>33.33</v>
      </c>
      <c r="J125" t="inlineStr">
        <is>
          <t>{"id":"chatcmpl-DZoCpHg0A4wIh0MBi85QrUZ4fvijr","object":"chat.completion","created":1777426843,"model":"gpt-5-chat-2025-10-03","choices":[{"index":0,"message":{"role":"assistant","content":"HatsEmis Classic Dark Brown Heart Embroidery Cotton Cap","refusal":null,"annotations":[]},"logprobs":null,"finish_reason":"stop"}],"usage":{"prompt_tokens":882,"completion_tokens":13,"total_tokens":895,"prompt_tokens_details":{"cached_tokens":0,"audio_tokens":0},"completion_tokens_details":{"reasoning_tokens":0,"audio_tokens":0,"accepted_prediction_tokens":0,"rejected_prediction_tokens":0}},"service_tier":"default","system_fingerprint":"fp_ad66631dec"}</t>
        </is>
      </c>
      <c r="K125" t="inlineStr">
        <is>
          <t>HatsEmis Classic Dark Brown Heart Embroidery Cotton Cap</t>
        </is>
      </c>
      <c r="L125" t="inlineStr">
        <is>
          <t>{"id":"chatcmpl-DZo8rhUH9dmyIv9TTybbZrz78sN67","object":"chat.completion","created":1777426597,"model":"gpt-5-chat-2025-10-03","choices":[{"index":0,"message":{"role":"assistant","content":"HatsEmisEmis Classic Dark Brown Cotton Baseball Cap, heart embroidery logo, Korean sweet-cool style, unisex casual design, soft breathable fabric, perfect for everyday fashion and comfort.","refusal":null,"annotations":[]},"logprobs":null,"finish_reason":"stop"}],"usage":{"prompt_tokens":901,"completion_tokens":40,"total_tokens":941,"prompt_tokens_details":{"cached_tokens":0,"audio_tokens":0},"completion_tokens_details":{"reasoning_tokens":0,"audio_tokens":0,"accepted_prediction_tokens":0,"rejected_prediction_tokens":0}},"service_tier":"default","system_fingerprint":"fp_fd471178c5"}</t>
        </is>
      </c>
      <c r="M125" t="inlineStr">
        <is>
          <t>{"alt-svc":"h3=\":443\"; ma=2592000","apim-request-id":"8927f652-4f61-45a1-bc7e-2692c107654f","azureml-model-session":"d20260428174121-807d9cc5","cache-control":"no-cache","connection":"close","content-length":"996","content-type":"application/json","date":"Wed, 29 Apr 2026 01:36:37 GMT","server":"Caddy","skip-error-remapping":"true","strict-transport-security":"max-age=31536000; includeSubDomains; preload","x-content-type-options":"nosniff","x-ms-client-request-id":"Not-Set","x-ms-is-spilled-over":"false","x-ms-rai-invoked":"false","x-ms-region":"South Central US","x-new-api-version":"0.4.35","x-oneapi-request-id":"202604290136362567886538268d9d6CpPaGXtt","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ee84dbd8-aeb2-48f1-bea5-be159fcf0706"}</t>
        </is>
      </c>
      <c r="N125" t="inlineStr">
        <is>
          <t>HatsEmisEmis Classic Dark Brown Cotton Baseball Cap, heart embroidery logo, Korean sweet-cool style, unisex casual design, soft breathable fabric, perfect for everyday fashion and comfort.</t>
        </is>
      </c>
      <c r="O125" t="inlineStr">
        <is>
          <t>{"id":"chatcmpl-DZoLjngXIhlgGwL3mvcguOOKKlMMu","object":"chat.completion","created":1777427395,"model":"gpt-5-chat-2025-10-03","choices":[{"index":0,"message":{"role":"assistant","content":"emis,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ad66631dec"}</t>
        </is>
      </c>
      <c r="P125" t="inlineStr">
        <is>
          <t>emis,hat,kakobuy,kakebuy2026,kekobuysheet,kakobuysheet2026,2026kakobuy,kakobuyspreadsheeet,kakobuylink,kakebuylist,Kakobuy MEGA Spreadsheet,kakobuysheetfind,kakobuysheetfind2026,2026kakobuysheetfind,kakobuysheet2026</t>
        </is>
      </c>
      <c r="Q125" t="inlineStr">
        <is>
          <t>Brown, Korean, Sweet, Unisex, Breathable</t>
        </is>
      </c>
      <c r="R125" t="inlineStr">
        <is>
          <t>recvhju1CrHFeP</t>
        </is>
      </c>
      <c r="S125" t="inlineStr">
        <is>
          <t>hatsemis-dark-brown-heart-embroidery-cotton-cap-recvhju1crhfep</t>
        </is>
      </c>
      <c r="T125"/>
      <c r="U125"/>
      <c r="V125"/>
      <c r="W125" t="inlineStr">
        <is>
          <t>{"id":"chatcmpl-DZnrwBLfWewLElEjZ3S896kCbKJCV","object":"chat.completion","created":1777425548,"model":"gpt-5-chat-2025-10-03","choices":[{"index":0,"message":{"role":"assistant","content":"Emis：经典系列深棕色休闲棒球帽，柔软纯棉材质，心形刺绣点缀品牌标识，简约百搭设计，男女皆宜，融合韩系甜酷风格，展现个性时尚与舒适质感。","refusal":null,"annotations":[]},"logprobs":null,"finish_reason":"stop"}],"usage":{"prompt_tokens":1302,"completion_tokens":66,"total_tokens":1368,"prompt_tokens_details":{"cached_tokens":1280,"audio_tokens":0},"completion_tokens_details":{"reasoning_tokens":0,"audio_tokens":0,"accepted_prediction_tokens":0,"rejected_prediction_tokens":0}},"service_tier":"default","system_fingerprint":"fp_ad66631dec"}</t>
        </is>
      </c>
      <c r="X125" t="inlineStr">
        <is>
          <t>Emis：经典系列深棕色休闲棒球帽，柔软纯棉材质，心形刺绣点缀品牌标识，简约百搭设计，男女皆宜，融合韩系甜酷风格，展现个性时尚与舒适质感。</t>
        </is>
      </c>
    </row>
    <row r="126" ht="25.5" customHeight="1">
      <c r="A126">
        <v>1654975475</v>
      </c>
      <c r="B126">
        <v>7625647932</v>
      </c>
      <c r="C126" s="2" t="str">
        <f>=HYPERLINK("https://weidian.com/item.html?itemID=7625647932", "https://weidian.com/item.html?itemID=7625647932")</f>
        <v>https://weidian.com/item.html?itemID=7625647932</v>
      </c>
      <c r="D126"/>
      <c r="E126" s="2" t="str">
        <f>=HYPERLINK("https://si.geilicdn.com/pcitem2014204438-52640000019adc8bdf3f0a23111a_1440_1440.jpg?w=640&amp;h=640", "https://si.geilicdn.com/pcitem2014204438-52640000019adc8bdf3f0a23111a_1440_1440.jpg?w=640&amp;h=640")</f>
        <v>https://si.geilicdn.com/pcitem2014204438-52640000019adc8bdf3f0a23111a_1440_1440.jpg?w=640&amp;h=640</v>
      </c>
      <c r="F126" t="inlineStr">
        <is>
          <t>Hats</t>
        </is>
      </c>
      <c r="G126" t="inlineStr">
        <is>
          <t>Chanel</t>
        </is>
      </c>
      <c r="H126">
        <v>270</v>
      </c>
      <c r="I126">
        <v>39.13</v>
      </c>
      <c r="J126" t="inlineStr">
        <is>
          <t>{"id":"chatcmpl-DZoHBNJKGJyGD2CSdpmelmoWIBNsx","object":"chat.completion","created":1777427113,"model":"gpt-5-chat-2025-10-03","choices":[{"index":0,"message":{"role":"assistant","content":"Chanel Beige Straw Sun Hat Summer Style","refusal":null,"annotations":[]},"logprobs":null,"finish_reason":"stop"}],"usage":{"prompt_tokens":886,"completion_tokens":9,"total_tokens":895,"prompt_tokens_details":{"cached_tokens":0,"audio_tokens":0},"completion_tokens_details":{"reasoning_tokens":0,"audio_tokens":0,"accepted_prediction_tokens":0,"rejected_prediction_tokens":0}},"service_tier":"default","system_fingerprint":"fp_fd471178c5"}</t>
        </is>
      </c>
      <c r="K126" t="inlineStr">
        <is>
          <t>Chanel Beige Straw Sun Hat Summer Style</t>
        </is>
      </c>
      <c r="L126" t="inlineStr">
        <is>
          <t>{"id":"chatcmpl-DZo9hx61Mv4WE2UKPmbFR1W530Njq","object":"chat.completion","created":1777426649,"model":"gpt-5-chat-2025-10-03","choices":[{"index":0,"message":{"role":"assistant","content":"Chanel Beige Woven Straw Sun Hat, crafted from natural straw with handwoven design, iconic double C logo, fringed edge, lightweight, breathable and stylish, perfect for spring and summer vacation wear.","refusal":null,"annotations":[]},"logprobs":null,"finish_reason":"stop"}],"usage":{"prompt_tokens":907,"completion_tokens":42,"total_tokens":949,"prompt_tokens_details":{"cached_tokens":0,"audio_tokens":0},"completion_tokens_details":{"reasoning_tokens":0,"audio_tokens":0,"accepted_prediction_tokens":0,"rejected_prediction_tokens":0}},"service_tier":"default","system_fingerprint":"fp_fd471178c5"}</t>
        </is>
      </c>
      <c r="M126" t="inlineStr">
        <is>
          <t>{"alt-svc":"h3=\":443\"; ma=2592000","apim-request-id":"848a9550-539b-43fb-a643-50879ff1ac1f","azureml-model-session":"d20260428174121-807d9cc5","cache-control":"no-cache","connection":"close","content-length":"1009","content-type":"application/json","date":"Wed, 29 Apr 2026 01:37:30 GMT","server":"nginx","skip-error-remapping":"true","strict-transport-security":"max-age=31536000; includeSubDomains; preload","via":"1.1 Caddy","x-content-type-options":"nosniff","x-ms-client-request-id":"Not-Set","x-ms-is-spilled-over":"false","x-ms-rai-invoked":"false","x-ms-region":"North Central US","x-new-api-version":"0.4.35","x-oneapi-request-id":"202604290137285516848398268d9d6MO6xtkA4","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429d6534-6e6b-43e3-8dd3-74be31ba382f"}</t>
        </is>
      </c>
      <c r="N126" t="inlineStr">
        <is>
          <t>Chanel Beige Woven Straw Sun Hat, crafted from natural straw with handwoven design, iconic double C logo, fringed edge, lightweight, breathable and stylish, perfect for spring and summer vacation wear.</t>
        </is>
      </c>
      <c r="O126" t="inlineStr">
        <is>
          <t>{"id":"chatcmpl-DZoOYD0mtUYHMPF3Tcb0S5qZgkdW7","object":"chat.completion","created":1777427570,"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26" t="inlineStr">
        <is>
          <t>Chanel,hat,kakobuy,kakebuy2026,kekobuysheet,kakobuysheet2026,2026kakobuy,kakobuyspreadsheeet,kakobuylink,kakebuylist,Kakobuy MEGA Spreadsheet,kakobuysheetfind,kakobuysheetfind2026,2026kakobuysheetfind,kakobuysheet2026</t>
        </is>
      </c>
      <c r="Q126" t="inlineStr">
        <is>
          <t>Chanel, Beige, Breathable, Lightweight, Spring And Summer</t>
        </is>
      </c>
      <c r="R126" t="inlineStr">
        <is>
          <t>recvhju1CrpWNk</t>
        </is>
      </c>
      <c r="S126" t="inlineStr">
        <is>
          <t>chanel-beige-straw-sun-hat-summer-recvhju1crpwnk</t>
        </is>
      </c>
      <c r="T126"/>
      <c r="U126"/>
      <c r="V126"/>
      <c r="W126" t="inlineStr">
        <is>
          <t>{"id":"chatcmpl-DZnvMM4TpIWpWRkJNiOPidnNaz1of","object":"chat.completion","created":1777425760,"model":"gpt-5-chat-2025-10-03","choices":[{"index":0,"message":{"role":"assistant","content":"Chanel：米色草编遮阳帽，甄选天然草编材质手工编织，正面饰以标志性双C徽标，边缘流苏设计彰显法式优雅，轻盈透气防晒，适合春夏休闲度假，女士时尚精品单品。","refusal":null,"annotations":[]},"logprobs":null,"finish_reason":"stop"}],"usage":{"prompt_tokens":1302,"completion_tokens":72,"total_tokens":1374,"prompt_tokens_details":{"cached_tokens":0,"audio_tokens":0},"completion_tokens_details":{"reasoning_tokens":0,"audio_tokens":0,"accepted_prediction_tokens":0,"rejected_prediction_tokens":0}},"service_tier":"default","system_fingerprint":"fp_ad66631dec"}</t>
        </is>
      </c>
      <c r="X126" t="inlineStr">
        <is>
          <t>Chanel：米色草编遮阳帽，甄选天然草编材质手工编织，正面饰以标志性双C徽标，边缘流苏设计彰显法式优雅，轻盈透气防晒，适合春夏休闲度假，女士时尚精品单品。</t>
        </is>
      </c>
    </row>
    <row r="127" ht="25.5" customHeight="1">
      <c r="A127">
        <v>1654975475</v>
      </c>
      <c r="B127">
        <v>7625546552</v>
      </c>
      <c r="C127" s="2" t="str">
        <f>=HYPERLINK("https://weidian.com/item.html?itemID=7625546552", "https://weidian.com/item.html?itemID=7625546552")</f>
        <v>https://weidian.com/item.html?itemID=7625546552</v>
      </c>
      <c r="D127"/>
      <c r="E127" s="2" t="str">
        <f>=HYPERLINK("https://si.geilicdn.com/pcitem2014204438-39650000019adc85b01a0a20e273_1080_1080.jpg?w=640&amp;h=640", "https://si.geilicdn.com/pcitem2014204438-39650000019adc85b01a0a20e273_1080_1080.jpg?w=640&amp;h=640")</f>
        <v>https://si.geilicdn.com/pcitem2014204438-39650000019adc85b01a0a20e273_1080_1080.jpg?w=640&amp;h=640</v>
      </c>
      <c r="F127" t="inlineStr">
        <is>
          <t>Hats</t>
        </is>
      </c>
      <c r="G127" t="inlineStr">
        <is>
          <t>Chanel</t>
        </is>
      </c>
      <c r="H127">
        <v>270</v>
      </c>
      <c r="I127">
        <v>39.13</v>
      </c>
      <c r="J127" t="inlineStr">
        <is>
          <t>{"id":"chatcmpl-DZoEUhNT7aUsEItU20rEbwNDTbx03","object":"chat.completion","created":1777426946,"model":"gpt-5-chat-2025-10-03","choices":[{"index":0,"message":{"role":"assistant","content":"Chanel Black Cotton Bucket Hat Unisex Luxury Embroidery","refusal":null,"annotations":[]},"logprobs":null,"finish_reason":"stop"}],"usage":{"prompt_tokens":884,"completion_tokens":12,"total_tokens":896,"prompt_tokens_details":{"cached_tokens":0,"audio_tokens":0},"completion_tokens_details":{"reasoning_tokens":0,"audio_tokens":0,"accepted_prediction_tokens":0,"rejected_prediction_tokens":0}},"service_tier":"default","system_fingerprint":"fp_ad66631dec"}</t>
        </is>
      </c>
      <c r="K127" t="inlineStr">
        <is>
          <t>Chanel Black Cotton Bucket Hat Unisex Luxury Embroidery</t>
        </is>
      </c>
      <c r="L127" t="inlineStr">
        <is>
          <t>{"id":"chatcmpl-DZo97QNSeVryW8eneap0Ncji4UOtl","object":"chat.completion","created":1777426613,"model":"gpt-5-chat-2025-10-03","choices":[{"index":0,"message":{"role":"assistant","content":"Chanel Black Cotton Bucket Hat features premium dense cotton fabric and iconic 3D double C embroidery. Simple, elegant, unisex design for daily wear or vacation, embodying timeless French luxury style.","refusal":null,"annotations":[]},"logprobs":null,"finish_reason":"stop"}],"usage":{"prompt_tokens":900,"completion_tokens":41,"total_tokens":941,"prompt_tokens_details":{"cached_tokens":0,"audio_tokens":0},"completion_tokens_details":{"reasoning_tokens":0,"audio_tokens":0,"accepted_prediction_tokens":0,"rejected_prediction_tokens":0}},"service_tier":"default","system_fingerprint":"fp_ad66631dec"}</t>
        </is>
      </c>
      <c r="M127" t="inlineStr">
        <is>
          <t>{"alt-svc":"h3=\":443\"; ma=2592000","apim-request-id":"23a9b535-22b6-46ae-ab48-7ed53a7a7da7","azureml-model-session":"d20260402074105-51db401e","cache-control":"no-cache","connection":"close","content-length":"1009","content-type":"application/json","date":"Wed, 29 Apr 2026 01:36:56 GMT","server":"nginx","skip-error-remapping":"true","strict-transport-security":"max-age=31536000; includeSubDomains; preload","via":"1.1 Caddy","x-content-type-options":"nosniff","x-ms-client-request-id":"Not-Set","x-ms-is-spilled-over":"false","x-ms-rai-invoked":"false","x-ms-region":"South Central US","x-new-api-version":"0.4.35","x-oneapi-request-id":"202604290136532221133288268d9d6p0XEbUel","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354bab36-785d-46a3-985c-3d9ad9cf6179"}</t>
        </is>
      </c>
      <c r="N127" t="inlineStr">
        <is>
          <t>Chanel Black Cotton Bucket Hat features premium dense cotton fabric and iconic 3D double C embroidery. Simple, elegant, unisex design for daily wear or vacation, embodying timeless French luxury style.</t>
        </is>
      </c>
      <c r="O127" t="inlineStr">
        <is>
          <t>{"id":"chatcmpl-DZoLTOxJXl1oLxI8KC1wSCaPTpS45","object":"chat.completion","created":1777427379,"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27" t="inlineStr">
        <is>
          <t>Chanel,Hat,kakobuy,kakebuy2026,kekobuysheet,kakobuysheet2026,2026kakobuy,kakobuyspreadsheeet,kakobuylink,kakebuylist,Kakobuy MEGA Spreadsheet,kakobuysheetfind,kakobuysheetfind2026,2026kakobuysheetfind,kakobuysheet2026</t>
        </is>
      </c>
      <c r="Q127" t="inlineStr">
        <is>
          <t>Chanel, Black, Elegant, Unisex</t>
        </is>
      </c>
      <c r="R127" t="inlineStr">
        <is>
          <t>recvhju1Cr9Qft</t>
        </is>
      </c>
      <c r="S127" t="inlineStr">
        <is>
          <t>chanel-black-cotton-bucket-hat-recvhju1cr9qft</t>
        </is>
      </c>
      <c r="T127"/>
      <c r="U127"/>
      <c r="V127"/>
      <c r="W127" t="inlineStr">
        <is>
          <t>{"id":"chatcmpl-DZntI3WHcfMKKirOsObYs40TY3JGJ","object":"chat.completion","created":1777425632,"model":"gpt-5-chat-2025-10-03","choices":[{"index":0,"message":{"role":"assistant","content":"Chanel：黑色休闲渔夫帽，精选高密棉质面料，立体双C标志刺绣设计，简约优雅百搭，彰显法式高级时尚风格，男女皆宜，适合日常出行与度假穿搭。","refusal":null,"annotations":[]},"logprobs":null,"finish_reason":"stop"}],"usage":{"prompt_tokens":1300,"completion_tokens":66,"total_tokens":1366,"prompt_tokens_details":{"cached_tokens":0,"audio_tokens":0},"completion_tokens_details":{"reasoning_tokens":0,"audio_tokens":0,"accepted_prediction_tokens":0,"rejected_prediction_tokens":0}},"service_tier":"default","system_fingerprint":"fp_fd471178c5"}</t>
        </is>
      </c>
      <c r="X127" t="inlineStr">
        <is>
          <t>Chanel：黑色休闲渔夫帽，精选高密棉质面料，立体双C标志刺绣设计，简约优雅百搭，彰显法式高级时尚风格，男女皆宜，适合日常出行与度假穿搭。</t>
        </is>
      </c>
    </row>
    <row r="128" ht="25.5" customHeight="1">
      <c r="A128">
        <v>1654975475</v>
      </c>
      <c r="B128">
        <v>7622618133</v>
      </c>
      <c r="C128" s="2" t="str">
        <f>=HYPERLINK("https://weidian.com/item.html?itemID=7622618133", "https://weidian.com/item.html?itemID=7622618133")</f>
        <v>https://weidian.com/item.html?itemID=7622618133</v>
      </c>
      <c r="D128"/>
      <c r="E128" s="2" t="str">
        <f>=HYPERLINK("https://si.geilicdn.com/pcitem2014204438-00180000019adc84ff900a21146b_1080_1080.jpg?w=640&amp;h=640", "https://si.geilicdn.com/pcitem2014204438-00180000019adc84ff900a21146b_1080_1080.jpg?w=640&amp;h=640")</f>
        <v>https://si.geilicdn.com/pcitem2014204438-00180000019adc84ff900a21146b_1080_1080.jpg?w=640&amp;h=640</v>
      </c>
      <c r="F128" t="inlineStr">
        <is>
          <t>Hats</t>
        </is>
      </c>
      <c r="G128" t="inlineStr">
        <is>
          <t>Chanel</t>
        </is>
      </c>
      <c r="H128">
        <v>270</v>
      </c>
      <c r="I128">
        <v>39.13</v>
      </c>
      <c r="J128" t="inlineStr">
        <is>
          <t>{"id":"chatcmpl-DZoEchZuZ4OXiIfUA0b1AQpV9mMDO","object":"chat.completion","created":1777426954,"model":"gpt-5-chat-2025-10-03","choices":[{"index":0,"message":{"role":"assistant","content":"Chanel Off White Linen Bucket Hat Unisex Summer Style","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128" t="inlineStr">
        <is>
          <t>Chanel Off White Linen Bucket Hat Unisex Summer Style</t>
        </is>
      </c>
      <c r="L128" t="inlineStr">
        <is>
          <t>{"id":"chatcmpl-DZoAAHk1ST7GyHFpMQjkC6VDkuahf","object":"chat.completion","created":1777426678,"model":"gpt-5-chat-2025-10-03","choices":[{"index":0,"message":{"role":"assistant","content":"Chanel off-white linen-blend bucket hat, breathable and lightweight with 3D double C logo embroidery. Unisex casual design, perfect for spring-summer outings with effortless French elegance.","refusal":null,"annotations":[]},"logprobs":null,"finish_reason":"stop"}],"usage":{"prompt_tokens":915,"completion_tokens":39,"total_tokens":954,"prompt_tokens_details":{"cached_tokens":0,"audio_tokens":0},"completion_tokens_details":{"reasoning_tokens":0,"audio_tokens":0,"accepted_prediction_tokens":0,"rejected_prediction_tokens":0}},"service_tier":"default","system_fingerprint":"fp_ad66631dec"}</t>
        </is>
      </c>
      <c r="M128" t="inlineStr">
        <is>
          <t>{"alt-svc":"h3=\":443\"; ma=2592000","apim-request-id":"57b8a5d6-d29c-48ca-b083-8a1e550561ff","azureml-model-session":"d20260402075109-1fc5a0ec","cache-control":"no-cache","connection":"close","content-length":"998","content-type":"application/json","date":"Wed, 29 Apr 2026 01:38:00 GMT","server":"Caddy","skip-error-remapping":"true","strict-transport-security":"max-age=31536000; includeSubDomains; preload","x-content-type-options":"nosniff","x-ms-client-request-id":"Not-Set","x-ms-is-spilled-over":"false","x-ms-rai-invoked":"false","x-ms-region":"East US","x-new-api-version":"0.4.35","x-oneapi-request-id":"202604290137577442569908268d9d6TYDF4Uet","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af996989-7882-4e2a-bd55-ac0b73a9c073"}</t>
        </is>
      </c>
      <c r="N128" t="inlineStr">
        <is>
          <t>Chanel off-white linen-blend bucket hat, breathable and lightweight with 3D double C logo embroidery. Unisex casual design, perfect for spring-summer outings with effortless French elegance.</t>
        </is>
      </c>
      <c r="O128" t="inlineStr">
        <is>
          <t>{"id":"chatcmpl-DZoLV4NNoHSAszlp2YKwASfMIKUAP","object":"chat.completion","created":1777427381,"model":"gpt-5-chat-2025-10-03","choices":[{"index":0,"message":{"role":"assistant","content":"Chanel,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fd471178c5"}</t>
        </is>
      </c>
      <c r="P128" t="inlineStr">
        <is>
          <t>Chanel,hat,kakobuy,kakebuy2026,kekobuysheet,kakobuysheet2026,2026kakobuy,kakobuyspreadsheeet,kakobuylink,kakebuylist,Kakobuy MEGA Spreadsheet,kakobuysheetfind,kakobuysheetfind2026,2026kakobuysheetfind,kakobuysheet2026</t>
        </is>
      </c>
      <c r="Q128" t="inlineStr">
        <is>
          <t>Chanel, Linen, Breathable, Lightweight, Unisex, Spring And Summer</t>
        </is>
      </c>
      <c r="R128" t="inlineStr">
        <is>
          <t>recvhju1CrVenx</t>
        </is>
      </c>
      <c r="S128" t="inlineStr">
        <is>
          <t>chanel-off-white-linen-bucket-hat-recvhju1crvenx</t>
        </is>
      </c>
      <c r="T128"/>
      <c r="U128"/>
      <c r="V128"/>
      <c r="W128" t="inlineStr">
        <is>
          <t>{"id":"chatcmpl-DZnyhbxnFDvXIRhnp1fAPVhrchW9g","object":"chat.completion","created":1777425967,"model":"gpt-5-chat-2025-10-03","choices":[{"index":0,"message":{"role":"assistant","content":"Chanel：米白色休闲渔夫帽，精选亚麻混纺面料打造，透气轻盈舒适，正面立体双C标志刺绣设计，简约中彰显高雅质感。中性风格，适合春夏出行及都市休闲穿搭，展现法式优雅与现代格调。","refusal":null,"annotations":[]},"logprobs":null,"finish_reason":"stop"}],"usage":{"prompt_tokens":1296,"completion_tokens":83,"total_tokens":1379,"prompt_tokens_details":{"cached_tokens":0,"audio_tokens":0},"completion_tokens_details":{"reasoning_tokens":0,"audio_tokens":0,"accepted_prediction_tokens":0,"rejected_prediction_tokens":0}},"service_tier":"default","system_fingerprint":"fp_ad66631dec"}</t>
        </is>
      </c>
      <c r="X128" t="inlineStr">
        <is>
          <t>Chanel：米白色休闲渔夫帽，精选亚麻混纺面料打造，透气轻盈舒适，正面立体双C标志刺绣设计，简约中彰显高雅质感。中性风格，适合春夏出行及都市休闲穿搭，展现法式优雅与现代格调。</t>
        </is>
      </c>
    </row>
    <row r="129" ht="25.5" customHeight="1">
      <c r="A129">
        <v>1654975475</v>
      </c>
      <c r="B129">
        <v>7697486712</v>
      </c>
      <c r="C129" s="2" t="str">
        <f>=HYPERLINK("https://weidian.com/item.html?itemID=7697486712", "https://weidian.com/item.html?itemID=7697486712")</f>
        <v>https://weidian.com/item.html?itemID=7697486712</v>
      </c>
      <c r="D129"/>
      <c r="E129" s="2" t="str">
        <f>=HYPERLINK("https://si.geilicdn.com/open1654975475-252808396-5d010000019c833b54bf0a8115c2_790_1403.jpg?w=640&amp;h=640", "https://si.geilicdn.com/open1654975475-252808396-5d010000019c833b54bf0a8115c2_790_1403.jpg?w=640&amp;h=640")</f>
        <v>https://si.geilicdn.com/open1654975475-252808396-5d010000019c833b54bf0a8115c2_790_1403.jpg?w=640&amp;h=640</v>
      </c>
      <c r="F129" t="inlineStr">
        <is>
          <t>Toys</t>
        </is>
      </c>
      <c r="G129" t="inlineStr">
        <is>
          <t>Other</t>
        </is>
      </c>
      <c r="H129">
        <v>172</v>
      </c>
      <c r="I129">
        <v>24.93</v>
      </c>
      <c r="J129" t="inlineStr">
        <is>
          <t>{"id":"chatcmpl-DZoIYiz0CskoEaeF5STSzRqltFSZK","object":"chat.completion","created":1777427198,"model":"gpt-5-chat-2025-10-03","choices":[{"index":0,"message":{"role":"assistant","content":"ToysOther AI Mechanical Dog Smart Robot Pet Silver","refusal":null,"annotations":[]},"logprobs":null,"finish_reason":"stop"}],"usage":{"prompt_tokens":1151,"completion_tokens":11,"total_tokens":1162,"prompt_tokens_details":{"cached_tokens":0,"audio_tokens":0},"completion_tokens_details":{"reasoning_tokens":0,"audio_tokens":0,"accepted_prediction_tokens":0,"rejected_prediction_tokens":0}},"service_tier":"default","system_fingerprint":"fp_ad66631dec"}</t>
        </is>
      </c>
      <c r="K129" t="inlineStr">
        <is>
          <t>ToysOther AI Mechanical Dog Smart Robot Pet Silver</t>
        </is>
      </c>
      <c r="L129" t="inlineStr">
        <is>
          <t>{"id":"chatcmpl-DZo9nIQjV831U8I6KTCbtc9qxZjam","object":"chat.completion","created":1777426655,"model":"gpt-5-chat-2025-10-03","choices":[{"index":0,"message":{"role":"assistant","content":"ToysOtherAI Mechanical Dog – silver metallic robot pet with voice recognition, motion programming, AI sensors, interactive play, and futuristic smart design for teens and tech lovers.","refusal":null,"annotations":[]},"logprobs":null,"finish_reason":"stop"}],"usage":{"prompt_tokens":1187,"completion_tokens":35,"total_tokens":1222,"prompt_tokens_details":{"cached_tokens":0,"audio_tokens":0},"completion_tokens_details":{"reasoning_tokens":0,"audio_tokens":0,"accepted_prediction_tokens":0,"rejected_prediction_tokens":0}},"service_tier":"default","system_fingerprint":"fp_fd471178c5"}</t>
        </is>
      </c>
      <c r="M129" t="inlineStr">
        <is>
          <t>{"alt-svc":"h3=\":443\"; ma=2592000","apim-request-id":"e7ea2da1-fd22-4219-9040-99b4915daa2f","azureml-model-session":"d20260428165144-a78ba574","cache-control":"no-cache","connection":"close","content-length":"995","content-type":"application/json","date":"Wed, 29 Apr 2026 01:37:36 GMT","server":"nginx","skip-error-remapping":"true","strict-transport-security":"max-age=31536000; includeSubDomains; preload","via":"1.1 Caddy","x-content-type-options":"nosniff","x-ms-client-request-id":"Not-Set","x-ms-is-spilled-over":"false","x-ms-rai-invoked":"false","x-ms-region":"East US","x-new-api-version":"0.4.35","x-oneapi-request-id":"202604290137341974588608268d9d6Wj8OwuuR","x-ratelimit-abusepenalty-active":"False","x-ratelimit-key":"gpt-5-chat-global","x-ratelimit-limit-requests":"1000","x-ratelimit-limit-tokens":"1000000","x-ratelimit-remaining-requests":"999","x-ratelimit-remaining-tokens":"998050","x-ratelimit-renewalperiod-requests":"60","x-ratelimit-renewalperiod-tokens":"60","x-ratelimit-reset-requests":"60","x-ratelimit-reset-tokens":"117","x-request-id":"41ae5f9d-3ee4-48b5-8576-02d8867f0f46"}</t>
        </is>
      </c>
      <c r="N129" t="inlineStr">
        <is>
          <t>ToysOtherAI Mechanical Dog – silver metallic robot pet with voice recognition, motion programming, AI sensors, interactive play, and futuristic smart design for teens and tech lovers.</t>
        </is>
      </c>
      <c r="O129" t="inlineStr">
        <is>
          <t>{"id":"chatcmpl-DZoRBEJ8K2qLuZAUHpnVFAqh9mMkQ","object":"chat.completion","created":1777427733,"model":"gpt-5-chat-2025-10-03","choices":[{"index":0,"message":{"role":"assistant","content":"Saviour,Mechanical Dog,kakobuy,kakebuy2026,kekobuysheet,kakobuysheet2026,2026kakobuy,kakobuyspreadsheeet,kakobuylink,kakebuylist,Kakobuy MEGA Spreadsheet,kakobuysheetfind,kakobuysheetfind2026,2026kakobuysheetfind,kakobuysheet2026","refusal":null,"annotations":[]},"logprobs":null,"finish_reason":"stop"}],"usage":{"prompt_tokens":1062,"completion_tokens":88,"total_tokens":1150,"prompt_tokens_details":{"cached_tokens":0,"audio_tokens":0},"completion_tokens_details":{"reasoning_tokens":0,"audio_tokens":0,"accepted_prediction_tokens":0,"rejected_prediction_tokens":0}},"service_tier":"default","system_fingerprint":"fp_ad66631dec"}</t>
        </is>
      </c>
      <c r="P129" t="inlineStr">
        <is>
          <t>Saviour,Mechanical Dog,kakobuy,kakebuy2026,kekobuysheet,kakobuysheet2026,2026kakobuy,kakobuyspreadsheeet,kakobuylink,kakebuylist,Kakobuy MEGA Spreadsheet,kakobuysheetfind,kakobuysheetfind2026,2026kakobuysheetfind,kakobuysheet2026</t>
        </is>
      </c>
      <c r="Q129"/>
      <c r="R129" t="inlineStr">
        <is>
          <t>recvhju1CrAxQo</t>
        </is>
      </c>
      <c r="S129" t="inlineStr">
        <is>
          <t>ai-mechanical-dog-robot-pet-silver-recvhju1craxqo</t>
        </is>
      </c>
      <c r="T129"/>
      <c r="U129"/>
      <c r="V129"/>
      <c r="W129" t="inlineStr">
        <is>
          <t>{"id":"chatcmpl-DZntk4YzR9AwuLVWxfWFybr6ZHhzP","object":"chat.completion","created":1777425660,"model":"gpt-5-chat-2025-10-03","choices":[{"index":0,"message":{"role":"assistant","content":"AI编程机械狗，银灰金属质感机身，搭载智能语音识别与动作编程系统，支持多种交互玩法，具备AI传感器与灵活运动结构，未来科技风设计，适合青少年与科技爱好者探索智能编程与机器人乐趣。","refusal":null,"annotations":[]},"logprobs":null,"finish_reason":"stop"}],"usage":{"prompt_tokens":1584,"completion_tokens":71,"total_tokens":1655,"prompt_tokens_details":{"cached_tokens":0,"audio_tokens":0},"completion_tokens_details":{"reasoning_tokens":0,"audio_tokens":0,"accepted_prediction_tokens":0,"rejected_prediction_tokens":0}},"service_tier":"default","system_fingerprint":"fp_fd471178c5"}</t>
        </is>
      </c>
      <c r="X129" t="inlineStr">
        <is>
          <t>AI编程机械狗，银灰金属质感机身，搭载智能语音识别与动作编程系统，支持多种交互玩法，具备AI传感器与灵活运动结构，未来科技风设计，适合青少年与科技爱好者探索智能编程与机器人乐趣。</t>
        </is>
      </c>
    </row>
    <row r="130" ht="25.5" customHeight="1">
      <c r="A130">
        <v>1654975475</v>
      </c>
      <c r="B130">
        <v>7697467844</v>
      </c>
      <c r="C130" s="2" t="str">
        <f>=HYPERLINK("https://weidian.com/item.html?itemID=7697467844", "https://weidian.com/item.html?itemID=7697467844")</f>
        <v>https://weidian.com/item.html?itemID=7697467844</v>
      </c>
      <c r="D130"/>
      <c r="E130" s="2" t="str">
        <f>=HYPERLINK("https://si.geilicdn.com/open1654975475-252808396-102b0000019c7f1f4c670a23b4de_800_800.jpg?w=640&amp;h=640", "https://si.geilicdn.com/open1654975475-252808396-102b0000019c7f1f4c670a23b4de_800_800.jpg?w=640&amp;h=640")</f>
        <v>https://si.geilicdn.com/open1654975475-252808396-102b0000019c7f1f4c670a23b4de_800_800.jpg?w=640&amp;h=640</v>
      </c>
      <c r="F130" t="inlineStr">
        <is>
          <t>Accessories</t>
        </is>
      </c>
      <c r="G130" t="inlineStr">
        <is>
          <t>Other</t>
        </is>
      </c>
      <c r="H130">
        <v>90</v>
      </c>
      <c r="I130">
        <v>13.04</v>
      </c>
      <c r="J130" t="inlineStr">
        <is>
          <t>{"id":"chatcmpl-DZoExnyIO4EFfp6akDIt1qiZ602Co","object":"chat.completion","created":1777426975,"model":"gpt-5-chat-2025-10-03","choices":[{"index":0,"message":{"role":"assistant","content":"AccessoriesOther Zen Series Brown Grey Energy Bead Bracelet","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130" t="inlineStr">
        <is>
          <t>AccessoriesOther Zen Series Brown Grey Energy Bead Bracelet</t>
        </is>
      </c>
      <c r="L130" t="inlineStr">
        <is>
          <t>{"id":"chatcmpl-DZo6jDLVEys5WkpHXJAMmsvmvVs5q","object":"chat.completion","created":1777426465,"model":"gpt-5-chat-2025-10-03","choices":[{"index":0,"message":{"role":"assistant","content":"AccessoriesOther Zen Series Brown-Grey Energy Beaded Bracelet, featuring natural stones with an amber-yellow center bead, elegant unisex design blending Eastern Zen charm and modern style for calm and balance.","refusal":null,"annotations":[]},"logprobs":null,"finish_reason":"stop"}],"usage":{"prompt_tokens":895,"completion_tokens":39,"total_tokens":934,"prompt_tokens_details":{"cached_tokens":0,"audio_tokens":0},"completion_tokens_details":{"reasoning_tokens":0,"audio_tokens":0,"accepted_prediction_tokens":0,"rejected_prediction_tokens":0}},"service_tier":"default","system_fingerprint":"fp_ad66631dec"}</t>
        </is>
      </c>
      <c r="M130" t="inlineStr">
        <is>
          <t>{"alt-svc":"h3=\":443\"; ma=2592000","apim-request-id":"3725219b-1396-4fb4-b867-1bba162ff57e","azureml-model-session":"d20260402075109-1fc5a0ec","cache-control":"no-cache","connection":"close","content-length":"1017","content-type":"application/json","date":"Wed, 29 Apr 2026 01:34:26 GMT","server":"nginx","skip-error-remapping":"true","strict-transport-security":"max-age=31536000; includeSubDomains; preload","via":"1.1 Caddy","x-content-type-options":"nosniff","x-ms-client-request-id":"Not-Set","x-ms-is-spilled-over":"false","x-ms-rai-invoked":"false","x-ms-region":"East US","x-new-api-version":"0.4.35","x-oneapi-request-id":"202604290134239530886128268d9d6YR2xWzTn","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6ca8b2f5-333f-43d1-893e-667589b6856d"}</t>
        </is>
      </c>
      <c r="N130" t="inlineStr">
        <is>
          <t>AccessoriesOther Zen Series Brown-Grey Energy Beaded Bracelet, featuring natural stones with an amber-yellow center bead, elegant unisex design blending Eastern Zen charm and modern style for calm and balance.</t>
        </is>
      </c>
      <c r="O130" t="inlineStr">
        <is>
          <t>{"id":"chatcmpl-DZoOPUviMOM05F8MG03BdmjAtYQf8","object":"chat.completion","created":1777427561,"model":"gpt-5-chat-2025-10-03","choices":[{"index":0,"message":{"role":"assistant","content":"Yuanshu,Bracele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89,"total_tokens":870,"prompt_tokens_details":{"cached_tokens":0,"audio_tokens":0},"completion_tokens_details":{"reasoning_tokens":0,"audio_tokens":0,"accepted_prediction_tokens":0,"rejected_prediction_tokens":0}},"service_tier":"default","system_fingerprint":"fp_fd471178c5"}</t>
        </is>
      </c>
      <c r="P130" t="inlineStr">
        <is>
          <t>Yuanshu,Bracelet,kakobuy,kakebuy2026,kekobuysheet,kakobuysheet2026,2026kakobuy,kakobuyspreadsheeet,kakobuylink,kakebuylist,Kakobuy MEGA Spreadsheet,kakobuysheetfind,kakobuysheetfind2026,2026kakobuysheetfind,kakobuysheet2026</t>
        </is>
      </c>
      <c r="Q130" t="inlineStr">
        <is>
          <t>Brown, Grey, Unisex, Elegant</t>
        </is>
      </c>
      <c r="R130" t="inlineStr">
        <is>
          <t>recvhju1Cr1iwM</t>
        </is>
      </c>
      <c r="S130" t="inlineStr">
        <is>
          <t>zen-series-brown-grey-energy-bead-bracelet-recvhju1cr1iwm</t>
        </is>
      </c>
      <c r="T130"/>
      <c r="U130"/>
      <c r="V130"/>
      <c r="W130" t="inlineStr">
        <is>
          <t>{"id":"chatcmpl-DZnyT9bdWnUG4igORhwvBw9JYyTHj","object":"chat.completion","created":1777425953,"model":"gpt-5-chat-2025-10-03","choices":[{"index":0,"message":{"role":"assistant","content":"禅意系列棕灰色能量串珠手链，精选天然石材搭配琥珀黄中心珠，古典雅致设计，男女皆宜，融合东方禅风与现代美学，彰显静谧与格调。","refusal":null,"annotations":[]},"logprobs":null,"finish_reason":"stop"}],"usage":{"prompt_tokens":1305,"completion_tokens":59,"total_tokens":1364,"prompt_tokens_details":{"cached_tokens":1280,"audio_tokens":0},"completion_tokens_details":{"reasoning_tokens":0,"audio_tokens":0,"accepted_prediction_tokens":0,"rejected_prediction_tokens":0}},"service_tier":"default","system_fingerprint":"fp_fd471178c5"}</t>
        </is>
      </c>
      <c r="X130" t="inlineStr">
        <is>
          <t>禅意系列棕灰色能量串珠手链，精选天然石材搭配琥珀黄中心珠，古典雅致设计，男女皆宜，融合东方禅风与现代美学，彰显静谧与格调。</t>
        </is>
      </c>
    </row>
    <row r="131" ht="25.5" customHeight="1">
      <c r="A131">
        <v>1654975475</v>
      </c>
      <c r="B131">
        <v>7694394959</v>
      </c>
      <c r="C131" s="2" t="str">
        <f>=HYPERLINK("https://weidian.com/item.html?itemID=7694394959", "https://weidian.com/item.html?itemID=7694394959")</f>
        <v>https://weidian.com/item.html?itemID=7694394959</v>
      </c>
      <c r="D131"/>
      <c r="E131" s="2" t="str">
        <f>=HYPERLINK("https://si.geilicdn.com/open1654975475-252808396-0e500000019c7f1ca06a0a231226_800_800.jpg?w=640&amp;h=640", "https://si.geilicdn.com/open1654975475-252808396-0e500000019c7f1ca06a0a231226_800_800.jpg?w=640&amp;h=640")</f>
        <v>https://si.geilicdn.com/open1654975475-252808396-0e500000019c7f1ca06a0a231226_800_800.jpg?w=640&amp;h=640</v>
      </c>
      <c r="F131" t="inlineStr">
        <is>
          <t>Accessories</t>
        </is>
      </c>
      <c r="G131" t="inlineStr">
        <is>
          <t>Other</t>
        </is>
      </c>
      <c r="H131">
        <v>40</v>
      </c>
      <c r="I131">
        <v>5.79710144927536</v>
      </c>
      <c r="J131" t="inlineStr">
        <is>
          <t>{"id":"chatcmpl-DZoGwlxrT5DqOV0MxuApQzmZfRziA","object":"chat.completion","created":1777427098,"model":"gpt-5-chat-2025-10-03","choices":[{"index":0,"message":{"role":"assistant","content":"GeLi Natural ZheLi Wood Agarwood Sandalwood Bracelet","refusal":null,"annotations":[]},"logprobs":null,"finish_reason":"stop"}],"usage":{"prompt_tokens":900,"completion_tokens":14,"total_tokens":914,"prompt_tokens_details":{"cached_tokens":0,"audio_tokens":0},"completion_tokens_details":{"reasoning_tokens":0,"audio_tokens":0,"accepted_prediction_tokens":0,"rejected_prediction_tokens":0}},"service_tier":"default","system_fingerprint":"fp_ad66631dec"}</t>
        </is>
      </c>
      <c r="K131" t="inlineStr">
        <is>
          <t>GeLi Natural ZheLi Wood Agarwood Sandalwood Bracelet</t>
        </is>
      </c>
      <c r="L131" t="inlineStr">
        <is>
          <t>{"id":"chatcmpl-DZo4MpDDMPV39CTOV6mLmtQSo6ogS","object":"chat.completion","created":1777426318,"model":"gpt-5-chat-2025-10-03","choices":[{"index":0,"message":{"role":"assistant","content":"**Brand GeLi – Natural ZheLi Wood Bracelet crafted from agarwood, sandalwood, and zhe li wood. Deep, smooth tone with fine grain, mild herbal scent, Zen-inspired design, ideal for meditation or daily wear.**","refusal":null,"annotations":[]},"logprobs":null,"finish_reason":"stop"}],"usage":{"prompt_tokens":928,"completion_tokens":50,"total_tokens":978,"prompt_tokens_details":{"cached_tokens":0,"audio_tokens":0},"completion_tokens_details":{"reasoning_tokens":0,"audio_tokens":0,"accepted_prediction_tokens":0,"rejected_prediction_tokens":0}},"service_tier":"default","system_fingerprint":"fp_ad66631dec"}</t>
        </is>
      </c>
      <c r="M131" t="inlineStr">
        <is>
          <t>{"alt-svc":"h3=\":443\"; ma=2592000","apim-request-id":"3e756c61-a6e4-446c-a6b6-67e4d1d36c61","azureml-model-session":"d20260402075109-1fc5a0ec","cache-control":"no-cache","connection":"close","content-length":"1017","content-type":"application/json","date":"Wed, 29 Apr 2026 01:31:59 GMT","server":"Caddy","skip-error-remapping":"true","strict-transport-security":"max-age=31536000; includeSubDomains; preload","x-content-type-options":"nosniff","x-ms-client-request-id":"Not-Set","x-ms-is-spilled-over":"false","x-ms-rai-invoked":"false","x-ms-region":"Central US","x-new-api-version":"0.4.35","x-oneapi-request-id":"202604290131573332263878268d9d6pSFiCDxi","x-ratelimit-abusepenalty-active":"False","x-ratelimit-key":"gpt-5-chat-global","x-ratelimit-limit-requests":"1000","x-ratelimit-limit-tokens":"1000000","x-ratelimit-remaining-requests":"999","x-ratelimit-remaining-tokens":"998310","x-ratelimit-renewalperiod-requests":"60","x-ratelimit-renewalperiod-tokens":"60","x-ratelimit-reset-requests":"60","x-ratelimit-reset-tokens":"101","x-request-id":"88721039-0dd4-45f3-867f-ac9be0e68991"}</t>
        </is>
      </c>
      <c r="N131" t="inlineStr">
        <is>
          <t>**Brand GeLi – Natural ZheLi Wood Bracelet crafted from agarwood, sandalwood, and zhe li wood. Deep, smooth tone with fine grain, mild herbal scent, Zen-inspired design, ideal for meditation or daily wear.**</t>
        </is>
      </c>
      <c r="O131" t="inlineStr">
        <is>
          <t>{"id":"chatcmpl-DZoPXbyJMPX44UYiVni9OqSULrKRG","object":"chat.completion","created":1777427631,"model":"gpt-5-chat-2025-10-03","choices":[{"index":0,"message":{"role":"assistant","content":"Rosewood,Bracele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88,"total_tokens":869,"prompt_tokens_details":{"cached_tokens":0,"audio_tokens":0},"completion_tokens_details":{"reasoning_tokens":0,"audio_tokens":0,"accepted_prediction_tokens":0,"rejected_prediction_tokens":0}},"service_tier":"default","system_fingerprint":"fp_ad66631dec"}</t>
        </is>
      </c>
      <c r="P131" t="inlineStr">
        <is>
          <t>Rosewood,Bracelet,kakobuy,kakebuy2026,kekobuysheet,kakobuysheet2026,2026kakobuy,kakobuyspreadsheeet,kakobuylink,kakebuylist,Kakobuy MEGA Spreadsheet,kakobuysheetfind,kakobuysheetfind2026,2026kakobuysheetfind,kakobuysheet2026</t>
        </is>
      </c>
      <c r="Q131"/>
      <c r="R131" t="inlineStr">
        <is>
          <t>recvhju1CrQGaQ</t>
        </is>
      </c>
      <c r="S131" t="inlineStr">
        <is>
          <t>geli-wood-agarwood-sandalwood-bracelet-recvhju1crqgaq</t>
        </is>
      </c>
      <c r="T131"/>
      <c r="U131"/>
      <c r="V131"/>
      <c r="W131" t="inlineStr">
        <is>
          <t>{"id":"chatcmpl-DZnuR2jqOc6XT6xAgThaoSnPYT7ly","object":"chat.completion","created":1777425703,"model":"gpt-5-chat-2025-10-03","choices":[{"index":0,"message":{"role":"assistant","content":"沉香檀香鷓梨木手串，選用天然鷓梨木打磨而成，色澤深邃溫潤，木紋細密典雅，散發淡淡藥香。古樸禪意設計融合東方美學，男女皆宜，適合冥想與日常佩戴，展現靜謐高雅格調。","refusal":null,"annotations":[]},"logprobs":null,"finish_reason":"stop"}],"usage":{"prompt_tokens":1301,"completion_tokens":94,"total_tokens":1395,"prompt_tokens_details":{"cached_tokens":0,"audio_tokens":0},"completion_tokens_details":{"reasoning_tokens":0,"audio_tokens":0,"accepted_prediction_tokens":0,"rejected_prediction_tokens":0}},"service_tier":"default","system_fingerprint":"fp_ad66631dec"}</t>
        </is>
      </c>
      <c r="X131" t="inlineStr">
        <is>
          <t>沉香檀香鷓梨木手串，選用天然鷓梨木打磨而成，色澤深邃溫潤，木紋細密典雅，散發淡淡藥香。古樸禪意設計融合東方美學，男女皆宜，適合冥想與日常佩戴，展現靜謐高雅格調。</t>
        </is>
      </c>
    </row>
    <row r="132" ht="25.5" customHeight="1">
      <c r="A132">
        <v>1654975475</v>
      </c>
      <c r="B132">
        <v>7625571534</v>
      </c>
      <c r="C132" s="2" t="str">
        <f>=HYPERLINK("https://weidian.com/item.html?itemID=7625571534", "https://weidian.com/item.html?itemID=7625571534")</f>
        <v>https://weidian.com/item.html?itemID=7625571534</v>
      </c>
      <c r="D132"/>
      <c r="E132" s="2" t="str">
        <f>=HYPERLINK("https://si.geilicdn.com/pcitem2014204438-24ad0000019adcfb73fc0a21146b_1440_1920.jpg?w=640&amp;h=640", "https://si.geilicdn.com/pcitem2014204438-24ad0000019adcfb73fc0a21146b_1440_1920.jpg?w=640&amp;h=640")</f>
        <v>https://si.geilicdn.com/pcitem2014204438-24ad0000019adcfb73fc0a21146b_1440_1920.jpg?w=640&amp;h=640</v>
      </c>
      <c r="F132" t="inlineStr">
        <is>
          <t>Glasses</t>
        </is>
      </c>
      <c r="G132" t="inlineStr">
        <is>
          <t>Dior</t>
        </is>
      </c>
      <c r="H132">
        <v>360</v>
      </c>
      <c r="I132">
        <v>52.17</v>
      </c>
      <c r="J132" t="inlineStr">
        <is>
          <t>{"id":"chatcmpl-DZoGYqxiOTANJ9yWN45lUWITvMaSy","object":"chat.completion","created":1777427074,"model":"gpt-5-chat-2025-10-03","choices":[{"index":0,"message":{"role":"assistant","content":"Dior Square Black Gray Gradient Metal Frame Sunglasse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is>
      </c>
      <c r="K132" t="inlineStr">
        <is>
          <t>Dior Square Black Gray Gradient Metal Frame Sunglasses</t>
        </is>
      </c>
      <c r="L132" t="inlineStr">
        <is>
          <t>{"id":"chatcmpl-DZo8nPa4VR8oZN8O8ClAAuGh5hdWG","object":"chat.completion","created":1777426593,"model":"gpt-5-chat-2025-10-03","choices":[{"index":0,"message":{"role":"assistant","content":"Dior Square Black Gray Gradient Sunglasses feature a lightweight metal frame with a geometric design, unisex appeal, blending retro elegance and futuristic style for a modern luxury fashion look.","refusal":null,"annotations":[]},"logprobs":null,"finish_reason":"stop"}],"usage":{"prompt_tokens":894,"completion_tokens":36,"total_tokens":930,"prompt_tokens_details":{"cached_tokens":0,"audio_tokens":0},"completion_tokens_details":{"reasoning_tokens":0,"audio_tokens":0,"accepted_prediction_tokens":0,"rejected_prediction_tokens":0}},"service_tier":"default","system_fingerprint":"fp_ad66631dec"}</t>
        </is>
      </c>
      <c r="M132" t="inlineStr">
        <is>
          <t>{"alt-svc":"h3=\":443\"; ma=2592000","apim-request-id":"6bdadc51-bfa2-4395-bdf4-85f6a279a2cf","azureml-model-session":"d20260402075109-1fc5a0ec","cache-control":"no-cache","connection":"close","content-length":"1003","content-type":"application/json","date":"Wed, 29 Apr 2026 01:36:35 GMT","server":"Caddy","skip-error-remapping":"true","strict-transport-security":"max-age=31536000; includeSubDomains; preload","x-content-type-options":"nosniff","x-ms-client-request-id":"Not-Set","x-ms-is-spilled-over":"false","x-ms-rai-invoked":"false","x-ms-region":"East US 2","x-new-api-version":"0.4.35","x-oneapi-request-id":"202604290136326731811438268d9d60zjoJryb","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e1a4182a-ad83-4ed1-8ffa-60f730b961b1"}</t>
        </is>
      </c>
      <c r="N132" t="inlineStr">
        <is>
          <t>Dior Square Black Gray Gradient Sunglasses feature a lightweight metal frame with a geometric design, unisex appeal, blending retro elegance and futuristic style for a modern luxury fashion look.</t>
        </is>
      </c>
      <c r="O132" t="inlineStr">
        <is>
          <t>{"id":"chatcmpl-DZoN96cFqp45Ao6AS7z96FDyLgNpc","object":"chat.completion","created":1777427483,"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32" t="inlineStr">
        <is>
          <t>Dior,Glasses,kakobuy,kakebuy2026,kekobuysheet,kakobuysheet2026,2026kakobuy,kakobuyspreadsheeet,kakobuylink,kakebuylist,Kakobuy MEGA Spreadsheet,kakobuysheetfind,kakobuysheetfind2026,2026kakobuysheetfind,kakobuysheet2026</t>
        </is>
      </c>
      <c r="Q132" t="inlineStr">
        <is>
          <t>Dior, Geometric, Retro, Unisex, Modern, Lightweight</t>
        </is>
      </c>
      <c r="R132" t="inlineStr">
        <is>
          <t>recvhju1CrQhBo</t>
        </is>
      </c>
      <c r="S132" t="inlineStr">
        <is>
          <t>dior-square-black-gray-gradient-sunglasses-recvhju1crqhbo</t>
        </is>
      </c>
      <c r="T132"/>
      <c r="U132"/>
      <c r="V132"/>
      <c r="W132" t="inlineStr">
        <is>
          <t>{"id":"chatcmpl-DZo0cXdP7zAVZf05Bf5czutOOoI3r","object":"chat.completion","created":1777426086,"model":"gpt-5-chat-2025-10-03","choices":[{"index":0,"message":{"role":"assistant","content":"Dior：方形黑灰渐变镜片太阳镜，轻盈金属框架搭配简约几何设计，彰显现代都市风格，男女皆宜，复古与未来感并存，高端时尚配饰臻选之作。","refusal":null,"annotations":[]},"logprobs":null,"finish_reason":"stop"}],"usage":{"prompt_tokens":1302,"completion_tokens":59,"total_tokens":1361,"prompt_tokens_details":{"cached_tokens":0,"audio_tokens":0},"completion_tokens_details":{"reasoning_tokens":0,"audio_tokens":0,"accepted_prediction_tokens":0,"rejected_prediction_tokens":0}},"service_tier":"default","system_fingerprint":"fp_ad66631dec"}</t>
        </is>
      </c>
      <c r="X132" t="inlineStr">
        <is>
          <t>Dior：方形黑灰渐变镜片太阳镜，轻盈金属框架搭配简约几何设计，彰显现代都市风格，男女皆宜，复古与未来感并存，高端时尚配饰臻选之作。</t>
        </is>
      </c>
    </row>
    <row r="133" ht="25.5" customHeight="1">
      <c r="A133">
        <v>1654975475</v>
      </c>
      <c r="B133">
        <v>7625556732</v>
      </c>
      <c r="C133" s="2" t="str">
        <f>=HYPERLINK("https://weidian.com/item.html?itemID=7625556732", "https://weidian.com/item.html?itemID=7625556732")</f>
        <v>https://weidian.com/item.html?itemID=7625556732</v>
      </c>
      <c r="D133"/>
      <c r="E133" s="2" t="str">
        <f>=HYPERLINK("https://si.geilicdn.com/pcitem2014204438-464b0000019adcaabdf90a239846_1512_2016.jpg?w=640&amp;h=640", "https://si.geilicdn.com/pcitem2014204438-464b0000019adcaabdf90a239846_1512_2016.jpg?w=640&amp;h=640")</f>
        <v>https://si.geilicdn.com/pcitem2014204438-464b0000019adcaabdf90a239846_1512_2016.jpg?w=640&amp;h=640</v>
      </c>
      <c r="F133" t="inlineStr">
        <is>
          <t>Hats</t>
        </is>
      </c>
      <c r="G133" t="inlineStr">
        <is>
          <t>lululemon</t>
        </is>
      </c>
      <c r="H133">
        <v>190</v>
      </c>
      <c r="I133">
        <v>27.54</v>
      </c>
      <c r="J133" t="inlineStr">
        <is>
          <t>{"id":"chatcmpl-DZoHvigfRwBdvK09BSyfn0NOPXCfd","object":"chat.completion","created":1777427159,"model":"gpt-5-chat-2025-10-03","choices":[{"index":0,"message":{"role":"assistant","content":"Lululemon On My Level Black Waterproof Bucket Hat","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33" t="inlineStr">
        <is>
          <t>Lululemon On My Level Black Waterproof Bucket Hat</t>
        </is>
      </c>
      <c r="L133" t="inlineStr">
        <is>
          <t>{"id":"chatcmpl-DZo6sQArp5HbTJtQxrauv6bgIGXnL","object":"chat.completion","created":1777426474,"model":"gpt-5-chat-2025-10-03","choices":[{"index":0,"message":{"role":"assistant","content":"Lululemon On My Level Black Bucket Hat, lightweight waterproof nylon design with breathable eyelets, unisex urban casual style, perfect for everyday wear and minimalist athletic fashion.","refusal":null,"annotations":[]},"logprobs":null,"finish_reason":"stop"}],"usage":{"prompt_tokens":895,"completion_tokens":36,"total_tokens":931,"prompt_tokens_details":{"cached_tokens":0,"audio_tokens":0},"completion_tokens_details":{"reasoning_tokens":0,"audio_tokens":0,"accepted_prediction_tokens":0,"rejected_prediction_tokens":0}},"service_tier":"default","system_fingerprint":"fp_ad66631dec"}</t>
        </is>
      </c>
      <c r="M133" t="inlineStr">
        <is>
          <t>{"alt-svc":"h3=\":443\"; ma=2592000","apim-request-id":"0ef3588b-3247-4d99-a1f8-7274a64e197a","azureml-model-session":"d20260402075109-1fc5a0ec","cache-control":"no-cache","connection":"close","content-length":"994","content-type":"application/json","date":"Wed, 29 Apr 2026 01:34:35 GMT","server":"nginx","skip-error-remapping":"true","strict-transport-security":"max-age=31536000; includeSubDomains; preload","via":"1.1 Caddy","x-content-type-options":"nosniff","x-ms-client-request-id":"Not-Set","x-ms-is-spilled-over":"false","x-ms-rai-invoked":"false","x-ms-region":"Central US","x-new-api-version":"0.4.35","x-oneapi-request-id":"2026042901343310424508268d9d6hjX2pNzx","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23375a8c-f068-4a64-b814-19b79b7f9fd9"}</t>
        </is>
      </c>
      <c r="N133" t="inlineStr">
        <is>
          <t>Lululemon On My Level Black Bucket Hat, lightweight waterproof nylon design with breathable eyelets, unisex urban casual style, perfect for everyday wear and minimalist athletic fashion.</t>
        </is>
      </c>
      <c r="O133" t="inlineStr">
        <is>
          <t>{"id":"chatcmpl-DZoK0mnj8MQgUQY1gtoTK4EIgpthW","object":"chat.completion","created":1777427288,"model":"gpt-5-chat-2025-10-03","choices":[{"index":0,"message":{"role":"assistant","content":"Lululemon, Hat,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ad66631dec"}</t>
        </is>
      </c>
      <c r="P133" t="inlineStr">
        <is>
          <t>Lululemon, Hat, kakobuy, kakebuy2026, kekobuysheet, kakobuysheet2026, 2026kakobuy, kakobuyspreadsheeet, kakobuylink, kakebuylist, Kakobuy MEGA Spreadsheet, kakobuysheetfind, kakobuysheetfind2026, 2026kakobuysheetfind, kakobuysheet2026</t>
        </is>
      </c>
      <c r="Q133" t="inlineStr">
        <is>
          <t>Black, Lightweight, Waterproof, Nylon, Unisex</t>
        </is>
      </c>
      <c r="R133" t="inlineStr">
        <is>
          <t>recvhju1CrpAwx</t>
        </is>
      </c>
      <c r="S133" t="inlineStr">
        <is>
          <t>lululemon-on-my-level-black-waterproof-bucket-hat-recvhju1crpawx</t>
        </is>
      </c>
      <c r="T133"/>
      <c r="U133"/>
      <c r="V133"/>
      <c r="W133" t="inlineStr">
        <is>
          <t>{"id":"chatcmpl-DZnybIO8heCefBAgOT7eDtuJhhzx9","object":"chat.completion","created":1777425961,"model":"gpt-5-chat-2025-10-03","choices":[{"index":0,"message":{"role":"assistant","content":"Lululemon：黑色On My Level系列遮阳渔夫帽，轻盈防水尼龙材质，简约廓形设计，透气孔增强舒适度，男女通用，都市休闲风格，彰显极简运动美学。","refusal":null,"annotations":[]},"logprobs":null,"finish_reason":"stop"}],"usage":{"prompt_tokens":1300,"completion_tokens":61,"total_tokens":1361,"prompt_tokens_details":{"cached_tokens":1280,"audio_tokens":0},"completion_tokens_details":{"reasoning_tokens":0,"audio_tokens":0,"accepted_prediction_tokens":0,"rejected_prediction_tokens":0}},"service_tier":"default","system_fingerprint":"fp_ad66631dec"}</t>
        </is>
      </c>
      <c r="X133" t="inlineStr">
        <is>
          <t>Lululemon：黑色On My Level系列遮阳渔夫帽，轻盈防水尼龙材质，简约廓形设计，透气孔增强舒适度，男女通用，都市休闲风格，彰显极简运动美学。</t>
        </is>
      </c>
    </row>
    <row r="134" ht="25.5" customHeight="1">
      <c r="A134">
        <v>1654975475</v>
      </c>
      <c r="B134">
        <v>7622669923</v>
      </c>
      <c r="C134" s="2" t="str">
        <f>=HYPERLINK("https://weidian.com/item.html?itemID=7622669923", "https://weidian.com/item.html?itemID=7622669923")</f>
        <v>https://weidian.com/item.html?itemID=7622669923</v>
      </c>
      <c r="D134"/>
      <c r="E134" s="2" t="str">
        <f>=HYPERLINK("https://si.geilicdn.com/pcitem2014204438-3cc60000019adc87022f0a20e7c7_1080_1080.jpg?w=640&amp;h=640", "https://si.geilicdn.com/pcitem2014204438-3cc60000019adc87022f0a20e7c7_1080_1080.jpg?w=640&amp;h=640")</f>
        <v>https://si.geilicdn.com/pcitem2014204438-3cc60000019adc87022f0a20e7c7_1080_1080.jpg?w=640&amp;h=640</v>
      </c>
      <c r="F134" t="inlineStr">
        <is>
          <t>Hats</t>
        </is>
      </c>
      <c r="G134" t="inlineStr">
        <is>
          <t>Dior</t>
        </is>
      </c>
      <c r="H134">
        <v>260</v>
      </c>
      <c r="I134">
        <v>37.68</v>
      </c>
      <c r="J134" t="inlineStr">
        <is>
          <t>{"id":"chatcmpl-DZoEJRezEtx8zqMP6kj0hTllgKFLM","object":"chat.completion","created":1777426935,"model":"gpt-5-chat-2025-10-03","choices":[{"index":0,"message":{"role":"assistant","content":"HatsDior Gold Knit Hollow Cotton Bucket Hat Unisex","refusal":null,"annotations":[]},"logprobs":null,"finish_reason":"stop"}],"usage":{"prompt_tokens":890,"completion_tokens":13,"total_tokens":903,"prompt_tokens_details":{"cached_tokens":0,"audio_tokens":0},"completion_tokens_details":{"reasoning_tokens":0,"audio_tokens":0,"accepted_prediction_tokens":0,"rejected_prediction_tokens":0}},"service_tier":"default","system_fingerprint":"fp_ad66631dec"}</t>
        </is>
      </c>
      <c r="K134" t="inlineStr">
        <is>
          <t>HatsDior Gold Knit Hollow Cotton Bucket Hat Unisex</t>
        </is>
      </c>
      <c r="L134" t="inlineStr">
        <is>
          <t>{"id":"chatcmpl-DZo94kSD8WVlOy4yejCz7OA7o9cXF","object":"chat.completion","created":1777426610,"model":"gpt-5-chat-2025-10-03","choices":[{"index":0,"message":{"role":"assistant","content":"HatsDiorDior Gold Hollow Knit Bucket Hat, crafted from lightweight cotton-linen blend, breathable and comfy. Black front logo shows brand elegance. Unisex retro-chic design perfect for casual street style.","refusal":null,"annotations":[]},"logprobs":null,"finish_reason":"stop"}],"usage":{"prompt_tokens":914,"completion_tokens":44,"total_tokens":958,"prompt_tokens_details":{"cached_tokens":0,"audio_tokens":0},"completion_tokens_details":{"reasoning_tokens":0,"audio_tokens":0,"accepted_prediction_tokens":0,"rejected_prediction_tokens":0}},"service_tier":"default","system_fingerprint":"fp_ad66631dec"}</t>
        </is>
      </c>
      <c r="M134" t="inlineStr">
        <is>
          <t>{"alt-svc":"h3=\":443\"; ma=2592000","apim-request-id":"47c92f79-e949-4602-adcd-feacb0821394","azureml-model-session":"d20260402075109-1fc5a0ec","cache-control":"no-cache","connection":"close","content-length":"1013","content-type":"application/json","date":"Wed, 29 Apr 2026 01:36:51 GMT","server":"Caddy","skip-error-remapping":"true","strict-transport-security":"max-age=31536000; includeSubDomains; preload","x-content-type-options":"nosniff","x-ms-client-request-id":"Not-Set","x-ms-is-spilled-over":"false","x-ms-rai-invoked":"false","x-ms-region":"East US 2","x-new-api-version":"0.4.35","x-oneapi-request-id":"20260429013649480724878268d9d6Wfygs06A","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3c70cf44-14f4-4ddf-a9f4-622a61495e0c"}</t>
        </is>
      </c>
      <c r="N134" t="inlineStr">
        <is>
          <t>HatsDiorDior Gold Hollow Knit Bucket Hat, crafted from lightweight cotton-linen blend, breathable and comfy. Black front logo shows brand elegance. Unisex retro-chic design perfect for casual street style.</t>
        </is>
      </c>
      <c r="O134" t="inlineStr">
        <is>
          <t>{"id":"chatcmpl-DZoJxZFybmfsIyaWAibmzrdtQhWBd","object":"chat.completion","created":1777427285,"model":"gpt-5-chat-2025-10-03","choices":[{"index":0,"message":{"role":"assistant","content":"Dior,ha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34" t="inlineStr">
        <is>
          <t>Dior,hat,kakobuy,kakebuy2026,kekobuysheet,kakobuysheet2026,2026kakobuy,kakobuyspreadsheeet,kakobuylink,kakebuylist,Kakobuy MEGA Spreadsheet,kakobuysheetfind,kakobuysheetfind2026,2026kakobuysheetfind,kakobuysheet2026</t>
        </is>
      </c>
      <c r="Q134" t="inlineStr">
        <is>
          <t>Dior, Unisex, Retro, Streetwear, Breathable</t>
        </is>
      </c>
      <c r="R134" t="inlineStr">
        <is>
          <t>recvhju1CrlRvk</t>
        </is>
      </c>
      <c r="S134" t="inlineStr">
        <is>
          <t>dior-gold-knit-hollow-cotton-bucket-hat-recvhju1crlrvk</t>
        </is>
      </c>
      <c r="T134"/>
      <c r="U134"/>
      <c r="V134"/>
      <c r="W134" t="inlineStr">
        <is>
          <t>{"id":"chatcmpl-DZnuKag5vQw7NCm71R3qXmkNiX2Im","object":"chat.completion","created":1777425696,"model":"gpt-5-chat-2025-10-03","choices":[{"index":0,"message":{"role":"assistant","content":"Dior：金色镂空编织渔夫帽，甄选轻盈棉麻混纺面料，透气舒适，正面黑色标识彰显品牌格调。简约复古设计适合男女通用，融合现代休闲风格，为日常街头造型增添优雅质感。","refusal":null,"annotations":[]},"logprobs":null,"finish_reason":"stop"}],"usage":{"prompt_tokens":1304,"completion_tokens":78,"total_tokens":1382,"prompt_tokens_details":{"cached_tokens":0,"audio_tokens":0},"completion_tokens_details":{"reasoning_tokens":0,"audio_tokens":0,"accepted_prediction_tokens":0,"rejected_prediction_tokens":0}},"service_tier":"default","system_fingerprint":"fp_fd471178c5"}</t>
        </is>
      </c>
      <c r="X134" t="inlineStr">
        <is>
          <t>Dior：金色镂空编织渔夫帽，甄选轻盈棉麻混纺面料，透气舒适，正面黑色标识彰显品牌格调。简约复古设计适合男女通用，融合现代休闲风格，为日常街头造型增添优雅质感。</t>
        </is>
      </c>
    </row>
    <row r="135" ht="25.5" customHeight="1">
      <c r="A135">
        <v>1654975475</v>
      </c>
      <c r="B135">
        <v>7625550402</v>
      </c>
      <c r="C135" s="2" t="str">
        <f>=HYPERLINK("https://weidian.com/item.html?itemID=7625550402", "https://weidian.com/item.html?itemID=7625550402")</f>
        <v>https://weidian.com/item.html?itemID=7625550402</v>
      </c>
      <c r="D135"/>
      <c r="E135" s="2" t="str">
        <f>=HYPERLINK("https://si.geilicdn.com/pcitem2014204438-1f640000019adc802ace0a2304aa_1512_2016.jpg?w=640&amp;h=640", "https://si.geilicdn.com/pcitem2014204438-1f640000019adc802ace0a2304aa_1512_2016.jpg?w=640&amp;h=640")</f>
        <v>https://si.geilicdn.com/pcitem2014204438-1f640000019adc802ace0a2304aa_1512_2016.jpg?w=640&amp;h=640</v>
      </c>
      <c r="F135" t="inlineStr">
        <is>
          <t>Hats</t>
        </is>
      </c>
      <c r="G135" t="inlineStr">
        <is>
          <t>Cotopaxi</t>
        </is>
      </c>
      <c r="H135">
        <v>230</v>
      </c>
      <c r="I135">
        <v>33.33</v>
      </c>
      <c r="J135" t="inlineStr">
        <is>
          <t>{"id":"chatcmpl-DZoI6zrJaTKFrj4x4XTeIYxeCamE0","object":"chat.completion","created":1777427170,"model":"gpt-5-chat-2025-10-03","choices":[{"index":0,"message":{"role":"assistant","content":"Cotopaxi Lago Retro Unisex Fleece Cap Blue Yellow","refusal":null,"annotations":[]},"logprobs":null,"finish_reason":"stop"}],"usage":{"prompt_tokens":887,"completion_tokens":13,"total_tokens":900,"prompt_tokens_details":{"cached_tokens":0,"audio_tokens":0},"completion_tokens_details":{"reasoning_tokens":0,"audio_tokens":0,"accepted_prediction_tokens":0,"rejected_prediction_tokens":0}},"service_tier":"default","system_fingerprint":"fp_fd471178c5"}</t>
        </is>
      </c>
      <c r="K135" t="inlineStr">
        <is>
          <t>Cotopaxi Lago Retro Unisex Fleece Cap Blue Yellow</t>
        </is>
      </c>
      <c r="L135" t="inlineStr">
        <is>
          <t>{"id":"chatcmpl-DZo8PwoDmGG17uvqvkJAjlnftdRXF","object":"chat.completion","created":1777426569,"model":"gpt-5-chat-2025-10-03","choices":[{"index":0,"message":{"role":"assistant","content":"Cotopaxi Lago Colorblock Fleece Cap – Blue, Purple &amp; Yellow; lightweight, breathable, water-resistant nylon; unisex retro outdoor style for hiking, camping; eco-friendly and full of energy.","refusal":null,"annotations":[]},"logprobs":null,"finish_reason":"stop"}],"usage":{"prompt_tokens":901,"completion_tokens":42,"total_tokens":943,"prompt_tokens_details":{"cached_tokens":0,"audio_tokens":0},"completion_tokens_details":{"reasoning_tokens":0,"audio_tokens":0,"accepted_prediction_tokens":0,"rejected_prediction_tokens":0}},"service_tier":"default","system_fingerprint":"fp_ad66631dec"}</t>
        </is>
      </c>
      <c r="M135" t="inlineStr">
        <is>
          <t>{"alt-svc":"h3=\":443\"; ma=2592000","apim-request-id":"e7b5c151-97ed-4d4a-81a6-a1644ed927bc","azureml-model-session":"d20260402084046-4209e968","cache-control":"no-cache","connection":"close","content-length":"999","content-type":"application/json","date":"Wed, 29 Apr 2026 01:36:10 GMT","server":"Caddy","skip-error-remapping":"true","strict-transport-security":"max-age=31536000; includeSubDomains; preload","x-content-type-options":"nosniff","x-ms-client-request-id":"Not-Set","x-ms-is-spilled-over":"false","x-ms-rai-invoked":"false","x-ms-region":"South Central US","x-new-api-version":"0.4.35","x-oneapi-request-id":"202604290136081454607498268d9d6p5yaUP00","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6e2a85fb-8d11-40d5-89b8-fa249d07c35d"}</t>
        </is>
      </c>
      <c r="N135" t="inlineStr">
        <is>
          <t>Cotopaxi Lago Colorblock Fleece Cap – Blue, Purple &amp; Yellow; lightweight, breathable, water-resistant nylon; unisex retro outdoor style for hiking, camping; eco-friendly and full of energy.</t>
        </is>
      </c>
      <c r="O135" t="inlineStr">
        <is>
          <t>{"id":"chatcmpl-DZoMEh6OC4cXwUWXTptA1CY7Iro3S","object":"chat.completion","created":1777427426,"model":"gpt-5-chat-2025-10-03","choices":[{"index":0,"message":{"role":"assistant","content":"Cotopaxi,Ha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fd471178c5"}</t>
        </is>
      </c>
      <c r="P135" t="inlineStr">
        <is>
          <t>Cotopaxi,Hats,kakobuy,kakebuy2026,kekobuysheet,kakobuysheet2026,2026kakobuy,kakobuyspreadsheeet,kakobuylink,kakebuylist,Kakobuy MEGA Spreadsheet,kakobuysheetfind,kakobuysheetfind2026,2026kakobuysheetfind,kakobuysheet2026</t>
        </is>
      </c>
      <c r="Q135" t="inlineStr">
        <is>
          <t>Blue, Purple, Yellow, Lightweight, Breathable, Unisex</t>
        </is>
      </c>
      <c r="R135" t="inlineStr">
        <is>
          <t>recvhju1Cr0K2j</t>
        </is>
      </c>
      <c r="S135" t="inlineStr">
        <is>
          <t>cotopaxi-lago-retro-fleece-cap-blue-yellow-recvhju1cr0k2j</t>
        </is>
      </c>
      <c r="T135"/>
      <c r="U135"/>
      <c r="V135"/>
      <c r="W135" t="inlineStr">
        <is>
          <t>{"id":"chatcmpl-DZnxe5kpuuZqaS6jWSmo19iNNyIyS","object":"chat.completion","created":1777425902,"model":"gpt-5-chat-2025-10-03","choices":[{"index":0,"message":{"role":"assistant","content":"Cotopaxi：Lago系列拼色轻量抓绒帽，蓝紫黄撞色设计，尼龙防泼水材质，透气舒适，复古户外风格，男女通用，适合徒步露营等休闲活动，彰显环保与活力。","refusal":null,"annotations":[]},"logprobs":null,"finish_reason":"stop"}],"usage":{"prompt_tokens":1300,"completion_tokens":67,"total_tokens":1367,"prompt_tokens_details":{"cached_tokens":0,"audio_tokens":0},"completion_tokens_details":{"reasoning_tokens":0,"audio_tokens":0,"accepted_prediction_tokens":0,"rejected_prediction_tokens":0}},"service_tier":"default","system_fingerprint":"fp_ad66631dec"}</t>
        </is>
      </c>
      <c r="X135" t="inlineStr">
        <is>
          <t>Cotopaxi：Lago系列拼色轻量抓绒帽，蓝紫黄撞色设计，尼龙防泼水材质，透气舒适，复古户外风格，男女通用，适合徒步露营等休闲活动，彰显环保与活力。</t>
        </is>
      </c>
    </row>
    <row r="136" ht="25.5" customHeight="1">
      <c r="A136">
        <v>1654975475</v>
      </c>
      <c r="B136">
        <v>7626072456</v>
      </c>
      <c r="C136" s="2" t="str">
        <f>=HYPERLINK("https://weidian.com/item.html?itemID=7626072456", "https://weidian.com/item.html?itemID=7626072456")</f>
        <v>https://weidian.com/item.html?itemID=7626072456</v>
      </c>
      <c r="D136"/>
      <c r="E136" s="2" t="str">
        <f>=HYPERLINK("https://si.geilicdn.com/pcitem2014204438-139a0000019ade05806a0a210139_1440_1920.jpg?w=640&amp;h=640", "https://si.geilicdn.com/pcitem2014204438-139a0000019ade05806a0a210139_1440_1920.jpg?w=640&amp;h=640")</f>
        <v>https://si.geilicdn.com/pcitem2014204438-139a0000019ade05806a0a210139_1440_1920.jpg?w=640&amp;h=640</v>
      </c>
      <c r="F136" t="inlineStr">
        <is>
          <t>Glasses</t>
        </is>
      </c>
      <c r="G136" t="inlineStr">
        <is>
          <t>Chanel</t>
        </is>
      </c>
      <c r="H136">
        <v>350</v>
      </c>
      <c r="I136">
        <v>50.72</v>
      </c>
      <c r="J136" t="inlineStr">
        <is>
          <t>{"id":"chatcmpl-DZoCUKk8IzsigJnCgMeCI6Kk5gXcH","object":"chat.completion","created":1777426822,"model":"gpt-5-chat-2025-10-03","choices":[{"index":0,"message":{"role":"assistant","content":"Chanel Square Gradient Purple Lens Sunglasses","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is>
      </c>
      <c r="K136" t="inlineStr">
        <is>
          <t>Chanel Square Gradient Purple Lens Sunglasses</t>
        </is>
      </c>
      <c r="L136" t="inlineStr">
        <is>
          <t>{"id":"chatcmpl-DZo4ytRmZcUQVd5weOtP1YhTHtipZ","object":"chat.completion","created":1777426356,"model":"gpt-5-chat-2025-10-03","choices":[{"index":0,"message":{"role":"assistant","content":"Chanel Square Gradient Purple Lens Sunglasses feature a lightweight resin frame with gold accents, showcasing effortless French chic and modern style. Unisex, timeless, perfect for urban fashion.","refusal":null,"annotations":[]},"logprobs":null,"finish_reason":"stop"}],"usage":{"prompt_tokens":892,"completion_tokens":36,"total_tokens":928,"prompt_tokens_details":{"cached_tokens":0,"audio_tokens":0},"completion_tokens_details":{"reasoning_tokens":0,"audio_tokens":0,"accepted_prediction_tokens":0,"rejected_prediction_tokens":0}},"service_tier":"default","system_fingerprint":"fp_ad66631dec"}</t>
        </is>
      </c>
      <c r="M136" t="inlineStr">
        <is>
          <t>{"alt-svc":"h3=\":443\"; ma=2592000","apim-request-id":"53565c1d-94bc-4b9a-99d3-f0c4e2ec6935","azureml-model-session":"d20260402075109-1fc5a0ec","cache-control":"no-cache","connection":"close","content-length":"1003","content-type":"application/json","date":"Wed, 29 Apr 2026 01:32:38 GMT","server":"Caddy","skip-error-remapping":"true","strict-transport-security":"max-age=31536000; includeSubDomains; preload","x-content-type-options":"nosniff","x-ms-client-request-id":"Not-Set","x-ms-is-spilled-over":"false","x-ms-rai-invoked":"false","x-ms-region":"Sweden Central","x-new-api-version":"0.4.35","x-oneapi-request-id":"202604290132357097728088268d9d6RmROAiqs","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07128a20-b077-4ddd-a21d-f8f67c0f9d11"}</t>
        </is>
      </c>
      <c r="N136" t="inlineStr">
        <is>
          <t>Chanel Square Gradient Purple Lens Sunglasses feature a lightweight resin frame with gold accents, showcasing effortless French chic and modern style. Unisex, timeless, perfect for urban fashion.</t>
        </is>
      </c>
      <c r="O136" t="inlineStr">
        <is>
          <t>{"id":"chatcmpl-DZoPMzS6XTnIEO8XSAXJeoun9B8Xv","object":"chat.completion","created":1777427620,"model":"gpt-5-chat-2025-10-03","choices":[{"index":0,"message":{"role":"assistant","content":"Chanel,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136" t="inlineStr">
        <is>
          <t>Chanel, Glasses, kakobuy, kakebuy2026, kekobuysheet, kakobuysheet2026, 2026kakobuy, kakobuyspreadsheeet, kakobuylink, kakebuylist, Kakobuy MEGA Spreadsheet, kakobuysheetfind, kakobuysheetfind2026, 2026kakobuysheetfind, kakobuysheet2026</t>
        </is>
      </c>
      <c r="Q136" t="inlineStr">
        <is>
          <t>Chanel, Purple, Unisex, Modern, Lightweight</t>
        </is>
      </c>
      <c r="R136" t="inlineStr">
        <is>
          <t>recvhju1CrlXyF</t>
        </is>
      </c>
      <c r="S136" t="inlineStr">
        <is>
          <t>chanel-square-gradient-purple-lens-sunglasses-recvhju1crlxyf</t>
        </is>
      </c>
      <c r="T136"/>
      <c r="U136"/>
      <c r="V136"/>
      <c r="W136" t="inlineStr">
        <is>
          <t>{"id":"chatcmpl-DZo0fVw5V7ZWvLXlXY1JVBmw7WaRb","object":"chat.completion","created":1777426089,"model":"gpt-5-chat-2025-10-03","choices":[{"index":0,"message":{"role":"assistant","content":"Chanel：方形渐变紫色镜片太阳眼镜，轻盈树脂镜架搭配金色细节，展现法式优雅与摩登格调，男女皆宜，百搭经典款式，适合都市时尚出行。","refusal":null,"annotations":[]},"logprobs":null,"finish_reason":"stop"}],"usage":{"prompt_tokens":1298,"completion_tokens":59,"total_tokens":1357,"prompt_tokens_details":{"cached_tokens":0,"audio_tokens":0},"completion_tokens_details":{"reasoning_tokens":0,"audio_tokens":0,"accepted_prediction_tokens":0,"rejected_prediction_tokens":0}},"service_tier":"default","system_fingerprint":"fp_fd471178c5"}</t>
        </is>
      </c>
      <c r="X136" t="inlineStr">
        <is>
          <t>Chanel：方形渐变紫色镜片太阳眼镜，轻盈树脂镜架搭配金色细节，展现法式优雅与摩登格调，男女皆宜，百搭经典款式，适合都市时尚出行。</t>
        </is>
      </c>
    </row>
    <row r="137" ht="25.5" customHeight="1">
      <c r="A137">
        <v>1654975475</v>
      </c>
      <c r="B137">
        <v>7626085792</v>
      </c>
      <c r="C137" s="2" t="str">
        <f>=HYPERLINK("https://weidian.com/item.html?itemID=7626085792", "https://weidian.com/item.html?itemID=7626085792")</f>
        <v>https://weidian.com/item.html?itemID=7626085792</v>
      </c>
      <c r="D137"/>
      <c r="E137" s="2" t="str">
        <f>=HYPERLINK("https://si.geilicdn.com/pcitem2014204438-26c70000019adde735440a231177_1080_1080.jpg?w=640&amp;h=640", "https://si.geilicdn.com/pcitem2014204438-26c70000019adde735440a231177_1080_1080.jpg?w=640&amp;h=640")</f>
        <v>https://si.geilicdn.com/pcitem2014204438-26c70000019adde735440a231177_1080_1080.jpg?w=640&amp;h=640</v>
      </c>
      <c r="F137" t="inlineStr">
        <is>
          <t>Glasses</t>
        </is>
      </c>
      <c r="G137" t="inlineStr">
        <is>
          <t>Chanel</t>
        </is>
      </c>
      <c r="H137">
        <v>360</v>
      </c>
      <c r="I137">
        <v>52.17</v>
      </c>
      <c r="J137" t="inlineStr">
        <is>
          <t>{"id":"chatcmpl-DZoIRsd24XnjB0f14vh9ZxN25qKeV","object":"chat.completion","created":1777427191,"model":"gpt-5-chat-2025-10-03","choices":[{"index":0,"message":{"role":"assistant","content":"Chanel Classic Black Unisex Sunglasses 5422","refusal":null,"annotations":[]},"logprobs":null,"finish_reason":"stop"}],"usage":{"prompt_tokens":870,"completion_tokens":12,"total_tokens":882,"prompt_tokens_details":{"cached_tokens":0,"audio_tokens":0},"completion_tokens_details":{"reasoning_tokens":0,"audio_tokens":0,"accepted_prediction_tokens":0,"rejected_prediction_tokens":0}},"service_tier":"default","system_fingerprint":"fp_fd471178c5"}</t>
        </is>
      </c>
      <c r="K137" t="inlineStr">
        <is>
          <t>Chanel Classic Black Unisex Sunglasses 5422</t>
        </is>
      </c>
      <c r="L137" t="inlineStr">
        <is>
          <t>{"id":"chatcmpl-DZo3CKn754OZFugSzYafyuuMGn6kt","object":"chat.completion","created":1777426246,"model":"gpt-5-chat-2025-10-03","choices":[{"index":0,"message":{"role":"assistant","content":"Chanel Classic Black Sunglasses: Elegant design with smooth frame and quilted leather case, showcasing Parisian chic style. Unisex luxury eyewear for timeless sophistication.","refusal":null,"annotations":[]},"logprobs":null,"finish_reason":"stop"}],"usage":{"prompt_tokens":873,"completion_tokens":34,"total_tokens":907,"prompt_tokens_details":{"cached_tokens":0,"audio_tokens":0},"completion_tokens_details":{"reasoning_tokens":0,"audio_tokens":0,"accepted_prediction_tokens":0,"rejected_prediction_tokens":0}},"service_tier":"default","system_fingerprint":"fp_ad66631dec"}</t>
        </is>
      </c>
      <c r="M137" t="inlineStr">
        <is>
          <t>{"alt-svc":"h3=\":443\"; ma=2592000","apim-request-id":"5d99234c-a994-48d5-9a4d-3322d9a17b45","azureml-model-session":"d20260405225800-40f19e54","cache-control":"no-cache","connection":"close","content-length":"982","content-type":"application/json","date":"Wed, 29 Apr 2026 01:30:47 GMT","server":"Caddy","skip-error-remapping":"true","strict-transport-security":"max-age=31536000; includeSubDomains; preload","x-content-type-options":"nosniff","x-ms-client-request-id":"Not-Set","x-ms-is-spilled-over":"false","x-ms-rai-invoked":"false","x-ms-region":"West US","x-new-api-version":"0.4.35","x-oneapi-request-id":"202604290130445169666648268d9d6VOOathuX","x-ratelimit-abusepenalty-active":"False","x-ratelimit-key":"gpt-5-chat-global","x-ratelimit-limit-requests":"1000","x-ratelimit-limit-tokens":"1000000","x-ratelimit-remaining-requests":"999","x-ratelimit-remaining-tokens":"998365","x-ratelimit-renewalperiod-requests":"60","x-ratelimit-renewalperiod-tokens":"60","x-ratelimit-reset-requests":"60","x-ratelimit-reset-tokens":"98","x-request-id":"8bd91547-3e21-4526-aa14-192b7678ff46"}</t>
        </is>
      </c>
      <c r="N137" t="inlineStr">
        <is>
          <t>Chanel Classic Black Sunglasses: Elegant design with smooth frame and quilted leather case, showcasing Parisian chic style. Unisex luxury eyewear for timeless sophistication.</t>
        </is>
      </c>
      <c r="O137" t="inlineStr">
        <is>
          <t>{"id":"chatcmpl-DZoLNEfu3zZMRXkk4tLAGqKLLcPMX","object":"chat.completion","created":1777427373,"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37" t="inlineStr">
        <is>
          <t>Chanel,Glasses,kakobuy,kakebuy2026,kekobuysheet,kakobuysheet2026,2026kakobuy,kakobuyspreadsheeet,kakobuylink,kakebuylist,Kakobuy MEGA Spreadsheet,kakobuysheetfind,kakobuysheetfind2026,2026kakobuysheetfind,kakobuysheet2026</t>
        </is>
      </c>
      <c r="Q137" t="inlineStr">
        <is>
          <t>Chanel, Black, Elegant, Unisex</t>
        </is>
      </c>
      <c r="R137" t="inlineStr">
        <is>
          <t>recvhju1Crbtry</t>
        </is>
      </c>
      <c r="S137" t="inlineStr">
        <is>
          <t>chanel-classic-black-unisex-sunglasses-5422-recvhju1crbtry</t>
        </is>
      </c>
      <c r="T137"/>
      <c r="U137"/>
      <c r="V137"/>
      <c r="W137" t="inlineStr">
        <is>
          <t>{"id":"chatcmpl-DZnuq8c5J9H30BXvF7AqPiRMmxkVG","object":"chat.completion","created":1777425728,"model":"gpt-5-chat-2025-10-03","choices":[{"index":0,"message":{"role":"assistant","content":"Chanel：经典黑色款太阳眼镜，优雅菱格纹皮质镜盒搭配流畅镜框设计，彰显巴黎时尚格调，男女皆宜。","refusal":null,"annotations":[]},"logprobs":null,"finish_reason":"stop"}],"usage":{"prompt_tokens":1294,"completion_tokens":42,"total_tokens":1336,"prompt_tokens_details":{"cached_tokens":0,"audio_tokens":0},"completion_tokens_details":{"reasoning_tokens":0,"audio_tokens":0,"accepted_prediction_tokens":0,"rejected_prediction_tokens":0}},"service_tier":"default","system_fingerprint":"fp_fd471178c5"}</t>
        </is>
      </c>
      <c r="X137" t="inlineStr">
        <is>
          <t>Chanel：经典黑色款太阳眼镜，优雅菱格纹皮质镜盒搭配流畅镜框设计，彰显巴黎时尚格调，男女皆宜。</t>
        </is>
      </c>
    </row>
    <row r="138" ht="25.5" customHeight="1">
      <c r="A138">
        <v>1654975475</v>
      </c>
      <c r="B138">
        <v>7622815101</v>
      </c>
      <c r="C138" s="2" t="str">
        <f>=HYPERLINK("https://weidian.com/item.html?itemID=7622815101", "https://weidian.com/item.html?itemID=7622815101")</f>
        <v>https://weidian.com/item.html?itemID=7622815101</v>
      </c>
      <c r="D138"/>
      <c r="E138" s="2" t="str">
        <f>=HYPERLINK("https://si.geilicdn.com/pcitem902014207253-09c40000019add466fe00a8133cc_1440_1920.jpg?w=640&amp;h=640", "https://si.geilicdn.com/pcitem902014207253-09c40000019add466fe00a8133cc_1440_1920.jpg?w=640&amp;h=640")</f>
        <v>https://si.geilicdn.com/pcitem902014207253-09c40000019add466fe00a8133cc_1440_1920.jpg?w=640&amp;h=640</v>
      </c>
      <c r="F138" t="inlineStr">
        <is>
          <t>Accessories</t>
        </is>
      </c>
      <c r="G138" t="inlineStr">
        <is>
          <t>Dior</t>
        </is>
      </c>
      <c r="H138">
        <v>490</v>
      </c>
      <c r="I138">
        <v>71.01</v>
      </c>
      <c r="J138" t="inlineStr">
        <is>
          <t>{"id":"chatcmpl-DZoDIHPkZ5cxlckgNn4MfI8zPzmHA","object":"chat.completion","created":1777426872,"model":"gpt-5-chat-2025-10-03","choices":[{"index":0,"message":{"role":"assistant","content":"Dior Black Leather Logo Belt for Men Women","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38" t="inlineStr">
        <is>
          <t>Dior Black Leather Logo Belt for Men Women</t>
        </is>
      </c>
      <c r="L138" t="inlineStr">
        <is>
          <t>{"id":"chatcmpl-DZo9u3DqgVPHUu3rR0mUCtsREV7b5","object":"chat.completion","created":1777426662,"model":"gpt-5-chat-2025-10-03","choices":[{"index":0,"message":{"role":"assistant","content":"Dior Black Leather Belt featuring embossed logo design and sleek metal letter buckle, combining modern minimalist style with refined craftsmanship for both men and women, ideal for business or casual wear.","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is>
      </c>
      <c r="M138" t="inlineStr">
        <is>
          <t>{"alt-svc":"h3=\":443\"; ma=2592000","apim-request-id":"bb0a692b-d8b1-45fc-93ef-05cb41513f99","azureml-model-session":"d20260402084046-4209e968","cache-control":"no-cache","connection":"close","content-length":"1013","content-type":"application/json","date":"Wed, 29 Apr 2026 01:37:44 GMT","server":"Caddy","skip-error-remapping":"true","strict-transport-security":"max-age=31536000; includeSubDomains; preload","x-content-type-options":"nosniff","x-ms-client-request-id":"Not-Set","x-ms-is-spilled-over":"false","x-ms-rai-invoked":"false","x-ms-region":"Central US","x-new-api-version":"0.4.35","x-oneapi-request-id":"202604290137416681214848268d9d6kNfUyMXf","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dfd29cf0-9431-454b-a9a1-e027798181a7"}</t>
        </is>
      </c>
      <c r="N138" t="inlineStr">
        <is>
          <t>Dior Black Leather Belt featuring embossed logo design and sleek metal letter buckle, combining modern minimalist style with refined craftsmanship for both men and women, ideal for business or casual wear.</t>
        </is>
      </c>
      <c r="O138" t="inlineStr">
        <is>
          <t>{"id":"chatcmpl-DZoLmPbLzNLxUIeyssOeJaxW1HYhr","object":"chat.completion","created":1777427398,"model":"gpt-5-chat-2025-10-03","choices":[{"index":0,"message":{"role":"assistant","content":"Dior,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138" t="inlineStr">
        <is>
          <t>Dior, Belt, kakobuy, kakebuy2026, kekobuysheet, kakobuysheet2026, 2026kakobuy, kakobuyspreadsheeet, kakobuylink, kakebuylist, Kakobuy MEGA Spreadsheet, kakobuysheetfind, kakobuysheetfind2026, 2026kakobuysheetfind, kakobuysheet2026</t>
        </is>
      </c>
      <c r="Q138" t="inlineStr">
        <is>
          <t>Dior, Black, Leather, Minimalist, Men's And Women's</t>
        </is>
      </c>
      <c r="R138" t="inlineStr">
        <is>
          <t>recvhju1CrtF82</t>
        </is>
      </c>
      <c r="S138" t="inlineStr">
        <is>
          <t>dior-black-leather-logo-belt-recvhju1crtf82</t>
        </is>
      </c>
      <c r="T138"/>
      <c r="U138"/>
      <c r="V138"/>
      <c r="W138" t="inlineStr">
        <is>
          <t>{"id":"chatcmpl-DZnti0g4vCQuSmvtbm2uFEiMMxyvT","object":"chat.completion","created":1777425658,"model":"gpt-5-chat-2025-10-03","choices":[{"index":0,"message":{"role":"assistant","content":"Dior：黑色皮质腰带，采用品牌标志性徽标浮雕设计，金属字母扣彰显现代简约风格，融合高级工艺与都市审美，男女皆宜，适合商务与休闲穿搭。","refusal":null,"annotations":[]},"logprobs":null,"finish_reason":"stop"}],"usage":{"prompt_tokens":1297,"completion_tokens":57,"total_tokens":1354,"prompt_tokens_details":{"cached_tokens":0,"audio_tokens":0},"completion_tokens_details":{"reasoning_tokens":0,"audio_tokens":0,"accepted_prediction_tokens":0,"rejected_prediction_tokens":0}},"service_tier":"default","system_fingerprint":"fp_fd471178c5"}</t>
        </is>
      </c>
      <c r="X138" t="inlineStr">
        <is>
          <t>Dior：黑色皮质腰带，采用品牌标志性徽标浮雕设计，金属字母扣彰显现代简约风格，融合高级工艺与都市审美，男女皆宜，适合商务与休闲穿搭。</t>
        </is>
      </c>
    </row>
    <row r="139" ht="25.5" customHeight="1">
      <c r="A139">
        <v>1654975475</v>
      </c>
      <c r="B139">
        <v>7625780732</v>
      </c>
      <c r="C139" s="2" t="str">
        <f>=HYPERLINK("https://weidian.com/item.html?itemID=7625780732", "https://weidian.com/item.html?itemID=7625780732")</f>
        <v>https://weidian.com/item.html?itemID=7625780732</v>
      </c>
      <c r="D139"/>
      <c r="E139" s="2" t="str">
        <f>=HYPERLINK("https://si.geilicdn.com/pcitem902014207253-0a1f0000019add4305c50a2303ee_1080_1080.jpg?w=640&amp;h=640", "https://si.geilicdn.com/pcitem902014207253-0a1f0000019add4305c50a2303ee_1080_1080.jpg?w=640&amp;h=640")</f>
        <v>https://si.geilicdn.com/pcitem902014207253-0a1f0000019add4305c50a2303ee_1080_1080.jpg?w=640&amp;h=640</v>
      </c>
      <c r="F139" t="inlineStr">
        <is>
          <t>Accessories</t>
        </is>
      </c>
      <c r="G139" t="inlineStr">
        <is>
          <t>Louis Vuitton</t>
        </is>
      </c>
      <c r="H139">
        <v>330</v>
      </c>
      <c r="I139">
        <v>47.83</v>
      </c>
      <c r="J139" t="inlineStr">
        <is>
          <t>{"id":"chatcmpl-DZoGlDue1VN7Q5L4y0i7NSeeArcPG","object":"chat.completion","created":1777427087,"model":"gpt-5-chat-2025-10-03","choices":[{"index":0,"message":{"role":"assistant","content":"Louis Vuitton Monogram Eclipse Gray Black Glasses Cas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39" t="inlineStr">
        <is>
          <t>Louis Vuitton Monogram Eclipse Gray Black Glasses Case</t>
        </is>
      </c>
      <c r="L139" t="inlineStr">
        <is>
          <t>{"id":"chatcmpl-DZoAHLaGsi5C2a4HYMjor9loSma7G","object":"chat.completion","created":1777426685,"model":"gpt-5-chat-2025-10-03","choices":[{"index":0,"message":{"role":"assistant","content":"Louis Vuitton Monogram Eclipse gray-black glasses case, crafted from premium coated canvas with leather lining, elegant zip closure, sleek design for modern men, portable and refined craftsmanship.","refusal":null,"annotations":[]},"logprobs":null,"finish_reason":"stop"}],"usage":{"prompt_tokens":909,"completion_tokens":35,"total_tokens":944,"prompt_tokens_details":{"cached_tokens":0,"audio_tokens":0},"completion_tokens_details":{"reasoning_tokens":0,"audio_tokens":0,"accepted_prediction_tokens":0,"rejected_prediction_tokens":0}},"service_tier":"default","system_fingerprint":"fp_fd471178c5"}</t>
        </is>
      </c>
      <c r="M139" t="inlineStr">
        <is>
          <t>{"alt-svc":"h3=\":443\"; ma=2592000","apim-request-id":"8bdbc2f3-66a2-4dc4-ae28-11fe3a0cb284","azureml-model-session":"d20260428205641-55ca9797","cache-control":"no-cache","connection":"close","content-length":"1005","content-type":"application/json","date":"Wed, 29 Apr 2026 01:38:06 GMT","server":"nginx","skip-error-remapping":"true","strict-transport-security":"max-age=31536000; includeSubDomains; preload","via":"1.1 Caddy","x-content-type-options":"nosniff","x-ms-client-request-id":"Not-Set","x-ms-is-spilled-over":"false","x-ms-rai-invoked":"false","x-ms-region":"South Central US","x-new-api-version":"0.4.35","x-oneapi-request-id":"202604290138047302544588268d9d6U7QOeE2C","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32bbc056-f277-48be-beba-9c984f7e336a"}</t>
        </is>
      </c>
      <c r="N139" t="inlineStr">
        <is>
          <t>Louis Vuitton Monogram Eclipse gray-black glasses case, crafted from premium coated canvas with leather lining, elegant zip closure, sleek design for modern men, portable and refined craftsmanship.</t>
        </is>
      </c>
      <c r="O139" t="inlineStr">
        <is>
          <t>{"id":"chatcmpl-DZoJW0xb9qjtqI1yz86hjJpCfgrJN","object":"chat.completion","created":1777427258,"model":"gpt-5-chat-2025-10-03","choices":[{"index":0,"message":{"role":"assistant","content":"Louis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fd471178c5"}</t>
        </is>
      </c>
      <c r="P139" t="inlineStr">
        <is>
          <t>Louis Vuitton, Accessories, kakobuy, kakebuy2026, kekobuysheet, kakobuysheet2026, 2026kakobuy, kakobuyspreadsheeet, kakobuylink, kakebuylist, Kakobuy MEGA Spreadsheet, kakobuysheetfind, kakobuysheetfind2026, 2026kakobuysheetfind, kakobuysheet2026</t>
        </is>
      </c>
      <c r="Q139" t="inlineStr">
        <is>
          <t>LV, Gray, Black, Elegant, Leather, Men</t>
        </is>
      </c>
      <c r="R139" t="inlineStr">
        <is>
          <t>recvhju1CrDKGr</t>
        </is>
      </c>
      <c r="S139" t="inlineStr">
        <is>
          <t>louis-vuitton-monogram-eclipse-gray-black-glasses-case-recvhju1crDKgr</t>
        </is>
      </c>
      <c r="T139"/>
      <c r="U139"/>
      <c r="V139"/>
      <c r="W139" t="inlineStr">
        <is>
          <t>{"id":"chatcmpl-DZo0iElrJsHDSvXARjayPg1Yuf0TV","object":"chat.completion","created":1777426092,"model":"gpt-5-chat-2025-10-03","choices":[{"index":0,"message":{"role":"assistant","content":"Louis Vuitton：Monogram Eclipse灰黑色眼镜收纳盒，采用高级涂层帆布材质与皮革内衬，饰以经典LV花纹，拉链开合设计简约实用，兼具男士优雅与现代都市风格，轻巧便携彰显品牌精致工艺。","refusal":null,"annotations":[]},"logprobs":null,"finish_reason":"stop"}],"usage":{"prompt_tokens":1303,"completion_tokens":74,"total_tokens":1377,"prompt_tokens_details":{"cached_tokens":0,"audio_tokens":0},"completion_tokens_details":{"reasoning_tokens":0,"audio_tokens":0,"accepted_prediction_tokens":0,"rejected_prediction_tokens":0}},"service_tier":"default","system_fingerprint":"fp_ad66631dec"}</t>
        </is>
      </c>
      <c r="X139" t="inlineStr">
        <is>
          <t>Louis Vuitton：Monogram Eclipse灰黑色眼镜收纳盒，采用高级涂层帆布材质与皮革内衬，饰以经典LV花纹，拉链开合设计简约实用，兼具男士优雅与现代都市风格，轻巧便携彰显品牌精致工艺。</t>
        </is>
      </c>
    </row>
    <row r="140" ht="25.5" customHeight="1">
      <c r="A140">
        <v>1654975475</v>
      </c>
      <c r="B140">
        <v>7622795693</v>
      </c>
      <c r="C140" s="2" t="str">
        <f>=HYPERLINK("https://weidian.com/item.html?itemID=7622795693", "https://weidian.com/item.html?itemID=7622795693")</f>
        <v>https://weidian.com/item.html?itemID=7622795693</v>
      </c>
      <c r="D140"/>
      <c r="E140" s="2" t="str">
        <f>=HYPERLINK("https://si.geilicdn.com/pcitem2014204438-76950000019add04f6170a2303ee_1440_1920.jpg?w=640&amp;h=640", "https://si.geilicdn.com/pcitem2014204438-76950000019add04f6170a2303ee_1440_1920.jpg?w=640&amp;h=640")</f>
        <v>https://si.geilicdn.com/pcitem2014204438-76950000019add04f6170a2303ee_1440_1920.jpg?w=640&amp;h=640</v>
      </c>
      <c r="F140" t="inlineStr">
        <is>
          <t>Accessories</t>
        </is>
      </c>
      <c r="G140" t="inlineStr">
        <is>
          <t>Goyard</t>
        </is>
      </c>
      <c r="H140">
        <v>284</v>
      </c>
      <c r="I140">
        <v>41.16</v>
      </c>
      <c r="J140" t="inlineStr">
        <is>
          <t>{"id":"chatcmpl-DZoDb0UzH5LuZaCzaeJgeNTvJbqbW","object":"chat.completion","created":1777426891,"model":"gpt-5-chat-2025-10-03","choices":[{"index":0,"message":{"role":"assistant","content":"Goyard White Calfskin Leather Key Holder Strap","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fd471178c5"}</t>
        </is>
      </c>
      <c r="K140" t="inlineStr">
        <is>
          <t>Goyard White Calfskin Leather Key Holder Strap</t>
        </is>
      </c>
      <c r="L140" t="inlineStr">
        <is>
          <t>{"id":"chatcmpl-DZo8bLNyoo40BdIZahgJGocuHyfCp","object":"chat.completion","created":1777426581,"model":"gpt-5-chat-2025-10-03","choices":[{"index":0,"message":{"role":"assistant","content":"Goyard White Leather Key Holder crafted from fine calfskin with embossed logo, showcasing French luxury craftsmanship. Minimalist and elegant with handy strap, unisex, blending classic style and practicality.","refusal":null,"annotations":[]},"logprobs":null,"finish_reason":"stop"}],"usage":{"prompt_tokens":906,"completion_tokens":39,"total_tokens":945,"prompt_tokens_details":{"cached_tokens":0,"audio_tokens":0},"completion_tokens_details":{"reasoning_tokens":0,"audio_tokens":0,"accepted_prediction_tokens":0,"rejected_prediction_tokens":0}},"service_tier":"default","system_fingerprint":"fp_ad66631dec"}</t>
        </is>
      </c>
      <c r="M140" t="inlineStr">
        <is>
          <t>{"alt-svc":"h3=\":443\"; ma=2592000","apim-request-id":"15999ecc-ea33-4162-b729-63d15fc69135","azureml-model-session":"d20260402075109-1fc5a0ec","cache-control":"no-cache","connection":"close","content-length":"1016","content-type":"application/json","date":"Wed, 29 Apr 2026 01:36:23 GMT","server":"Caddy","skip-error-remapping":"true","strict-transport-security":"max-age=31536000; includeSubDomains; preload","x-content-type-options":"nosniff","x-ms-client-request-id":"Not-Set","x-ms-is-spilled-over":"false","x-ms-rai-invoked":"false","x-ms-region":"East US","x-new-api-version":"0.4.35","x-oneapi-request-id":"20260429013620566628768268d9d6znJuXl2x","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b8edd18f-3e4e-46a0-84ac-949cce9b4e4a"}</t>
        </is>
      </c>
      <c r="N140" t="inlineStr">
        <is>
          <t>Goyard White Leather Key Holder crafted from fine calfskin with embossed logo, showcasing French luxury craftsmanship. Minimalist and elegant with handy strap, unisex, blending classic style and practicality.</t>
        </is>
      </c>
      <c r="O140" t="inlineStr">
        <is>
          <t>{"id":"chatcmpl-DZoNc6torf1lSvhP2QcS8taV5IzV3","object":"chat.completion","created":1777427512,"model":"gpt-5-chat-2025-10-03","choices":[{"index":0,"message":{"role":"assistant","content":"Goyard,Accessory,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40" t="inlineStr">
        <is>
          <t>Goyard,Accessory,kakobuy,kakebuy2026,kekobuysheet,kakobuysheet2026,2026kakobuy,kakobuyspreadsheeet,kakobuylink,kakebuylist,Kakobuy MEGA Spreadsheet,kakobuysheetfind,kakobuysheetfind2026,2026kakobuysheetfind,kakobuysheet2026</t>
        </is>
      </c>
      <c r="Q140" t="inlineStr">
        <is>
          <t>Leather, Minimalist, Elegant, Classic, Unisex</t>
        </is>
      </c>
      <c r="R140" t="inlineStr">
        <is>
          <t>recvhju1CrXPmO</t>
        </is>
      </c>
      <c r="S140" t="inlineStr">
        <is>
          <t>goyard-white-calfskin-leather-key-holder-strap-recvhju1CrXPmO</t>
        </is>
      </c>
      <c r="T140"/>
      <c r="U140"/>
      <c r="V140"/>
      <c r="W140" t="inlineStr">
        <is>
          <t>{"id":"chatcmpl-DZo0bES1EyHej6y7wxBvivNCcCbaN","object":"chat.completion","created":1777426085,"model":"gpt-5-chat-2025-10-03","choices":[{"index":0,"message":{"role":"assistant","content":"Goyard：白色皮革钥匙包，甄选细腻小牛皮打造，饰以低调浮雕Logo印记，简约优雅设计彰显法式奢华工艺。精巧挂绳便于随身携带，男女皆宜，融合经典与实用于一体。","refusal":null,"annotations":[]},"logprobs":null,"finish_reason":"stop"}],"usage":{"prompt_tokens":1299,"completion_tokens":74,"total_tokens":1373,"prompt_tokens_details":{"cached_tokens":1280,"audio_tokens":0},"completion_tokens_details":{"reasoning_tokens":0,"audio_tokens":0,"accepted_prediction_tokens":0,"rejected_prediction_tokens":0}},"service_tier":"default","system_fingerprint":"fp_ad66631dec"}</t>
        </is>
      </c>
      <c r="X140" t="inlineStr">
        <is>
          <t>Goyard：白色皮革钥匙包，甄选细腻小牛皮打造，饰以低调浮雕Logo印记，简约优雅设计彰显法式奢华工艺。精巧挂绳便于随身携带，男女皆宜，融合经典与实用于一体。</t>
        </is>
      </c>
    </row>
    <row r="141" ht="25.5" customHeight="1">
      <c r="A141">
        <v>1654975475</v>
      </c>
      <c r="B141">
        <v>7625575522</v>
      </c>
      <c r="C141" s="2" t="str">
        <f>=HYPERLINK("https://weidian.com/item.html?itemID=7625575522", "https://weidian.com/item.html?itemID=7625575522")</f>
        <v>https://weidian.com/item.html?itemID=7625575522</v>
      </c>
      <c r="D141"/>
      <c r="E141" s="2" t="str">
        <f>=HYPERLINK("https://si.geilicdn.com/pcitem2014204438-5e640000019adcfd7af00a239646_1440_1920.jpg?w=640&amp;h=640", "https://si.geilicdn.com/pcitem2014204438-5e640000019adcfd7af00a239646_1440_1920.jpg?w=640&amp;h=640")</f>
        <v>https://si.geilicdn.com/pcitem2014204438-5e640000019adcfd7af00a239646_1440_1920.jpg?w=640&amp;h=640</v>
      </c>
      <c r="F141" t="inlineStr">
        <is>
          <t>Glasses</t>
        </is>
      </c>
      <c r="G141" t="inlineStr">
        <is>
          <t>Dior</t>
        </is>
      </c>
      <c r="H141">
        <v>360</v>
      </c>
      <c r="I141">
        <v>52.17</v>
      </c>
      <c r="J141" t="inlineStr">
        <is>
          <t>{"id":"chatcmpl-DZoFhkq3GuywGdhqme1tauTCI9PQ4","object":"chat.completion","created":1777427021,"model":"gpt-5-chat-2025-10-03","choices":[{"index":0,"message":{"role":"assistant","content":"Dior Black Square Unisex Luxury UV Sunglasses","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141" t="inlineStr">
        <is>
          <t>Dior Black Square Unisex Luxury UV Sunglasses</t>
        </is>
      </c>
      <c r="L141" t="inlineStr">
        <is>
          <t>{"id":"chatcmpl-DZo3YEoCFkgrT6IIu1470MTuP4YMC","object":"chat.completion","created":1777426268,"model":"gpt-5-chat-2025-10-03","choices":[{"index":0,"message":{"role":"assistant","content":"Dior Black Square Sunglasses feature lightweight metal and premium resin, gold “D” detail, unisex minimalist design, UV protection, and modern elegance for a luxurious, timeless look.","refusal":null,"annotations":[]},"logprobs":null,"finish_reason":"stop"}],"usage":{"prompt_tokens":909,"completion_tokens":38,"total_tokens":947,"prompt_tokens_details":{"cached_tokens":0,"audio_tokens":0},"completion_tokens_details":{"reasoning_tokens":0,"audio_tokens":0,"accepted_prediction_tokens":0,"rejected_prediction_tokens":0}},"service_tier":"default","system_fingerprint":"fp_ad66631dec"}</t>
        </is>
      </c>
      <c r="M141" t="inlineStr">
        <is>
          <t>{"alt-svc":"h3=\":443\"; ma=2592000","apim-request-id":"68749b15-16c4-4a02-9e92-35e71fd4edd0","azureml-model-session":"d20260402083108-57a85543","cache-control":"no-cache","connection":"close","content-length":"995","content-type":"application/json","date":"Wed, 29 Apr 2026 01:31:11 GMT","server":"Caddy","skip-error-remapping":"true","strict-transport-security":"max-age=31536000; includeSubDomains; preload","x-content-type-options":"nosniff","x-ms-client-request-id":"Not-Set","x-ms-is-spilled-over":"false","x-ms-rai-invoked":"false","x-ms-region":"Sweden Central","x-new-api-version":"0.4.35","x-oneapi-request-id":"202604290131071381343788268d9d6NILt1Oqf","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fa2531a6-aee7-4a2c-8277-93afe445157f"}</t>
        </is>
      </c>
      <c r="N141" t="inlineStr">
        <is>
          <t>Dior Black Square Sunglasses feature lightweight metal and premium resin, gold “D” detail, unisex minimalist design, UV protection, and modern elegance for a luxurious, timeless look.</t>
        </is>
      </c>
      <c r="O141" t="inlineStr">
        <is>
          <t>{"id":"chatcmpl-DZoNeySKAZlLYOOmlnXsjAvwpTxYg","object":"chat.completion","created":1777427514,"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1" t="inlineStr">
        <is>
          <t>Dior,Glasses,kakobuy,kakebuy2026,kekobuysheet,kakobuysheet2026,2026kakobuy,kakobuyspreadsheeet,kakobuylink,kakebuylist,Kakobuy MEGA Spreadsheet,kakobuysheetfind,kakobuysheetfind2026,2026kakobuysheetfind,kakobuysheet2026</t>
        </is>
      </c>
      <c r="Q141" t="inlineStr">
        <is>
          <t>Dior, Unisex, Minimalist, Modern, Anti-Ultraviolet, Sun Protection</t>
        </is>
      </c>
      <c r="R141" t="inlineStr">
        <is>
          <t>recvhju1CrYfAn</t>
        </is>
      </c>
      <c r="S141" t="inlineStr">
        <is>
          <t>dior-black-square-uv-sunglasses-recvhju1cryfan</t>
        </is>
      </c>
      <c r="T141"/>
      <c r="U141"/>
      <c r="V141"/>
      <c r="W141" t="inlineStr">
        <is>
          <t>{"id":"chatcmpl-DZnshhwdSKGGEtyR9Dqr4FIR55eHo","object":"chat.completion","created":1777425595,"model":"gpt-5-chat-2025-10-03","choices":[{"index":0,"message":{"role":"assistant","content":"Dior：黑色方框太阳镜，采用轻盈金属与高级树脂材质打造，镜腿点缀金色“D”标识，极简设计彰显现代风格，适合男女通用，防紫外线功能与高端质感并存，演绎优雅奢华格调。","refusal":null,"annotations":[]},"logprobs":null,"finish_reason":"stop"}],"usage":{"prompt_tokens":1298,"completion_tokens":76,"total_tokens":1374,"prompt_tokens_details":{"cached_tokens":0,"audio_tokens":0},"completion_tokens_details":{"reasoning_tokens":0,"audio_tokens":0,"accepted_prediction_tokens":0,"rejected_prediction_tokens":0}},"service_tier":"default","system_fingerprint":"fp_ad66631dec"}</t>
        </is>
      </c>
      <c r="X141" t="inlineStr">
        <is>
          <t>Dior：黑色方框太阳镜，采用轻盈金属与高级树脂材质打造，镜腿点缀金色“D”标识，极简设计彰显现代风格，适合男女通用，防紫外线功能与高端质感并存，演绎优雅奢华格调。</t>
        </is>
      </c>
    </row>
    <row r="142" ht="25.5" customHeight="1">
      <c r="A142">
        <v>1654975475</v>
      </c>
      <c r="B142">
        <v>7623848691</v>
      </c>
      <c r="C142" s="2" t="str">
        <f>=HYPERLINK("https://weidian.com/item.html?itemID=7623848691", "https://weidian.com/item.html?itemID=7623848691")</f>
        <v>https://weidian.com/item.html?itemID=7623848691</v>
      </c>
      <c r="D142"/>
      <c r="E142" s="2" t="str">
        <f>=HYPERLINK("https://si.geilicdn.com/pcitem2014204438-2f960000019ae45f18aa0a210139_1080_1440.jpg?w=640&amp;h=640", "https://si.geilicdn.com/pcitem2014204438-2f960000019ae45f18aa0a210139_1080_1440.jpg?w=640&amp;h=640")</f>
        <v>https://si.geilicdn.com/pcitem2014204438-2f960000019ae45f18aa0a210139_1080_1440.jpg?w=640&amp;h=640</v>
      </c>
      <c r="F142" t="inlineStr">
        <is>
          <t>Accessories</t>
        </is>
      </c>
      <c r="G142" t="inlineStr">
        <is>
          <t>On Running</t>
        </is>
      </c>
      <c r="H142">
        <v>396</v>
      </c>
      <c r="I142">
        <v>57.39</v>
      </c>
      <c r="J142" t="inlineStr">
        <is>
          <t>{"id":"chatcmpl-DZoG3i3FcbVGIqVDE6KMn0ixKD3qE","object":"chat.completion","created":1777427043,"model":"gpt-5-chat-2025-10-03","choices":[{"index":0,"message":{"role":"assistant","content":"On Running Beige Waterproof Nylon Backpack","refusal":null,"annotations":[]},"logprobs":null,"finish_reason":"stop"}],"usage":{"prompt_tokens":865,"completion_tokens":7,"total_tokens":872,"prompt_tokens_details":{"cached_tokens":0,"audio_tokens":0},"completion_tokens_details":{"reasoning_tokens":0,"audio_tokens":0,"accepted_prediction_tokens":0,"rejected_prediction_tokens":0}},"service_tier":"default","system_fingerprint":"fp_ad66631dec"}</t>
        </is>
      </c>
      <c r="K142" t="inlineStr">
        <is>
          <t>On Running Beige Waterproof Nylon Backpack</t>
        </is>
      </c>
      <c r="L142" t="inlineStr">
        <is>
          <t>{"id":"chatcmpl-DZo9SV0nKDCclC7lqiLzh32s5XkFY","object":"chat.completion","created":1777426634,"model":"gpt-5-chat-2025-10-03","choices":[{"index":0,"message":{"role":"assistant","content":"On Running beige lightweight waterproof nylon backpack with breathable structure, large capacity, multi-compartment design for daily commute or outdoor use, unisex minimalist urban style.","refusal":null,"annotations":[]},"logprobs":null,"finish_reason":"stop"}],"usage":{"prompt_tokens":913,"completion_tokens":32,"total_tokens":945,"prompt_tokens_details":{"cached_tokens":0,"audio_tokens":0},"completion_tokens_details":{"reasoning_tokens":0,"audio_tokens":0,"accepted_prediction_tokens":0,"rejected_prediction_tokens":0}},"service_tier":"default","system_fingerprint":"fp_ad66631dec"}</t>
        </is>
      </c>
      <c r="M142" t="inlineStr">
        <is>
          <t>{"alt-svc":"h3=\":443\"; ma=2592000","apim-request-id":"311e8e18-8399-49aa-a43e-203bc6fe40ca","azureml-model-session":"d20260405225800-40f19e54","cache-control":"no-cache","connection":"close","content-length":"995","content-type":"application/json","date":"Wed, 29 Apr 2026 01:37:15 GMT","server":"Caddy","skip-error-remapping":"true","strict-transport-security":"max-age=31536000; includeSubDomains; preload","x-content-type-options":"nosniff","x-ms-client-request-id":"Not-Set","x-ms-is-spilled-over":"false","x-ms-rai-invoked":"false","x-ms-region":"West US","x-new-api-version":"0.4.35","x-oneapi-request-id":"20260429013713913914418268d9d6ejJR5IXp","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318ecd37-85e4-47c3-87ab-ef4b3203cdb0"}</t>
        </is>
      </c>
      <c r="N142" t="inlineStr">
        <is>
          <t>On Running beige lightweight waterproof nylon backpack with breathable structure, large capacity, multi-compartment design for daily commute or outdoor use, unisex minimalist urban style.</t>
        </is>
      </c>
      <c r="O142" t="inlineStr">
        <is>
          <t>{"id":"chatcmpl-DZoNO6uYD4NpbyrWF6oeNvlGadclG","object":"chat.completion","created":1777427498,"model":"gpt-5-chat-2025-10-03","choices":[{"index":0,"message":{"role":"assistant","content":"On Running,Backpack,kakobuy,kakebuy2026,kekobuysheet,kakobuysheet2026,2026kakobuy,kakobuyspreadsheeet,kakobuylink,kakebuylist,Kakobuy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42" t="inlineStr">
        <is>
          <t>On Running,Backpack,kakobuy,kakebuy2026,kekobuysheet,kakobuysheet2026,2026kakobuy,kakobuyspreadsheeet,kakobuylink,kakebuylist,Kakobuy MEGA Spreadsheet,kakobuysheetfind,kakobuysheetfind2026,2026kakobuysheetfind,kakobuysheet2026</t>
        </is>
      </c>
      <c r="Q142" t="inlineStr">
        <is>
          <t>Backpack, Beige, Lightweight, Waterproof, Nylon, Unisex</t>
        </is>
      </c>
      <c r="R142" t="inlineStr">
        <is>
          <t>recvhju1Crw3b5</t>
        </is>
      </c>
      <c r="S142" t="inlineStr">
        <is>
          <t>on-running-beige-waterproof-nylon-backpack-recvhju1crw3b5</t>
        </is>
      </c>
      <c r="T142"/>
      <c r="U142"/>
      <c r="V142"/>
      <c r="W142" t="inlineStr">
        <is>
          <t>{"id":"chatcmpl-DZo144Moesln7CnDT82jXtessO5JW","object":"chat.completion","created":1777426114,"model":"gpt-5-chat-2025-10-03","choices":[{"index":0,"message":{"role":"assistant","content":"On Running 米色轻量化运动双肩包，采用防水尼龙面料与流线型设计，结构稳固且透气舒适，大容量收纳结合多功能分区，兼具日常通勤与户外运动实用性，极简都市风格男女通用款，展现现代功能美学与活力姿态。","refusal":null,"annotations":[]},"logprobs":null,"finish_reason":"stop"}],"usage":{"prompt_tokens":1299,"completion_tokens":80,"total_tokens":1379,"prompt_tokens_details":{"cached_tokens":0,"audio_tokens":0},"completion_tokens_details":{"reasoning_tokens":0,"audio_tokens":0,"accepted_prediction_tokens":0,"rejected_prediction_tokens":0}},"service_tier":"default","system_fingerprint":"fp_ad66631dec"}</t>
        </is>
      </c>
      <c r="X142" t="inlineStr">
        <is>
          <t>On Running 米色轻量化运动双肩包，采用防水尼龙面料与流线型设计，结构稳固且透气舒适，大容量收纳结合多功能分区，兼具日常通勤与户外运动实用性，极简都市风格男女通用款，展现现代功能美学与活力姿态。</t>
        </is>
      </c>
    </row>
    <row r="143" ht="25.5" customHeight="1">
      <c r="A143">
        <v>1654975475</v>
      </c>
      <c r="B143">
        <v>7626868204</v>
      </c>
      <c r="C143" s="2" t="str">
        <f>=HYPERLINK("https://weidian.com/item.html?itemID=7626868204", "https://weidian.com/item.html?itemID=7626868204")</f>
        <v>https://weidian.com/item.html?itemID=7626868204</v>
      </c>
      <c r="D143"/>
      <c r="E143" s="2" t="str">
        <f>=HYPERLINK("https://si.geilicdn.com/pcitem2014204438-60650000019ae45673d90a23057e_1440_1823.jpg?w=640&amp;h=640", "https://si.geilicdn.com/pcitem2014204438-60650000019ae45673d90a23057e_1440_1823.jpg?w=640&amp;h=640")</f>
        <v>https://si.geilicdn.com/pcitem2014204438-60650000019ae45673d90a23057e_1440_1823.jpg?w=640&amp;h=640</v>
      </c>
      <c r="F143" t="inlineStr">
        <is>
          <t>Accessories</t>
        </is>
      </c>
      <c r="G143" t="inlineStr">
        <is>
          <t>On Running</t>
        </is>
      </c>
      <c r="H143">
        <v>340</v>
      </c>
      <c r="I143">
        <v>49.2898550724637</v>
      </c>
      <c r="J143" t="inlineStr">
        <is>
          <t>{"id":"chatcmpl-DZoC6LO98aHqVutO3z7z8W6NUNbNv","object":"chat.completion","created":1777426798,"model":"gpt-5-chat-2025-10-03","choices":[{"index":0,"message":{"role":"assistant","content":"On Running Silver Gray Waterproof Nylon Gym Bag","refusal":null,"annotations":[]},"logprobs":null,"finish_reason":"stop"}],"usage":{"prompt_tokens":875,"completion_tokens":9,"total_tokens":884,"prompt_tokens_details":{"cached_tokens":0,"audio_tokens":0},"completion_tokens_details":{"reasoning_tokens":0,"audio_tokens":0,"accepted_prediction_tokens":0,"rejected_prediction_tokens":0}},"service_tier":"default","system_fingerprint":"fp_ad66631dec"}</t>
        </is>
      </c>
      <c r="K143" t="inlineStr">
        <is>
          <t>On Running Silver Gray Waterproof Nylon Gym Bag</t>
        </is>
      </c>
      <c r="L143" t="inlineStr">
        <is>
          <t>{"id":"chatcmpl-DZo62gfJ150DhoGmK0wybZ7y8R3Bz","object":"chat.completion","created":1777426422,"model":"gpt-5-chat-2025-10-03","choices":[{"index":0,"message":{"role":"assistant","content":"On Running Silver Gray Gym Bag – crafted from lightweight waterproof nylon, durable and flexible, features multi-pocket storage, minimalist Swiss design, perfect for gym, travel, or daily commute.","refusal":null,"annotations":[]},"logprobs":null,"finish_reason":"stop"}],"usage":{"prompt_tokens":912,"completion_tokens":37,"total_tokens":949,"prompt_tokens_details":{"cached_tokens":0,"audio_tokens":0},"completion_tokens_details":{"reasoning_tokens":0,"audio_tokens":0,"accepted_prediction_tokens":0,"rejected_prediction_tokens":0}},"service_tier":"default","system_fingerprint":"fp_ad66631dec"}</t>
        </is>
      </c>
      <c r="M143" t="inlineStr">
        <is>
          <t>{"alt-svc":"h3=\":443\"; ma=2592000","apim-request-id":"22647f05-6751-489e-b929-55add19e4921","azureml-model-session":"d20260402075109-1fc5a0ec","cache-control":"no-cache","connection":"close","content-length":"1006","content-type":"application/json","date":"Wed, 29 Apr 2026 01:33:44 GMT","server":"nginx","skip-error-remapping":"true","strict-transport-security":"max-age=31536000; includeSubDomains; preload","via":"1.1 Caddy","x-content-type-options":"nosniff","x-ms-client-request-id":"Not-Set","x-ms-is-spilled-over":"false","x-ms-rai-invoked":"false","x-ms-region":"West US","x-new-api-version":"0.4.35","x-oneapi-request-id":"202604290133409132414598268d9d6GCFlzvaO","x-ratelimit-abusepenalty-active":"False","x-ratelimit-key":"gpt-5-chat-global","x-ratelimit-limit-requests":"1000","x-ratelimit-limit-tokens":"1000000","x-ratelimit-remaining-requests":"999","x-ratelimit-remaining-tokens":"998326","x-ratelimit-renewalperiod-requests":"60","x-ratelimit-renewalperiod-tokens":"60","x-ratelimit-reset-requests":"60","x-ratelimit-reset-tokens":"100","x-request-id":"289e0db8-ba50-40c2-9905-e76570ab22f4"}</t>
        </is>
      </c>
      <c r="N143" t="inlineStr">
        <is>
          <t>On Running Silver Gray Gym Bag – crafted from lightweight waterproof nylon, durable and flexible, features multi-pocket storage, minimalist Swiss design, perfect for gym, travel, or daily commute.</t>
        </is>
      </c>
      <c r="O143" t="inlineStr">
        <is>
          <t>{"id":"chatcmpl-DZoQxmYzWiqC2vOVCb5pOx7xozzjq","object":"chat.completion","created":1777427719,"model":"gpt-5-chat-2025-10-03","choices":[{"index":0,"message":{"role":"assistant","content":"On Running,Accessories,kakobuy,kakebuy2026,kekobuysheet,kakobuysheet2026,2026kakobuy,kakobuyspreadsheeet,kakobuylink,kakebuylist,Kakobuy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43" t="inlineStr">
        <is>
          <t>On Running,Accessories,kakobuy,kakebuy2026,kekobuysheet,kakobuysheet2026,2026kakobuy,kakobuyspreadsheeet,kakobuylink,kakebuylist,Kakobuy MEGA Spreadsheet,kakobuysheetfind,kakobuysheetfind2026,2026kakobuysheetfind,kakobuysheet2026</t>
        </is>
      </c>
      <c r="Q143" t="inlineStr">
        <is>
          <t>Silver, Grey, Lightweight, Waterproof, Nylon, Minimalist</t>
        </is>
      </c>
      <c r="R143" t="inlineStr">
        <is>
          <t>recvhju1CrD4Wt</t>
        </is>
      </c>
      <c r="S143" t="inlineStr">
        <is>
          <t>on-running-silver-gray-waterproof-nylon-gym-bag-recvhju1crD4wt</t>
        </is>
      </c>
      <c r="T143"/>
      <c r="U143"/>
      <c r="V143"/>
      <c r="W143" t="inlineStr">
        <is>
          <t>{"id":"chatcmpl-DZnyibCYql0fQJMbMOLEAmAoYqaTK","object":"chat.completion","created":1777425968,"model":"gpt-5-chat-2025-10-03","choices":[{"index":0,"message":{"role":"assistant","content":"On Running：银灰色运动健身包，采用轻量防水尼龙材质，质感柔韧耐磨，多口袋收纳设计实用便捷，简约现代造型搭配品牌标识印花，彰显瑞士极简运动风格，男女皆宜，适合健身、旅行与日常通勤使用。","refusal":null,"annotations":[]},"logprobs":null,"finish_reason":"stop"}],"usage":{"prompt_tokens":1297,"completion_tokens":80,"total_tokens":1377,"prompt_tokens_details":{"cached_tokens":0,"audio_tokens":0},"completion_tokens_details":{"reasoning_tokens":0,"audio_tokens":0,"accepted_prediction_tokens":0,"rejected_prediction_tokens":0}},"service_tier":"default","system_fingerprint":"fp_ad66631dec"}</t>
        </is>
      </c>
      <c r="X143" t="inlineStr">
        <is>
          <t>On Running：银灰色运动健身包，采用轻量防水尼龙材质，质感柔韧耐磨，多口袋收纳设计实用便捷，简约现代造型搭配品牌标识印花，彰显瑞士极简运动风格，男女皆宜，适合健身、旅行与日常通勤使用。</t>
        </is>
      </c>
    </row>
    <row r="144" ht="25.5" customHeight="1">
      <c r="A144">
        <v>1654975475</v>
      </c>
      <c r="B144">
        <v>7623834571</v>
      </c>
      <c r="C144" s="2" t="str">
        <f>=HYPERLINK("https://weidian.com/item.html?itemID=7623834571", "https://weidian.com/item.html?itemID=7623834571")</f>
        <v>https://weidian.com/item.html?itemID=7623834571</v>
      </c>
      <c r="D144"/>
      <c r="E144" s="2" t="str">
        <f>=HYPERLINK("https://si.geilicdn.com/pcitem2014204438-32500000019ae452b5930a20e2c5_1440_1920.jpg?w=640&amp;h=640", "https://si.geilicdn.com/pcitem2014204438-32500000019ae452b5930a20e2c5_1440_1920.jpg?w=640&amp;h=640")</f>
        <v>https://si.geilicdn.com/pcitem2014204438-32500000019ae452b5930a20e2c5_1440_1920.jpg?w=640&amp;h=640</v>
      </c>
      <c r="F144" t="inlineStr">
        <is>
          <t>Accessories</t>
        </is>
      </c>
      <c r="G144" t="inlineStr">
        <is>
          <t>Arc teryx</t>
        </is>
      </c>
      <c r="H144">
        <v>380</v>
      </c>
      <c r="I144">
        <v>55.07</v>
      </c>
      <c r="J144" t="inlineStr">
        <is>
          <t>{"id":"chatcmpl-DZoCttohbUiOvklqGsSkMklrLV9DW","object":"chat.completion","created":1777426847,"model":"gpt-5-chat-2025-10-03","choices":[{"index":0,"message":{"role":"assistant","content":"Arc'teryx Black Urban Waterproof Nylon Backpack","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fd471178c5"}</t>
        </is>
      </c>
      <c r="K144" t="inlineStr">
        <is>
          <t>Arc'teryx Black Urban Waterproof Nylon Backpack</t>
        </is>
      </c>
      <c r="L144" t="inlineStr">
        <is>
          <t>{"id":"chatcmpl-DZo7pcIB7arQEQayBmuFlisfndUs5","object":"chat.completion","created":1777426533,"model":"gpt-5-chat-2025-10-03","choices":[{"index":0,"message":{"role":"assistant","content":"Arc'teryx Black Urban Lightweight Backpack – water‑repellent nylon, sleek minimalist design with gold bird logo, durable for outdoor adventures and city commuting, stylish for men and women.","refusal":null,"annotations":[]},"logprobs":null,"finish_reason":"stop"}],"usage":{"prompt_tokens":903,"completion_tokens":38,"total_tokens":941,"prompt_tokens_details":{"cached_tokens":0,"audio_tokens":0},"completion_tokens_details":{"reasoning_tokens":0,"audio_tokens":0,"accepted_prediction_tokens":0,"rejected_prediction_tokens":0}},"service_tier":"default","system_fingerprint":"fp_fd471178c5"}</t>
        </is>
      </c>
      <c r="M144" t="inlineStr">
        <is>
          <t>{"alt-svc":"h3=\":443\"; ma=2592000","apim-request-id":"c0f84733-948b-4a8a-96ba-80c4e82cd1cd","azureml-model-session":"d20260428165144-a78ba574","cache-control":"no-cache","connection":"close","content-length":"1002","content-type":"application/json","date":"Wed, 29 Apr 2026 01:35:34 GMT","server":"nginx","skip-error-remapping":"true","strict-transport-security":"max-age=31536000; includeSubDomains; preload","via":"1.1 Caddy","x-content-type-options":"nosniff","x-ms-client-request-id":"Not-Set","x-ms-is-spilled-over":"false","x-ms-rai-invoked":"false","x-ms-region":"East US 2","x-new-api-version":"0.4.35","x-oneapi-request-id":"202604290135319946439648268d9d61gMq2fUQ","x-ratelimit-abusepenalty-active":"False","x-ratelimit-key":"gpt-5-chat-global","x-ratelimit-limit-requests":"1000","x-ratelimit-limit-tokens":"1000000","x-ratelimit-remaining-requests":"999","x-ratelimit-remaining-tokens":"998335","x-ratelimit-renewalperiod-requests":"60","x-ratelimit-renewalperiod-tokens":"60","x-ratelimit-reset-requests":"60","x-ratelimit-reset-tokens":"99","x-request-id":"b4748dfc-6584-49ea-b337-c8a66679443b"}</t>
        </is>
      </c>
      <c r="N144" t="inlineStr">
        <is>
          <t>Arc'teryx Black Urban Lightweight Backpack – water‑repellent nylon, sleek minimalist design with gold bird logo, durable for outdoor adventures and city commuting, stylish for men and women.</t>
        </is>
      </c>
      <c r="O144" t="inlineStr">
        <is>
          <t>{"id":"chatcmpl-DZoLJwouBYo0GkLhAis1JdbVnmdFw","object":"chat.completion","created":1777427369,"model":"gpt-5-chat-2025-10-03","choices":[{"index":0,"message":{"role":"assistant","content":"Arc'teryx,Backpack,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90,"total_tokens":874,"prompt_tokens_details":{"cached_tokens":0,"audio_tokens":0},"completion_tokens_details":{"reasoning_tokens":0,"audio_tokens":0,"accepted_prediction_tokens":0,"rejected_prediction_tokens":0}},"service_tier":"default","system_fingerprint":"fp_fd471178c5"}</t>
        </is>
      </c>
      <c r="P144" t="inlineStr">
        <is>
          <t>Arc'teryx,Backpack,kakobuy,kakebuy2026,kekobuysheet,kakobuysheet2026,2026kakobuy,kakobuyspreadsheeet,kakobuylink,kakebuylist,Kakobuy MEGA Spreadsheet,kakobuysheetfind,kakobuysheetfind2026,2026kakobuysheetfind,kakobuysheet2026</t>
        </is>
      </c>
      <c r="Q144" t="inlineStr">
        <is>
          <t>Backpack, Waterproof, Nylon, Minimalist, Unisex, Outdoor</t>
        </is>
      </c>
      <c r="R144" t="inlineStr">
        <is>
          <t>recvhju1CrumbL</t>
        </is>
      </c>
      <c r="S144" t="inlineStr">
        <is>
          <t>arcteryx-black-urban-waterproof-nylon-backpack-recvhju1crumbL</t>
        </is>
      </c>
      <c r="T144"/>
      <c r="U144"/>
      <c r="V144"/>
      <c r="W144" t="inlineStr">
        <is>
          <t>{"id":"chatcmpl-DZnyr56V8B1fbR8WCKDvuzG1nFqwV","object":"chat.completion","created":1777425977,"model":"gpt-5-chat-2025-10-03","choices":[{"index":0,"message":{"role":"assistant","content":"Arc'teryx：黑色都市轻量背包，采用防泼水尼龙面料，简约流线型设计，金色始祖鸟标识点缀，兼具户外机能与城市通勤风格，男女皆宜，展现现代极简美学。","refusal":null,"annotations":[]},"logprobs":null,"finish_reason":"stop"}],"usage":{"prompt_tokens":1305,"completion_tokens":67,"total_tokens":1372,"prompt_tokens_details":{"cached_tokens":0,"audio_tokens":0},"completion_tokens_details":{"reasoning_tokens":0,"audio_tokens":0,"accepted_prediction_tokens":0,"rejected_prediction_tokens":0}},"service_tier":"default","system_fingerprint":"fp_ad66631dec"}</t>
        </is>
      </c>
      <c r="X144" t="inlineStr">
        <is>
          <t>Arc'teryx：黑色都市轻量背包，采用防泼水尼龙面料，简约流线型设计，金色始祖鸟标识点缀，兼具户外机能与城市通勤风格，男女皆宜，展现现代极简美学。</t>
        </is>
      </c>
    </row>
    <row r="145" ht="25.5" customHeight="1">
      <c r="A145">
        <v>1654975475</v>
      </c>
      <c r="B145">
        <v>7626850230</v>
      </c>
      <c r="C145" s="2" t="str">
        <f>=HYPERLINK("https://weidian.com/item.html?itemID=7626850230", "https://weidian.com/item.html?itemID=7626850230")</f>
        <v>https://weidian.com/item.html?itemID=7626850230</v>
      </c>
      <c r="D145"/>
      <c r="E145" s="2" t="str">
        <f>=HYPERLINK("https://si.geilicdn.com/pcitem2014204438-589c0000019ae44f616a0a20e284_1080_810.jpg?w=640&amp;h=640", "https://si.geilicdn.com/pcitem2014204438-589c0000019ae44f616a0a20e284_1080_810.jpg?w=640&amp;h=640")</f>
        <v>https://si.geilicdn.com/pcitem2014204438-589c0000019ae44f616a0a20e284_1080_810.jpg?w=640&amp;h=640</v>
      </c>
      <c r="F145" t="inlineStr">
        <is>
          <t>Accessories</t>
        </is>
      </c>
      <c r="G145" t="inlineStr">
        <is>
          <t>Coach</t>
        </is>
      </c>
      <c r="H145">
        <v>730</v>
      </c>
      <c r="I145">
        <v>105.8</v>
      </c>
      <c r="J145" t="inlineStr">
        <is>
          <t>{"id":"chatcmpl-DZoEdQV4irhbamHOxU3QkZ6hwwBn0","object":"chat.completion","created":1777426955,"model":"gpt-5-chat-2025-10-03","choices":[{"index":0,"message":{"role":"assistant","content":"Coach Signature Black Gray Leather Men’s Briefcase","refusal":null,"annotations":[]},"logprobs":null,"finish_reason":"stop"}],"usage":{"prompt_tokens":606,"completion_tokens":10,"total_tokens":616,"prompt_tokens_details":{"cached_tokens":0,"audio_tokens":0},"completion_tokens_details":{"reasoning_tokens":0,"audio_tokens":0,"accepted_prediction_tokens":0,"rejected_prediction_tokens":0}},"service_tier":"default","system_fingerprint":"fp_ad66631dec"}</t>
        </is>
      </c>
      <c r="K145" t="inlineStr">
        <is>
          <t>Coach Signature Black Gray Leather Men’s Briefcase</t>
        </is>
      </c>
      <c r="L145" t="inlineStr">
        <is>
          <t>{"id":"chatcmpl-DZo8HAcJY5eVBvx7Bvu7nMm2mbvSb","object":"chat.completion","created":1777426561,"model":"gpt-5-chat-2025-10-03","choices":[{"index":0,"message":{"role":"assistant","content":"Coach Signature Black Gray Men’s Briefcase, crafted from PVC coated canvas and genuine leather. Features classic “C” pattern, durable scratch-resistant texture, dual handles, adjustable strap—perfect for modern business travel.","refusal":null,"annotations":[]},"logprobs":null,"finish_reason":"stop"}],"usage":{"prompt_tokens":646,"completion_tokens":43,"total_tokens":689,"prompt_tokens_details":{"cached_tokens":0,"audio_tokens":0},"completion_tokens_details":{"reasoning_tokens":0,"audio_tokens":0,"accepted_prediction_tokens":0,"rejected_prediction_tokens":0}},"service_tier":"default","system_fingerprint":"fp_ad66631dec"}</t>
        </is>
      </c>
      <c r="M145" t="inlineStr">
        <is>
          <t>{"alt-svc":"h3=\":443\"; ma=2592000","apim-request-id":"e830f4d3-72a5-40c0-b968-320e84ee4b61","azureml-model-session":"d20260405225800-40f19e54","cache-control":"no-cache","connection":"close","content-length":"1043","content-type":"application/json","date":"Wed, 29 Apr 2026 01:36:02 GMT","server":"Caddy","skip-error-remapping":"true","strict-transport-security":"max-age=31536000; includeSubDomains; preload","vary":"Accept-Encoding","x-content-type-options":"nosniff","x-ms-client-request-id":"Not-Set","x-ms-is-spilled-over":"false","x-ms-rai-invoked":"false","x-ms-region":"North Central US","x-new-api-version":"0.4.35","x-oneapi-request-id":"202604290136007077606388268d9d6iMN6IlRW","x-ratelimit-abusepenalty-active":"False","x-ratelimit-key":"gpt-5-chat-global","x-ratelimit-limit-requests":"1000","x-ratelimit-limit-tokens":"1000000","x-ratelimit-remaining-requests":"999","x-ratelimit-remaining-tokens":"998590","x-ratelimit-renewalperiod-requests":"60","x-ratelimit-renewalperiod-tokens":"60","x-ratelimit-reset-requests":"60","x-ratelimit-reset-tokens":"84","x-request-id":"124f534f-bb64-4a12-b5f0-451a60fa282f"}</t>
        </is>
      </c>
      <c r="N145" t="inlineStr">
        <is>
          <t>Coach Signature Black Gray Men’s Briefcase, crafted from PVC coated canvas and genuine leather. Features classic “C” pattern, durable scratch-resistant texture, dual handles, adjustable strap—perfect for modern business travel.</t>
        </is>
      </c>
      <c r="O145" t="inlineStr">
        <is>
          <t>{"id":"chatcmpl-DZoKhMOVTnK5z8orVMnQvbTlj4tUh","object":"chat.completion","created":1777427331,"model":"gpt-5-chat-2025-10-03","choices":[{"index":0,"message":{"role":"assistant","content":"Coach, bag, kakobuy, kakebuy2026, kekobuysheet, kakobuysheet2026, 2026kakobuy, kakobuyspreadsheeet, kakobuylink, kakebuylist, Kakobuy MEGA Spreadsheet, kakobuysheetfind, kakobuysheetfind2026, 2026kakobuysheetfind, kakobuysheet2026","refusal":null,"annotations":[]},"logprobs":null,"finish_reason":"stop"}],"usage":{"prompt_tokens":501,"completion_tokens":90,"total_tokens":591,"prompt_tokens_details":{"cached_tokens":0,"audio_tokens":0},"completion_tokens_details":{"reasoning_tokens":0,"audio_tokens":0,"accepted_prediction_tokens":0,"rejected_prediction_tokens":0}},"service_tier":"default","system_fingerprint":"fp_ad66631dec"}</t>
        </is>
      </c>
      <c r="P145" t="inlineStr">
        <is>
          <t>Coach, bag, kakobuy, kakebuy2026, kekobuysheet, kakobuysheet2026, 2026kakobuy, kakobuyspreadsheeet, kakobuylink, kakebuylist, Kakobuy MEGA Spreadsheet, kakobuysheetfind, kakobuysheetfind2026, 2026kakobuysheetfind, kakobuysheet2026</t>
        </is>
      </c>
      <c r="Q145"/>
      <c r="R145" t="inlineStr">
        <is>
          <t>recvhju1CrkCmp</t>
        </is>
      </c>
      <c r="S145" t="inlineStr">
        <is>
          <t>coach-signature-black-gray-leather-men-briefcase-recvhju1crkcmp</t>
        </is>
      </c>
      <c r="T145"/>
      <c r="U145"/>
      <c r="V145"/>
      <c r="W145" t="inlineStr">
        <is>
          <t>{"id":"chatcmpl-DZo0bGeMeDocp3Zhu2v6SvbbjxYQS","object":"chat.completion","created":1777426085,"model":"gpt-5-chat-2025-10-03","choices":[{"index":0,"message":{"role":"assistant","content":"Coach：Signature系列黑灰色男士公文包，采用PVC涂层帆布与真皮拼接材质，经典“C”字印花设计，质感硬挺、防刮耐磨。配有可调节肩带与双提手，兼具手提与斜挎功能，简约商务风格尽显优雅格调，适合现代都市男士通勤使用。","refusal":null,"annotations":[]},"logprobs":null,"finish_reason":"stop"}],"usage":{"prompt_tokens":1017,"completion_tokens":94,"total_tokens":1111,"prompt_tokens_details":{"cached_tokens":0,"audio_tokens":0},"completion_tokens_details":{"reasoning_tokens":0,"audio_tokens":0,"accepted_prediction_tokens":0,"rejected_prediction_tokens":0}},"service_tier":"default","system_fingerprint":"fp_ad66631dec"}</t>
        </is>
      </c>
      <c r="X145" t="inlineStr">
        <is>
          <t>Coach：Signature系列黑灰色男士公文包，采用PVC涂层帆布与真皮拼接材质，经典“C”字印花设计，质感硬挺、防刮耐磨。配有可调节肩带与双提手，兼具手提与斜挎功能，简约商务风格尽显优雅格调，适合现代都市男士通勤使用。</t>
        </is>
      </c>
    </row>
    <row r="146" ht="25.5" customHeight="1">
      <c r="A146">
        <v>1654975475</v>
      </c>
      <c r="B146">
        <v>7623809019</v>
      </c>
      <c r="C146" s="2" t="str">
        <f>=HYPERLINK("https://weidian.com/item.html?itemID=7623809019", "https://weidian.com/item.html?itemID=7623809019")</f>
        <v>https://weidian.com/item.html?itemID=7623809019</v>
      </c>
      <c r="D146"/>
      <c r="E146" s="2" t="str">
        <f>=HYPERLINK("https://si.geilicdn.com/pcitem2014204438-514a0000019ae44c25880a8134f0_1440_1440.jpg?w=640&amp;h=640", "https://si.geilicdn.com/pcitem2014204438-514a0000019ae44c25880a8134f0_1440_1440.jpg?w=640&amp;h=640")</f>
        <v>https://si.geilicdn.com/pcitem2014204438-514a0000019ae44c25880a8134f0_1440_1440.jpg?w=640&amp;h=640</v>
      </c>
      <c r="F146" t="inlineStr">
        <is>
          <t>Accessories</t>
        </is>
      </c>
      <c r="G146" t="inlineStr">
        <is>
          <t>Coach</t>
        </is>
      </c>
      <c r="H146">
        <v>540</v>
      </c>
      <c r="I146">
        <v>78.26</v>
      </c>
      <c r="J146" t="inlineStr">
        <is>
          <t>{"id":"chatcmpl-DZoGkgur12h1104hxAAMeq0W5HpF2","object":"chat.completion","created":1777427086,"model":"gpt-5-chat-2025-10-03","choices":[{"index":0,"message":{"role":"assistant","content":"Coach White Leather Dual-Layer Crossbody Bag","refusal":null,"annotations":[]},"logprobs":null,"finish_reason":"stop"}],"usage":{"prompt_tokens":876,"completion_tokens":10,"total_tokens":886,"prompt_tokens_details":{"cached_tokens":0,"audio_tokens":0},"completion_tokens_details":{"reasoning_tokens":0,"audio_tokens":0,"accepted_prediction_tokens":0,"rejected_prediction_tokens":0}},"service_tier":"default","system_fingerprint":"fp_ad66631dec"}</t>
        </is>
      </c>
      <c r="K146" t="inlineStr">
        <is>
          <t>Coach White Leather Dual-Layer Crossbody Bag</t>
        </is>
      </c>
      <c r="L146" t="inlineStr">
        <is>
          <t>{"id":"chatcmpl-DZo3monQuUkO7Gn2FYYXP6uBJ3zpU","object":"chat.completion","created":1777426282,"model":"gpt-5-chat-2025-10-03","choices":[{"index":0,"message":{"role":"assistant","content":"Coach White Leather Dual-Layer Crossbody Bag, minimalist square design with bold logo print, adjustable wide strap and round coin pouch, unisex modern urban chic style, stylish and practical.","refusal":null,"annotations":[]},"logprobs":null,"finish_reason":"stop"}],"usage":{"prompt_tokens":894,"completion_tokens":38,"total_tokens":932,"prompt_tokens_details":{"cached_tokens":0,"audio_tokens":0},"completion_tokens_details":{"reasoning_tokens":0,"audio_tokens":0,"accepted_prediction_tokens":0,"rejected_prediction_tokens":0}},"service_tier":"default","system_fingerprint":"fp_fd471178c5"}</t>
        </is>
      </c>
      <c r="M146" t="inlineStr">
        <is>
          <t>{"alt-svc":"h3=\":443\"; ma=2592000","apim-request-id":"efb94a11-c627-49ef-995c-2b54dcc0edde","azureml-model-session":"d20260428165144-a78ba574","cache-control":"no-cache","connection":"close","content-length":"999","content-type":"application/json","date":"Wed, 29 Apr 2026 01:31:23 GMT","server":"Caddy","skip-error-remapping":"true","strict-transport-security":"max-age=31536000; includeSubDomains; preload","x-content-type-options":"nosniff","x-ms-client-request-id":"Not-Set","x-ms-is-spilled-over":"false","x-ms-rai-invoked":"false","x-ms-region":"Central US","x-new-api-version":"0.4.35","x-oneapi-request-id":"202604290131215126097708268d9d6XiI4rbWu","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6e2bf5b0-c363-45c6-97d4-576222f3fe58"}</t>
        </is>
      </c>
      <c r="N146" t="inlineStr">
        <is>
          <t>Coach White Leather Dual-Layer Crossbody Bag, minimalist square design with bold logo print, adjustable wide strap and round coin pouch, unisex modern urban chic style, stylish and practical.</t>
        </is>
      </c>
      <c r="O146" t="inlineStr">
        <is>
          <t>{"id":"chatcmpl-DZoLVZelvN9cw1yU0l9pmIHUHbndA","object":"chat.completion","created":1777427381,"model":"gpt-5-chat-2025-10-03","choices":[{"index":0,"message":{"role":"assistant","content":"Coach,bag,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fd471178c5"}</t>
        </is>
      </c>
      <c r="P146" t="inlineStr">
        <is>
          <t>Coach,bag,kakobuy,kakebuy2026,kekobuysheet,kakobuysheet2026,2026kakobuy,kakobuyspreadsheeet,kakobuylink,kakebuylist,Kakobuy MEGA Spreadsheet,kakobuysheetfind,kakobuysheetfind2026,2026kakobuysheetfind,kakobuysheet2026</t>
        </is>
      </c>
      <c r="Q146" t="inlineStr">
        <is>
          <t>White, Leather, Minimalist, Unisex, Modern, Style</t>
        </is>
      </c>
      <c r="R146" t="inlineStr">
        <is>
          <t>recvhju1Cr8mwx</t>
        </is>
      </c>
      <c r="S146" t="inlineStr">
        <is>
          <t>coach-white-leather-crossbody-recvhju1cr8mwx</t>
        </is>
      </c>
      <c r="T146"/>
      <c r="U146"/>
      <c r="V146"/>
      <c r="W146" t="inlineStr">
        <is>
          <t>{"id":"chatcmpl-DZnyGFkjlhMEyT6OBfsMMgwIjnrTs","object":"chat.completion","created":1777425940,"model":"gpt-5-chat-2025-10-03","choices":[{"index":0,"message":{"role":"assistant","content":"Coach：白色皮质双层斜挎包，简约方形设计搭配粗体LOGO印花，配可调节宽肩带与圆形零钱包，男女皆宜，现代都市休闲风，兼具时尚与实用功能。","refusal":null,"annotations":[]},"logprobs":null,"finish_reason":"stop"}],"usage":{"prompt_tokens":1299,"completion_tokens":61,"total_tokens":1360,"prompt_tokens_details":{"cached_tokens":0,"audio_tokens":0},"completion_tokens_details":{"reasoning_tokens":0,"audio_tokens":0,"accepted_prediction_tokens":0,"rejected_prediction_tokens":0}},"service_tier":"default","system_fingerprint":"fp_ad66631dec"}</t>
        </is>
      </c>
      <c r="X146" t="inlineStr">
        <is>
          <t>Coach：白色皮质双层斜挎包，简约方形设计搭配粗体LOGO印花，配可调节宽肩带与圆形零钱包，男女皆宜，现代都市休闲风，兼具时尚与实用功能。</t>
        </is>
      </c>
    </row>
    <row r="147" ht="25.5" customHeight="1">
      <c r="A147">
        <v>1654975475</v>
      </c>
      <c r="B147">
        <v>7626120468</v>
      </c>
      <c r="C147" s="2" t="str">
        <f>=HYPERLINK("https://weidian.com/item.html?itemID=7626120468", "https://weidian.com/item.html?itemID=7626120468")</f>
        <v>https://weidian.com/item.html?itemID=7626120468</v>
      </c>
      <c r="D147"/>
      <c r="E147" s="2" t="str">
        <f>=HYPERLINK("https://si.geilicdn.com/pcitem2014204438-21330000019adf6b4a280a231177_1440_1920.jpg?w=640&amp;h=640", "https://si.geilicdn.com/pcitem2014204438-21330000019adf6b4a280a231177_1440_1920.jpg?w=640&amp;h=640")</f>
        <v>https://si.geilicdn.com/pcitem2014204438-21330000019adf6b4a280a231177_1440_1920.jpg?w=640&amp;h=640</v>
      </c>
      <c r="F147" t="inlineStr">
        <is>
          <t>Glasses</t>
        </is>
      </c>
      <c r="G147" t="inlineStr">
        <is>
          <t>Fendi</t>
        </is>
      </c>
      <c r="H147">
        <v>340</v>
      </c>
      <c r="I147">
        <v>49.2898550724637</v>
      </c>
      <c r="J147" t="inlineStr">
        <is>
          <t>{"id":"chatcmpl-DZoExlUs7gSnvQwlWxzgnIE0eyOAH","object":"chat.completion","created":1777426975,"model":"gpt-5-chat-2025-10-03","choices":[{"index":0,"message":{"role":"assistant","content":"Fendi Black Square Sunglasses Unisex UV Protection","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147" t="inlineStr">
        <is>
          <t>Fendi Black Square Sunglasses Unisex UV Protection</t>
        </is>
      </c>
      <c r="L147" t="inlineStr">
        <is>
          <t>{"id":"chatcmpl-DZo5RXkbsOMPBjhdeU6jCF0zKnebS","object":"chat.completion","created":1777426385,"model":"gpt-5-chat-2025-10-03","choices":[{"index":0,"message":{"role":"assistant","content":"Fendi Black Square Sunglasses feature high-density resin frames and UV-protection lenses. Minimal geometric design highlights futuristic style, unisex luxury, and modern urban sophistication.","refusal":null,"annotations":[]},"logprobs":null,"finish_reason":"stop"}],"usage":{"prompt_tokens":894,"completion_tokens":34,"total_tokens":928,"prompt_tokens_details":{"cached_tokens":0,"audio_tokens":0},"completion_tokens_details":{"reasoning_tokens":0,"audio_tokens":0,"accepted_prediction_tokens":0,"rejected_prediction_tokens":0}},"service_tier":"default","system_fingerprint":"fp_ad66631dec"}</t>
        </is>
      </c>
      <c r="M147" t="inlineStr">
        <is>
          <t>{"alt-svc":"h3=\":443\"; ma=2592000","apim-request-id":"378092f4-53c0-42d6-9234-484efe86994d","azureml-model-session":"d20260402083108-57a85543","cache-control":"no-cache","connection":"close","content-length":"999","content-type":"application/json","date":"Wed, 29 Apr 2026 01:33:07 GMT","server":"Caddy","skip-error-remapping":"true","strict-transport-security":"max-age=31536000; includeSubDomains; preload","x-content-type-options":"nosniff","x-ms-client-request-id":"Not-Set","x-ms-is-spilled-over":"false","x-ms-rai-invoked":"false","x-ms-region":"West US","x-new-api-version":"0.4.35","x-oneapi-request-id":"20260429013304427423258268d9d6JgEv8waf","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c7dfbb62-9f57-4fc7-b6b9-1beb8ec618f2"}</t>
        </is>
      </c>
      <c r="N147" t="inlineStr">
        <is>
          <t>Fendi Black Square Sunglasses feature high-density resin frames and UV-protection lenses. Minimal geometric design highlights futuristic style, unisex luxury, and modern urban sophistication.</t>
        </is>
      </c>
      <c r="O147" t="inlineStr">
        <is>
          <t>{"id":"chatcmpl-DZoQk6LD6PSHUhH6JA2l4j5SvOJAT","object":"chat.completion","created":1777427706,"model":"gpt-5-chat-2025-10-03","choices":[{"index":0,"message":{"role":"assistant","content":"Fend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7" t="inlineStr">
        <is>
          <t>Fendi,Glasses,kakobuy,kakebuy2026,kekobuysheet,kakobuysheet2026,2026kakobuy,kakobuyspreadsheeet,kakobuylink,kakebuylist,Kakobuy MEGA Spreadsheet,kakobuysheetfind,kakobuysheetfind2026,2026kakobuysheetfind,kakobuysheet2026</t>
        </is>
      </c>
      <c r="Q147" t="inlineStr">
        <is>
          <t>Minimalist, Unisex, Modern, Anti-Ultraviolet</t>
        </is>
      </c>
      <c r="R147" t="inlineStr">
        <is>
          <t>recvhju1Crsg5x</t>
        </is>
      </c>
      <c r="S147" t="inlineStr">
        <is>
          <t>fendi-black-square-sunglasses-recvhju1crsg5x</t>
        </is>
      </c>
      <c r="T147"/>
      <c r="U147"/>
      <c r="V147"/>
      <c r="W147" t="inlineStr">
        <is>
          <t>{"id":"chatcmpl-DZnwbVwqHWrhOiZg07zLF8i2XVRlT","object":"chat.completion","created":1777425837,"model":"gpt-5-chat-2025-10-03","choices":[{"index":0,"message":{"role":"assistant","content":"Fendi：黑色方框太阳眼镜，采用高密度树脂镜架与防UV镜片设计，极简几何线条展现未来感时尚格调，男女通用款，彰显现代奢华与都市精英气质。","refusal":null,"annotations":[]},"logprobs":null,"finish_reason":"stop"}],"usage":{"prompt_tokens":1300,"completion_tokens":60,"total_tokens":1360,"prompt_tokens_details":{"cached_tokens":0,"audio_tokens":0},"completion_tokens_details":{"reasoning_tokens":0,"audio_tokens":0,"accepted_prediction_tokens":0,"rejected_prediction_tokens":0}},"service_tier":"default","system_fingerprint":"fp_fd471178c5"}</t>
        </is>
      </c>
      <c r="X147" t="inlineStr">
        <is>
          <t>Fendi：黑色方框太阳眼镜，采用高密度树脂镜架与防UV镜片设计，极简几何线条展现未来感时尚格调，男女通用款，彰显现代奢华与都市精英气质。</t>
        </is>
      </c>
    </row>
    <row r="148" ht="25.5" customHeight="1">
      <c r="A148">
        <v>1654975475</v>
      </c>
      <c r="B148">
        <v>7623264111</v>
      </c>
      <c r="C148" s="2" t="str">
        <f>=HYPERLINK("https://weidian.com/item.html?itemID=7623264111", "https://weidian.com/item.html?itemID=7623264111")</f>
        <v>https://weidian.com/item.html?itemID=7623264111</v>
      </c>
      <c r="D148"/>
      <c r="E148" s="2" t="str">
        <f>=HYPERLINK("https://si.geilicdn.com/pcitem2014204438-2b2f0000019adf69eb660a20e672_1080_1440.jpg?w=640&amp;h=640", "https://si.geilicdn.com/pcitem2014204438-2b2f0000019adf69eb660a20e672_1080_1440.jpg?w=640&amp;h=640")</f>
        <v>https://si.geilicdn.com/pcitem2014204438-2b2f0000019adf69eb660a20e672_1080_1440.jpg?w=640&amp;h=640</v>
      </c>
      <c r="F148" t="inlineStr">
        <is>
          <t>Glasses</t>
        </is>
      </c>
      <c r="G148" t="inlineStr">
        <is>
          <t>Cartier</t>
        </is>
      </c>
      <c r="H148">
        <v>380</v>
      </c>
      <c r="I148">
        <v>55.07</v>
      </c>
      <c r="J148" t="inlineStr">
        <is>
          <t>{"id":"chatcmpl-DZoIE39IYdqEPrZMk9NXmaTt8FSTb","object":"chat.completion","created":1777427178,"model":"gpt-5-chat-2025-10-03","choices":[{"index":0,"message":{"role":"assistant","content":"Cartier Gold Brown Rimless Crystal Sunglasse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148" t="inlineStr">
        <is>
          <t>Cartier Gold Brown Rimless Crystal Sunglasses</t>
        </is>
      </c>
      <c r="L148" t="inlineStr">
        <is>
          <t>{"id":"chatcmpl-DZo40MPj5Tf68ysLa5sSIUiXJIhjU","object":"chat.completion","created":1777426296,"model":"gpt-5-chat-2025-10-03","choices":[{"index":0,"message":{"role":"assistant","content":"Cartier Gold Brown Rimless Sunglasses – Luxury crystal-embellished bridge, lightweight metal frame with gradient lenses, unisex design showcasing modern French elegance and timeless sophistication.","refusal":null,"annotations":[]},"logprobs":null,"finish_reason":"stop"}],"usage":{"prompt_tokens":905,"completion_tokens":36,"total_tokens":941,"prompt_tokens_details":{"cached_tokens":0,"audio_tokens":0},"completion_tokens_details":{"reasoning_tokens":0,"audio_tokens":0,"accepted_prediction_tokens":0,"rejected_prediction_tokens":0}},"service_tier":"default","system_fingerprint":"fp_ad66631dec"}</t>
        </is>
      </c>
      <c r="M148" t="inlineStr">
        <is>
          <t>{"alt-svc":"h3=\":443\"; ma=2592000","apim-request-id":"5d86c54a-7338-44b6-9b5e-40266c62e951","azureml-model-session":"d20260405225800-40f19e54","cache-control":"no-cache","connection":"close","content-length":"1007","content-type":"application/json","date":"Wed, 29 Apr 2026 01:31:36 GMT","server":"Caddy","skip-error-remapping":"true","strict-transport-security":"max-age=31536000; includeSubDomains; preload","x-content-type-options":"nosniff","x-ms-client-request-id":"Not-Set","x-ms-is-spilled-over":"false","x-ms-rai-invoked":"false","x-ms-region":"Central US","x-new-api-version":"0.4.35","x-oneapi-request-id":"202604290131351707802168268d9d6UKHvrukZ","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5c9d9970-5b67-4e47-866b-969f641da3bc"}</t>
        </is>
      </c>
      <c r="N148" t="inlineStr">
        <is>
          <t>Cartier Gold Brown Rimless Sunglasses – Luxury crystal-embellished bridge, lightweight metal frame with gradient lenses, unisex design showcasing modern French elegance and timeless sophistication.</t>
        </is>
      </c>
      <c r="O148" t="inlineStr">
        <is>
          <t>{"id":"chatcmpl-DZoOrJp7cpuJJm9pLXshZnNr7KxF8","object":"chat.completion","created":1777427589,"model":"gpt-5-chat-2025-10-03","choices":[{"index":0,"message":{"role":"assistant","content":"Cartie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48" t="inlineStr">
        <is>
          <t>Cartier,Glasses,kakobuy,kakebuy2026,kekobuysheet,kakobuysheet2026,2026kakobuy,kakobuyspreadsheeet,kakobuylink,kakebuylist,Kakobuy MEGA Spreadsheet,kakobuysheetfind,kakobuysheetfind2026,2026kakobuysheetfind,kakobuysheet2026</t>
        </is>
      </c>
      <c r="Q148"/>
      <c r="R148" t="inlineStr">
        <is>
          <t>recvhju1CrUrzS</t>
        </is>
      </c>
      <c r="S148" t="inlineStr">
        <is>
          <t>cartier-gold-brown-rimless-crystal-sunglasses-recvhju1crurz</t>
        </is>
      </c>
      <c r="T148"/>
      <c r="U148"/>
      <c r="V148"/>
      <c r="W148" t="inlineStr">
        <is>
          <t>{"id":"chatcmpl-DZnuUVXcBnUjcC8sdXxarhwKrdAaM","object":"chat.completion","created":1777425706,"model":"gpt-5-chat-2025-10-03","choices":[{"index":0,"message":{"role":"assistant","content":"Cartier：金棕色钻饰无框太阳镜，精选轻盈金属材质搭配渐变镜片，镜桥镶嵌精致水晶，展现极致奢华与优雅格调，男女通用款，彰显现代法式高级设计美学。","refusal":null,"annotations":[]},"logprobs":null,"finish_reason":"stop"}],"usage":{"prompt_tokens":1304,"completion_tokens":69,"total_tokens":1373,"prompt_tokens_details":{"cached_tokens":1280,"audio_tokens":0},"completion_tokens_details":{"reasoning_tokens":0,"audio_tokens":0,"accepted_prediction_tokens":0,"rejected_prediction_tokens":0}},"service_tier":"default","system_fingerprint":"fp_ad66631dec"}</t>
        </is>
      </c>
      <c r="X148" t="inlineStr">
        <is>
          <t>Cartier：金棕色钻饰无框太阳镜，精选轻盈金属材质搭配渐变镜片，镜桥镶嵌精致水晶，展现极致奢华与优雅格调，男女通用款，彰显现代法式高级设计美学。</t>
        </is>
      </c>
    </row>
    <row r="149" ht="25.5" customHeight="1">
      <c r="A149">
        <v>1654975475</v>
      </c>
      <c r="B149">
        <v>7626247994</v>
      </c>
      <c r="C149" s="2" t="str">
        <f>=HYPERLINK("https://weidian.com/item.html?itemID=7626247994", "https://weidian.com/item.html?itemID=7626247994")</f>
        <v>https://weidian.com/item.html?itemID=7626247994</v>
      </c>
      <c r="D149"/>
      <c r="E149" s="2" t="str">
        <f>=HYPERLINK("https://si.geilicdn.com/pcitem2014204438-01990000019adf64f7180a210139_1074_1074.jpg?w=640&amp;h=640", "https://si.geilicdn.com/pcitem2014204438-01990000019adf64f7180a210139_1074_1074.jpg?w=640&amp;h=640")</f>
        <v>https://si.geilicdn.com/pcitem2014204438-01990000019adf64f7180a210139_1074_1074.jpg?w=640&amp;h=640</v>
      </c>
      <c r="F149" t="inlineStr">
        <is>
          <t>Glasses</t>
        </is>
      </c>
      <c r="G149" t="inlineStr">
        <is>
          <t>Loewe</t>
        </is>
      </c>
      <c r="H149">
        <v>360</v>
      </c>
      <c r="I149">
        <v>52.17</v>
      </c>
      <c r="J149" t="inlineStr">
        <is>
          <t>{"id":"chatcmpl-DZoFEYXCJ2BFBxsVooiSxF7WbyU3D","object":"chat.completion","created":1777426992,"model":"gpt-5-chat-2025-10-03","choices":[{"index":0,"message":{"role":"assistant","content":"Loewe Black Round Acetate Unisex Retro Sunglasses","refusal":null,"annotations":[]},"logprobs":null,"finish_reason":"stop"}],"usage":{"prompt_tokens":875,"completion_tokens":14,"total_tokens":889,"prompt_tokens_details":{"cached_tokens":0,"audio_tokens":0},"completion_tokens_details":{"reasoning_tokens":0,"audio_tokens":0,"accepted_prediction_tokens":0,"rejected_prediction_tokens":0}},"service_tier":"default","system_fingerprint":"fp_ad66631dec"}</t>
        </is>
      </c>
      <c r="K149" t="inlineStr">
        <is>
          <t>Loewe Black Round Acetate Unisex Retro Sunglasses</t>
        </is>
      </c>
      <c r="L149" t="inlineStr">
        <is>
          <t>{"id":"chatcmpl-DZo4b4uso2Cepb5hgNo4cBqtEnpHz","object":"chat.completion","created":1777426333,"model":"gpt-5-chat-2025-10-03","choices":[{"index":0,"message":{"role":"assistant","content":"Loewe Black Round Acetate Sunglasses with signature hand-written logo on temples; smooth glossy frame, gender-neutral retro chic style for a modern and relaxed summer look.","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is>
      </c>
      <c r="M149" t="inlineStr">
        <is>
          <t>{"alt-svc":"h3=\":443\"; ma=2592000","apim-request-id":"77903cc4-ea85-46b6-8aa6-51b3d3e0f5b2","azureml-model-session":"d20260405225800-40f19e54","cache-control":"no-cache","connection":"close","content-length":"980","content-type":"application/json","date":"Wed, 29 Apr 2026 01:32:13 GMT","server":"Caddy","skip-error-remapping":"true","strict-transport-security":"max-age=31536000; includeSubDomains; preload","x-content-type-options":"nosniff","x-ms-client-request-id":"Not-Set","x-ms-is-spilled-over":"false","x-ms-rai-invoked":"false","x-ms-region":"West US","x-new-api-version":"0.4.35","x-oneapi-request-id":"202604290132118782029558268d9d6nN0sz7W0","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fbe2128d-9a6e-433b-b89f-7058ef4bc8e9"}</t>
        </is>
      </c>
      <c r="N149" t="inlineStr">
        <is>
          <t>Loewe Black Round Acetate Sunglasses with signature hand-written logo on temples; smooth glossy frame, gender-neutral retro chic style for a modern and relaxed summer look.</t>
        </is>
      </c>
      <c r="O149" t="inlineStr">
        <is>
          <t>{"id":"chatcmpl-DZoOY3TQB8qCiI3JAX6Pa7lW2apsP","object":"chat.completion","created":1777427570,"model":"gpt-5-chat-2025-10-03","choices":[{"index":0,"message":{"role":"assistant","content":"Loewe,Glass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149" t="inlineStr">
        <is>
          <t>Loewe,Glasses,kakobuy,kakebuy2026,kekobuysheet,kakobuysheet2026,2026kakobuy,kakobuyspreadsheeet,kakobuylink,kakebuylist,Kakobuy MEGA Spreadsheet,kakobuysheetfind,kakobuysheetfind2026,2026kakobuysheetfind,kakobuysheet2026</t>
        </is>
      </c>
      <c r="Q149" t="inlineStr">
        <is>
          <t>Black, Acetate Fiber, Retro, Summer, Unisex</t>
        </is>
      </c>
      <c r="R149" t="inlineStr">
        <is>
          <t>recvhju1CrIJq5</t>
        </is>
      </c>
      <c r="S149" t="inlineStr">
        <is>
          <t>loewe-black-round-acetate-retro-sunglasses-recvhju1crijq5</t>
        </is>
      </c>
      <c r="T149"/>
      <c r="U149"/>
      <c r="V149"/>
      <c r="W149" t="inlineStr">
        <is>
          <t>{"id":"chatcmpl-DZnurgD5PvW5rGP2E4m78G3EnKcpE","object":"chat.completion","created":1777425729,"model":"gpt-5-chat-2025-10-03","choices":[{"index":0,"message":{"role":"assistant","content":"Loewe：黑色圆框太阳眼镜，醋酸纤维镜架质感光滑，侧臂饰以品牌标志性手写Logo，复古摩登风格设计，男女皆宜，展现前卫时尚格调与夏日休闲魅力。","refusal":null,"annotations":[]},"logprobs":null,"finish_reason":"stop"}],"usage":{"prompt_tokens":1300,"completion_tokens":67,"total_tokens":1367,"prompt_tokens_details":{"cached_tokens":1280,"audio_tokens":0},"completion_tokens_details":{"reasoning_tokens":0,"audio_tokens":0,"accepted_prediction_tokens":0,"rejected_prediction_tokens":0}},"service_tier":"default","system_fingerprint":"fp_ad66631dec"}</t>
        </is>
      </c>
      <c r="X149" t="inlineStr">
        <is>
          <t>Loewe：黑色圆框太阳眼镜，醋酸纤维镜架质感光滑，侧臂饰以品牌标志性手写Logo，复古摩登风格设计，男女皆宜，展现前卫时尚格调与夏日休闲魅力。</t>
        </is>
      </c>
    </row>
    <row r="150" ht="25.5" customHeight="1">
      <c r="A150">
        <v>1654975475</v>
      </c>
      <c r="B150">
        <v>7623254233</v>
      </c>
      <c r="C150" s="2" t="str">
        <f>=HYPERLINK("https://weidian.com/item.html?itemID=7623254233", "https://weidian.com/item.html?itemID=7623254233")</f>
        <v>https://weidian.com/item.html?itemID=7623254233</v>
      </c>
      <c r="D150"/>
      <c r="E150" s="2" t="str">
        <f>=HYPERLINK("https://si.geilicdn.com/pcitem2014204438-28370000019adf610c8b0a20e672_1290_1612.jpg?w=640&amp;h=640", "https://si.geilicdn.com/pcitem2014204438-28370000019adf610c8b0a20e672_1290_1612.jpg?w=640&amp;h=640")</f>
        <v>https://si.geilicdn.com/pcitem2014204438-28370000019adf610c8b0a20e672_1290_1612.jpg?w=640&amp;h=640</v>
      </c>
      <c r="F150" t="inlineStr">
        <is>
          <t>Glasses</t>
        </is>
      </c>
      <c r="G150" t="inlineStr">
        <is>
          <t>Celine</t>
        </is>
      </c>
      <c r="H150">
        <v>390</v>
      </c>
      <c r="I150">
        <v>56.52</v>
      </c>
      <c r="J150" t="inlineStr">
        <is>
          <t>{"id":"chatcmpl-DZoGUbiBngwkuzTWr1QuBiM0gybK6","object":"chat.completion","created":1777427070,"model":"gpt-5-chat-2025-10-03","choices":[{"index":0,"message":{"role":"assistant","content":"Celine Black Oval Acetate Sunglasses Unisex","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fd471178c5"}</t>
        </is>
      </c>
      <c r="K150" t="inlineStr">
        <is>
          <t>Celine Black Oval Acetate Sunglasses Unisex</t>
        </is>
      </c>
      <c r="L150" t="inlineStr">
        <is>
          <t>{"id":"chatcmpl-DZo3QbW2t5harR2RYYyw4WiA1xOV1","object":"chat.completion","created":1777426260,"model":"gpt-5-chat-2025-10-03","choices":[{"index":0,"message":{"role":"assistant","content":"CELINE Black Oval Acetate Sunglasses with Gold Logo, Unisex Retro French Design, Minimalist Chic Style, Elegant UV Protection Shades for Fashion Lovers.","refusal":null,"annotations":[]},"logprobs":null,"finish_reason":"stop"}],"usage":{"prompt_tokens":892,"completion_tokens":33,"total_tokens":925,"prompt_tokens_details":{"cached_tokens":0,"audio_tokens":0},"completion_tokens_details":{"reasoning_tokens":0,"audio_tokens":0,"accepted_prediction_tokens":0,"rejected_prediction_tokens":0}},"service_tier":"default","system_fingerprint":"fp_fd471178c5"}</t>
        </is>
      </c>
      <c r="M150" t="inlineStr">
        <is>
          <t>{"alt-svc":"h3=\":443\"; ma=2592000","apim-request-id":"cd3bdf8d-da58-43b4-9e99-858b032d74e6","azureml-model-session":"d20260428174121-807d9cc5","cache-control":"no-cache","connection":"close","content-length":"960","content-type":"application/json","date":"Wed, 29 Apr 2026 01:31:01 GMT","server":"Caddy","skip-error-remapping":"true","strict-transport-security":"max-age=31536000; includeSubDomains; preload","x-content-type-options":"nosniff","x-ms-client-request-id":"Not-Set","x-ms-is-spilled-over":"false","x-ms-rai-invoked":"false","x-ms-region":"South Central US","x-new-api-version":"0.4.35","x-oneapi-request-id":"202604290130592593816538268d9d6FVwBKnuk","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b10a92ad-8922-4a42-87ad-c35d80a69876"}</t>
        </is>
      </c>
      <c r="N150" t="inlineStr">
        <is>
          <t>CELINE Black Oval Acetate Sunglasses with Gold Logo, Unisex Retro French Design, Minimalist Chic Style, Elegant UV Protection Shades for Fashion Lovers.</t>
        </is>
      </c>
      <c r="O150" t="inlineStr">
        <is>
          <t>{"id":"chatcmpl-DZoNebh35pS8Tlr5bW9Ja2ujzXwrj","object":"chat.completion","created":1777427514,"model":"gpt-5-chat-2025-10-03","choices":[{"index":0,"message":{"role":"assistant","content":"Celin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0" t="inlineStr">
        <is>
          <t>Celine,Glasses,kakobuy,kakebuy2026,kekobuysheet,kakobuysheet2026,2026kakobuy,kakobuyspreadsheeet,kakobuylink,kakebuylist,Kakobuy MEGA Spreadsheet,kakobuysheetfind,kakobuysheetfind2026,2026kakobuysheetfind,kakobuysheet2026</t>
        </is>
      </c>
      <c r="Q150" t="inlineStr">
        <is>
          <t>Celine, Black, Gold, Retro, Minimalist, Unisex</t>
        </is>
      </c>
      <c r="R150" t="inlineStr">
        <is>
          <t>recvhju1CrRBRp</t>
        </is>
      </c>
      <c r="S150" t="inlineStr">
        <is>
          <t>celine-black-oval-acetate-sunglasses-recvhju1crrbrp</t>
        </is>
      </c>
      <c r="T150"/>
      <c r="U150"/>
      <c r="V150"/>
      <c r="W150" t="inlineStr">
        <is>
          <t>{"id":"chatcmpl-DZnueTC8e5wAlHtnKQTqvzkhXNgqx","object":"chat.completion","created":1777425716,"model":"gpt-5-chat-2025-10-03","choices":[{"index":0,"message":{"role":"assistant","content":"Celine：黑色复古椭圆太阳镜，醋酸纤维镜架搭配金色Logo装饰，展现极简高级法式设计，适合男女佩戴，时尚优雅兼具实用防晒功能。","refusal":null,"annotations":[]},"logprobs":null,"finish_reason":"stop"}],"usage":{"prompt_tokens":1302,"completion_tokens":57,"total_tokens":1359,"prompt_tokens_details":{"cached_tokens":0,"audio_tokens":0},"completion_tokens_details":{"reasoning_tokens":0,"audio_tokens":0,"accepted_prediction_tokens":0,"rejected_prediction_tokens":0}},"service_tier":"default","system_fingerprint":"fp_ad66631dec"}</t>
        </is>
      </c>
      <c r="X150" t="inlineStr">
        <is>
          <t>Celine：黑色复古椭圆太阳镜，醋酸纤维镜架搭配金色Logo装饰，展现极简高级法式设计，适合男女佩戴，时尚优雅兼具实用防晒功能。</t>
        </is>
      </c>
    </row>
    <row r="151" ht="25.5" customHeight="1">
      <c r="A151">
        <v>1654975475</v>
      </c>
      <c r="B151">
        <v>7626228434</v>
      </c>
      <c r="C151" s="2" t="str">
        <f>=HYPERLINK("https://weidian.com/item.html?itemID=7626228434", "https://weidian.com/item.html?itemID=7626228434")</f>
        <v>https://weidian.com/item.html?itemID=7626228434</v>
      </c>
      <c r="D151"/>
      <c r="E151" s="2" t="str">
        <f>=HYPERLINK("https://si.geilicdn.com/pcitem2014204438-2e990000019adf60bc280a210256_1074_1074.jpg?w=640&amp;h=640", "https://si.geilicdn.com/pcitem2014204438-2e990000019adf60bc280a210256_1074_1074.jpg?w=640&amp;h=640")</f>
        <v>https://si.geilicdn.com/pcitem2014204438-2e990000019adf60bc280a210256_1074_1074.jpg?w=640&amp;h=640</v>
      </c>
      <c r="F151" t="inlineStr">
        <is>
          <t>Glasses</t>
        </is>
      </c>
      <c r="G151" t="inlineStr">
        <is>
          <t>Chanel</t>
        </is>
      </c>
      <c r="H151">
        <v>380</v>
      </c>
      <c r="I151">
        <v>55.07</v>
      </c>
      <c r="J151" t="inlineStr">
        <is>
          <t>{"id":"chatcmpl-DZoF18ziHLra0HeFW6zhIFZwO0kVb","object":"chat.completion","created":1777426979,"model":"gpt-5-chat-2025-10-03","choices":[{"index":0,"message":{"role":"assistant","content":"Chanel Classic Burgundy Square Sunglasses Unisex Luxury Eyewear","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151" t="inlineStr">
        <is>
          <t>Chanel Classic Burgundy Square Sunglasses Unisex Luxury Eyewear</t>
        </is>
      </c>
      <c r="L151" t="inlineStr">
        <is>
          <t>{"id":"chatcmpl-DZo7SBR75k1tSaoQcuiNVl5wrb5Tc","object":"chat.completion","created":1777426510,"model":"gpt-5-chat-2025-10-03","choices":[{"index":0,"message":{"role":"assistant","content":"Chanel Classic Burgundy Square Sunglasses – Acetate frame with black temples and gold double C logo, vintage yet modern design, unisex luxury eyewear for stylish daily wear and travel.","refusal":null,"annotations":[]},"logprobs":null,"finish_reason":"stop"}],"usage":{"prompt_tokens":905,"completion_tokens":39,"total_tokens":944,"prompt_tokens_details":{"cached_tokens":0,"audio_tokens":0},"completion_tokens_details":{"reasoning_tokens":0,"audio_tokens":0,"accepted_prediction_tokens":0,"rejected_prediction_tokens":0}},"service_tier":"default","system_fingerprint":"fp_fd471178c5"}</t>
        </is>
      </c>
      <c r="M151" t="inlineStr">
        <is>
          <t>{"alt-svc":"h3=\":443\"; ma=2592000","apim-request-id":"0600e173-009e-4df6-ae15-2ee15e6b4501","azureml-model-session":"d20260428205641-55ca9797","cache-control":"no-cache","connection":"close","content-length":"994","content-type":"application/json","date":"Wed, 29 Apr 2026 01:35:11 GMT","server":"nginx","skip-error-remapping":"true","strict-transport-security":"max-age=31536000; includeSubDomains; preload","via":"1.1 Caddy","x-content-type-options":"nosniff","x-ms-client-request-id":"Not-Set","x-ms-is-spilled-over":"false","x-ms-rai-invoked":"false","x-ms-region":"East US 2","x-new-api-version":"0.4.35","x-oneapi-request-id":"202604290135102310907588268d9d6Vuc4LyaB","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35fea006-51f5-4130-9c7c-10a7edc47e0e"}</t>
        </is>
      </c>
      <c r="N151" t="inlineStr">
        <is>
          <t>Chanel Classic Burgundy Square Sunglasses – Acetate frame with black temples and gold double C logo, vintage yet modern design, unisex luxury eyewear for stylish daily wear and travel.</t>
        </is>
      </c>
      <c r="O151" t="inlineStr">
        <is>
          <t>{"id":"chatcmpl-DZoJs6pjw0KXf6Hfh0e7dplqxc6yy","object":"chat.completion","created":1777427280,"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1" t="inlineStr">
        <is>
          <t>Chanel,Glasses,kakobuy,kakebuy2026,kekobuysheet,kakobuysheet2026,2026kakobuy,kakobuyspreadsheeet,kakobuylink,kakebuylist,Kakobuy MEGA Spreadsheet,kakobuysheetfind,kakobuysheetfind2026,2026kakobuysheetfind,kakobuysheet2026</t>
        </is>
      </c>
      <c r="Q151" t="inlineStr">
        <is>
          <t>Chanel, Burgundy, Vintage, Modern, Acetate Fiber, Unisex</t>
        </is>
      </c>
      <c r="R151" t="inlineStr">
        <is>
          <t>recvhju1CrgUPk</t>
        </is>
      </c>
      <c r="S151" t="inlineStr">
        <is>
          <t>chanel-burgundy-square-sunglasses-recvhju1crgupk</t>
        </is>
      </c>
      <c r="T151"/>
      <c r="U151"/>
      <c r="V151"/>
      <c r="W151" t="inlineStr">
        <is>
          <t>{"id":"chatcmpl-DZnw7lAzzgHkWm7MfY5ElVdsLOaDb","object":"chat.completion","created":1777425807,"model":"gpt-5-chat-2025-10-03","choices":[{"index":0,"message":{"role":"assistant","content":"Chanel：经典酒红方框墨镜，醋酸纤维镜架搭配黑色镜腿与金色双C标志，彰显奢华优雅气质，复古摩登风格设计，男女皆宜，时尚出行与日常佩戴的轻奢之选。","refusal":null,"annotations":[]},"logprobs":null,"finish_reason":"stop"}],"usage":{"prompt_tokens":1298,"completion_tokens":72,"total_tokens":1370,"prompt_tokens_details":{"cached_tokens":0,"audio_tokens":0},"completion_tokens_details":{"reasoning_tokens":0,"audio_tokens":0,"accepted_prediction_tokens":0,"rejected_prediction_tokens":0}},"service_tier":"default","system_fingerprint":"fp_ad66631dec"}</t>
        </is>
      </c>
      <c r="X151" t="inlineStr">
        <is>
          <t>Chanel：经典酒红方框墨镜，醋酸纤维镜架搭配黑色镜腿与金色双C标志，彰显奢华优雅气质，复古摩登风格设计，男女皆宜，时尚出行与日常佩戴的轻奢之选。</t>
        </is>
      </c>
    </row>
    <row r="152" ht="25.5" customHeight="1">
      <c r="A152">
        <v>1654975475</v>
      </c>
      <c r="B152">
        <v>7623307667</v>
      </c>
      <c r="C152" s="2" t="str">
        <f>=HYPERLINK("https://weidian.com/item.html?itemID=7623307667", "https://weidian.com/item.html?itemID=7623307667")</f>
        <v>https://weidian.com/item.html?itemID=7623307667</v>
      </c>
      <c r="D152"/>
      <c r="E152" s="2" t="str">
        <f>=HYPERLINK("https://si.geilicdn.com/pcitem2014204438-34c10000019adf5ad2790a23041a_1080_1440.jpg?w=640&amp;h=640", "https://si.geilicdn.com/pcitem2014204438-34c10000019adf5ad2790a23041a_1080_1440.jpg?w=640&amp;h=640")</f>
        <v>https://si.geilicdn.com/pcitem2014204438-34c10000019adf5ad2790a23041a_1080_1440.jpg?w=640&amp;h=640</v>
      </c>
      <c r="F152" t="inlineStr">
        <is>
          <t>Glasses</t>
        </is>
      </c>
      <c r="G152" t="inlineStr">
        <is>
          <t>Gucci</t>
        </is>
      </c>
      <c r="H152">
        <v>420</v>
      </c>
      <c r="I152">
        <v>60.87</v>
      </c>
      <c r="J152" t="inlineStr">
        <is>
          <t>{"id":"chatcmpl-DZoDoc2ji7Dpq4W6Ws2W5tx9Z293s","object":"chat.completion","created":1777426904,"model":"gpt-5-chat-2025-10-03","choices":[{"index":0,"message":{"role":"assistant","content":"Gucci Grey Square Metal Frame Sunglasses","refusal":null,"annotations":[]},"logprobs":null,"finish_reason":"stop"}],"usage":{"prompt_tokens":872,"completion_tokens":9,"total_tokens":881,"prompt_tokens_details":{"cached_tokens":0,"audio_tokens":0},"completion_tokens_details":{"reasoning_tokens":0,"audio_tokens":0,"accepted_prediction_tokens":0,"rejected_prediction_tokens":0}},"service_tier":"default","system_fingerprint":"fp_fd471178c5"}</t>
        </is>
      </c>
      <c r="K152" t="inlineStr">
        <is>
          <t>Gucci Grey Square Metal Frame Sunglasses</t>
        </is>
      </c>
      <c r="L152" t="inlineStr">
        <is>
          <t>{"id":"chatcmpl-DZoANNlvzEJoOmGsXMEKElOYlLw8T","object":"chat.completion","created":1777426691,"model":"gpt-5-chat-2025-10-03","choices":[{"index":0,"message":{"role":"assistant","content":"Gucci Grey Square Sunglasses feature a sleek metal frame and dark lenses, offering lightweight comfort, modern minimalist design, and unisex style for urban fashion and everyday wear.","refusal":null,"annotations":[]},"logprobs":null,"finish_reason":"stop"}],"usage":{"prompt_tokens":906,"completion_tokens":35,"total_tokens":941,"prompt_tokens_details":{"cached_tokens":0,"audio_tokens":0},"completion_tokens_details":{"reasoning_tokens":0,"audio_tokens":0,"accepted_prediction_tokens":0,"rejected_prediction_tokens":0}},"service_tier":"default","system_fingerprint":"fp_ad66631dec"}</t>
        </is>
      </c>
      <c r="M152" t="inlineStr">
        <is>
          <t>{"alt-svc":"h3=\":443\"; ma=2592000","apim-request-id":"1d5c5062-1630-4bae-b7bb-a61e185bae62","azureml-model-session":"d20260402075109-1fc5a0ec","cache-control":"no-cache","connection":"close","content-length":"991","content-type":"application/json","date":"Wed, 29 Apr 2026 01:38:13 GMT","server":"Caddy","skip-error-remapping":"true","strict-transport-security":"max-age=31536000; includeSubDomains; preload","x-content-type-options":"nosniff","x-ms-client-request-id":"Not-Set","x-ms-is-spilled-over":"false","x-ms-rai-invoked":"false","x-ms-region":"North Central US","x-new-api-version":"0.4.35","x-oneapi-request-id":"202604290138107214673428268d9d6YcyzcGtM","x-ratelimit-abusepenalty-active":"False","x-ratelimit-key":"gpt-5-chat-global","x-ratelimit-limit-requests":"1000","x-ratelimit-limit-tokens":"1000000","x-ratelimit-remaining-requests":"999","x-ratelimit-remaining-tokens":"998332","x-ratelimit-renewalperiod-requests":"60","x-ratelimit-renewalperiod-tokens":"60","x-ratelimit-reset-requests":"60","x-ratelimit-reset-tokens":"100","x-request-id":"76fc23c6-5446-4e73-8f3e-844609c48be3"}</t>
        </is>
      </c>
      <c r="N152" t="inlineStr">
        <is>
          <t>Gucci Grey Square Sunglasses feature a sleek metal frame and dark lenses, offering lightweight comfort, modern minimalist design, and unisex style for urban fashion and everyday wear.</t>
        </is>
      </c>
      <c r="O152" t="inlineStr">
        <is>
          <t>{"id":"chatcmpl-DZoLnX5rR8oF2KhLuYki9BzsGVxH1","object":"chat.completion","created":1777427399,"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2" t="inlineStr">
        <is>
          <t>Gucci,Glasses,kakobuy,kakebuy2026,kekobuysheet,kakobuysheet2026,2026kakobuy,kakobuyspreadsheeet,kakobuylink,kakebuylist,Kakobuy MEGA Spreadsheet,kakobuysheetfind,kakobuysheetfind2026,2026kakobuysheetfind,kakobuysheet2026</t>
        </is>
      </c>
      <c r="Q152" t="inlineStr">
        <is>
          <t>Grey, Minimalist, Unisex, Sleek</t>
        </is>
      </c>
      <c r="R152" t="inlineStr">
        <is>
          <t>recvhju1CrWDNb</t>
        </is>
      </c>
      <c r="S152" t="inlineStr">
        <is>
          <t>gucci-grey-square-metal-frame-sunglasses-recvhju1crwdnb</t>
        </is>
      </c>
      <c r="T152"/>
      <c r="U152"/>
      <c r="V152"/>
      <c r="W152" t="inlineStr">
        <is>
          <t>{"id":"chatcmpl-DZns4DlmGxEY9zWYDzdJZZtRelzRt","object":"chat.completion","created":1777425556,"model":"gpt-5-chat-2025-10-03","choices":[{"index":0,"message":{"role":"assistant","content":"Gucci：灰色方框太阳镜，采用金属质感镜架与深色镜片设计，轻盈耐用，展现简约现代风格。中性款，时尚百搭，适合都市潮流与日常佩戴，彰显品牌高级质感与精湛工艺。","refusal":null,"annotations":[]},"logprobs":null,"finish_reason":"stop"}],"usage":{"prompt_tokens":1302,"completion_tokens":71,"total_tokens":1373,"prompt_tokens_details":{"cached_tokens":0,"audio_tokens":0},"completion_tokens_details":{"reasoning_tokens":0,"audio_tokens":0,"accepted_prediction_tokens":0,"rejected_prediction_tokens":0}},"service_tier":"default","system_fingerprint":"fp_ad66631dec"}</t>
        </is>
      </c>
      <c r="X152" t="inlineStr">
        <is>
          <t>Gucci：灰色方框太阳镜，采用金属质感镜架与深色镜片设计，轻盈耐用，展现简约现代风格。中性款，时尚百搭，适合都市潮流与日常佩戴，彰显品牌高级质感与精湛工艺。</t>
        </is>
      </c>
    </row>
    <row r="153" ht="25.5" customHeight="1">
      <c r="A153">
        <v>1654975475</v>
      </c>
      <c r="B153">
        <v>7623295795</v>
      </c>
      <c r="C153" s="2" t="str">
        <f>=HYPERLINK("https://weidian.com/item.html?itemID=7623295795", "https://weidian.com/item.html?itemID=7623295795")</f>
        <v>https://weidian.com/item.html?itemID=7623295795</v>
      </c>
      <c r="D153"/>
      <c r="E153" s="2" t="str">
        <f>=HYPERLINK("https://si.geilicdn.com/pcitem2014204438-72ae0000019adf56a7f20a231316_1170_1474.jpg?w=640&amp;h=640", "https://si.geilicdn.com/pcitem2014204438-72ae0000019adf56a7f20a231316_1170_1474.jpg?w=640&amp;h=640")</f>
        <v>https://si.geilicdn.com/pcitem2014204438-72ae0000019adf56a7f20a231316_1170_1474.jpg?w=640&amp;h=640</v>
      </c>
      <c r="F153" t="inlineStr">
        <is>
          <t>Glasses</t>
        </is>
      </c>
      <c r="G153" t="inlineStr">
        <is>
          <t>Fake me</t>
        </is>
      </c>
      <c r="H153">
        <v>550</v>
      </c>
      <c r="I153">
        <v>79.71</v>
      </c>
      <c r="J153" t="inlineStr">
        <is>
          <t>{"id":"chatcmpl-DZoGoEAWRmD8AH5YXWWncBLji5o6P","object":"chat.completion","created":1777427090,"model":"gpt-5-chat-2025-10-03","choices":[{"index":0,"message":{"role":"assistant","content":"FakeMe Red Zone Black Cat Eye Optical Glasse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fd471178c5"}</t>
        </is>
      </c>
      <c r="K153" t="inlineStr">
        <is>
          <t>FakeMe Red Zone Black Cat Eye Optical Glasses</t>
        </is>
      </c>
      <c r="L153" t="inlineStr">
        <is>
          <t>{"id":"chatcmpl-DZo2WAMj7SjolLt8aoGtqu7LelUGG","object":"chat.completion","created":1777426204,"model":"gpt-5-chat-2025-10-03","choices":[{"index":0,"message":{"role":"assistant","content":"FakeMe Red Zone black retro cat-eye optical glasses, crafted from premium acetate with metal stud details, lightweight yet durable, unisex design blending modern geometry and artistic urban elegance.","refusal":null,"annotations":[]},"logprobs":null,"finish_reason":"stop"}],"usage":{"prompt_tokens":921,"completion_tokens":36,"total_tokens":957,"prompt_tokens_details":{"cached_tokens":0,"audio_tokens":0},"completion_tokens_details":{"reasoning_tokens":0,"audio_tokens":0,"accepted_prediction_tokens":0,"rejected_prediction_tokens":0}},"service_tier":"default","system_fingerprint":"fp_fd471178c5"}</t>
        </is>
      </c>
      <c r="M153" t="inlineStr">
        <is>
          <t>{"alt-svc":"h3=\":443\"; ma=2592000","apim-request-id":"e434cff2-17c4-4a25-b372-d768bb50e4bb","azureml-model-session":"d20260428205641-55ca9797","cache-control":"no-cache","connection":"close","content-length":"1007","content-type":"application/json","date":"Wed, 29 Apr 2026 01:30:06 GMT","server":"nginx","skip-error-remapping":"true","strict-transport-security":"max-age=31536000; includeSubDomains; preload","via":"1.1 Caddy","x-content-type-options":"nosniff","x-ms-client-request-id":"Not-Set","x-ms-is-spilled-over":"false","x-ms-rai-invoked":"false","x-ms-region":"West US","x-new-api-version":"0.4.35","x-oneapi-request-id":"20260429013003222060308268d9d6GuDk88zM","x-ratelimit-abusepenalty-active":"False","x-ratelimit-key":"gpt-5-chat-global","x-ratelimit-limit-requests":"1000","x-ratelimit-limit-tokens":"1000000","x-ratelimit-remaining-requests":"999","x-ratelimit-remaining-tokens":"998317","x-ratelimit-renewalperiod-requests":"60","x-ratelimit-renewalperiod-tokens":"60","x-ratelimit-reset-requests":"60","x-ratelimit-reset-tokens":"100","x-request-id":"34d53747-bdd1-4760-b746-ea61e4963cd8"}</t>
        </is>
      </c>
      <c r="N153" t="inlineStr">
        <is>
          <t>FakeMe Red Zone black retro cat-eye optical glasses, crafted from premium acetate with metal stud details, lightweight yet durable, unisex design blending modern geometry and artistic urban elegance.</t>
        </is>
      </c>
      <c r="O153" t="inlineStr">
        <is>
          <t>{"id":"chatcmpl-DZoNIglzaC6X1S5OOPFopmpNHc907","object":"chat.completion","created":1777427492,"model":"gpt-5-chat-2025-10-03","choices":[{"index":0,"message":{"role":"assistant","content":"FakeM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3" t="inlineStr">
        <is>
          <t>FakeMe,Glasses,kakobuy,kakebuy2026,kekobuysheet,kakobuysheet2026,2026kakobuy,kakobuyspreadsheeet,kakobuylink,kakebuylist,Kakobuy MEGA Spreadsheet,kakobuysheetfind,kakobuysheetfind2026,2026kakobuysheetfind,kakobuysheet2026</t>
        </is>
      </c>
      <c r="Q153" t="inlineStr">
        <is>
          <t>Black, Unisex, Acetate Fiber, Modern, Geometric</t>
        </is>
      </c>
      <c r="R153" t="inlineStr">
        <is>
          <t>recvhju1CrsL7G</t>
        </is>
      </c>
      <c r="S153" t="inlineStr">
        <is>
          <t>fake-me-red-zone-black-cat-eye-optical-glasses-recvhju1crsl7g</t>
        </is>
      </c>
      <c r="T153"/>
      <c r="U153"/>
      <c r="V153"/>
      <c r="W153" t="inlineStr">
        <is>
          <t>{"id":"chatcmpl-DZnto3yqBMWf1WUnoNGSJiXb2sdIx","object":"chat.completion","created":1777425664,"model":"gpt-5-chat-2025-10-03","choices":[{"index":0,"message":{"role":"assistant","content":"Fake me 黑色red zone系列复古光学眼镜，精选醋酸板材打造，轻盈坚韧，猫眼造型融合现代几何线条设计，镜腿点缀金属铆钉细节，个性前卫又兼具优雅格调，男女通用款，彰显文艺与时尚并存的都市气质。","refusal":null,"annotations":[]},"logprobs":null,"finish_reason":"stop"}],"usage":{"prompt_tokens":1302,"completion_tokens":86,"total_tokens":1388,"prompt_tokens_details":{"cached_tokens":0,"audio_tokens":0},"completion_tokens_details":{"reasoning_tokens":0,"audio_tokens":0,"accepted_prediction_tokens":0,"rejected_prediction_tokens":0}},"service_tier":"default","system_fingerprint":"fp_fd471178c5"}</t>
        </is>
      </c>
      <c r="X153" t="inlineStr">
        <is>
          <t>Fake me 黑色red zone系列复古光学眼镜，精选醋酸板材打造，轻盈坚韧，猫眼造型融合现代几何线条设计，镜腿点缀金属铆钉细节，个性前卫又兼具优雅格调，男女通用款，彰显文艺与时尚并存的都市气质。</t>
        </is>
      </c>
    </row>
    <row r="154" ht="25.5" customHeight="1">
      <c r="A154">
        <v>1654975475</v>
      </c>
      <c r="B154">
        <v>7626184120</v>
      </c>
      <c r="C154" s="2" t="str">
        <f>=HYPERLINK("https://weidian.com/item.html?itemID=7626184120", "https://weidian.com/item.html?itemID=7626184120")</f>
        <v>https://weidian.com/item.html?itemID=7626184120</v>
      </c>
      <c r="D154"/>
      <c r="E154" s="2" t="str">
        <f>=HYPERLINK("https://si.geilicdn.com/pcitem2014204438-60370000019adf50d60c0a21146b_1074_1074.jpg?w=640&amp;h=640", "https://si.geilicdn.com/pcitem2014204438-60370000019adf50d60c0a21146b_1074_1074.jpg?w=640&amp;h=640")</f>
        <v>https://si.geilicdn.com/pcitem2014204438-60370000019adf50d60c0a21146b_1074_1074.jpg?w=640&amp;h=640</v>
      </c>
      <c r="F154" t="inlineStr">
        <is>
          <t>Glasses</t>
        </is>
      </c>
      <c r="G154" t="inlineStr">
        <is>
          <t>Hermes</t>
        </is>
      </c>
      <c r="H154">
        <v>360</v>
      </c>
      <c r="I154">
        <v>52.17</v>
      </c>
      <c r="J154" t="inlineStr">
        <is>
          <t>{"id":"chatcmpl-DZoH37WVt5gmQhHLE5kvMnsoMKLik","object":"chat.completion","created":1777427105,"model":"gpt-5-chat-2025-10-03","choices":[{"index":0,"message":{"role":"assistant","content":"Hermes Black Cat Eye Sunglasses H Logo Unisex Luxury","refusal":null,"annotations":[]},"logprobs":null,"finish_reason":"stop"}],"usage":{"prompt_tokens":882,"completion_tokens":13,"total_tokens":895,"prompt_tokens_details":{"cached_tokens":0,"audio_tokens":0},"completion_tokens_details":{"reasoning_tokens":0,"audio_tokens":0,"accepted_prediction_tokens":0,"rejected_prediction_tokens":0}},"service_tier":"default","system_fingerprint":"fp_ad66631dec"}</t>
        </is>
      </c>
      <c r="K154" t="inlineStr">
        <is>
          <t>Hermes Black Cat Eye Sunglasses H Logo Unisex Luxury</t>
        </is>
      </c>
      <c r="L154" t="inlineStr">
        <is>
          <t>{"id":"chatcmpl-DZoAmDhQS5QhgrA04a6vf2e51Tjsr","object":"chat.completion","created":1777426716,"model":"gpt-5-chat-2025-10-03","choices":[{"index":0,"message":{"role":"assistant","content":"Hermes Black Cat-Eye Sunglasses feature glossy acetate frames, signature “H” metal temple design, sleek lines blending retro elegance with modern style, unisex chic and timeless French luxury charm.","refusal":null,"annotations":[]},"logprobs":null,"finish_reason":"stop"}],"usage":{"prompt_tokens":915,"completion_tokens":40,"total_tokens":955,"prompt_tokens_details":{"cached_tokens":0,"audio_tokens":0},"completion_tokens_details":{"reasoning_tokens":0,"audio_tokens":0,"accepted_prediction_tokens":0,"rejected_prediction_tokens":0}},"service_tier":"default","system_fingerprint":"fp_ad66631dec"}</t>
        </is>
      </c>
      <c r="M154" t="inlineStr">
        <is>
          <t>{"alt-svc":"h3=\":443\"; ma=2592000","apim-request-id":"1fd81c28-d9a7-4411-8681-603b0caf1e7b","azureml-model-session":"d20260402075109-1fc5a0ec","cache-control":"no-cache","connection":"close","content-length":"1010","content-type":"application/json","date":"Wed, 29 Apr 2026 01:38:38 GMT","server":"Caddy","skip-error-remapping":"true","strict-transport-security":"max-age=31536000; includeSubDomains; preload","x-content-type-options":"nosniff","x-ms-client-request-id":"Not-Set","x-ms-is-spilled-over":"false","x-ms-rai-invoked":"false","x-ms-region":"Central US","x-new-api-version":"0.4.35","x-oneapi-request-id":"202604290138353016981768268d9d6db7gjPby","x-ratelimit-abusepenalty-active":"False","x-ratelimit-key":"gpt-5-chat-global","x-ratelimit-limit-requests":"1000","x-ratelimit-limit-tokens":"1000000","x-ratelimit-remaining-requests":"999","x-ratelimit-remaining-tokens":"998323","x-ratelimit-renewalperiod-requests":"60","x-ratelimit-renewalperiod-tokens":"60","x-ratelimit-reset-requests":"60","x-ratelimit-reset-tokens":"100","x-request-id":"51f49685-9cc9-47c5-913e-4a93d9d1d0cb"}</t>
        </is>
      </c>
      <c r="N154" t="inlineStr">
        <is>
          <t>Hermes Black Cat-Eye Sunglasses feature glossy acetate frames, signature “H” metal temple design, sleek lines blending retro elegance with modern style, unisex chic and timeless French luxury charm.</t>
        </is>
      </c>
      <c r="O154" t="inlineStr">
        <is>
          <t>{"id":"chatcmpl-DZoPSo5FlPQca71nDQPQY9I3STpXO","object":"chat.completion","created":1777427626,"model":"gpt-5-chat-2025-10-03","choices":[{"index":0,"message":{"role":"assistant","content":"Hermes,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4" t="inlineStr">
        <is>
          <t>Hermes,Glasses,kakobuy,kakebuy2026,kekobuysheet,kakobuysheet2026,2026kakobuy,kakobuyspreadsheeet,kakobuylink,kakebuylist,Kakobuy MEGA Spreadsheet,kakobuysheetfind,kakobuysheetfind2026,2026kakobuysheetfind,kakobuysheet2026</t>
        </is>
      </c>
      <c r="Q154" t="inlineStr">
        <is>
          <t>Black, Retro, Sleek, Unisex, Acetate Fiber</t>
        </is>
      </c>
      <c r="R154" t="inlineStr">
        <is>
          <t>recvhju1CriRyS</t>
        </is>
      </c>
      <c r="S154" t="inlineStr">
        <is>
          <t>hermes-black-cat-eye-sunglasses-h-logo-recvhju1crirys</t>
        </is>
      </c>
      <c r="T154"/>
      <c r="U154"/>
      <c r="V154"/>
      <c r="W154" t="inlineStr">
        <is>
          <t>{"id":"chatcmpl-DZnxoYG9L7orETyRVEHnaMWYS3g3O","object":"chat.completion","created":1777425912,"model":"gpt-5-chat-2025-10-03","choices":[{"index":0,"message":{"role":"assistant","content":"Hermes：黑色猫眼太阳眼镜，采用高光醋酸纤维材质，侧臂饰以标志性“H”镶嵌金属设计，镜框线条流畅，诠释优雅复古与现代摩登并存的风格，男女皆宜，展现法式高定魅力。","refusal":null,"annotations":[]},"logprobs":null,"finish_reason":"stop"}],"usage":{"prompt_tokens":1302,"completion_tokens":80,"total_tokens":1382,"prompt_tokens_details":{"cached_tokens":1280,"audio_tokens":0},"completion_tokens_details":{"reasoning_tokens":0,"audio_tokens":0,"accepted_prediction_tokens":0,"rejected_prediction_tokens":0}},"service_tier":"default","system_fingerprint":"fp_ad66631dec"}</t>
        </is>
      </c>
      <c r="X154" t="inlineStr">
        <is>
          <t>Hermes：黑色猫眼太阳眼镜，采用高光醋酸纤维材质，侧臂饰以标志性“H”镶嵌金属设计，镜框线条流畅，诠释优雅复古与现代摩登并存的风格，男女皆宜，展现法式高定魅力。</t>
        </is>
      </c>
    </row>
    <row r="155" ht="25.5" customHeight="1">
      <c r="A155">
        <v>1654975475</v>
      </c>
      <c r="B155">
        <v>7626092538</v>
      </c>
      <c r="C155" s="2" t="str">
        <f>=HYPERLINK("https://weidian.com/item.html?itemID=7626092538", "https://weidian.com/item.html?itemID=7626092538")</f>
        <v>https://weidian.com/item.html?itemID=7626092538</v>
      </c>
      <c r="D155"/>
      <c r="E155" s="2" t="str">
        <f>=HYPERLINK("https://si.geilicdn.com/pcitem2014204438-73ab0000019adf3ab26f0a210139_1440_1920.jpg?w=640&amp;h=640", "https://si.geilicdn.com/pcitem2014204438-73ab0000019adf3ab26f0a210139_1440_1920.jpg?w=640&amp;h=640")</f>
        <v>https://si.geilicdn.com/pcitem2014204438-73ab0000019adf3ab26f0a210139_1440_1920.jpg?w=640&amp;h=640</v>
      </c>
      <c r="F155" t="inlineStr">
        <is>
          <t>Glasses</t>
        </is>
      </c>
      <c r="G155" t="inlineStr">
        <is>
          <t>Chanel</t>
        </is>
      </c>
      <c r="H155">
        <v>380</v>
      </c>
      <c r="I155">
        <v>55.07</v>
      </c>
      <c r="J155" t="inlineStr">
        <is>
          <t>{"id":"chatcmpl-DZoH5Psh1D8UyM11XWxigDMsp1dgd","object":"chat.completion","created":1777427107,"model":"gpt-5-chat-2025-10-03","choices":[{"index":0,"message":{"role":"assistant","content":"Chanel Square Gradient Brown Metal Frame Sunglasse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fd471178c5"}</t>
        </is>
      </c>
      <c r="K155" t="inlineStr">
        <is>
          <t>Chanel Square Gradient Brown Metal Frame Sunglasses</t>
        </is>
      </c>
      <c r="L155" t="inlineStr">
        <is>
          <t>{"id":"chatcmpl-DZo66Y0MtJKaw3aR5ZDtFlfi8niKb","object":"chat.completion","created":1777426426,"model":"gpt-5-chat-2025-10-03","choices":[{"index":0,"message":{"role":"assistant","content":"Chanel Square Gradient Brown Sunglasses with metal frame and nylon lenses, minimalist and elegant French design for modern men and women, showcasing timeless luxury and sophisticated style.","refusal":null,"annotations":[]},"logprobs":null,"finish_reason":"stop"}],"usage":{"prompt_tokens":895,"completion_tokens":33,"total_tokens":928,"prompt_tokens_details":{"cached_tokens":0,"audio_tokens":0},"completion_tokens_details":{"reasoning_tokens":0,"audio_tokens":0,"accepted_prediction_tokens":0,"rejected_prediction_tokens":0}},"service_tier":"default","system_fingerprint":"fp_ad66631dec"}</t>
        </is>
      </c>
      <c r="M155" t="inlineStr">
        <is>
          <t>{"alt-svc":"h3=\":443\"; ma=2592000","apim-request-id":"fa39e2f4-39a4-4c38-b75d-31d6b4df8585","azureml-model-session":"d20260402074105-51db401e","cache-control":"no-cache","connection":"close","content-length":"997","content-type":"application/json","date":"Wed, 29 Apr 2026 01:33:48 GMT","server":"nginx","skip-error-remapping":"true","strict-transport-security":"max-age=31536000; includeSubDomains; preload","via":"1.1 Caddy","x-content-type-options":"nosniff","x-ms-client-request-id":"Not-Set","x-ms-is-spilled-over":"false","x-ms-rai-invoked":"false","x-ms-region":"Sweden Central","x-new-api-version":"0.4.35","x-oneapi-request-id":"20260429013345768589738268d9d6GGrNcLTJ","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16231c83-c857-4dbb-b4c6-6d6ccf6763f6"}</t>
        </is>
      </c>
      <c r="N155" t="inlineStr">
        <is>
          <t>Chanel Square Gradient Brown Sunglasses with metal frame and nylon lenses, minimalist and elegant French design for modern men and women, showcasing timeless luxury and sophisticated style.</t>
        </is>
      </c>
      <c r="O155" t="inlineStr">
        <is>
          <t>{"id":"chatcmpl-DZoLuomAGkJHRgMkcFVp631uAjbgU","object":"chat.completion","created":1777427406,"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55" t="inlineStr">
        <is>
          <t>Chanel,Glasses,kakobuy,kakebuy2026,kekobuysheet,kakobuysheet2026,2026kakobuy,kakobuyspreadsheeet,kakobuylink,kakebuylist,Kakobuy MEGA Spreadsheet,kakobuysheetfind,kakobuysheetfind2026,2026kakobuysheetfind,kakobuysheet2026</t>
        </is>
      </c>
      <c r="Q155" t="inlineStr">
        <is>
          <t>Chanel, Brown, Minimalist, Elegant, Unisex, Modern</t>
        </is>
      </c>
      <c r="R155" t="inlineStr">
        <is>
          <t>recvhju1CrutWA</t>
        </is>
      </c>
      <c r="S155" t="inlineStr">
        <is>
          <t>chanel-square-gradient-brown-metal-sunglasses-recvhju1crutwa</t>
        </is>
      </c>
      <c r="T155"/>
      <c r="U155"/>
      <c r="V155"/>
      <c r="W155" t="inlineStr">
        <is>
          <t>{"id":"chatcmpl-DZntgCwEHYm7N2D50MXgsAOZM6n7n","object":"chat.completion","created":1777425656,"model":"gpt-5-chat-2025-10-03","choices":[{"index":0,"message":{"role":"assistant","content":"Chanel：方形渐变茶色防晒墨镜，金属镜框搭配轻盈尼龙镜片，极简优雅设计，展现法式高级时尚格调，适合现代都市男女，彰显品牌经典奢华气质。","refusal":null,"annotations":[]},"logprobs":null,"finish_reason":"stop"}],"usage":{"prompt_tokens":1302,"completion_tokens":60,"total_tokens":1362,"prompt_tokens_details":{"cached_tokens":0,"audio_tokens":0},"completion_tokens_details":{"reasoning_tokens":0,"audio_tokens":0,"accepted_prediction_tokens":0,"rejected_prediction_tokens":0}},"service_tier":"default","system_fingerprint":"fp_ad66631dec"}</t>
        </is>
      </c>
      <c r="X155" t="inlineStr">
        <is>
          <t>Chanel：方形渐变茶色防晒墨镜，金属镜框搭配轻盈尼龙镜片，极简优雅设计，展现法式高级时尚格调，适合现代都市男女，彰显品牌经典奢华气质。</t>
        </is>
      </c>
    </row>
    <row r="156" ht="25.5" customHeight="1">
      <c r="A156">
        <v>1654975475</v>
      </c>
      <c r="B156">
        <v>7623195221</v>
      </c>
      <c r="C156" s="2" t="str">
        <f>=HYPERLINK("https://weidian.com/item.html?itemID=7623195221", "https://weidian.com/item.html?itemID=7623195221")</f>
        <v>https://weidian.com/item.html?itemID=7623195221</v>
      </c>
      <c r="D156"/>
      <c r="E156" s="2" t="str">
        <f>=HYPERLINK("https://si.geilicdn.com/pcitem2014204438-1bf20000019adf29ce1d0a81347d_1416_1920.jpg?w=640&amp;h=640", "https://si.geilicdn.com/pcitem2014204438-1bf20000019adf29ce1d0a81347d_1416_1920.jpg?w=640&amp;h=640")</f>
        <v>https://si.geilicdn.com/pcitem2014204438-1bf20000019adf29ce1d0a81347d_1416_1920.jpg?w=640&amp;h=640</v>
      </c>
      <c r="F156" t="inlineStr">
        <is>
          <t>Glasses</t>
        </is>
      </c>
      <c r="G156" t="inlineStr">
        <is>
          <t>Maison Margiela</t>
        </is>
      </c>
      <c r="H156">
        <v>340</v>
      </c>
      <c r="I156">
        <v>49.2898550724637</v>
      </c>
      <c r="J156" t="inlineStr">
        <is>
          <t>{"id":"chatcmpl-DZoFmdDhRkJipWTk5LfOQ21ifSXG4","object":"chat.completion","created":1777427026,"model":"gpt-5-chat-2025-10-03","choices":[{"index":0,"message":{"role":"assistant","content":"Maison Margiela Black Minimalist Square Acetate Sunglasses","refusal":null,"annotations":[]},"logprobs":null,"finish_reason":"stop"}],"usage":{"prompt_tokens":871,"completion_tokens":13,"total_tokens":884,"prompt_tokens_details":{"cached_tokens":0,"audio_tokens":0},"completion_tokens_details":{"reasoning_tokens":0,"audio_tokens":0,"accepted_prediction_tokens":0,"rejected_prediction_tokens":0}},"service_tier":"default","system_fingerprint":"fp_ad66631dec"}</t>
        </is>
      </c>
      <c r="K156" t="inlineStr">
        <is>
          <t>Maison Margiela Black Minimalist Square Acetate Sunglasses</t>
        </is>
      </c>
      <c r="L156" t="inlineStr">
        <is>
          <t>{"id":"chatcmpl-DZo6xif1MgSWUPdQsCwLN2uavonjp","object":"chat.completion","created":1777426479,"model":"gpt-5-chat-2025-10-03","choices":[{"index":0,"message":{"role":"assistant","content":"Maison Margiela black minimalist square sunglasses crafted from premium acetate. Lightweight and durable, featuring signature deconstructive design and subtle logo detail. Unisex modern urban style.","refusal":null,"annotations":[]},"logprobs":null,"finish_reason":"stop"}],"usage":{"prompt_tokens":946,"completion_tokens":34,"total_tokens":980,"prompt_tokens_details":{"cached_tokens":0,"audio_tokens":0},"completion_tokens_details":{"reasoning_tokens":0,"audio_tokens":0,"accepted_prediction_tokens":0,"rejected_prediction_tokens":0}},"service_tier":"default","system_fingerprint":"fp_ad66631dec"}</t>
        </is>
      </c>
      <c r="M156" t="inlineStr">
        <is>
          <t>{"alt-svc":"h3=\":443\"; ma=2592000","apim-request-id":"c245a107-2d9f-484a-9c6e-f9dde3ee7313","azureml-model-session":"d20260402075109-1fc5a0ec","cache-control":"no-cache","connection":"close","content-length":"1006","content-type":"application/json","date":"Wed, 29 Apr 2026 01:34:40 GMT","server":"Caddy","skip-error-remapping":"true","strict-transport-security":"max-age=31536000; includeSubDomains; preload","x-content-type-options":"nosniff","x-ms-client-request-id":"Not-Set","x-ms-is-spilled-over":"false","x-ms-rai-invoked":"false","x-ms-region":"Central US","x-new-api-version":"0.4.35","x-oneapi-request-id":"202604290134373911402588268d9d6tNHAdiFv","x-ratelimit-abusepenalty-active":"False","x-ratelimit-key":"gpt-5-chat-global","x-ratelimit-limit-requests":"1000","x-ratelimit-limit-tokens":"1000000","x-ratelimit-remaining-requests":"999","x-ratelimit-remaining-tokens":"998292","x-ratelimit-renewalperiod-requests":"60","x-ratelimit-renewalperiod-tokens":"60","x-ratelimit-reset-requests":"60","x-ratelimit-reset-tokens":"102","x-request-id":"c7f092c9-69aa-4644-b43d-97be46e36400"}</t>
        </is>
      </c>
      <c r="N156" t="inlineStr">
        <is>
          <t>Maison Margiela black minimalist square sunglasses crafted from premium acetate. Lightweight and durable, featuring signature deconstructive design and subtle logo detail. Unisex modern urban style.</t>
        </is>
      </c>
      <c r="O156" t="inlineStr">
        <is>
          <t>{"id":"chatcmpl-DZoQyCz2fFR2R6x59h4SJh7r1y7lN","object":"chat.completion","created":1777427720,"model":"gpt-5-chat-2025-10-03","choices":[{"index":0,"message":{"role":"assistant","content":"Maison Margiela,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fd471178c5"}</t>
        </is>
      </c>
      <c r="P156" t="inlineStr">
        <is>
          <t>Maison Margiela, Glasses, kakobuy, kakebuy2026, kekobuysheet, kakobuysheet2026, 2026kakobuy, kakobuyspreadsheeet, kakobuylink, kakebuylist, Kakobuy MEGA Spreadsheet, kakobuysheetfind, kakobuysheetfind2026, 2026kakobuysheetfind, kakobuysheet2026</t>
        </is>
      </c>
      <c r="Q156" t="inlineStr">
        <is>
          <t>Black, Minimalist, Acetate Fiber, Unisex, Modern</t>
        </is>
      </c>
      <c r="R156" t="inlineStr">
        <is>
          <t>recvhju1CrsXzj</t>
        </is>
      </c>
      <c r="S156" t="inlineStr">
        <is>
          <t>maison-margiela-black-minimalist-square-sunglasses-recvhju1crsxzj</t>
        </is>
      </c>
      <c r="T156"/>
      <c r="U156"/>
      <c r="V156"/>
      <c r="W156" t="inlineStr">
        <is>
          <t>{"id":"chatcmpl-DZnxBDOsi5aKxIkswSS5sif7etZZp","object":"chat.completion","created":1777425873,"model":"gpt-5-chat-2025-10-03","choices":[{"index":0,"message":{"role":"assistant","content":"Maison Margiela：黑色极简方框太阳眼镜，采用高品质醋酸纤维材质，质感轻盈坚韧。标志性解构主义设计融合未来感线条，镜腿内嵌品牌低调徽标，彰显先锋格调。中性款式适合男女佩戴，简洁利落造型契合都市极简美学，兼具时尚与防护功能，尽显品牌独特前卫气质。","refusal":null,"annotations":[]},"logprobs":null,"finish_reason":"stop"}],"usage":{"prompt_tokens":1306,"completion_tokens":109,"total_tokens":1415,"prompt_tokens_details":{"cached_tokens":0,"audio_tokens":0},"completion_tokens_details":{"reasoning_tokens":0,"audio_tokens":0,"accepted_prediction_tokens":0,"rejected_prediction_tokens":0}},"service_tier":"default","system_fingerprint":"fp_ad66631dec"}</t>
        </is>
      </c>
      <c r="X156" t="inlineStr">
        <is>
          <t>Maison Margiela：黑色极简方框太阳眼镜，采用高品质醋酸纤维材质，质感轻盈坚韧。标志性解构主义设计融合未来感线条，镜腿内嵌品牌低调徽标，彰显先锋格调。中性款式适合男女佩戴，简洁利落造型契合都市极简美学，兼具时尚与防护功能，尽显品牌独特前卫气质。</t>
        </is>
      </c>
    </row>
    <row r="157" ht="25.5" customHeight="1">
      <c r="A157">
        <v>1654975475</v>
      </c>
      <c r="B157">
        <v>7623155537</v>
      </c>
      <c r="C157" s="2" t="str">
        <f>=HYPERLINK("https://weidian.com/item.html?itemID=7623155537", "https://weidian.com/item.html?itemID=7623155537")</f>
        <v>https://weidian.com/item.html?itemID=7623155537</v>
      </c>
      <c r="D157"/>
      <c r="E157" s="2" t="str">
        <f>=HYPERLINK("https://si.geilicdn.com/pcitem2014204438-52990000019adf2640470a21146b_1080_1440.jpg?w=640&amp;h=640", "https://si.geilicdn.com/pcitem2014204438-52990000019adf2640470a21146b_1080_1440.jpg?w=640&amp;h=640")</f>
        <v>https://si.geilicdn.com/pcitem2014204438-52990000019adf2640470a21146b_1080_1440.jpg?w=640&amp;h=640</v>
      </c>
      <c r="F157" t="inlineStr">
        <is>
          <t>Glasses</t>
        </is>
      </c>
      <c r="G157" t="inlineStr">
        <is>
          <t>Chrome Hearts</t>
        </is>
      </c>
      <c r="H157">
        <v>370</v>
      </c>
      <c r="I157">
        <v>53.62</v>
      </c>
      <c r="J157" t="inlineStr">
        <is>
          <t>{"id":"chatcmpl-DZoDeElQIThyxszjMbbSlbWYmUxZ8","object":"chat.completion","created":1777426894,"model":"gpt-5-chat-2025-10-03","choices":[{"index":0,"message":{"role":"assistant","content":"Chrome Hearts Silver Titanium Aviator Sunglasses Unisex UV Protection","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157" t="inlineStr">
        <is>
          <t>Chrome Hearts Silver Titanium Aviator Sunglasses Unisex UV Protection</t>
        </is>
      </c>
      <c r="L157" t="inlineStr">
        <is>
          <t>{"id":"chatcmpl-DZoAKMp1oIpI6kXpkMZCe5W8t8mzA","object":"chat.completion","created":1777426688,"model":"gpt-5-chat-2025-10-03","choices":[{"index":0,"message":{"role":"assistant","content":"Chrome Hearts Silver Aviator Sunglasses crafted from high-density titanium, featuring sleek lines, gray-black lenses, signature silver detailing, Gothic rock style, unisex, UV protection, lightweight luxury.","refusal":null,"annotations":[]},"logprobs":null,"finish_reason":"stop"}],"usage":{"prompt_tokens":951,"completion_tokens":39,"total_tokens":990,"prompt_tokens_details":{"cached_tokens":0,"audio_tokens":0},"completion_tokens_details":{"reasoning_tokens":0,"audio_tokens":0,"accepted_prediction_tokens":0,"rejected_prediction_tokens":0}},"service_tier":"default","system_fingerprint":"fp_ad66631dec"}</t>
        </is>
      </c>
      <c r="M157" t="inlineStr">
        <is>
          <t>{"alt-svc":"h3=\":443\"; ma=2592000","apim-request-id":"90f39cd7-4fa3-407b-b4cc-57746954efc7","azureml-model-session":"d20260402075109-1fc5a0ec","cache-control":"no-cache","connection":"close","content-length":"1015","content-type":"application/json","date":"Wed, 29 Apr 2026 01:38:10 GMT","server":"nginx","skip-error-remapping":"true","strict-transport-security":"max-age=31536000; includeSubDomains; preload","via":"1.1 Caddy","x-content-type-options":"nosniff","x-ms-client-request-id":"Not-Set","x-ms-is-spilled-over":"false","x-ms-rai-invoked":"false","x-ms-region":"South Central US","x-new-api-version":"0.4.35","x-oneapi-request-id":"202604290138071424021908268d9d6MRb9zkr9","x-ratelimit-abusepenalty-active":"False","x-ratelimit-key":"gpt-5-chat-global","x-ratelimit-limit-requests":"1000","x-ratelimit-limit-tokens":"1000000","x-ratelimit-remaining-requests":"999","x-ratelimit-remaining-tokens":"998287","x-ratelimit-renewalperiod-requests":"60","x-ratelimit-renewalperiod-tokens":"60","x-ratelimit-reset-requests":"60","x-ratelimit-reset-tokens":"102","x-request-id":"481a873a-3f6e-4296-9673-e47f6f949bd7"}</t>
        </is>
      </c>
      <c r="N157" t="inlineStr">
        <is>
          <t>Chrome Hearts Silver Aviator Sunglasses crafted from high-density titanium, featuring sleek lines, gray-black lenses, signature silver detailing, Gothic rock style, unisex, UV protection, lightweight luxury.</t>
        </is>
      </c>
      <c r="O157" t="inlineStr">
        <is>
          <t>{"id":"chatcmpl-DZoKLplUmZQIDT79WxpohKNPGN11y","object":"chat.completion","created":1777427309,"model":"gpt-5-chat-2025-10-03","choices":[{"index":0,"message":{"role":"assistant","content":"Chrome Hearts,Glasses,kakobuy,kakebuy2026,kekobuysheet,kakobuysheet2026,2026kakobuy,kakobuyspreadsheeet,kakobuylink,kakebuylist,Kakobuy MEGA Spreadsheet,kakobuysheetfind,kakobuysheetfind2026,2026kakobuysheetfind,kakobu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57" t="inlineStr">
        <is>
          <t>Chrome Hearts,Glasses,kakobuy,kakebuy2026,kekobuysheet,kakobuysheet2026,2026kakobuy,kakobuyspreadsheeet,kakobuylink,kakebuylist,Kakobuy MEGA Spreadsheet,kakobuysheetfind,kakobuysheetfind2026,2026kakobuysheetfind,kakobusheet2026</t>
        </is>
      </c>
      <c r="Q157" t="inlineStr">
        <is>
          <t>Silver, Gothic, Unisex, Anti-Ultraviolet, Lightweight</t>
        </is>
      </c>
      <c r="R157" t="inlineStr">
        <is>
          <t>recvhju1CrrgB3</t>
        </is>
      </c>
      <c r="S157" t="inlineStr">
        <is>
          <t>chrome-hearts-silver-titanium-aviator-sunglasses-recvhju1crrgB3</t>
        </is>
      </c>
      <c r="T157"/>
      <c r="U157"/>
      <c r="V157"/>
      <c r="W157" t="inlineStr">
        <is>
          <t>{"id":"chatcmpl-DZntXBitlGkSpKxoYEtJs8jI47MKm","object":"chat.completion","created":1777425647,"model":"gpt-5-chat-2025-10-03","choices":[{"index":0,"message":{"role":"assistant","content":"Chrome Hearts：银色飞行员款太阳眼镜，采用高密度钛金属材质，轻盈耐用。镜框线条利落，搭配灰黑色镜片，彰显低调奢华质感。标志性银饰细节与雕刻Logo点缀镜腿，展现品牌独特的哥特摇滚风格。男女通用设计，融合时尚与功能，兼具防紫外线与舒适佩戴体验，尽显复古前卫魅力。","refusal":null,"annotations":[]},"logprobs":null,"finish_reason":"stop"}],"usage":{"prompt_tokens":1298,"completion_tokens":118,"total_tokens":1416,"prompt_tokens_details":{"cached_tokens":0,"audio_tokens":0},"completion_tokens_details":{"reasoning_tokens":0,"audio_tokens":0,"accepted_prediction_tokens":0,"rejected_prediction_tokens":0}},"service_tier":"default","system_fingerprint":"fp_ad66631dec"}</t>
        </is>
      </c>
      <c r="X157" t="inlineStr">
        <is>
          <t>Chrome Hearts：银色飞行员款太阳眼镜，采用高密度钛金属材质，轻盈耐用。镜框线条利落，搭配灰黑色镜片，彰显低调奢华质感。标志性银饰细节与雕刻Logo点缀镜腿，展现品牌独特的哥特摇滚风格。男女通用设计，融合时尚与功能，兼具防紫外线与舒适佩戴体验，尽显复古前卫魅力。</t>
        </is>
      </c>
    </row>
    <row r="158" ht="25.5" customHeight="1">
      <c r="A158">
        <v>1654975475</v>
      </c>
      <c r="B158">
        <v>7626192676</v>
      </c>
      <c r="C158" s="2" t="str">
        <f>=HYPERLINK("https://weidian.com/item.html?itemID=7626192676", "https://weidian.com/item.html?itemID=7626192676")</f>
        <v>https://weidian.com/item.html?itemID=7626192676</v>
      </c>
      <c r="D158"/>
      <c r="E158" s="2" t="str">
        <f>=HYPERLINK("https://si.geilicdn.com/pcitem2014204438-6ed70000019ade8f0e630a81347d_1440_1920.jpg?w=640&amp;h=640", "https://si.geilicdn.com/pcitem2014204438-6ed70000019ade8f0e630a81347d_1440_1920.jpg?w=640&amp;h=640")</f>
        <v>https://si.geilicdn.com/pcitem2014204438-6ed70000019ade8f0e630a81347d_1440_1920.jpg?w=640&amp;h=640</v>
      </c>
      <c r="F158" t="inlineStr">
        <is>
          <t>Glasses</t>
        </is>
      </c>
      <c r="G158" t="inlineStr">
        <is>
          <t>Gucci</t>
        </is>
      </c>
      <c r="H158">
        <v>78</v>
      </c>
      <c r="I158">
        <v>11.3</v>
      </c>
      <c r="J158" t="inlineStr">
        <is>
          <t>{"id":"chatcmpl-DZoCe7K1NZeyEXCgjUjkXr9QKaZQn","object":"chat.completion","created":1777426832,"model":"gpt-5-chat-2025-10-03","choices":[{"index":0,"message":{"role":"assistant","content":"Gucci Metal Frame Square Sunglasses Silver Brown Unisex","refusal":null,"annotations":[]},"logprobs":null,"finish_reason":"stop"}],"usage":{"prompt_tokens":860,"completion_tokens":12,"total_tokens":872,"prompt_tokens_details":{"cached_tokens":0,"audio_tokens":0},"completion_tokens_details":{"reasoning_tokens":0,"audio_tokens":0,"accepted_prediction_tokens":0,"rejected_prediction_tokens":0}},"service_tier":"default","system_fingerprint":"fp_ad66631dec"}</t>
        </is>
      </c>
      <c r="K158" t="inlineStr">
        <is>
          <t>Gucci Metal Frame Square Sunglasses Silver Brown Unisex</t>
        </is>
      </c>
      <c r="L158" t="inlineStr">
        <is>
          <t>{"id":"chatcmpl-DZo7dPJJMdKHDSy2zkf4SYZ4783Wl","object":"chat.completion","created":1777426521,"model":"gpt-5-chat-2025-10-03","choices":[{"index":0,"message":{"role":"assistant","content":"Gucci Metal Frame Square Sunglasses feature lightweight silver rims and brown lenses, offering UV protection and Italian vintage luxury style for men and women.","refusal":null,"annotations":[]},"logprobs":null,"finish_reason":"stop"}],"usage":{"prompt_tokens":895,"completion_tokens":29,"total_tokens":924,"prompt_tokens_details":{"cached_tokens":0,"audio_tokens":0},"completion_tokens_details":{"reasoning_tokens":0,"audio_tokens":0,"accepted_prediction_tokens":0,"rejected_prediction_tokens":0}},"service_tier":"default","system_fingerprint":"fp_fd471178c5"}</t>
        </is>
      </c>
      <c r="M158" t="inlineStr">
        <is>
          <t>{"alt-svc":"h3=\":443\"; ma=2592000","apim-request-id":"9247edfd-3da7-480a-9330-a7401b0827e9","azureml-model-session":"d20260428174121-807d9cc5","cache-control":"no-cache","connection":"close","content-length":"968","content-type":"application/json","date":"Wed, 29 Apr 2026 01:35:22 GMT","server":"nginx","skip-error-remapping":"true","strict-transport-security":"max-age=31536000; includeSubDomains; preload","via":"1.1 Caddy","x-content-type-options":"nosniff","x-ms-client-request-id":"Not-Set","x-ms-is-spilled-over":"false","x-ms-rai-invoked":"false","x-ms-region":"West US","x-new-api-version":"0.4.35","x-oneapi-request-id":"202604290135207550734948268d9d6EhvN1KFi","x-ratelimit-abusepenalty-active":"False","x-ratelimit-key":"gpt-5-chat-global","x-ratelimit-limit-requests":"1000","x-ratelimit-limit-tokens":"1000000","x-ratelimit-remaining-requests":"999","x-ratelimit-remaining-tokens":"998343","x-ratelimit-renewalperiod-requests":"60","x-ratelimit-renewalperiod-tokens":"60","x-ratelimit-reset-requests":"60","x-ratelimit-reset-tokens":"99","x-request-id":"63c2b759-2cb0-4abf-88f9-c23cd65c3c43"}</t>
        </is>
      </c>
      <c r="N158" t="inlineStr">
        <is>
          <t>Gucci Metal Frame Square Sunglasses feature lightweight silver rims and brown lenses, offering UV protection and Italian vintage luxury style for men and women.</t>
        </is>
      </c>
      <c r="O158" t="inlineStr">
        <is>
          <t>{"id":"chatcmpl-DZoLhUZ0dPgSnP5qw5rtMrs49IzVD","object":"chat.completion","created":1777427393,"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8" t="inlineStr">
        <is>
          <t>Gucci,Glasses,kakobuy,kakebuy2026,kekobuysheet,kakobuysheet2026,2026kakobuy,kakobuyspreadsheeet,kakobuylink,kakebuylist,Kakobuy MEGA Spreadsheet,kakobuysheetfind,kakobuysheetfind2026,2026kakobuysheetfind,kakobuysheet2026</t>
        </is>
      </c>
      <c r="Q158" t="inlineStr">
        <is>
          <t>Silver, Brown, Anti-Ultraviolet, Vintage, Unisex</t>
        </is>
      </c>
      <c r="R158" t="inlineStr">
        <is>
          <t>recvhju1CrWe4Y</t>
        </is>
      </c>
      <c r="S158" t="inlineStr">
        <is>
          <t>gucci-square-sunglasses-silver-brown-recvhju1crwe4y</t>
        </is>
      </c>
      <c r="T158"/>
      <c r="U158"/>
      <c r="V158"/>
      <c r="W158" t="inlineStr">
        <is>
          <t>{"id":"chatcmpl-DZnyfYi13DyuvUJfkLz48QGKzn0WF","object":"chat.completion","created":1777425965,"model":"gpt-5-chat-2025-10-03","choices":[{"index":0,"message":{"role":"assistant","content":"Gucci：金属框方形墨镜，采用轻盈银质镜架与茶色镜片，展现意式奢华复古风格，男女皆宜，兼具防紫外线与时尚设计，彰显品牌优雅格调。","refusal":null,"annotations":[]},"logprobs":null,"finish_reason":"stop"}],"usage":{"prompt_tokens":1302,"completion_tokens":60,"total_tokens":1362,"prompt_tokens_details":{"cached_tokens":1280,"audio_tokens":0},"completion_tokens_details":{"reasoning_tokens":0,"audio_tokens":0,"accepted_prediction_tokens":0,"rejected_prediction_tokens":0}},"service_tier":"default","system_fingerprint":"fp_ad66631dec"}</t>
        </is>
      </c>
      <c r="X158" t="inlineStr">
        <is>
          <t>Gucci：金属框方形墨镜，采用轻盈银质镜架与茶色镜片，展现意式奢华复古风格，男女皆宜，兼具防紫外线与时尚设计，彰显品牌优雅格调。</t>
        </is>
      </c>
    </row>
    <row r="159" ht="25.5" customHeight="1">
      <c r="A159">
        <v>1654975475</v>
      </c>
      <c r="B159">
        <v>7623109237</v>
      </c>
      <c r="C159" s="2" t="str">
        <f>=HYPERLINK("https://weidian.com/item.html?itemID=7623109237", "https://weidian.com/item.html?itemID=7623109237")</f>
        <v>https://weidian.com/item.html?itemID=7623109237</v>
      </c>
      <c r="D159"/>
      <c r="E159" s="2" t="str">
        <f>=HYPERLINK("https://si.geilicdn.com/pcitem2014204438-697f0000019ade89caf90a230115_1074_1074.jpg?w=640&amp;h=640", "https://si.geilicdn.com/pcitem2014204438-697f0000019ade89caf90a230115_1074_1074.jpg?w=640&amp;h=640")</f>
        <v>https://si.geilicdn.com/pcitem2014204438-697f0000019ade89caf90a230115_1074_1074.jpg?w=640&amp;h=640</v>
      </c>
      <c r="F159" t="inlineStr">
        <is>
          <t>Glasses</t>
        </is>
      </c>
      <c r="G159" t="inlineStr">
        <is>
          <t>Prada</t>
        </is>
      </c>
      <c r="H159">
        <v>380</v>
      </c>
      <c r="I159">
        <v>55.07</v>
      </c>
      <c r="J159" t="inlineStr">
        <is>
          <t>{"id":"chatcmpl-DZoHKs4pZoHYoKwRqjp8F4WrNXCjM","object":"chat.completion","created":1777427122,"model":"gpt-5-chat-2025-10-03","choices":[{"index":0,"message":{"role":"assistant","content":"Prada Black Aviator Gradient Lens Sunglasses","refusal":null,"annotations":[]},"logprobs":null,"finish_reason":"stop"}],"usage":{"prompt_tokens":864,"completion_tokens":10,"total_tokens":874,"prompt_tokens_details":{"cached_tokens":0,"audio_tokens":0},"completion_tokens_details":{"reasoning_tokens":0,"audio_tokens":0,"accepted_prediction_tokens":0,"rejected_prediction_tokens":0}},"service_tier":"default","system_fingerprint":"fp_ad66631dec"}</t>
        </is>
      </c>
      <c r="K159" t="inlineStr">
        <is>
          <t>Prada Black Aviator Gradient Lens Sunglasses</t>
        </is>
      </c>
      <c r="L159" t="inlineStr">
        <is>
          <t>{"id":"chatcmpl-DZo4Wm4n6CY5JIZU6MPXyqxmngJQ8","object":"chat.completion","created":1777426328,"model":"gpt-5-chat-2025-10-03","choices":[{"index":0,"message":{"role":"assistant","content":"Prada Black Gradient Lens Metal Aviator Sunglasses – Lightweight frame with signature logo design, elegant unisex style, UV protection for essential outdoor fashion.","refusal":null,"annotations":[]},"logprobs":null,"finish_reason":"stop"}],"usage":{"prompt_tokens":877,"completion_tokens":31,"total_tokens":908,"prompt_tokens_details":{"cached_tokens":0,"audio_tokens":0},"completion_tokens_details":{"reasoning_tokens":0,"audio_tokens":0,"accepted_prediction_tokens":0,"rejected_prediction_tokens":0}},"service_tier":"default","system_fingerprint":"fp_ad66631dec"}</t>
        </is>
      </c>
      <c r="M159" t="inlineStr">
        <is>
          <t>{"alt-svc":"h3=\":443\"; ma=2592000","apim-request-id":"34289bfb-aaf1-4923-95a4-5592aa16bb27","azureml-model-session":"d20260405225800-40f19e54","cache-control":"no-cache","connection":"close","content-length":"975","content-type":"application/json","date":"Wed, 29 Apr 2026 01:32:09 GMT","server":"nginx","skip-error-remapping":"true","strict-transport-security":"max-age=31536000; includeSubDomains; preload","via":"1.1 Caddy","x-content-type-options":"nosniff","x-ms-client-request-id":"Not-Set","x-ms-is-spilled-over":"false","x-ms-rai-invoked":"false","x-ms-region":"North Central US","x-new-api-version":"0.4.35","x-oneapi-request-id":"202604290132077095357938268d9d6Cu1ICYGf","x-ratelimit-abusepenalty-active":"False","x-ratelimit-key":"gpt-5-chat-global","x-ratelimit-limit-requests":"1000","x-ratelimit-limit-tokens":"1000000","x-ratelimit-remaining-requests":"999","x-ratelimit-remaining-tokens":"998361","x-ratelimit-renewalperiod-requests":"60","x-ratelimit-renewalperiod-tokens":"60","x-ratelimit-reset-requests":"60","x-ratelimit-reset-tokens":"98","x-request-id":"1d48c37c-fe97-4283-a9e1-972eb13d4327"}</t>
        </is>
      </c>
      <c r="N159" t="inlineStr">
        <is>
          <t>Prada Black Gradient Lens Metal Aviator Sunglasses – Lightweight frame with signature logo design, elegant unisex style, UV protection for essential outdoor fashion.</t>
        </is>
      </c>
      <c r="O159" t="inlineStr">
        <is>
          <t>{"id":"chatcmpl-DZoMzH8nUASGBohlAsWgtBvp14zkb","object":"chat.completion","created":1777427473,"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59" t="inlineStr">
        <is>
          <t>Prada,Glasses,kakobuy,kakebuy2026,kekobuysheet,kakobuysheet2026,2026kakobuy,kakobuyspreadsheeet,kakobuylink,kakebuylist,Kakobuy MEGA Spreadsheet,kakobuysheetfind,kakobuysheetfind2026,2026kakobuysheetfind,kakobuysheet2026</t>
        </is>
      </c>
      <c r="Q159" t="inlineStr">
        <is>
          <t>Black, Gradient, Lightweight, Anti-Ultraviolet, Unisex, Outdoor</t>
        </is>
      </c>
      <c r="R159" t="inlineStr">
        <is>
          <t>recvhju1CrDY48</t>
        </is>
      </c>
      <c r="S159" t="inlineStr">
        <is>
          <t>prada-black-aviator-gradient-sunglasses-recvhju1crDY48</t>
        </is>
      </c>
      <c r="T159"/>
      <c r="U159"/>
      <c r="V159"/>
      <c r="W159" t="inlineStr">
        <is>
          <t>{"id":"chatcmpl-DZnwCmW9gN98HRTzDFS2Wj2uPwBER","object":"chat.completion","created":1777425812,"model":"gpt-5-chat-2025-10-03","choices":[{"index":0,"message":{"role":"assistant","content":"Prada：黑色渐变镜片金属飞行员太阳镜，轻盈镜框搭配品牌徽标设计，高雅时尚中性款，防紫外线出行必备。","refusal":null,"annotations":[]},"logprobs":null,"finish_reason":"stop"}],"usage":{"prompt_tokens":1296,"completion_tokens":46,"total_tokens":1342,"prompt_tokens_details":{"cached_tokens":1280,"audio_tokens":0},"completion_tokens_details":{"reasoning_tokens":0,"audio_tokens":0,"accepted_prediction_tokens":0,"rejected_prediction_tokens":0}},"service_tier":"default","system_fingerprint":"fp_fd471178c5"}</t>
        </is>
      </c>
      <c r="X159" t="inlineStr">
        <is>
          <t>Prada：黑色渐变镜片金属飞行员太阳镜，轻盈镜框搭配品牌徽标设计，高雅时尚中性款，防紫外线出行必备。</t>
        </is>
      </c>
    </row>
    <row r="160" ht="25.5" customHeight="1">
      <c r="A160">
        <v>1654975475</v>
      </c>
      <c r="B160">
        <v>7623204247</v>
      </c>
      <c r="C160" s="2" t="str">
        <f>=HYPERLINK("https://weidian.com/item.html?itemID=7623204247", "https://weidian.com/item.html?itemID=7623204247")</f>
        <v>https://weidian.com/item.html?itemID=7623204247</v>
      </c>
      <c r="D160"/>
      <c r="E160" s="2" t="str">
        <f>=HYPERLINK("https://si.geilicdn.com/pcitem2014204438-43a30000019ade7f41ee0a2304aa_1440_1920.jpg?w=640&amp;h=640", "https://si.geilicdn.com/pcitem2014204438-43a30000019ade7f41ee0a2304aa_1440_1920.jpg?w=640&amp;h=640")</f>
        <v>https://si.geilicdn.com/pcitem2014204438-43a30000019ade7f41ee0a2304aa_1440_1920.jpg?w=640&amp;h=640</v>
      </c>
      <c r="F160" t="inlineStr">
        <is>
          <t>Glasses</t>
        </is>
      </c>
      <c r="G160" t="inlineStr">
        <is>
          <t>Prada</t>
        </is>
      </c>
      <c r="H160">
        <v>350</v>
      </c>
      <c r="I160">
        <v>50.72</v>
      </c>
      <c r="J160" t="inlineStr">
        <is>
          <t>{"id":"chatcmpl-DZoF0LBCFjOCnyASSAm4JjyIiCWsf","object":"chat.completion","created":1777426978,"model":"gpt-5-chat-2025-10-03","choices":[{"index":0,"message":{"role":"assistant","content":"Prada Black Rectangular Sunglasses Unisex UV Protection Luxury","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ad66631dec"}</t>
        </is>
      </c>
      <c r="K160" t="inlineStr">
        <is>
          <t>Prada Black Rectangular Sunglasses Unisex UV Protection Luxury</t>
        </is>
      </c>
      <c r="L160" t="inlineStr">
        <is>
          <t>{"id":"chatcmpl-DZo6W5mLxpzNYQRpLzX25gnpBsrKm","object":"chat.completion","created":1777426452,"model":"gpt-5-chat-2025-10-03","choices":[{"index":0,"message":{"role":"assistant","content":"Prada Black Rectangular Sunglasses feature lightweight resin frames and gray-black lenses, offering UV protection, unisex modern minimalist design, and timeless luxury fashion appeal.","refusal":null,"annotations":[]},"logprobs":null,"finish_reason":"stop"}],"usage":{"prompt_tokens":900,"completion_tokens":33,"total_tokens":933,"prompt_tokens_details":{"cached_tokens":0,"audio_tokens":0},"completion_tokens_details":{"reasoning_tokens":0,"audio_tokens":0,"accepted_prediction_tokens":0,"rejected_prediction_tokens":0}},"service_tier":"default","system_fingerprint":"fp_ad66631dec"}</t>
        </is>
      </c>
      <c r="M160" t="inlineStr">
        <is>
          <t>{"alt-svc":"h3=\":443\"; ma=2592000","apim-request-id":"8b461d7f-2ccd-422b-8a72-d8f94cf0603e","azureml-model-session":"d20260402084046-4209e968","cache-control":"no-cache","connection":"close","content-length":"991","content-type":"application/json","date":"Wed, 29 Apr 2026 01:34:13 GMT","server":"nginx","skip-error-remapping":"true","strict-transport-security":"max-age=31536000; includeSubDomains; preload","via":"1.1 Caddy","x-content-type-options":"nosniff","x-ms-client-request-id":"Not-Set","x-ms-is-spilled-over":"false","x-ms-rai-invoked":"false","x-ms-region":"East US 2","x-new-api-version":"0.4.35","x-oneapi-request-id":"202604290134112460657948268d9d6EnjafmUb","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f31e53c2-cf47-4019-a525-eb1b32bd3947"}</t>
        </is>
      </c>
      <c r="N160" t="inlineStr">
        <is>
          <t>Prada Black Rectangular Sunglasses feature lightweight resin frames and gray-black lenses, offering UV protection, unisex modern minimalist design, and timeless luxury fashion appeal.</t>
        </is>
      </c>
      <c r="O160" t="inlineStr">
        <is>
          <t>{"id":"chatcmpl-DZoQAY0g3RzNmbTeGFd0cIpJk2sh1","object":"chat.completion","created":1777427670,"model":"gpt-5-chat-2025-10-03","choices":[{"index":0,"message":{"role":"assistant","content":"Prada,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0" t="inlineStr">
        <is>
          <t>Prada,Glasses,kakobuy,kakebuy2026,kekobuysheet,kakobuysheet2026,2026kakobuy,kakobuyspreadsheeet,kakobuylink,kakebuylist,Kakobuy MEGA Spreadsheet,kakobuysheetfind,kakobuysheetfind2026,2026kakobuysheetfind,kakobuysheet2026</t>
        </is>
      </c>
      <c r="Q160" t="inlineStr">
        <is>
          <t>Black, Unisex, Modern, Minimalist, Fashion</t>
        </is>
      </c>
      <c r="R160" t="inlineStr">
        <is>
          <t>recvhju1CrG9P1</t>
        </is>
      </c>
      <c r="S160" t="inlineStr">
        <is>
          <t>prada-black-rectangular-sunglasses-recvhju1crg9p1</t>
        </is>
      </c>
      <c r="T160"/>
      <c r="U160"/>
      <c r="V160"/>
      <c r="W160" t="inlineStr">
        <is>
          <t>{"id":"chatcmpl-DZnzUe9auUJvxo0cY4IdSGjr7VU0D","object":"chat.completion","created":1777426016,"model":"gpt-5-chat-2025-10-03","choices":[{"index":0,"message":{"role":"assistant","content":"Prada：黑色矩形太阳眼镜，采用轻质高强度树脂镜框与灰黑色镜片设计，展现极简现代风格，男女皆宜，兼具防紫外线功能与日常时尚属性，彰显品牌经典优雅格调。","refusal":null,"annotations":[]},"logprobs":null,"finish_reason":"stop"}],"usage":{"prompt_tokens":1302,"completion_tokens":65,"total_tokens":1367,"prompt_tokens_details":{"cached_tokens":0,"audio_tokens":0},"completion_tokens_details":{"reasoning_tokens":0,"audio_tokens":0,"accepted_prediction_tokens":0,"rejected_prediction_tokens":0}},"service_tier":"default","system_fingerprint":"fp_ad66631dec"}</t>
        </is>
      </c>
      <c r="X160" t="inlineStr">
        <is>
          <t>Prada：黑色矩形太阳眼镜，采用轻质高强度树脂镜框与灰黑色镜片设计，展现极简现代风格，男女皆宜，兼具防紫外线功能与日常时尚属性，彰显品牌经典优雅格调。</t>
        </is>
      </c>
    </row>
    <row r="161" ht="25.5" customHeight="1">
      <c r="A161">
        <v>1654975475</v>
      </c>
      <c r="B161">
        <v>7626116192</v>
      </c>
      <c r="C161" s="2" t="str">
        <f>=HYPERLINK("https://weidian.com/item.html?itemID=7626116192", "https://weidian.com/item.html?itemID=7626116192")</f>
        <v>https://weidian.com/item.html?itemID=7626116192</v>
      </c>
      <c r="D161"/>
      <c r="E161" s="2" t="str">
        <f>=HYPERLINK("https://si.geilicdn.com/pcitem2014204438-24680000019ade230f690a20e2c5_1074_1074.jpg?w=640&amp;h=640", "https://si.geilicdn.com/pcitem2014204438-24680000019ade230f690a20e2c5_1074_1074.jpg?w=640&amp;h=640")</f>
        <v>https://si.geilicdn.com/pcitem2014204438-24680000019ade230f690a20e2c5_1074_1074.jpg?w=640&amp;h=640</v>
      </c>
      <c r="F161" t="inlineStr">
        <is>
          <t>Glasses</t>
        </is>
      </c>
      <c r="G161" t="inlineStr">
        <is>
          <t>Chanel</t>
        </is>
      </c>
      <c r="H161">
        <v>380</v>
      </c>
      <c r="I161">
        <v>55.07</v>
      </c>
      <c r="J161" t="inlineStr">
        <is>
          <t>{"id":"chatcmpl-DZoCwxzwgYgXHz3qOQqqRRVDczoyq","object":"chat.completion","created":1777426850,"model":"gpt-5-chat-2025-10-03","choices":[{"index":0,"message":{"role":"assistant","content":"Chanel Gold Frame Black Square Chain Sunglasse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161" t="inlineStr">
        <is>
          <t>Chanel Gold Frame Black Square Chain Sunglasses</t>
        </is>
      </c>
      <c r="L161" t="inlineStr">
        <is>
          <t>{"id":"chatcmpl-DZo5IUnbQxFRk4U7xxWXS4qio69W5","object":"chat.completion","created":1777426376,"model":"gpt-5-chat-2025-10-03","choices":[{"index":0,"message":{"role":"assistant","content":"Chanel Gold Frame Black Square Sunglasses with Chain-Linked Temples, showcasing timeless French elegance. Unisex design for daily wear or vacation style, classic, chic, and retro-inspired.","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ad66631dec"}</t>
        </is>
      </c>
      <c r="M161" t="inlineStr">
        <is>
          <t>{"alt-svc":"h3=\":443\"; ma=2592000","apim-request-id":"a5f936c8-da27-45a0-84d5-dabb1a7cb88a","azureml-model-session":"d20260402074105-51db401e","cache-control":"no-cache","connection":"close","content-length":"996","content-type":"application/json","date":"Wed, 29 Apr 2026 01:32:58 GMT","server":"nginx","skip-error-remapping":"true","strict-transport-security":"max-age=31536000; includeSubDomains; preload","via":"1.1 Caddy","x-content-type-options":"nosniff","x-ms-client-request-id":"Not-Set","x-ms-is-spilled-over":"false","x-ms-rai-invoked":"false","x-ms-region":"Central US","x-new-api-version":"0.4.35","x-oneapi-request-id":"202604290132554122961078268d9d6MKvzEXTW","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90528b0a-f196-4ca8-a04f-0fe0a399ad41"}</t>
        </is>
      </c>
      <c r="N161" t="inlineStr">
        <is>
          <t>Chanel Gold Frame Black Square Sunglasses with Chain-Linked Temples, showcasing timeless French elegance. Unisex design for daily wear or vacation style, classic, chic, and retro-inspired.</t>
        </is>
      </c>
      <c r="O161" t="inlineStr">
        <is>
          <t>{"id":"chatcmpl-DZoN4h1SGEuZk7jSjbJMLwx6duzuX","object":"chat.completion","created":1777427478,"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1" t="inlineStr">
        <is>
          <t>Chanel,Glasses,kakobuy,kakebuy2026,kekobuysheet,kakobuysheet2026,2026kakobuy,kakobuyspreadsheeet,kakobuylink,kakebuylist,Kakobuy MEGA Spreadsheet,kakobuysheetfind,kakobuysheetfind2026,2026kakobuysheetfind,kakobuysheet2026</t>
        </is>
      </c>
      <c r="Q161" t="inlineStr">
        <is>
          <t>Chanel, Unisex, Classic, Retro, Black, Gold</t>
        </is>
      </c>
      <c r="R161" t="inlineStr">
        <is>
          <t>recvhju1CrtYKT</t>
        </is>
      </c>
      <c r="S161" t="inlineStr">
        <is>
          <t>chanel-gold-frame-black-square-chain-sunglasses-recvhju1crtykt</t>
        </is>
      </c>
      <c r="T161"/>
      <c r="U161"/>
      <c r="V161"/>
      <c r="W161" t="inlineStr">
        <is>
          <t>{"id":"chatcmpl-DZntzwswHaUW3VVT94P9CeUnnT82q","object":"chat.completion","created":1777425675,"model":"gpt-5-chat-2025-10-03","choices":[{"index":0,"message":{"role":"assistant","content":"Chanel：金色边框黑色方形太阳眼镜，金属镶嵌链条镜腿设计，彰显法式优雅格调，男女皆宜，经典时尚复古风，日常通勤与度假造型皆可完美驾驭。","refusal":null,"annotations":[]},"logprobs":null,"finish_reason":"stop"}],"usage":{"prompt_tokens":1300,"completion_tokens":66,"total_tokens":1366,"prompt_tokens_details":{"cached_tokens":1280,"audio_tokens":0},"completion_tokens_details":{"reasoning_tokens":0,"audio_tokens":0,"accepted_prediction_tokens":0,"rejected_prediction_tokens":0}},"service_tier":"default","system_fingerprint":"fp_ad66631dec"}</t>
        </is>
      </c>
      <c r="X161" t="inlineStr">
        <is>
          <t>Chanel：金色边框黑色方形太阳眼镜，金属镶嵌链条镜腿设计，彰显法式优雅格调，男女皆宜，经典时尚复古风，日常通勤与度假造型皆可完美驾驭。</t>
        </is>
      </c>
    </row>
    <row r="162" ht="25.5" customHeight="1">
      <c r="A162">
        <v>1654975475</v>
      </c>
      <c r="B162">
        <v>7626070860</v>
      </c>
      <c r="C162" s="2" t="str">
        <f>=HYPERLINK("https://weidian.com/item.html?itemID=7626070860", "https://weidian.com/item.html?itemID=7626070860")</f>
        <v>https://weidian.com/item.html?itemID=7626070860</v>
      </c>
      <c r="D162"/>
      <c r="E162" s="2" t="str">
        <f>=HYPERLINK("https://si.geilicdn.com/pcitem2014204438-1d1a0000019ade1fd4b50a210139_1440_1920.jpg?w=640&amp;h=640", "https://si.geilicdn.com/pcitem2014204438-1d1a0000019ade1fd4b50a210139_1440_1920.jpg?w=640&amp;h=640")</f>
        <v>https://si.geilicdn.com/pcitem2014204438-1d1a0000019ade1fd4b50a210139_1440_1920.jpg?w=640&amp;h=640</v>
      </c>
      <c r="F162" t="inlineStr">
        <is>
          <t>Glasses</t>
        </is>
      </c>
      <c r="G162" t="inlineStr">
        <is>
          <t>Tiffany</t>
        </is>
      </c>
      <c r="H162">
        <v>390</v>
      </c>
      <c r="I162">
        <v>56.52</v>
      </c>
      <c r="J162" t="inlineStr">
        <is>
          <t>{"id":"chatcmpl-DZoD9nBdYmb6DT9Ae2eC0tDTj2KZR","object":"chat.completion","created":1777426863,"model":"gpt-5-chat-2025-10-03","choices":[{"index":0,"message":{"role":"assistant","content":"Tiffany &amp; Co Pink Gradient Cat Eye Sunglasse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162" t="inlineStr">
        <is>
          <t>Tiffany &amp; Co Pink Gradient Cat Eye Sunglasses</t>
        </is>
      </c>
      <c r="L162" t="inlineStr">
        <is>
          <t>{"id":"chatcmpl-DZo5r1H2yDp1AIRNPD1rsd6AI8AuN","object":"chat.completion","created":1777426411,"model":"gpt-5-chat-2025-10-03","choices":[{"index":0,"message":{"role":"assistant","content":"Tiffany &amp; Co Pink Gradient Cat Eye Sunglasses with acetate frame and metal heart logo, offering a blend of vintage charm and modern elegance, lightweight for daily wear and vacation style.","refusal":null,"annotations":[]},"logprobs":null,"finish_reason":"stop"}],"usage":{"prompt_tokens":905,"completion_tokens":37,"total_tokens":942,"prompt_tokens_details":{"cached_tokens":0,"audio_tokens":0},"completion_tokens_details":{"reasoning_tokens":0,"audio_tokens":0,"accepted_prediction_tokens":0,"rejected_prediction_tokens":0}},"service_tier":"default","system_fingerprint":"fp_ad66631dec"}</t>
        </is>
      </c>
      <c r="M162" t="inlineStr">
        <is>
          <t>{"alt-svc":"h3=\":443\"; ma=2592000","apim-request-id":"34faec9b-de6b-474c-9100-47df7ee37fe7","azureml-model-session":"d20260402084046-4209e968","cache-control":"no-cache","connection":"close","content-length":"996","content-type":"application/json","date":"Wed, 29 Apr 2026 01:33:33 GMT","server":"Caddy","skip-error-remapping":"true","strict-transport-security":"max-age=31536000; includeSubDomains; preload","x-content-type-options":"nosniff","x-ms-client-request-id":"Not-Set","x-ms-is-spilled-over":"false","x-ms-rai-invoked":"false","x-ms-region":"North Central US","x-new-api-version":"0.4.35","x-oneapi-request-id":"202604290133304961338048268d9d6dLNWfUCr","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4fb38574-0f64-495b-ae4e-3e8a5b0ff9bf"}</t>
        </is>
      </c>
      <c r="N162" t="inlineStr">
        <is>
          <t>Tiffany &amp; Co Pink Gradient Cat Eye Sunglasses with acetate frame and metal heart logo, offering a blend of vintage charm and modern elegance, lightweight for daily wear and vacation style.</t>
        </is>
      </c>
      <c r="O162" t="inlineStr">
        <is>
          <t>{"id":"chatcmpl-DZoM073KKC10vPDptqyMiesnnbrCJ","object":"chat.completion","created":1777427412,"model":"gpt-5-chat-2025-10-03","choices":[{"index":0,"message":{"role":"assistant","content":"Tiffany,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62" t="inlineStr">
        <is>
          <t>Tiffany, sunglasses, kakobuy, kakebuy2026, kekobuysheet, kakobuysheet2026, 2026kakobuy, kakobuyspreadsheeet, kakobuylink, kakebuylist, Kakobuy MEGA Spreadsheet, kakobuysheetfind, kakobuysheetfind2026, 2026kakobuysheetfind, kakobuysheet2026</t>
        </is>
      </c>
      <c r="Q162" t="inlineStr">
        <is>
          <t>Pink, Gradient, Vintage, Modern, Elegant, Lightweight</t>
        </is>
      </c>
      <c r="R162" t="inlineStr">
        <is>
          <t>recvhju1CrVMuk</t>
        </is>
      </c>
      <c r="S162" t="inlineStr">
        <is>
          <t>tiffany-pink-gradient-cat-eye-sunglasses-recvhju1crvmuk</t>
        </is>
      </c>
      <c r="T162"/>
      <c r="U162"/>
      <c r="V162"/>
      <c r="W162" t="inlineStr">
        <is>
          <t>{"id":"chatcmpl-DZnzrZ6eoZ6j86PBQqELVzu8VocPQ","object":"chat.completion","created":1777426039,"model":"gpt-5-chat-2025-10-03","choices":[{"index":0,"message":{"role":"assistant","content":"Tiffany &amp; Co：粉色渐变镜片猫眼太阳镜，醋酸纤维镜框搭配金属心形徽标装饰，展现现代优雅女性风格，轻盈舒适设计融合复古与时尚气息，适合日常与度假佩戴。","refusal":null,"annotations":[]},"logprobs":null,"finish_reason":"stop"}],"usage":{"prompt_tokens":1304,"completion_tokens":69,"total_tokens":1373,"prompt_tokens_details":{"cached_tokens":0,"audio_tokens":0},"completion_tokens_details":{"reasoning_tokens":0,"audio_tokens":0,"accepted_prediction_tokens":0,"rejected_prediction_tokens":0}},"service_tier":"default","system_fingerprint":"fp_ad66631dec"}</t>
        </is>
      </c>
      <c r="X162" t="inlineStr">
        <is>
          <t>Tiffany &amp; Co：粉色渐变镜片猫眼太阳镜，醋酸纤维镜框搭配金属心形徽标装饰，展现现代优雅女性风格，轻盈舒适设计融合复古与时尚气息，适合日常与度假佩戴。</t>
        </is>
      </c>
    </row>
    <row r="163" ht="25.5" customHeight="1">
      <c r="A163">
        <v>1654975475</v>
      </c>
      <c r="B163">
        <v>7623069257</v>
      </c>
      <c r="C163" s="2" t="str">
        <f>=HYPERLINK("https://weidian.com/item.html?itemID=7623069257", "https://weidian.com/item.html?itemID=7623069257")</f>
        <v>https://weidian.com/item.html?itemID=7623069257</v>
      </c>
      <c r="D163"/>
      <c r="E163" s="2" t="str">
        <f>=HYPERLINK("https://si.geilicdn.com/pcitem2014204438-51b10000019ade138a4d0a2315ef_1440_1920.jpg?w=640&amp;h=640", "https://si.geilicdn.com/pcitem2014204438-51b10000019ade138a4d0a2315ef_1440_1920.jpg?w=640&amp;h=640")</f>
        <v>https://si.geilicdn.com/pcitem2014204438-51b10000019ade138a4d0a2315ef_1440_1920.jpg?w=640&amp;h=640</v>
      </c>
      <c r="F163" t="inlineStr">
        <is>
          <t>Glasses</t>
        </is>
      </c>
      <c r="G163" t="inlineStr">
        <is>
          <t>Dior</t>
        </is>
      </c>
      <c r="H163">
        <v>404</v>
      </c>
      <c r="I163">
        <v>58.55</v>
      </c>
      <c r="J163" t="inlineStr">
        <is>
          <t>{"id":"chatcmpl-DZoGPsRlhgsuNzdiSiNJK5WMToyl7","object":"chat.completion","created":1777427065,"model":"gpt-5-chat-2025-10-03","choices":[{"index":0,"message":{"role":"assistant","content":"Dior Black Rectangular Sunglasses Unisex Lightweight Acetate Eyewear","refusal":null,"annotations":[]},"logprobs":null,"finish_reason":"stop"}],"usage":{"prompt_tokens":864,"completion_tokens":17,"total_tokens":881,"prompt_tokens_details":{"cached_tokens":0,"audio_tokens":0},"completion_tokens_details":{"reasoning_tokens":0,"audio_tokens":0,"accepted_prediction_tokens":0,"rejected_prediction_tokens":0}},"service_tier":"default","system_fingerprint":"fp_ad66631dec"}</t>
        </is>
      </c>
      <c r="K163" t="inlineStr">
        <is>
          <t>Dior Black Rectangular Sunglasses Unisex Lightweight Acetate Eyewear</t>
        </is>
      </c>
      <c r="L163" t="inlineStr">
        <is>
          <t>{"id":"chatcmpl-DZo7EhVlKvmYheN5xVeVkOnGEqNm5","object":"chat.completion","created":1777426496,"model":"gpt-5-chat-2025-10-03","choices":[{"index":0,"message":{"role":"assistant","content":"Dior Black Rectangular Sunglasses – Lightweight acetate frame with minimalist logo, modern unisex design, premium texture ideal for urban leisure and business style.","refusal":null,"annotations":[]},"logprobs":null,"finish_reason":"stop"}],"usage":{"prompt_tokens":890,"completion_tokens":31,"total_tokens":921,"prompt_tokens_details":{"cached_tokens":0,"audio_tokens":0},"completion_tokens_details":{"reasoning_tokens":0,"audio_tokens":0,"accepted_prediction_tokens":0,"rejected_prediction_tokens":0}},"service_tier":"default","system_fingerprint":"fp_fd471178c5"}</t>
        </is>
      </c>
      <c r="M163" t="inlineStr">
        <is>
          <t>{"alt-svc":"h3=\":443\"; ma=2592000","apim-request-id":"71fe608e-5ecd-4cdd-a1b0-64b57205f1fe","azureml-model-session":"d20260428165144-a78ba574","cache-control":"no-cache","connection":"close","content-length":"975","content-type":"application/json","date":"Wed, 29 Apr 2026 01:34:57 GMT","server":"nginx","skip-error-remapping":"true","strict-transport-security":"max-age=31536000; includeSubDomains; preload","via":"1.1 Caddy","x-content-type-options":"nosniff","x-ms-client-request-id":"Not-Set","x-ms-is-spilled-over":"false","x-ms-rai-invoked":"false","x-ms-region":"North Central US","x-new-api-version":"0.4.35","x-oneapi-request-id":"202604290134554877330938268d9d6gk9uHcZh","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7d154782-37c9-4b01-99f8-f688754cce42"}</t>
        </is>
      </c>
      <c r="N163" t="inlineStr">
        <is>
          <t>Dior Black Rectangular Sunglasses – Lightweight acetate frame with minimalist logo, modern unisex design, premium texture ideal for urban leisure and business style.</t>
        </is>
      </c>
      <c r="O163" t="inlineStr">
        <is>
          <t>{"id":"chatcmpl-DZoMji1Xr8EOjH82FmTweXcY8V72J","object":"chat.completion","created":1777427457,"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63" t="inlineStr">
        <is>
          <t>Dior,Glasses,kakobuy,kakebuy2026,kekobuysheet,kakobuysheet2026,2026kakobuy,kakobuyspreadsheeet,kakobuylink,kakebuylist,Kakobuy MEGA Spreadsheet,kakobuysheetfind,kakobuysheetfind2026,2026kakobuysheetfind,kakobuysheet2026</t>
        </is>
      </c>
      <c r="Q163" t="inlineStr">
        <is>
          <t>Dior, Black, Minimalist, Unisex, Acetate Fiber, Lightweight</t>
        </is>
      </c>
      <c r="R163" t="inlineStr">
        <is>
          <t>recvhju1CrAOHq</t>
        </is>
      </c>
      <c r="S163" t="inlineStr">
        <is>
          <t>dior-black-rectangular-sunglasses-recvhju1craohq</t>
        </is>
      </c>
      <c r="T163"/>
      <c r="U163"/>
      <c r="V163"/>
      <c r="W163" t="inlineStr">
        <is>
          <t>{"id":"chatcmpl-DZo063FcIYg81CgYb1CvepD6bRR0v","object":"chat.completion","created":1777426054,"model":"gpt-5-chat-2025-10-03","choices":[{"index":0,"message":{"role":"assistant","content":"Dior：黑色矩形太阳镜，轻盈醋酸纤维镜框搭配极简LOGO设计，展现现代摩登风格，男女皆宜，质感高级，适合都市休闲与商务出行。","refusal":null,"annotations":[]},"logprobs":null,"finish_reason":"stop"}],"usage":{"prompt_tokens":1302,"completion_tokens":55,"total_tokens":1357,"prompt_tokens_details":{"cached_tokens":1280,"audio_tokens":0},"completion_tokens_details":{"reasoning_tokens":0,"audio_tokens":0,"accepted_prediction_tokens":0,"rejected_prediction_tokens":0}},"service_tier":"default","system_fingerprint":"fp_fd471178c5"}</t>
        </is>
      </c>
      <c r="X163" t="inlineStr">
        <is>
          <t>Dior：黑色矩形太阳镜，轻盈醋酸纤维镜框搭配极简LOGO设计，展现现代摩登风格，男女皆宜，质感高级，适合都市休闲与商务出行。</t>
        </is>
      </c>
    </row>
    <row r="164" ht="25.5" customHeight="1">
      <c r="A164">
        <v>1654975475</v>
      </c>
      <c r="B164">
        <v>7623135731</v>
      </c>
      <c r="C164" s="2" t="str">
        <f>=HYPERLINK("https://weidian.com/item.html?itemID=7623135731", "https://weidian.com/item.html?itemID=7623135731")</f>
        <v>https://weidian.com/item.html?itemID=7623135731</v>
      </c>
      <c r="D164"/>
      <c r="E164" s="2" t="str">
        <f>=HYPERLINK("https://si.geilicdn.com/pcitem2014204438-1b550000019ade0810730a2304aa_1440_1920.jpg?w=640&amp;h=640", "https://si.geilicdn.com/pcitem2014204438-1b550000019ade0810730a2304aa_1440_1920.jpg?w=640&amp;h=640")</f>
        <v>https://si.geilicdn.com/pcitem2014204438-1b550000019ade0810730a2304aa_1440_1920.jpg?w=640&amp;h=640</v>
      </c>
      <c r="F164" t="inlineStr">
        <is>
          <t>Glasses</t>
        </is>
      </c>
      <c r="G164" t="inlineStr">
        <is>
          <t>Fendi</t>
        </is>
      </c>
      <c r="H164">
        <v>380</v>
      </c>
      <c r="I164">
        <v>55.07</v>
      </c>
      <c r="J164" t="inlineStr">
        <is>
          <t>{"id":"chatcmpl-DZoBrbSLMXBDgAq2n3EPBVjtH6F62","object":"chat.completion","created":1777426783,"model":"gpt-5-chat-2025-10-03","choices":[{"index":0,"message":{"role":"assistant","content":"Fendi Square Beige Gradient Unisex Retro Sunglasses","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164" t="inlineStr">
        <is>
          <t>Fendi Square Beige Gradient Unisex Retro Sunglasses</t>
        </is>
      </c>
      <c r="L164" t="inlineStr">
        <is>
          <t>{"id":"chatcmpl-DZo6aV0NVHCds2IeiFcW6zC774ho4","object":"chat.completion","created":1777426456,"model":"gpt-5-chat-2025-10-03","choices":[{"index":0,"message":{"role":"assistant","content":"Fendi Square Beige Gradient Sunglasses – lightweight resin frames with retro geometric design, logo temples, unisex style for modern elegance, perfect for urban chic and luxury leisure.","refusal":null,"annotations":[]},"logprobs":null,"finish_reason":"stop"}],"usage":{"prompt_tokens":893,"completion_tokens":35,"total_tokens":928,"prompt_tokens_details":{"cached_tokens":0,"audio_tokens":0},"completion_tokens_details":{"reasoning_tokens":0,"audio_tokens":0,"accepted_prediction_tokens":0,"rejected_prediction_tokens":0}},"service_tier":"default","system_fingerprint":"fp_ad66631dec"}</t>
        </is>
      </c>
      <c r="M164" t="inlineStr">
        <is>
          <t>{"alt-svc":"h3=\":443\"; ma=2592000","apim-request-id":"1baaffc1-b092-428b-9b94-7e71a225fa21","azureml-model-session":"d20260405225800-40f19e54","cache-control":"no-cache","connection":"close","content-length":"995","content-type":"application/json","date":"Wed, 29 Apr 2026 01:34:18 GMT","server":"Caddy","skip-error-remapping":"true","strict-transport-security":"max-age=31536000; includeSubDomains; preload","x-content-type-options":"nosniff","x-ms-client-request-id":"Not-Set","x-ms-is-spilled-over":"false","x-ms-rai-invoked":"false","x-ms-region":"Sweden Central","x-new-api-version":"0.4.35","x-oneapi-request-id":"202604290134156289667418268d9d6WhJoWCRD","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b23c66fe-fb4a-40c2-b599-286869144a45"}</t>
        </is>
      </c>
      <c r="N164" t="inlineStr">
        <is>
          <t>Fendi Square Beige Gradient Sunglasses – lightweight resin frames with retro geometric design, logo temples, unisex style for modern elegance, perfect for urban chic and luxury leisure.</t>
        </is>
      </c>
      <c r="O164" t="inlineStr">
        <is>
          <t>{"id":"chatcmpl-DZoPxPA9bITDRURuRUXhyHwzm1PSw","object":"chat.completion","created":1777427657,"model":"gpt-5-chat-2025-10-03","choices":[{"index":0,"message":{"role":"assistant","content":"Fend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4" t="inlineStr">
        <is>
          <t>Fendi,Glasses,kakobuy,kakebuy2026,kekobuysheet,kakobuysheet2026,2026kakobuy,kakobuyspreadsheeet,kakobuylink,kakebuylist,Kakobuy MEGA Spreadsheet,kakobuysheetfind,kakobuysheetfind2026,2026kakobuysheetfind,kakobuysheet2026</t>
        </is>
      </c>
      <c r="Q164" t="inlineStr">
        <is>
          <t>Beige, Gradient, Geometric, Retro, Unisex, Lightweight</t>
        </is>
      </c>
      <c r="R164" t="inlineStr">
        <is>
          <t>recvhju1Cr1MD6</t>
        </is>
      </c>
      <c r="S164" t="inlineStr">
        <is>
          <t>fendi-square-beige-gradient-retro-sunglasses-recvhju1cr1md6</t>
        </is>
      </c>
      <c r="T164"/>
      <c r="U164"/>
      <c r="V164"/>
      <c r="W164" t="inlineStr">
        <is>
          <t>{"id":"chatcmpl-DZnyYQUQ789UgbiALVfB0ksngL2MH","object":"chat.completion","created":1777425958,"model":"gpt-5-chat-2025-10-03","choices":[{"index":0,"message":{"role":"assistant","content":"Fendi：方框米白色渐变墨镜，采用轻盈树脂材质与复古几何设计，镜脚饰品牌标识，彰显现代优雅格调，男女皆宜，适合都市时尚与高端休闲场合。","refusal":null,"annotations":[]},"logprobs":null,"finish_reason":"stop"}],"usage":{"prompt_tokens":1298,"completion_tokens":60,"total_tokens":1358,"prompt_tokens_details":{"cached_tokens":0,"audio_tokens":0},"completion_tokens_details":{"reasoning_tokens":0,"audio_tokens":0,"accepted_prediction_tokens":0,"rejected_prediction_tokens":0}},"service_tier":"default","system_fingerprint":"fp_ad66631dec"}</t>
        </is>
      </c>
      <c r="X164" t="inlineStr">
        <is>
          <t>Fendi：方框米白色渐变墨镜，采用轻盈树脂材质与复古几何设计，镜脚饰品牌标识，彰显现代优雅格调，男女皆宜，适合都市时尚与高端休闲场合。</t>
        </is>
      </c>
    </row>
    <row r="165" ht="25.5" customHeight="1">
      <c r="A165">
        <v>1654975475</v>
      </c>
      <c r="B165">
        <v>7626045316</v>
      </c>
      <c r="C165" s="2" t="str">
        <f>=HYPERLINK("https://weidian.com/item.html?itemID=7626045316", "https://weidian.com/item.html?itemID=7626045316")</f>
        <v>https://weidian.com/item.html?itemID=7626045316</v>
      </c>
      <c r="D165"/>
      <c r="E165" s="2" t="str">
        <f>=HYPERLINK("https://si.geilicdn.com/pcitem2014204438-4b050000019ade141bd60a8133cc_1440_1920.jpg?w=640&amp;h=640", "https://si.geilicdn.com/pcitem2014204438-4b050000019ade141bd60a8133cc_1440_1920.jpg?w=640&amp;h=640")</f>
        <v>https://si.geilicdn.com/pcitem2014204438-4b050000019ade141bd60a8133cc_1440_1920.jpg?w=640&amp;h=640</v>
      </c>
      <c r="F165" t="inlineStr">
        <is>
          <t>Glasses</t>
        </is>
      </c>
      <c r="G165" t="inlineStr">
        <is>
          <t>Dior</t>
        </is>
      </c>
      <c r="H165">
        <v>404</v>
      </c>
      <c r="I165">
        <v>58.55</v>
      </c>
      <c r="J165" t="inlineStr">
        <is>
          <t>{"id":"chatcmpl-DZoHediEzqWCucVCLD1kynn8ql6IA","object":"chat.completion","created":1777427142,"model":"gpt-5-chat-2025-10-03","choices":[{"index":0,"message":{"role":"assistant","content":"Dior Black Retro Square Unisex Acetate Sunglasses","refusal":null,"annotations":[]},"logprobs":null,"finish_reason":"stop"}],"usage":{"prompt_tokens":874,"completion_tokens":13,"total_tokens":887,"prompt_tokens_details":{"cached_tokens":0,"audio_tokens":0},"completion_tokens_details":{"reasoning_tokens":0,"audio_tokens":0,"accepted_prediction_tokens":0,"rejected_prediction_tokens":0}},"service_tier":"default","system_fingerprint":"fp_ad66631dec"}</t>
        </is>
      </c>
      <c r="K165" t="inlineStr">
        <is>
          <t>Dior Black Retro Square Unisex Acetate Sunglasses</t>
        </is>
      </c>
      <c r="L165" t="inlineStr">
        <is>
          <t>{"id":"chatcmpl-DZo68Q6o8U4VNItmlSfA62hryZXPw","object":"chat.completion","created":1777426428,"model":"gpt-5-chat-2025-10-03","choices":[{"index":0,"message":{"role":"assistant","content":"Dior Black Retro Square Sunglasses feature premium acetate frames, star motif temples, and minimalist design. Unisex style blends modern urban elegance with classic French fashion for daily wear.","refusal":null,"annotations":[]},"logprobs":null,"finish_reason":"stop"}],"usage":{"prompt_tokens":913,"completion_tokens":36,"total_tokens":949,"prompt_tokens_details":{"cached_tokens":0,"audio_tokens":0},"completion_tokens_details":{"reasoning_tokens":0,"audio_tokens":0,"accepted_prediction_tokens":0,"rejected_prediction_tokens":0}},"service_tier":"default","system_fingerprint":"fp_ad66631dec"}</t>
        </is>
      </c>
      <c r="M165" t="inlineStr">
        <is>
          <t>{"alt-svc":"h3=\":443\"; ma=2592000","apim-request-id":"90ee89eb-f9e7-4a39-8fc0-614713c00458","azureml-model-session":"d20260402074105-51db401e","cache-control":"no-cache","connection":"close","content-length":"1003","content-type":"application/json","date":"Wed, 29 Apr 2026 01:33:50 GMT","server":"nginx","skip-error-remapping":"true","strict-transport-security":"max-age=31536000; includeSubDomains; preload","via":"1.1 Caddy","x-content-type-options":"nosniff","x-ms-client-request-id":"Not-Set","x-ms-is-spilled-over":"false","x-ms-rai-invoked":"false","x-ms-region":"Poland Central","x-new-api-version":"0.4.35","x-oneapi-request-id":"202604290133476894023398268d9d6KpMvD7hR","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fed51916-0487-4eff-9c07-f07bf382326f"}</t>
        </is>
      </c>
      <c r="N165" t="inlineStr">
        <is>
          <t>Dior Black Retro Square Sunglasses feature premium acetate frames, star motif temples, and minimalist design. Unisex style blends modern urban elegance with classic French fashion for daily wear.</t>
        </is>
      </c>
      <c r="O165" t="inlineStr">
        <is>
          <t>{"id":"chatcmpl-DZoQUaGqONClpyF9uVr0KBK5LSI8w","object":"chat.completion","created":1777427690,"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65" t="inlineStr">
        <is>
          <t>Dior,Glasses,kakobuy,kakebuy2026,kekobuysheet,kakobuysheet2026,2026kakobuy,kakobuyspreadsheeet,kakobuylink,kakebuylist,Kakobuy MEGA Spreadsheet,kakobuysheetfind,kakobuysheetfind2026,2026kakobuysheetfind,kakobuysheet2026</t>
        </is>
      </c>
      <c r="Q165" t="inlineStr">
        <is>
          <t>Dior, Acetate Fiber, Minimalist, Unisex, Black, Retro</t>
        </is>
      </c>
      <c r="R165" t="inlineStr">
        <is>
          <t>recvhju1Cr8uL9</t>
        </is>
      </c>
      <c r="S165" t="inlineStr">
        <is>
          <t>dior-black-retro-square-sunglasses-recvhju1cr8ul9</t>
        </is>
      </c>
      <c r="T165"/>
      <c r="U165"/>
      <c r="V165"/>
      <c r="W165" t="inlineStr">
        <is>
          <t>{"id":"chatcmpl-DZnub69DKAAErDSgu2pz4kMGGY6aC","object":"chat.completion","created":1777425713,"model":"gpt-5-chat-2025-10-03","choices":[{"index":0,"message":{"role":"assistant","content":"Dior：黑色复古方框太阳眼镜，采用高品质醋酸纤维材质，镜腿饰以经典星徽图腾，设计简约时尚，彰显Dior优雅格调。男女通用款，融合现代都市美学与经典法式风格，适合日常出行及潮流搭配。","refusal":null,"annotations":[]},"logprobs":null,"finish_reason":"stop"}],"usage":{"prompt_tokens":1298,"completion_tokens":80,"total_tokens":1378,"prompt_tokens_details":{"cached_tokens":0,"audio_tokens":0},"completion_tokens_details":{"reasoning_tokens":0,"audio_tokens":0,"accepted_prediction_tokens":0,"rejected_prediction_tokens":0}},"service_tier":"default","system_fingerprint":"fp_ad66631dec"}</t>
        </is>
      </c>
      <c r="X165" t="inlineStr">
        <is>
          <t>Dior：黑色复古方框太阳眼镜，采用高品质醋酸纤维材质，镜腿饰以经典星徽图腾，设计简约时尚，彰显Dior优雅格调。男女通用款，融合现代都市美学与经典法式风格，适合日常出行及潮流搭配。</t>
        </is>
      </c>
    </row>
    <row r="166" ht="25.5" customHeight="1">
      <c r="A166">
        <v>1654975475</v>
      </c>
      <c r="B166">
        <v>7623041397</v>
      </c>
      <c r="C166" s="2" t="str">
        <f>=HYPERLINK("https://weidian.com/item.html?itemID=7623041397", "https://weidian.com/item.html?itemID=7623041397")</f>
        <v>https://weidian.com/item.html?itemID=7623041397</v>
      </c>
      <c r="D166"/>
      <c r="E166" s="2" t="str">
        <f>=HYPERLINK("https://si.geilicdn.com/pcitem2014204438-326d0000019ade07b0ac0a239646_1440_1920.jpg?w=640&amp;h=640", "https://si.geilicdn.com/pcitem2014204438-326d0000019ade07b0ac0a239646_1440_1920.jpg?w=640&amp;h=640")</f>
        <v>https://si.geilicdn.com/pcitem2014204438-326d0000019ade07b0ac0a239646_1440_1920.jpg?w=640&amp;h=640</v>
      </c>
      <c r="F166" t="inlineStr">
        <is>
          <t>Glasses</t>
        </is>
      </c>
      <c r="G166" t="inlineStr">
        <is>
          <t>Louis Vuitton</t>
        </is>
      </c>
      <c r="H166">
        <v>350</v>
      </c>
      <c r="I166">
        <v>50.72</v>
      </c>
      <c r="J166" t="inlineStr">
        <is>
          <t>{"id":"chatcmpl-DZoEAetqQLHKVogSCSDDrxiLGmJaO","object":"chat.completion","created":1777426926,"model":"gpt-5-chat-2025-10-03","choices":[{"index":0,"message":{"role":"assistant","content":"Louis Vuitton Black Polarized Square Sunglasses","refusal":null,"annotations":[]},"logprobs":null,"finish_reason":"stop"}],"usage":{"prompt_tokens":878,"completion_tokens":9,"total_tokens":887,"prompt_tokens_details":{"cached_tokens":0,"audio_tokens":0},"completion_tokens_details":{"reasoning_tokens":0,"audio_tokens":0,"accepted_prediction_tokens":0,"rejected_prediction_tokens":0}},"service_tier":"default","system_fingerprint":"fp_fd471178c5"}</t>
        </is>
      </c>
      <c r="K166" t="inlineStr">
        <is>
          <t>Louis Vuitton Black Polarized Square Sunglasses</t>
        </is>
      </c>
      <c r="L166" t="inlineStr">
        <is>
          <t>{"id":"chatcmpl-DZo5xdG8dI6tpr3WPftHZonEVa1rD","object":"chat.completion","created":1777426417,"model":"gpt-5-chat-2025-10-03","choices":[{"index":0,"message":{"role":"assistant","content":"Louis Vuitton Black Square Sunglasses, sleek resin frame with iconic Monogram temples, polarized UV-protection lenses, lightweight and durable, unisex modern minimalist design for city or vacation style.","refusal":null,"annotations":[]},"logprobs":null,"finish_reason":"stop"}],"usage":{"prompt_tokens":923,"completion_tokens":38,"total_tokens":961,"prompt_tokens_details":{"cached_tokens":0,"audio_tokens":0},"completion_tokens_details":{"reasoning_tokens":0,"audio_tokens":0,"accepted_prediction_tokens":0,"rejected_prediction_tokens":0}},"service_tier":"default","system_fingerprint":"fp_ad66631dec"}</t>
        </is>
      </c>
      <c r="M166" t="inlineStr">
        <is>
          <t>{"alt-svc":"h3=\":443\"; ma=2592000","apim-request-id":"2d37d65b-22c0-4467-a4b1-3f7f7c82ac4c","azureml-model-session":"d20260405225800-40f19e54","cache-control":"no-cache","connection":"close","content-length":"1011","content-type":"application/json","date":"Wed, 29 Apr 2026 01:33:39 GMT","server":"nginx","skip-error-remapping":"true","strict-transport-security":"max-age=31536000; includeSubDomains; preload","via":"1.1 Caddy","x-content-type-options":"nosniff","x-ms-client-request-id":"Not-Set","x-ms-is-spilled-over":"false","x-ms-rai-invoked":"false","x-ms-region":"Sweden Central","x-new-api-version":"0.4.35","x-oneapi-request-id":"202604290133356778896788268d9d67iKp1Ipf","x-ratelimit-abusepenalty-active":"False","x-ratelimit-key":"gpt-5-chat-global","x-ratelimit-limit-requests":"1000","x-ratelimit-limit-tokens":"1000000","x-ratelimit-remaining-requests":"999","x-ratelimit-remaining-tokens":"998315","x-ratelimit-renewalperiod-requests":"60","x-ratelimit-renewalperiod-tokens":"60","x-ratelimit-reset-requests":"60","x-ratelimit-reset-tokens":"101","x-request-id":"b6f999f7-3a5d-45d1-a905-008bbb206d75"}</t>
        </is>
      </c>
      <c r="N166" t="inlineStr">
        <is>
          <t>Louis Vuitton Black Square Sunglasses, sleek resin frame with iconic Monogram temples, polarized UV-protection lenses, lightweight and durable, unisex modern minimalist design for city or vacation style.</t>
        </is>
      </c>
      <c r="O166" t="inlineStr">
        <is>
          <t>{"id":"chatcmpl-DZoRiNDL0sR6w9ABf87AdgP761hEU","object":"chat.completion","created":1777427766,"model":"gpt-5-chat-2025-10-03","choices":[{"index":0,"message":{"role":"assistant","content":"Louis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166" t="inlineStr">
        <is>
          <t>Louis Vuitton, Glasses, kakobuy, kakebuy2026, kekobuysheet, kakobuysheet2026, 2026kakobuy, kakobuyspreadsheeet, kakobuylink, kakebuylist, Kakobuy MEGA Spreadsheet, kakobuysheetfind, kakobuysheetfind2026, 2026kakobuysheetfind, kakobuysheet2026</t>
        </is>
      </c>
      <c r="Q166" t="inlineStr">
        <is>
          <t>LV, Black, Unisex, Modern, Minimalist, Anti-Ultraviolet</t>
        </is>
      </c>
      <c r="R166" t="inlineStr">
        <is>
          <t>recvhju1Cr9NpQ</t>
        </is>
      </c>
      <c r="S166" t="inlineStr">
        <is>
          <t>louis-vuitton-black-polarized-square-sunglasses-recvhju1cr9npq</t>
        </is>
      </c>
      <c r="T166"/>
      <c r="U166"/>
      <c r="V166"/>
      <c r="W166" t="inlineStr">
        <is>
          <t>{"id":"chatcmpl-DZnsIDgbUk6YW206k6hq84SloLzIE","object":"chat.completion","created":1777425570,"model":"gpt-5-chat-2025-10-03","choices":[{"index":0,"message":{"role":"assistant","content":"Louis Vuitton：黑色方框太阳眼镜，精致树脂镜架，镜腿点缀经典Monogram花纹，展现品牌奢华格调。轻盈耐用材质搭配偏光镜片，有效防护紫外线，男女皆宜。现代简约设计融合低调时尚气质，是都市出行与度假休闲的理想配饰。","refusal":null,"annotations":[]},"logprobs":null,"finish_reason":"stop"}],"usage":{"prompt_tokens":1300,"completion_tokens":89,"total_tokens":1389,"prompt_tokens_details":{"cached_tokens":1280,"audio_tokens":0},"completion_tokens_details":{"reasoning_tokens":0,"audio_tokens":0,"accepted_prediction_tokens":0,"rejected_prediction_tokens":0}},"service_tier":"default","system_fingerprint":"fp_ad66631dec"}</t>
        </is>
      </c>
      <c r="X166" t="inlineStr">
        <is>
          <t>Louis Vuitton：黑色方框太阳眼镜，精致树脂镜架，镜腿点缀经典Monogram花纹，展现品牌奢华格调。轻盈耐用材质搭配偏光镜片，有效防护紫外线，男女皆宜。现代简约设计融合低调时尚气质，是都市出行与度假休闲的理想配饰。</t>
        </is>
      </c>
    </row>
    <row r="167" ht="25.5" customHeight="1">
      <c r="A167">
        <v>1654975475</v>
      </c>
      <c r="B167">
        <v>7625712374</v>
      </c>
      <c r="C167" s="2" t="str">
        <f>=HYPERLINK("https://weidian.com/item.html?itemID=7625712374", "https://weidian.com/item.html?itemID=7625712374")</f>
        <v>https://weidian.com/item.html?itemID=7625712374</v>
      </c>
      <c r="D167"/>
      <c r="E167" s="2" t="str">
        <f>=HYPERLINK("https://si.geilicdn.com/pcitem2014204438-664f0000019add0a99f40a20e7c7_1080_1080.jpg?w=640&amp;h=640", "https://si.geilicdn.com/pcitem2014204438-664f0000019add0a99f40a20e7c7_1080_1080.jpg?w=640&amp;h=640")</f>
        <v>https://si.geilicdn.com/pcitem2014204438-664f0000019add0a99f40a20e7c7_1080_1080.jpg?w=640&amp;h=640</v>
      </c>
      <c r="F167" t="inlineStr">
        <is>
          <t>Accessories</t>
        </is>
      </c>
      <c r="G167" t="inlineStr">
        <is>
          <t>Louis Vuitton</t>
        </is>
      </c>
      <c r="H167">
        <v>330</v>
      </c>
      <c r="I167">
        <v>47.83</v>
      </c>
      <c r="J167" t="inlineStr">
        <is>
          <t>{"id":"chatcmpl-DZoD9IKFXkSbj1TcIrQ8vHLibZuk5","object":"chat.completion","created":1777426863,"model":"gpt-5-chat-2025-10-03","choices":[{"index":0,"message":{"role":"assistant","content":"Louis Vuitton Light Blue LV Stitch Coin Purse","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67" t="inlineStr">
        <is>
          <t>Louis Vuitton Light Blue LV Stitch Coin Purse</t>
        </is>
      </c>
      <c r="L167" t="inlineStr">
        <is>
          <t>{"id":"chatcmpl-DZo8O5qEynAIEMlZgez6fZ6nVdbFQ","object":"chat.completion","created":1777426568,"model":"gpt-5-chat-2025-10-03","choices":[{"index":0,"message":{"role":"assistant","content":"Louis Vuitton Monogram Light Blue Small Multifunction Coin Purse in Grained Calf Leather with White LV Stitch Detail and Yellow Accent, Modern Unisex Luxury for Everyday Style.","refusal":null,"annotations":[]},"logprobs":null,"finish_reason":"stop"}],"usage":{"prompt_tokens":914,"completion_tokens":36,"total_tokens":950,"prompt_tokens_details":{"cached_tokens":0,"audio_tokens":0},"completion_tokens_details":{"reasoning_tokens":0,"audio_tokens":0,"accepted_prediction_tokens":0,"rejected_prediction_tokens":0}},"service_tier":"default","system_fingerprint":"fp_ad66631dec"}</t>
        </is>
      </c>
      <c r="M167" t="inlineStr">
        <is>
          <t>{"alt-svc":"h3=\":443\"; ma=2592000","apim-request-id":"f9046dfb-6bcb-487a-bfb9-40ea1841d483","azureml-model-session":"d20260405225800-40f19e54","cache-control":"no-cache","connection":"close","content-length":"984","content-type":"application/json","date":"Wed, 29 Apr 2026 01:36:09 GMT","server":"Caddy","skip-error-remapping":"true","strict-transport-security":"max-age=31536000; includeSubDomains; preload","x-content-type-options":"nosniff","x-ms-client-request-id":"Not-Set","x-ms-is-spilled-over":"false","x-ms-rai-invoked":"false","x-ms-region":"Poland Central","x-new-api-version":"0.4.35","x-oneapi-request-id":"202604290136073699632938268d9d6cjY2bq2i","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60cfafbd-bf07-446d-933d-6fecb454effd"}</t>
        </is>
      </c>
      <c r="N167" t="inlineStr">
        <is>
          <t>Louis Vuitton Monogram Light Blue Small Multifunction Coin Purse in Grained Calf Leather with White LV Stitch Detail and Yellow Accent, Modern Unisex Luxury for Everyday Style.</t>
        </is>
      </c>
      <c r="O167" t="inlineStr">
        <is>
          <t>{"id":"chatcmpl-DZoSAjk0NlqEBK44nyTwhyaYAmaPH","object":"chat.completion","created":1777427794,"model":"gpt-5-chat-2025-10-03","choices":[{"index":0,"message":{"role":"assistant","content":"Louis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7" t="inlineStr">
        <is>
          <t>Louis Vuitton, Accessories, kakobuy, kakebuy2026, kekobuysheet, kakobuysheet2026, 2026kakobuy, kakobuyspreadsheeet, kakobuylink, kakebuylist, Kakobuy MEGA Spreadsheet, kakobuysheetfind, kakobuysheetfind2026, 2026kakobuysheetfind, kakobuysheet2026</t>
        </is>
      </c>
      <c r="Q167" t="inlineStr">
        <is>
          <t>LV, Unisex, Modern, Blue, White, Yellow</t>
        </is>
      </c>
      <c r="R167" t="inlineStr">
        <is>
          <t>recvhju1CrslTr</t>
        </is>
      </c>
      <c r="S167" t="inlineStr">
        <is>
          <t>louis-vuitton-light-blue-lv-stitch-coin-purse-recvhju1crsltr</t>
        </is>
      </c>
      <c r="T167"/>
      <c r="U167"/>
      <c r="V167"/>
      <c r="W167" t="inlineStr">
        <is>
          <t>{"id":"chatcmpl-DZnrz34mvOBccJVoZV2kMYjVmwBfY","object":"chat.completion","created":1777425551,"model":"gpt-5-chat-2025-10-03","choices":[{"index":0,"message":{"role":"assistant","content":"Louis Vuitton：Monogram系列浅蓝色多功能小号零钱包，采用优质粒面小牛皮材质，立体白色拼缝“LV”徽标设计，搭配亮黄色细节点缀，展现现代个性艺术风格。男女皆宜，轻奢简约，适合日常随行使用。","refusal":null,"annotations":[]},"logprobs":null,"finish_reason":"stop"}],"usage":{"prompt_tokens":1305,"completion_tokens":79,"total_tokens":1384,"prompt_tokens_details":{"cached_tokens":1280,"audio_tokens":0},"completion_tokens_details":{"reasoning_tokens":0,"audio_tokens":0,"accepted_prediction_tokens":0,"rejected_prediction_tokens":0}},"service_tier":"default","system_fingerprint":"fp_ad66631dec"}</t>
        </is>
      </c>
      <c r="X167" t="inlineStr">
        <is>
          <t>Louis Vuitton：Monogram系列浅蓝色多功能小号零钱包，采用优质粒面小牛皮材质，立体白色拼缝“LV”徽标设计，搭配亮黄色细节点缀，展现现代个性艺术风格。男女皆宜，轻奢简约，适合日常随行使用。</t>
        </is>
      </c>
    </row>
    <row r="168" ht="25.5" customHeight="1">
      <c r="A168">
        <v>1654975475</v>
      </c>
      <c r="B168">
        <v>7625690838</v>
      </c>
      <c r="C168" s="2" t="str">
        <f>=HYPERLINK("https://weidian.com/item.html?itemID=7625690838", "https://weidian.com/item.html?itemID=7625690838")</f>
        <v>https://weidian.com/item.html?itemID=7625690838</v>
      </c>
      <c r="D168"/>
      <c r="E168" s="2" t="str">
        <f>=HYPERLINK("https://si.geilicdn.com/pcitem2014204438-396d0000019add07a0070a231316_1080_810.jpg?w=640&amp;h=640", "https://si.geilicdn.com/pcitem2014204438-396d0000019add07a0070a231316_1080_810.jpg?w=640&amp;h=640")</f>
        <v>https://si.geilicdn.com/pcitem2014204438-396d0000019add07a0070a231316_1080_810.jpg?w=640&amp;h=640</v>
      </c>
      <c r="F168" t="inlineStr">
        <is>
          <t>Glasses</t>
        </is>
      </c>
      <c r="G168" t="inlineStr">
        <is>
          <t>Gentle Monster</t>
        </is>
      </c>
      <c r="H168">
        <v>120</v>
      </c>
      <c r="I168">
        <v>17.39</v>
      </c>
      <c r="J168" t="inlineStr">
        <is>
          <t>{"id":"chatcmpl-DZoG7YsjZBZEtK7iBNBEtxEUze2h5","object":"chat.completion","created":1777427047,"model":"gpt-5-chat-2025-10-03","choices":[{"index":0,"message":{"role":"assistant","content":"Gentle Monster Vintage Leopard Acetate UV Protection Sunglasses","refusal":null,"annotations":[]},"logprobs":null,"finish_reason":"stop"}],"usage":{"prompt_tokens":603,"completion_tokens":13,"total_tokens":616,"prompt_tokens_details":{"cached_tokens":0,"audio_tokens":0},"completion_tokens_details":{"reasoning_tokens":0,"audio_tokens":0,"accepted_prediction_tokens":0,"rejected_prediction_tokens":0}},"service_tier":"default","system_fingerprint":"fp_ad66631dec"}</t>
        </is>
      </c>
      <c r="K168" t="inlineStr">
        <is>
          <t>Gentle Monster Vintage Leopard Acetate UV Protection Sunglasses</t>
        </is>
      </c>
      <c r="L168" t="inlineStr">
        <is>
          <t>{"id":"chatcmpl-DZo44Ac9ihLkzsftdDYvXUaBWR6B4","object":"chat.completion","created":1777426300,"model":"gpt-5-chat-2025-10-03","choices":[{"index":0,"message":{"role":"assistant","content":"Gentle Monster Vintage Leopard Sunglasses—crafted from premium acetate with smooth lines and UV-protective lenses. Lightweight, unisex, and stylish, blending Korean street fashion with modern urban elegance.","refusal":null,"annotations":[]},"logprobs":null,"finish_reason":"stop"}],"usage":{"prompt_tokens":639,"completion_tokens":40,"total_tokens":679,"prompt_tokens_details":{"cached_tokens":0,"audio_tokens":0},"completion_tokens_details":{"reasoning_tokens":0,"audio_tokens":0,"accepted_prediction_tokens":0,"rejected_prediction_tokens":0}},"service_tier":"default","system_fingerprint":"fp_fd471178c5"}</t>
        </is>
      </c>
      <c r="M168" t="inlineStr">
        <is>
          <t>{"alt-svc":"h3=\":443\"; ma=2592000","apim-request-id":"b2f40f96-09e5-47ad-b4d1-8475180cf020","azureml-model-session":"d20260428165144-a78ba574","cache-control":"no-cache","connection":"close","content-length":"1017","content-type":"application/json","date":"Wed, 29 Apr 2026 01:31:41 GMT","server":"Caddy","skip-error-remapping":"true","strict-transport-security":"max-age=31536000; includeSubDomains; preload","x-content-type-options":"nosniff","x-ms-client-request-id":"Not-Set","x-ms-is-spilled-over":"false","x-ms-rai-invoked":"false","x-ms-region":"West US","x-new-api-version":"0.4.35","x-oneapi-request-id":"202604290131396204127148268d9d6WPoSG2Ai","x-ratelimit-abusepenalty-active":"False","x-ratelimit-key":"gpt-5-chat-global","x-ratelimit-limit-requests":"1000","x-ratelimit-limit-tokens":"1000000","x-ratelimit-remaining-requests":"999","x-ratelimit-remaining-tokens":"998597","x-ratelimit-renewalperiod-requests":"60","x-ratelimit-renewalperiod-tokens":"60","x-ratelimit-reset-requests":"60","x-ratelimit-reset-tokens":"84","x-request-id":"5959c45b-7cbe-4616-9c01-637cff780835"}</t>
        </is>
      </c>
      <c r="N168" t="inlineStr">
        <is>
          <t>Gentle Monster Vintage Leopard Sunglasses—crafted from premium acetate with smooth lines and UV-protective lenses. Lightweight, unisex, and stylish, blending Korean street fashion with modern urban elegance.</t>
        </is>
      </c>
      <c r="O168" t="inlineStr">
        <is>
          <t>{"id":"chatcmpl-DZoQAeyMTy3hcMOVa737HYe7zYai5","object":"chat.completion","created":1777427670,"model":"gpt-5-chat-2025-10-03","choices":[{"index":0,"message":{"role":"assistant","content":"Gentle Monster,Glasses,kakobuy,kakebuy2026,kekobuysheet,kakobuysheet2026,2026kakobuy,kakobuyspreadsheeet,kakobuylink,kakebuylist,Kakobuy MEGA Spreadsheet,kakobuysheetfind,kakobuysheetfind2026,2026kakobuysheetfind,kakobuysheet2026","refusal":null,"annotations":[]},"logprobs":null,"finish_reason":"stop"}],"usage":{"prompt_tokens":504,"completion_tokens":89,"total_tokens":593,"prompt_tokens_details":{"cached_tokens":0,"audio_tokens":0},"completion_tokens_details":{"reasoning_tokens":0,"audio_tokens":0,"accepted_prediction_tokens":0,"rejected_prediction_tokens":0}},"service_tier":"default","system_fingerprint":"fp_fd471178c5"}</t>
        </is>
      </c>
      <c r="P168" t="inlineStr">
        <is>
          <t>Gentle Monster,Glasses,kakobuy,kakebuy2026,kekobuysheet,kakobuysheet2026,2026kakobuy,kakobuyspreadsheeet,kakobuylink,kakebuylist,Kakobuy MEGA Spreadsheet,kakobuysheetfind,kakobuysheetfind2026,2026kakobuysheetfind,kakobuysheet2026</t>
        </is>
      </c>
      <c r="Q168" t="inlineStr">
        <is>
          <t>Acetate Fiber, Unisex, Korean, Streetwear, Anti-Ultraviolet, Vintage</t>
        </is>
      </c>
      <c r="R168" t="inlineStr">
        <is>
          <t>recvhju1CrBjnM</t>
        </is>
      </c>
      <c r="S168" t="inlineStr">
        <is>
          <t>gentle-monster-vintage-leopard-acetate-uv-sunglasses-recvhju1crbjn</t>
        </is>
      </c>
      <c r="T168"/>
      <c r="U168"/>
      <c r="V168"/>
      <c r="W168" t="inlineStr">
        <is>
          <t>{"id":"chatcmpl-DZnxQ2uGfccm4t4lElFg2Gt1UFKEQ","object":"chat.completion","created":1777425888,"model":"gpt-5-chat-2025-10-03","choices":[{"index":0,"message":{"role":"assistant","content":"Gentle Monster：复古豹纹系列太阳眼镜，采用高品质醋酸纤维材质，镜框线条流畅，质感高级。镜片具备防紫外线功能，轻盈贴合不压鼻梁。前卫设计融合韩系街头风，男女皆宜，兼具个性与实用，彰显都市时尚美学。","refusal":null,"annotations":[]},"logprobs":null,"finish_reason":"stop"}],"usage":{"prompt_tokens":1018,"completion_tokens":86,"total_tokens":1104,"prompt_tokens_details":{"cached_tokens":0,"audio_tokens":0},"completion_tokens_details":{"reasoning_tokens":0,"audio_tokens":0,"accepted_prediction_tokens":0,"rejected_prediction_tokens":0}},"service_tier":"default","system_fingerprint":"fp_fd471178c5"}</t>
        </is>
      </c>
      <c r="X168" t="inlineStr">
        <is>
          <t>Gentle Monster：复古豹纹系列太阳眼镜，采用高品质醋酸纤维材质，镜框线条流畅，质感高级。镜片具备防紫外线功能，轻盈贴合不压鼻梁。前卫设计融合韩系街头风，男女皆宜，兼具个性与实用，彰显都市时尚美学。</t>
        </is>
      </c>
    </row>
    <row r="169" ht="25.5" customHeight="1">
      <c r="A169">
        <v>1654975475</v>
      </c>
      <c r="B169">
        <v>7625759848</v>
      </c>
      <c r="C169" s="2" t="str">
        <f>=HYPERLINK("https://weidian.com/item.html?itemID=7625759848", "https://weidian.com/item.html?itemID=7625759848")</f>
        <v>https://weidian.com/item.html?itemID=7625759848</v>
      </c>
      <c r="D169"/>
      <c r="E169" s="2" t="str">
        <f>=HYPERLINK("https://si.geilicdn.com/pcitem2014204438-68700000019add0577730a2396f4_1440_1440.jpg?w=640&amp;h=640", "https://si.geilicdn.com/pcitem2014204438-68700000019add0577730a2396f4_1440_1440.jpg?w=640&amp;h=640")</f>
        <v>https://si.geilicdn.com/pcitem2014204438-68700000019add0577730a2396f4_1440_1440.jpg?w=640&amp;h=640</v>
      </c>
      <c r="F169" t="inlineStr">
        <is>
          <t>Glasses</t>
        </is>
      </c>
      <c r="G169" t="inlineStr">
        <is>
          <t>Chanel</t>
        </is>
      </c>
      <c r="H169">
        <v>370</v>
      </c>
      <c r="I169">
        <v>53.62</v>
      </c>
      <c r="J169" t="inlineStr">
        <is>
          <t>{"id":"chatcmpl-DZoEWbIFVxPK2cYphBIAojHdTYjX4","object":"chat.completion","created":1777426948,"model":"gpt-5-chat-2025-10-03","choices":[{"index":0,"message":{"role":"assistant","content":"Chanel Light Blue Rimless Metal Frame Sunglasse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169" t="inlineStr">
        <is>
          <t>Chanel Light Blue Rimless Metal Frame Sunglasses</t>
        </is>
      </c>
      <c r="L169" t="inlineStr">
        <is>
          <t>{"id":"chatcmpl-DZo4Fr22oBzWuZEgoilKwDZ8idkcx","object":"chat.completion","created":1777426311,"model":"gpt-5-chat-2025-10-03","choices":[{"index":0,"message":{"role":"assistant","content":"Chanel Light Blue Rimless Sunglasses with metal frame and iconic double C logo, UV-protection high-transparency lenses, unisex design blending vintage elegance with modern minimalist luxury.","refusal":null,"annotations":[]},"logprobs":null,"finish_reason":"stop"}],"usage":{"prompt_tokens":911,"completion_tokens":37,"total_tokens":948,"prompt_tokens_details":{"cached_tokens":0,"audio_tokens":0},"completion_tokens_details":{"reasoning_tokens":0,"audio_tokens":0,"accepted_prediction_tokens":0,"rejected_prediction_tokens":0}},"service_tier":"default","system_fingerprint":"fp_ad66631dec"}</t>
        </is>
      </c>
      <c r="M169" t="inlineStr">
        <is>
          <t>{"alt-svc":"h3=\":443\"; ma=2592000","apim-request-id":"9ea0ee12-f2f5-42e6-b430-17e858d1ca3f","azureml-model-session":"d20260402084046-4209e968","cache-control":"no-cache","connection":"close","content-length":"998","content-type":"application/json","date":"Wed, 29 Apr 2026 01:31:53 GMT","server":"nginx","skip-error-remapping":"true","strict-transport-security":"max-age=31536000; includeSubDomains; preload","via":"1.1 Caddy","x-content-type-options":"nosniff","x-ms-client-request-id":"Not-Set","x-ms-is-spilled-over":"false","x-ms-rai-invoked":"false","x-ms-region":"South Central US","x-new-api-version":"0.4.35","x-oneapi-request-id":"202604290131509243523258268d9d61t04MFE9","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00a1b65e-81dd-46c8-ae30-e19097283938"}</t>
        </is>
      </c>
      <c r="N169" t="inlineStr">
        <is>
          <t>Chanel Light Blue Rimless Sunglasses with metal frame and iconic double C logo, UV-protection high-transparency lenses, unisex design blending vintage elegance with modern minimalist luxury.</t>
        </is>
      </c>
      <c r="O169" t="inlineStr">
        <is>
          <t>{"id":"chatcmpl-DZoQ8cLi57QLpo86tVXVoD56ugEix","object":"chat.completion","created":1777427668,"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69" t="inlineStr">
        <is>
          <t>Chanel,Glasses,kakobuy,kakebuy2026,kekobuysheet,kakobuysheet2026,2026kakobuy,kakobuyspreadsheeet,kakobuylink,kakebuylist,Kakobuy MEGA Spreadsheet,kakobuysheetfind,kakobuysheetfind2026,2026kakobuysheetfind,kakobuysheet2026</t>
        </is>
      </c>
      <c r="Q169" t="inlineStr">
        <is>
          <t>Chanel, Unisex, Vintage, Minimalist, Anti-Ultraviolet, Modern</t>
        </is>
      </c>
      <c r="R169" t="inlineStr">
        <is>
          <t>recvhju1CryVtK</t>
        </is>
      </c>
      <c r="S169" t="inlineStr">
        <is>
          <t>chanel-light-blue-rimless-metal-sunglasses-recvhju1cryvtk</t>
        </is>
      </c>
      <c r="T169"/>
      <c r="U169"/>
      <c r="V169"/>
      <c r="W169" t="inlineStr">
        <is>
          <t>{"id":"chatcmpl-DZnwB7jR5EWw4pyQGPw0UEcab9TJL","object":"chat.completion","created":1777425811,"model":"gpt-5-chat-2025-10-03","choices":[{"index":0,"message":{"role":"assistant","content":"Chanel：淡蓝色无框太阳眼镜，轻盈金属镜架搭配标志性双C徽标装饰，展现极简奢华风格。精选高透防紫外线镜片，适合男女佩戴，兼具时尚与防护功能，优雅复古气息与现代设计并存。","refusal":null,"annotations":[]},"logprobs":null,"finish_reason":"stop"}],"usage":{"prompt_tokens":1298,"completion_tokens":78,"total_tokens":1376,"prompt_tokens_details":{"cached_tokens":0,"audio_tokens":0},"completion_tokens_details":{"reasoning_tokens":0,"audio_tokens":0,"accepted_prediction_tokens":0,"rejected_prediction_tokens":0}},"service_tier":"default","system_fingerprint":"fp_fd471178c5"}</t>
        </is>
      </c>
      <c r="X169" t="inlineStr">
        <is>
          <t>Chanel：淡蓝色无框太阳眼镜，轻盈金属镜架搭配标志性双C徽标装饰，展现极简奢华风格。精选高透防紫外线镜片，适合男女佩戴，兼具时尚与防护功能，优雅复古气息与现代设计并存。</t>
        </is>
      </c>
    </row>
    <row r="170" ht="25.5" customHeight="1">
      <c r="A170">
        <v>1654975475</v>
      </c>
      <c r="B170">
        <v>7623880253</v>
      </c>
      <c r="C170" s="2" t="str">
        <f>=HYPERLINK("https://weidian.com/item.html?itemID=7623880253", "https://weidian.com/item.html?itemID=7623880253")</f>
        <v>https://weidian.com/item.html?itemID=7623880253</v>
      </c>
      <c r="D170"/>
      <c r="E170" s="2" t="str">
        <f>=HYPERLINK("https://si.geilicdn.com/pcitem2014204438-5fa60000019ae4540fa20a23057e_1440_1904.jpg?w=640&amp;h=640", "https://si.geilicdn.com/pcitem2014204438-5fa60000019ae4540fa20a23057e_1440_1904.jpg?w=640&amp;h=640")</f>
        <v>https://si.geilicdn.com/pcitem2014204438-5fa60000019ae4540fa20a23057e_1440_1904.jpg?w=640&amp;h=640</v>
      </c>
      <c r="F170" t="inlineStr">
        <is>
          <t>Accessories</t>
        </is>
      </c>
      <c r="G170" t="inlineStr">
        <is>
          <t>Gucci</t>
        </is>
      </c>
      <c r="H170">
        <v>460</v>
      </c>
      <c r="I170">
        <v>66.67</v>
      </c>
      <c r="J170" t="inlineStr">
        <is>
          <t>{"id":"chatcmpl-DZoCnBRxFvKEpACCSmXKxNOJgs06I","object":"chat.completion","created":1777426841,"model":"gpt-5-chat-2025-10-03","choices":[{"index":0,"message":{"role":"assistant","content":"Gucci GG Supreme Canvas Beige Clutch Bag","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170" t="inlineStr">
        <is>
          <t>Gucci GG Supreme Canvas Beige Clutch Bag</t>
        </is>
      </c>
      <c r="L170" t="inlineStr">
        <is>
          <t>{"id":"chatcmpl-DZo93sTJdhWrdfC0KmYzifr8M2bVv","object":"chat.completion","created":1777426609,"model":"gpt-5-chat-2025-10-03","choices":[{"index":0,"message":{"role":"assistant","content":"Gucci GG Supreme beige canvas clutch with leather trim, signature logo tag and red-green web detail. Unisex luxury design, perfect for daily use or business occasions.","refusal":null,"annotations":[]},"logprobs":null,"finish_reason":"stop"}],"usage":{"prompt_tokens":904,"completion_tokens":34,"total_tokens":938,"prompt_tokens_details":{"cached_tokens":0,"audio_tokens":0},"completion_tokens_details":{"reasoning_tokens":0,"audio_tokens":0,"accepted_prediction_tokens":0,"rejected_prediction_tokens":0}},"service_tier":"default","system_fingerprint":"fp_fd471178c5"}</t>
        </is>
      </c>
      <c r="M170" t="inlineStr">
        <is>
          <t>{"alt-svc":"h3=\":443\"; ma=2592000","apim-request-id":"db61924d-cb35-4df1-8530-4a4b491cf308","azureml-model-session":"d20260428174121-807d9cc5","cache-control":"no-cache","connection":"close","content-length":"975","content-type":"application/json","date":"Wed, 29 Apr 2026 01:36:50 GMT","server":"nginx","skip-error-remapping":"true","strict-transport-security":"max-age=31536000; includeSubDomains; preload","via":"1.1 Caddy","x-content-type-options":"nosniff","x-ms-client-request-id":"Not-Set","x-ms-is-spilled-over":"false","x-ms-rai-invoked":"false","x-ms-region":"East US 2","x-new-api-version":"0.4.35","x-oneapi-request-id":"20260429013648503947668268d9d6tGQuEvDw","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afb0caef-8f7d-450b-9664-c43707d2b240"}</t>
        </is>
      </c>
      <c r="N170" t="inlineStr">
        <is>
          <t>Gucci GG Supreme beige canvas clutch with leather trim, signature logo tag and red-green web detail. Unisex luxury design, perfect for daily use or business occasions.</t>
        </is>
      </c>
      <c r="O170" t="inlineStr">
        <is>
          <t>{"id":"chatcmpl-DZoMnCfbzLR7qHUCQ2xjebcBryxVU","object":"chat.completion","created":1777427461,"model":"gpt-5-chat-2025-10-03","choices":[{"index":0,"message":{"role":"assistant","content":"Gucci,Handbag,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170" t="inlineStr">
        <is>
          <t>Gucci,Handbag,kakobuy,kakebuy2026,kekobuysheet,kakobuysheet2026,2026kakobuy,kakobuyspreadsheeet,kakobuylink,kakebuylist,Kakobuy MEGA Spreadsheet,kakobuysheetfind,kakobuysheetfind2026,2026kakobuysheetfind,kakobuysheet2026</t>
        </is>
      </c>
      <c r="Q170" t="inlineStr">
        <is>
          <t>Gucci X Adidas, Canvas, Beige, Unisex, Business, Business Casual</t>
        </is>
      </c>
      <c r="R170" t="inlineStr">
        <is>
          <t>recvhju1CrDokv</t>
        </is>
      </c>
      <c r="S170" t="inlineStr">
        <is>
          <t>gucci-gg-supreme-canvas-beige-clutch-recvhju1crdokv</t>
        </is>
      </c>
      <c r="T170"/>
      <c r="U170"/>
      <c r="V170"/>
      <c r="W170" t="inlineStr">
        <is>
          <t>{"id":"chatcmpl-DZnumPQfmGBwYGLkba92gItRB2vME","object":"chat.completion","created":1777425724,"model":"gpt-5-chat-2025-10-03","choices":[{"index":0,"message":{"role":"assistant","content":"Gucci：经典GG Supreme米色手拿包，优质帆布搭配皮革饰边，简约拉链设计，LOGO织标点缀红绿织带，展现意式奢华格调，男女皆宜，日常出行与商务场合皆相得益彰。","refusal":null,"annotations":[]},"logprobs":null,"finish_reason":"stop"}],"usage":{"prompt_tokens":1299,"completion_tokens":71,"total_tokens":1370,"prompt_tokens_details":{"cached_tokens":0,"audio_tokens":0},"completion_tokens_details":{"reasoning_tokens":0,"audio_tokens":0,"accepted_prediction_tokens":0,"rejected_prediction_tokens":0}},"service_tier":"default","system_fingerprint":"fp_ad66631dec"}</t>
        </is>
      </c>
      <c r="X170" t="inlineStr">
        <is>
          <t>Gucci：经典GG Supreme米色手拿包，优质帆布搭配皮革饰边，简约拉链设计，LOGO织标点缀红绿织带，展现意式奢华格调，男女皆宜，日常出行与商务场合皆相得益彰。</t>
        </is>
      </c>
    </row>
    <row r="171" ht="25.5" customHeight="1">
      <c r="A171">
        <v>1654975475</v>
      </c>
      <c r="B171">
        <v>7626832470</v>
      </c>
      <c r="C171" s="2" t="str">
        <f>=HYPERLINK("https://weidian.com/item.html?itemID=7626832470", "https://weidian.com/item.html?itemID=7626832470")</f>
        <v>https://weidian.com/item.html?itemID=7626832470</v>
      </c>
      <c r="D171"/>
      <c r="E171" s="2" t="str">
        <f>=HYPERLINK("https://si.geilicdn.com/pcitem2014204438-49d90000019ae45390110a20e273_1080_810.jpg?w=640&amp;h=640", "https://si.geilicdn.com/pcitem2014204438-49d90000019ae45390110a20e273_1080_810.jpg?w=640&amp;h=640")</f>
        <v>https://si.geilicdn.com/pcitem2014204438-49d90000019ae45390110a20e273_1080_810.jpg?w=640&amp;h=640</v>
      </c>
      <c r="F171" t="inlineStr">
        <is>
          <t>Accessories</t>
        </is>
      </c>
      <c r="G171" t="inlineStr">
        <is>
          <t>Prada</t>
        </is>
      </c>
      <c r="H171">
        <v>540</v>
      </c>
      <c r="I171">
        <v>78.26</v>
      </c>
      <c r="J171" t="inlineStr">
        <is>
          <t>{"id":"chatcmpl-DZoGzI8WmLk1o4J4my5l8P99tQ3Sv","object":"chat.completion","created":1777427101,"model":"gpt-5-chat-2025-10-03","choices":[{"index":0,"message":{"role":"assistant","content":"Prada Black Lizard Pattern Leather Unisex Clutch Bag","refusal":null,"annotations":[]},"logprobs":null,"finish_reason":"stop"}],"usage":{"prompt_tokens":591,"completion_tokens":13,"total_tokens":604,"prompt_tokens_details":{"cached_tokens":0,"audio_tokens":0},"completion_tokens_details":{"reasoning_tokens":0,"audio_tokens":0,"accepted_prediction_tokens":0,"rejected_prediction_tokens":0}},"service_tier":"default","system_fingerprint":"fp_ad66631dec"}</t>
        </is>
      </c>
      <c r="K171" t="inlineStr">
        <is>
          <t>Prada Black Lizard Pattern Leather Unisex Clutch Bag</t>
        </is>
      </c>
      <c r="L171" t="inlineStr">
        <is>
          <t>{"id":"chatcmpl-DZo3QAzuqmzVySel3BMK360CcNuNL","object":"chat.completion","created":1777426260,"model":"gpt-5-chat-2025-10-03","choices":[{"index":0,"message":{"role":"assistant","content":"Prada Black Lizard-Pattern Leather Clutch Bag, sleek zip design with refined texture, unisex luxury style for daily or business use, showcasing modern Italian elegance.","refusal":null,"annotations":[]},"logprobs":null,"finish_reason":"stop"}],"usage":{"prompt_tokens":613,"completion_tokens":35,"total_tokens":648,"prompt_tokens_details":{"cached_tokens":0,"audio_tokens":0},"completion_tokens_details":{"reasoning_tokens":0,"audio_tokens":0,"accepted_prediction_tokens":0,"rejected_prediction_tokens":0}},"service_tier":"default","system_fingerprint":"fp_fd471178c5"}</t>
        </is>
      </c>
      <c r="M171" t="inlineStr">
        <is>
          <t>{"alt-svc":"h3=\":443\"; ma=2592000","apim-request-id":"12232518-2aba-4898-9574-3d4280754ae8","azureml-model-session":"d20260428174121-807d9cc5","cache-control":"no-cache","connection":"close","content-length":"976","content-type":"application/json","date":"Wed, 29 Apr 2026 01:31:01 GMT","server":"nginx","skip-error-remapping":"true","strict-transport-security":"max-age=31536000; includeSubDomains; preload","via":"1.1 Caddy","x-content-type-options":"nosniff","x-ms-client-request-id":"Not-Set","x-ms-is-spilled-over":"false","x-ms-rai-invoked":"false","x-ms-region":"East US","x-new-api-version":"0.4.35","x-oneapi-request-id":"202604290130593406059068268d9d6g9D7k5pe","x-ratelimit-abusepenalty-active":"False","x-ratelimit-key":"gpt-5-chat-global","x-ratelimit-limit-requests":"1000","x-ratelimit-limit-tokens":"1000000","x-ratelimit-remaining-requests":"999","x-ratelimit-remaining-tokens":"997619","x-ratelimit-renewalperiod-requests":"60","x-ratelimit-renewalperiod-tokens":"60","x-ratelimit-reset-requests":"63","x-ratelimit-reset-tokens":"142","x-request-id":"167c02de-a19f-4362-b12a-e82758c33ea6"}</t>
        </is>
      </c>
      <c r="N171" t="inlineStr">
        <is>
          <t>Prada Black Lizard-Pattern Leather Clutch Bag, sleek zip design with refined texture, unisex luxury style for daily or business use, showcasing modern Italian elegance.</t>
        </is>
      </c>
      <c r="O171" t="inlineStr">
        <is>
          <t>{"id":"chatcmpl-DZoRaafiBro7a2nEwBoNL5vgKi995","object":"chat.completion","created":1777427758,"model":"gpt-5-chat-2025-10-03","choices":[{"index":0,"message":{"role":"assistant","content":"Prada,Accessories,kakobuy,kakebuy2026,kekobuysheet,kakobuysheet2026,2026kakobuy,kakobuyspreadsheeet,kakobuylink,kakebuylist,Kakobuy MEGA Spreadsheet,kakobuysheetfind,kakobuysheetfind2026,2026kakobuysheetfind,kakobuysheet2026","refusal":null,"annotations":[]},"logprobs":null,"finish_reason":"stop"}],"usage":{"prompt_tokens":502,"completion_tokens":87,"total_tokens":589,"prompt_tokens_details":{"cached_tokens":0,"audio_tokens":0},"completion_tokens_details":{"reasoning_tokens":0,"audio_tokens":0,"accepted_prediction_tokens":0,"rejected_prediction_tokens":0}},"service_tier":"default","system_fingerprint":"fp_ad66631dec"}</t>
        </is>
      </c>
      <c r="P171" t="inlineStr">
        <is>
          <t>Prada,Accessories,kakobuy,kakebuy2026,kekobuysheet,kakobuysheet2026,2026kakobuy,kakobuyspreadsheeet,kakobuylink,kakebuylist,Kakobuy MEGA Spreadsheet,kakobuysheetfind,kakobuysheetfind2026,2026kakobuysheetfind,kakobuysheet2026</t>
        </is>
      </c>
      <c r="Q171"/>
      <c r="R171" t="inlineStr">
        <is>
          <t>recvhju1CrqXSS</t>
        </is>
      </c>
      <c r="S171" t="inlineStr">
        <is>
          <t>prada-black-lizard-clutch-recvhju1crqxss</t>
        </is>
      </c>
      <c r="T171"/>
      <c r="U171"/>
      <c r="V171"/>
      <c r="W171" t="inlineStr">
        <is>
          <t>{"id":"chatcmpl-DZnt5oHvbaRPJWxsD9ziIrdLgWZqR","object":"chat.completion","created":1777425619,"model":"gpt-5-chat-2025-10-03","choices":[{"index":0,"message":{"role":"assistant","content":"Prada：黑色蜥蜴纹牛皮手拿包，简约拉链设计彰显现代奢华质感，质地细腻挺括，男女皆宜，打造精致意式优雅风格，适合日常与商务场合。","refusal":null,"annotations":[]},"logprobs":null,"finish_reason":"stop"}],"usage":{"prompt_tokens":1015,"completion_tokens":62,"total_tokens":1077,"prompt_tokens_details":{"cached_tokens":0,"audio_tokens":0},"completion_tokens_details":{"reasoning_tokens":0,"audio_tokens":0,"accepted_prediction_tokens":0,"rejected_prediction_tokens":0}},"service_tier":"default","system_fingerprint":"fp_ad66631dec"}</t>
        </is>
      </c>
      <c r="X171" t="inlineStr">
        <is>
          <t>Prada：黑色蜥蜴纹牛皮手拿包，简约拉链设计彰显现代奢华质感，质地细腻挺括，男女皆宜，打造精致意式优雅风格，适合日常与商务场合。</t>
        </is>
      </c>
    </row>
    <row r="172" ht="25.5" customHeight="1">
      <c r="A172">
        <v>1654975475</v>
      </c>
      <c r="B172">
        <v>7626828480</v>
      </c>
      <c r="C172" s="2" t="str">
        <f>=HYPERLINK("https://weidian.com/item.html?itemID=7626828480", "https://weidian.com/item.html?itemID=7626828480")</f>
        <v>https://weidian.com/item.html?itemID=7626828480</v>
      </c>
      <c r="D172"/>
      <c r="E172" s="2" t="str">
        <f>=HYPERLINK("https://si.geilicdn.com/pcitem2014204438-21d10000019ae4520db00a231316_1536_2048.jpg?w=640&amp;h=640", "https://si.geilicdn.com/pcitem2014204438-21d10000019ae4520db00a231316_1536_2048.jpg?w=640&amp;h=640")</f>
        <v>https://si.geilicdn.com/pcitem2014204438-21d10000019ae4520db00a231316_1536_2048.jpg?w=640&amp;h=640</v>
      </c>
      <c r="F172" t="inlineStr">
        <is>
          <t>Accessories</t>
        </is>
      </c>
      <c r="G172" t="inlineStr">
        <is>
          <t>Arc teryx</t>
        </is>
      </c>
      <c r="H172">
        <v>380</v>
      </c>
      <c r="I172">
        <v>55.07</v>
      </c>
      <c r="J172" t="inlineStr">
        <is>
          <t>{"id":"chatcmpl-DZoFxipOyB7yPgzYnuni5bE0Oe0Ms","object":"chat.completion","created":1777427037,"model":"gpt-5-chat-2025-10-03","choices":[{"index":0,"message":{"role":"assistant","content":"Arc'teryx Bright Yellow Waterproof Outdoor Backpack","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172" t="inlineStr">
        <is>
          <t>Arc'teryx Bright Yellow Waterproof Outdoor Backpack</t>
        </is>
      </c>
      <c r="L172" t="inlineStr">
        <is>
          <t>{"id":"chatcmpl-DZoACMFjwhw0axjppufPX1UdiG5Mw","object":"chat.completion","created":1777426680,"model":"gpt-5-chat-2025-10-03","choices":[{"index":0,"message":{"role":"assistant","content":"Arc'teryx bright yellow outdoor backpack made from durable water‑repellent nylon, lightweight with smart storage and ergonomic comfort, unisex design blending urban minimalism and mountain style.","refusal":null,"annotations":[]},"logprobs":null,"finish_reason":"stop"}],"usage":{"prompt_tokens":893,"completion_tokens":37,"total_tokens":930,"prompt_tokens_details":{"cached_tokens":0,"audio_tokens":0},"completion_tokens_details":{"reasoning_tokens":0,"audio_tokens":0,"accepted_prediction_tokens":0,"rejected_prediction_tokens":0}},"service_tier":"default","system_fingerprint":"fp_ad66631dec"}</t>
        </is>
      </c>
      <c r="M172" t="inlineStr">
        <is>
          <t>{"alt-svc":"h3=\":443\"; ma=2592000","apim-request-id":"af7f75d0-799d-4109-b615-3e97de20731c","azureml-model-session":"d20260402075109-1fc5a0ec","cache-control":"no-cache","connection":"close","content-length":"1005","content-type":"application/json","date":"Wed, 29 Apr 2026 01:38:03 GMT","server":"nginx","skip-error-remapping":"true","strict-transport-security":"max-age=31536000; includeSubDomains; preload","via":"1.1 Caddy","x-content-type-options":"nosniff","x-ms-client-request-id":"Not-Set","x-ms-is-spilled-over":"false","x-ms-rai-invoked":"false","x-ms-region":"Poland Central","x-new-api-version":"0.4.35","x-oneapi-request-id":"20260429013759917974498268d9d6Se8KiEgq","x-ratelimit-abusepenalty-active":"False","x-ratelimit-key":"gpt-5-chat-global","x-ratelimit-limit-requests":"1000","x-ratelimit-limit-tokens":"1000000","x-ratelimit-remaining-requests":"999","x-ratelimit-remaining-tokens":"998345","x-ratelimit-renewalperiod-requests":"60","x-ratelimit-renewalperiod-tokens":"60","x-ratelimit-reset-requests":"60","x-ratelimit-reset-tokens":"99","x-request-id":"54b90c8e-f48d-473b-bd4b-3ea52d084428"}</t>
        </is>
      </c>
      <c r="N172" t="inlineStr">
        <is>
          <t>Arc'teryx bright yellow outdoor backpack made from durable water‑repellent nylon, lightweight with smart storage and ergonomic comfort, unisex design blending urban minimalism and mountain style.</t>
        </is>
      </c>
      <c r="O172" t="inlineStr">
        <is>
          <t>{"id":"chatcmpl-DZoKURKwlh27NiahYameSLyLMLKqx","object":"chat.completion","created":1777427318,"model":"gpt-5-chat-2025-10-03","choices":[{"index":0,"message":{"role":"assistant","content":"Arc'teryx, backpack,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93,"total_tokens":877,"prompt_tokens_details":{"cached_tokens":0,"audio_tokens":0},"completion_tokens_details":{"reasoning_tokens":0,"audio_tokens":0,"accepted_prediction_tokens":0,"rejected_prediction_tokens":0}},"service_tier":"default","system_fingerprint":"fp_fd471178c5"}</t>
        </is>
      </c>
      <c r="P172" t="inlineStr">
        <is>
          <t>Arc'teryx, backpack, kakobuy, kakebuy2026, kekobuysheet, kakobuysheet2026, 2026kakobuy, kakobuyspreadsheeet, kakobuylink, kakebuylist, Kakobuy MEGA Spreadsheet, kakobuysheetfind, kakobuysheetfind2026, 2026kakobuysheetfind, kakobuysheet2026</t>
        </is>
      </c>
      <c r="Q172" t="inlineStr">
        <is>
          <t>Backpack, Nylon, Yellow, Outdoor, Unisex, Minimalist</t>
        </is>
      </c>
      <c r="R172" t="inlineStr">
        <is>
          <t>recvhju1CrT1D6</t>
        </is>
      </c>
      <c r="S172" t="inlineStr">
        <is>
          <t>arcteryx-bright-yellow-waterproof-outdoor-backpack-recvhju1crt1d6</t>
        </is>
      </c>
      <c r="T172"/>
      <c r="U172"/>
      <c r="V172"/>
      <c r="W172" t="inlineStr">
        <is>
          <t>{"id":"chatcmpl-DZo0f83ZedPJbVnoqQvkynQ0SUwwA","object":"chat.completion","created":1777426089,"model":"gpt-5-chat-2025-10-03","choices":[{"index":0,"message":{"role":"assistant","content":"Arc'teryx：亮黄色户外功能背包，采用耐磨防泼水尼龙面料，轻量设计兼具实用收纳与舒适背负体验，男女皆宜，展现都市与山系融合的极简风格。","refusal":null,"annotations":[]},"logprobs":null,"finish_reason":"stop"}],"usage":{"prompt_tokens":1301,"completion_tokens":59,"total_tokens":1360,"prompt_tokens_details":{"cached_tokens":0,"audio_tokens":0},"completion_tokens_details":{"reasoning_tokens":0,"audio_tokens":0,"accepted_prediction_tokens":0,"rejected_prediction_tokens":0}},"service_tier":"default","system_fingerprint":"fp_ad66631dec"}</t>
        </is>
      </c>
      <c r="X172" t="inlineStr">
        <is>
          <t>Arc'teryx：亮黄色户外功能背包，采用耐磨防泼水尼龙面料，轻量设计兼具实用收纳与舒适背负体验，男女皆宜，展现都市与山系融合的极简风格。</t>
        </is>
      </c>
    </row>
    <row r="173" ht="25.5" customHeight="1">
      <c r="A173">
        <v>1654975475</v>
      </c>
      <c r="B173">
        <v>7626155592</v>
      </c>
      <c r="C173" s="2" t="str">
        <f>=HYPERLINK("https://weidian.com/item.html?itemID=7626155592", "https://weidian.com/item.html?itemID=7626155592")</f>
        <v>https://weidian.com/item.html?itemID=7626155592</v>
      </c>
      <c r="D173"/>
      <c r="E173" s="2" t="str">
        <f>=HYPERLINK("https://si.geilicdn.com/pcitem2014204438-2c690000019adf67bd770a230115_1080_1440.jpg?w=640&amp;h=640", "https://si.geilicdn.com/pcitem2014204438-2c690000019adf67bd770a230115_1080_1440.jpg?w=640&amp;h=640")</f>
        <v>https://si.geilicdn.com/pcitem2014204438-2c690000019adf67bd770a230115_1080_1440.jpg?w=640&amp;h=640</v>
      </c>
      <c r="F173" t="inlineStr">
        <is>
          <t>Glasses</t>
        </is>
      </c>
      <c r="G173" t="inlineStr">
        <is>
          <t>Cartier</t>
        </is>
      </c>
      <c r="H173">
        <v>370</v>
      </c>
      <c r="I173">
        <v>53.62</v>
      </c>
      <c r="J173" t="inlineStr">
        <is>
          <t>{"id":"chatcmpl-DZoIShYhHFeM5TT0vPbDy0D6vl4Yy","object":"chat.completion","created":1777427192,"model":"gpt-5-chat-2025-10-03","choices":[{"index":0,"message":{"role":"assistant","content":"Cartier Santos Gold Blue Gradient Sunglasses","refusal":null,"annotations":[]},"logprobs":null,"finish_reason":"stop"}],"usage":{"prompt_tokens":870,"completion_tokens":9,"total_tokens":879,"prompt_tokens_details":{"cached_tokens":0,"audio_tokens":0},"completion_tokens_details":{"reasoning_tokens":0,"audio_tokens":0,"accepted_prediction_tokens":0,"rejected_prediction_tokens":0}},"service_tier":"default","system_fingerprint":"fp_fd471178c5"}</t>
        </is>
      </c>
      <c r="K173" t="inlineStr">
        <is>
          <t>Cartier Santos Gold Blue Gradient Sunglasses</t>
        </is>
      </c>
      <c r="L173" t="inlineStr">
        <is>
          <t>{"id":"chatcmpl-DZo2vnzXovUuYgoGWXoYSOow8SrO8","object":"chat.completion","created":1777426229,"model":"gpt-5-chat-2025-10-03","choices":[{"index":0,"message":{"role":"assistant","content":"Cartier Santos Gold Sunglasses – lightweight titanium frame, deep blue gradient UV-protection lenses, sleek vintage-inspired design for men and women, expressing modern luxury elegance.","refusal":null,"annotations":[]},"logprobs":null,"finish_reason":"stop"}],"usage":{"prompt_tokens":896,"completion_tokens":34,"total_tokens":930,"prompt_tokens_details":{"cached_tokens":0,"audio_tokens":0},"completion_tokens_details":{"reasoning_tokens":0,"audio_tokens":0,"accepted_prediction_tokens":0,"rejected_prediction_tokens":0}},"service_tier":"default","system_fingerprint":"fp_ad66631dec"}</t>
        </is>
      </c>
      <c r="M173" t="inlineStr">
        <is>
          <t>{"alt-svc":"h3=\":443\"; ma=2592000","apim-request-id":"ffa3110c-619b-4ac8-8c8b-43342df24c30","azureml-model-session":"d20260405225800-40f19e54","cache-control":"no-cache","connection":"close","content-length":"995","content-type":"application/json","date":"Wed, 29 Apr 2026 01:30:30 GMT","server":"nginx","skip-error-remapping":"true","strict-transport-security":"max-age=31536000; includeSubDomains; preload","via":"1.1 Caddy","x-content-type-options":"nosniff","x-ms-client-request-id":"Not-Set","x-ms-is-spilled-over":"false","x-ms-rai-invoked":"false","x-ms-region":"West US","x-new-api-version":"0.4.35","x-oneapi-request-id":"2026042901302879105248268d9d6Ba0VhFPr","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260fd392-9d26-4dba-b621-40d1f696563b"}</t>
        </is>
      </c>
      <c r="N173" t="inlineStr">
        <is>
          <t>Cartier Santos Gold Sunglasses – lightweight titanium frame, deep blue gradient UV-protection lenses, sleek vintage-inspired design for men and women, expressing modern luxury elegance.</t>
        </is>
      </c>
      <c r="O173" t="inlineStr">
        <is>
          <t>{"id":"chatcmpl-DZoM88Mohud3sodVQ524wcg9NCYF1","object":"chat.completion","created":1777427420,"model":"gpt-5-chat-2025-10-03","choices":[{"index":0,"message":{"role":"assistant","content":"Cartie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3" t="inlineStr">
        <is>
          <t>Cartier,Glasses,kakobuy,kakebuy2026,kekobuysheet,kakobuysheet2026,2026kakobuy,kakobuyspreadsheeet,kakobuylink,kakebuylist,Kakobuy MEGA Spreadsheet,kakobuysheetfind,kakobuysheetfind2026,2026kakobuysheetfind,kakobuysheet2026</t>
        </is>
      </c>
      <c r="Q173"/>
      <c r="R173" t="inlineStr">
        <is>
          <t>recvhju1CrKjZP</t>
        </is>
      </c>
      <c r="S173" t="inlineStr">
        <is>
          <t>cartier-santos-gold-blue-gradient-sunglasses-recvhju1crkjzp</t>
        </is>
      </c>
      <c r="T173"/>
      <c r="U173"/>
      <c r="V173"/>
      <c r="W173" t="inlineStr">
        <is>
          <t>{"id":"chatcmpl-DZnuMTNPozhG6hv0dCPFkGZD9Tfzp","object":"chat.completion","created":1777425698,"model":"gpt-5-chat-2025-10-03","choices":[{"index":0,"message":{"role":"assistant","content":"Cartier：Santos系列金色方框太阳眼镜，钛金属镜架轻盈坚固，深蓝渐变镜片防紫外线设计，流畅线条融合复古优雅风格，男女皆宜，展现现代奢华品味。","refusal":null,"annotations":[]},"logprobs":null,"finish_reason":"stop"}],"usage":{"prompt_tokens":1298,"completion_tokens":63,"total_tokens":1361,"prompt_tokens_details":{"cached_tokens":0,"audio_tokens":0},"completion_tokens_details":{"reasoning_tokens":0,"audio_tokens":0,"accepted_prediction_tokens":0,"rejected_prediction_tokens":0}},"service_tier":"default","system_fingerprint":"fp_ad66631dec"}</t>
        </is>
      </c>
      <c r="X173" t="inlineStr">
        <is>
          <t>Cartier：Santos系列金色方框太阳眼镜，钛金属镜架轻盈坚固，深蓝渐变镜片防紫外线设计，流畅线条融合复古优雅风格，男女皆宜，展现现代奢华品味。</t>
        </is>
      </c>
    </row>
    <row r="174" ht="25.5" customHeight="1">
      <c r="A174">
        <v>1654975475</v>
      </c>
      <c r="B174">
        <v>7626244016</v>
      </c>
      <c r="C174" s="2" t="str">
        <f>=HYPERLINK("https://weidian.com/item.html?itemID=7626244016", "https://weidian.com/item.html?itemID=7626244016")</f>
        <v>https://weidian.com/item.html?itemID=7626244016</v>
      </c>
      <c r="D174"/>
      <c r="E174" s="2" t="str">
        <f>=HYPERLINK("https://si.geilicdn.com/pcitem2014204438-78da0000019adf67430c0a811411_1080_1440.jpg?w=640&amp;h=640", "https://si.geilicdn.com/pcitem2014204438-78da0000019adf67430c0a811411_1080_1440.jpg?w=640&amp;h=640")</f>
        <v>https://si.geilicdn.com/pcitem2014204438-78da0000019adf67430c0a811411_1080_1440.jpg?w=640&amp;h=640</v>
      </c>
      <c r="F174" t="inlineStr">
        <is>
          <t>Glasses</t>
        </is>
      </c>
      <c r="G174" t="inlineStr">
        <is>
          <t>Cartier</t>
        </is>
      </c>
      <c r="H174">
        <v>370</v>
      </c>
      <c r="I174">
        <v>53.62</v>
      </c>
      <c r="J174" t="inlineStr">
        <is>
          <t>{"id":"chatcmpl-DZoCFIVhlMYVrJZ7xVpFTKa3hag2z","object":"chat.completion","created":1777426807,"model":"gpt-5-chat-2025-10-03","choices":[{"index":0,"message":{"role":"assistant","content":"Cartier Gold Brown Gradient Unisex Luxury Sunglasses","refusal":null,"annotations":[]},"logprobs":null,"finish_reason":"stop"}],"usage":{"prompt_tokens":868,"completion_tokens":11,"total_tokens":879,"prompt_tokens_details":{"cached_tokens":0,"audio_tokens":0},"completion_tokens_details":{"reasoning_tokens":0,"audio_tokens":0,"accepted_prediction_tokens":0,"rejected_prediction_tokens":0}},"service_tier":"default","system_fingerprint":"fp_ad66631dec"}</t>
        </is>
      </c>
      <c r="K174" t="inlineStr">
        <is>
          <t>Cartier Gold Brown Gradient Unisex Luxury Sunglasses</t>
        </is>
      </c>
      <c r="L174" t="inlineStr">
        <is>
          <t>{"id":"chatcmpl-DZo8W1DtYpGtscWAJmywKvom92c0g","object":"chat.completion","created":1777426576,"model":"gpt-5-chat-2025-10-03","choices":[{"index":0,"message":{"role":"assistant","content":"Cartier Brown Gradient Sunglasses – Gold-Plated Metal Frame with Geometric Engraving, Unisex Luxury Design for Modern Elegance and High-End Style.","refusal":null,"annotations":[]},"logprobs":null,"finish_reason":"stop"}],"usage":{"prompt_tokens":890,"completion_tokens":33,"total_tokens":923,"prompt_tokens_details":{"cached_tokens":0,"audio_tokens":0},"completion_tokens_details":{"reasoning_tokens":0,"audio_tokens":0,"accepted_prediction_tokens":0,"rejected_prediction_tokens":0}},"service_tier":"default","system_fingerprint":"fp_fd471178c5"}</t>
        </is>
      </c>
      <c r="M174" t="inlineStr">
        <is>
          <t>{"alt-svc":"h3=\":443\"; ma=2592000","apim-request-id":"1e9d3f8f-1050-40d1-80d3-66a65ba0b89f","azureml-model-session":"d20260428205641-55ca9797","cache-control":"no-cache","connection":"close","content-length":"956","content-type":"application/json","date":"Wed, 29 Apr 2026 01:36:17 GMT","server":"Caddy","skip-error-remapping":"true","strict-transport-security":"max-age=31536000; includeSubDomains; preload","x-content-type-options":"nosniff","x-ms-client-request-id":"Not-Set","x-ms-is-spilled-over":"false","x-ms-rai-invoked":"false","x-ms-region":"East US","x-new-api-version":"0.4.35","x-oneapi-request-id":"202604290136157050060028268d9d65nNw2Rcw","x-ratelimit-abusepenalty-active":"False","x-ratelimit-key":"gpt-5-chat-global","x-ratelimit-limit-requests":"1000","x-ratelimit-limit-tokens":"1000000","x-ratelimit-remaining-requests":"999","x-ratelimit-remaining-tokens":"998348","x-ratelimit-renewalperiod-requests":"60","x-ratelimit-renewalperiod-tokens":"60","x-ratelimit-reset-requests":"60","x-ratelimit-reset-tokens":"99","x-request-id":"d45428d1-9533-4f88-a14a-1cc5c4269299"}</t>
        </is>
      </c>
      <c r="N174" t="inlineStr">
        <is>
          <t>Cartier Brown Gradient Sunglasses – Gold-Plated Metal Frame with Geometric Engraving, Unisex Luxury Design for Modern Elegance and High-End Style.</t>
        </is>
      </c>
      <c r="O174" t="inlineStr">
        <is>
          <t>{"id":"chatcmpl-DZoRO1wp5hMAjX25f9Mu6pOfmhoPG","object":"chat.completion","created":1777427746,"model":"gpt-5-chat-2025-10-03","choices":[{"index":0,"message":{"role":"assistant","content":"Cartie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74" t="inlineStr">
        <is>
          <t>Cartier,Glasses,kakobuy,kakebuy2026,kekobuysheet,kakobuysheet2026,2026kakobuy,kakobuyspreadsheeet,kakobuylink,kakebuylist,Kakobuy MEGA Spreadsheet,kakobuysheetfind,kakobuysheetfind2026,2026kakobuysheetfind,kakobuysheet2026</t>
        </is>
      </c>
      <c r="Q174" t="inlineStr">
        <is>
          <t>Brown, Gradient, Unisex, High End, Modern, Elegant</t>
        </is>
      </c>
      <c r="R174" t="inlineStr">
        <is>
          <t>recvhju1Crrqaz</t>
        </is>
      </c>
      <c r="S174" t="inlineStr">
        <is>
          <t>cartier-gold-brown-gradient-sunglasses-recvhju1crrqaz</t>
        </is>
      </c>
      <c r="T174"/>
      <c r="U174"/>
      <c r="V174"/>
      <c r="W174" t="inlineStr">
        <is>
          <t>{"id":"chatcmpl-DZnza0tXnNsNwacGdoPplKdphbutO","object":"chat.completion","created":1777426022,"model":"gpt-5-chat-2025-10-03","choices":[{"index":0,"message":{"role":"assistant","content":"Cartier：棕色渐变镜片金属太阳眼镜，搭配镀金镜框与几何雕纹设计，简约奢华风格，男女皆宜，彰显现代优雅品味与高端格调。","refusal":null,"annotations":[]},"logprobs":null,"finish_reason":"stop"}],"usage":{"prompt_tokens":1300,"completion_tokens":56,"total_tokens":1356,"prompt_tokens_details":{"cached_tokens":0,"audio_tokens":0},"completion_tokens_details":{"reasoning_tokens":0,"audio_tokens":0,"accepted_prediction_tokens":0,"rejected_prediction_tokens":0}},"service_tier":"default","system_fingerprint":"fp_ad66631dec"}</t>
        </is>
      </c>
      <c r="X174" t="inlineStr">
        <is>
          <t>Cartier：棕色渐变镜片金属太阳眼镜，搭配镀金镜框与几何雕纹设计，简约奢华风格，男女皆宜，彰显现代优雅品味与高端格调。</t>
        </is>
      </c>
    </row>
    <row r="175" ht="25.5" customHeight="1">
      <c r="A175">
        <v>1654975475</v>
      </c>
      <c r="B175">
        <v>7623175593</v>
      </c>
      <c r="C175" s="2" t="str">
        <f>=HYPERLINK("https://weidian.com/item.html?itemID=7623175593", "https://weidian.com/item.html?itemID=7623175593")</f>
        <v>https://weidian.com/item.html?itemID=7623175593</v>
      </c>
      <c r="D175"/>
      <c r="E175" s="2" t="str">
        <f>=HYPERLINK("https://si.geilicdn.com/pcitem2014204438-2b7f0000019adf6065670a23047e_1074_1074.jpg?w=640&amp;h=640", "https://si.geilicdn.com/pcitem2014204438-2b7f0000019adf6065670a23047e_1074_1074.jpg?w=640&amp;h=640")</f>
        <v>https://si.geilicdn.com/pcitem2014204438-2b7f0000019adf6065670a23047e_1074_1074.jpg?w=640&amp;h=640</v>
      </c>
      <c r="F175" t="inlineStr">
        <is>
          <t>Glasses</t>
        </is>
      </c>
      <c r="G175" t="inlineStr">
        <is>
          <t>Gucci</t>
        </is>
      </c>
      <c r="H175">
        <v>370</v>
      </c>
      <c r="I175">
        <v>53.62</v>
      </c>
      <c r="J175" t="inlineStr">
        <is>
          <t>{"id":"chatcmpl-DZoI09zn26HpufwjicpZJl9346Kxh","object":"chat.completion","created":1777427164,"model":"gpt-5-chat-2025-10-03","choices":[{"index":0,"message":{"role":"assistant","content":"Gucci Classic Black Square Sunglasses Unisex UV Protection","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175" t="inlineStr">
        <is>
          <t>Gucci Classic Black Square Sunglasses Unisex UV Protection</t>
        </is>
      </c>
      <c r="L175" t="inlineStr">
        <is>
          <t>{"id":"chatcmpl-DZo7g8p3z3djIPw0zgitbPL6L8yUF","object":"chat.completion","created":1777426524,"model":"gpt-5-chat-2025-10-03","choices":[{"index":0,"message":{"role":"assistant","content":"Gucci Classic Black Square Sunglasses with premium acetate frame, red-green stripes and gold Double G logo. Wide UV-protection lenses, unisex retro-modern Italian elegance, lightweight and comfortable.","refusal":null,"annotations":[]},"logprobs":null,"finish_reason":"stop"}],"usage":{"prompt_tokens":920,"completion_tokens":39,"total_tokens":959,"prompt_tokens_details":{"cached_tokens":0,"audio_tokens":0},"completion_tokens_details":{"reasoning_tokens":0,"audio_tokens":0,"accepted_prediction_tokens":0,"rejected_prediction_tokens":0}},"service_tier":"default","system_fingerprint":"fp_ad66631dec"}</t>
        </is>
      </c>
      <c r="M175" t="inlineStr">
        <is>
          <t>{"alt-svc":"h3=\":443\"; ma=2592000","apim-request-id":"ccbaa5e4-15f1-4c34-9fc0-627a061f16d6","azureml-model-session":"d20260405225800-40f19e54","cache-control":"no-cache","connection":"close","content-length":"1009","content-type":"application/json","date":"Wed, 29 Apr 2026 01:35:25 GMT","server":"nginx","skip-error-remapping":"true","strict-transport-security":"max-age=31536000; includeSubDomains; preload","via":"1.1 Caddy","x-content-type-options":"nosniff","x-ms-client-request-id":"Not-Set","x-ms-is-spilled-over":"false","x-ms-rai-invoked":"false","x-ms-region":"South Central US","x-new-api-version":"0.4.35","x-oneapi-request-id":"202604290135234773301878268d9d6p63RwcK3","x-ratelimit-abusepenalty-active":"False","x-ratelimit-key":"gpt-5-chat-global","x-ratelimit-limit-requests":"1000","x-ratelimit-limit-tokens":"1000000","x-ratelimit-remaining-requests":"999","x-ratelimit-remaining-tokens":"998318","x-ratelimit-renewalperiod-requests":"60","x-ratelimit-renewalperiod-tokens":"60","x-ratelimit-reset-requests":"60","x-ratelimit-reset-tokens":"100","x-request-id":"5635816e-06e6-49cf-9f95-d74595fa5ae7"}</t>
        </is>
      </c>
      <c r="N175" t="inlineStr">
        <is>
          <t>Gucci Classic Black Square Sunglasses with premium acetate frame, red-green stripes and gold Double G logo. Wide UV-protection lenses, unisex retro-modern Italian elegance, lightweight and comfortable.</t>
        </is>
      </c>
      <c r="O175" t="inlineStr">
        <is>
          <t>{"id":"chatcmpl-DZoPFaEGunQQgUnhUurIP2jsEKYSw","object":"chat.completion","created":1777427613,"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5" t="inlineStr">
        <is>
          <t>Gucci,Glasses,kakobuy,kakebuy2026,kekobuysheet,kakobuysheet2026,2026kakobuy,kakobuyspreadsheeet,kakobuylink,kakebuylist,Kakobuy MEGA Spreadsheet,kakobuysheetfind,kakobuysheetfind2026,2026kakobuysheetfind,kakobuysheet2026</t>
        </is>
      </c>
      <c r="Q175" t="inlineStr">
        <is>
          <t>Black, Unisex, Retro, Anti-Ultraviolet, Acetate Fiber, Gold</t>
        </is>
      </c>
      <c r="R175" t="inlineStr">
        <is>
          <t>recvhju1Cr3JLA</t>
        </is>
      </c>
      <c r="S175" t="inlineStr">
        <is>
          <t>gucci-classic-black-square-sunglasses-unisex-uv-protection-recvhju1cr3jla</t>
        </is>
      </c>
      <c r="T175"/>
      <c r="U175"/>
      <c r="V175"/>
      <c r="W175" t="inlineStr">
        <is>
          <t>{"id":"chatcmpl-DZnzaDqAs9i0Gw6XNVHP0mUvUZeLJ","object":"chat.completion","created":1777426022,"model":"gpt-5-chat-2025-10-03","choices":[{"index":0,"message":{"role":"assistant","content":"Gucci：经典黑色方框太阳眼镜，醋酸纤维镜框质感高级，镜腿饰红绿双条纹与金色双G徽标，彰显品牌时尚格调。宽版设计配防紫外线镜片，男女皆宜，复古又现代的意式优雅风范，轻盈舒适佩戴体验。","refusal":null,"annotations":[]},"logprobs":null,"finish_reason":"stop"}],"usage":{"prompt_tokens":1304,"completion_tokens":84,"total_tokens":1388,"prompt_tokens_details":{"cached_tokens":0,"audio_tokens":0},"completion_tokens_details":{"reasoning_tokens":0,"audio_tokens":0,"accepted_prediction_tokens":0,"rejected_prediction_tokens":0}},"service_tier":"default","system_fingerprint":"fp_ad66631dec"}</t>
        </is>
      </c>
      <c r="X175" t="inlineStr">
        <is>
          <t>Gucci：经典黑色方框太阳眼镜，醋酸纤维镜框质感高级，镜腿饰红绿双条纹与金色双G徽标，彰显品牌时尚格调。宽版设计配防紫外线镜片，男女皆宜，复古又现代的意式优雅风范，轻盈舒适佩戴体验。</t>
        </is>
      </c>
    </row>
    <row r="176" ht="25.5" customHeight="1">
      <c r="A176">
        <v>1654975475</v>
      </c>
      <c r="B176">
        <v>7623232363</v>
      </c>
      <c r="C176" s="2" t="str">
        <f>=HYPERLINK("https://weidian.com/item.html?itemID=7623232363", "https://weidian.com/item.html?itemID=7623232363")</f>
        <v>https://weidian.com/item.html?itemID=7623232363</v>
      </c>
      <c r="D176"/>
      <c r="E176" s="2" t="str">
        <f>=HYPERLINK("https://si.geilicdn.com/pcitem2014204438-73b50000019adf59d2220a231316_1440_1920.jpg?w=640&amp;h=640", "https://si.geilicdn.com/pcitem2014204438-73b50000019adf59d2220a231316_1440_1920.jpg?w=640&amp;h=640")</f>
        <v>https://si.geilicdn.com/pcitem2014204438-73b50000019adf59d2220a231316_1440_1920.jpg?w=640&amp;h=640</v>
      </c>
      <c r="F176" t="inlineStr">
        <is>
          <t>Glasses</t>
        </is>
      </c>
      <c r="G176" t="inlineStr">
        <is>
          <t>Gucci</t>
        </is>
      </c>
      <c r="H176">
        <v>420</v>
      </c>
      <c r="I176">
        <v>60.87</v>
      </c>
      <c r="J176" t="inlineStr">
        <is>
          <t>{"id":"chatcmpl-DZoGBG92LKGo6MyIrB2PZ16lt1XMT","object":"chat.completion","created":1777427051,"model":"gpt-5-chat-2025-10-03","choices":[{"index":0,"message":{"role":"assistant","content":"Gucci Retro Brown Gradient Aviator Sunglasses","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fd471178c5"}</t>
        </is>
      </c>
      <c r="K176" t="inlineStr">
        <is>
          <t>Gucci Retro Brown Gradient Aviator Sunglasses</t>
        </is>
      </c>
      <c r="L176" t="inlineStr">
        <is>
          <t>{"id":"chatcmpl-DZo7cUNSfUENZtMkmyUKTA4g8zNrG","object":"chat.completion","created":1777426520,"model":"gpt-5-chat-2025-10-03","choices":[{"index":0,"message":{"role":"assistant","content":"Gucci Retro Brown Gradient Aviator Sunglasses – Lightweight metal frame with double bridge design, unisex style blending Italian fashion and modern elegance for a sleek, luxurious look.","refusal":null,"annotations":[]},"logprobs":null,"finish_reason":"stop"}],"usage":{"prompt_tokens":892,"completion_tokens":35,"total_tokens":927,"prompt_tokens_details":{"cached_tokens":0,"audio_tokens":0},"completion_tokens_details":{"reasoning_tokens":0,"audio_tokens":0,"accepted_prediction_tokens":0,"rejected_prediction_tokens":0}},"service_tier":"default","system_fingerprint":"fp_ad66631dec"}</t>
        </is>
      </c>
      <c r="M176" t="inlineStr">
        <is>
          <t>{"alt-svc":"h3=\":443\"; ma=2592000","apim-request-id":"4ba0f59a-0d6d-48df-b739-f546c3b14e13","azureml-model-session":"d20260405225800-40f19e54","cache-control":"no-cache","connection":"close","content-length":"995","content-type":"application/json","date":"Wed, 29 Apr 2026 01:35:21 GMT","server":"Caddy","skip-error-remapping":"true","strict-transport-security":"max-age=31536000; includeSubDomains; preload","x-content-type-options":"nosniff","x-ms-client-request-id":"Not-Set","x-ms-is-spilled-over":"false","x-ms-rai-invoked":"false","x-ms-region":"South Central US","x-new-api-version":"0.4.35","x-oneapi-request-id":"202604290135193777703908268d9d6XVOFzDKH","x-ratelimit-abusepenalty-active":"False","x-ratelimit-key":"gpt-5-chat-global","x-ratelimit-limit-requests":"1000","x-ratelimit-limit-tokens":"1000000","x-ratelimit-remaining-requests":"999","x-ratelimit-remaining-tokens":"998346","x-ratelimit-renewalperiod-requests":"60","x-ratelimit-renewalperiod-tokens":"60","x-ratelimit-reset-requests":"60","x-ratelimit-reset-tokens":"99","x-request-id":"ce0bfd2c-b84e-45d5-855f-85a84ae9530f"}</t>
        </is>
      </c>
      <c r="N176" t="inlineStr">
        <is>
          <t>Gucci Retro Brown Gradient Aviator Sunglasses – Lightweight metal frame with double bridge design, unisex style blending Italian fashion and modern elegance for a sleek, luxurious look.</t>
        </is>
      </c>
      <c r="O176" t="inlineStr">
        <is>
          <t>{"id":"chatcmpl-DZoL7lpmFtVMWiFf6cka89aaCaoKr","object":"chat.completion","created":1777427357,"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76" t="inlineStr">
        <is>
          <t>Gucci,Glasses,kakobuy,kakebuy2026,kekobuysheet,kakobuysheet2026,2026kakobuy,kakobuyspreadsheeet,kakobuylink,kakebuylist,Kakobuy MEGA Spreadsheet,kakobuysheetfind,kakobuysheetfind2026,2026kakobuysheetfind,kakobuysheet2026</t>
        </is>
      </c>
      <c r="Q176" t="inlineStr">
        <is>
          <t>Brown, Gradient, Lightweight, Unisex, Elegant</t>
        </is>
      </c>
      <c r="R176" t="inlineStr">
        <is>
          <t>recvhju1CrrIUO</t>
        </is>
      </c>
      <c r="S176" t="inlineStr">
        <is>
          <t>gucci-retro-brown-gradient-aviator-sunglasses-recvhju1crriuo</t>
        </is>
      </c>
      <c r="T176"/>
      <c r="U176"/>
      <c r="V176"/>
      <c r="W176" t="inlineStr">
        <is>
          <t>{"id":"chatcmpl-DZnuBqis8gS7K8dZWQRyAAhZbF6CL","object":"chat.completion","created":1777425687,"model":"gpt-5-chat-2025-10-03","choices":[{"index":0,"message":{"role":"assistant","content":"Gucci：复古棕色渐变镜片飞行员太阳镜，采用轻盈金属框架与双梁设计，展现简约奢华格调，男女皆宜，彰显意式时尚与现代优雅气息。","refusal":null,"annotations":[]},"logprobs":null,"finish_reason":"stop"}],"usage":{"prompt_tokens":1300,"completion_tokens":58,"total_tokens":1358,"prompt_tokens_details":{"cached_tokens":0,"audio_tokens":0},"completion_tokens_details":{"reasoning_tokens":0,"audio_tokens":0,"accepted_prediction_tokens":0,"rejected_prediction_tokens":0}},"service_tier":"default","system_fingerprint":"fp_ad66631dec"}</t>
        </is>
      </c>
      <c r="X176" t="inlineStr">
        <is>
          <t>Gucci：复古棕色渐变镜片飞行员太阳镜，采用轻盈金属框架与双梁设计，展现简约奢华格调，男女皆宜，彰显意式时尚与现代优雅气息。</t>
        </is>
      </c>
    </row>
    <row r="177" ht="25.5" customHeight="1">
      <c r="A177">
        <v>1654975475</v>
      </c>
      <c r="B177">
        <v>7626212342</v>
      </c>
      <c r="C177" s="2" t="str">
        <f>=HYPERLINK("https://weidian.com/item.html?itemID=7626212342", "https://weidian.com/item.html?itemID=7626212342")</f>
        <v>https://weidian.com/item.html?itemID=7626212342</v>
      </c>
      <c r="D177"/>
      <c r="E177" s="2" t="str">
        <f>=HYPERLINK("https://si.geilicdn.com/pcitem2014204438-2ef40000019adf5743300a8133cc_1080_1080.jpg?w=640&amp;h=640", "https://si.geilicdn.com/pcitem2014204438-2ef40000019adf5743300a8133cc_1080_1080.jpg?w=640&amp;h=640")</f>
        <v>https://si.geilicdn.com/pcitem2014204438-2ef40000019adf5743300a8133cc_1080_1080.jpg?w=640&amp;h=640</v>
      </c>
      <c r="F177" t="inlineStr">
        <is>
          <t>Glasses</t>
        </is>
      </c>
      <c r="G177" t="inlineStr">
        <is>
          <t>Tiffany</t>
        </is>
      </c>
      <c r="H177">
        <v>350</v>
      </c>
      <c r="I177">
        <v>50.72</v>
      </c>
      <c r="J177" t="inlineStr">
        <is>
          <t>{"id":"chatcmpl-DZoCyLokuvWfqHplvPbsoNQ3GI6TF","object":"chat.completion","created":1777426852,"model":"gpt-5-chat-2025-10-03","choices":[{"index":0,"message":{"role":"assistant","content":"Tiffany &amp; Co Black Bow Cat Eye Women Sunglasses","refusal":null,"annotations":[]},"logprobs":null,"finish_reason":"stop"}],"usage":{"prompt_tokens":870,"completion_tokens":12,"total_tokens":882,"prompt_tokens_details":{"cached_tokens":0,"audio_tokens":0},"completion_tokens_details":{"reasoning_tokens":0,"audio_tokens":0,"accepted_prediction_tokens":0,"rejected_prediction_tokens":0}},"service_tier":"default","system_fingerprint":"fp_fd471178c5"}</t>
        </is>
      </c>
      <c r="K177" t="inlineStr">
        <is>
          <t>Tiffany &amp; Co Black Bow Cat Eye Women Sunglasses</t>
        </is>
      </c>
      <c r="L177" t="inlineStr">
        <is>
          <t>{"id":"chatcmpl-DZo66PZvIC5reph9dPtCVQfWHX4vu","object":"chat.completion","created":1777426426,"model":"gpt-5-chat-2025-10-03","choices":[{"index":0,"message":{"role":"assistant","content":"Tiffany &amp; Co. Black Bow Cat Eye Sunglasses for Women – Lightweight acetate frame, crystal bow detail and logo arms, offering UV protection with timeless vintage elegance.","refusal":null,"annotations":[]},"logprobs":null,"finish_reason":"stop"}],"usage":{"prompt_tokens":917,"completion_tokens":34,"total_tokens":951,"prompt_tokens_details":{"cached_tokens":0,"audio_tokens":0},"completion_tokens_details":{"reasoning_tokens":0,"audio_tokens":0,"accepted_prediction_tokens":0,"rejected_prediction_tokens":0}},"service_tier":"default","system_fingerprint":"fp_fd471178c5"}</t>
        </is>
      </c>
      <c r="M177" t="inlineStr">
        <is>
          <t>{"alt-svc":"h3=\":443\"; ma=2592000","apim-request-id":"40381d47-6035-4459-a3b9-ad88e28f8374","azureml-model-session":"d20260428174121-807d9cc5","cache-control":"no-cache","connection":"close","content-length":"980","content-type":"application/json","date":"Wed, 29 Apr 2026 01:33:47 GMT","server":"Caddy","skip-error-remapping":"true","strict-transport-security":"max-age=31536000; includeSubDomains; preload","x-content-type-options":"nosniff","x-ms-client-request-id":"Not-Set","x-ms-is-spilled-over":"false","x-ms-rai-invoked":"false","x-ms-region":"East US","x-new-api-version":"0.4.35","x-oneapi-request-id":"202604290133457234114848268d9d65Pol7aLs","x-ratelimit-abusepenalty-active":"False","x-ratelimit-key":"gpt-5-chat-global","x-ratelimit-limit-requests":"1000","x-ratelimit-limit-tokens":"1000000","x-ratelimit-remaining-requests":"999","x-ratelimit-remaining-tokens":"998321","x-ratelimit-renewalperiod-requests":"60","x-ratelimit-renewalperiod-tokens":"60","x-ratelimit-reset-requests":"60","x-ratelimit-reset-tokens":"100","x-request-id":"b2eb991e-9181-4d13-afe4-164b657bd3cc"}</t>
        </is>
      </c>
      <c r="N177" t="inlineStr">
        <is>
          <t>Tiffany &amp; Co. Black Bow Cat Eye Sunglasses for Women – Lightweight acetate frame, crystal bow detail and logo arms, offering UV protection with timeless vintage elegance.</t>
        </is>
      </c>
      <c r="O177" t="inlineStr">
        <is>
          <t>{"id":"chatcmpl-DZoP1dHCxJfmM21YlPd25ADaPtfaH","object":"chat.completion","created":1777427599,"model":"gpt-5-chat-2025-10-03","choices":[{"index":0,"message":{"role":"assistant","content":"Tiffany,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77" t="inlineStr">
        <is>
          <t>Tiffany, sunglasses, kakobuy, kakebuy2026, kekobuysheet, kakobuysheet2026, 2026kakobuy, kakobuyspreadsheeet, kakobuylink, kakebuylist, Kakobuy MEGA Spreadsheet, kakobuysheetfind, kakobuysheetfind2026, 2026kakobuysheetfind, kakobuysheet2026</t>
        </is>
      </c>
      <c r="Q177" t="inlineStr">
        <is>
          <t>Women, Lightweight, Anti-Ultraviolet, Vintage, Elegant, Acetate Fiber</t>
        </is>
      </c>
      <c r="R177" t="inlineStr">
        <is>
          <t>recvhju1Cr7ShE</t>
        </is>
      </c>
      <c r="S177" t="inlineStr">
        <is>
          <t>tiffany-black-bow-cat-eye-sunglasses-recvhju1cr7she</t>
        </is>
      </c>
      <c r="T177"/>
      <c r="U177"/>
      <c r="V177"/>
      <c r="W177" t="inlineStr">
        <is>
          <t>{"id":"chatcmpl-DZnxiKJlcE30BpVNvQdc1lNMrPTrN","object":"chat.completion","created":1777425906,"model":"gpt-5-chat-2025-10-03","choices":[{"index":0,"message":{"role":"assistant","content":"Tiffany &amp; Co.: 黑色蝴蝶结系列女士太阳镜，优雅猫眼设计融合轻盈醋酸纤维材质，镜腿点缀品牌标志与水晶蝴蝶结装饰，彰显摩登复古魅力，兼具防紫外线功能与时尚格调，展现现代女性优雅气质。","refusal":null,"annotations":[]},"logprobs":null,"finish_reason":"stop"}],"usage":{"prompt_tokens":1300,"completion_tokens":83,"total_tokens":1383,"prompt_tokens_details":{"cached_tokens":0,"audio_tokens":0},"completion_tokens_details":{"reasoning_tokens":0,"audio_tokens":0,"accepted_prediction_tokens":0,"rejected_prediction_tokens":0}},"service_tier":"default","system_fingerprint":"fp_ad66631dec"}</t>
        </is>
      </c>
      <c r="X177" t="inlineStr">
        <is>
          <t>Tiffany &amp; Co.: 黑色蝴蝶结系列女士太阳镜，优雅猫眼设计融合轻盈醋酸纤维材质，镜腿点缀品牌标志与水晶蝴蝶结装饰，彰显摩登复古魅力，兼具防紫外线功能与时尚格调，展现现代女性优雅气质。</t>
        </is>
      </c>
    </row>
    <row r="178" ht="25.5" customHeight="1">
      <c r="A178">
        <v>1654975475</v>
      </c>
      <c r="B178">
        <v>7626092564</v>
      </c>
      <c r="C178" s="2" t="str">
        <f>=HYPERLINK("https://weidian.com/item.html?itemID=7626092564", "https://weidian.com/item.html?itemID=7626092564")</f>
        <v>https://weidian.com/item.html?itemID=7626092564</v>
      </c>
      <c r="D178"/>
      <c r="E178" s="2" t="str">
        <f>=HYPERLINK("https://si.geilicdn.com/pcitem2014204438-2dc70000019adf5360820a23057e_1080_927.jpg?w=640&amp;h=640", "https://si.geilicdn.com/pcitem2014204438-2dc70000019adf5360820a23057e_1080_927.jpg?w=640&amp;h=640")</f>
        <v>https://si.geilicdn.com/pcitem2014204438-2dc70000019adf5360820a23057e_1080_927.jpg?w=640&amp;h=640</v>
      </c>
      <c r="F178" t="inlineStr">
        <is>
          <t>Glasses</t>
        </is>
      </c>
      <c r="G178" t="inlineStr">
        <is>
          <t>Fake me</t>
        </is>
      </c>
      <c r="H178">
        <v>550</v>
      </c>
      <c r="I178">
        <v>79.71</v>
      </c>
      <c r="J178" t="inlineStr">
        <is>
          <t>{"id":"chatcmpl-DZoGG3cR1QLAkRnqE8kpUACO0ia8d","object":"chat.completion","created":1777427056,"model":"gpt-5-chat-2025-10-03","choices":[{"index":0,"message":{"role":"assistant","content":"Fake Me Red Zone Retro Black Round Sunglasses","refusal":null,"annotations":[]},"logprobs":null,"finish_reason":"stop"}],"usage":{"prompt_tokens":866,"completion_tokens":10,"total_tokens":876,"prompt_tokens_details":{"cached_tokens":0,"audio_tokens":0},"completion_tokens_details":{"reasoning_tokens":0,"audio_tokens":0,"accepted_prediction_tokens":0,"rejected_prediction_tokens":0}},"service_tier":"default","system_fingerprint":"fp_ad66631dec"}</t>
        </is>
      </c>
      <c r="K178" t="inlineStr">
        <is>
          <t>Fake Me Red Zone Retro Black Round Sunglasses</t>
        </is>
      </c>
      <c r="L178" t="inlineStr">
        <is>
          <t>{"id":"chatcmpl-DZo79vkfDCexF1FZopf2LswgAE6Fy","object":"chat.completion","created":1777426491,"model":"gpt-5-chat-2025-10-03","choices":[{"index":0,"message":{"role":"assistant","content":"Fake me RED ZONE black fashion sunglasses, lightweight resin with sleek round frames, unisex retro urban style for a bold look, expressing freedom and individuality.","refusal":null,"annotations":[]},"logprobs":null,"finish_reason":"stop"}],"usage":{"prompt_tokens":898,"completion_tokens":32,"total_tokens":930,"prompt_tokens_details":{"cached_tokens":0,"audio_tokens":0},"completion_tokens_details":{"reasoning_tokens":0,"audio_tokens":0,"accepted_prediction_tokens":0,"rejected_prediction_tokens":0}},"service_tier":"default","system_fingerprint":"fp_fd471178c5"}</t>
        </is>
      </c>
      <c r="M178" t="inlineStr">
        <is>
          <t>{"alt-svc":"h3=\":443\"; ma=2592000","apim-request-id":"648fd1c2-f57e-4d8d-a484-fc40c2603abd","azureml-model-session":"d20260428174121-807d9cc5","cache-control":"no-cache","connection":"close","content-length":"973","content-type":"application/json","date":"Wed, 29 Apr 2026 01:34:52 GMT","server":"nginx","skip-error-remapping":"true","strict-transport-security":"max-age=31536000; includeSubDomains; preload","via":"1.1 Caddy","x-content-type-options":"nosniff","x-ms-client-request-id":"Not-Set","x-ms-is-spilled-over":"false","x-ms-rai-invoked":"false","x-ms-region":"North Central US","x-new-api-version":"0.4.35","x-oneapi-request-id":"202604290134503576059448268d9d6mXazL4Ro","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a41b3dc4-d5dc-465f-9832-502fdb7fadf6"}</t>
        </is>
      </c>
      <c r="N178" t="inlineStr">
        <is>
          <t>Fake me RED ZONE black fashion sunglasses, lightweight resin with sleek round frames, unisex retro urban style for a bold look, expressing freedom and individuality.</t>
        </is>
      </c>
      <c r="O178" t="inlineStr">
        <is>
          <t>{"id":"chatcmpl-DZoRtV6CuYrwp3Bnj76ibRHe7MQ3R","object":"chat.completion","created":1777427777,"model":"gpt-5-chat-2025-10-03","choices":[{"index":0,"message":{"role":"assistant","content":"CheFigo,Glasses,kakobuy,kakebuy2026,kekobuysheet,kakobuysheet2026,2026kakobuy,kakobuyspreadsheeet,kakobuylink,kakebuylist,Kakobuy MEGA Spreadsheet,kakobuysheetfind,kakobuysheetfind2026,2026kakobuysheetfind,kakobuysheet2026  \nFakeMe,Glasses,kakobuy,kakebuy2026,kekobuysheet,kakobuysheet2026,2026kakobuy,kakobuyspreadsheeet,kakobuylink,kakebuylist,Kakobuy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177,"total_tokens":960,"prompt_tokens_details":{"cached_tokens":0,"audio_tokens":0},"completion_tokens_details":{"reasoning_tokens":0,"audio_tokens":0,"accepted_prediction_tokens":0,"rejected_prediction_tokens":0}},"service_tier":"default","system_fingerprint":"fp_fd471178c5"}</t>
        </is>
      </c>
      <c r="P178" t="inlineStr">
        <is>
          <t>CheFigo,Glasses,kakobuy,kakebuy2026,kekobuysheet,kakobuysheet2026,2026kakobuy,kakobuyspreadsheeet,kakobuylink,kakebuylist,Kakobuy MEGA Spreadsheet,kakobuysheetfind,kakobuysheetfind2026,2026kakobuysheetfind,kakobuysheet2026  
FakeMe,Glasses,kakobuy,kakebuy2026,kekobuysheet,kakobuysheet2026,2026kakobuy,kakobuyspreadsheeet,kakobuylink,kakebuylist,Kakobuy MEGA Spreadsheet,kakobuysheetfind,kakobuysheetfind2026,2026kakobuysheetfind,kakobuysheet2026</t>
        </is>
      </c>
      <c r="Q178" t="inlineStr">
        <is>
          <t>Black, Unisex, Retro, Lightweight, Streetwear, Sleek</t>
        </is>
      </c>
      <c r="R178" t="inlineStr">
        <is>
          <t>recvhju1CrLNW5</t>
        </is>
      </c>
      <c r="S178" t="inlineStr">
        <is>
          <t>fake-me-red-zone-retro-black-round-sunglasses-recvhju1crlnw5</t>
        </is>
      </c>
      <c r="T178"/>
      <c r="U178"/>
      <c r="V178"/>
      <c r="W178" t="inlineStr">
        <is>
          <t>{"id":"chatcmpl-DZnvOX8Qmte9KrUifzfFjbmOEZFuf","object":"chat.completion","created":1777425762,"model":"gpt-5-chat-2025-10-03","choices":[{"index":0,"message":{"role":"assistant","content":"Fake me：RED ZONE系列黑色时尚墨镜，轻盈树脂材质搭配简约圆框设计，流畅线条彰显现代都市风格，男女通用款，打造复古潮流造型，演绎自由与个性的时尚态度。","refusal":null,"annotations":[]},"logprobs":null,"finish_reason":"stop"}],"usage":{"prompt_tokens":1298,"completion_tokens":65,"total_tokens":1363,"prompt_tokens_details":{"cached_tokens":0,"audio_tokens":0},"completion_tokens_details":{"reasoning_tokens":0,"audio_tokens":0,"accepted_prediction_tokens":0,"rejected_prediction_tokens":0}},"service_tier":"default","system_fingerprint":"fp_fd471178c5"}</t>
        </is>
      </c>
      <c r="X178" t="inlineStr">
        <is>
          <t>Fake me：RED ZONE系列黑色时尚墨镜，轻盈树脂材质搭配简约圆框设计，流畅线条彰显现代都市风格，男女通用款，打造复古潮流造型，演绎自由与个性的时尚态度。</t>
        </is>
      </c>
    </row>
    <row r="179" ht="25.5" customHeight="1">
      <c r="A179">
        <v>1654975475</v>
      </c>
      <c r="B179">
        <v>7623205195</v>
      </c>
      <c r="C179" s="2" t="str">
        <f>=HYPERLINK("https://weidian.com/item.html?itemID=7623205195", "https://weidian.com/item.html?itemID=7623205195")</f>
        <v>https://weidian.com/item.html?itemID=7623205195</v>
      </c>
      <c r="D179"/>
      <c r="E179" s="2" t="str">
        <f>=HYPERLINK("https://si.geilicdn.com/pcitem2014204438-19790000019adf51bbec0a239646_1440_1920.jpg?w=640&amp;h=640", "https://si.geilicdn.com/pcitem2014204438-19790000019adf51bbec0a239646_1440_1920.jpg?w=640&amp;h=640")</f>
        <v>https://si.geilicdn.com/pcitem2014204438-19790000019adf51bbec0a239646_1440_1920.jpg?w=640&amp;h=640</v>
      </c>
      <c r="F179" t="inlineStr">
        <is>
          <t>Glasses</t>
        </is>
      </c>
      <c r="G179" t="inlineStr">
        <is>
          <t>Gucci</t>
        </is>
      </c>
      <c r="H179">
        <v>380</v>
      </c>
      <c r="I179">
        <v>55.07</v>
      </c>
      <c r="J179" t="inlineStr">
        <is>
          <t>{"id":"chatcmpl-DZoDnypm5FEsJfU7xYNNrwyKdjaoY","object":"chat.completion","created":1777426903,"model":"gpt-5-chat-2025-10-03","choices":[{"index":0,"message":{"role":"assistant","content":"Gucci Black Aviator Metal Sunglasses for Men Women","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fd471178c5"}</t>
        </is>
      </c>
      <c r="K179" t="inlineStr">
        <is>
          <t>Gucci Black Aviator Metal Sunglasses for Men Women</t>
        </is>
      </c>
      <c r="L179" t="inlineStr">
        <is>
          <t>{"id":"chatcmpl-DZo49Jq1OUxT7iozt0JYSZYQtwNdp","object":"chat.completion","created":1777426305,"model":"gpt-5-chat-2025-10-03","choices":[{"index":0,"message":{"role":"assistant","content":"Gucci black aviator sunglasses with lightweight metal frame and gray-black lenses, featuring sleek minimalist design for men and women, embodying timeless Italian elegance and modern urban style.","refusal":null,"annotations":[]},"logprobs":null,"finish_reason":"stop"}],"usage":{"prompt_tokens":888,"completion_tokens":35,"total_tokens":923,"prompt_tokens_details":{"cached_tokens":0,"audio_tokens":0},"completion_tokens_details":{"reasoning_tokens":0,"audio_tokens":0,"accepted_prediction_tokens":0,"rejected_prediction_tokens":0}},"service_tier":"default","system_fingerprint":"fp_fd471178c5"}</t>
        </is>
      </c>
      <c r="M179" t="inlineStr">
        <is>
          <t>{"alt-svc":"h3=\":443\"; ma=2592000","apim-request-id":"5c3120c9-cdf3-401f-92b4-d703fdc1251e","azureml-model-session":"d20260428165144-a78ba574","cache-control":"no-cache","connection":"close","content-length":"1003","content-type":"application/json","date":"Wed, 29 Apr 2026 01:31:46 GMT","server":"nginx","skip-error-remapping":"true","strict-transport-security":"max-age=31536000; includeSubDomains; preload","via":"1.1 Caddy","x-content-type-options":"nosniff","x-ms-client-request-id":"Not-Set","x-ms-is-spilled-over":"false","x-ms-rai-invoked":"false","x-ms-region":"East US","x-new-api-version":"0.4.35","x-oneapi-request-id":"202604290131444570300438268d9d6n5BgZHtl","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e6f5df0c-5400-4ede-a077-81962fe943bf"}</t>
        </is>
      </c>
      <c r="N179" t="inlineStr">
        <is>
          <t>Gucci black aviator sunglasses with lightweight metal frame and gray-black lenses, featuring sleek minimalist design for men and women, embodying timeless Italian elegance and modern urban style.</t>
        </is>
      </c>
      <c r="O179" t="inlineStr">
        <is>
          <t>{"id":"chatcmpl-DZoQwgYIqrIZbkXQYF53K0TggX1RQ","object":"chat.completion","created":1777427718,"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9" t="inlineStr">
        <is>
          <t>Gucci,Glasses,kakobuy,kakebuy2026,kekobuysheet,kakobuysheet2026,2026kakobuy,kakobuyspreadsheeet,kakobuylink,kakebuylist,Kakobuy MEGA Spreadsheet,kakobuysheetfind,kakobuysheetfind2026,2026kakobuysheetfind,kakobuysheet2026</t>
        </is>
      </c>
      <c r="Q179" t="inlineStr">
        <is>
          <t>Black, Minimalist, Sleek, Unisex, Elegant</t>
        </is>
      </c>
      <c r="R179" t="inlineStr">
        <is>
          <t>recvhju1Cr3vNS</t>
        </is>
      </c>
      <c r="S179" t="inlineStr">
        <is>
          <t>gucci-black-aviator-metal-sunglasses-recvhju1cr3vns</t>
        </is>
      </c>
      <c r="T179"/>
      <c r="U179"/>
      <c r="V179"/>
      <c r="W179" t="inlineStr">
        <is>
          <t>{"id":"chatcmpl-DZo0Hwy4W4Vffv5mwDD8u2ewQOoHD","object":"chat.completion","created":1777426065,"model":"gpt-5-chat-2025-10-03","choices":[{"index":0,"message":{"role":"assistant","content":"Gucci：黑色飞行员太阳眼镜，轻盈金属镜框搭配灰黑镜片，极简流线设计展现现代都市风格，男女皆宜，彰显经典意式优雅与时尚态度。","refusal":null,"annotations":[]},"logprobs":null,"finish_reason":"stop"}],"usage":{"prompt_tokens":1298,"completion_tokens":55,"total_tokens":1353,"prompt_tokens_details":{"cached_tokens":0,"audio_tokens":0},"completion_tokens_details":{"reasoning_tokens":0,"audio_tokens":0,"accepted_prediction_tokens":0,"rejected_prediction_tokens":0}},"service_tier":"default","system_fingerprint":"fp_ad66631dec"}</t>
        </is>
      </c>
      <c r="X179" t="inlineStr">
        <is>
          <t>Gucci：黑色飞行员太阳眼镜，轻盈金属镜框搭配灰黑镜片，极简流线设计展现现代都市风格，男女皆宜，彰显经典意式优雅与时尚态度。</t>
        </is>
      </c>
    </row>
    <row r="180" ht="25.5" customHeight="1">
      <c r="A180">
        <v>1654975475</v>
      </c>
      <c r="B180">
        <v>7623206117</v>
      </c>
      <c r="C180" s="2" t="str">
        <f>=HYPERLINK("https://weidian.com/item.html?itemID=7623206117", "https://weidian.com/item.html?itemID=7623206117")</f>
        <v>https://weidian.com/item.html?itemID=7623206117</v>
      </c>
      <c r="D180"/>
      <c r="E180" s="2" t="str">
        <f>=HYPERLINK("https://si.geilicdn.com/pcitem2014204438-1bbb0000019adf5053e30a239846_1074_1074.jpg?w=640&amp;h=640", "https://si.geilicdn.com/pcitem2014204438-1bbb0000019adf5053e30a239846_1074_1074.jpg?w=640&amp;h=640")</f>
        <v>https://si.geilicdn.com/pcitem2014204438-1bbb0000019adf5053e30a239846_1074_1074.jpg?w=640&amp;h=640</v>
      </c>
      <c r="F180" t="inlineStr">
        <is>
          <t>Glasses</t>
        </is>
      </c>
      <c r="G180" t="inlineStr">
        <is>
          <t>Versace</t>
        </is>
      </c>
      <c r="H180">
        <v>370</v>
      </c>
      <c r="I180">
        <v>53.62</v>
      </c>
      <c r="J180" t="inlineStr">
        <is>
          <t>{"id":"chatcmpl-DZoCC9FfUGT6thViWQTO4H0bsUmjD","object":"chat.completion","created":1777426804,"model":"gpt-5-chat-2025-10-03","choices":[{"index":0,"message":{"role":"assistant","content":"Versace Black Square Unisex UV Protection Sunglasses","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180" t="inlineStr">
        <is>
          <t>Versace Black Square Unisex UV Protection Sunglasses</t>
        </is>
      </c>
      <c r="L180" t="inlineStr">
        <is>
          <t>{"id":"chatcmpl-DZo4nOZlRwXDXEwMQySfPoDv229QG","object":"chat.completion","created":1777426345,"model":"gpt-5-chat-2025-10-03","choices":[{"index":0,"message":{"role":"assistant","content":"Versace Black Square Sunglasses feature glossy acetate frames, metal-cut logo temples, bold modern lines, unisex design, premium UV protection, and a sleek touch of Italian luxury fashion.","refusal":null,"annotations":[]},"logprobs":null,"finish_reason":"stop"}],"usage":{"prompt_tokens":906,"completion_tokens":38,"total_tokens":944,"prompt_tokens_details":{"cached_tokens":0,"audio_tokens":0},"completion_tokens_details":{"reasoning_tokens":0,"audio_tokens":0,"accepted_prediction_tokens":0,"rejected_prediction_tokens":0}},"service_tier":"default","system_fingerprint":"fp_ad66631dec"}</t>
        </is>
      </c>
      <c r="M180" t="inlineStr">
        <is>
          <t>{"alt-svc":"h3=\":443\"; ma=2592000","apim-request-id":"33d0dfac-35d9-4eb1-8b35-19c0b468bc04","azureml-model-session":"d20260402084046-4209e968","cache-control":"no-cache","connection":"close","content-length":"996","content-type":"application/json","date":"Wed, 29 Apr 2026 01:32:27 GMT","server":"nginx","skip-error-remapping":"true","strict-transport-security":"max-age=31536000; includeSubDomains; preload","via":"1.1 Caddy","x-content-type-options":"nosniff","x-ms-client-request-id":"Not-Set","x-ms-is-spilled-over":"false","x-ms-rai-invoked":"false","x-ms-region":"West US","x-new-api-version":"0.4.35","x-oneapi-request-id":"202604290132246802326938268d9d6mMIRcDfM","x-ratelimit-abusepenalty-active":"False","x-ratelimit-key":"gpt-5-chat-global","x-ratelimit-limit-requests":"1000","x-ratelimit-limit-tokens":"1000000","x-ratelimit-remaining-requests":"999","x-ratelimit-remaining-tokens":"998044","x-ratelimit-renewalperiod-requests":"60","x-ratelimit-renewalperiod-tokens":"60","x-ratelimit-reset-requests":"60","x-ratelimit-reset-tokens":"117","x-request-id":"f4a6e231-8683-4045-bb9a-a0935f1cba2d"}</t>
        </is>
      </c>
      <c r="N180" t="inlineStr">
        <is>
          <t>Versace Black Square Sunglasses feature glossy acetate frames, metal-cut logo temples, bold modern lines, unisex design, premium UV protection, and a sleek touch of Italian luxury fashion.</t>
        </is>
      </c>
      <c r="O180" t="inlineStr">
        <is>
          <t>{"id":"chatcmpl-DZoPOKpffk6FDPtPY1RwCoa6ahToh","object":"chat.completion","created":1777427622,"model":"gpt-5-chat-2025-10-03","choices":[{"index":0,"message":{"role":"assistant","content":"Versac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80" t="inlineStr">
        <is>
          <t>Versace,Glasses,kakobuy,kakebuy2026,kekobuysheet,kakobuysheet2026,2026kakobuy,kakobuyspreadsheeet,kakobuylink,kakebuylist,Kakobuy MEGA Spreadsheet,kakobuysheetfind,kakobuysheetfind2026,2026kakobuysheetfind,kakobuysheet2026</t>
        </is>
      </c>
      <c r="Q180" t="inlineStr">
        <is>
          <t>Unisex, Anti-Ultraviolet, Acetate Fiber, Modern, Sleek, Black</t>
        </is>
      </c>
      <c r="R180" t="inlineStr">
        <is>
          <t>recvhju1Cr8oW6</t>
        </is>
      </c>
      <c r="S180" t="inlineStr">
        <is>
          <t>versace-black-square-uv-sunglasses-recvhju1cr8ow6</t>
        </is>
      </c>
      <c r="T180"/>
      <c r="U180"/>
      <c r="V180"/>
      <c r="W180" t="inlineStr">
        <is>
          <t>{"id":"chatcmpl-DZnz323YLvxJKIS29bipKw2CUCuwr","object":"chat.completion","created":1777425989,"model":"gpt-5-chat-2025-10-03","choices":[{"index":0,"message":{"role":"assistant","content":"Versace：黑色方框太阳镜，采用高光泽醋酸纤维材质，镜腿金属镂空品牌字样设计，线条硬朗彰显现代简约奢华风格，男女通用，防紫外线功能卓越，展现意式时尚态度。","refusal":null,"annotations":[]},"logprobs":null,"finish_reason":"stop"}],"usage":{"prompt_tokens":1300,"completion_tokens":72,"total_tokens":1372,"prompt_tokens_details":{"cached_tokens":0,"audio_tokens":0},"completion_tokens_details":{"reasoning_tokens":0,"audio_tokens":0,"accepted_prediction_tokens":0,"rejected_prediction_tokens":0}},"service_tier":"default","system_fingerprint":"fp_ad66631dec"}</t>
        </is>
      </c>
      <c r="X180" t="inlineStr">
        <is>
          <t>Versace：黑色方框太阳镜，采用高光泽醋酸纤维材质，镜腿金属镂空品牌字样设计，线条硬朗彰显现代简约奢华风格，男女通用，防紫外线功能卓越，展现意式时尚态度。</t>
        </is>
      </c>
    </row>
    <row r="181" ht="25.5" customHeight="1">
      <c r="A181">
        <v>1654975475</v>
      </c>
      <c r="B181">
        <v>7623155565</v>
      </c>
      <c r="C181" s="2" t="str">
        <f>=HYPERLINK("https://weidian.com/item.html?itemID=7623155565", "https://weidian.com/item.html?itemID=7623155565")</f>
        <v>https://weidian.com/item.html?itemID=7623155565</v>
      </c>
      <c r="D181"/>
      <c r="E181" s="2" t="str">
        <f>=HYPERLINK("https://si.geilicdn.com/pcitem2014204438-16900000019adf2ba4540a20e672_1440_1920.jpg?w=640&amp;h=640", "https://si.geilicdn.com/pcitem2014204438-16900000019adf2ba4540a20e672_1440_1920.jpg?w=640&amp;h=640")</f>
        <v>https://si.geilicdn.com/pcitem2014204438-16900000019adf2ba4540a20e672_1440_1920.jpg?w=640&amp;h=640</v>
      </c>
      <c r="F181" t="inlineStr">
        <is>
          <t>Glasses</t>
        </is>
      </c>
      <c r="G181" t="inlineStr">
        <is>
          <t>Celine</t>
        </is>
      </c>
      <c r="H181">
        <v>390</v>
      </c>
      <c r="I181">
        <v>56.52</v>
      </c>
      <c r="J181" t="inlineStr">
        <is>
          <t>{"id":"chatcmpl-DZoHO4WONIoynvRdfUdx5fKlFCe0I","object":"chat.completion","created":1777427126,"model":"gpt-5-chat-2025-10-03","choices":[{"index":0,"message":{"role":"assistant","content":"Celine Triomphe Black Square Acetate Sunglasses","refusal":null,"annotations":[]},"logprobs":null,"finish_reason":"stop"}],"usage":{"prompt_tokens":872,"completion_tokens":13,"total_tokens":885,"prompt_tokens_details":{"cached_tokens":0,"audio_tokens":0},"completion_tokens_details":{"reasoning_tokens":0,"audio_tokens":0,"accepted_prediction_tokens":0,"rejected_prediction_tokens":0}},"service_tier":"default","system_fingerprint":"fp_ad66631dec"}</t>
        </is>
      </c>
      <c r="K181" t="inlineStr">
        <is>
          <t>Celine Triomphe Black Square Acetate Sunglasses</t>
        </is>
      </c>
      <c r="L181" t="inlineStr">
        <is>
          <t>{"id":"chatcmpl-DZo5NEZS0xqMLeMgNHN75iHI1oxYS","object":"chat.completion","created":1777426381,"model":"gpt-5-chat-2025-10-03","choices":[{"index":0,"message":{"role":"assistant","content":"CELINE Triomphe Black Square Sunglasses – crafted from glossy acetate with iconic Double C temples, minimalist French style for men and women, exuding sleek urban sophistication.","refusal":null,"annotations":[]},"logprobs":null,"finish_reason":"stop"}],"usage":{"prompt_tokens":897,"completion_tokens":35,"total_tokens":932,"prompt_tokens_details":{"cached_tokens":0,"audio_tokens":0},"completion_tokens_details":{"reasoning_tokens":0,"audio_tokens":0,"accepted_prediction_tokens":0,"rejected_prediction_tokens":0}},"service_tier":"default","system_fingerprint":"fp_ad66631dec"}</t>
        </is>
      </c>
      <c r="M181" t="inlineStr">
        <is>
          <t>{"alt-svc":"h3=\":443\"; ma=2592000","apim-request-id":"58ce5e4b-8f42-4152-b82f-ccfb869ce37c","azureml-model-session":"d20260405225800-40f19e54","cache-control":"no-cache","connection":"close","content-length":"988","content-type":"application/json","date":"Wed, 29 Apr 2026 01:33:02 GMT","server":"Caddy","skip-error-remapping":"true","strict-transport-security":"max-age=31536000; includeSubDomains; preload","x-content-type-options":"nosniff","x-ms-client-request-id":"Not-Set","x-ms-is-spilled-over":"false","x-ms-rai-invoked":"false","x-ms-region":"East US 2","x-new-api-version":"0.4.35","x-oneapi-request-id":"20260429013300180922358268d9d6lDli3JTP","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12ef0acf-bb36-447b-bced-970cd22f6642"}</t>
        </is>
      </c>
      <c r="N181" t="inlineStr">
        <is>
          <t>CELINE Triomphe Black Square Sunglasses – crafted from glossy acetate with iconic Double C temples, minimalist French style for men and women, exuding sleek urban sophistication.</t>
        </is>
      </c>
      <c r="O181" t="inlineStr">
        <is>
          <t>{"id":"chatcmpl-DZoRNJAiuvqfrTfHYI1QjyIqCtApM","object":"chat.completion","created":1777427745,"model":"gpt-5-chat-2025-10-03","choices":[{"index":0,"message":{"role":"assistant","content":"Celine,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1" t="inlineStr">
        <is>
          <t>Celine,Glasses,kakobuy,kakebuy2026,kekobuysheet,kakobuysheet2026,2026kakobuy,kakobuyspreadsheeet,kakobuylink,kakebuylist,Kakobuy MEGA Spreadsheet,kakobuysheetfind,kakobuysheetfind2026,2026kakobuysheetfind,kakobuysheet2026</t>
        </is>
      </c>
      <c r="Q181" t="inlineStr">
        <is>
          <t>Celine, Minimalist, Sleek, Men's And Women's, Acetate Fiber, Black</t>
        </is>
      </c>
      <c r="R181" t="inlineStr">
        <is>
          <t>recvhju1Crtc7F</t>
        </is>
      </c>
      <c r="S181" t="inlineStr">
        <is>
          <t>celine-triomphe-black-square-acetate-sunglasses-recvhju1crtc7f</t>
        </is>
      </c>
      <c r="T181"/>
      <c r="U181"/>
      <c r="V181"/>
      <c r="W181" t="inlineStr">
        <is>
          <t>{"id":"chatcmpl-DZntfOKoO8UBXnm1ecjTBy3xABWlZ","object":"chat.completion","created":1777425655,"model":"gpt-5-chat-2025-10-03","choices":[{"index":0,"message":{"role":"assistant","content":"Celine：黑色凯旋门系列方框太阳镜，采用高光醋酸纤维材质，镜腿饰以品牌经典双C标识，极简现代造型展现法式高级风格，男女皆宜，彰显利落都市美学。","refusal":null,"annotations":[]},"logprobs":null,"finish_reason":"stop"}],"usage":{"prompt_tokens":1300,"completion_tokens":63,"total_tokens":1363,"prompt_tokens_details":{"cached_tokens":1280,"audio_tokens":0},"completion_tokens_details":{"reasoning_tokens":0,"audio_tokens":0,"accepted_prediction_tokens":0,"rejected_prediction_tokens":0}},"service_tier":"default","system_fingerprint":"fp_ad66631dec"}</t>
        </is>
      </c>
      <c r="X181" t="inlineStr">
        <is>
          <t>Celine：黑色凯旋门系列方框太阳镜，采用高光醋酸纤维材质，镜腿饰以品牌经典双C标识，极简现代造型展现法式高级风格，男女皆宜，彰显利落都市美学。</t>
        </is>
      </c>
    </row>
    <row r="182" ht="25.5" customHeight="1">
      <c r="A182">
        <v>1654975475</v>
      </c>
      <c r="B182">
        <v>7623197127</v>
      </c>
      <c r="C182" s="2" t="str">
        <f>=HYPERLINK("https://weidian.com/item.html?itemID=7623197127", "https://weidian.com/item.html?itemID=7623197127")</f>
        <v>https://weidian.com/item.html?itemID=7623197127</v>
      </c>
      <c r="D182"/>
      <c r="E182" s="2" t="str">
        <f>=HYPERLINK("https://si.geilicdn.com/pcitem2014204438-642b0000019adf2811560a811411_1440_1920.jpg?w=640&amp;h=640", "https://si.geilicdn.com/pcitem2014204438-642b0000019adf2811560a811411_1440_1920.jpg?w=640&amp;h=640")</f>
        <v>https://si.geilicdn.com/pcitem2014204438-642b0000019adf2811560a811411_1440_1920.jpg?w=640&amp;h=640</v>
      </c>
      <c r="F182" t="inlineStr">
        <is>
          <t>Glasses</t>
        </is>
      </c>
      <c r="G182" t="inlineStr">
        <is>
          <t>Gucci</t>
        </is>
      </c>
      <c r="H182">
        <v>420</v>
      </c>
      <c r="I182">
        <v>60.87</v>
      </c>
      <c r="J182" t="inlineStr">
        <is>
          <t>{"id":"chatcmpl-DZoG6trHA86dScvgdYCVfVAxnqzYc","object":"chat.completion","created":1777427046,"model":"gpt-5-chat-2025-10-03","choices":[{"index":0,"message":{"role":"assistant","content":"Gucci Black Square Metal UV Gray Sunglasse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182" t="inlineStr">
        <is>
          <t>Gucci Black Square Metal UV Gray Sunglasses</t>
        </is>
      </c>
      <c r="L182" t="inlineStr">
        <is>
          <t>{"id":"chatcmpl-DZo9RDnyhvnrkG77noEFgTJ1IFHrs","object":"chat.completion","created":1777426633,"model":"gpt-5-chat-2025-10-03","choices":[{"index":0,"message":{"role":"assistant","content":"Gucci Black Square Sunglasses with metal frame and gray UV-protection lenses, showcasing minimalist geometric style for modern luxury, unisex design for urban elite sophistication.","refusal":null,"annotations":[]},"logprobs":null,"finish_reason":"stop"}],"usage":{"prompt_tokens":885,"completion_tokens":33,"total_tokens":918,"prompt_tokens_details":{"cached_tokens":0,"audio_tokens":0},"completion_tokens_details":{"reasoning_tokens":0,"audio_tokens":0,"accepted_prediction_tokens":0,"rejected_prediction_tokens":0}},"service_tier":"default","system_fingerprint":"fp_ad66631dec"}</t>
        </is>
      </c>
      <c r="M182" t="inlineStr">
        <is>
          <t>{"alt-svc":"h3=\":443\"; ma=2592000","apim-request-id":"4264f81a-15c8-405c-a017-449f80e9beff","azureml-model-session":"d20260402074105-51db401e","cache-control":"no-cache","connection":"close","content-length":"988","content-type":"application/json","date":"Wed, 29 Apr 2026 01:37:15 GMT","server":"nginx","skip-error-remapping":"true","strict-transport-security":"max-age=31536000; includeSubDomains; preload","via":"1.1 Caddy","x-content-type-options":"nosniff","x-ms-client-request-id":"Not-Set","x-ms-is-spilled-over":"false","x-ms-rai-invoked":"false","x-ms-region":"South Central US","x-new-api-version":"0.4.35","x-oneapi-request-id":"202604290137125363161768268d9d6MyXL5SyK","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e7f24c1f-c29a-4a55-b27f-4f62eb26fe0b"}</t>
        </is>
      </c>
      <c r="N182" t="inlineStr">
        <is>
          <t>Gucci Black Square Sunglasses with metal frame and gray UV-protection lenses, showcasing minimalist geometric style for modern luxury, unisex design for urban elite sophistication.</t>
        </is>
      </c>
      <c r="O182" t="inlineStr">
        <is>
          <t>{"id":"chatcmpl-DZoP9TySNCg4p3ecAhAKodrEiYMM1","object":"chat.completion","created":1777427607,"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2" t="inlineStr">
        <is>
          <t>Gucci,Glasses,kakobuy,kakebuy2026,kekobuysheet,kakobuysheet2026,2026kakobuy,kakobuyspreadsheeet,kakobuylink,kakebuylist,Kakobuy MEGA Spreadsheet,kakobuysheetfind,kakobuysheetfind2026,2026kakobuysheetfind,kakobuysheet2026</t>
        </is>
      </c>
      <c r="Q182" t="inlineStr">
        <is>
          <t>Black, Gray, Minimalist, Geometric, Unisex</t>
        </is>
      </c>
      <c r="R182" t="inlineStr">
        <is>
          <t>recvhju1Cr4zCg</t>
        </is>
      </c>
      <c r="S182" t="inlineStr">
        <is>
          <t>gucci-black-square-metal-uv-gray-sunglasses-recvhju1cr4zcg</t>
        </is>
      </c>
      <c r="T182"/>
      <c r="U182"/>
      <c r="V182"/>
      <c r="W182" t="inlineStr">
        <is>
          <t>{"id":"chatcmpl-DZnu9aCyva7TZ2xR7bBHqTA6axGNU","object":"chat.completion","created":1777425685,"model":"gpt-5-chat-2025-10-03","choices":[{"index":0,"message":{"role":"assistant","content":"Gucci：黑色方框太阳镜，采用金属镜架与灰色防紫外线镜片，极简几何设计展现现代奢华格调，男女通用，彰显都市精英气质。","refusal":null,"annotations":[]},"logprobs":null,"finish_reason":"stop"}],"usage":{"prompt_tokens":1298,"completion_tokens":52,"total_tokens":1350,"prompt_tokens_details":{"cached_tokens":0,"audio_tokens":0},"completion_tokens_details":{"reasoning_tokens":0,"audio_tokens":0,"accepted_prediction_tokens":0,"rejected_prediction_tokens":0}},"service_tier":"default","system_fingerprint":"fp_fd471178c5"}</t>
        </is>
      </c>
      <c r="X182" t="inlineStr">
        <is>
          <t>Gucci：黑色方框太阳镜，采用金属镜架与灰色防紫外线镜片，极简几何设计展现现代奢华格调，男女通用，彰显都市精英气质。</t>
        </is>
      </c>
    </row>
    <row r="183" ht="25.5" customHeight="1">
      <c r="A183">
        <v>1654975475</v>
      </c>
      <c r="B183">
        <v>7626216270</v>
      </c>
      <c r="C183" s="2" t="str">
        <f>=HYPERLINK("https://weidian.com/item.html?itemID=7626216270", "https://weidian.com/item.html?itemID=7626216270")</f>
        <v>https://weidian.com/item.html?itemID=7626216270</v>
      </c>
      <c r="D183"/>
      <c r="E183" s="2" t="str">
        <f>=HYPERLINK("https://si.geilicdn.com/pcitem2014204438-12c20000019adf1fbfd60a20e672_1440_1920.jpg?w=640&amp;h=640", "https://si.geilicdn.com/pcitem2014204438-12c20000019adf1fbfd60a20e672_1440_1920.jpg?w=640&amp;h=640")</f>
        <v>https://si.geilicdn.com/pcitem2014204438-12c20000019adf1fbfd60a20e672_1440_1920.jpg?w=640&amp;h=640</v>
      </c>
      <c r="F183" t="inlineStr">
        <is>
          <t>Glasses</t>
        </is>
      </c>
      <c r="G183" t="inlineStr">
        <is>
          <t>Gucci</t>
        </is>
      </c>
      <c r="H183">
        <v>370</v>
      </c>
      <c r="I183">
        <v>53.62</v>
      </c>
      <c r="J183" t="inlineStr">
        <is>
          <t>{"id":"chatcmpl-DZoEvdMjZGeHLZ9X28XLxj8qmRcn6","object":"chat.completion","created":1777426973,"model":"gpt-5-chat-2025-10-03","choices":[{"index":0,"message":{"role":"assistant","content":"Gucci Beige Square Frame Unisex UV Protection Sunglasses","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183" t="inlineStr">
        <is>
          <t>Gucci Beige Square Frame Unisex UV Protection Sunglasses</t>
        </is>
      </c>
      <c r="L183" t="inlineStr">
        <is>
          <t>{"id":"chatcmpl-DZo7n7BKhwDYMGPKNF02oyxZvEKJ0","object":"chat.completion","created":1777426531,"model":"gpt-5-chat-2025-10-03","choices":[{"index":0,"message":{"role":"assistant","content":"Gucci Beige Wide Frame Sunglasses – lightweight acetate, futuristic square design with integrated black lenses, UV protection, unisex minimalist style for summer and urban fashion.","refusal":null,"annotations":[]},"logprobs":null,"finish_reason":"stop"}],"usage":{"prompt_tokens":918,"completion_tokens":33,"total_tokens":951,"prompt_tokens_details":{"cached_tokens":0,"audio_tokens":0},"completion_tokens_details":{"reasoning_tokens":0,"audio_tokens":0,"accepted_prediction_tokens":0,"rejected_prediction_tokens":0}},"service_tier":"default","system_fingerprint":"fp_ad66631dec"}</t>
        </is>
      </c>
      <c r="M183" t="inlineStr">
        <is>
          <t>{"alt-svc":"h3=\":443\"; ma=2592000","apim-request-id":"080924ab-dc5d-4d5a-a60a-4c79319d2677","azureml-model-session":"d20260402075109-1fc5a0ec","cache-control":"no-cache","connection":"close","content-length":"990","content-type":"application/json","date":"Wed, 29 Apr 2026 01:35:34 GMT","server":"Caddy","skip-error-remapping":"true","strict-transport-security":"max-age=31536000; includeSubDomains; preload","x-content-type-options":"nosniff","x-ms-client-request-id":"Not-Set","x-ms-is-spilled-over":"false","x-ms-rai-invoked":"false","x-ms-region":"Poland Central","x-new-api-version":"0.4.35","x-oneapi-request-id":"202604290135298847340718268d9d6NQ1aW2lT","x-ratelimit-abusepenalty-active":"False","x-ratelimit-key":"gpt-5-chat-global","x-ratelimit-limit-requests":"1000","x-ratelimit-limit-tokens":"1000000","x-ratelimit-remaining-requests":"999","x-ratelimit-remaining-tokens":"998320","x-ratelimit-renewalperiod-requests":"60","x-ratelimit-renewalperiod-tokens":"60","x-ratelimit-reset-requests":"60","x-ratelimit-reset-tokens":"100","x-request-id":"f05311ea-d4c4-405b-8d4f-905575a9b955"}</t>
        </is>
      </c>
      <c r="N183" t="inlineStr">
        <is>
          <t>Gucci Beige Wide Frame Sunglasses – lightweight acetate, futuristic square design with integrated black lenses, UV protection, unisex minimalist style for summer and urban fashion.</t>
        </is>
      </c>
      <c r="O183" t="inlineStr">
        <is>
          <t>{"id":"chatcmpl-DZoPrOkNTAdB1bYM4TUKaoaQsnwp7","object":"chat.completion","created":1777427651,"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3" t="inlineStr">
        <is>
          <t>Gucci,Glasses,kakobuy,kakebuy2026,kekobuysheet,kakobuysheet2026,2026kakobuy,kakobuyspreadsheeet,kakobuylink,kakebuylist,Kakobuy MEGA Spreadsheet,kakobuysheetfind,kakobuysheetfind2026,2026kakobuysheetfind,kakobuysheet2026</t>
        </is>
      </c>
      <c r="Q183" t="inlineStr">
        <is>
          <t>Beige, Lightweight, Anti-Ultraviolet, Unisex, Minimalist, Summer</t>
        </is>
      </c>
      <c r="R183" t="inlineStr">
        <is>
          <t>recvhju1CrFpgP</t>
        </is>
      </c>
      <c r="S183" t="inlineStr">
        <is>
          <t>gucci-beige-square-frame-sunglasses-recvhju1crfpgp</t>
        </is>
      </c>
      <c r="T183"/>
      <c r="U183"/>
      <c r="V183"/>
      <c r="W183" t="inlineStr">
        <is>
          <t>{"id":"chatcmpl-DZnvfGcOCMKez6vGWq7mrS0mAutgF","object":"chat.completion","created":1777425779,"model":"gpt-5-chat-2025-10-03","choices":[{"index":0,"message":{"role":"assistant","content":"Gucci：米色宽框太阳眼镜，采用高密度轻质醋酸纤维材质，大面积方形设计与一体式黑色镜片，展现未来感极简风格，男女皆宜。抗UV性能卓越，适合都市休闲及夏日出行穿搭，延续Gucci现代奢华美学。","refusal":null,"annotations":[]},"logprobs":null,"finish_reason":"stop"}],"usage":{"prompt_tokens":1302,"completion_tokens":83,"total_tokens":1385,"prompt_tokens_details":{"cached_tokens":0,"audio_tokens":0},"completion_tokens_details":{"reasoning_tokens":0,"audio_tokens":0,"accepted_prediction_tokens":0,"rejected_prediction_tokens":0}},"service_tier":"default","system_fingerprint":"fp_ad66631dec"}</t>
        </is>
      </c>
      <c r="X183" t="inlineStr">
        <is>
          <t>Gucci：米色宽框太阳眼镜，采用高密度轻质醋酸纤维材质，大面积方形设计与一体式黑色镜片，展现未来感极简风格，男女皆宜。抗UV性能卓越，适合都市休闲及夏日出行穿搭，延续Gucci现代奢华美学。</t>
        </is>
      </c>
    </row>
    <row r="184" ht="25.5" customHeight="1">
      <c r="A184">
        <v>1654975475</v>
      </c>
      <c r="B184">
        <v>7623239669</v>
      </c>
      <c r="C184" s="2" t="str">
        <f>=HYPERLINK("https://weidian.com/item.html?itemID=7623239669", "https://weidian.com/item.html?itemID=7623239669")</f>
        <v>https://weidian.com/item.html?itemID=7623239669</v>
      </c>
      <c r="D184"/>
      <c r="E184" s="2" t="str">
        <f>=HYPERLINK("https://si.geilicdn.com/pcitem2014204438-747a0000019ade8e712d0a2303ee_1440_1920.jpg?w=640&amp;h=640", "https://si.geilicdn.com/pcitem2014204438-747a0000019ade8e712d0a2303ee_1440_1920.jpg?w=640&amp;h=640")</f>
        <v>https://si.geilicdn.com/pcitem2014204438-747a0000019ade8e712d0a2303ee_1440_1920.jpg?w=640&amp;h=640</v>
      </c>
      <c r="F184" t="inlineStr">
        <is>
          <t>Glasses</t>
        </is>
      </c>
      <c r="G184" t="inlineStr">
        <is>
          <t>Dior</t>
        </is>
      </c>
      <c r="H184">
        <v>370</v>
      </c>
      <c r="I184">
        <v>53.62</v>
      </c>
      <c r="J184" t="inlineStr">
        <is>
          <t>{"id":"chatcmpl-DZoIJ7lnciCsKWjK7WCQB5tMTuGLc","object":"chat.completion","created":1777427183,"model":"gpt-5-chat-2025-10-03","choices":[{"index":0,"message":{"role":"assistant","content":"Dior Classic Black-Grey Gradient UV Protection Sunglasses","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184" t="inlineStr">
        <is>
          <t>Dior Classic Black-Grey Gradient UV Protection Sunglasses</t>
        </is>
      </c>
      <c r="L184" t="inlineStr">
        <is>
          <t>{"id":"chatcmpl-DZo3zm5K5eU4zi2WlH0EHLDVLYd1K","object":"chat.completion","created":1777426295,"model":"gpt-5-chat-2025-10-03","choices":[{"index":0,"message":{"role":"assistant","content":"Dior Classic Black-Grey Gradient Sunglasses feature a lightweight metal frame, signature logo hinge, UV protection, and modern minimalist unisex style for elegant sophistication.","refusal":null,"annotations":[]},"logprobs":null,"finish_reason":"stop"}],"usage":{"prompt_tokens":898,"completion_tokens":33,"total_tokens":931,"prompt_tokens_details":{"cached_tokens":0,"audio_tokens":0},"completion_tokens_details":{"reasoning_tokens":0,"audio_tokens":0,"accepted_prediction_tokens":0,"rejected_prediction_tokens":0}},"service_tier":"default","system_fingerprint":"fp_ad66631dec"}</t>
        </is>
      </c>
      <c r="M184" t="inlineStr">
        <is>
          <t>{"alt-svc":"h3=\":443\"; ma=2592000","apim-request-id":"30042933-1ed3-4bc6-bf99-cc5ef47dd883","azureml-model-session":"d20260402074105-51db401e","cache-control":"no-cache","connection":"close","content-length":"986","content-type":"application/json","date":"Wed, 29 Apr 2026 01:31:37 GMT","server":"Caddy","skip-error-remapping":"true","strict-transport-security":"max-age=31536000; includeSubDomains; preload","x-content-type-options":"nosniff","x-ms-client-request-id":"Not-Set","x-ms-is-spilled-over":"false","x-ms-rai-invoked":"false","x-ms-region":"East US 2","x-new-api-version":"0.4.35","x-oneapi-request-id":"202604290131342629904418268d9d69vmGzUVg","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8d7faf83-60de-4732-ac17-a4125d2cade4"}</t>
        </is>
      </c>
      <c r="N184" t="inlineStr">
        <is>
          <t>Dior Classic Black-Grey Gradient Sunglasses feature a lightweight metal frame, signature logo hinge, UV protection, and modern minimalist unisex style for elegant sophistication.</t>
        </is>
      </c>
      <c r="O184" t="inlineStr">
        <is>
          <t>{"id":"chatcmpl-DZoJyn8e9UBqDY5t0KQVsiP5Sunq8","object":"chat.completion","created":1777427286,"model":"gpt-5-chat-2025-10-03","choices":[{"index":0,"message":{"role":"assistant","content":"Dior,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fd471178c5"}</t>
        </is>
      </c>
      <c r="P184" t="inlineStr">
        <is>
          <t>Dior,Glasses,kakobuy,kakebuy2026,kekobuysheet,kakobuysheet2026,2026kakobuy,kakobuyspreadsheeet,kakobuylink,kakebuylist,Kakobuy MEGA Spreadsheet,kakobuysheetfind,kakobuysheetfind2026,2026kakobuysheetfind,kakobuysheet2026</t>
        </is>
      </c>
      <c r="Q184" t="inlineStr">
        <is>
          <t>Dior, Black, Grey, Gradient, Lightweight, Unisex</t>
        </is>
      </c>
      <c r="R184" t="inlineStr">
        <is>
          <t>recvhju1CrTn31</t>
        </is>
      </c>
      <c r="S184" t="inlineStr">
        <is>
          <t>dior-black-grey-gradient-sunglasses-recvhju1crtn31</t>
        </is>
      </c>
      <c r="T184"/>
      <c r="U184"/>
      <c r="V184"/>
      <c r="W184" t="inlineStr">
        <is>
          <t>{"id":"chatcmpl-DZnzomBWYcpf6zreP4MGrjOqvfe9B","object":"chat.completion","created":1777426036,"model":"gpt-5-chat-2025-10-03","choices":[{"index":0,"message":{"role":"assistant","content":"Dior：经典黑灰渐变镜片太阳眼镜，轻盈金属镜框搭配精致Logo铰链设计，彰显现代极简美学，男女通用款，兼具防紫外线与时尚格调，尽显优雅魅力。","refusal":null,"annotations":[]},"logprobs":null,"finish_reason":"stop"}],"usage":{"prompt_tokens":1302,"completion_tokens":63,"total_tokens":1365,"prompt_tokens_details":{"cached_tokens":1280,"audio_tokens":0},"completion_tokens_details":{"reasoning_tokens":0,"audio_tokens":0,"accepted_prediction_tokens":0,"rejected_prediction_tokens":0}},"service_tier":"default","system_fingerprint":"fp_ad66631dec"}</t>
        </is>
      </c>
      <c r="X184" t="inlineStr">
        <is>
          <t>Dior：经典黑灰渐变镜片太阳眼镜，轻盈金属镜框搭配精致Logo铰链设计，彰显现代极简美学，男女通用款，兼具防紫外线与时尚格调，尽显优雅魅力。</t>
        </is>
      </c>
    </row>
    <row r="185" ht="25.5" customHeight="1">
      <c r="A185">
        <v>1654975475</v>
      </c>
      <c r="B185">
        <v>7626148662</v>
      </c>
      <c r="C185" s="2" t="str">
        <f>=HYPERLINK("https://weidian.com/item.html?itemID=7626148662", "https://weidian.com/item.html?itemID=7626148662")</f>
        <v>https://weidian.com/item.html?itemID=7626148662</v>
      </c>
      <c r="D185"/>
      <c r="E185" s="2" t="str">
        <f>=HYPERLINK("https://si.geilicdn.com/pcitem2014204438-13540000019ade86f2860a2103bd_1074_1074.jpg?w=640&amp;h=640", "https://si.geilicdn.com/pcitem2014204438-13540000019ade86f2860a2103bd_1074_1074.jpg?w=640&amp;h=640")</f>
        <v>https://si.geilicdn.com/pcitem2014204438-13540000019ade86f2860a2103bd_1074_1074.jpg?w=640&amp;h=640</v>
      </c>
      <c r="F185" t="inlineStr">
        <is>
          <t>Glasses</t>
        </is>
      </c>
      <c r="G185" t="inlineStr">
        <is>
          <t>Louis Vuitton</t>
        </is>
      </c>
      <c r="H185">
        <v>370</v>
      </c>
      <c r="I185">
        <v>53.62</v>
      </c>
      <c r="J185" t="inlineStr">
        <is>
          <t>{"id":"chatcmpl-DZoEeKVEePbAWlLZjvxBSoJ9abuy6","object":"chat.completion","created":1777426956,"model":"gpt-5-chat-2025-10-03","choices":[{"index":0,"message":{"role":"assistant","content":"Louis Vuitton Black Square Metal Sunglasses","refusal":null,"annotations":[]},"logprobs":null,"finish_reason":"stop"}],"usage":{"prompt_tokens":864,"completion_tokens":8,"total_tokens":872,"prompt_tokens_details":{"cached_tokens":0,"audio_tokens":0},"completion_tokens_details":{"reasoning_tokens":0,"audio_tokens":0,"accepted_prediction_tokens":0,"rejected_prediction_tokens":0}},"service_tier":"default","system_fingerprint":"fp_ad66631dec"}</t>
        </is>
      </c>
      <c r="K185" t="inlineStr">
        <is>
          <t>Louis Vuitton Black Square Metal Sunglasses</t>
        </is>
      </c>
      <c r="L185" t="inlineStr">
        <is>
          <t>{"id":"chatcmpl-DZo3KPaOrNZ3Ywih98JHHqgdGK4L4","object":"chat.completion","created":1777426254,"model":"gpt-5-chat-2025-10-03","choices":[{"index":0,"message":{"role":"assistant","content":"Louis Vuitton black square sunglasses in premium metal and acetate, featuring iconic floral studs, UV protection, unisex design for modern urban style and refined craftsmanship.","refusal":null,"annotations":[]},"logprobs":null,"finish_reason":"stop"}],"usage":{"prompt_tokens":911,"completion_tokens":31,"total_tokens":942,"prompt_tokens_details":{"cached_tokens":0,"audio_tokens":0},"completion_tokens_details":{"reasoning_tokens":0,"audio_tokens":0,"accepted_prediction_tokens":0,"rejected_prediction_tokens":0}},"service_tier":"default","system_fingerprint":"fp_ad66631dec"}</t>
        </is>
      </c>
      <c r="M185" t="inlineStr">
        <is>
          <t>{"alt-svc":"h3=\":443\"; ma=2592000","apim-request-id":"3e26209c-7ea7-457c-aae8-43b0be2c8ca7","azureml-model-session":"d20260405225800-40f19e54","cache-control":"no-cache","connection":"close","content-length":"985","content-type":"application/json","date":"Wed, 29 Apr 2026 01:30:55 GMT","server":"Caddy","skip-error-remapping":"true","strict-transport-security":"max-age=31536000; includeSubDomains; preload","x-content-type-options":"nosniff","x-ms-client-request-id":"Not-Set","x-ms-is-spilled-over":"false","x-ms-rai-invoked":"false","x-ms-region":"South Central US","x-new-api-version":"0.4.35","x-oneapi-request-id":"202604290130537286653088268d9d6UToqMfxk","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06c09f36-3804-463d-bc52-f812eb167fd5"}</t>
        </is>
      </c>
      <c r="N185" t="inlineStr">
        <is>
          <t>Louis Vuitton black square sunglasses in premium metal and acetate, featuring iconic floral studs, UV protection, unisex design for modern urban style and refined craftsmanship.</t>
        </is>
      </c>
      <c r="O185" t="inlineStr">
        <is>
          <t>{"id":"chatcmpl-DZoMgtbgP8JQjkYqRrt76wjVGD3Lt","object":"chat.completion","created":1777427454,"model":"gpt-5-chat-2025-10-03","choices":[{"index":0,"message":{"role":"assistant","content":"Louis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fd471178c5"}</t>
        </is>
      </c>
      <c r="P185" t="inlineStr">
        <is>
          <t>Louis Vuitton, Glasses, kakobuy, kakebuy2026, kekobuysheet, kakobuysheet2026, 2026kakobuy, kakobuyspreadsheeet, kakobuylink, kakebuylist, Kakobuy MEGA Spreadsheet, kakobuysheetfind, kakobuysheetfind2026, 2026kakobuysheetfind, kakobuysheet2026</t>
        </is>
      </c>
      <c r="Q185" t="inlineStr">
        <is>
          <t>LV, Acetate Fiber, Anti-Ultraviolet, Unisex, Modern</t>
        </is>
      </c>
      <c r="R185" t="inlineStr">
        <is>
          <t>recvhju1CrZ9ww</t>
        </is>
      </c>
      <c r="S185" t="inlineStr">
        <is>
          <t>louis-vuitton-black-square-metal-sunglasses-recvhju1crz9ww</t>
        </is>
      </c>
      <c r="T185"/>
      <c r="U185"/>
      <c r="V185"/>
      <c r="W185" t="inlineStr">
        <is>
          <t>{"id":"chatcmpl-DZo11h4aoitsHmQg5GBZSmOyGT2cN","object":"chat.completion","created":1777426111,"model":"gpt-5-chat-2025-10-03","choices":[{"index":0,"message":{"role":"assistant","content":"Louis Vuitton：黑色方框太阳镜，采用高级金属与醋酸纤维材质，镜腿饰以标志性花形铆钉，展现品牌精致工艺与现代优雅风格，男女皆宜，适配都市时尚格调，防紫外线设计兼顾美观与实用。","refusal":null,"annotations":[]},"logprobs":null,"finish_reason":"stop"}],"usage":{"prompt_tokens":1298,"completion_tokens":78,"total_tokens":1376,"prompt_tokens_details":{"cached_tokens":1280,"audio_tokens":0},"completion_tokens_details":{"reasoning_tokens":0,"audio_tokens":0,"accepted_prediction_tokens":0,"rejected_prediction_tokens":0}},"service_tier":"default","system_fingerprint":"fp_fd471178c5"}</t>
        </is>
      </c>
      <c r="X185" t="inlineStr">
        <is>
          <t>Louis Vuitton：黑色方框太阳镜，采用高级金属与醋酸纤维材质，镜腿饰以标志性花形铆钉，展现品牌精致工艺与现代优雅风格，男女皆宜，适配都市时尚格调，防紫外线设计兼顾美观与实用。</t>
        </is>
      </c>
    </row>
    <row r="186" ht="25.5" customHeight="1">
      <c r="A186">
        <v>1654975475</v>
      </c>
      <c r="B186">
        <v>7623111203</v>
      </c>
      <c r="C186" s="2" t="str">
        <f>=HYPERLINK("https://weidian.com/item.html?itemID=7623111203", "https://weidian.com/item.html?itemID=7623111203")</f>
        <v>https://weidian.com/item.html?itemID=7623111203</v>
      </c>
      <c r="D186"/>
      <c r="E186" s="2" t="str">
        <f>=HYPERLINK("https://si.geilicdn.com/pcitem2014204438-660d0000019ade8670360a20e672_1074_1074.jpg?w=640&amp;h=640", "https://si.geilicdn.com/pcitem2014204438-660d0000019ade8670360a20e672_1074_1074.jpg?w=640&amp;h=640")</f>
        <v>https://si.geilicdn.com/pcitem2014204438-660d0000019ade8670360a20e672_1074_1074.jpg?w=640&amp;h=640</v>
      </c>
      <c r="F186" t="inlineStr">
        <is>
          <t>Glasses</t>
        </is>
      </c>
      <c r="G186" t="inlineStr">
        <is>
          <t>Louis Vuitton</t>
        </is>
      </c>
      <c r="H186">
        <v>370</v>
      </c>
      <c r="I186">
        <v>53.62</v>
      </c>
      <c r="J186" t="inlineStr">
        <is>
          <t>{"id":"chatcmpl-DZoH4WBawrRGx76LFDhVNWC8npubd","object":"chat.completion","created":1777427106,"model":"gpt-5-chat-2025-10-03","choices":[{"index":0,"message":{"role":"assistant","content":"Louis Vuitton Gold Rimless Black Lens Sunglasse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is>
      </c>
      <c r="K186" t="inlineStr">
        <is>
          <t>Louis Vuitton Gold Rimless Black Lens Sunglasses</t>
        </is>
      </c>
      <c r="L186" t="inlineStr">
        <is>
          <t>{"id":"chatcmpl-DZo75rSLuimIxyPSAxmaeq02bqBg9","object":"chat.completion","created":1777426487,"model":"gpt-5-chat-2025-10-03","choices":[{"index":0,"message":{"role":"assistant","content":"Louis Vuitton Gold Rimless Sunglasses feature sleek metal frames, black lenses, and signature round LV emblems for a luxurious, minimalist style. Unisex design offering elegant high-fashion appeal.","refusal":null,"annotations":[]},"logprobs":null,"finish_reason":"stop"}],"usage":{"prompt_tokens":897,"completion_tokens":38,"total_tokens":935,"prompt_tokens_details":{"cached_tokens":0,"audio_tokens":0},"completion_tokens_details":{"reasoning_tokens":0,"audio_tokens":0,"accepted_prediction_tokens":0,"rejected_prediction_tokens":0}},"service_tier":"default","system_fingerprint":"fp_fd471178c5"}</t>
        </is>
      </c>
      <c r="M186" t="inlineStr">
        <is>
          <t>{"alt-svc":"h3=\":443\"; ma=2592000","apim-request-id":"b08d9a7c-6e46-4aaa-b84d-e2912c8b268e","azureml-model-session":"d20260428165144-a78ba574","cache-control":"no-cache","connection":"close","content-length":"1005","content-type":"application/json","date":"Wed, 29 Apr 2026 01:34:48 GMT","server":"nginx","skip-error-remapping":"true","strict-transport-security":"max-age=31536000; includeSubDomains; preload","via":"1.1 Caddy","x-content-type-options":"nosniff","x-ms-client-request-id":"Not-Set","x-ms-is-spilled-over":"false","x-ms-rai-invoked":"false","x-ms-region":"East US","x-new-api-version":"0.4.35","x-oneapi-request-id":"202604290134461464114068268d9d6Yjf2UA7o","x-ratelimit-abusepenalty-active":"False","x-ratelimit-key":"gpt-5-chat-global","x-ratelimit-limit-requests":"1000","x-ratelimit-limit-tokens":"1000000","x-ratelimit-remaining-requests":"998","x-ratelimit-remaining-tokens":"997867","x-ratelimit-renewalperiod-requests":"60","x-ratelimit-renewalperiod-tokens":"60","x-ratelimit-reset-requests":"103","x-ratelimit-reset-tokens":"127","x-request-id":"7e163476-048a-4fc5-ac72-9c489079779c"}</t>
        </is>
      </c>
      <c r="N186" t="inlineStr">
        <is>
          <t>Louis Vuitton Gold Rimless Sunglasses feature sleek metal frames, black lenses, and signature round LV emblems for a luxurious, minimalist style. Unisex design offering elegant high-fashion appeal.</t>
        </is>
      </c>
      <c r="O186" t="inlineStr">
        <is>
          <t>{"id":"chatcmpl-DZoKTBQaaFmBgMG244IyLUY8ayHaz","object":"chat.completion","created":1777427317,"model":"gpt-5-chat-2025-10-03","choices":[{"index":0,"message":{"role":"assistant","content":"Louis Vuitton, 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186" t="inlineStr">
        <is>
          <t>Louis Vuitton, Glasses, kakobuy, kakebuy2026, kekobuysheet, kakobuysheet2026, 2026kakobuy, kakobuyspreadsheeet, kakobuylink, kakebuylist, Kakobuy MEGA Spreadsheet, kakobuysheetfind, kakobuysheetfind2026, 2026kakobuysheetfind, kakobuysheet2026</t>
        </is>
      </c>
      <c r="Q186" t="inlineStr">
        <is>
          <t>LV, Unisex, Elegant, High End, Minimalist, Gold</t>
        </is>
      </c>
      <c r="R186" t="inlineStr">
        <is>
          <t>recvhju1CrVvU6</t>
        </is>
      </c>
      <c r="S186" t="inlineStr">
        <is>
          <t>louis-vuitton-gold-rimless-black-lens-sunglasses-recvhju1crvvU6</t>
        </is>
      </c>
      <c r="T186"/>
      <c r="U186"/>
      <c r="V186"/>
      <c r="W186" t="inlineStr">
        <is>
          <t>{"id":"chatcmpl-DZnzMNrrBdNmIU6SgNY449mdMLZzs","object":"chat.completion","created":1777426008,"model":"gpt-5-chat-2025-10-03","choices":[{"index":0,"message":{"role":"assistant","content":"Louis Vuitton：金色边框黑色镜片无框太阳眼镜，轻盈金属材质搭配标志性圆形LV徽章装饰，展现奢华细节与现代极简风格，男女皆宜，彰显高定优雅品味。","refusal":null,"annotations":[]},"logprobs":null,"finish_reason":"stop"}],"usage":{"prompt_tokens":1298,"completion_tokens":64,"total_tokens":1362,"prompt_tokens_details":{"cached_tokens":0,"audio_tokens":0},"completion_tokens_details":{"reasoning_tokens":0,"audio_tokens":0,"accepted_prediction_tokens":0,"rejected_prediction_tokens":0}},"service_tier":"default","system_fingerprint":"fp_ad66631dec"}</t>
        </is>
      </c>
      <c r="X186" t="inlineStr">
        <is>
          <t>Louis Vuitton：金色边框黑色镜片无框太阳眼镜，轻盈金属材质搭配标志性圆形LV徽章装饰，展现奢华细节与现代极简风格，男女皆宜，彰显高定优雅品味。</t>
        </is>
      </c>
    </row>
    <row r="187" ht="25.5" customHeight="1">
      <c r="A187">
        <v>1654975475</v>
      </c>
      <c r="B187">
        <v>7626179960</v>
      </c>
      <c r="C187" s="2" t="str">
        <f>=HYPERLINK("https://weidian.com/item.html?itemID=7626179960", "https://weidian.com/item.html?itemID=7626179960")</f>
        <v>https://weidian.com/item.html?itemID=7626179960</v>
      </c>
      <c r="D187"/>
      <c r="E187" s="2" t="str">
        <f>=HYPERLINK("https://si.geilicdn.com/pcitem2014204438-6a780000019ade801c990a207569_1440_1920.jpg?w=640&amp;h=640", "https://si.geilicdn.com/pcitem2014204438-6a780000019ade801c990a207569_1440_1920.jpg?w=640&amp;h=640")</f>
        <v>https://si.geilicdn.com/pcitem2014204438-6a780000019ade801c990a207569_1440_1920.jpg?w=640&amp;h=640</v>
      </c>
      <c r="F187" t="inlineStr">
        <is>
          <t>Glasses</t>
        </is>
      </c>
      <c r="G187" t="inlineStr">
        <is>
          <t>Dior</t>
        </is>
      </c>
      <c r="H187">
        <v>350</v>
      </c>
      <c r="I187">
        <v>50.72</v>
      </c>
      <c r="J187" t="inlineStr">
        <is>
          <t>{"id":"chatcmpl-DZoDvimmBgFEqYjhUoS8YJdClwfyb","object":"chat.completion","created":1777426911,"model":"gpt-5-chat-2025-10-03","choices":[{"index":0,"message":{"role":"assistant","content":"Dior Beige Square Acetate Sunglasses Gray Gradient Unisex","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187" t="inlineStr">
        <is>
          <t>Dior Beige Square Acetate Sunglasses Gray Gradient Unisex</t>
        </is>
      </c>
      <c r="L187" t="inlineStr">
        <is>
          <t>{"id":"chatcmpl-DZoApeC3WVIy5PgoHAaiCQv19dygD","object":"chat.completion","created":1777426719,"model":"gpt-5-chat-2025-10-03","choices":[{"index":0,"message":{"role":"assistant","content":"Dior Beige Square Acetate Sunglasses with Gray-Purple Gradient Lenses, Retro Chic Unisex Design, Lightweight and Stylish, Showcasing French Luxury Elegance and Individual Charm.","refusal":null,"annotations":[]},"logprobs":null,"finish_reason":"stop"}],"usage":{"prompt_tokens":896,"completion_tokens":39,"total_tokens":935,"prompt_tokens_details":{"cached_tokens":0,"audio_tokens":0},"completion_tokens_details":{"reasoning_tokens":0,"audio_tokens":0,"accepted_prediction_tokens":0,"rejected_prediction_tokens":0}},"service_tier":"default","system_fingerprint":"fp_ad66631dec"}</t>
        </is>
      </c>
      <c r="M187" t="inlineStr">
        <is>
          <t>{"alt-svc":"h3=\":443\"; ma=2592000","apim-request-id":"4a8b08c1-dcda-4e3c-ab99-042dbf478142","azureml-model-session":"d20260405225800-40f19e54","cache-control":"no-cache","connection":"close","content-length":"985","content-type":"application/json","date":"Wed, 29 Apr 2026 01:38:40 GMT","server":"nginx","skip-error-remapping":"true","strict-transport-security":"max-age=31536000; includeSubDomains; preload","via":"1.1 Caddy","x-content-type-options":"nosniff","x-ms-client-request-id":"Not-Set","x-ms-is-spilled-over":"false","x-ms-rai-invoked":"false","x-ms-region":"North Central US","x-new-api-version":"0.4.35","x-oneapi-request-id":"202604290138386023866318268d9d6clv2ibCl","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0ffc2615-329e-4ad4-88ef-7e582464b598"}</t>
        </is>
      </c>
      <c r="N187" t="inlineStr">
        <is>
          <t>Dior Beige Square Acetate Sunglasses with Gray-Purple Gradient Lenses, Retro Chic Unisex Design, Lightweight and Stylish, Showcasing French Luxury Elegance and Individual Charm.</t>
        </is>
      </c>
      <c r="O187" t="inlineStr">
        <is>
          <t>{"id":"chatcmpl-DZoKEfyfMn2kYwWy5k2QuQDXV9gJ4","object":"chat.completion","created":1777427302,"model":"gpt-5-chat-2025-10-03","choices":[{"index":0,"message":{"role":"assistant","content":"Dior,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187" t="inlineStr">
        <is>
          <t>Dior, sunglasses, kakobuy, kakebuy2026, kekobuysheet, kakobuysheet2026, 2026kakobuy, kakobuyspreadsheeet, kakobuylink, kakebuylist, Kakobuy MEGA Spreadsheet, kakobuysheetfind, kakobuysheetfind2026, 2026kakobuysheetfind, kakobuysheet2026</t>
        </is>
      </c>
      <c r="Q187" t="inlineStr">
        <is>
          <t>Dior, Beige, Retro, Unisex, Acetate Fiber, Elegant</t>
        </is>
      </c>
      <c r="R187" t="inlineStr">
        <is>
          <t>recvhju1CrTpBP</t>
        </is>
      </c>
      <c r="S187" t="inlineStr">
        <is>
          <t>dior-beige-square-acetate-sunglasses-gray-gradient-recvhju1crtpbp</t>
        </is>
      </c>
      <c r="T187"/>
      <c r="U187"/>
      <c r="V187"/>
      <c r="W187" t="inlineStr">
        <is>
          <t>{"id":"chatcmpl-DZo0uQxKsW4XLaaGYYkskQXw9EZuF","object":"chat.completion","created":1777426104,"model":"gpt-5-chat-2025-10-03","choices":[{"index":0,"message":{"role":"assistant","content":"Dior：米杏色方框太阳眼镜，采用轻质醋酸纤维材质与灰紫渐变镜片，复古摩登设计，展现法式高级时尚格调，适合男女通用，彰显优雅与个性魅力。","refusal":null,"annotations":[]},"logprobs":null,"finish_reason":"stop"}],"usage":{"prompt_tokens":1296,"completion_tokens":64,"total_tokens":1360,"prompt_tokens_details":{"cached_tokens":1280,"audio_tokens":0},"completion_tokens_details":{"reasoning_tokens":0,"audio_tokens":0,"accepted_prediction_tokens":0,"rejected_prediction_tokens":0}},"service_tier":"default","system_fingerprint":"fp_ad66631dec"}</t>
        </is>
      </c>
      <c r="X187" t="inlineStr">
        <is>
          <t>Dior：米杏色方框太阳眼镜，采用轻质醋酸纤维材质与灰紫渐变镜片，复古摩登设计，展现法式高级时尚格调，适合男女通用，彰显优雅与个性魅力。</t>
        </is>
      </c>
    </row>
    <row r="188" ht="25.5" customHeight="1">
      <c r="A188">
        <v>1654975475</v>
      </c>
      <c r="B188">
        <v>7626082592</v>
      </c>
      <c r="C188" s="2" t="str">
        <f>=HYPERLINK("https://weidian.com/item.html?itemID=7626082592", "https://weidian.com/item.html?itemID=7626082592")</f>
        <v>https://weidian.com/item.html?itemID=7626082592</v>
      </c>
      <c r="D188"/>
      <c r="E188" s="2" t="str">
        <f>=HYPERLINK("https://si.geilicdn.com/pcitem2014204438-50250000019ade216e780a8133cc_1440_1920.jpg?w=640&amp;h=640", "https://si.geilicdn.com/pcitem2014204438-50250000019ade216e780a8133cc_1440_1920.jpg?w=640&amp;h=640")</f>
        <v>https://si.geilicdn.com/pcitem2014204438-50250000019ade216e780a8133cc_1440_1920.jpg?w=640&amp;h=640</v>
      </c>
      <c r="F188" t="inlineStr">
        <is>
          <t>Glasses</t>
        </is>
      </c>
      <c r="G188" t="inlineStr">
        <is>
          <t>Tiffany</t>
        </is>
      </c>
      <c r="H188">
        <v>390</v>
      </c>
      <c r="I188">
        <v>56.52</v>
      </c>
      <c r="J188" t="inlineStr">
        <is>
          <t>{"id":"chatcmpl-DZoDWHXqXoMncbllgSPy8b71l8Soj","object":"chat.completion","created":1777426886,"model":"gpt-5-chat-2025-10-03","choices":[{"index":0,"message":{"role":"assistant","content":"Tiffany &amp; Co Leopard Brown Gradient Cat Eye Sunglasse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88" t="inlineStr">
        <is>
          <t>Tiffany &amp; Co Leopard Brown Gradient Cat Eye Sunglasses</t>
        </is>
      </c>
      <c r="L188" t="inlineStr">
        <is>
          <t>{"id":"chatcmpl-DZo76o2GRfd7RyNU4V8HTxj4Tci3R","object":"chat.completion","created":1777426488,"model":"gpt-5-chat-2025-10-03","choices":[{"index":0,"message":{"role":"assistant","content":"Tiffany &amp; Co. Leopard Gradient Brown Sunglasses feature lightweight acetate frames with metal arms and chic cat-eye shape, blending urban luxury and retro style for elegant, unisex sophistication.","refusal":null,"annotations":[]},"logprobs":null,"finish_reason":"stop"}],"usage":{"prompt_tokens":911,"completion_tokens":37,"total_tokens":948,"prompt_tokens_details":{"cached_tokens":0,"audio_tokens":0},"completion_tokens_details":{"reasoning_tokens":0,"audio_tokens":0,"accepted_prediction_tokens":0,"rejected_prediction_tokens":0}},"service_tier":"default","system_fingerprint":"fp_ad66631dec"}</t>
        </is>
      </c>
      <c r="M188" t="inlineStr">
        <is>
          <t>{"alt-svc":"h3=\":443\"; ma=2592000","apim-request-id":"7e5cf5d6-1847-48c1-bbf3-758f4faa6248","azureml-model-session":"d20260402075109-1fc5a0ec","cache-control":"no-cache","connection":"close","content-length":"1004","content-type":"application/json","date":"Wed, 29 Apr 2026 01:34:49 GMT","server":"nginx","skip-error-remapping":"true","strict-transport-security":"max-age=31536000; includeSubDomains; preload","via":"1.1 Caddy","x-content-type-options":"nosniff","x-ms-client-request-id":"Not-Set","x-ms-is-spilled-over":"false","x-ms-rai-invoked":"false","x-ms-region":"South Central US","x-new-api-version":"0.4.35","x-oneapi-request-id":"202604290134473165687458268d9d6a0eLMBet","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2ca0e353-7c6b-41be-9c06-6d1682a8ae35"}</t>
        </is>
      </c>
      <c r="N188" t="inlineStr">
        <is>
          <t>Tiffany &amp; Co. Leopard Gradient Brown Sunglasses feature lightweight acetate frames with metal arms and chic cat-eye shape, blending urban luxury and retro style for elegant, unisex sophistication.</t>
        </is>
      </c>
      <c r="O188" t="inlineStr">
        <is>
          <t>{"id":"chatcmpl-DZoOUJk222ZtJPutcTtNxWBazKAxX","object":"chat.completion","created":1777427566,"model":"gpt-5-chat-2025-10-03","choices":[{"index":0,"message":{"role":"assistant","content":"Tiffany &amp; Co,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93,"total_tokens":876,"prompt_tokens_details":{"cached_tokens":0,"audio_tokens":0},"completion_tokens_details":{"reasoning_tokens":0,"audio_tokens":0,"accepted_prediction_tokens":0,"rejected_prediction_tokens":0}},"service_tier":"default","system_fingerprint":"fp_ad66631dec"}</t>
        </is>
      </c>
      <c r="P188" t="inlineStr">
        <is>
          <t>Tiffany &amp; Co, sunglasses, kakobuy, kakebuy2026, kekobuysheet, kakobuysheet2026, 2026kakobuy, kakobuyspreadsheeet, kakobuylink, kakebuylist, Kakobuy MEGA Spreadsheet, kakobuysheetfind, kakobuysheetfind2026, 2026kakobuysheetfind, kakobuysheet2026</t>
        </is>
      </c>
      <c r="Q188" t="inlineStr">
        <is>
          <t>Lightweight, Unisex, Retro, Acetate Fiber, Elegant, Brown</t>
        </is>
      </c>
      <c r="R188" t="inlineStr">
        <is>
          <t>recvhju1Cr5fWn</t>
        </is>
      </c>
      <c r="S188" t="inlineStr">
        <is>
          <t>tiffany-leopard-brown-gradient-cat-eye-sunglasses-recvhju1cr5fwn</t>
        </is>
      </c>
      <c r="T188"/>
      <c r="U188"/>
      <c r="V188"/>
      <c r="W188" t="inlineStr">
        <is>
          <t>{"id":"chatcmpl-DZo0HOV7j3ErWbi6c4E6DfHzHdGtc","object":"chat.completion","created":1777426065,"model":"gpt-5-chat-2025-10-03","choices":[{"index":0,"message":{"role":"assistant","content":"Tiffany &amp; Co.: 豹纹渐变棕色镜片太阳眼镜，采用轻盈醋酸纤维镜框与金属臂设计，时尚猫眼造型凸显优雅气质，融合现代都市与奢华复古风格，男女皆宜，展现高雅格调与独立个性。","refusal":null,"annotations":[]},"logprobs":null,"finish_reason":"stop"}],"usage":{"prompt_tokens":1296,"completion_tokens":79,"total_tokens":1375,"prompt_tokens_details":{"cached_tokens":0,"audio_tokens":0},"completion_tokens_details":{"reasoning_tokens":0,"audio_tokens":0,"accepted_prediction_tokens":0,"rejected_prediction_tokens":0}},"service_tier":"default","system_fingerprint":"fp_ad66631dec"}</t>
        </is>
      </c>
      <c r="X188" t="inlineStr">
        <is>
          <t>Tiffany &amp; Co.: 豹纹渐变棕色镜片太阳眼镜，采用轻盈醋酸纤维镜框与金属臂设计，时尚猫眼造型凸显优雅气质，融合现代都市与奢华复古风格，男女皆宜，展现高雅格调与独立个性。</t>
        </is>
      </c>
    </row>
    <row r="189" ht="25.5" customHeight="1">
      <c r="A189">
        <v>1654975475</v>
      </c>
      <c r="B189">
        <v>7623957418</v>
      </c>
      <c r="C189" s="2" t="str">
        <f>=HYPERLINK("https://weidian.com/item.html?itemID=7623957418", "https://weidian.com/item.html?itemID=7623957418")</f>
        <v>https://weidian.com/item.html?itemID=7623957418</v>
      </c>
      <c r="D189"/>
      <c r="E189" s="2" t="str">
        <f>=HYPERLINK("https://si.geilicdn.com/pcitem2014204438-4e410000019ade11e8250a23041a_1440_1920.jpg?w=640&amp;h=640", "https://si.geilicdn.com/pcitem2014204438-4e410000019ade11e8250a23041a_1440_1920.jpg?w=640&amp;h=640")</f>
        <v>https://si.geilicdn.com/pcitem2014204438-4e410000019ade11e8250a23041a_1440_1920.jpg?w=640&amp;h=640</v>
      </c>
      <c r="F189" t="inlineStr">
        <is>
          <t>Glasses</t>
        </is>
      </c>
      <c r="G189" t="inlineStr">
        <is>
          <t>Gucci</t>
        </is>
      </c>
      <c r="H189">
        <v>370</v>
      </c>
      <c r="I189">
        <v>53.62</v>
      </c>
      <c r="J189" t="inlineStr">
        <is>
          <t>{"id":"chatcmpl-DZoHbNiMJj7vSAkUP6NFfr19Vgntw","object":"chat.completion","created":1777427139,"model":"gpt-5-chat-2025-10-03","choices":[{"index":0,"message":{"role":"assistant","content":"Gucci Classic Black Square Retro Sunglasses","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ad66631dec"}</t>
        </is>
      </c>
      <c r="K189" t="inlineStr">
        <is>
          <t>Gucci Classic Black Square Retro Sunglasses</t>
        </is>
      </c>
      <c r="L189" t="inlineStr">
        <is>
          <t>{"id":"chatcmpl-DZo4yCnsP2dxkwjTywfZTg563YNha","object":"chat.completion","created":1777426356,"model":"gpt-5-chat-2025-10-03","choices":[{"index":0,"message":{"role":"assistant","content":"Gucci Classic Black Square Sunglasses: crafted with high-transparency resin lenses and lightweight acetate frame, featuring minimalist design and Italian elegance for men and women with retro-chic style.","refusal":null,"annotations":[]},"logprobs":null,"finish_reason":"stop"}],"usage":{"prompt_tokens":897,"completion_tokens":37,"total_tokens":934,"prompt_tokens_details":{"cached_tokens":0,"audio_tokens":0},"completion_tokens_details":{"reasoning_tokens":0,"audio_tokens":0,"accepted_prediction_tokens":0,"rejected_prediction_tokens":0}},"service_tier":"default","system_fingerprint":"fp_ad66631dec"}</t>
        </is>
      </c>
      <c r="M189" t="inlineStr">
        <is>
          <t>{"alt-svc":"h3=\":443\"; ma=2592000","apim-request-id":"0bed78af-0a52-4a19-bcc8-127c3e90c9ad","azureml-model-session":"d20260405225800-40f19e54","cache-control":"no-cache","connection":"close","content-length":"1011","content-type":"application/json","date":"Wed, 29 Apr 2026 01:32:37 GMT","server":"nginx","skip-error-remapping":"true","strict-transport-security":"max-age=31536000; includeSubDomains; preload","via":"1.1 Caddy","x-content-type-options":"nosniff","x-ms-client-request-id":"Not-Set","x-ms-is-spilled-over":"false","x-ms-rai-invoked":"false","x-ms-region":"South Central US","x-new-api-version":"0.4.35","x-oneapi-request-id":"202604290132348538237018268d9d6pKtlFBC3","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71838350-cb95-4704-8fbb-d84ef362a496"}</t>
        </is>
      </c>
      <c r="N189" t="inlineStr">
        <is>
          <t>Gucci Classic Black Square Sunglasses: crafted with high-transparency resin lenses and lightweight acetate frame, featuring minimalist design and Italian elegance for men and women with retro-chic style.</t>
        </is>
      </c>
      <c r="O189" t="inlineStr">
        <is>
          <t>{"id":"chatcmpl-DZoQdeOKq5Yx4gJtpmxo5WzHkACf8","object":"chat.completion","created":1777427699,"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9" t="inlineStr">
        <is>
          <t>Gucci,Glasses,kakobuy,kakebuy2026,kekobuysheet,kakobuysheet2026,2026kakobuy,kakobuyspreadsheeet,kakobuylink,kakebuylist,Kakobuy MEGA Spreadsheet,kakobuysheetfind,kakobuysheetfind2026,2026kakobuysheetfind,kakobuysheet2026</t>
        </is>
      </c>
      <c r="Q189" t="inlineStr">
        <is>
          <t>Black, Minimalist, Retro, Unisex, Elegant</t>
        </is>
      </c>
      <c r="R189" t="inlineStr">
        <is>
          <t>recvhju1Crt2HW</t>
        </is>
      </c>
      <c r="S189" t="inlineStr">
        <is>
          <t>gucci-classic-black-square-retro-sunglasses-recvhju1crt2hw</t>
        </is>
      </c>
      <c r="T189"/>
      <c r="U189"/>
      <c r="V189"/>
      <c r="W189" t="inlineStr">
        <is>
          <t>{"id":"chatcmpl-DZntEtJRRDBrm9YCiNtYAnXR9PmYw","object":"chat.completion","created":1777425628,"model":"gpt-5-chat-2025-10-03","choices":[{"index":0,"message":{"role":"assistant","content":"Gucci：经典黑色方框太阳眼镜，精选高透光树脂镜片搭配轻质醋酸纤维镜框，简约大气设计融合意式优雅，男女皆宜，展现时尚复古气质与摩登格调。","refusal":null,"annotations":[]},"logprobs":null,"finish_reason":"stop"}],"usage":{"prompt_tokens":1300,"completion_tokens":63,"total_tokens":1363,"prompt_tokens_details":{"cached_tokens":0,"audio_tokens":0},"completion_tokens_details":{"reasoning_tokens":0,"audio_tokens":0,"accepted_prediction_tokens":0,"rejected_prediction_tokens":0}},"service_tier":"default","system_fingerprint":"fp_ad66631dec"}</t>
        </is>
      </c>
      <c r="X189" t="inlineStr">
        <is>
          <t>Gucci：经典黑色方框太阳眼镜，精选高透光树脂镜片搭配轻质醋酸纤维镜框，简约大气设计融合意式优雅，男女皆宜，展现时尚复古气质与摩登格调。</t>
        </is>
      </c>
    </row>
    <row r="190" ht="25.5" customHeight="1">
      <c r="A190">
        <v>1654975475</v>
      </c>
      <c r="B190">
        <v>7626127636</v>
      </c>
      <c r="C190" s="2" t="str">
        <f>=HYPERLINK("https://weidian.com/item.html?itemID=7626127636", "https://weidian.com/item.html?itemID=7626127636")</f>
        <v>https://weidian.com/item.html?itemID=7626127636</v>
      </c>
      <c r="D190"/>
      <c r="E190" s="2" t="str">
        <f>=HYPERLINK("https://si.geilicdn.com/pcitem2014204438-09bf0000019ade065a130a231316_1440_1920.jpg?w=640&amp;h=640", "https://si.geilicdn.com/pcitem2014204438-09bf0000019ade065a130a231316_1440_1920.jpg?w=640&amp;h=640")</f>
        <v>https://si.geilicdn.com/pcitem2014204438-09bf0000019ade065a130a231316_1440_1920.jpg?w=640&amp;h=640</v>
      </c>
      <c r="F190" t="inlineStr">
        <is>
          <t>Glasses</t>
        </is>
      </c>
      <c r="G190" t="inlineStr">
        <is>
          <t>Gucci</t>
        </is>
      </c>
      <c r="H190">
        <v>350</v>
      </c>
      <c r="I190">
        <v>50.72</v>
      </c>
      <c r="J190" t="inlineStr">
        <is>
          <t>{"id":"chatcmpl-DZoDHvfn56UAyj22Pk8WESZ4o7GTZ","object":"chat.completion","created":1777426871,"model":"gpt-5-chat-2025-10-03","choices":[{"index":0,"message":{"role":"assistant","content":"Gucci Gold Geometric Sunglasses Purple Gradient Unisex Fashion","refusal":null,"annotations":[]},"logprobs":null,"finish_reason":"stop"}],"usage":{"prompt_tokens":872,"completion_tokens":13,"total_tokens":885,"prompt_tokens_details":{"cached_tokens":0,"audio_tokens":0},"completion_tokens_details":{"reasoning_tokens":0,"audio_tokens":0,"accepted_prediction_tokens":0,"rejected_prediction_tokens":0}},"service_tier":"default","system_fingerprint":"fp_ad66631dec"}</t>
        </is>
      </c>
      <c r="K190" t="inlineStr">
        <is>
          <t>Gucci Gold Geometric Sunglasses Purple Gradient Unisex Fashion</t>
        </is>
      </c>
      <c r="L190" t="inlineStr">
        <is>
          <t>{"id":"chatcmpl-DZoASqGq0ll582BRr3jIqAbc5Kb9x","object":"chat.completion","created":1777426696,"model":"gpt-5-chat-2025-10-03","choices":[{"index":0,"message":{"role":"assistant","content":"Gucci Luxury Geometric Gold Frame Sunglasses with Purple-Gray Gradient Lenses, Lightweight Metal, Retro Modern Unisex Design, Elevate Elegant Style and Fashion Taste.","refusal":null,"annotations":[]},"logprobs":null,"finish_reason":"stop"}],"usage":{"prompt_tokens":885,"completion_tokens":35,"total_tokens":920,"prompt_tokens_details":{"cached_tokens":0,"audio_tokens":0},"completion_tokens_details":{"reasoning_tokens":0,"audio_tokens":0,"accepted_prediction_tokens":0,"rejected_prediction_tokens":0}},"service_tier":"default","system_fingerprint":"fp_ad66631dec"}</t>
        </is>
      </c>
      <c r="M190" t="inlineStr">
        <is>
          <t>{"alt-svc":"h3=\":443\"; ma=2592000","apim-request-id":"cb7457a1-a96b-470e-a999-bbe74f915192","azureml-model-session":"d20260402083108-57a85543","cache-control":"no-cache","connection":"close","content-length":"974","content-type":"application/json","date":"Wed, 29 Apr 2026 01:38:17 GMT","server":"nginx","skip-error-remapping":"true","strict-transport-security":"max-age=31536000; includeSubDomains; preload","via":"1.1 Caddy","x-content-type-options":"nosniff","x-ms-client-request-id":"Not-Set","x-ms-is-spilled-over":"false","x-ms-rai-invoked":"false","x-ms-region":"Central US","x-new-api-version":"0.4.35","x-oneapi-request-id":"202604290138152619118648268d9d6h1MyOo21","x-ratelimit-abusepenalty-active":"False","x-ratelimit-key":"gpt-5-chat-global","x-ratelimit-limit-requests":"1000","x-ratelimit-limit-tokens":"1000000","x-ratelimit-remaining-requests":"999","x-ratelimit-remaining-tokens":"998353","x-ratelimit-renewalperiod-requests":"60","x-ratelimit-renewalperiod-tokens":"60","x-ratelimit-reset-requests":"60","x-ratelimit-reset-tokens":"98","x-request-id":"e1a00e68-d518-4788-8658-b569db7a6bed"}</t>
        </is>
      </c>
      <c r="N190" t="inlineStr">
        <is>
          <t>Gucci Luxury Geometric Gold Frame Sunglasses with Purple-Gray Gradient Lenses, Lightweight Metal, Retro Modern Unisex Design, Elevate Elegant Style and Fashion Taste.</t>
        </is>
      </c>
      <c r="O190" t="inlineStr">
        <is>
          <t>{"id":"chatcmpl-DZoJYjzEApjhDt82tAM00tgNnWS6V","object":"chat.completion","created":1777427260,"model":"gpt-5-chat-2025-10-03","choices":[{"index":0,"message":{"role":"assistant","content":"Gucci,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0" t="inlineStr">
        <is>
          <t>Gucci,Glasses,kakobuy,kakebuy2026,kekobuysheet,kakobuysheet2026,2026kakobuy,kakobuyspreadsheeet,kakobuylink,kakebuylist,Kakobuy MEGA Spreadsheet,kakobuysheetfind,kakobuysheetfind2026,2026kakobuysheetfind,kakobuysheet2026</t>
        </is>
      </c>
      <c r="Q190" t="inlineStr">
        <is>
          <t>Geometric, Gradient, Retro, Modern, Unisex, Elegant</t>
        </is>
      </c>
      <c r="R190" t="inlineStr">
        <is>
          <t>recvhju1Cr3A7n</t>
        </is>
      </c>
      <c r="S190" t="inlineStr">
        <is>
          <t>gucci-gold-geometric-sunglasses-purple-gradient-recvhju1cr3a7n</t>
        </is>
      </c>
      <c r="T190"/>
      <c r="U190"/>
      <c r="V190"/>
      <c r="W190" t="inlineStr">
        <is>
          <t>{"id":"chatcmpl-DZnyoETj6bB72WjwFgopOeTo8uaUG","object":"chat.completion","created":1777425974,"model":"gpt-5-chat-2025-10-03","choices":[{"index":0,"message":{"role":"assistant","content":"Gucci：奢华金框几何紫灰渐变太阳镜，轻盈金属材质彰显精致工艺，复古摩登风格，男女皆宜，打造优雅格调与时尚品味。","refusal":null,"annotations":[]},"logprobs":null,"finish_reason":"stop"}],"usage":{"prompt_tokens":1296,"completion_tokens":53,"total_tokens":1349,"prompt_tokens_details":{"cached_tokens":0,"audio_tokens":0},"completion_tokens_details":{"reasoning_tokens":0,"audio_tokens":0,"accepted_prediction_tokens":0,"rejected_prediction_tokens":0}},"service_tier":"default","system_fingerprint":"fp_fd471178c5"}</t>
        </is>
      </c>
      <c r="X190" t="inlineStr">
        <is>
          <t>Gucci：奢华金框几何紫灰渐变太阳镜，轻盈金属材质彰显精致工艺，复古摩登风格，男女皆宜，打造优雅格调与时尚品味。</t>
        </is>
      </c>
    </row>
    <row r="191" ht="25.5" customHeight="1">
      <c r="A191">
        <v>1654975475</v>
      </c>
      <c r="B191">
        <v>7625997390</v>
      </c>
      <c r="C191" s="2" t="str">
        <f>=HYPERLINK("https://weidian.com/item.html?itemID=7625997390", "https://weidian.com/item.html?itemID=7625997390")</f>
        <v>https://weidian.com/item.html?itemID=7625997390</v>
      </c>
      <c r="D191"/>
      <c r="E191" s="2" t="str">
        <f>=HYPERLINK("https://si.geilicdn.com/pcitem2014204438-12ad0000019addef65540a2304aa_1440_1920.jpg?w=640&amp;h=640", "https://si.geilicdn.com/pcitem2014204438-12ad0000019addef65540a2304aa_1440_1920.jpg?w=640&amp;h=640")</f>
        <v>https://si.geilicdn.com/pcitem2014204438-12ad0000019addef65540a2304aa_1440_1920.jpg?w=640&amp;h=640</v>
      </c>
      <c r="F191" t="inlineStr">
        <is>
          <t>Glasses</t>
        </is>
      </c>
      <c r="G191" t="inlineStr">
        <is>
          <t>Chanel</t>
        </is>
      </c>
      <c r="H191">
        <v>380</v>
      </c>
      <c r="I191">
        <v>55.07</v>
      </c>
      <c r="J191" t="inlineStr">
        <is>
          <t>{"id":"chatcmpl-DZoCGp22xisiAmxuaDTA2zCWkcPQb","object":"chat.completion","created":1777426808,"model":"gpt-5-chat-2025-10-03","choices":[{"index":0,"message":{"role":"assistant","content":"CHANEL Gradient Pink Rimless Metal Unisex Sunglasses","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191" t="inlineStr">
        <is>
          <t>CHANEL Gradient Pink Rimless Metal Unisex Sunglasses</t>
        </is>
      </c>
      <c r="L191" t="inlineStr">
        <is>
          <t>{"id":"chatcmpl-DZo9MupTBr0MVWYX51bvGVOlb8bYB","object":"chat.completion","created":1777426628,"model":"gpt-5-chat-2025-10-03","choices":[{"index":0,"message":{"role":"assistant","content":"CHANEL Gradient Pink Rimless Sunglasses feature lightweight metal temples with a refined logo design, unisex style, and modern luxurious charm for an effortlessly elegant look.","refusal":null,"annotations":[]},"logprobs":null,"finish_reason":"stop"}],"usage":{"prompt_tokens":882,"completion_tokens":33,"total_tokens":915,"prompt_tokens_details":{"cached_tokens":0,"audio_tokens":0},"completion_tokens_details":{"reasoning_tokens":0,"audio_tokens":0,"accepted_prediction_tokens":0,"rejected_prediction_tokens":0}},"service_tier":"default","system_fingerprint":"fp_ad66631dec"}</t>
        </is>
      </c>
      <c r="M191" t="inlineStr">
        <is>
          <t>{"alt-svc":"h3=\":443\"; ma=2592000","apim-request-id":"c738a5b4-181c-4342-9753-7f4f6661e95b","azureml-model-session":"d20260402074105-51db401e","cache-control":"no-cache","connection":"close","content-length":"984","content-type":"application/json","date":"Wed, 29 Apr 2026 01:37:10 GMT","server":"nginx","skip-error-remapping":"true","strict-transport-security":"max-age=31536000; includeSubDomains; preload","via":"1.1 Caddy","x-content-type-options":"nosniff","x-ms-client-request-id":"Not-Set","x-ms-is-spilled-over":"false","x-ms-rai-invoked":"false","x-ms-region":"Central US","x-new-api-version":"0.4.35","x-oneapi-request-id":"202604290137075851632138268d9d6btSZfuGk","x-ratelimit-abusepenalty-active":"False","x-ratelimit-key":"gpt-5-chat-global","x-ratelimit-limit-requests":"1000","x-ratelimit-limit-tokens":"1000000","x-ratelimit-remaining-requests":"999","x-ratelimit-remaining-tokens":"998356","x-ratelimit-renewalperiod-requests":"60","x-ratelimit-renewalperiod-tokens":"60","x-ratelimit-reset-requests":"60","x-ratelimit-reset-tokens":"98","x-request-id":"3acf4085-5e62-49a9-aa4d-8dcb3ed4b7ab"}</t>
        </is>
      </c>
      <c r="N191" t="inlineStr">
        <is>
          <t>CHANEL Gradient Pink Rimless Sunglasses feature lightweight metal temples with a refined logo design, unisex style, and modern luxurious charm for an effortlessly elegant look.</t>
        </is>
      </c>
      <c r="O191" t="inlineStr">
        <is>
          <t>{"id":"chatcmpl-DZoPK5fUVrk9C0o1sQQXXTQyj3onF","object":"chat.completion","created":1777427618,"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1" t="inlineStr">
        <is>
          <t>Chanel,Glasses,kakobuy,kakebuy2026,kekobuysheet,kakobuysheet2026,2026kakobuy,kakobuyspreadsheeet,kakobuylink,kakebuylist,Kakobuy MEGA Spreadsheet,kakobuysheetfind,kakobuysheetfind2026,2026kakobuysheetfind,kakobuysheet2026</t>
        </is>
      </c>
      <c r="Q191" t="inlineStr">
        <is>
          <t>Chanel, Pink, Unisex, Modern, Lightweight, Elegant</t>
        </is>
      </c>
      <c r="R191" t="inlineStr">
        <is>
          <t>recvhju1CrvWjh</t>
        </is>
      </c>
      <c r="S191" t="inlineStr">
        <is>
          <t>chanel-gradient-pink-rimless-sunglasses-recvhju1crvwjh</t>
        </is>
      </c>
      <c r="T191"/>
      <c r="U191"/>
      <c r="V191"/>
      <c r="W191" t="inlineStr">
        <is>
          <t>{"id":"chatcmpl-DZnvIbyqhcmK6bnpU6QWCv6A7cKdo","object":"chat.completion","created":1777425756,"model":"gpt-5-chat-2025-10-03","choices":[{"index":0,"message":{"role":"assistant","content":"CHANEL：渐变粉色无框太阳眼镜，轻盈金属镜腿搭配精致Logo设计，展现现代优雅格调，男女皆宜，彰显摩登奢华魅力。","refusal":null,"annotations":[]},"logprobs":null,"finish_reason":"stop"}],"usage":{"prompt_tokens":1298,"completion_tokens":49,"total_tokens":1347,"prompt_tokens_details":{"cached_tokens":0,"audio_tokens":0},"completion_tokens_details":{"reasoning_tokens":0,"audio_tokens":0,"accepted_prediction_tokens":0,"rejected_prediction_tokens":0}},"service_tier":"default","system_fingerprint":"fp_ad66631dec"}</t>
        </is>
      </c>
      <c r="X191" t="inlineStr">
        <is>
          <t>CHANEL：渐变粉色无框太阳眼镜，轻盈金属镜腿搭配精致Logo设计，展现现代优雅格调，男女皆宜，彰显摩登奢华魅力。</t>
        </is>
      </c>
    </row>
    <row r="192" ht="25.5" customHeight="1">
      <c r="A192">
        <v>1654975475</v>
      </c>
      <c r="B192">
        <v>7622903727</v>
      </c>
      <c r="C192" s="2" t="str">
        <f>=HYPERLINK("https://weidian.com/item.html?itemID=7622903727", "https://weidian.com/item.html?itemID=7622903727")</f>
        <v>https://weidian.com/item.html?itemID=7622903727</v>
      </c>
      <c r="D192"/>
      <c r="E192" s="2" t="str">
        <f>=HYPERLINK("https://si.geilicdn.com/pcitem902014207253-08de0000019add43f66b0a23057e_1442_1922.jpg?w=640&amp;h=640", "https://si.geilicdn.com/pcitem902014207253-08de0000019add43f66b0a23057e_1442_1922.jpg?w=640&amp;h=640")</f>
        <v>https://si.geilicdn.com/pcitem902014207253-08de0000019add43f66b0a23057e_1442_1922.jpg?w=640&amp;h=640</v>
      </c>
      <c r="F192" t="inlineStr">
        <is>
          <t>Glasses</t>
        </is>
      </c>
      <c r="G192" t="inlineStr">
        <is>
          <t>Chanel</t>
        </is>
      </c>
      <c r="H192">
        <v>400</v>
      </c>
      <c r="I192">
        <v>57.97</v>
      </c>
      <c r="J192" t="inlineStr">
        <is>
          <t>{"id":"chatcmpl-DZoGXvoev1H234iGtTvKGyHCYcoXX","object":"chat.completion","created":1777427073,"model":"gpt-5-chat-2025-10-03","choices":[{"index":0,"message":{"role":"assistant","content":"Chanel Black Geometric Gradient Unisex Fashion Sunglasse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192" t="inlineStr">
        <is>
          <t>Chanel Black Geometric Gradient Unisex Fashion Sunglasses</t>
        </is>
      </c>
      <c r="L192" t="inlineStr">
        <is>
          <t>{"id":"chatcmpl-DZo4IdlXboaaf5WPKO6fPoTdulmuX","object":"chat.completion","created":1777426314,"model":"gpt-5-chat-2025-10-03","choices":[{"index":0,"message":{"role":"assistant","content":"Chanel Black Geometric Sunglasses feature bold lines with purple-gray gradient lenses and high-gloss composite frames, blending futuristic edge with timeless elegance for a stylish unisex urban look.","refusal":null,"annotations":[]},"logprobs":null,"finish_reason":"stop"}],"usage":{"prompt_tokens":901,"completion_tokens":37,"total_tokens":938,"prompt_tokens_details":{"cached_tokens":0,"audio_tokens":0},"completion_tokens_details":{"reasoning_tokens":0,"audio_tokens":0,"accepted_prediction_tokens":0,"rejected_prediction_tokens":0}},"service_tier":"default","system_fingerprint":"fp_ad66631dec"}</t>
        </is>
      </c>
      <c r="M192" t="inlineStr">
        <is>
          <t>{"alt-svc":"h3=\":443\"; ma=2592000","apim-request-id":"b48f4813-0ca8-4b72-9218-c64c18a71453","azureml-model-session":"d20260402084046-4209e968","cache-control":"no-cache","connection":"close","content-length":"1007","content-type":"application/json","date":"Wed, 29 Apr 2026 01:31:55 GMT","server":"nginx","skip-error-remapping":"true","strict-transport-security":"max-age=31536000; includeSubDomains; preload","via":"1.1 Caddy","x-content-type-options":"nosniff","x-ms-client-request-id":"Not-Set","x-ms-is-spilled-over":"false","x-ms-rai-invoked":"false","x-ms-region":"South Central US","x-new-api-version":"0.4.35","x-oneapi-request-id":"202604290131534606137218268d9d6mM8xQ0cD","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ed23fdeb-6c88-40e8-a982-65a0a0d5ef56"}</t>
        </is>
      </c>
      <c r="N192" t="inlineStr">
        <is>
          <t>Chanel Black Geometric Sunglasses feature bold lines with purple-gray gradient lenses and high-gloss composite frames, blending futuristic edge with timeless elegance for a stylish unisex urban look.</t>
        </is>
      </c>
      <c r="O192" t="inlineStr">
        <is>
          <t>{"id":"chatcmpl-DZoMUMcGbHymejiyJYZCjyyTAT0jj","object":"chat.completion","created":1777427442,"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2" t="inlineStr">
        <is>
          <t>Chanel,Glasses,kakobuy,kakebuy2026,kekobuysheet,kakobuysheet2026,2026kakobuy,kakobuyspreadsheeet,kakobuylink,kakebuylist,Kakobuy MEGA Spreadsheet,kakobuysheetfind,kakobuysheetfind2026,2026kakobuysheetfind,kakobuysheet2026</t>
        </is>
      </c>
      <c r="Q192" t="inlineStr">
        <is>
          <t>Chanel, Black, Geometric, Gradient, Unisex, Streetwear</t>
        </is>
      </c>
      <c r="R192" t="inlineStr">
        <is>
          <t>recvhju1Cr7EOJ</t>
        </is>
      </c>
      <c r="S192" t="inlineStr">
        <is>
          <t>chanel-black-geometric-gradient-sunglasses-recvhju1cr7eoj</t>
        </is>
      </c>
      <c r="T192"/>
      <c r="U192"/>
      <c r="V192"/>
      <c r="W192" t="inlineStr">
        <is>
          <t>{"id":"chatcmpl-DZo0SgQfUjN6LOyBns7Xy0v1Dz3Sd","object":"chat.completion","created":1777426076,"model":"gpt-5-chat-2025-10-03","choices":[{"index":0,"message":{"role":"assistant","content":"Chanel：黑色几何系列太阳眼镜，硬朗线条设计搭配紫灰渐变镜片，采用高光复合材质镜框，彰显未来先锋风格，男女皆宜，融合品牌经典优雅与现代都市感，展现高级时尚品味。","refusal":null,"annotations":[]},"logprobs":null,"finish_reason":"stop"}],"usage":{"prompt_tokens":1302,"completion_tokens":66,"total_tokens":1368,"prompt_tokens_details":{"cached_tokens":0,"audio_tokens":0},"completion_tokens_details":{"reasoning_tokens":0,"audio_tokens":0,"accepted_prediction_tokens":0,"rejected_prediction_tokens":0}},"service_tier":"default","system_fingerprint":"fp_fd471178c5"}</t>
        </is>
      </c>
      <c r="X192" t="inlineStr">
        <is>
          <t>Chanel：黑色几何系列太阳眼镜，硬朗线条设计搭配紫灰渐变镜片，采用高光复合材质镜框，彰显未来先锋风格，男女皆宜，融合品牌经典优雅与现代都市感，展现高级时尚品味。</t>
        </is>
      </c>
    </row>
    <row r="193" ht="25.5" customHeight="1">
      <c r="A193">
        <v>1654975475</v>
      </c>
      <c r="B193">
        <v>7622665407</v>
      </c>
      <c r="C193" s="2" t="str">
        <f>=HYPERLINK("https://weidian.com/item.html?itemID=7622665407", "https://weidian.com/item.html?itemID=7622665407")</f>
        <v>https://weidian.com/item.html?itemID=7622665407</v>
      </c>
      <c r="D193"/>
      <c r="E193" s="2" t="str">
        <f>=HYPERLINK("https://si.geilicdn.com/pcitem2014204438-79cd0000019add0eba760a2303ee_1280_1707.jpg?w=640&amp;h=640", "https://si.geilicdn.com/pcitem2014204438-79cd0000019add0eba760a2303ee_1280_1707.jpg?w=640&amp;h=640")</f>
        <v>https://si.geilicdn.com/pcitem2014204438-79cd0000019add0eba760a2303ee_1280_1707.jpg?w=640&amp;h=640</v>
      </c>
      <c r="F193" t="inlineStr">
        <is>
          <t>Glasses</t>
        </is>
      </c>
      <c r="G193" t="inlineStr">
        <is>
          <t>Edition</t>
        </is>
      </c>
      <c r="H193">
        <v>360</v>
      </c>
      <c r="I193">
        <v>52.17</v>
      </c>
      <c r="J193" t="inlineStr">
        <is>
          <t>{"id":"chatcmpl-DZoHq1h5xANyiRq2cILe4S1F5xVNQ","object":"chat.completion","created":1777427154,"model":"gpt-5-chat-2025-10-03","choices":[{"index":0,"message":{"role":"assistant","content":"GlassesEdition P-Series Black Polarized Square Sunglasse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93" t="inlineStr">
        <is>
          <t>GlassesEdition P-Series Black Polarized Square Sunglasses</t>
        </is>
      </c>
      <c r="L193" t="inlineStr">
        <is>
          <t>{"id":"chatcmpl-DZoA05wL1SxTcVI2VqsidwiWuwfeA","object":"chat.completion","created":1777426668,"model":"gpt-5-chat-2025-10-03","choices":[{"index":0,"message":{"role":"assistant","content":"GlassesEdition P-Series Black Square Sunglasses feature premium acetate frames, polarized UV400 lenses, sleek glossy finish, vintage geometric style with modern minimalism, unisex design for bold luxury fashion.","refusal":null,"annotations":[]},"logprobs":null,"finish_reason":"stop"}],"usage":{"prompt_tokens":909,"completion_tokens":40,"total_tokens":949,"prompt_tokens_details":{"cached_tokens":0,"audio_tokens":0},"completion_tokens_details":{"reasoning_tokens":0,"audio_tokens":0,"accepted_prediction_tokens":0,"rejected_prediction_tokens":0}},"service_tier":"default","system_fingerprint":"fp_ad66631dec"}</t>
        </is>
      </c>
      <c r="M193" t="inlineStr">
        <is>
          <t>{"alt-svc":"h3=\":443\"; ma=2592000","apim-request-id":"82ed1fb8-1432-43f2-91cf-05d0deaa2469","azureml-model-session":"d20260405225800-40f19e54","cache-control":"no-cache","connection":"close","content-length":"1019","content-type":"application/json","date":"Wed, 29 Apr 2026 01:37:49 GMT","server":"Caddy","skip-error-remapping":"true","strict-transport-security":"max-age=31536000; includeSubDomains; preload","x-content-type-options":"nosniff","x-ms-client-request-id":"Not-Set","x-ms-is-spilled-over":"false","x-ms-rai-invoked":"false","x-ms-region":"Poland Central","x-new-api-version":"0.4.35","x-oneapi-request-id":"202604290137473136997908268d9d6YeV7fCWj","x-ratelimit-abusepenalty-active":"False","x-ratelimit-key":"gpt-5-chat-global","x-ratelimit-limit-requests":"1000","x-ratelimit-limit-tokens":"1000000","x-ratelimit-remaining-requests":"999","x-ratelimit-remaining-tokens":"998329","x-ratelimit-renewalperiod-requests":"60","x-ratelimit-renewalperiod-tokens":"60","x-ratelimit-reset-requests":"60","x-ratelimit-reset-tokens":"100","x-request-id":"bdf75ec4-4aa0-47d2-a70d-bfa14eae0c52"}</t>
        </is>
      </c>
      <c r="N193" t="inlineStr">
        <is>
          <t>GlassesEdition P-Series Black Square Sunglasses feature premium acetate frames, polarized UV400 lenses, sleek glossy finish, vintage geometric style with modern minimalism, unisex design for bold luxury fashion.</t>
        </is>
      </c>
      <c r="O193" t="inlineStr">
        <is>
          <t>{"id":"chatcmpl-DZoRmpNUvUxLa6p5eGFPJWbznzXoe","object":"chat.completion","created":1777427770,"model":"gpt-5-chat-2025-10-03","choices":[{"index":0,"message":{"role":"assistant","content":"Edition, sunglasses,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is>
      </c>
      <c r="P193" t="inlineStr">
        <is>
          <t>Edition, sunglasses, kakobuy, kakebuy2026, kekobuysheet, kakobuysheet2026, 2026kakobuy, kakobuyspreadsheeet, kakobuylink, kakebuylist, Kakobuy MEGA Spreadsheet, kakobuysheetfind, kakobuysheetfind2026, 2026kakobuysheetfind, kakobuysheet2026</t>
        </is>
      </c>
      <c r="Q193" t="inlineStr">
        <is>
          <t>Acetate Fiber, Vintage, Geometric, Minimalist, Unisex, Anti-Ultraviolet</t>
        </is>
      </c>
      <c r="R193" t="inlineStr">
        <is>
          <t>recvhju1CrDWeP</t>
        </is>
      </c>
      <c r="S193" t="inlineStr">
        <is>
          <t>glassesedition-p-series-black-polarized-square-sunglasses-recvhju1crwdwep</t>
        </is>
      </c>
      <c r="T193"/>
      <c r="U193"/>
      <c r="V193"/>
      <c r="W193" t="inlineStr">
        <is>
          <t>{"id":"chatcmpl-DZnt89dYy4UfXcIwktVKnV9J49imt","object":"chat.completion","created":1777425622,"model":"gpt-5-chat-2025-10-03","choices":[{"index":0,"message":{"role":"assistant","content":"Edition P-Series 黑色方框太阳镜，采用高品质醋酸纤维镜框与偏光镜片，防紫外线UV400设计，镜面光泽细腻，复古几何造型兼具都市极简风格，男女通用款，彰显先锋时尚气质与轻奢品味。","refusal":null,"annotations":[]},"logprobs":null,"finish_reason":"stop"}],"usage":{"prompt_tokens":1296,"completion_tokens":77,"total_tokens":1373,"prompt_tokens_details":{"cached_tokens":0,"audio_tokens":0},"completion_tokens_details":{"reasoning_tokens":0,"audio_tokens":0,"accepted_prediction_tokens":0,"rejected_prediction_tokens":0}},"service_tier":"default","system_fingerprint":"fp_fd471178c5"}</t>
        </is>
      </c>
      <c r="X193" t="inlineStr">
        <is>
          <t>Edition P-Series 黑色方框太阳镜，采用高品质醋酸纤维镜框与偏光镜片，防紫外线UV400设计，镜面光泽细腻，复古几何造型兼具都市极简风格，男女通用款，彰显先锋时尚气质与轻奢品味。</t>
        </is>
      </c>
    </row>
    <row r="194" ht="25.5" customHeight="1">
      <c r="A194">
        <v>1654975475</v>
      </c>
      <c r="B194">
        <v>7622795723</v>
      </c>
      <c r="C194" s="2" t="str">
        <f>=HYPERLINK("https://weidian.com/item.html?itemID=7622795723", "https://weidian.com/item.html?itemID=7622795723")</f>
        <v>https://weidian.com/item.html?itemID=7622795723</v>
      </c>
      <c r="D194"/>
      <c r="E194" s="2" t="str">
        <f>=HYPERLINK("https://si.geilicdn.com/pcitem2014204438-49440000019add0876dd0a20e2c5_1440_1920.jpg?w=640&amp;h=640", "https://si.geilicdn.com/pcitem2014204438-49440000019add0876dd0a20e2c5_1440_1920.jpg?w=640&amp;h=640")</f>
        <v>https://si.geilicdn.com/pcitem2014204438-49440000019add0876dd0a20e2c5_1440_1920.jpg?w=640&amp;h=640</v>
      </c>
      <c r="F194" t="inlineStr">
        <is>
          <t>Glasses</t>
        </is>
      </c>
      <c r="G194" t="inlineStr">
        <is>
          <t>Chanel</t>
        </is>
      </c>
      <c r="H194">
        <v>420</v>
      </c>
      <c r="I194">
        <v>60.87</v>
      </c>
      <c r="J194" t="inlineStr">
        <is>
          <t>{"id":"chatcmpl-DZoF0opMWH9Tj81aPjLzA9rIaOmla","object":"chat.completion","created":1777426978,"model":"gpt-5-chat-2025-10-03","choices":[{"index":0,"message":{"role":"assistant","content":"Chanel Beige Straw Wide Brim Hat Summer Fashion","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is>
      </c>
      <c r="K194" t="inlineStr">
        <is>
          <t>Chanel Beige Straw Wide Brim Hat Summer Fashion</t>
        </is>
      </c>
      <c r="L194" t="inlineStr">
        <is>
          <t>{"id":"chatcmpl-DZo7w6DFPWPl912q7ekIHBoBsKkVw","object":"chat.completion","created":1777426540,"model":"gpt-5-chat-2025-10-03","choices":[{"index":0,"message":{"role":"assistant","content":"GlassesChanelChanel Beige Hollow Woven Straw Wide-Brim Hat, breathable cotton-linen blend, chiffon ribbon accent, French vintage elegance for romantic women, perfect for summer vacation or street style.","refusal":null,"annotations":[]},"logprobs":null,"finish_reason":"stop"}],"usage":{"prompt_tokens":901,"completion_tokens":42,"total_tokens":943,"prompt_tokens_details":{"cached_tokens":0,"audio_tokens":0},"completion_tokens_details":{"reasoning_tokens":0,"audio_tokens":0,"accepted_prediction_tokens":0,"rejected_prediction_tokens":0}},"service_tier":"default","system_fingerprint":"fp_ad66631dec"}</t>
        </is>
      </c>
      <c r="M194" t="inlineStr">
        <is>
          <t>{"alt-svc":"h3=\":443\"; ma=2592000","apim-request-id":"58f95075-117e-4a37-8868-50578b1dc99f","azureml-model-session":"d20260402075109-1fc5a0ec","cache-control":"no-cache","connection":"close","content-length":"1010","content-type":"application/json","date":"Wed, 29 Apr 2026 01:35:42 GMT","server":"Caddy","skip-error-remapping":"true","strict-transport-security":"max-age=31536000; includeSubDomains; preload","x-content-type-options":"nosniff","x-ms-client-request-id":"Not-Set","x-ms-is-spilled-over":"false","x-ms-rai-invoked":"false","x-ms-region":"West US","x-new-api-version":"0.4.35","x-oneapi-request-id":"202604290135393496301048268d9d6qwU2HcQn","x-ratelimit-abusepenalty-active":"False","x-ratelimit-key":"gpt-5-chat-global","x-ratelimit-limit-requests":"1000","x-ratelimit-limit-tokens":"1000000","x-ratelimit-remaining-requests":"999","x-ratelimit-remaining-tokens":"998337","x-ratelimit-renewalperiod-requests":"60","x-ratelimit-renewalperiod-tokens":"60","x-ratelimit-reset-requests":"60","x-ratelimit-reset-tokens":"99","x-request-id":"e796c554-a685-4e5c-a28d-4ca80423e505"}</t>
        </is>
      </c>
      <c r="N194" t="inlineStr">
        <is>
          <t>GlassesChanelChanel Beige Hollow Woven Straw Wide-Brim Hat, breathable cotton-linen blend, chiffon ribbon accent, French vintage elegance for romantic women, perfect for summer vacation or street style.</t>
        </is>
      </c>
      <c r="O194" t="inlineStr">
        <is>
          <t>{"id":"chatcmpl-DZoOYVYxQO3cnWtgE083fwo6W9Hku","object":"chat.completion","created":1777427570,"model":"gpt-5-chat-2025-10-03","choices":[{"index":0,"message":{"role":"assistant","content":"Chanel,Glass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94" t="inlineStr">
        <is>
          <t>Chanel,Glasses,kakobuy,kakebuy2026,kekobuysheet,kakobuysheet2026,2026kakobuy,kakobuyspreadsheeet,kakobuylink,kakebuylist,Kakobuy MEGA Spreadsheet,kakobuysheetfind,kakobuysheetfind2026,2026kakobuysheetfind,kakobuysheet2026</t>
        </is>
      </c>
      <c r="Q194" t="inlineStr">
        <is>
          <t>Chanel, Beige, Vintage, Summer, Breathable, Women</t>
        </is>
      </c>
      <c r="R194" t="inlineStr">
        <is>
          <t>recvhju1CrD05a</t>
        </is>
      </c>
      <c r="S194" t="inlineStr">
        <is>
          <t>chanel-beige-straw-wide-brim-hat-recvhju1cr-d05a</t>
        </is>
      </c>
      <c r="T194"/>
      <c r="U194"/>
      <c r="V194"/>
      <c r="W194" t="inlineStr">
        <is>
          <t>{"id":"chatcmpl-DZnvHpiC8G1dHGcBOVwvUOcC3RlKR","object":"chat.completion","created":1777425755,"model":"gpt-5-chat-2025-10-03","choices":[{"index":0,"message":{"role":"assistant","content":"Chanel：米色镂空草编宽檐太阳帽，轻盈透气棉麻混纺材质，缠绕雪纺丝带设计，法式优雅复古风格，彰显女性浪漫气质，夏日度假出街皆宜。","refusal":null,"annotations":[]},"logprobs":null,"finish_reason":"stop"}],"usage":{"prompt_tokens":1302,"completion_tokens":66,"total_tokens":1368,"prompt_tokens_details":{"cached_tokens":1280,"audio_tokens":0},"completion_tokens_details":{"reasoning_tokens":0,"audio_tokens":0,"accepted_prediction_tokens":0,"rejected_prediction_tokens":0}},"service_tier":"default","system_fingerprint":"fp_ad66631dec"}</t>
        </is>
      </c>
      <c r="X194" t="inlineStr">
        <is>
          <t>Chanel：米色镂空草编宽檐太阳帽，轻盈透气棉麻混纺材质，缠绕雪纺丝带设计，法式优雅复古风格，彰显女性浪漫气质，夏日度假出街皆宜。</t>
        </is>
      </c>
    </row>
    <row r="195" ht="25.5" customHeight="1">
      <c r="A195">
        <v>1654975475</v>
      </c>
      <c r="B195">
        <v>7622710825</v>
      </c>
      <c r="C195" s="2" t="str">
        <f>=HYPERLINK("https://weidian.com/item.html?itemID=7622710825", "https://weidian.com/item.html?itemID=7622710825")</f>
        <v>https://weidian.com/item.html?itemID=7622710825</v>
      </c>
      <c r="D195"/>
      <c r="E195" s="2" t="str">
        <f>=HYPERLINK("https://si.geilicdn.com/pcitem2014204438-641f0000019add040dee0a20e7c7_1200_1600.jpg?w=640&amp;h=640", "https://si.geilicdn.com/pcitem2014204438-641f0000019add040dee0a20e7c7_1200_1600.jpg?w=640&amp;h=640")</f>
        <v>https://si.geilicdn.com/pcitem2014204438-641f0000019add040dee0a20e7c7_1200_1600.jpg?w=640&amp;h=640</v>
      </c>
      <c r="F195" t="inlineStr">
        <is>
          <t>Glasses</t>
        </is>
      </c>
      <c r="G195" t="inlineStr">
        <is>
          <t>Fake me</t>
        </is>
      </c>
      <c r="H195">
        <v>420</v>
      </c>
      <c r="I195">
        <v>60.87</v>
      </c>
      <c r="J195" t="inlineStr">
        <is>
          <t>{"id":"chatcmpl-DZoGko4BPiZCi3JHgg8iVjvclT9rR","object":"chat.completion","created":1777427086,"model":"gpt-5-chat-2025-10-03","choices":[{"index":0,"message":{"role":"assistant","content":"FakeMe Backbone Silver Retro Oval Sunglasses","refusal":null,"annotations":[]},"logprobs":null,"finish_reason":"stop"}],"usage":{"prompt_tokens":870,"completion_tokens":9,"total_tokens":879,"prompt_tokens_details":{"cached_tokens":0,"audio_tokens":0},"completion_tokens_details":{"reasoning_tokens":0,"audio_tokens":0,"accepted_prediction_tokens":0,"rejected_prediction_tokens":0}},"service_tier":"default","system_fingerprint":"fp_ad66631dec"}</t>
        </is>
      </c>
      <c r="K195" t="inlineStr">
        <is>
          <t>FakeMe Backbone Silver Retro Oval Sunglasses</t>
        </is>
      </c>
      <c r="L195" t="inlineStr">
        <is>
          <t>{"id":"chatcmpl-DZo83lvDVelA8JhKqDsheYIYBlRwW","object":"chat.completion","created":1777426547,"model":"gpt-5-chat-2025-10-03","choices":[{"index":0,"message":{"role":"assistant","content":"FakeMe Backbone Silver Retro Oval Sunglasses – lightweight metal frame with dark gray lenses, gender-neutral design blends Korean chic and vintage elegance for timeless, understated street style.","refusal":null,"annotations":[]},"logprobs":null,"finish_reason":"stop"}],"usage":{"prompt_tokens":911,"completion_tokens":34,"total_tokens":945,"prompt_tokens_details":{"cached_tokens":0,"audio_tokens":0},"completion_tokens_details":{"reasoning_tokens":0,"audio_tokens":0,"accepted_prediction_tokens":0,"rejected_prediction_tokens":0}},"service_tier":"default","system_fingerprint":"fp_fd471178c5"}</t>
        </is>
      </c>
      <c r="M195" t="inlineStr">
        <is>
          <t>{"alt-svc":"h3=\":443\"; ma=2592000","apim-request-id":"99c9e316-45a9-4e37-a8a8-5c385034585c","azureml-model-session":"d20260428205641-55ca9797","cache-control":"no-cache","connection":"close","content-length":"1005","content-type":"application/json","date":"Wed, 29 Apr 2026 01:35:48 GMT","server":"Caddy","skip-error-remapping":"true","strict-transport-security":"max-age=31536000; includeSubDomains; preload","x-content-type-options":"nosniff","x-ms-client-request-id":"Not-Set","x-ms-is-spilled-over":"false","x-ms-rai-invoked":"false","x-ms-region":"West US","x-new-api-version":"0.4.35","x-oneapi-request-id":"202604290135458861884378268d9d6iQ1u8OCH","x-ratelimit-abusepenalty-active":"False","x-ratelimit-key":"gpt-5-chat-global","x-ratelimit-limit-requests":"1000","x-ratelimit-limit-tokens":"1000000","x-ratelimit-remaining-requests":"999","x-ratelimit-remaining-tokens":"998327","x-ratelimit-renewalperiod-requests":"60","x-ratelimit-renewalperiod-tokens":"60","x-ratelimit-reset-requests":"60","x-ratelimit-reset-tokens":"100","x-request-id":"2bba3eb6-deaa-4c2f-ad22-469a430dd918"}</t>
        </is>
      </c>
      <c r="N195" t="inlineStr">
        <is>
          <t>FakeMe Backbone Silver Retro Oval Sunglasses – lightweight metal frame with dark gray lenses, gender-neutral design blends Korean chic and vintage elegance for timeless, understated street style.</t>
        </is>
      </c>
      <c r="O195" t="inlineStr">
        <is>
          <t>{"id":"chatcmpl-DZoLPQBI8omDhJJbLJ4cl32bsLqPW","object":"chat.completion","created":1777427375,"model":"gpt-5-chat-2025-10-03","choices":[{"index":0,"message":{"role":"assistant","content":"FakeMe,glasses,kakobuy,kakebuy2026,kekobuysheet,kakobuysheet2026,2026kakobuy,kakobuyspreadsheet,kakobuylink,kakebuylist,Kakobuy MEGA Spreadsheet,kakobuysheetfind,kakobuysheetfind2026,2026kakobuysheetfind,kakobuysheet2026","refusal":null,"annotations":[]},"logprobs":null,"finish_reason":"stop"}],"usage":{"prompt_tokens":783,"completion_tokens":86,"total_tokens":869,"prompt_tokens_details":{"cached_tokens":0,"audio_tokens":0},"completion_tokens_details":{"reasoning_tokens":0,"audio_tokens":0,"accepted_prediction_tokens":0,"rejected_prediction_tokens":0}},"service_tier":"default","system_fingerprint":"fp_fd471178c5"}</t>
        </is>
      </c>
      <c r="P195" t="inlineStr">
        <is>
          <t>FakeMe,glasses,kakobuy,kakebuy2026,kekobuysheet,kakobuysheet2026,2026kakobuy,kakobuyspreadsheet,kakobuylink,kakebuylist,Kakobuy MEGA Spreadsheet,kakobuysheetfind,kakobuysheetfind2026,2026kakobuysheetfind,kakobuysheet2026</t>
        </is>
      </c>
      <c r="Q195" t="inlineStr">
        <is>
          <t>Silver, Korean, Vintage, Elegant, Streetwear, Unisex</t>
        </is>
      </c>
      <c r="R195" t="inlineStr">
        <is>
          <t>recvhju1CrX5WH</t>
        </is>
      </c>
      <c r="S195" t="inlineStr">
        <is>
          <t>fake-me-backbone-silver-retro-oval-sunglasses-recvhju1crx5wh</t>
        </is>
      </c>
      <c r="T195"/>
      <c r="U195"/>
      <c r="V195"/>
      <c r="W195" t="inlineStr">
        <is>
          <t>{"id":"chatcmpl-DZo11dgjYpwBJH95URpDnC5aVoFHC","object":"chat.completion","created":1777426111,"model":"gpt-5-chat-2025-10-03","choices":[{"index":0,"message":{"role":"assistant","content":"Fake me：Backbone系列银色复古椭圆太阳眼镜，轻盈金属镜框搭配深灰色镜片，简约线条勾勒老钱风质感，中性设计适合男女佩戴，融合韩系时尚与经典复古精神，展现低调优雅的街头格调。","refusal":null,"annotations":[]},"logprobs":null,"finish_reason":"stop"}],"usage":{"prompt_tokens":1302,"completion_tokens":76,"total_tokens":1378,"prompt_tokens_details":{"cached_tokens":0,"audio_tokens":0},"completion_tokens_details":{"reasoning_tokens":0,"audio_tokens":0,"accepted_prediction_tokens":0,"rejected_prediction_tokens":0}},"service_tier":"default","system_fingerprint":"fp_ad66631dec"}</t>
        </is>
      </c>
      <c r="X195" t="inlineStr">
        <is>
          <t>Fake me：Backbone系列银色复古椭圆太阳眼镜，轻盈金属镜框搭配深灰色镜片，简约线条勾勒老钱风质感，中性设计适合男女佩戴，融合韩系时尚与经典复古精神，展现低调优雅的街头格调。</t>
        </is>
      </c>
    </row>
    <row r="196" ht="25.5" customHeight="1">
      <c r="A196">
        <v>1654975475</v>
      </c>
      <c r="B196">
        <v>7622766001</v>
      </c>
      <c r="C196" s="2" t="str">
        <f>=HYPERLINK("https://weidian.com/item.html?itemID=7622766001", "https://weidian.com/item.html?itemID=7622766001")</f>
        <v>https://weidian.com/item.html?itemID=7622766001</v>
      </c>
      <c r="D196"/>
      <c r="E196" s="2" t="str">
        <f>=HYPERLINK("https://si.geilicdn.com/pcitem2014204438-68130000019add047ab80a2396f4_1280_1707.jpg?w=640&amp;h=640", "https://si.geilicdn.com/pcitem2014204438-68130000019add047ab80a2396f4_1280_1707.jpg?w=640&amp;h=640")</f>
        <v>https://si.geilicdn.com/pcitem2014204438-68130000019add047ab80a2396f4_1280_1707.jpg?w=640&amp;h=640</v>
      </c>
      <c r="F196" t="inlineStr">
        <is>
          <t>Glasses</t>
        </is>
      </c>
      <c r="G196" t="inlineStr">
        <is>
          <t>Vivienne Westwood</t>
        </is>
      </c>
      <c r="H196">
        <v>110</v>
      </c>
      <c r="I196">
        <v>15.94</v>
      </c>
      <c r="J196" t="inlineStr">
        <is>
          <t>{"id":"chatcmpl-DZoEboVCJw3b1aQPALSsLxqkpRj8D","object":"chat.completion","created":1777426953,"model":"gpt-5-chat-2025-10-03","choices":[{"index":0,"message":{"role":"assistant","content":"Vivienne Westwood Black Square Punk Sunglasse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fd471178c5"}</t>
        </is>
      </c>
      <c r="K196" t="inlineStr">
        <is>
          <t>Vivienne Westwood Black Square Punk Sunglasses</t>
        </is>
      </c>
      <c r="L196" t="inlineStr">
        <is>
          <t>{"id":"chatcmpl-DZo9epssFFyqPVtgyShJZ29dnerb2","object":"chat.completion","created":1777426646,"model":"gpt-5-chat-2025-10-03","choices":[{"index":0,"message":{"role":"assistant","content":"Vivienne Westwood black square sunglasses in lightweight acetate with iconic Saturn metal detail, vintage British punk design, unisex style blending 80s aesthetics and modern urban fashion.","refusal":null,"annotations":[]},"logprobs":null,"finish_reason":"stop"}],"usage":{"prompt_tokens":905,"completion_tokens":35,"total_tokens":940,"prompt_tokens_details":{"cached_tokens":0,"audio_tokens":0},"completion_tokens_details":{"reasoning_tokens":0,"audio_tokens":0,"accepted_prediction_tokens":0,"rejected_prediction_tokens":0}},"service_tier":"default","system_fingerprint":"fp_fd471178c5"}</t>
        </is>
      </c>
      <c r="M196" t="inlineStr">
        <is>
          <t>{"alt-svc":"h3=\":443\"; ma=2592000","apim-request-id":"fa9055b1-39fd-4f0d-8bc1-eec1fa589f0c","azureml-model-session":"d20260428174121-807d9cc5","cache-control":"no-cache","connection":"close","content-length":"997","content-type":"application/json","date":"Wed, 29 Apr 2026 01:37:27 GMT","server":"Caddy","skip-error-remapping":"true","strict-transport-security":"max-age=31536000; includeSubDomains; preload","x-content-type-options":"nosniff","x-ms-client-request-id":"Not-Set","x-ms-is-spilled-over":"false","x-ms-rai-invoked":"false","x-ms-region":"Central US","x-new-api-version":"0.4.35","x-oneapi-request-id":"202604290137254696951698268d9d6Y9KnRRYd","x-ratelimit-abusepenalty-active":"False","x-ratelimit-key":"gpt-5-chat-global","x-ratelimit-limit-requests":"1000","x-ratelimit-limit-tokens":"1000000","x-ratelimit-remaining-requests":"999","x-ratelimit-remaining-tokens":"998333","x-ratelimit-renewalperiod-requests":"60","x-ratelimit-renewalperiod-tokens":"60","x-ratelimit-reset-requests":"60","x-ratelimit-reset-tokens":"100","x-request-id":"b28553cf-11cf-4e8e-9dc2-83f9db0af92d"}</t>
        </is>
      </c>
      <c r="N196" t="inlineStr">
        <is>
          <t>Vivienne Westwood black square sunglasses in lightweight acetate with iconic Saturn metal detail, vintage British punk design, unisex style blending 80s aesthetics and modern urban fashion.</t>
        </is>
      </c>
      <c r="O196" t="inlineStr">
        <is>
          <t>{"id":"chatcmpl-DZoKvL9a78B0KRdB5K62kf4BDkizU","object":"chat.completion","created":1777427345,"model":"gpt-5-chat-2025-10-03","choices":[{"index":0,"message":{"role":"assistant","content":"Vivienne Westwood,Glasses,kakobuy,kakebuy2026,kekobuysheet,kakobuysheet2026,2026kakobuy,kakobuyspreadsheeet,kakobuylink,kakebuylist,Kakobuy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96" t="inlineStr">
        <is>
          <t>Vivienne Westwood,Glasses,kakobuy,kakebuy2026,kekobuysheet,kakobuysheet2026,2026kakobuy,kakobuyspreadsheeet,kakobuylink,kakebuylist,Kakobuy MEGA Spreadsheet,kakobuysheetfind,kakobuysheetfind2026,2026kakobuysheetfind,kakobuysheet2026</t>
        </is>
      </c>
      <c r="Q196" t="inlineStr">
        <is>
          <t>Black, Punk, Vintage, Unisex, Acetate Fiber</t>
        </is>
      </c>
      <c r="R196" t="inlineStr">
        <is>
          <t>recvhju1CriMjd</t>
        </is>
      </c>
      <c r="S196" t="inlineStr">
        <is>
          <t>vivienne-westwood-black-square-punk-sunglasses-recvhju1crimjd</t>
        </is>
      </c>
      <c r="T196"/>
      <c r="U196"/>
      <c r="V196"/>
      <c r="W196" t="inlineStr">
        <is>
          <t>{"id":"chatcmpl-DZo1OS1AkSvn4Dj521P375j44tcr7","object":"chat.completion","created":1777426134,"model":"gpt-5-chat-2025-10-03","choices":[{"index":0,"message":{"role":"assistant","content":"Vivienne Westwood黑色方框太阳镜，采用轻质醋酸纤维材质，搭配标志性土星徽章金属装饰，复古英伦风格设计，男女皆宜，展现80年代朋克美学与现代都市感，彰显个性与格调。","refusal":null,"annotations":[]},"logprobs":null,"finish_reason":"stop"}],"usage":{"prompt_tokens":1302,"completion_tokens":70,"total_tokens":1372,"prompt_tokens_details":{"cached_tokens":0,"audio_tokens":0},"completion_tokens_details":{"reasoning_tokens":0,"audio_tokens":0,"accepted_prediction_tokens":0,"rejected_prediction_tokens":0}},"service_tier":"default","system_fingerprint":"fp_ad66631dec"}</t>
        </is>
      </c>
      <c r="X196" t="inlineStr">
        <is>
          <t>Vivienne Westwood黑色方框太阳镜，采用轻质醋酸纤维材质，搭配标志性土星徽章金属装饰，复古英伦风格设计，男女皆宜，展现80年代朋克美学与现代都市感，彰显个性与格调。</t>
        </is>
      </c>
    </row>
    <row r="197" ht="25.5" customHeight="1">
      <c r="A197">
        <v>1654975475</v>
      </c>
      <c r="B197">
        <v>7694325043</v>
      </c>
      <c r="C197" s="2" t="str">
        <f>=HYPERLINK("https://weidian.com/item.html?itemID=7694325043", "https://weidian.com/item.html?itemID=7694325043")</f>
        <v>https://weidian.com/item.html?itemID=7694325043</v>
      </c>
      <c r="D197"/>
      <c r="E197" s="2" t="str">
        <f>=HYPERLINK("https://si.geilicdn.com/open1654975475-252808396-5a680000019c7a75b08f0a23b491_790_1558.jpg?w=640&amp;h=640", "https://si.geilicdn.com/open1654975475-252808396-5a680000019c7a75b08f0a23b491_790_1558.jpg?w=640&amp;h=640")</f>
        <v>https://si.geilicdn.com/open1654975475-252808396-5a680000019c7a75b08f0a23b491_790_1558.jpg?w=640&amp;h=640</v>
      </c>
      <c r="F197" t="inlineStr">
        <is>
          <t>Accessories</t>
        </is>
      </c>
      <c r="G197" t="inlineStr">
        <is>
          <t>Other</t>
        </is>
      </c>
      <c r="H197">
        <v>236</v>
      </c>
      <c r="I197">
        <v>34.2</v>
      </c>
      <c r="J197" t="inlineStr">
        <is>
          <t>{"id":"chatcmpl-DZoHPC7Qo2FbDhZEoBHTfhhrShOMN","object":"chat.completion","created":1777427127,"model":"gpt-5-chat-2025-10-03","choices":[{"index":0,"message":{"role":"assistant","content":"AccessoriesOther Alloy Blue RC Car 1:43 Model","refusal":null,"annotations":[]},"logprobs":null,"finish_reason":"stop"}],"usage":{"prompt_tokens":1166,"completion_tokens":12,"total_tokens":1178,"prompt_tokens_details":{"cached_tokens":0,"audio_tokens":0},"completion_tokens_details":{"reasoning_tokens":0,"audio_tokens":0,"accepted_prediction_tokens":0,"rejected_prediction_tokens":0}},"service_tier":"default","system_fingerprint":"fp_ad66631dec"}</t>
        </is>
      </c>
      <c r="K197" t="inlineStr">
        <is>
          <t>AccessoriesOther Alloy Blue RC Car 1:43 Model</t>
        </is>
      </c>
      <c r="L197" t="inlineStr">
        <is>
          <t>{"id":"chatcmpl-DZo529tDapDwXPPiw6p1mJF0T4W5U","object":"chat.completion","created":1777426360,"model":"gpt-5-chat-2025-10-03","choices":[{"index":0,"message":{"role":"assistant","content":"AccessoriesOther High-Precision Alloy Blue RC Car 1:43 Classic Sports Model, Metal Body with Colorful Lights, DIY Detachable Design, Perfect for Collectors and Racing Fans, Modern Desktop Art Piece.","refusal":null,"annotations":[]},"logprobs":null,"finish_reason":"stop"}],"usage":{"prompt_tokens":1187,"completion_tokens":43,"total_tokens":1230,"prompt_tokens_details":{"cached_tokens":1152,"audio_tokens":0},"completion_tokens_details":{"reasoning_tokens":0,"audio_tokens":0,"accepted_prediction_tokens":0,"rejected_prediction_tokens":0}},"service_tier":"default","system_fingerprint":"fp_ad66631dec"}</t>
        </is>
      </c>
      <c r="M197" t="inlineStr">
        <is>
          <t>{"alt-svc":"h3=\":443\"; ma=2592000","apim-request-id":"338292a2-1ce3-4752-8b37-e628ed071174","azureml-model-session":"d20260402075109-1fc5a0ec","cache-control":"no-cache","connection":"close","content-length":"1011","content-type":"application/json","date":"Wed, 29 Apr 2026 01:32:42 GMT","server":"nginx","skip-error-remapping":"true","strict-transport-security":"max-age=31536000; includeSubDomains; preload","via":"1.1 Caddy","x-content-type-options":"nosniff","x-ms-client-request-id":"Not-Set","x-ms-is-spilled-over":"false","x-ms-rai-invoked":"false","x-ms-region":"East US 2","x-new-api-version":"0.4.35","x-oneapi-request-id":"20260429013239604945698268d9d6zF1ROvEl","x-ratelimit-abusepenalty-active":"False","x-ratelimit-key":"gpt-5-chat-global","x-ratelimit-limit-requests":"1000","x-ratelimit-limit-tokens":"1000000","x-ratelimit-remaining-requests":"999","x-ratelimit-remaining-tokens":"998050","x-ratelimit-renewalperiod-requests":"60","x-ratelimit-renewalperiod-tokens":"60","x-ratelimit-reset-requests":"60","x-ratelimit-reset-tokens":"117","x-request-id":"1c67aa6b-d244-4bf2-b683-24f1108af016"}</t>
        </is>
      </c>
      <c r="N197" t="inlineStr">
        <is>
          <t>AccessoriesOther High-Precision Alloy Blue RC Car 1:43 Classic Sports Model, Metal Body with Colorful Lights, DIY Detachable Design, Perfect for Collectors and Racing Fans, Modern Desktop Art Piece.</t>
        </is>
      </c>
      <c r="O197" t="inlineStr">
        <is>
          <t>{"id":"chatcmpl-DZoMzScNr0ohZfJ9ClXNeRYYD0Yyz","object":"chat.completion","created":1777427473,"model":"gpt-5-chat-2025-10-03","choices":[{"index":0,"message":{"role":"assistant","content":"Kakobuy, Alloy Car Model, kakobuy, kakebuy2026, kekobuysheet, kakobuysheet2026, 2026kakobuy, kakobuyspreadsheeet, kakobuylink, kakebuylist, Kakobuy MEGA Spreadsheet, kakobuysheetfind, kakobuysheetfind2026, 2026kakobuysheetfind, kakobuysheet2026","refusal":null,"annotations":[]},"logprobs":null,"finish_reason":"stop"}],"usage":{"prompt_tokens":1061,"completion_tokens":95,"total_tokens":1156,"prompt_tokens_details":{"cached_tokens":0,"audio_tokens":0},"completion_tokens_details":{"reasoning_tokens":0,"audio_tokens":0,"accepted_prediction_tokens":0,"rejected_prediction_tokens":0}},"service_tier":"default","system_fingerprint":"fp_ad66631dec"}</t>
        </is>
      </c>
      <c r="P197" t="inlineStr">
        <is>
          <t>Kakobuy, Alloy Car Model, kakobuy, kakebuy2026, kekobuysheet, kakobuysheet2026, 2026kakobuy, kakobuyspreadsheeet, kakobuylink, kakebuylist, Kakobuy MEGA Spreadsheet, kakobuysheetfind, kakobuysheetfind2026, 2026kakobuysheetfind, kakobuysheet2026</t>
        </is>
      </c>
      <c r="Q197"/>
      <c r="R197" t="inlineStr">
        <is>
          <t>recvhju1CrFbZ9</t>
        </is>
      </c>
      <c r="S197" t="inlineStr">
        <is>
          <t>accessoriesother-alloy-blue-rc-car-1-43-model-recvhju1crfbz9</t>
        </is>
      </c>
      <c r="T197"/>
      <c r="U197"/>
      <c r="V197"/>
      <c r="W197" t="inlineStr">
        <is>
          <t>{"id":"chatcmpl-DZnrluRLMTxepYr49yeo4Lcvtejnn","object":"chat.completion","created":1777425537,"model":"gpt-5-chat-2025-10-03","choices":[{"index":0,"message":{"role":"assistant","content":"高精度合金蓝色遥控赛车，1:43复刻经典跑车造型，金属车身搭配炫彩灯光，赛车风格彰显速度与力量，精致内饰与可拆DIY设计兼具娱乐与收藏价值，适合男女玩家的现代桌面艺术品。","refusal":null,"annotations":[]},"logprobs":null,"finish_reason":"stop"}],"usage":{"prompt_tokens":1585,"completion_tokens":71,"total_tokens":1656,"prompt_tokens_details":{"cached_tokens":0,"audio_tokens":0},"completion_tokens_details":{"reasoning_tokens":0,"audio_tokens":0,"accepted_prediction_tokens":0,"rejected_prediction_tokens":0}},"service_tier":"default","system_fingerprint":"fp_ad66631dec"}</t>
        </is>
      </c>
      <c r="X197" t="inlineStr">
        <is>
          <t>高精度合金蓝色遥控赛车，1:43复刻经典跑车造型，金属车身搭配炫彩灯光，赛车风格彰显速度与力量，精致内饰与可拆DIY设计兼具娱乐与收藏价值，适合男女玩家的现代桌面艺术品。</t>
        </is>
      </c>
    </row>
    <row r="198" ht="25.5" customHeight="1">
      <c r="A198">
        <v>1654975475</v>
      </c>
      <c r="B198">
        <v>7624537549</v>
      </c>
      <c r="C198" s="2" t="str">
        <f>=HYPERLINK("https://weidian.com/item.html?itemID=7624537549", "https://weidian.com/item.html?itemID=7624537549")</f>
        <v>https://weidian.com/item.html?itemID=7624537549</v>
      </c>
      <c r="D198"/>
      <c r="E198" s="2" t="str">
        <f>=HYPERLINK("https://si.geilicdn.com/pcitem2014204438-0ea30000019ae7ea2dcd0a231177_1080_1080.jpg?w=640&amp;h=640", "https://si.geilicdn.com/pcitem2014204438-0ea30000019ae7ea2dcd0a231177_1080_1080.jpg?w=640&amp;h=640")</f>
        <v>https://si.geilicdn.com/pcitem2014204438-0ea30000019ae7ea2dcd0a231177_1080_1080.jpg?w=640&amp;h=640</v>
      </c>
      <c r="F198" t="inlineStr">
        <is>
          <t>Socks &amp; Hosiery</t>
        </is>
      </c>
      <c r="G198" t="inlineStr">
        <is>
          <t>Versace</t>
        </is>
      </c>
      <c r="H198">
        <v>120</v>
      </c>
      <c r="I198">
        <v>17.39</v>
      </c>
      <c r="J198" t="inlineStr">
        <is>
          <t>{"id":"chatcmpl-DZoDZr7svjuWi9RsidtetdrGNBIbq","object":"chat.completion","created":1777426889,"model":"gpt-5-chat-2025-10-03","choices":[{"index":0,"message":{"role":"assistant","content":"Versace Black White Medusa Cotton Mid-Calf Socks Unisex","refusal":null,"annotations":[]},"logprobs":null,"finish_reason":"stop"}],"usage":{"prompt_tokens":883,"completion_tokens":14,"total_tokens":897,"prompt_tokens_details":{"cached_tokens":0,"audio_tokens":0},"completion_tokens_details":{"reasoning_tokens":0,"audio_tokens":0,"accepted_prediction_tokens":0,"rejected_prediction_tokens":0}},"service_tier":"default","system_fingerprint":"fp_ad66631dec"}</t>
        </is>
      </c>
      <c r="K198" t="inlineStr">
        <is>
          <t>Versace Black White Medusa Cotton Mid-Calf Socks Unisex</t>
        </is>
      </c>
      <c r="L198" t="inlineStr">
        <is>
          <t>{"id":"chatcmpl-DZoAaV87IYIXzulFixn9wJ1EUYHun","object":"chat.completion","created":1777426704,"model":"gpt-5-chat-2025-10-03","choices":[{"index":0,"message":{"role":"assistant","content":"Versace black and white classic mid-calf socks, crafted from premium cotton blend, soft, breathable, and comfortable. Features iconic Medusa and geometric motifs for luxury Italian unisex style.","refusal":null,"annotations":[]},"logprobs":null,"finish_reason":"stop"}],"usage":{"prompt_tokens":926,"completion_tokens":39,"total_tokens":965,"prompt_tokens_details":{"cached_tokens":0,"audio_tokens":0},"completion_tokens_details":{"reasoning_tokens":0,"audio_tokens":0,"accepted_prediction_tokens":0,"rejected_prediction_tokens":0}},"service_tier":"default","system_fingerprint":"fp_ad66631dec"}</t>
        </is>
      </c>
      <c r="M198" t="inlineStr">
        <is>
          <t>{"alt-svc":"h3=\":443\"; ma=2592000","apim-request-id":"fb13d52f-54a3-4949-85ec-610f69e9432e","azureml-model-session":"d20260402084046-4209e968","cache-control":"no-cache","connection":"close","content-length":"1002","content-type":"application/json","date":"Wed, 29 Apr 2026 01:38:25 GMT","server":"Caddy","skip-error-remapping":"true","strict-transport-security":"max-age=31536000; includeSubDomains; preload","x-content-type-options":"nosniff","x-ms-client-request-id":"Not-Set","x-ms-is-spilled-over":"false","x-ms-rai-invoked":"false","x-ms-region":"East US","x-new-api-version":"0.4.35","x-oneapi-request-id":"20260429013824331716068268d9d6uWDCmPyP","x-ratelimit-abusepenalty-active":"False","x-ratelimit-key":"gpt-5-chat-global","x-ratelimit-limit-requests":"1000","x-ratelimit-limit-tokens":"1000000","x-ratelimit-remaining-requests":"999","x-ratelimit-remaining-tokens":"998312","x-ratelimit-renewalperiod-requests":"60","x-ratelimit-renewalperiod-tokens":"60","x-ratelimit-reset-requests":"60","x-ratelimit-reset-tokens":"101","x-request-id":"fb94dd08-c582-4303-9e37-d3af202200ab"}</t>
        </is>
      </c>
      <c r="N198" t="inlineStr">
        <is>
          <t>Versace black and white classic mid-calf socks, crafted from premium cotton blend, soft, breathable, and comfortable. Features iconic Medusa and geometric motifs for luxury Italian unisex style.</t>
        </is>
      </c>
      <c r="O198" t="inlineStr">
        <is>
          <t>{"id":"chatcmpl-DZoMY8jJ2ijPmU3qXS0KsiwhqOpfq","object":"chat.completion","created":1777427446,"model":"gpt-5-chat-2025-10-03","choices":[{"index":0,"message":{"role":"assistant","content":"Versace,Socks &amp; Hosiery,kakobuy,kakebuy2026,kekobuysheet,kakobuysheet2026,2026kakobuy,kakobuyspreadsheeet,kakobuylink,kakebuylist,Kakobuy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90,"total_tokens":876,"prompt_tokens_details":{"cached_tokens":0,"audio_tokens":0},"completion_tokens_details":{"reasoning_tokens":0,"audio_tokens":0,"accepted_prediction_tokens":0,"rejected_prediction_tokens":0}},"service_tier":"default","system_fingerprint":"fp_ad66631dec"}</t>
        </is>
      </c>
      <c r="P198" t="inlineStr">
        <is>
          <t>Versace,Socks &amp; Hosiery,kakobuy,kakebuy2026,kekobuysheet,kakobuysheet2026,2026kakobuy,kakobuyspreadsheeet,kakobuylink,kakebuylist,Kakobuy MEGA Spreadsheet,kakobuysheetfind,kakobuysheetfind2026,2026kakobuysheetfind,kakobuysheet2026</t>
        </is>
      </c>
      <c r="Q198" t="inlineStr">
        <is>
          <t>Black, White, Classic, Unisex</t>
        </is>
      </c>
      <c r="R198" t="inlineStr">
        <is>
          <t>recvhju1CrIJTe</t>
        </is>
      </c>
      <c r="S198" t="inlineStr">
        <is>
          <t>versace-medusa-cotton-mid-calf-socks-recvhju1crijte</t>
        </is>
      </c>
      <c r="T198"/>
      <c r="U198"/>
      <c r="V198"/>
      <c r="W198" t="inlineStr">
        <is>
          <t>{"id":"chatcmpl-DZnsq16Zt2VVV5CkSuuBTivcglg0R","object":"chat.completion","created":1777425604,"model":"gpt-5-chat-2025-10-03","choices":[{"index":0,"message":{"role":"assistant","content":"Versace 黑白经典中筒袜，采用优质棉纤维混纺材质，柔软透气舒适。饰以品牌标志性美杜莎图腾与几何装饰，展现意大利奢华美学。男女皆宜，现代简约设计融合休闲与时尚元素，适合日常穿搭与高端运动场景。","refusal":null,"annotations":[]},"logprobs":null,"finish_reason":"stop"}],"usage":{"prompt_tokens":1305,"completion_tokens":88,"total_tokens":1393,"prompt_tokens_details":{"cached_tokens":0,"audio_tokens":0},"completion_tokens_details":{"reasoning_tokens":0,"audio_tokens":0,"accepted_prediction_tokens":0,"rejected_prediction_tokens":0}},"service_tier":"default","system_fingerprint":"fp_fd471178c5"}</t>
        </is>
      </c>
      <c r="X198" t="inlineStr">
        <is>
          <t>Versace 黑白经典中筒袜，采用优质棉纤维混纺材质，柔软透气舒适。饰以品牌标志性美杜莎图腾与几何装饰，展现意大利奢华美学。男女皆宜，现代简约设计融合休闲与时尚元素，适合日常穿搭与高端运动场景。</t>
        </is>
      </c>
    </row>
    <row r="199" ht="25.5" customHeight="1">
      <c r="A199">
        <v>1654975475</v>
      </c>
      <c r="B199">
        <v>7624617971</v>
      </c>
      <c r="C199" s="2" t="str">
        <f>=HYPERLINK("https://weidian.com/item.html?itemID=7624617971", "https://weidian.com/item.html?itemID=7624617971")</f>
        <v>https://weidian.com/item.html?itemID=7624617971</v>
      </c>
      <c r="D199"/>
      <c r="E199" s="2" t="str">
        <f>=HYPERLINK("https://si.geilicdn.com/pcitem2014204438-23790000019ae7e7794a0a8133cc_1080_1080.jpg?w=640&amp;h=640", "https://si.geilicdn.com/pcitem2014204438-23790000019ae7e7794a0a8133cc_1080_1080.jpg?w=640&amp;h=640")</f>
        <v>https://si.geilicdn.com/pcitem2014204438-23790000019ae7e7794a0a8133cc_1080_1080.jpg?w=640&amp;h=640</v>
      </c>
      <c r="F199" t="inlineStr">
        <is>
          <t>Socks &amp; Hosiery</t>
        </is>
      </c>
      <c r="G199" t="inlineStr">
        <is>
          <t>Gucci</t>
        </is>
      </c>
      <c r="H199">
        <v>120</v>
      </c>
      <c r="I199">
        <v>17.39</v>
      </c>
      <c r="J199" t="inlineStr">
        <is>
          <t>{"id":"chatcmpl-DZoIQv70YQ4Ifw2pe6m9TFYehvWXn","object":"chat.completion","created":1777427190,"model":"gpt-5-chat-2025-10-03","choices":[{"index":0,"message":{"role":"assistant","content":"Gucci Classic Yellow Mid-Calf Cotton Socks Unisex Luxury","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199" t="inlineStr">
        <is>
          <t>Gucci Classic Yellow Mid-Calf Cotton Socks Unisex Luxury</t>
        </is>
      </c>
      <c r="L199" t="inlineStr">
        <is>
          <t>{"id":"chatcmpl-DZoAZcMN9OJ1zMF3zSKckMaIx2O2I","object":"chat.completion","created":1777426703,"model":"gpt-5-chat-2025-10-03","choices":[{"index":0,"message":{"role":"assistant","content":"Gucci Classic Yellow Mid-Calf Socks, soft cotton with iconic green-red stripes and double G logo, vintage yet chic design, unisex luxury style showcasing Italian casual elegance.","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199" t="inlineStr">
        <is>
          <t>{"alt-svc":"h3=\":443\"; ma=2592000","apim-request-id":"6ff78144-35b4-495b-bb7e-a05114187198","azureml-model-session":"d20260402075109-1fc5a0ec","cache-control":"no-cache","connection":"close","content-length":"986","content-type":"application/json","date":"Wed, 29 Apr 2026 01:38:24 GMT","server":"Caddy","skip-error-remapping":"true","strict-transport-security":"max-age=31536000; includeSubDomains; preload","x-content-type-options":"nosniff","x-ms-client-request-id":"Not-Set","x-ms-is-spilled-over":"false","x-ms-rai-invoked":"false","x-ms-region":"East US 2","x-new-api-version":"0.4.35","x-oneapi-request-id":"202604290138222468490578268d9d6jHIZi5QV","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fd2b9629-9e3e-498c-9829-5d19d5ccd0f3"}</t>
        </is>
      </c>
      <c r="N199" t="inlineStr">
        <is>
          <t>Gucci Classic Yellow Mid-Calf Socks, soft cotton with iconic green-red stripes and double G logo, vintage yet chic design, unisex luxury style showcasing Italian casual elegance.</t>
        </is>
      </c>
      <c r="O199" t="inlineStr">
        <is>
          <t>{"id":"chatcmpl-DZoPMAIvsRMPwwY7SZgqafUjvvsTw","object":"chat.completion","created":1777427620,"model":"gpt-5-chat-2025-10-03","choices":[{"index":0,"message":{"role":"assistant","content":"Gucci,Socks &amp; Hosiery,kakobuy,kakebuy2026,kekobuysheet,kakobuysheet2026,2026kakobuy,kakobuyspreadsheeet,kakobuylink,kakebuylist,Kakobuy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90,"total_tokens":876,"prompt_tokens_details":{"cached_tokens":0,"audio_tokens":0},"completion_tokens_details":{"reasoning_tokens":0,"audio_tokens":0,"accepted_prediction_tokens":0,"rejected_prediction_tokens":0}},"service_tier":"default","system_fingerprint":"fp_fd471178c5"}</t>
        </is>
      </c>
      <c r="P199" t="inlineStr">
        <is>
          <t>Gucci,Socks &amp; Hosiery,kakobuy,kakebuy2026,kekobuysheet,kakobuysheet2026,2026kakobuy,kakobuyspreadsheeet,kakobuylink,kakebuylist,Kakobuy MEGA Spreadsheet,kakobuysheetfind,kakobuysheetfind2026,2026kakobuysheetfind,kakobuysheet2026</t>
        </is>
      </c>
      <c r="Q199" t="inlineStr">
        <is>
          <t>Yellow, Unisex, Vintage</t>
        </is>
      </c>
      <c r="R199" t="inlineStr">
        <is>
          <t>recvhju1CrUkSW</t>
        </is>
      </c>
      <c r="S199" t="inlineStr">
        <is>
          <t>gucci-yellow-mid-calf-cotton-socks-recvhju1cr.uksw</t>
        </is>
      </c>
      <c r="T199"/>
      <c r="U199"/>
      <c r="V199"/>
      <c r="W199" t="inlineStr">
        <is>
          <t>{"id":"chatcmpl-DZnvnsPyROa97gTJ8LvnB5Zz5OLeq","object":"chat.completion","created":1777425787,"model":"gpt-5-chat-2025-10-03","choices":[{"index":0,"message":{"role":"assistant","content":"Gucci：经典系列黄色中筒袜，柔软棉质材质，饰以标志性绿红双条与双G徽标设计，复古时尚风格，男女皆宜，展现意式奢华休闲格调。","refusal":null,"annotations":[]},"logprobs":null,"finish_reason":"stop"}],"usage":{"prompt_tokens":1305,"completion_tokens":59,"total_tokens":1364,"prompt_tokens_details":{"cached_tokens":0,"audio_tokens":0},"completion_tokens_details":{"reasoning_tokens":0,"audio_tokens":0,"accepted_prediction_tokens":0,"rejected_prediction_tokens":0}},"service_tier":"default","system_fingerprint":"fp_fd471178c5"}</t>
        </is>
      </c>
      <c r="X199" t="inlineStr">
        <is>
          <t>Gucci：经典系列黄色中筒袜，柔软棉质材质，饰以标志性绿红双条与双G徽标设计，复古时尚风格，男女皆宜，展现意式奢华休闲格调。</t>
        </is>
      </c>
    </row>
    <row r="200" ht="25.5" customHeight="1">
      <c r="A200">
        <v>1654975475</v>
      </c>
      <c r="B200">
        <v>7624523087</v>
      </c>
      <c r="C200" s="2" t="str">
        <f>=HYPERLINK("https://weidian.com/item.html?itemID=7624523087", "https://weidian.com/item.html?itemID=7624523087")</f>
        <v>https://weidian.com/item.html?itemID=7624523087</v>
      </c>
      <c r="D200"/>
      <c r="E200" s="2" t="str">
        <f>=HYPERLINK("https://si.geilicdn.com/pcitem2014204438-213d0000019ae7e00dc30a8133cc_1080_840.jpg?w=640&amp;h=640", "https://si.geilicdn.com/pcitem2014204438-213d0000019ae7e00dc30a8133cc_1080_840.jpg?w=640&amp;h=640")</f>
        <v>https://si.geilicdn.com/pcitem2014204438-213d0000019ae7e00dc30a8133cc_1080_840.jpg?w=640&amp;h=640</v>
      </c>
      <c r="F200" t="inlineStr">
        <is>
          <t>Socks &amp; Hosiery</t>
        </is>
      </c>
      <c r="G200" t="inlineStr">
        <is>
          <t>Versace</t>
        </is>
      </c>
      <c r="H200">
        <v>120</v>
      </c>
      <c r="I200">
        <v>17.39</v>
      </c>
      <c r="J200" t="inlineStr">
        <is>
          <t>{"id":"chatcmpl-DZoFGVDDa50qRG5CLinYi9myo3BvV","object":"chat.completion","created":1777426994,"model":"gpt-5-chat-2025-10-03","choices":[{"index":0,"message":{"role":"assistant","content":"Versace Classic Medusa Gray Cotton Mid-Calf Socks","refusal":null,"annotations":[]},"logprobs":null,"finish_reason":"stop"}],"usage":{"prompt_tokens":607,"completion_tokens":12,"total_tokens":619,"prompt_tokens_details":{"cached_tokens":0,"audio_tokens":0},"completion_tokens_details":{"reasoning_tokens":0,"audio_tokens":0,"accepted_prediction_tokens":0,"rejected_prediction_tokens":0}},"service_tier":"default","system_fingerprint":"fp_ad66631dec"}</t>
        </is>
      </c>
      <c r="K200" t="inlineStr">
        <is>
          <t>Versace Classic Medusa Gray Cotton Mid-Calf Socks</t>
        </is>
      </c>
      <c r="L200" t="inlineStr">
        <is>
          <t>{"id":"chatcmpl-DZo2RewK5cmHfUpfSQyi1BwoaD4o4","object":"chat.completion","created":1777426199,"model":"gpt-5-chat-2025-10-03","choices":[{"index":0,"message":{"role":"assistant","content":"Versace Classic Collection gray mid-calf socks crafted from soft cotton blend, featuring iconic Medusa logo and green-red stripes for a luxurious Italian style. Breathable, unisex, and fashion-functional.","refusal":null,"annotations":[]},"logprobs":null,"finish_reason":"stop"}],"usage":{"prompt_tokens":644,"completion_tokens":41,"total_tokens":685,"prompt_tokens_details":{"cached_tokens":0,"audio_tokens":0},"completion_tokens_details":{"reasoning_tokens":0,"audio_tokens":0,"accepted_prediction_tokens":0,"rejected_prediction_tokens":0}},"service_tier":"default","system_fingerprint":"fp_ad66631dec"}</t>
        </is>
      </c>
      <c r="M200" t="inlineStr">
        <is>
          <t>{"alt-svc":"h3=\":443\"; ma=2592000","apim-request-id":"0a33648c-41ba-4b63-8f96-3023b18cc314","azureml-model-session":"d20260402075109-1fc5a0ec","cache-control":"no-cache","connection":"close","content-length":"1012","content-type":"application/json","date":"Wed, 29 Apr 2026 01:30:01 GMT","server":"Caddy","skip-error-remapping":"true","strict-transport-security":"max-age=31536000; includeSubDomains; preload","x-content-type-options":"nosniff","x-ms-client-request-id":"Not-Set","x-ms-is-spilled-over":"false","x-ms-rai-invoked":"false","x-ms-region":"West US","x-new-api-version":"0.4.35","x-oneapi-request-id":"202604290129584252496558268d9d6cfPmWjOD","x-ratelimit-abusepenalty-active":"False","x-ratelimit-key":"gpt-5-chat-global","x-ratelimit-limit-requests":"1000","x-ratelimit-limit-tokens":"1000000","x-ratelimit-remaining-requests":"999","x-ratelimit-remaining-tokens":"998592","x-ratelimit-renewalperiod-requests":"60","x-ratelimit-renewalperiod-tokens":"60","x-ratelimit-reset-requests":"60","x-ratelimit-reset-tokens":"84","x-request-id":"2e74c972-3990-467d-8ad0-3e2a3b002ef8"}</t>
        </is>
      </c>
      <c r="N200" t="inlineStr">
        <is>
          <t>Versace Classic Collection gray mid-calf socks crafted from soft cotton blend, featuring iconic Medusa logo and green-red stripes for a luxurious Italian style. Breathable, unisex, and fashion-functional.</t>
        </is>
      </c>
      <c r="O200" t="inlineStr">
        <is>
          <t>{"id":"chatcmpl-DZoRTub3dDn6M27i2WRntSXkJ8N7l","object":"chat.completion","created":1777427751,"model":"gpt-5-chat-2025-10-03","choices":[{"index":0,"message":{"role":"assistant","content":"Versace,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506,"completion_tokens":94,"total_tokens":600,"prompt_tokens_details":{"cached_tokens":0,"audio_tokens":0},"completion_tokens_details":{"reasoning_tokens":0,"audio_tokens":0,"accepted_prediction_tokens":0,"rejected_prediction_tokens":0}},"service_tier":"default","system_fingerprint":"fp_fd471178c5"}</t>
        </is>
      </c>
      <c r="P200" t="inlineStr">
        <is>
          <t>Versace, Socks &amp; Hosiery, kakobuy, kakebuy2026, kekobuysheet, kakobuysheet2026, 2026kakobuy, kakobuyspreadsheeet, kakobuylink, kakebuylist, Kakobuy MEGA Spreadsheet, kakobuysheetfind, kakobuysheetfind2026, 2026kakobuysheetfind, kakobuysheet2026</t>
        </is>
      </c>
      <c r="Q200" t="inlineStr">
        <is>
          <t>Grey, Unisex, Fashion, Breathable</t>
        </is>
      </c>
      <c r="R200" t="inlineStr">
        <is>
          <t>recvhju1Crr8Ei</t>
        </is>
      </c>
      <c r="S200" t="inlineStr">
        <is>
          <t>versace-medusa-gray-cotton-mid-calf-socks-recvhju1crr8ei</t>
        </is>
      </c>
      <c r="T200"/>
      <c r="U200"/>
      <c r="V200"/>
      <c r="W200" t="inlineStr">
        <is>
          <t>{"id":"chatcmpl-DZnvOFlUT8yVNtmc1DnmzRRlZPUzb","object":"chat.completion","created":1777425762,"model":"gpt-5-chat-2025-10-03","choices":[{"index":0,"message":{"role":"assistant","content":"Versace：经典系列灰色中筒袜，甄选柔软棉质混纺面料，饰以品牌标志性美杜莎徽章与绿红条纹设计，展现奢华意式格调。舒适透气贴合脚型，男女皆宜，融合时尚与功能性，完美点缀现代都市休闲造型。","refusal":null,"annotations":[]},"logprobs":null,"finish_reason":"stop"}],"usage":{"prompt_tokens":1023,"completion_tokens":87,"total_tokens":1110,"prompt_tokens_details":{"cached_tokens":0,"audio_tokens":0},"completion_tokens_details":{"reasoning_tokens":0,"audio_tokens":0,"accepted_prediction_tokens":0,"rejected_prediction_tokens":0}},"service_tier":"default","system_fingerprint":"fp_ad66631dec"}</t>
        </is>
      </c>
      <c r="X200" t="inlineStr">
        <is>
          <t>Versace：经典系列灰色中筒袜，甄选柔软棉质混纺面料，饰以品牌标志性美杜莎徽章与绿红条纹设计，展现奢华意式格调。舒适透气贴合脚型，男女皆宜，融合时尚与功能性，完美点缀现代都市休闲造型。</t>
        </is>
      </c>
    </row>
    <row r="201" ht="25.5" customHeight="1">
      <c r="A201">
        <v>1654975475</v>
      </c>
      <c r="B201">
        <v>7624583635</v>
      </c>
      <c r="C201" s="2" t="str">
        <f>=HYPERLINK("https://weidian.com/item.html?itemID=7624583635", "https://weidian.com/item.html?itemID=7624583635")</f>
        <v>https://weidian.com/item.html?itemID=7624583635</v>
      </c>
      <c r="D201"/>
      <c r="E201" s="2" t="str">
        <f>=HYPERLINK("https://si.geilicdn.com/pcitem2014204438-0c1b0000019ae7d48a520a239846_3072_2995.jpg?w=640&amp;h=640", "https://si.geilicdn.com/pcitem2014204438-0c1b0000019ae7d48a520a239846_3072_2995.jpg?w=640&amp;h=640")</f>
        <v>https://si.geilicdn.com/pcitem2014204438-0c1b0000019ae7d48a520a239846_3072_2995.jpg?w=640&amp;h=640</v>
      </c>
      <c r="F201" t="inlineStr">
        <is>
          <t>Socks &amp; Hosiery</t>
        </is>
      </c>
      <c r="G201" t="inlineStr">
        <is>
          <t>Adidas</t>
        </is>
      </c>
      <c r="H201">
        <v>120</v>
      </c>
      <c r="I201">
        <v>17.39</v>
      </c>
      <c r="J201" t="inlineStr">
        <is>
          <t>{"id":"chatcmpl-DZoEwnvInNkN6fX32rbGIJ1dRGfbS","object":"chat.completion","created":1777426974,"model":"gpt-5-chat-2025-10-03","choices":[{"index":0,"message":{"role":"assistant","content":"Adidas Classic Trefoil Black White Short Cotton Socks","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201" t="inlineStr">
        <is>
          <t>Adidas Classic Trefoil Black White Short Cotton Socks</t>
        </is>
      </c>
      <c r="L201" t="inlineStr">
        <is>
          <t>{"id":"chatcmpl-DZo7AqRphoxb2lpEKHS256swBN7jk","object":"chat.completion","created":1777426492,"model":"gpt-5-chat-2025-10-03","choices":[{"index":0,"message":{"role":"assistant","content":"Adidas Classic Black &amp; White Short Socks featuring iconic Trefoil logo, soft breathable cotton, stylish contrast design for men and women, perfect for everyday wear and sports training.","refusal":null,"annotations":[]},"logprobs":null,"finish_reason":"stop"}],"usage":{"prompt_tokens":907,"completion_tokens":35,"total_tokens":942,"prompt_tokens_details":{"cached_tokens":0,"audio_tokens":0},"completion_tokens_details":{"reasoning_tokens":0,"audio_tokens":0,"accepted_prediction_tokens":0,"rejected_prediction_tokens":0}},"service_tier":"default","system_fingerprint":"fp_fd471178c5"}</t>
        </is>
      </c>
      <c r="M201" t="inlineStr">
        <is>
          <t>{"alt-svc":"h3=\":443\"; ma=2592000","apim-request-id":"3ba31598-cf5e-4f8a-b37b-bff7fd7f1583","azureml-model-session":"d20260428174121-807d9cc5","cache-control":"no-cache","connection":"close","content-length":"993","content-type":"application/json","date":"Wed, 29 Apr 2026 01:34:53 GMT","server":"nginx","skip-error-remapping":"true","strict-transport-security":"max-age=31536000; includeSubDomains; preload","via":"1.1 Caddy","x-content-type-options":"nosniff","x-ms-client-request-id":"Not-Set","x-ms-is-spilled-over":"false","x-ms-rai-invoked":"false","x-ms-region":"South Central US","x-new-api-version":"0.4.35","x-oneapi-request-id":"202604290134519914416918268d9d691Y5UORB","x-ratelimit-abusepenalty-active":"False","x-ratelimit-key":"gpt-5-chat-global","x-ratelimit-limit-requests":"1000","x-ratelimit-limit-tokens":"1000000","x-ratelimit-remaining-requests":"999","x-ratelimit-remaining-tokens":"998331","x-ratelimit-renewalperiod-requests":"60","x-ratelimit-renewalperiod-tokens":"60","x-ratelimit-reset-requests":"60","x-ratelimit-reset-tokens":"100","x-request-id":"a27b2982-23d3-4a18-b900-c4e8e5c2d360"}</t>
        </is>
      </c>
      <c r="N201" t="inlineStr">
        <is>
          <t>Adidas Classic Black &amp; White Short Socks featuring iconic Trefoil logo, soft breathable cotton, stylish contrast design for men and women, perfect for everyday wear and sports training.</t>
        </is>
      </c>
      <c r="O201" t="inlineStr">
        <is>
          <t>{"id":"chatcmpl-DZoP0XBhDAcVwkJAmvKYA2tRiUw8e","object":"chat.completion","created":1777427598,"model":"gpt-5-chat-2025-10-03","choices":[{"index":0,"message":{"role":"assistant","content":"Adidas, Socks &amp; Hosiery,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94,"total_tokens":880,"prompt_tokens_details":{"cached_tokens":0,"audio_tokens":0},"completion_tokens_details":{"reasoning_tokens":0,"audio_tokens":0,"accepted_prediction_tokens":0,"rejected_prediction_tokens":0}},"service_tier":"default","system_fingerprint":"fp_fd471178c5"}</t>
        </is>
      </c>
      <c r="P201" t="inlineStr">
        <is>
          <t>Adidas, Socks &amp; Hosiery, kakobuy, kakebuy2026, kekobuysheet, kakobuysheet2026, 2026kakobuy, kakobuyspreadsheeet, kakobuylink, kakebuylist, Kakobuy MEGA Spreadsheet, kakobuysheetfind, kakobuysheetfind2026, 2026kakobuysheetfind, kakobuysheet2026</t>
        </is>
      </c>
      <c r="Q201" t="inlineStr">
        <is>
          <t>ADIDAS, Black, White, Breathable, Unisex</t>
        </is>
      </c>
      <c r="R201" t="inlineStr">
        <is>
          <t>recvhju1Cr7Ksu</t>
        </is>
      </c>
      <c r="S201" t="inlineStr">
        <is>
          <t>adidas-classic-trefoil-black-white-short-cotton-socks-recvhju1cr7ksu</t>
        </is>
      </c>
      <c r="T201"/>
      <c r="U201"/>
      <c r="V201"/>
      <c r="W201" t="inlineStr">
        <is>
          <t>{"id":"chatcmpl-DZnvisMNzS4OdopSO51PIWTyXxhNi","object":"chat.completion","created":1777425782,"model":"gpt-5-chat-2025-10-03","choices":[{"index":0,"message":{"role":"assistant","content":"Adidas：经典黑白系列短袜，简约撞色设计，优选柔软棉质面料，透气舒适不闷脚，配以标志性三叶草图腾，运动休闲风格，男女皆宜，适合日常穿搭与训练场景。","refusal":null,"annotations":[]},"logprobs":null,"finish_reason":"stop"}],"usage":{"prompt_tokens":1307,"completion_tokens":68,"total_tokens":1375,"prompt_tokens_details":{"cached_tokens":1280,"audio_tokens":0},"completion_tokens_details":{"reasoning_tokens":0,"audio_tokens":0,"accepted_prediction_tokens":0,"rejected_prediction_tokens":0}},"service_tier":"default","system_fingerprint":"fp_ad66631dec"}</t>
        </is>
      </c>
      <c r="X201" t="inlineStr">
        <is>
          <t>Adidas：经典黑白系列短袜，简约撞色设计，优选柔软棉质面料，透气舒适不闷脚，配以标志性三叶草图腾，运动休闲风格，男女皆宜，适合日常穿搭与训练场景。</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