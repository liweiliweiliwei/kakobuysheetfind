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潮牌轻奢世家商品导入 04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1701442386</v>
      </c>
      <c r="B2">
        <v>7568668370</v>
      </c>
      <c r="C2" s="2" t="str">
        <f>=HYPERLINK("https://weidian.com/item.html?itemID=7568668370", "https://weidian.com/item.html?itemID=7568668370")</f>
        <v>https://weidian.com/item.html?itemID=7568668370</v>
      </c>
      <c r="D2"/>
      <c r="E2" s="2" t="str">
        <f>=HYPERLINK("https://si.geilicdn.com/open1701442386-252808396-325c00000199bdcc20f10aa0229a_1080_1080.jpg?w=750&amp;h=750&amp;cp=1", "https://si.geilicdn.com/open1701442386-252808396-325c00000199bdcc20f10aa0229a_1080_1080.jpg?w=750&amp;h=750&amp;cp=1")</f>
        <v>https://si.geilicdn.com/open1701442386-252808396-325c00000199bdcc20f10aa0229a_1080_1080.jpg?w=750&amp;h=750&amp;cp=1</v>
      </c>
      <c r="F2" t="inlineStr">
        <is>
          <t>Jackets</t>
        </is>
      </c>
      <c r="G2" t="inlineStr">
        <is>
          <t>Ralph Lauren</t>
        </is>
      </c>
      <c r="H2" t="inlineStr">
        <is>
          <t>680</t>
        </is>
      </c>
      <c r="I2">
        <v>98.55</v>
      </c>
      <c r="J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Hooded Down Jacket Unisex Warm","refusal":null,"role":"assistant"}}],"created":1776061198,"id":"chatcmpl-DU4wIMs56G7SVKrMrj7ds23NH2oc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881,"prompt_tokens_details":{"audio_tokens":0,"cached_tokens":0},"total_tokens":893}}</t>
        </is>
      </c>
      <c r="K2" t="inlineStr">
        <is>
          <t>Ralph Lauren Navy Hooded Down Jacket Unisex Warm</t>
        </is>
      </c>
      <c r="L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Down Jacket—crafted from high-density windproof fabric with lightweight warmth, sleek design and red logo embroidery; hooded, unisex, perfect for winter outdoor and commuting.","refusal":null,"role":"assistant"}}],"created":1776044952,"id":"chatcmpl-DU0iGe07QEqZ7bGaKFnsE7PDMsOCJ","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39,"completion_tokens_details":{"accepted_prediction_tokens":0,"audio_tokens":0,"reasoning_tokens":0,"rejected_prediction_tokens":0},"prompt_tokens":921,"prompt_tokens_details":{"audio_tokens":0,"cached_tokens":0},"total_tokens":960}}</t>
        </is>
      </c>
      <c r="M2" t="inlineStr">
        <is>
          <t>{"alt-svc":"h3=\":443\"; ma=2592000","apim-request-id":"683debf3-8832-4862-bb27-76e5a8d024ca","azureml-model-session":"d20260405212659-a9daa006","connection":"close","content-length":"1407","content-type":"application/json","date":"Mon, 13 Apr 2026 01:49:12 GMT","skip-error-remapping":"true","strict-transport-security":"max-age=31536000; includeSubDomains; preload","via":"1.1 Caddy","x-accel-buffering":"no","x-content-type-options":"nosniff","x-ms-client-request-id":"Not-Set","x-ms-is-spilled-over":"false","x-ms-rai-invoked":"true","x-ms-region":"East US 2","x-new-api-version":"0.4.25-alpha.4","x-oneapi-request-id":"20260413014911190538406y2xkd6Jc","x-ratelimit-abusepenalty-active":"False","x-ratelimit-limit-requests":"1000","x-ratelimit-limit-tokens":"1000000","x-ratelimit-remaining-requests":"999","x-ratelimit-remaining-tokens":"998825","x-ratelimit-renewalperiod-requests":"60","x-ratelimit-renewalperiod-tokens":"60","x-ratelimit-reset-requests":"60","x-ratelimit-reset-tokens":"70","x-request-id":"954bd6dd-0bc6-4883-9794-38a324ea993a","x-shellapi-request-id":"2026041309491115296155038728291"}</t>
        </is>
      </c>
      <c r="N2" t="inlineStr">
        <is>
          <t>Ralph Lauren Navy Down Jacket—crafted from high-density windproof fabric with lightweight warmth, sleek design and red logo embroidery; hooded, unisex, perfect for winter outdoor and commuting.</t>
        </is>
      </c>
      <c r="O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1776061387,"id":"chatcmpl-DU4zLnwFDEKcrnJp7C3aN2DiBstZf","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is>
      </c>
      <c r="P2" t="inlineStr">
        <is>
          <t>Ralph Lauren, Jackets, kakobuy, kakebuy2026, kekobuysheet, kakobuysheet2026, 2026kakobuy, kakobuyspreadsheeet, kakobuylink, kakebuylist, Kakobuy MEGA Spreadsheet, kakobuysheetfind, kakobuysheetfind2026, 2026kakobuysheetfind, kakobuysheet2026</t>
        </is>
      </c>
      <c r="Q2" t="inlineStr">
        <is>
          <t>Navy, Winter, Unisex, Windproof, Outdoor</t>
        </is>
      </c>
      <c r="R2" t="inlineStr">
        <is>
          <t>recvgxCPQcUU88</t>
        </is>
      </c>
      <c r="S2" t="inlineStr">
        <is>
          <t>ralph-lauren-navy-hooded-down-jacket-recvgxcpqc uu88</t>
        </is>
      </c>
      <c r="T2"/>
      <c r="U2"/>
      <c r="V2"/>
      <c r="W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海军蓝羽绒夹克，优选高密防风面料与轻盈保暖填充，简约立体剪裁辅以红色经典马标刺绣，展现美式休闲运动风格，连帽设计防寒实用，男女皆宜，冬季户外通勤理想之选。","refusal":null,"role":"assistant"}}],"created":1776044191,"id":"chatcmpl-DU0VzkmnhJnhP7z7N9q7MT267sxe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80,"completion_tokens_details":{"accepted_prediction_tokens":0,"audio_tokens":0,"reasoning_tokens":0,"rejected_prediction_tokens":0},"prompt_tokens":1314,"prompt_tokens_details":{"audio_tokens":0,"cached_tokens":0},"total_tokens":1394}}</t>
        </is>
      </c>
      <c r="X2" t="inlineStr">
        <is>
          <t>Ralph Lauren：海军蓝羽绒夹克，优选高密防风面料与轻盈保暖填充，简约立体剪裁辅以红色经典马标刺绣，展现美式休闲运动风格，连帽设计防寒实用，男女皆宜，冬季户外通勤理想之选。</t>
        </is>
      </c>
    </row>
    <row r="3" ht="25.5" customHeight="1">
      <c r="A3">
        <v>1701442386</v>
      </c>
      <c r="B3">
        <v>7583053431</v>
      </c>
      <c r="C3" s="2" t="str">
        <f>=HYPERLINK("https://weidian.com/item.html?itemID=7583053431", "https://weidian.com/item.html?itemID=7583053431")</f>
        <v>https://weidian.com/item.html?itemID=7583053431</v>
      </c>
      <c r="D3"/>
      <c r="E3" s="2" t="str">
        <f>=HYPERLINK("https://si.geilicdn.com/open1832946205-252808396-4c6c00000197e946b9840a231226_1920_1920.jpg?w=750&amp;h=750&amp;cp=1", "https://si.geilicdn.com/open1832946205-252808396-4c6c00000197e946b9840a231226_1920_1920.jpg?w=750&amp;h=750&amp;cp=1")</f>
        <v>https://si.geilicdn.com/open1832946205-252808396-4c6c00000197e946b9840a231226_1920_1920.jpg?w=750&amp;h=750&amp;cp=1</v>
      </c>
      <c r="F3" t="inlineStr">
        <is>
          <t>Jackets</t>
        </is>
      </c>
      <c r="G3" t="inlineStr">
        <is>
          <t>Ralph Lauren</t>
        </is>
      </c>
      <c r="H3" t="inlineStr">
        <is>
          <t>170</t>
        </is>
      </c>
      <c r="I3">
        <v>24.64</v>
      </c>
      <c r="J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Polo Off White Zip Jacket","refusal":null,"role":"assistant"}}],"created":1776061171,"id":"chatcmpl-DU4vrBTcNNTvGHwmFCA8S8W6cSHN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10,"completion_tokens_details":{"accepted_prediction_tokens":0,"audio_tokens":0,"reasoning_tokens":0,"rejected_prediction_tokens":0},"prompt_tokens":873,"prompt_tokens_details":{"audio_tokens":0,"cached_tokens":0},"total_tokens":883}}</t>
        </is>
      </c>
      <c r="K3" t="inlineStr">
        <is>
          <t>Ralph Lauren Classic Polo Off White Zip Jacket</t>
        </is>
      </c>
      <c r="L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Polo Zip Jacket, off-white soft cotton design with embroidered pony logo, stand collar style for men and women, timeless American casual elegance for all seasons.","refusal":null,"role":"assistant"}}],"created":1776044960,"id":"chatcmpl-DU0iOX2JlPM4wakEfvJLY0WSER92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35,"completion_tokens_details":{"accepted_prediction_tokens":0,"audio_tokens":0,"reasoning_tokens":0,"rejected_prediction_tokens":0},"prompt_tokens":903,"prompt_tokens_details":{"audio_tokens":0,"cached_tokens":0},"total_tokens":938}}</t>
        </is>
      </c>
      <c r="M3" t="inlineStr">
        <is>
          <t>{"alt-svc":"h3=\":443\"; ma=2592000","apim-request-id":"cbe87d08-c928-4a4d-bdcb-cf619b2d43e6","azureml-model-session":"d20260402083108-57a85543","connection":"close","content-length":"1420","content-type":"application/json","date":"Mon, 13 Apr 2026 01:49:21 GMT","skip-error-remapping":"true","strict-transport-security":"max-age=31536000; includeSubDomains; preload","via":"1.1 Caddy","x-accel-buffering":"no","x-content-type-options":"nosniff","x-ms-client-request-id":"Not-Set","x-ms-is-spilled-over":"false","x-ms-rai-invoked":"true","x-ms-region":"UK South","x-new-api-version":"0.4.25-alpha.4","x-oneapi-request-id":"202604130149194407101615wuAFXJD","x-ratelimit-abusepenalty-active":"False","x-ratelimit-limit-requests":"1000","x-ratelimit-limit-tokens":"1000000","x-ratelimit-remaining-requests":"999","x-ratelimit-remaining-tokens":"998829","x-ratelimit-renewalperiod-requests":"60","x-ratelimit-renewalperiod-tokens":"60","x-ratelimit-reset-requests":"60","x-ratelimit-reset-tokens":"70","x-request-id":"8a0efb57-40cf-409f-ac0f-d64ff1189c25","x-shellapi-request-id":"2026041309491939463164089409451"}</t>
        </is>
      </c>
      <c r="N3" t="inlineStr">
        <is>
          <t>Ralph Lauren Classic Polo Zip Jacket, off-white soft cotton design with embroidered pony logo, stand collar style for men and women, timeless American casual elegance for all seasons.</t>
        </is>
      </c>
      <c r="O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1776061496,"id":"chatcmpl-DU516C511UkTsF6nfNEDTGGyDiAa5","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is>
      </c>
      <c r="P3" t="inlineStr">
        <is>
          <t>Ralph Lauren, Jackets, kakobuy, kakebuy2026, kekobuysheet, kakobuysheet2026, 2026kakobuy, kakobuyspreadsheeet, kakobuylink, kakebuylist, Kakobuy MEGA Spreadsheet, kakobuysheetfind, kakobuysheetfind2026, 2026kakobuysheetfind, kakobuysheet2026</t>
        </is>
      </c>
      <c r="Q3" t="inlineStr">
        <is>
          <t>Off-White, All Seasons, Men's And Women's</t>
        </is>
      </c>
      <c r="R3" t="inlineStr">
        <is>
          <t>recvgxCPQc5FCf</t>
        </is>
      </c>
      <c r="S3" t="inlineStr">
        <is>
          <t>ralph-lauren-classic-polo-off-white-zip-jacket-recvgxcpqc5fcf</t>
        </is>
      </c>
      <c r="T3"/>
      <c r="U3"/>
      <c r="V3"/>
      <c r="W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经典POLO系列米白色拉链夹克，以柔软棉质面料打造，简约立领设计配刺绣马标，展现美式休闲优雅风格，男女皆宜，适合多季节穿搭。","refusal":null,"role":"assistant"}}],"created":1776044352,"id":"chatcmpl-DU0YavyhMJXZUYVXsvlcMPsD7Pbpe","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61,"completion_tokens_details":{"accepted_prediction_tokens":0,"audio_tokens":0,"reasoning_tokens":0,"rejected_prediction_tokens":0},"prompt_tokens":1316,"prompt_tokens_details":{"audio_tokens":0,"cached_tokens":1280},"total_tokens":1377}}</t>
        </is>
      </c>
      <c r="X3" t="inlineStr">
        <is>
          <t>Ralph Lauren：经典POLO系列米白色拉链夹克，以柔软棉质面料打造，简约立领设计配刺绣马标，展现美式休闲优雅风格，男女皆宜，适合多季节穿搭。</t>
        </is>
      </c>
    </row>
    <row r="4" ht="25.5" customHeight="1">
      <c r="A4">
        <v>1701442386</v>
      </c>
      <c r="B4">
        <v>7582544326</v>
      </c>
      <c r="C4" s="2" t="str">
        <f>=HYPERLINK("https://weidian.com/item.html?itemID=7582544326", "https://weidian.com/item.html?itemID=7582544326")</f>
        <v>https://weidian.com/item.html?itemID=7582544326</v>
      </c>
      <c r="D4"/>
      <c r="E4" s="2" t="str">
        <f>=HYPERLINK("https://si.geilicdn.com/open1701442386-252808396-4b740000019a0f779f840a23b4de_1000_1000.jpg?w=750&amp;h=750&amp;cp=1", "https://si.geilicdn.com/open1701442386-252808396-4b740000019a0f779f840a23b4de_1000_1000.jpg?w=750&amp;h=750&amp;cp=1")</f>
        <v>https://si.geilicdn.com/open1701442386-252808396-4b740000019a0f779f840a23b4de_1000_1000.jpg?w=750&amp;h=750&amp;cp=1</v>
      </c>
      <c r="F4" t="inlineStr">
        <is>
          <t>Jackets</t>
        </is>
      </c>
      <c r="G4" t="inlineStr">
        <is>
          <t xml:space="preserve"> Cortiez</t>
        </is>
      </c>
      <c r="H4" t="inlineStr">
        <is>
          <t>365</t>
        </is>
      </c>
      <c r="I4">
        <v>52.9</v>
      </c>
      <c r="J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Black Down Jacket Winter Puffer Coat","refusal":null,"role":"assistant"}}],"created":1776061262,"id":"chatcmpl-DU4xKkyJZR51hZyhnpFDbQAkcD1B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884,"prompt_tokens_details":{"audio_tokens":0,"cached_tokens":0},"total_tokens":895}}</t>
        </is>
      </c>
      <c r="K4" t="inlineStr">
        <is>
          <t>Cortiez Black Down Jacket Winter Puffer Coat</t>
        </is>
      </c>
      <c r="L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ortiez Cortiez Black Down Jacket: High-loft hooded puffer with bright yellow lining, windproof waterproof nylon shell, warm insulation, unisex loose fit for stylish winter streetwear.","refusal":null,"role":"assistant"}}],"created":1776044979,"id":"chatcmpl-DU0ihKsG5KLcL9WftfX665w0QE9c9","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910,"prompt_tokens_details":{"audio_tokens":0,"cached_tokens":0},"total_tokens":951}}</t>
        </is>
      </c>
      <c r="M4" t="inlineStr">
        <is>
          <t>{"alt-svc":"h3=\":443\"; ma=2592000","apim-request-id":"b6da8f55-acd6-48d3-8430-39c90c58d9e8","azureml-model-session":"d20260402074105-51db401e","connection":"close","content-length":"1421","content-type":"application/json","date":"Mon, 13 Apr 2026 01:49:40 GMT","skip-error-remapping":"true","strict-transport-security":"max-age=31536000; includeSubDomains; preload","via":"1.1 Caddy","x-accel-buffering":"no","x-content-type-options":"nosniff","x-ms-client-request-id":"Not-Set","x-ms-is-spilled-over":"false","x-ms-rai-invoked":"true","x-ms-region":"Switzerland North","x-new-api-version":"0.4.25-alpha.4","x-oneapi-request-id":"20260413014938484781230d0gBcvrG","x-ratelimit-abusepenalty-active":"False","x-ratelimit-limit-requests":"1000","x-ratelimit-limit-tokens":"1000000","x-ratelimit-remaining-requests":"999","x-ratelimit-remaining-tokens":"998831","x-ratelimit-renewalperiod-requests":"60","x-ratelimit-renewalperiod-tokens":"60","x-ratelimit-reset-requests":"60","x-ratelimit-reset-tokens":"70","x-request-id":"39405d59-947c-4a16-9d9b-7b9d2c290562","x-shellapi-request-id":"2026041309493844858542959654198"}</t>
        </is>
      </c>
      <c r="N4" t="inlineStr">
        <is>
          <t>Cortiez Cortiez Black Down Jacket: High-loft hooded puffer with bright yellow lining, windproof waterproof nylon shell, warm insulation, unisex loose fit for stylish winter streetwear.</t>
        </is>
      </c>
      <c r="O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Jackets, kakobuy, kakebuy2026, kekobuysheet, kakobuysheet2026, 2026kakobuy, kakobuyspreadsheeet, kakobuylink, kakebuylist, Kakobuy MEGA Spreadsheet, kakobuysheetfind, kakobuysheetfind2026, 2026kakobuysheetfind, kakobuysheet2026","refusal":null,"role":"assistant"}}],"created":1776061382,"id":"chatcmpl-DU4zGKa8K78BLvyBNW6FKh4O80V9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783,"prompt_tokens_details":{"audio_tokens":0,"cached_tokens":0},"total_tokens":875}}</t>
        </is>
      </c>
      <c r="P4" t="inlineStr">
        <is>
          <t>Cortiez, Jackets, kakobuy, kakebuy2026, kekobuysheet, kakobuysheet2026, 2026kakobuy, kakobuyspreadsheeet, kakobuylink, kakebuylist, Kakobuy MEGA Spreadsheet, kakobuysheetfind, kakobuysheetfind2026, 2026kakobuysheetfind, kakobuysheet2026</t>
        </is>
      </c>
      <c r="Q4" t="inlineStr">
        <is>
          <t>Black, Winter, Waterproof, Unisex, Streetwear</t>
        </is>
      </c>
      <c r="R4" t="inlineStr">
        <is>
          <t>recvgxCPQcPEDf</t>
        </is>
      </c>
      <c r="S4" t="inlineStr">
        <is>
          <t>cortiez-black-down-jacket-winter-recvgxcpqcpedf</t>
        </is>
      </c>
      <c r="T4"/>
      <c r="U4"/>
      <c r="V4"/>
      <c r="W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黑色羽绒连帽外套，亮黄色内衬设计，高蓬松防寒保暖，尼龙面料防风防水，宽松剪裁兼具街头潮流与功能性，男女同款冬季必备时尚羽绒夹克。","refusal":null,"role":"assistant"}}],"created":1776044346,"id":"chatcmpl-DU0YU0jCjYj8cdRHgHCEKp7dLtQ6R","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69,"completion_tokens_details":{"accepted_prediction_tokens":0,"audio_tokens":0,"reasoning_tokens":0,"rejected_prediction_tokens":0},"prompt_tokens":1316,"prompt_tokens_details":{"audio_tokens":0,"cached_tokens":1280},"total_tokens":1385}}</t>
        </is>
      </c>
      <c r="X4" t="inlineStr">
        <is>
          <t>Cortiez：黑色羽绒连帽外套，亮黄色内衬设计，高蓬松防寒保暖，尼龙面料防风防水，宽松剪裁兼具街头潮流与功能性，男女同款冬季必备时尚羽绒夹克。</t>
        </is>
      </c>
    </row>
    <row r="5" ht="25.5" customHeight="1">
      <c r="A5">
        <v>1701442386</v>
      </c>
      <c r="B5">
        <v>7580676633</v>
      </c>
      <c r="C5" s="2" t="str">
        <f>=HYPERLINK("https://weidian.com/item.html?itemID=7580676633", "https://weidian.com/item.html?itemID=7580676633")</f>
        <v>https://weidian.com/item.html?itemID=7580676633</v>
      </c>
      <c r="D5"/>
      <c r="E5" s="2" t="str">
        <f>=HYPERLINK("https://si.geilicdn.com/open1701442386-252808396-6e210000019a0fadc1af0a231226_748_748.jpg?w=750&amp;h=750&amp;cp=1", "https://si.geilicdn.com/open1701442386-252808396-6e210000019a0fadc1af0a231226_748_748.jpg?w=750&amp;h=750&amp;cp=1")</f>
        <v>https://si.geilicdn.com/open1701442386-252808396-6e210000019a0fadc1af0a231226_748_748.jpg?w=750&amp;h=750&amp;cp=1</v>
      </c>
      <c r="F5" t="inlineStr">
        <is>
          <t>Pants</t>
        </is>
      </c>
      <c r="G5" t="inlineStr">
        <is>
          <t>Other</t>
        </is>
      </c>
      <c r="H5" t="inlineStr">
        <is>
          <t>210</t>
        </is>
      </c>
      <c r="I5">
        <v>30.43</v>
      </c>
      <c r="J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 Beige Unisex Loose Fit Cotton Sweatpants","refusal":null,"role":"assistant"}}],"created":1776061288,"id":"chatcmpl-DU4xkyJkduOodrHul3bnXWvcdWLk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881,"prompt_tokens_details":{"audio_tokens":0,"cached_tokens":0},"total_tokens":893}}</t>
        </is>
      </c>
      <c r="K5" t="inlineStr">
        <is>
          <t>PantsOther Beige Unisex Loose Fit Cotton Sweatpants</t>
        </is>
      </c>
      <c r="L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 Beige Loose Fit Sweatpants feature soft thick cotton fabric, smooth skin-friendly touch, elastic drawstring waist, relaxed street style for men and women, perfect for daily wear and lounging.","refusal":null,"role":"assistant"}}],"created":1776061023,"id":"chatcmpl-DU4tTh7MPiDMxuT6Mfon6bQ5VdBb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40,"completion_tokens_details":{"accepted_prediction_tokens":0,"audio_tokens":0,"reasoning_tokens":0,"rejected_prediction_tokens":0},"prompt_tokens":931,"prompt_tokens_details":{"audio_tokens":0,"cached_tokens":0},"total_tokens":971}}</t>
        </is>
      </c>
      <c r="M5" t="inlineStr">
        <is>
          <t>{"alt-svc":"h3=\":443\"; ma=2592000","apim-request-id":"62f52486-a169-4595-be02-f5c5b0c55822","azureml-model-session":"d20260402084046-4209e968","connection":"close","content-length":"1439","content-type":"application/json","date":"Mon, 13 Apr 2026 06:17:06 GMT","skip-error-remapping":"true","strict-transport-security":"max-age=31536000; includeSubDomains; preload","via":"1.1 Caddy","x-accel-buffering":"no","x-content-type-options":"nosniff","x-ms-client-request-id":"Not-Set","x-ms-is-spilled-over":"false","x-ms-rai-invoked":"true","x-ms-region":"Australia East","x-new-api-version":"0.4.25-alpha.4","x-oneapi-request-id":"20260413061703126929296C6omm5Ri","x-ratelimit-abusepenalty-active":"False","x-ratelimit-limit-requests":"1000","x-ratelimit-limit-tokens":"1000000","x-ratelimit-remaining-requests":"999","x-ratelimit-remaining-tokens":"998828","x-ratelimit-renewalperiod-requests":"60","x-ratelimit-renewalperiod-tokens":"60","x-ratelimit-reset-requests":"60","x-ratelimit-reset-tokens":"70","x-request-id":"bca8315a-6d3c-4162-a993-fe5a5f2d7172","x-shellapi-request-id":"202604131417037469108285908997"}</t>
        </is>
      </c>
      <c r="N5" t="inlineStr">
        <is>
          <t>PantsOther Beige Loose Fit Sweatpants feature soft thick cotton fabric, smooth skin-friendly touch, elastic drawstring waist, relaxed street style for men and women, perfect for daily wear and lounging.</t>
        </is>
      </c>
      <c r="O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Pants,kakobuy,kakebuy2026,kekobuysheet,kakobuysheet2026,2026kakobuy,kakobuyspreadsheeet,kakobuylink,kakebuylist,Kakobuy MEGA Spreadsheet,kakobuysheetfind,kakobuysheetfind2026,2026kakobuysheetfind,kakobuysheet2026","refusal":null,"role":"assistant"}}],"created":1776061487,"id":"chatcmpl-DU50xO6rJKKZcVjoaQaXe4w6N8Q2Z","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782,"prompt_tokens_details":{"audio_tokens":0,"cached_tokens":0},"total_tokens":870}}</t>
        </is>
      </c>
      <c r="P5" t="inlineStr">
        <is>
          <t>PantsOther,Pants,kakobuy,kakebuy2026,kekobuysheet,kakobuysheet2026,2026kakobuy,kakobuyspreadsheeet,kakobuylink,kakebuylist,Kakobuy MEGA Spreadsheet,kakobuysheetfind,kakobuysheetfind2026,2026kakobuysheetfind,kakobuysheet2026</t>
        </is>
      </c>
      <c r="Q5" t="inlineStr">
        <is>
          <t>Beige, Streetwear, Unisex, Comfort</t>
        </is>
      </c>
      <c r="R5" t="inlineStr">
        <is>
          <t>recvgxCPQcfbEe</t>
        </is>
      </c>
      <c r="S5" t="inlineStr">
        <is>
          <t>beige-unisex-loose-cotton-sweatpants-recvgxcpqcfbee</t>
        </is>
      </c>
      <c r="T5"/>
      <c r="U5"/>
      <c r="V5"/>
      <c r="W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宽松休闲版米色卫裤，采用柔软厚实棉质面料，触感顺滑亲肤，弹性腰头搭配抽绳设计，舒适贴合不紧绷。极简剪裁展现松弛廓形，街头休闲风格男女皆宜，适合日常出行与居家穿搭，轻松打造都市随性造型。","refusal":null,"role":"assistant"}}],"created":1776044422,"id":"chatcmpl-DU0ZiX860NRb2zXDMzFUMyTugFw2H","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93,"completion_tokens_details":{"accepted_prediction_tokens":0,"audio_tokens":0,"reasoning_tokens":0,"rejected_prediction_tokens":0},"prompt_tokens":1308,"prompt_tokens_details":{"audio_tokens":0,"cached_tokens":1280},"total_tokens":1401}}</t>
        </is>
      </c>
      <c r="X5" t="inlineStr">
        <is>
          <t>宽松休闲版米色卫裤，采用柔软厚实棉质面料，触感顺滑亲肤，弹性腰头搭配抽绳设计，舒适贴合不紧绷。极简剪裁展现松弛廓形，街头休闲风格男女皆宜，适合日常出行与居家穿搭，轻松打造都市随性造型。</t>
        </is>
      </c>
    </row>
    <row r="6" ht="25.5" customHeight="1">
      <c r="A6">
        <v>1701442386</v>
      </c>
      <c r="B6">
        <v>7582595922</v>
      </c>
      <c r="C6" s="2" t="str">
        <f>=HYPERLINK("https://weidian.com/item.html?itemID=7582595922", "https://weidian.com/item.html?itemID=7582595922")</f>
        <v>https://weidian.com/item.html?itemID=7582595922</v>
      </c>
      <c r="D6"/>
      <c r="E6" s="2" t="str">
        <f>=HYPERLINK("https://si.geilicdn.com/open1701442386-252808396-6a200000019a0faa81ad0a23b4de_1920_1920.jpg?w=750&amp;h=750&amp;cp=1", "https://si.geilicdn.com/open1701442386-252808396-6a200000019a0faa81ad0a23b4de_1920_1920.jpg?w=750&amp;h=750&amp;cp=1")</f>
        <v>https://si.geilicdn.com/open1701442386-252808396-6a200000019a0faa81ad0a23b4de_1920_1920.jpg?w=750&amp;h=750&amp;cp=1</v>
      </c>
      <c r="F6" t="inlineStr">
        <is>
          <t>Hoodies</t>
        </is>
      </c>
      <c r="G6" t="inlineStr">
        <is>
          <t>Essentials</t>
        </is>
      </c>
      <c r="H6" t="inlineStr">
        <is>
          <t>266</t>
        </is>
      </c>
      <c r="I6">
        <v>38.55</v>
      </c>
      <c r="J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ear of God Essentials Grey Heavyweight Fleece Hoodie","refusal":null,"role":"assistant"}}],"created":1776061171,"id":"chatcmpl-DU4vrXA0GcM0G0OpzBd1Gb8NaJ089","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903,"prompt_tokens_details":{"audio_tokens":0,"cached_tokens":0},"total_tokens":914}}</t>
        </is>
      </c>
      <c r="K6" t="inlineStr">
        <is>
          <t>Fear of God Essentials Grey Heavyweight Fleece Hoodie</t>
        </is>
      </c>
      <c r="L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ear of God Essentials grey hoodie made from heavyweight cotton fleece, soft, warm and durable. Features 3D “ESSENTIALS FEAR OF GOD” logo, relaxed drop-shoulder fit, unisex streetwear for fall and winter.","refusal":null,"role":"assistant"}}],"created":1776044905,"id":"chatcmpl-DU0hVtlCDU86TuEUYXmnNx29lPv7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50,"completion_tokens_details":{"accepted_prediction_tokens":0,"audio_tokens":0,"reasoning_tokens":0,"rejected_prediction_tokens":0},"prompt_tokens":938,"prompt_tokens_details":{"audio_tokens":0,"cached_tokens":0},"total_tokens":988}}</t>
        </is>
      </c>
      <c r="M6" t="inlineStr">
        <is>
          <t>{"alt-svc":"h3=\":443\"; ma=2592000","apim-request-id":"1ed4a388-4042-479b-b375-f4750664dfa7","azureml-model-session":"d20260405234249-f9874baf","connection":"close","content-length":"1445","content-type":"application/json","date":"Mon, 13 Apr 2026 01:48:27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20260413014823718202332Oqoq5Git","x-ratelimit-abusepenalty-active":"False","x-ratelimit-limit-requests":"1000","x-ratelimit-limit-tokens":"1000000","x-ratelimit-remaining-requests":"999","x-ratelimit-remaining-tokens":"998819","x-ratelimit-renewalperiod-requests":"60","x-ratelimit-renewalperiod-tokens":"60","x-ratelimit-reset-requests":"60","x-ratelimit-reset-tokens":"70","x-request-id":"4e5563f3-7af5-4b42-8764-5879991bfa0c","x-shellapi-request-id":"2026041309482364071898938600901"}</t>
        </is>
      </c>
      <c r="N6" t="inlineStr">
        <is>
          <t>Fear of God Essentials grey hoodie made from heavyweight cotton fleece, soft, warm and durable. Features 3D “ESSENTIALS FEAR OF GOD” logo, relaxed drop-shoulder fit, unisex streetwear for fall and winter.</t>
        </is>
      </c>
      <c r="O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hoodie,kakobuy,kakebuy2026,kekobuysheet,kakobuysheet2026,2026kakobuy,kakobuyspreadsheeet,kakobuylink,kakebuylist,Kakobuy MEGA Spreadsheet,kakobuysheetfind,kakobuysheetfind2026,2026kakobuysheetfind,kakobuysheet2026","refusal":null,"role":"assistant"}}],"created":1776061381,"id":"chatcmpl-DU4zF1Y586PbH34x7fvWXvWKn8Jv9","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784,"prompt_tokens_details":{"audio_tokens":0,"cached_tokens":0},"total_tokens":872}}</t>
        </is>
      </c>
      <c r="P6" t="inlineStr">
        <is>
          <t>Essentials,hoodie,kakobuy,kakebuy2026,kekobuysheet,kakobuysheet2026,2026kakobuy,kakobuyspreadsheeet,kakobuylink,kakebuylist,Kakobuy MEGA Spreadsheet,kakobuysheetfind,kakobuysheetfind2026,2026kakobuysheetfind,kakobuysheet2026</t>
        </is>
      </c>
      <c r="Q6" t="inlineStr">
        <is>
          <t>Unisex, Streetwear, Grey, Autumn And Winter, Fleece-Lined</t>
        </is>
      </c>
      <c r="R6" t="inlineStr">
        <is>
          <t>recvgxCPQcwmQ5</t>
        </is>
      </c>
      <c r="S6" t="inlineStr">
        <is>
          <t>fear-of-god-essentials-grey-heavyweight-fleece-hoodie-recvgxcpqcwmq5</t>
        </is>
      </c>
      <c r="T6"/>
      <c r="U6"/>
      <c r="V6"/>
      <c r="W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灰色连帽卫衣，采用高克重纯棉毛圈面料，柔软厚实保暖。胸前立体“ESSENTIALS FEAR OF GOD”标识简约醒目，宽松廓形搭配落肩设计，休闲街头风格彰显潮流态度。男女同款，兼具舒适与时尚，适合秋冬日常穿搭。","refusal":null,"role":"assistant"}}],"created":1776044358,"id":"chatcmpl-DU0YgO2svTqTB4hGtGzka7ZLFz29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95,"completion_tokens_details":{"accepted_prediction_tokens":0,"audio_tokens":0,"reasoning_tokens":0,"rejected_prediction_tokens":0},"prompt_tokens":1317,"prompt_tokens_details":{"audio_tokens":0,"cached_tokens":0},"total_tokens":1412}}</t>
        </is>
      </c>
      <c r="X6" t="inlineStr">
        <is>
          <t>Essentials：灰色连帽卫衣，采用高克重纯棉毛圈面料，柔软厚实保暖。胸前立体“ESSENTIALS FEAR OF GOD”标识简约醒目，宽松廓形搭配落肩设计，休闲街头风格彰显潮流态度。男女同款，兼具舒适与时尚，适合秋冬日常穿搭。</t>
        </is>
      </c>
    </row>
    <row r="7" ht="25.5" customHeight="1">
      <c r="A7">
        <v>1701442386</v>
      </c>
      <c r="B7">
        <v>7584049362</v>
      </c>
      <c r="C7" s="2" t="str">
        <f>=HYPERLINK("https://weidian.com/item.html?itemID=7584049362", "https://weidian.com/item.html?itemID=7584049362")</f>
        <v>https://weidian.com/item.html?itemID=7584049362</v>
      </c>
      <c r="D7"/>
      <c r="E7" s="2" t="str">
        <f>=HYPERLINK("https://si.geilicdn.com/pcitem901998089496-2ddd0000019a157419900a811411_1024_1024.jpg?w=750&amp;h=750&amp;cp=1", "https://si.geilicdn.com/pcitem901998089496-2ddd0000019a157419900a811411_1024_1024.jpg?w=750&amp;h=750&amp;cp=1")</f>
        <v>https://si.geilicdn.com/pcitem901998089496-2ddd0000019a157419900a811411_1024_1024.jpg?w=750&amp;h=750&amp;cp=1</v>
      </c>
      <c r="F7" t="inlineStr">
        <is>
          <t>Jackets</t>
        </is>
      </c>
      <c r="G7" t="inlineStr">
        <is>
          <t>Arc teryx</t>
        </is>
      </c>
      <c r="H7" t="inlineStr">
        <is>
          <t>239</t>
        </is>
      </c>
      <c r="I7">
        <v>34.64</v>
      </c>
      <c r="J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rc'teryx Black GORE-TEX Waterproof Outdoor Jacket","refusal":null,"role":"assistant"}}],"created":1776061286,"id":"chatcmpl-DU4xiH011Vsk367s02scggxM1IolB","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13,"completion_tokens_details":{"accepted_prediction_tokens":0,"audio_tokens":0,"reasoning_tokens":0,"rejected_prediction_tokens":0},"prompt_tokens":892,"prompt_tokens_details":{"audio_tokens":0,"cached_tokens":0},"total_tokens":905}}</t>
        </is>
      </c>
      <c r="K7" t="inlineStr">
        <is>
          <t>Arc'teryx Black GORE-TEX Waterproof Outdoor Jacket</t>
        </is>
      </c>
      <c r="L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Black Waterproof Jacket features GORE-TEX 3-layer fabric, lightweight, windproof and breathable. Minimalist design with logo, adjustable hood, and waterproof zippers for all-weather outdoor wear.","refusal":null,"role":"assistant"}}],"created":1776044975,"id":"chatcmpl-DU0idPu2lJGpSK6k3az3LtsKsKSW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44,"completion_tokens_details":{"accepted_prediction_tokens":0,"audio_tokens":0,"reasoning_tokens":0,"rejected_prediction_tokens":0},"prompt_tokens":929,"prompt_tokens_details":{"audio_tokens":0,"cached_tokens":0},"total_tokens":973}}</t>
        </is>
      </c>
      <c r="M7" t="inlineStr">
        <is>
          <t>{"alt-svc":"h3=\":443\"; ma=2592000","apim-request-id":"edb87085-a4df-4c38-ad2d-546e5525fe5a","azureml-model-session":"d20260402084046-4209e968","connection":"close","content-length":"1442","content-type":"application/json","date":"Mon, 13 Apr 2026 01:49:37 GMT","skip-error-remapping":"true","strict-transport-security":"max-age=31536000; includeSubDomains; preload","via":"1.1 Caddy","x-accel-buffering":"no","x-content-type-options":"nosniff","x-ms-client-request-id":"Not-Set","x-ms-is-spilled-over":"false","x-ms-rai-invoked":"true","x-ms-region":"Australia East","x-new-api-version":"0.4.25-alpha.4","x-oneapi-request-id":"2026041301493480581695JC9wxT8k","x-ratelimit-abusepenalty-active":"False","x-ratelimit-limit-requests":"1000","x-ratelimit-limit-tokens":"1000000","x-ratelimit-remaining-requests":"999","x-ratelimit-remaining-tokens":"998823","x-ratelimit-renewalperiod-requests":"60","x-ratelimit-renewalperiod-tokens":"60","x-ratelimit-reset-requests":"60","x-ratelimit-reset-tokens":"70","x-request-id":"24f87329-1947-4491-a34f-04395a2c5630","x-shellapi-request-id":"202604130949344388020587551990"}</t>
        </is>
      </c>
      <c r="N7" t="inlineStr">
        <is>
          <t>Arc'teryx Black Waterproof Jacket features GORE-TEX 3-layer fabric, lightweight, windproof and breathable. Minimalist design with logo, adjustable hood, and waterproof zippers for all-weather outdoor wear.</t>
        </is>
      </c>
      <c r="O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rc'teryx, Jacket, kakobuy, kakebuy2026, kekobuysheet, kakobuysheet2026, 2026kakobuy, kakobuyspreadsheeet, kakobuylink, kakebuylist, Kakobuy MEGA Spreadsheet, kakobuysheetfind, kakobuysheetfind2026, 2026kakobuysheetfind, kakobuysheet2026","refusal":null,"role":"assistant"}}],"created":1776061501,"id":"chatcmpl-DU51BsqhxRiYp9ZM6A6IyborjaRMM","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93,"completion_tokens_details":{"accepted_prediction_tokens":0,"audio_tokens":0,"reasoning_tokens":0,"rejected_prediction_tokens":0},"prompt_tokens":785,"prompt_tokens_details":{"audio_tokens":0,"cached_tokens":0},"total_tokens":878}}</t>
        </is>
      </c>
      <c r="P7" t="inlineStr">
        <is>
          <t>Arc'teryx, Jacket, kakobuy, kakebuy2026, kekobuysheet, kakobuysheet2026, 2026kakobuy, kakobuyspreadsheeet, kakobuylink, kakebuylist, Kakobuy MEGA Spreadsheet, kakobuysheetfind, kakobuysheetfind2026, 2026kakobuysheetfind, kakobuysheet2026</t>
        </is>
      </c>
      <c r="Q7"/>
      <c r="R7" t="inlineStr">
        <is>
          <t>recvgxFjjAvJpJ</t>
        </is>
      </c>
      <c r="S7" t="inlineStr">
        <is>
          <t>arcteryx-black-gore-tex-waterproof-jacket-recvgxfjjavjpj</t>
        </is>
      </c>
      <c r="T7"/>
      <c r="U7"/>
      <c r="V7"/>
      <c r="W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黑色防水冲锋衣，采用GORE-TEX三层面料，轻盈透气兼防风雨。极简立体剪裁展现都市机能美学，胸前品牌标志彰显专业户外精神。配备可调节风帽与防水拉链设计，适合男女全年户外穿搭，集功能与时尚于一身。","refusal":null,"role":"assistant"}}],"created":1776044459,"id":"chatcmpl-DU0aJO1AP9Ph1vbrmqb2nKN2RNxRI","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1308,"prompt_tokens_details":{"audio_tokens":0,"cached_tokens":0},"total_tokens":1399}}</t>
        </is>
      </c>
      <c r="X7" t="inlineStr">
        <is>
          <t>Arc'teryx：黑色防水冲锋衣，采用GORE-TEX三层面料，轻盈透气兼防风雨。极简立体剪裁展现都市机能美学，胸前品牌标志彰显专业户外精神。配备可调节风帽与防水拉链设计，适合男女全年户外穿搭，集功能与时尚于一身。</t>
        </is>
      </c>
    </row>
    <row r="8" ht="25.5" customHeight="1">
      <c r="A8">
        <v>1701442386</v>
      </c>
      <c r="B8">
        <v>7582661882</v>
      </c>
      <c r="C8" s="2" t="str">
        <f>=HYPERLINK("https://weidian.com/item.html?itemID=7582661882", "https://weidian.com/item.html?itemID=7582661882")</f>
        <v>https://weidian.com/item.html?itemID=7582661882</v>
      </c>
      <c r="D8"/>
      <c r="E8" s="2" t="str">
        <f>=HYPERLINK("https://si.geilicdn.com/open1701442386-252808396-6f5f0000019a0fb311b20a231226_1200_1800.jpg?w=640&amp;h=640", "https://si.geilicdn.com/open1701442386-252808396-6f5f0000019a0fb311b20a231226_1200_1800.jpg?w=640&amp;h=640")</f>
        <v>https://si.geilicdn.com/open1701442386-252808396-6f5f0000019a0fb311b20a231226_1200_1800.jpg?w=640&amp;h=640</v>
      </c>
      <c r="F8" t="inlineStr">
        <is>
          <t>Pants</t>
        </is>
      </c>
      <c r="G8" t="inlineStr">
        <is>
          <t>Other</t>
        </is>
      </c>
      <c r="H8" t="inlineStr">
        <is>
          <t>148</t>
        </is>
      </c>
      <c r="I8">
        <v>21.45</v>
      </c>
      <c r="J8" t="inlineStr">
        <is>
          <t>{"choices":[{"content_filter_result":{"error":{"code":"content_filter_error","message":"The contents are not filtered"}},"content_filter_results":{},"finish_reason":"stop","index":0,"logprobs":null,"message":{"annotations":[],"content":"PantsOther Retro Purple Unisex Cotton Loose Sweatpants","refusal":null,"role":"assistant"}}],"created":1776061236,"id":"chatcmpl-DU4wuuK11axfsrWvULBavyRq3bfqh","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12,"completion_tokens_details":{"accepted_prediction_tokens":0,"audio_tokens":0,"reasoning_tokens":0,"rejected_prediction_tokens":0},"prompt_tokens":879,"prompt_tokens_details":{"audio_tokens":0,"cached_tokens":0},"total_tokens":891}}</t>
        </is>
      </c>
      <c r="K8" t="inlineStr">
        <is>
          <t>PantsOther Retro Purple Unisex Cotton Loose Sweatpants</t>
        </is>
      </c>
      <c r="L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 Retro Casual Purple Sweatpants feature soft thick cotton, loose straight cut, and drawstring waist. Unisex design blends comfort with streetwear flair for a modern vintage sporty style.","refusal":null,"role":"assistant"}}],"created":1776044911,"id":"chatcmpl-DU0hbjTmHL0eLsaCyMI9EziBdwoy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899,"prompt_tokens_details":{"audio_tokens":0,"cached_tokens":0},"total_tokens":938}}</t>
        </is>
      </c>
      <c r="M8" t="inlineStr">
        <is>
          <t>{"alt-svc":"h3=\":443\"; ma=2592000","apim-request-id":"74b774e0-7568-41cc-af11-81e77857a707","azureml-model-session":"d20260402083108-57a85543","connection":"close","content-length":"1433","content-type":"application/json","date":"Mon, 13 Apr 2026 01:48:33 GMT","skip-error-remapping":"true","strict-transport-security":"max-age=31536000; includeSubDomains; preload","via":"1.1 Caddy","x-accel-buffering":"no","x-content-type-options":"nosniff","x-ms-client-request-id":"Not-Set","x-ms-is-spilled-over":"false","x-ms-rai-invoked":"true","x-ms-region":"Japan East","x-new-api-version":"0.4.25-alpha.4","x-oneapi-request-id":"20260413014830342208190LxQh5WJO","x-ratelimit-abusepenalty-active":"False","x-ratelimit-limit-requests":"1000","x-ratelimit-limit-tokens":"1000000","x-ratelimit-remaining-requests":"999","x-ratelimit-remaining-tokens":"998836","x-ratelimit-renewalperiod-requests":"60","x-ratelimit-renewalperiod-tokens":"60","x-ratelimit-reset-requests":"60","x-ratelimit-reset-tokens":"69","x-request-id":"dca1228e-f7b3-4575-8ba4-4b1424457913","x-shellapi-request-id":"2026041309483030479409759107421"}</t>
        </is>
      </c>
      <c r="N8" t="inlineStr">
        <is>
          <t>PantsOther Retro Casual Purple Sweatpants feature soft thick cotton, loose straight cut, and drawstring waist. Unisex design blends comfort with streetwear flair for a modern vintage sporty style.</t>
        </is>
      </c>
      <c r="O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kakobuy,kakebuy2026,kekobuysheet,kakobuysheet2026,2026kakobuy,kakobuyspreadsheeet,kakobuylink,kakebuylist,Kakobuy MEGA Spreadsheet,kakobuysheetfind,kakobuysheetfind2026,2026kakobuysheetfind,kakobuysheet2026","refusal":null,"role":"assistant"}}],"created":1776061383,"id":"chatcmpl-DU4zHHTdAoPCi83QvVAcxgjjE3598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86,"completion_tokens_details":{"accepted_prediction_tokens":0,"audio_tokens":0,"reasoning_tokens":0,"rejected_prediction_tokens":0},"prompt_tokens":782,"prompt_tokens_details":{"audio_tokens":0,"cached_tokens":0},"total_tokens":868}}</t>
        </is>
      </c>
      <c r="P8" t="inlineStr">
        <is>
          <t>PantsOther,kakobuy,kakebuy2026,kekobuysheet,kakobuysheet2026,2026kakobuy,kakobuyspreadsheeet,kakobuylink,kakebuylist,Kakobuy MEGA Spreadsheet,kakobuysheetfind,kakobuysheetfind2026,2026kakobuysheetfind,kakobuysheet2026</t>
        </is>
      </c>
      <c r="Q8" t="inlineStr">
        <is>
          <t>Retro Casual, Purple, Unisex, Comfort, Streetwear</t>
        </is>
      </c>
      <c r="R8" t="inlineStr">
        <is>
          <t>recvgxFjjA95Pp</t>
        </is>
      </c>
      <c r="S8" t="inlineStr">
        <is>
          <t>retro-purple-unisex-cotton-loose-sweatpants-recvgxfjja95pp</t>
        </is>
      </c>
      <c r="T8"/>
      <c r="U8"/>
      <c r="V8"/>
      <c r="W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复古休闲紫色运动长裤，柔软厚实棉质面料，宽松直筒剪裁搭配抽绳设计，兼具舒适与街头潮流感，男女同款百搭单品，展现现代复古运动风。","refusal":null,"role":"assistant"}}],"created":1776044379,"id":"chatcmpl-DU0Z1b1HiEM0EVepJLKiVf7chiL7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62,"completion_tokens_details":{"accepted_prediction_tokens":0,"audio_tokens":0,"reasoning_tokens":0,"rejected_prediction_tokens":0},"prompt_tokens":1306,"prompt_tokens_details":{"audio_tokens":0,"cached_tokens":0},"total_tokens":1368}}</t>
        </is>
      </c>
      <c r="X8" t="inlineStr">
        <is>
          <t>复古休闲紫色运动长裤，柔软厚实棉质面料，宽松直筒剪裁搭配抽绳设计，兼具舒适与街头潮流感，男女同款百搭单品，展现现代复古运动风。</t>
        </is>
      </c>
    </row>
    <row r="9" ht="25.5" customHeight="1">
      <c r="A9">
        <v>1701442386</v>
      </c>
      <c r="B9">
        <v>7580610791</v>
      </c>
      <c r="C9" s="2" t="str">
        <f>=HYPERLINK("https://weidian.com/item.html?itemID=7580610791", "https://weidian.com/item.html?itemID=7580610791")</f>
        <v>https://weidian.com/item.html?itemID=7580610791</v>
      </c>
      <c r="D9"/>
      <c r="E9" s="2" t="str">
        <f>=HYPERLINK("https://si.geilicdn.com/open1701442386-252808396-564c0000019a0f94272f0a23b4de_1432_1432.jpg?w=750&amp;h=750&amp;cp=1", "https://si.geilicdn.com/open1701442386-252808396-564c0000019a0f94272f0a23b4de_1432_1432.jpg?w=750&amp;h=750&amp;cp=1")</f>
        <v>https://si.geilicdn.com/open1701442386-252808396-564c0000019a0f94272f0a23b4de_1432_1432.jpg?w=750&amp;h=750&amp;cp=1</v>
      </c>
      <c r="F9" t="inlineStr">
        <is>
          <t>Jackets</t>
        </is>
      </c>
      <c r="G9" t="inlineStr">
        <is>
          <t>Stone Island</t>
        </is>
      </c>
      <c r="H9" t="inlineStr">
        <is>
          <t>298</t>
        </is>
      </c>
      <c r="I9">
        <v>43.19</v>
      </c>
      <c r="J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Grey Hooded Down Winter Jacket","refusal":null,"role":"assistant"}}],"created":1776061169,"id":"chatcmpl-DU4vprpr9MQUJboxyCFlnKu3Y59l8","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completion_tokens_details":{"accepted_prediction_tokens":0,"audio_tokens":0,"reasoning_tokens":0,"rejected_prediction_tokens":0},"prompt_tokens":876,"prompt_tokens_details":{"audio_tokens":0,"cached_tokens":0},"total_tokens":885}}</t>
        </is>
      </c>
      <c r="K9" t="inlineStr">
        <is>
          <t>Stone Island Grey Hooded Down Winter Jacket</t>
        </is>
      </c>
      <c r="L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Grey Hooded Down Jacket crafted from high-density windproof fabric and premium down fill; features iconic compass badge, sleek urban design, perfect for winter street or outdoor wear.","refusal":null,"role":"assistant"}}],"created":1776045009,"id":"chatcmpl-DU0jB7xR6Ni5cckQCcjcEe90UPLAe","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37,"completion_tokens_details":{"accepted_prediction_tokens":0,"audio_tokens":0,"reasoning_tokens":0,"rejected_prediction_tokens":0},"prompt_tokens":929,"prompt_tokens_details":{"audio_tokens":0,"cached_tokens":0},"total_tokens":966}}</t>
        </is>
      </c>
      <c r="M9" t="inlineStr">
        <is>
          <t>{"alt-svc":"h3=\":443\"; ma=2592000","apim-request-id":"06fb0e4d-3948-4b9c-ac58-d7777624fabd","azureml-model-session":"d20260405225800-40f19e54","connection":"close","content-length":"1408","content-type":"application/json","date":"Mon, 13 Apr 2026 01:50:09 GMT","skip-error-remapping":"true","strict-transport-security":"max-age=31536000; includeSubDomains; preload","via":"1.1 Caddy","x-accel-buffering":"no","x-content-type-options":"nosniff","x-ms-client-request-id":"Not-Set","x-ms-is-spilled-over":"false","x-ms-rai-invoked":"true","x-ms-region":"East US 2","x-new-api-version":"0.4.25-alpha.4","x-oneapi-request-id":"202604130150081528135301D4AFhUM","x-ratelimit-abusepenalty-active":"False","x-ratelimit-limit-requests":"1000","x-ratelimit-limit-tokens":"1000000","x-ratelimit-remaining-requests":"999","x-ratelimit-remaining-tokens":"998824","x-ratelimit-renewalperiod-requests":"60","x-ratelimit-renewalperiod-tokens":"60","x-ratelimit-reset-requests":"60","x-ratelimit-reset-tokens":"70","x-request-id":"ce9437f3-5e4a-4c5f-b846-50405437e2b5","x-shellapi-request-id":"2026041309500811042198201592422"}</t>
        </is>
      </c>
      <c r="N9" t="inlineStr">
        <is>
          <t>Stone Island Grey Hooded Down Jacket crafted from high-density windproof fabric and premium down fill; features iconic compass badge, sleek urban design, perfect for winter street or outdoor wear.</t>
        </is>
      </c>
      <c r="O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Jackets, kakobuy, kakebuy2026, kekobuysheet, kakobuysheet2026, 2026kakobuy, kakobuyspreadsheeet, kakobuylink, kakebuylist, Kakobuy MEGA Spreadsheet, kakobuysheetfind, kakobuysheetfind2026, 2026kakobuysheetfind, kakobuysheet2026","refusal":null,"role":"assistant"}}],"created":1776061347,"id":"chatcmpl-DU4yhARd79FuS6MUNQ4sPWWIxx5e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is>
      </c>
      <c r="P9" t="inlineStr">
        <is>
          <t>Stone Island, Jackets, kakobuy, kakebuy2026, kekobuysheet, kakobuysheet2026, 2026kakobuy, kakobuyspreadsheeet, kakobuylink, kakebuylist, Kakobuy MEGA Spreadsheet, kakobuysheetfind, kakobuysheetfind2026, 2026kakobuysheetfind, kakobuysheet2026</t>
        </is>
      </c>
      <c r="Q9" t="inlineStr">
        <is>
          <t>Winter, Streetwear, Outdoor, Grey, Windproof</t>
        </is>
      </c>
      <c r="R9" t="inlineStr">
        <is>
          <t>recvgxFjjA3xDS</t>
        </is>
      </c>
      <c r="S9" t="inlineStr">
        <is>
          <t>stone-island-grey-hooded-down-winter-jacket-recvgxFjjA3xDS</t>
        </is>
      </c>
      <c r="T9"/>
      <c r="U9"/>
      <c r="V9"/>
      <c r="W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灰色连帽羽绒夹克，甄选高密防风面料与优质羽绒填充，保暖轻盈。袖侧标志性罗盘徽章彰显品牌辨识度，简约挺括剪裁融合都市机能风格，男女皆宜，冬季出街或户外穿搭皆显时尚格调。","refusal":null,"role":"assistant"}}],"created":1776044241,"id":"chatcmpl-DU0WnOy9aFMNOVkfW0FvfiZPu1rS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86,"completion_tokens_details":{"accepted_prediction_tokens":0,"audio_tokens":0,"reasoning_tokens":0,"rejected_prediction_tokens":0},"prompt_tokens":1318,"prompt_tokens_details":{"audio_tokens":0,"cached_tokens":0},"total_tokens":1404}}</t>
        </is>
      </c>
      <c r="X9" t="inlineStr">
        <is>
          <t>Stone Island：灰色连帽羽绒夹克，甄选高密防风面料与优质羽绒填充，保暖轻盈。袖侧标志性罗盘徽章彰显品牌辨识度，简约挺括剪裁融合都市机能风格，男女皆宜，冬季出街或户外穿搭皆显时尚格调。</t>
        </is>
      </c>
    </row>
    <row r="10" ht="25.5" customHeight="1">
      <c r="A10">
        <v>1701442386</v>
      </c>
      <c r="B10">
        <v>7580562823</v>
      </c>
      <c r="C10" s="2" t="str">
        <f>=HYPERLINK("https://weidian.com/item.html?itemID=7580562823", "https://weidian.com/item.html?itemID=7580562823")</f>
        <v>https://weidian.com/item.html?itemID=7580562823</v>
      </c>
      <c r="D10"/>
      <c r="E10" s="2" t="str">
        <f>=HYPERLINK("https://si.geilicdn.com/open1701442386-252808396-638f0000019a0f669f6a0aa081c2_800_800.jpg?w=640&amp;h=640", "https://si.geilicdn.com/open1701442386-252808396-638f0000019a0f669f6a0aa081c2_800_800.jpg?w=640&amp;h=640")</f>
        <v>https://si.geilicdn.com/open1701442386-252808396-638f0000019a0f669f6a0aa081c2_800_800.jpg?w=640&amp;h=640</v>
      </c>
      <c r="F10" t="inlineStr">
        <is>
          <t>Headwear</t>
        </is>
      </c>
      <c r="G10" t="inlineStr">
        <is>
          <t>Eric Emanuel</t>
        </is>
      </c>
      <c r="H10" t="inlineStr">
        <is>
          <t>76</t>
        </is>
      </c>
      <c r="I10">
        <v>11.01</v>
      </c>
      <c r="J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 Black Cotton 3D Logo Baseball Cap","refusal":null,"role":"assistant"}}],"created":1776061284,"id":"chatcmpl-DU4xg7KbeRnuhqXvM4F6pmStAqzSJ","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880,"prompt_tokens_details":{"audio_tokens":0,"cached_tokens":0},"total_tokens":891}}</t>
        </is>
      </c>
      <c r="K10" t="inlineStr">
        <is>
          <t>Eric Emanuel Black Cotton 3D Logo Baseball Cap</t>
        </is>
      </c>
      <c r="L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 black baseball cap crafted from high-density cotton, featuring bold yellow 3D embroidered logo, side brand detail, structured six-panel flat brim design, unisex streetwear fashion style.","refusal":null,"role":"assistant"}}],"created":1776044960,"id":"chatcmpl-DU0iOPyCNbYJjz6zJPbDOb4tFC3L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947,"prompt_tokens_details":{"audio_tokens":0,"cached_tokens":0},"total_tokens":986}}</t>
        </is>
      </c>
      <c r="M10" t="inlineStr">
        <is>
          <t>{"alt-svc":"h3=\":443\"; ma=2592000","apim-request-id":"fb61fd20-d8f7-4b86-9dac-b8a053aa316e","azureml-model-session":"d20260402083108-57a85543","connection":"close","content-length":"1436","content-type":"application/json","date":"Mon, 13 Apr 2026 01:49:22 GMT","skip-error-remapping":"true","strict-transport-security":"max-age=31536000; includeSubDomains; preload","via":"1.1 Caddy","x-accel-buffering":"no","x-content-type-options":"nosniff","x-ms-client-request-id":"Not-Set","x-ms-is-spilled-over":"false","x-ms-rai-invoked":"true","x-ms-region":"Japan East","x-new-api-version":"0.4.25-alpha.4","x-oneapi-request-id":"20260413014919467563720b9uP3AHD","x-ratelimit-abusepenalty-active":"False","x-ratelimit-limit-requests":"1000","x-ratelimit-limit-tokens":"1000000","x-ratelimit-remaining-requests":"999","x-ratelimit-remaining-tokens":"998818","x-ratelimit-renewalperiod-requests":"60","x-ratelimit-renewalperiod-tokens":"60","x-ratelimit-reset-requests":"60","x-ratelimit-reset-tokens":"70","x-request-id":"a45290bd-a1ec-45d7-9a2a-59f99935862b","x-shellapi-request-id":"2026041309491942778364594987229"}</t>
        </is>
      </c>
      <c r="N10" t="inlineStr">
        <is>
          <t>Eric Emanuel black baseball cap crafted from high-density cotton, featuring bold yellow 3D embroidered logo, side brand detail, structured six-panel flat brim design, unisex streetwear fashion style.</t>
        </is>
      </c>
      <c r="O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Emanuel,Headwear,kakobuy,kakebuy2026,kekobuysheet,kakobuysheet2026,2026kakobuy,kakobuyspreadsheeet,kakobuylink,kakebuylist,Kakobuy MEGA Spreadsheet,kakobuysheetfind,kakobuysheetfind2026,2026kakobuysheetfind,kakobuysheet2026","refusal":null,"role":"assistant"}}],"created":1776061387,"id":"chatcmpl-DU4zL75O1jqt7TaftGTyhlVlNdwI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783,"prompt_tokens_details":{"audio_tokens":0,"cached_tokens":0},"total_tokens":871}}</t>
        </is>
      </c>
      <c r="P10" t="inlineStr">
        <is>
          <t>Eric Emanuel,Headwear,kakobuy,kakebuy2026,kekobuysheet,kakobuysheet2026,2026kakobuy,kakobuyspreadsheeet,kakobuylink,kakebuylist,Kakobuy MEGA Spreadsheet,kakobuysheetfind,kakobuysheetfind2026,2026kakobuysheetfind,kakobuysheet2026</t>
        </is>
      </c>
      <c r="Q10" t="inlineStr">
        <is>
          <t>Black, Yellow, Unisex, Streetwear</t>
        </is>
      </c>
      <c r="R10" t="inlineStr">
        <is>
          <t>recvgxFjjADr3i</t>
        </is>
      </c>
      <c r="S10" t="inlineStr">
        <is>
          <t>eric-emanuel-black-cotton-3d-logo-baseball-cap-recvgxfjjadr3i</t>
        </is>
      </c>
      <c r="T10"/>
      <c r="U10"/>
      <c r="V10"/>
      <c r="W1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黑色棒球帽，采用高密度纯棉面料打造，挺括有型且透气舒适。正面亮黄色立体刺绣字母标志，侧面点缀品牌标识刺绣，彰显街头潮流态度。经典六片结构搭配平檐设计，男女通用款式，融合复古与运动元素，展现都市时尚风格，适合日常休闲与个性搭配。","refusal":null,"role":"assistant"}}],"created":1776044209,"id":"chatcmpl-DU0WHxR3VrGmSJe9quvTpVuKpGs3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110,"completion_tokens_details":{"accepted_prediction_tokens":0,"audio_tokens":0,"reasoning_tokens":0,"rejected_prediction_tokens":0},"prompt_tokens":1306,"prompt_tokens_details":{"audio_tokens":0,"cached_tokens":0},"total_tokens":1416}}</t>
        </is>
      </c>
      <c r="X10" t="inlineStr">
        <is>
          <t>Eric Emanuel：黑色棒球帽，采用高密度纯棉面料打造，挺括有型且透气舒适。正面亮黄色立体刺绣字母标志，侧面点缀品牌标识刺绣，彰显街头潮流态度。经典六片结构搭配平檐设计，男女通用款式，融合复古与运动元素，展现都市时尚风格，适合日常休闲与个性搭配。</t>
        </is>
      </c>
    </row>
    <row r="11" ht="25.5" customHeight="1">
      <c r="A11">
        <v>1701442386</v>
      </c>
      <c r="B11">
        <v>7582492714</v>
      </c>
      <c r="C11" s="2" t="str">
        <f>=HYPERLINK("https://weidian.com/item.html?itemID=7582492714", "https://weidian.com/item.html?itemID=7582492714")</f>
        <v>https://weidian.com/item.html?itemID=7582492714</v>
      </c>
      <c r="D11"/>
      <c r="E11" s="2" t="str">
        <f>=HYPERLINK("https://si.geilicdn.com/open1701442386-252808396-43d10000019a0f71acda0aa00428_800_800.jpg?w=640&amp;h=640", "https://si.geilicdn.com/open1701442386-252808396-43d10000019a0f71acda0aa00428_800_800.jpg?w=640&amp;h=640")</f>
        <v>https://si.geilicdn.com/open1701442386-252808396-43d10000019a0f71acda0aa00428_800_800.jpg?w=640&amp;h=640</v>
      </c>
      <c r="F11" t="inlineStr">
        <is>
          <t>Jackets</t>
        </is>
      </c>
      <c r="G11" t="inlineStr">
        <is>
          <t xml:space="preserve"> Cortiez</t>
        </is>
      </c>
      <c r="H11" t="inlineStr">
        <is>
          <t>286</t>
        </is>
      </c>
      <c r="I11">
        <v>41.45</v>
      </c>
      <c r="J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Black Puffer Jacket Winter Unisex Streetwear","refusal":null,"role":"assistant"}}],"created":1776061169,"id":"chatcmpl-DU4vp2xvaq0ep2252f7CO4aXbPNE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13,"completion_tokens_details":{"accepted_prediction_tokens":0,"audio_tokens":0,"reasoning_tokens":0,"rejected_prediction_tokens":0},"prompt_tokens":876,"prompt_tokens_details":{"audio_tokens":0,"cached_tokens":0},"total_tokens":889}}</t>
        </is>
      </c>
      <c r="K11" t="inlineStr">
        <is>
          <t>Cortiez Black Puffer Jacket Winter Unisex Streetwear</t>
        </is>
      </c>
      <c r="L1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ortiez Black Puffer Jacket features lightweight windproof fabric, embroidered logo, stand collar for warmth, and unisex loose fit blending British street style with modern urban winter fashion.","refusal":null,"role":"assistant"}}],"created":1776044932,"id":"chatcmpl-DU0hwJhYW1iRsSpden71DAui3ZLpz","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37,"completion_tokens_details":{"accepted_prediction_tokens":0,"audio_tokens":0,"reasoning_tokens":0,"rejected_prediction_tokens":0},"prompt_tokens":918,"prompt_tokens_details":{"audio_tokens":0,"cached_tokens":0},"total_tokens":955}}</t>
        </is>
      </c>
      <c r="M11" t="inlineStr">
        <is>
          <t>{"alt-svc":"h3=\":443\"; ma=2592000","apim-request-id":"565e3260-ac15-4744-8ff0-0feef9b40aa3","azureml-model-session":"d20260405234249-f9874baf","connection":"close","content-length":"1406","content-type":"application/json","date":"Mon, 13 Apr 2026 01:48:54 GMT","skip-error-remapping":"true","strict-transport-security":"max-age=31536000; includeSubDomains; preload","via":"1.1 Caddy","x-accel-buffering":"no","x-content-type-options":"nosniff","x-ms-client-request-id":"Not-Set","x-ms-is-spilled-over":"false","x-ms-rai-invoked":"true","x-ms-region":"Sweden Central","x-new-api-version":"0.4.25-alpha.4","x-oneapi-request-id":"20260413014851927694652DnMg4wKN","x-ratelimit-abusepenalty-active":"False","x-ratelimit-limit-requests":"1000","x-ratelimit-limit-tokens":"1000000","x-ratelimit-remaining-requests":"999","x-ratelimit-remaining-tokens":"998828","x-ratelimit-renewalperiod-requests":"60","x-ratelimit-renewalperiod-tokens":"60","x-ratelimit-reset-requests":"60","x-ratelimit-reset-tokens":"70","x-request-id":"56b48ba2-73be-40de-9f9f-e8c72db0289a","x-shellapi-request-id":"2026041309485187157468388299399"}</t>
        </is>
      </c>
      <c r="N11" t="inlineStr">
        <is>
          <t>Cortiez Black Puffer Jacket features lightweight windproof fabric, embroidered logo, stand collar for warmth, and unisex loose fit blending British street style with modern urban winter fashion.</t>
        </is>
      </c>
      <c r="O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Jackets, kakobuy, kakebuy2026, kekobuysheet, kakobuysheet2026, 2026kakobuy, kakobuyspreadsheeet, kakobuylink, kakebuylist, Kakobuy MEGA Spreadsheet, kakobuysheetfind, kakobuysheetfind2026, 2026kakobuysheetfind, kakobuysheet2026","refusal":null,"role":"assistant"}}],"created":1776061513,"id":"chatcmpl-DU51NONJwj32p2BhScELJ6nbk1ot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783,"prompt_tokens_details":{"audio_tokens":0,"cached_tokens":0},"total_tokens":875}}</t>
        </is>
      </c>
      <c r="P11" t="inlineStr">
        <is>
          <t>Cortiez, Jackets, kakobuy, kakebuy2026, kekobuysheet, kakobuysheet2026, 2026kakobuy, kakobuyspreadsheeet, kakobuylink, kakebuylist, Kakobuy MEGA Spreadsheet, kakobuysheetfind, kakobuysheetfind2026, 2026kakobuysheetfind, kakobuysheet2026</t>
        </is>
      </c>
      <c r="Q11" t="inlineStr">
        <is>
          <t>Black, Streetwear, Winter, Windproof, Unisex</t>
        </is>
      </c>
      <c r="R11" t="inlineStr">
        <is>
          <t>recvgxFjjA7XUb</t>
        </is>
      </c>
      <c r="S11" t="inlineStr">
        <is>
          <t>cortiez-black-puffer-jacket-recvgxFjjA7XUb</t>
        </is>
      </c>
      <c r="T11"/>
      <c r="U11"/>
      <c r="V11"/>
      <c r="W1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黑色高蓬羽绒夹克，选用轻盈防风面料，胸前刺绣品牌标识彰显街头质感，立领设计提升保暖性与层次感，宽松剪裁适合男女穿搭，融合英伦街头风与现代机能元素，展现都市冬季时尚态度。","refusal":null,"role":"assistant"}}],"created":1776044292,"id":"chatcmpl-DU0XcnwnjTAvyvlsDC6CaaTMs71Zi","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83,"completion_tokens_details":{"accepted_prediction_tokens":0,"audio_tokens":0,"reasoning_tokens":0,"rejected_prediction_tokens":0},"prompt_tokens":1302,"prompt_tokens_details":{"audio_tokens":0,"cached_tokens":0},"total_tokens":1385}}</t>
        </is>
      </c>
      <c r="X11" t="inlineStr">
        <is>
          <t>Cortiez 黑色高蓬羽绒夹克，选用轻盈防风面料，胸前刺绣品牌标识彰显街头质感，立领设计提升保暖性与层次感，宽松剪裁适合男女穿搭，融合英伦街头风与现代机能元素，展现都市冬季时尚态度。</t>
        </is>
      </c>
    </row>
    <row r="12" ht="25.5" customHeight="1">
      <c r="A12">
        <v>1701442386</v>
      </c>
      <c r="B12">
        <v>7580596487</v>
      </c>
      <c r="C12" s="2" t="str">
        <f>=HYPERLINK("https://weidian.com/item.html?itemID=7580596487", "https://weidian.com/item.html?itemID=7580596487")</f>
        <v>https://weidian.com/item.html?itemID=7580596487</v>
      </c>
      <c r="D12"/>
      <c r="E12" s="2" t="str">
        <f>=HYPERLINK("https://si.geilicdn.com/open1701442386-252808396-64b30000019a0f6bc27b0aa081c2_800_800.jpg?w=750&amp;h=750&amp;cp=1", "https://si.geilicdn.com/open1701442386-252808396-64b30000019a0f6bc27b0aa081c2_800_800.jpg?w=750&amp;h=750&amp;cp=1")</f>
        <v>https://si.geilicdn.com/open1701442386-252808396-64b30000019a0f6bc27b0aa081c2_800_800.jpg?w=750&amp;h=750&amp;cp=1</v>
      </c>
      <c r="F12" t="inlineStr">
        <is>
          <t>Pants</t>
        </is>
      </c>
      <c r="G12" t="inlineStr">
        <is>
          <t>Cheng Kelun</t>
        </is>
      </c>
      <c r="H12" t="inlineStr">
        <is>
          <t>92</t>
        </is>
      </c>
      <c r="I12">
        <v>13.33</v>
      </c>
      <c r="J12" t="inlineStr">
        <is>
          <t>{"choices":[{"content_filter_results":{"hate":{"filtered":false,"severity":"safe"},"protected_material_code":{"detected":false,"filtered":false},"protected_material_text":{"detected":false,"filtered":false},"self_harm":{"filtered":false,"severity":"safe"},"sexual":{"filtered":false,"severity":"low"},"violence":{"filtered":false,"severity":"safe"}},"finish_reason":"stop","index":0,"logprobs":null,"message":{"annotations":[],"content":"Cheng Kelun Men’s Grey Cotton Stretch Boxer Briefs","refusal":null,"role":"assistant"}}],"created":1776061166,"id":"chatcmpl-DU4vmNK5cEZX6b2ds1CPpTa8gNrBE","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13,"completion_tokens_details":{"accepted_prediction_tokens":0,"audio_tokens":0,"reasoning_tokens":0,"rejected_prediction_tokens":0},"prompt_tokens":886,"prompt_tokens_details":{"audio_tokens":0,"cached_tokens":0},"total_tokens":899}}</t>
        </is>
      </c>
      <c r="K12" t="inlineStr">
        <is>
          <t>Cheng Kelun Men’s Grey Cotton Stretch Boxer Briefs</t>
        </is>
      </c>
      <c r="L1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eng Kelun Men’s Grey Stretch Boxer Briefs, crafted from soft cotton-spandex blend, feature branded waistband, supportive fit, breathable comfort, and sleek modern design for daily urban luxury style.","refusal":null,"role":"assistant"}}],"created":1776045033,"id":"chatcmpl-DU0jZCFD23p1h6jMTh9P99uTPpqJ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916,"prompt_tokens_details":{"audio_tokens":0,"cached_tokens":0},"total_tokens":957}}</t>
        </is>
      </c>
      <c r="M12" t="inlineStr">
        <is>
          <t>{"alt-svc":"h3=\":443\"; ma=2592000","apim-request-id":"c18da557-222a-46f6-b6cd-08b7b75060c0","azureml-model-session":"d20260405234249-f9874baf","connection":"close","content-length":"1440","content-type":"application/json","date":"Mon, 13 Apr 2026 01:50:35 GMT","skip-error-remapping":"true","strict-transport-security":"max-age=31536000; includeSubDomains; preload","via":"1.1 Caddy","x-accel-buffering":"no","x-content-type-options":"nosniff","x-ms-client-request-id":"Not-Set","x-ms-is-spilled-over":"false","x-ms-rai-invoked":"true","x-ms-region":"Korea Central","x-new-api-version":"0.4.25-alpha.4","x-oneapi-request-id":"20260413015032528710066fUIsZs2l","x-ratelimit-abusepenalty-active":"False","x-ratelimit-limit-requests":"1000","x-ratelimit-limit-tokens":"1000000","x-ratelimit-remaining-requests":"999","x-ratelimit-remaining-tokens":"998830","x-ratelimit-renewalperiod-requests":"60","x-ratelimit-renewalperiod-tokens":"60","x-ratelimit-reset-requests":"60","x-ratelimit-reset-tokens":"70","x-request-id":"726e8ce8-c6c3-4cc7-9cef-ed1027a3e90d","x-shellapi-request-id":"2026041309503249329342580422681"}</t>
        </is>
      </c>
      <c r="N12" t="inlineStr">
        <is>
          <t>Cheng Kelun Men’s Grey Stretch Boxer Briefs, crafted from soft cotton-spandex blend, feature branded waistband, supportive fit, breathable comfort, and sleek modern design for daily urban luxury style.</t>
        </is>
      </c>
      <c r="O1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eng Kelun,Pants,kakobuy,kakebuy2026,kekobuysheet,kakobuysheet2026,2026kakobuy,kakobuyspreadsheeet,kakobuylink,kakebuylist,Kakobuy MEGA Spreadsheet,kakobuysheetfind,kakobuysheetfind2026,2026kakobuysheetfind,kakobuysheet2026","refusal":null,"role":"assistant"}}],"created":1776061462,"id":"chatcmpl-DU50YT0qaDI3VbdSQsf8dhlmsxRjB","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89,"completion_tokens_details":{"accepted_prediction_tokens":0,"audio_tokens":0,"reasoning_tokens":0,"rejected_prediction_tokens":0},"prompt_tokens":785,"prompt_tokens_details":{"audio_tokens":0,"cached_tokens":0},"total_tokens":874}}</t>
        </is>
      </c>
      <c r="P12" t="inlineStr">
        <is>
          <t>Cheng Kelun,Pants,kakobuy,kakebuy2026,kekobuysheet,kakobuysheet2026,2026kakobuy,kakobuyspreadsheeet,kakobuylink,kakebuylist,Kakobuy MEGA Spreadsheet,kakobuysheetfind,kakobuysheetfind2026,2026kakobuysheetfind,kakobuysheet2026</t>
        </is>
      </c>
      <c r="Q12" t="inlineStr">
        <is>
          <t>Grey, Stretch, Breathable, Modern, Men</t>
        </is>
      </c>
      <c r="R12" t="inlineStr">
        <is>
          <t>recvgxFjjAqIbT</t>
        </is>
      </c>
      <c r="S12" t="inlineStr">
        <is>
          <t>cheng-kelun-grey-cotton-stretch-boxer-briefs-recvgxFjjAqIbT</t>
        </is>
      </c>
      <c r="T12"/>
      <c r="U12"/>
      <c r="V12"/>
      <c r="W1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eng Kelun灰色男士弹力平角内裤，甄选柔滑棉氨纶混纺面料，腰头印品牌标识，版型贴合支撑性强，简约时尚设计彰显都市轻奢格调，舒适透气适合全天穿着。","refusal":null,"role":"assistant"}}],"created":1776044184,"id":"chatcmpl-DU0Vsn3ExqBSGo2u9PtEANfn3d1ck","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73,"completion_tokens_details":{"accepted_prediction_tokens":0,"audio_tokens":0,"reasoning_tokens":0,"rejected_prediction_tokens":0},"prompt_tokens":1318,"prompt_tokens_details":{"audio_tokens":0,"cached_tokens":0},"total_tokens":1391}}</t>
        </is>
      </c>
      <c r="X12" t="inlineStr">
        <is>
          <t>Cheng Kelun灰色男士弹力平角内裤，甄选柔滑棉氨纶混纺面料，腰头印品牌标识，版型贴合支撑性强，简约时尚设计彰显都市轻奢格调，舒适透气适合全天穿着。</t>
        </is>
      </c>
    </row>
    <row r="13" ht="25.5" customHeight="1">
      <c r="A13">
        <v>1701442386</v>
      </c>
      <c r="B13">
        <v>7575471886</v>
      </c>
      <c r="C13" s="2" t="str">
        <f>=HYPERLINK("https://weidian.com/item.html?itemID=7575471886", "https://weidian.com/item.html?itemID=7575471886")</f>
        <v>https://weidian.com/item.html?itemID=7575471886</v>
      </c>
      <c r="D13"/>
      <c r="E13" s="2" t="str">
        <f>=HYPERLINK("https://si.geilicdn.com/open1701442386-252808396-291600000199ecb1f8eb0aa081c2_1920_1920.jpg?w=750&amp;h=750&amp;cp=1", "https://si.geilicdn.com/open1701442386-252808396-291600000199ecb1f8eb0aa081c2_1920_1920.jpg?w=750&amp;h=750&amp;cp=1")</f>
        <v>https://si.geilicdn.com/open1701442386-252808396-291600000199ecb1f8eb0aa081c2_1920_1920.jpg?w=750&amp;h=750&amp;cp=1</v>
      </c>
      <c r="F13" t="inlineStr">
        <is>
          <t>Jackets</t>
        </is>
      </c>
      <c r="G13" t="inlineStr">
        <is>
          <t>The North  Face</t>
        </is>
      </c>
      <c r="H13" t="inlineStr">
        <is>
          <t>390</t>
        </is>
      </c>
      <c r="I13">
        <v>56.52</v>
      </c>
      <c r="J1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Unisex Black Puffer Down Jacket","refusal":null,"role":"assistant"}}],"created":1776061238,"id":"chatcmpl-DU4wwN6et8iqVlLcliFewxk0QcI3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876,"prompt_tokens_details":{"audio_tokens":0,"cached_tokens":0},"total_tokens":887}}</t>
        </is>
      </c>
      <c r="K13" t="inlineStr">
        <is>
          <t>The North Face Unisex Black Puffer Down Jacket</t>
        </is>
      </c>
      <c r="L1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black down jacket, crafted from premium windproof waterproof nylon with a stand collar, lightweight warm down fill, unisex urban casual winter essential with simple street style.","refusal":null,"role":"assistant"}}],"created":1776061014,"id":"chatcmpl-DU4tKhpkNKnpMPgqCRQ6MaHPQPp5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36,"completion_tokens_details":{"accepted_prediction_tokens":0,"audio_tokens":0,"reasoning_tokens":0,"rejected_prediction_tokens":0},"prompt_tokens":914,"prompt_tokens_details":{"audio_tokens":0,"cached_tokens":0},"total_tokens":950}}</t>
        </is>
      </c>
      <c r="M13" t="inlineStr">
        <is>
          <t>{"alt-svc":"h3=\":443\"; ma=2592000","apim-request-id":"942f16c3-93be-4a2c-929d-d2b72275a20f","azureml-model-session":"d20260402075109-1fc5a0ec","connection":"close","content-length":"1405","content-type":"application/json","date":"Mon, 13 Apr 2026 06:16:55 GMT","skip-error-remapping":"true","strict-transport-security":"max-age=31536000; includeSubDomains; preload","via":"1.1 Caddy","x-accel-buffering":"no","x-content-type-options":"nosniff","x-ms-client-request-id":"Not-Set","x-ms-is-spilled-over":"false","x-ms-rai-invoked":"true","x-ms-region":"East US","x-new-api-version":"0.4.25-alpha.4","x-oneapi-request-id":"20260413061653276000085VonhcFo1","x-ratelimit-abusepenalty-active":"False","x-ratelimit-limit-requests":"1000","x-ratelimit-limit-tokens":"1000000","x-ratelimit-remaining-requests":"999","x-ratelimit-remaining-tokens":"998826","x-ratelimit-renewalperiod-requests":"60","x-ratelimit-renewalperiod-tokens":"60","x-ratelimit-reset-requests":"60","x-ratelimit-reset-tokens":"70","x-request-id":"516170d4-d6f1-45b5-9e48-84303683f391","x-shellapi-request-id":"2026041314165322458289607439641"}</t>
        </is>
      </c>
      <c r="N13" t="inlineStr">
        <is>
          <t>The North Face black down jacket, crafted from premium windproof waterproof nylon with a stand collar, lightweight warm down fill, unisex urban casual winter essential with simple street style.</t>
        </is>
      </c>
      <c r="O1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1776061407,"id":"chatcmpl-DU4zfSpy30vn3MRsgSRgt4UfMSnd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785,"prompt_tokens_details":{"audio_tokens":0,"cached_tokens":0},"total_tokens":877}}</t>
        </is>
      </c>
      <c r="P13" t="inlineStr">
        <is>
          <t>The North Face, Jackets, kakobuy, kakebuy2026, kekobuysheet, kakobuysheet2026, 2026kakobuy, kakobuyspreadsheeet, kakobuylink, kakebuylist, Kakobuy MEGA Spreadsheet, kakobuysheetfind, kakobuysheetfind2026, 2026kakobuysheetfind, kakobuysheet2026</t>
        </is>
      </c>
      <c r="Q13" t="inlineStr">
        <is>
          <t>Unisex, Winter, Windproof, Waterproof, Nylon, Street</t>
        </is>
      </c>
      <c r="R13" t="inlineStr">
        <is>
          <t>recvgxFjjAKl1F</t>
        </is>
      </c>
      <c r="S13" t="inlineStr">
        <is>
          <t>the-north-face-unisex-black-puffer-down-jacket-recvgxfjjakl1f</t>
        </is>
      </c>
      <c r="T13"/>
      <c r="U13"/>
      <c r="V13"/>
      <c r="W1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黑色羽绒夹克，采用优质防风防水尼龙面料，立领设计保暖舒适，蓬松轻盈的羽绒填充带来卓越御寒性能，简约街头风格，男女皆宜，冬季都市休闲必备款。","refusal":null,"role":"assistant"}}],"created":1776044338,"id":"chatcmpl-DU0YM3lLHhtcBdVdPGZyOprLKnLb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71,"completion_tokens_details":{"accepted_prediction_tokens":0,"audio_tokens":0,"reasoning_tokens":0,"rejected_prediction_tokens":0},"prompt_tokens":1318,"prompt_tokens_details":{"audio_tokens":0,"cached_tokens":0},"total_tokens":1389}}</t>
        </is>
      </c>
      <c r="X13" t="inlineStr">
        <is>
          <t>The North Face 黑色羽绒夹克，采用优质防风防水尼龙面料，立领设计保暖舒适，蓬松轻盈的羽绒填充带来卓越御寒性能，简约街头风格，男女皆宜，冬季都市休闲必备款。</t>
        </is>
      </c>
    </row>
    <row r="14" ht="25.5" customHeight="1">
      <c r="A14">
        <v>1701442386</v>
      </c>
      <c r="B14">
        <v>7573471209</v>
      </c>
      <c r="C14" s="2" t="str">
        <f>=HYPERLINK("https://weidian.com/item.html?itemID=7573471209", "https://weidian.com/item.html?itemID=7573471209")</f>
        <v>https://weidian.com/item.html?itemID=7573471209</v>
      </c>
      <c r="D14"/>
      <c r="E14" s="2" t="str">
        <f>=HYPERLINK("https://si.geilicdn.com/open1701442386-252808396-04e600000199ecb146830a8115c2_1200_1200.jpg?w=750&amp;h=750&amp;cp=1", "https://si.geilicdn.com/open1701442386-252808396-04e600000199ecb146830a8115c2_1200_1200.jpg?w=750&amp;h=750&amp;cp=1")</f>
        <v>https://si.geilicdn.com/open1701442386-252808396-04e600000199ecb146830a8115c2_1200_1200.jpg?w=750&amp;h=750&amp;cp=1</v>
      </c>
      <c r="F14" t="inlineStr">
        <is>
          <t>Hoodies</t>
        </is>
      </c>
      <c r="G14" t="inlineStr">
        <is>
          <t>ERD</t>
        </is>
      </c>
      <c r="H14" t="inlineStr">
        <is>
          <t>244</t>
        </is>
      </c>
      <c r="I14">
        <v>35.36</v>
      </c>
      <c r="J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D Enfants Riches Déprimés Black Collage Print Hoodie","refusal":null,"role":"assistant"}}],"created":1776061264,"id":"chatcmpl-DU4xMEfCjmWplpr7uX1b3zwtdWS0m","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15,"completion_tokens_details":{"accepted_prediction_tokens":0,"audio_tokens":0,"reasoning_tokens":0,"rejected_prediction_tokens":0},"prompt_tokens":890,"prompt_tokens_details":{"audio_tokens":0,"cached_tokens":0},"total_tokens":905}}</t>
        </is>
      </c>
      <c r="K14" t="inlineStr">
        <is>
          <t>ERD Enfants Riches Déprimés Black Collage Print Hoodie</t>
        </is>
      </c>
      <c r="L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ERD Enfants Riches Déprimés black collage print hoodie in heavy cotton, loose fit with artistic deconstruction prints, drawstring hood, kangaroo pocket, unisex avant-garde street style.","refusal":null,"role":"assistant"}}],"created":1776044966,"id":"chatcmpl-DU0iUgikV24XQyudTJCxulsO2No4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44,"completion_tokens_details":{"accepted_prediction_tokens":0,"audio_tokens":0,"reasoning_tokens":0,"rejected_prediction_tokens":0},"prompt_tokens":935,"prompt_tokens_details":{"audio_tokens":0,"cached_tokens":0},"total_tokens":979}}</t>
        </is>
      </c>
      <c r="M14" t="inlineStr">
        <is>
          <t>{"alt-svc":"h3=\":443\"; ma=2592000","apim-request-id":"5bbb2bae-6c31-4d96-a9d5-bf4b49c346c5","azureml-model-session":"d20260402084046-4209e968","connection":"close","content-length":"1430","content-type":"application/json","date":"Mon, 13 Apr 2026 01:49:28 GMT","skip-error-remapping":"true","strict-transport-security":"max-age=31536000; includeSubDomains; preload","via":"1.1 Caddy","x-accel-buffering":"no","x-content-type-options":"nosniff","x-ms-client-request-id":"Not-Set","x-ms-is-spilled-over":"false","x-ms-rai-invoked":"true","x-ms-region":"Australia East","x-new-api-version":"0.4.25-alpha.4","x-oneapi-request-id":"20260413014925948841057OcmKX8zY","x-ratelimit-abusepenalty-active":"False","x-ratelimit-limit-requests":"1000","x-ratelimit-limit-tokens":"1000000","x-ratelimit-remaining-requests":"999","x-ratelimit-remaining-tokens":"998822","x-ratelimit-renewalperiod-requests":"60","x-ratelimit-renewalperiod-tokens":"60","x-ratelimit-reset-requests":"60","x-ratelimit-reset-tokens":"70","x-request-id":"cc93f6af-8340-43aa-ba7d-bd5d923c1647","x-shellapi-request-id":"2026041309492591206890603822258"}</t>
        </is>
      </c>
      <c r="N14" t="inlineStr">
        <is>
          <t>HoodesERD Enfants Riches Déprimés black collage print hoodie in heavy cotton, loose fit with artistic deconstruction prints, drawstring hood, kangaroo pocket, unisex avant-garde street style.</t>
        </is>
      </c>
      <c r="O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nfants Riches Déprimés, hoodie, kakobuy, kakebuy2026, kekobuysheet, kakobuysheet2026, 2026kakobuy, kakobuyspreadsheeet, kakobuylink, kakebuylist, Kakobuy MEGA Spreadsheet, kakobuysheetfind, kakobuysheetfind2026, 2026kakobuysheetfind, kakobuysheet2026","refusal":null,"role":"assistant"}}],"created":1776061491,"id":"chatcmpl-DU511CQgftS2ORwkHwKwh4b3oaZf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96,"completion_tokens_details":{"accepted_prediction_tokens":0,"audio_tokens":0,"reasoning_tokens":0,"rejected_prediction_tokens":0},"prompt_tokens":784,"prompt_tokens_details":{"audio_tokens":0,"cached_tokens":0},"total_tokens":880}}</t>
        </is>
      </c>
      <c r="P14" t="inlineStr">
        <is>
          <t>Enfants Riches Déprimés, hoodie, kakobuy, kakebuy2026, kekobuysheet, kakobuysheet2026, 2026kakobuy, kakobuyspreadsheeet, kakobuylink, kakebuylist, Kakobuy MEGA Spreadsheet, kakobuysheetfind, kakobuysheetfind2026, 2026kakobuysheetfind, kakobuysheet2026</t>
        </is>
      </c>
      <c r="Q14" t="inlineStr">
        <is>
          <t>Black, Unisex, Streetwear</t>
        </is>
      </c>
      <c r="R14" t="inlineStr">
        <is>
          <t>recvgxFjjAhFKd</t>
        </is>
      </c>
      <c r="S14" t="inlineStr">
        <is>
          <t>erd-enfants-riches-deprimes-black-collage-print-hoodie-recvgxfjjahfkd</t>
        </is>
      </c>
      <c r="T14"/>
      <c r="U14"/>
      <c r="V14"/>
      <c r="W1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nfants Riches Déprimés：黑色拼贴印花连帽卫衣，采用高克重纯棉面料，廓形宽松。胸前与袖部拼贴艺术印花图腾，彰显解构主义美学。抽绳连帽与袋鼠口袋设计，兼具街头与先锋风格，男女皆宜，展现颓废艺术的独特个性。","refusal":null,"role":"assistant"}}],"created":1776044277,"id":"chatcmpl-DU0XNnGzHa4hsMyK8s8A4p3Uchx3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94,"completion_tokens_details":{"accepted_prediction_tokens":0,"audio_tokens":0,"reasoning_tokens":0,"rejected_prediction_tokens":0},"prompt_tokens":1313,"prompt_tokens_details":{"audio_tokens":0,"cached_tokens":0},"total_tokens":1407}}</t>
        </is>
      </c>
      <c r="X14" t="inlineStr">
        <is>
          <t>Enfants Riches Déprimés：黑色拼贴印花连帽卫衣，采用高克重纯棉面料，廓形宽松。胸前与袖部拼贴艺术印花图腾，彰显解构主义美学。抽绳连帽与袋鼠口袋设计，兼具街头与先锋风格，男女皆宜，展现颓废艺术的独特个性。</t>
        </is>
      </c>
    </row>
    <row r="15" ht="25.5" customHeight="1">
      <c r="A15">
        <v>1701442386</v>
      </c>
      <c r="B15">
        <v>7573710650</v>
      </c>
      <c r="C15" s="2" t="str">
        <f>=HYPERLINK("https://weidian.com/item.html?itemID=7573710650", "https://weidian.com/item.html?itemID=7573710650")</f>
        <v>https://weidian.com/item.html?itemID=7573710650</v>
      </c>
      <c r="D15"/>
      <c r="E15" s="2" t="str">
        <f>=HYPERLINK("https://si.geilicdn.com/open1701442386-252808396-5ec600000199e5a7be290a8115c2_800_800.jpg?w=640&amp;h=640", "https://si.geilicdn.com/open1701442386-252808396-5ec600000199e5a7be290a8115c2_800_800.jpg?w=640&amp;h=640")</f>
        <v>https://si.geilicdn.com/open1701442386-252808396-5ec600000199e5a7be290a8115c2_800_800.jpg?w=640&amp;h=640</v>
      </c>
      <c r="F15" t="inlineStr">
        <is>
          <t>Hoodies</t>
        </is>
      </c>
      <c r="G15" t="inlineStr">
        <is>
          <t>Gallery Dept</t>
        </is>
      </c>
      <c r="H15" t="inlineStr">
        <is>
          <t>288</t>
        </is>
      </c>
      <c r="I15">
        <v>41.74</v>
      </c>
      <c r="J1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Classic Black Hoodie Unisex Streetwear","refusal":null,"role":"assistant"}}],"created":1776061266,"id":"chatcmpl-DU4xO1ajZYaTwOl0Gqvf2A2jMDBWy","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10,"completion_tokens_details":{"accepted_prediction_tokens":0,"audio_tokens":0,"reasoning_tokens":0,"rejected_prediction_tokens":0},"prompt_tokens":893,"prompt_tokens_details":{"audio_tokens":0,"cached_tokens":0},"total_tokens":903}}</t>
        </is>
      </c>
      <c r="K15" t="inlineStr">
        <is>
          <t>Gallery Dept Classic Black Hoodie Unisex Streetwear</t>
        </is>
      </c>
      <c r="L1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 Classic Black Hoodie – Soft cotton unisex streetwear featuring front “DEPT.” logo and back “GALLERY DEPT. HOLLYWOOD, CA.” print. Casual retro design for a trendy urban look.","refusal":null,"role":"assistant"}}],"created":1776045005,"id":"chatcmpl-DU0j7xdZv2wuYJfFtcXaS66jzEmKJ","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45,"completion_tokens_details":{"accepted_prediction_tokens":0,"audio_tokens":0,"reasoning_tokens":0,"rejected_prediction_tokens":0},"prompt_tokens":912,"prompt_tokens_details":{"audio_tokens":0,"cached_tokens":0},"total_tokens":957}}</t>
        </is>
      </c>
      <c r="M15" t="inlineStr">
        <is>
          <t>{"alt-svc":"h3=\":443\"; ma=2592000","apim-request-id":"35bd5103-d6a8-4f6c-8ebc-323825549cc2","azureml-model-session":"d20260402074105-51db401e","connection":"close","content-length":"1408","content-type":"application/json","date":"Mon, 13 Apr 2026 01:50:06 GMT","skip-error-remapping":"true","strict-transport-security":"max-age=31536000; includeSubDomains; preload","via":"1.1 Caddy","x-accel-buffering":"no","x-content-type-options":"nosniff","x-ms-client-request-id":"Not-Set","x-ms-is-spilled-over":"false","x-ms-rai-invoked":"true","x-ms-region":"Sweden Central","x-new-api-version":"0.4.25-alpha.4","x-oneapi-request-id":"20260413015004731642412BBHufq5g","x-ratelimit-abusepenalty-active":"False","x-ratelimit-limit-requests":"1000","x-ratelimit-limit-tokens":"1000000","x-ratelimit-remaining-requests":"999","x-ratelimit-remaining-tokens":"998823","x-ratelimit-renewalperiod-requests":"60","x-ratelimit-renewalperiod-tokens":"60","x-ratelimit-reset-requests":"60","x-ratelimit-reset-tokens":"70","x-request-id":"c910cf3f-4949-4778-a6c9-617670109db3","x-shellapi-request-id":"2026041309500469518381594570415"}</t>
        </is>
      </c>
      <c r="N15" t="inlineStr">
        <is>
          <t>Gallery Dept Classic Black Hoodie – Soft cotton unisex streetwear featuring front “DEPT.” logo and back “GALLERY DEPT. HOLLYWOOD, CA.” print. Casual retro design for a trendy urban look.</t>
        </is>
      </c>
      <c r="O1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Hoodie, kakobuy, kakebuy2026, kekobuysheet, kakobuysheet2026, 2026kakobuy, kakobuyspreadsheeet, kakobuylink, kakebuylist, Kakobuy MEGA Spreadsheet, kakobuysheetfind, kakobuysheetfind2026, 2026kakobuysheetfind, kakobuysheet2026","refusal":null,"role":"assistant"}}],"created":1776061349,"id":"chatcmpl-DU4yj1aRYVr5XwNeuXVGhTTs2J7Y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784,"prompt_tokens_details":{"audio_tokens":0,"cached_tokens":0},"total_tokens":875}}</t>
        </is>
      </c>
      <c r="P15" t="inlineStr">
        <is>
          <t>Gallery Dept, Hoodie, kakobuy, kakebuy2026, kekobuysheet, kakobuysheet2026, 2026kakobuy, kakobuyspreadsheeet, kakobuylink, kakebuylist, Kakobuy MEGA Spreadsheet, kakobuysheetfind, kakobuysheetfind2026, 2026kakobuysheetfind, kakobuysheet2026</t>
        </is>
      </c>
      <c r="Q15" t="inlineStr">
        <is>
          <t>Streetwear, Unisex, Retro, Black</t>
        </is>
      </c>
      <c r="R15" t="inlineStr">
        <is>
          <t>recvgxFjjAf36m</t>
        </is>
      </c>
      <c r="S15" t="inlineStr">
        <is>
          <t>gallery-dept-classic-black-hoodie-recvgxfjjaf36m</t>
        </is>
      </c>
      <c r="T15"/>
      <c r="U15"/>
      <c r="V15"/>
      <c r="W1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Dept：经典系列黑色连帽卫衣，柔软纯棉材质，正面简约“DEPT.”字样，背后标志性“GALLERY DEPT. HOLLYWOOD, CA.”印花，街头复古设计，男女皆宜，舒适百搭，展现都市潮流个性。","refusal":null,"role":"assistant"}}],"created":1776044445,"id":"chatcmpl-DU0a5JIt6JJbJ3aWhlWw6nWno4UiI","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75,"completion_tokens_details":{"accepted_prediction_tokens":0,"audio_tokens":0,"reasoning_tokens":0,"rejected_prediction_tokens":0},"prompt_tokens":1305,"prompt_tokens_details":{"audio_tokens":0,"cached_tokens":0},"total_tokens":1380}}</t>
        </is>
      </c>
      <c r="X15" t="inlineStr">
        <is>
          <t>Gallery Dept：经典系列黑色连帽卫衣，柔软纯棉材质，正面简约“DEPT.”字样，背后标志性“GALLERY DEPT. HOLLYWOOD, CA.”印花，街头复古设计，男女皆宜，舒适百搭，展现都市潮流个性。</t>
        </is>
      </c>
    </row>
    <row r="16" ht="25.5" customHeight="1">
      <c r="A16">
        <v>1701442386</v>
      </c>
      <c r="B16">
        <v>7579108792</v>
      </c>
      <c r="C16" s="2" t="str">
        <f>=HYPERLINK("https://weidian.com/item.html?itemID=7579108792", "https://weidian.com/item.html?itemID=7579108792")</f>
        <v>https://weidian.com/item.html?itemID=7579108792</v>
      </c>
      <c r="D16"/>
      <c r="E16" s="2" t="str">
        <f>=HYPERLINK("https://si.geilicdn.com/open1701442386-252808396-7ed00000019a00995be20aa00428_800_1067.jpg?w=640&amp;h=640", "https://si.geilicdn.com/open1701442386-252808396-7ed00000019a00995be20aa00428_800_1067.jpg?w=640&amp;h=640")</f>
        <v>https://si.geilicdn.com/open1701442386-252808396-7ed00000019a00995be20aa00428_800_1067.jpg?w=640&amp;h=640</v>
      </c>
      <c r="F16" t="inlineStr">
        <is>
          <t>Hoodies</t>
        </is>
      </c>
      <c r="G16" t="inlineStr">
        <is>
          <t>Superme</t>
        </is>
      </c>
      <c r="H16" t="inlineStr">
        <is>
          <t>310</t>
        </is>
      </c>
      <c r="I16">
        <v>44.93</v>
      </c>
      <c r="J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 Classic Gray 3D Embroidered Cotton Hoodie","refusal":null,"role":"assistant"}}],"created":1776061170,"id":"chatcmpl-DU4vq5jItDFXAtgUqz2W8ruCgEbrV","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16,"completion_tokens_details":{"accepted_prediction_tokens":0,"audio_tokens":0,"reasoning_tokens":0,"rejected_prediction_tokens":0},"prompt_tokens":895,"prompt_tokens_details":{"audio_tokens":0,"cached_tokens":0},"total_tokens":911}}</t>
        </is>
      </c>
      <c r="K16" t="inlineStr">
        <is>
          <t>HoodesSuperme Classic Gray 3D Embroidered Cotton Hoodie</t>
        </is>
      </c>
      <c r="L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Supreme Classic Gray Hoodie – premium cotton, soft and skin-friendly, 3D embroidered logo, minimalist street style for men and women, vintage 90s vibes, perfect for urban casual looks.","refusal":null,"role":"assistant"}}],"created":1776061105,"id":"chatcmpl-DU4unMsDOdrj1sKEUhpiXqawjDTL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46,"completion_tokens_details":{"accepted_prediction_tokens":0,"audio_tokens":0,"reasoning_tokens":0,"rejected_prediction_tokens":0},"prompt_tokens":902,"prompt_tokens_details":{"audio_tokens":0,"cached_tokens":0},"total_tokens":948}}</t>
        </is>
      </c>
      <c r="M16" t="inlineStr">
        <is>
          <t>{"alt-svc":"h3=\":443\"; ma=2592000","apim-request-id":"409bdcd5-385a-475e-8056-13609f1581f8","azureml-model-session":"d20260405225800-40f19e54","connection":"close","content-length":"1436","content-type":"application/json","date":"Mon, 13 Apr 2026 06:18:27 GMT","skip-error-remapping":"true","strict-transport-security":"max-age=31536000; includeSubDomains; preload","via":"1.1 Caddy","x-accel-buffering":"no","x-content-type-options":"nosniff","x-ms-client-request-id":"Not-Set","x-ms-is-spilled-over":"false","x-ms-rai-invoked":"true","x-ms-region":"UK South","x-new-api-version":"0.4.25-alpha.4","x-oneapi-request-id":"20260413061823768756906y06hsPAy","x-ratelimit-abusepenalty-active":"False","x-ratelimit-limit-requests":"1000","x-ratelimit-limit-tokens":"1000000","x-ratelimit-remaining-requests":"999","x-ratelimit-remaining-tokens":"998831","x-ratelimit-renewalperiod-requests":"60","x-ratelimit-renewalperiod-tokens":"60","x-ratelimit-reset-requests":"60","x-ratelimit-reset-tokens":"70","x-request-id":"da5bacf2-b390-43df-b7cf-d5d83edc4b4a","x-shellapi-request-id":"2026041314182368760917759066215"}</t>
        </is>
      </c>
      <c r="N16" t="inlineStr">
        <is>
          <t>HoodesSupermeSupreme Classic Gray Hoodie – premium cotton, soft and skin-friendly, 3D embroidered logo, minimalist street style for men and women, vintage 90s vibes, perfect for urban casual looks.</t>
        </is>
      </c>
      <c r="O16" t="inlineStr">
        <is>
          <t>{"choices":[{"content_filter_result":{"error":{"code":"content_filter_error","message":"The contents are not filtered"}},"content_filter_results":{},"finish_reason":"stop","index":0,"logprobs":null,"message":{"annotations":[],"content":"Supreme,hoodie,kakobuy,kakebuy2026,kekobuysheet,kakobuysheet2026,2026kakobuy,kakobuyspreadsheeet,kakobuylink,kakebuylist,Kakobuy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1776061473,"id":"chatcmpl-DU50jDypgmsnkCOnCjEk8tgyUZpUi","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784,"prompt_tokens_details":{"audio_tokens":0,"cached_tokens":0},"total_tokens":872}}</t>
        </is>
      </c>
      <c r="P16" t="inlineStr">
        <is>
          <t>Supreme,hoodie,kakobuy,kakebuy2026,kekobuysheet,kakobuysheet2026,2026kakobuy,kakobuyspreadsheeet,kakobuylink,kakebuylist,Kakobuy MEGA Spreadsheet,kakobuysheetfind,kakobuysheetfind2026,2026kakobuysheetfind,kakobuysheet2026</t>
        </is>
      </c>
      <c r="Q16" t="inlineStr">
        <is>
          <t>Supreme, Gray, Minimalist, Street, Unisex, Vintage</t>
        </is>
      </c>
      <c r="R16" t="inlineStr">
        <is>
          <t>recvgxFjjAAfnQ</t>
        </is>
      </c>
      <c r="S16" t="inlineStr">
        <is>
          <t>hoodes-superme-classic-gray-3d-embroidered-cotton-hoodie-recvgxfjjnafnq</t>
        </is>
      </c>
      <c r="T16"/>
      <c r="U16"/>
      <c r="V16"/>
      <c r="W1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经典灰色连帽卫衣，优质纯棉材质柔软亲肤，胸前立体刺绣logo设计，极简街头风格，男女皆宜，适合都市休闲与潮流搭配，展现90年代复古时尚气息。","refusal":null,"role":"assistant"}}],"created":1776044369,"id":"chatcmpl-DU0YriHlsJmJPqDSHFl3yIyOliLz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67,"completion_tokens_details":{"accepted_prediction_tokens":0,"audio_tokens":0,"reasoning_tokens":0,"rejected_prediction_tokens":0},"prompt_tokens":1301,"prompt_tokens_details":{"audio_tokens":0,"cached_tokens":1280},"total_tokens":1368}}</t>
        </is>
      </c>
      <c r="X16" t="inlineStr">
        <is>
          <t>Supreme：经典灰色连帽卫衣，优质纯棉材质柔软亲肤，胸前立体刺绣logo设计，极简街头风格，男女皆宜，适合都市休闲与潮流搭配，展现90年代复古时尚气息。</t>
        </is>
      </c>
    </row>
    <row r="17" ht="25.5" customHeight="1">
      <c r="A17">
        <v>1701442386</v>
      </c>
      <c r="B17">
        <v>7574987670</v>
      </c>
      <c r="C17" s="2" t="str">
        <f>=HYPERLINK("https://weidian.com/item.html?itemID=7574987670", "https://weidian.com/item.html?itemID=7574987670")</f>
        <v>https://weidian.com/item.html?itemID=7574987670</v>
      </c>
      <c r="D17"/>
      <c r="E17" s="2" t="str">
        <f>=HYPERLINK("https://si.geilicdn.com/open1701442386-252808396-7b9c00000199ec2634110a22d249_800_800.jpg?w=640&amp;h=640", "https://si.geilicdn.com/open1701442386-252808396-7b9c00000199ec2634110a22d249_800_800.jpg?w=640&amp;h=640")</f>
        <v>https://si.geilicdn.com/open1701442386-252808396-7b9c00000199ec2634110a22d249_800_800.jpg?w=640&amp;h=640</v>
      </c>
      <c r="F17" t="inlineStr">
        <is>
          <t>Hoodies</t>
        </is>
      </c>
      <c r="G17" t="inlineStr">
        <is>
          <t>CP Company</t>
        </is>
      </c>
      <c r="H17" t="inlineStr">
        <is>
          <t>152</t>
        </is>
      </c>
      <c r="I17">
        <v>22.03</v>
      </c>
      <c r="J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P Company Goggle Hooded Zip Cotton Hoodie","refusal":null,"role":"assistant"}}],"created":1776061276,"id":"chatcmpl-DU4xYAZMWtLLuigiyzhQqFJYWsK3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887,"prompt_tokens_details":{"audio_tokens":0,"cached_tokens":0},"total_tokens":897}}</t>
        </is>
      </c>
      <c r="K17" t="inlineStr">
        <is>
          <t>CP Company Goggle Hooded Zip Cotton Hoodie</t>
        </is>
      </c>
      <c r="L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P Company blue hoodie with signature goggle hood, crafted from high-density pure cotton for softness and warmth. Zip front and kangaroo pocket blend function with 90s techwear style for men and women.","refusal":null,"role":"assistant"}}],"created":1776044912,"id":"chatcmpl-DU0hcEAWyCQVnOFLMavh4vKgnIjEQ","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42,"completion_tokens_details":{"accepted_prediction_tokens":0,"audio_tokens":0,"reasoning_tokens":0,"rejected_prediction_tokens":0},"prompt_tokens":924,"prompt_tokens_details":{"audio_tokens":0,"cached_tokens":0},"total_tokens":966}}</t>
        </is>
      </c>
      <c r="M17" t="inlineStr">
        <is>
          <t>{"alt-svc":"h3=\":443\"; ma=2592000","apim-request-id":"739fd359-1e49-47a8-bc62-283da77a225e","azureml-model-session":"d20260402083108-57a85543","connection":"close","content-length":"1413","content-type":"application/json","date":"Mon, 13 Apr 2026 01:48:33 GMT","skip-error-remapping":"true","strict-transport-security":"max-age=31536000; includeSubDomains; preload","via":"1.1 Caddy","x-accel-buffering":"no","x-content-type-options":"nosniff","x-ms-client-request-id":"Not-Set","x-ms-is-spilled-over":"false","x-ms-rai-invoked":"true","x-ms-region":"East US 2","x-new-api-version":"0.4.25-alpha.4","x-oneapi-request-id":"20260413014831228082723pN1Q4ckA","x-ratelimit-abusepenalty-active":"False","x-ratelimit-limit-requests":"1000","x-ratelimit-limit-tokens":"1000000","x-ratelimit-remaining-requests":"999","x-ratelimit-remaining-tokens":"998825","x-ratelimit-renewalperiod-requests":"60","x-ratelimit-renewalperiod-tokens":"60","x-ratelimit-reset-requests":"60","x-ratelimit-reset-tokens":"70","x-request-id":"302f15cb-c9b7-4c5a-b663-fecd595d89b8","x-shellapi-request-id":"2026041309483116850248983504722"}</t>
        </is>
      </c>
      <c r="N17" t="inlineStr">
        <is>
          <t>CP Company blue hoodie with signature goggle hood, crafted from high-density pure cotton for softness and warmth. Zip front and kangaroo pocket blend function with 90s techwear style for men and women.</t>
        </is>
      </c>
      <c r="O1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CP, Hoodie, kakobuy, kakebuy2026, kekobuysheet, kakobuysheet2026, 2026kakobuy, kakobuyspreadsheeet, kakobuylink, kakebuylist, Kakobuy MEGA Spreadsheet, kakobuysheetfind, kakobuysheetfind2026, 2026kakobuysheetfind, kakobuysheet2026","refusal":null,"role":"assistant"}}],"created":1776061385,"id":"chatcmpl-DU4zJZmE4CQH70zuxMiRUGDDeK4m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93,"completion_tokens_details":{"accepted_prediction_tokens":0,"audio_tokens":0,"reasoning_tokens":0,"rejected_prediction_tokens":0},"prompt_tokens":784,"prompt_tokens_details":{"audio_tokens":0,"cached_tokens":0},"total_tokens":877}}</t>
        </is>
      </c>
      <c r="P17" t="inlineStr">
        <is>
          <t>HoodesCP, Hoodie, kakobuy, kakebuy2026, kekobuysheet, kakobuysheet2026, 2026kakobuy, kakobuyspreadsheeet, kakobuylink, kakebuylist, Kakobuy MEGA Spreadsheet, kakobuysheetfind, kakobuysheetfind2026, 2026kakobuysheetfind, kakobuysheet2026</t>
        </is>
      </c>
      <c r="Q17" t="inlineStr">
        <is>
          <t>Blue, Men's And Women's</t>
        </is>
      </c>
      <c r="R17" t="inlineStr">
        <is>
          <t>recvgxFjjADmPI</t>
        </is>
      </c>
      <c r="S17" t="inlineStr">
        <is>
          <t>cp-company-goggle-hooded-zip-cotton-hoodie-recvgxfjjadmpi</t>
        </is>
      </c>
      <c r="T17"/>
      <c r="U17"/>
      <c r="V17"/>
      <c r="W1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P Company：蓝色连帽卫衣，标志性护目镜设计，采用高密纯棉材质制成，触感柔软且保暖。前置拉链与袋鼠口袋兼具功能性与街头造型感，焕发90年代机能风格。男女皆宜，展现品牌都市休闲与科技感融合的独特魅力。","refusal":null,"role":"assistant"}}],"created":1776044302,"id":"chatcmpl-DU0XmsuNHSWt1Gi75Pab21I6DplVu","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1303,"prompt_tokens_details":{"audio_tokens":0,"cached_tokens":0},"total_tokens":1391}}</t>
        </is>
      </c>
      <c r="X17" t="inlineStr">
        <is>
          <t>CP Company：蓝色连帽卫衣，标志性护目镜设计，采用高密纯棉材质制成，触感柔软且保暖。前置拉链与袋鼠口袋兼具功能性与街头造型感，焕发90年代机能风格。男女皆宜，展现品牌都市休闲与科技感融合的独特魅力。</t>
        </is>
      </c>
    </row>
    <row r="18" ht="25.5" customHeight="1">
      <c r="A18">
        <v>1701442386</v>
      </c>
      <c r="B18">
        <v>7570815151</v>
      </c>
      <c r="C18" s="2" t="str">
        <f>=HYPERLINK("https://weidian.com/item.html?itemID=7570815151", "https://weidian.com/item.html?itemID=7570815151")</f>
        <v>https://weidian.com/item.html?itemID=7570815151</v>
      </c>
      <c r="D18"/>
      <c r="E18" s="2" t="str">
        <f>=HYPERLINK("https://si.geilicdn.com/open1701442386-252808396-59e800000199de06e2670aa081c2_800_800.jpg?w=750&amp;h=750&amp;cp=1", "https://si.geilicdn.com/open1701442386-252808396-59e800000199de06e2670aa081c2_800_800.jpg?w=750&amp;h=750&amp;cp=1")</f>
        <v>https://si.geilicdn.com/open1701442386-252808396-59e800000199de06e2670aa081c2_800_800.jpg?w=750&amp;h=750&amp;cp=1</v>
      </c>
      <c r="F18" t="inlineStr">
        <is>
          <t>T-Shirts</t>
        </is>
      </c>
      <c r="G18" t="inlineStr">
        <is>
          <t>Stussy</t>
        </is>
      </c>
      <c r="H18" t="inlineStr">
        <is>
          <t>195</t>
        </is>
      </c>
      <c r="I18">
        <v>28.26</v>
      </c>
      <c r="J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Black Long Sleeve Cotton T-Shirt","refusal":null,"role":"assistant"}}],"created":1776061215,"id":"chatcmpl-DU4wZwOUde3qTdQE9ouodEm1Pi2p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886,"prompt_tokens_details":{"audio_tokens":0,"cached_tokens":0},"total_tokens":896}}</t>
        </is>
      </c>
      <c r="K18" t="inlineStr">
        <is>
          <t>Stussy Classic Black Long Sleeve Cotton T-Shirt</t>
        </is>
      </c>
      <c r="L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Black Long Sleeve T-Shirt features premium cotton fabric, iconic hand-drawn logo on chest, and disc totem graphic on back, unisex design inspired by 90s California street style.","refusal":null,"role":"assistant"}}],"created":1776044998,"id":"chatcmpl-DU0j0mLNXfbxyGct23LWxciLNPhv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42,"completion_tokens_details":{"accepted_prediction_tokens":0,"audio_tokens":0,"reasoning_tokens":0,"rejected_prediction_tokens":0},"prompt_tokens":905,"prompt_tokens_details":{"audio_tokens":0,"cached_tokens":0},"total_tokens":947}}</t>
        </is>
      </c>
      <c r="M18" t="inlineStr">
        <is>
          <t>{"alt-svc":"h3=\":443\"; ma=2592000","apim-request-id":"7203f8b9-4051-4d33-a6be-8085d6104cc0","azureml-model-session":"d20260402084046-4209e968","connection":"close","content-length":"1429","content-type":"application/json","date":"Mon, 13 Apr 2026 01:49:59 GMT","skip-error-remapping":"true","strict-transport-security":"max-age=31536000; includeSubDomains; preload","via":"1.1 Caddy","x-accel-buffering":"no","x-content-type-options":"nosniff","x-ms-client-request-id":"Not-Set","x-ms-is-spilled-over":"false","x-ms-rai-invoked":"true","x-ms-region":"UK South","x-new-api-version":"0.4.25-alpha.4","x-oneapi-request-id":"202604130149575818880933uGrhsI9","x-ratelimit-abusepenalty-active":"False","x-ratelimit-limit-requests":"1000","x-ratelimit-limit-tokens":"1000000","x-ratelimit-remaining-requests":"999","x-ratelimit-remaining-tokens":"998830","x-ratelimit-renewalperiod-requests":"60","x-ratelimit-renewalperiod-tokens":"60","x-ratelimit-reset-requests":"60","x-ratelimit-reset-tokens":"70","x-request-id":"771d780d-402e-4a5b-8aea-c63b85cd5d9d","x-shellapi-request-id":"2026041309495753885131795518975"}</t>
        </is>
      </c>
      <c r="N18" t="inlineStr">
        <is>
          <t>Stussy Classic Black Long Sleeve T-Shirt features premium cotton fabric, iconic hand-drawn logo on chest, and disc totem graphic on back, unisex design inspired by 90s California street style.</t>
        </is>
      </c>
      <c r="O1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ussy, T-Shirts, kakobuy, kakebuy2026, kekobuysheet, kakobuysheet2026, 2026kakobuy, kakobuyspreadsheeet, kakobuylink, kakebuylist, Kakobuy MEGA Spreadsheet, kakobuysheetfind, kakobuysheetfind2026, 2026kakobuysheetfind, kakobuysheet2026","refusal":null,"role":"assistant"}}],"created":1776061346,"id":"chatcmpl-DU4ygBKpFIEZLhhGWtKh1WkAKlNrj","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92,"completion_tokens_details":{"accepted_prediction_tokens":0,"audio_tokens":0,"reasoning_tokens":0,"rejected_prediction_tokens":0},"prompt_tokens":783,"prompt_tokens_details":{"audio_tokens":0,"cached_tokens":0},"total_tokens":875}}</t>
        </is>
      </c>
      <c r="P18" t="inlineStr">
        <is>
          <t>Stussy, T-Shirts, kakobuy, kakebuy2026, kekobuysheet, kakobuysheet2026, 2026kakobuy, kakobuyspreadsheeet, kakobuylink, kakebuylist, Kakobuy MEGA Spreadsheet, kakobuysheetfind, kakobuysheetfind2026, 2026kakobuysheetfind, kakobuysheet2026</t>
        </is>
      </c>
      <c r="Q18" t="inlineStr">
        <is>
          <t>Stussy, Black, Streetwear, Unisex, Retro</t>
        </is>
      </c>
      <c r="R18" t="inlineStr">
        <is>
          <t>recvgxFjjAdJ7H</t>
        </is>
      </c>
      <c r="S18"/>
      <c r="T18"/>
      <c r="U18"/>
      <c r="V18"/>
      <c r="W1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经典黑色长袖T恤，采用优质纯棉材质，胸前印有标志性手写Logo，背面圆盘图腾设计融合街头艺术风格，男女皆宜款，舒适透气，展现90年代加州潮流精神。","refusal":null,"role":"assistant"}}],"created":1776044330,"id":"chatcmpl-DU0YE3jDSXcxzGeS346AiRpDClYrw","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67,"completion_tokens_details":{"accepted_prediction_tokens":0,"audio_tokens":0,"reasoning_tokens":0,"rejected_prediction_tokens":0},"prompt_tokens":1308,"prompt_tokens_details":{"audio_tokens":0,"cached_tokens":0},"total_tokens":1375}}</t>
        </is>
      </c>
      <c r="X18" t="inlineStr">
        <is>
          <t>Stussy：经典黑色长袖T恤，采用优质纯棉材质，胸前印有标志性手写Logo，背面圆盘图腾设计融合街头艺术风格，男女皆宜款，舒适透气，展现90年代加州潮流精神。</t>
        </is>
      </c>
    </row>
    <row r="19" ht="25.5" customHeight="1">
      <c r="A19">
        <v>1701442386</v>
      </c>
      <c r="B19">
        <v>7572783902</v>
      </c>
      <c r="C19" s="2" t="str">
        <f>=HYPERLINK("https://weidian.com/item.html?itemID=7572783902", "https://weidian.com/item.html?itemID=7572783902")</f>
        <v>https://weidian.com/item.html?itemID=7572783902</v>
      </c>
      <c r="D19"/>
      <c r="E19" s="2" t="str">
        <f>=HYPERLINK("https://si.geilicdn.com/open1701442386-252808396-305600000199ddf8e0a80a22d249_800_800.jpg?w=750&amp;h=750&amp;cp=1", "https://si.geilicdn.com/open1701442386-252808396-305600000199ddf8e0a80a22d249_800_800.jpg?w=750&amp;h=750&amp;cp=1")</f>
        <v>https://si.geilicdn.com/open1701442386-252808396-305600000199ddf8e0a80a22d249_800_800.jpg?w=750&amp;h=750&amp;cp=1</v>
      </c>
      <c r="F19" t="inlineStr">
        <is>
          <t>Hoodies</t>
        </is>
      </c>
      <c r="G19" t="inlineStr">
        <is>
          <t>Bape</t>
        </is>
      </c>
      <c r="H19" t="inlineStr">
        <is>
          <t>228</t>
        </is>
      </c>
      <c r="I19">
        <v>33.04</v>
      </c>
      <c r="J1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pe Black Shark Camo Hoodie Unisex Streetwear","refusal":null,"role":"assistant"}}],"created":1776061215,"id":"chatcmpl-DU4wZN1LCOORoYZuoDeY5VbcQBnVO","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887,"prompt_tokens_details":{"audio_tokens":0,"cached_tokens":0},"total_tokens":899}}</t>
        </is>
      </c>
      <c r="K19" t="inlineStr">
        <is>
          <t>Bape Black Shark Camo Hoodie Unisex Streetwear</t>
        </is>
      </c>
      <c r="L1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BapeBape Black Shark Camo Hoodie, made of soft cotton with iconic shark motif, street fashion unisex style, loose fit for comfort and trend, perfect for daily casual wear.","refusal":null,"role":"assistant"}}],"created":1776044928,"id":"chatcmpl-DU0hs7ReEUBmjX0xmLGtHH4G0qYD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42,"completion_tokens_details":{"accepted_prediction_tokens":0,"audio_tokens":0,"reasoning_tokens":0,"rejected_prediction_tokens":0},"prompt_tokens":913,"prompt_tokens_details":{"audio_tokens":0,"cached_tokens":0},"total_tokens":955}}</t>
        </is>
      </c>
      <c r="M19" t="inlineStr">
        <is>
          <t>{"alt-svc":"h3=\":443\"; ma=2592000","apim-request-id":"5e74bee4-346f-49ee-906d-424f7dbf21fe","azureml-model-session":"d20260405212659-a9daa006","connection":"close","content-length":"1414","content-type":"application/json","date":"Mon, 13 Apr 2026 01:48:50 GMT","skip-error-remapping":"true","strict-transport-security":"max-age=31536000; includeSubDomains; preload","via":"1.1 Caddy","x-accel-buffering":"no","x-content-type-options":"nosniff","x-ms-client-request-id":"Not-Set","x-ms-is-spilled-over":"false","x-ms-rai-invoked":"true","x-ms-region":"UK South","x-new-api-version":"0.4.25-alpha.4","x-oneapi-request-id":"20260413014848445601317TQCHoVX7","x-ratelimit-abusepenalty-active":"False","x-ratelimit-limit-requests":"1000","x-ratelimit-limit-tokens":"1000000","x-ratelimit-remaining-requests":"999","x-ratelimit-remaining-tokens":"998832","x-ratelimit-renewalperiod-requests":"60","x-ratelimit-renewalperiod-tokens":"60","x-ratelimit-reset-requests":"60","x-ratelimit-reset-tokens":"70","x-request-id":"cf16f08d-77d6-47d3-85c6-bf83a0b272a4","x-shellapi-request-id":"2026041309484840285874260835255"}</t>
        </is>
      </c>
      <c r="N19" t="inlineStr">
        <is>
          <t>HoodesBapeBape Black Shark Camo Hoodie, made of soft cotton with iconic shark motif, street fashion unisex style, loose fit for comfort and trend, perfect for daily casual wear.</t>
        </is>
      </c>
      <c r="O1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pe,Hoodie,kakobuy,kakebuy2026,kekobuysheet,kakobuysheet2026,2026kakobuy,kakobuyspreadsheeet,kakobuylink,kakebuylist,Kakobuy MEGA Spreadsheet,kakobuysheetfind,kakobuysheetfind2026,2026kakobuysheetfind,kakobuysheet2026","refusal":null,"role":"assistant"}}],"created":1776061469,"id":"chatcmpl-DU50f0nysZtfdy41ew9SZKjCX5r1c","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784,"prompt_tokens_details":{"audio_tokens":0,"cached_tokens":0},"total_tokens":872}}</t>
        </is>
      </c>
      <c r="P19" t="inlineStr">
        <is>
          <t>Bape,Hoodie,kakobuy,kakebuy2026,kekobuysheet,kakobuysheet2026,2026kakobuy,kakobuyspreadsheeet,kakobuylink,kakebuylist,Kakobuy MEGA Spreadsheet,kakobuysheetfind,kakobuysheetfind2026,2026kakobuysheetfind,kakobuysheet2026</t>
        </is>
      </c>
      <c r="Q19" t="inlineStr">
        <is>
          <t>BAPE, Streetwear, Unisex, Black</t>
        </is>
      </c>
      <c r="R19" t="inlineStr">
        <is>
          <t>recvgxFjjAgIUn</t>
        </is>
      </c>
      <c r="S19" t="inlineStr">
        <is>
          <t>bape-black-shark-camo-hoodie-recvgxfjjagiun</t>
        </is>
      </c>
      <c r="T19"/>
      <c r="U19"/>
      <c r="V19"/>
      <c r="W1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pe：黑色鲨鱼迷彩印花连帽卫衣，选用柔软纯棉材质，正面标志性鲨鱼图腾设计，潮流街头风格，男女同款，宽松剪裁兼具舒适与时尚感，适合日常休闲穿搭。","refusal":null,"role":"assistant"}}],"created":1776044181,"id":"chatcmpl-DU0Vp2hkqjwgdxvwH1ILCFRgFfhBd","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73,"completion_tokens_details":{"accepted_prediction_tokens":0,"audio_tokens":0,"reasoning_tokens":0,"rejected_prediction_tokens":0},"prompt_tokens":1311,"prompt_tokens_details":{"audio_tokens":0,"cached_tokens":0},"total_tokens":1384}}</t>
        </is>
      </c>
      <c r="X19" t="inlineStr">
        <is>
          <t>Bape：黑色鲨鱼迷彩印花连帽卫衣，选用柔软纯棉材质，正面标志性鲨鱼图腾设计，潮流街头风格，男女同款，宽松剪裁兼具舒适与时尚感，适合日常休闲穿搭。</t>
        </is>
      </c>
    </row>
    <row r="20" ht="25.5" customHeight="1">
      <c r="A20">
        <v>1701442386</v>
      </c>
      <c r="B20">
        <v>7579852911</v>
      </c>
      <c r="C20" s="2" t="str">
        <f>=HYPERLINK("https://weidian.com/item.html?itemID=7579852911", "https://weidian.com/item.html?itemID=7579852911")</f>
        <v>https://weidian.com/item.html?itemID=7579852911</v>
      </c>
      <c r="D20"/>
      <c r="E20" s="2" t="str">
        <f>=HYPERLINK("https://si.geilicdn.com/open1701442386-252808396-64c60000019a0bb25cdc0aa081c2_1200_1200.jpg?w=750&amp;h=750&amp;cp=1", "https://si.geilicdn.com/open1701442386-252808396-64c60000019a0bb25cdc0aa081c2_1200_1200.jpg?w=750&amp;h=750&amp;cp=1")</f>
        <v>https://si.geilicdn.com/open1701442386-252808396-64c60000019a0bb25cdc0aa081c2_1200_1200.jpg?w=750&amp;h=750&amp;cp=1</v>
      </c>
      <c r="F20" t="inlineStr">
        <is>
          <t>Hoodies</t>
        </is>
      </c>
      <c r="G20" t="inlineStr">
        <is>
          <t xml:space="preserve"> Cortiez</t>
        </is>
      </c>
      <c r="H20" t="inlineStr">
        <is>
          <t>161</t>
        </is>
      </c>
      <c r="I20">
        <v>23.33</v>
      </c>
      <c r="J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Grey Hoodie Unisex Streetwear Cotton Pullover","refusal":null,"role":"assistant"}}],"created":1776061283,"id":"chatcmpl-DU4xffKuhn9KMiWdrc3QidGzLs1w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13,"completion_tokens_details":{"accepted_prediction_tokens":0,"audio_tokens":0,"reasoning_tokens":0,"rejected_prediction_tokens":0},"prompt_tokens":879,"prompt_tokens_details":{"audio_tokens":0,"cached_tokens":0},"total_tokens":892}}</t>
        </is>
      </c>
      <c r="K20" t="inlineStr">
        <is>
          <t>Cortiez Grey Hoodie Unisex Streetwear Cotton Pullover</t>
        </is>
      </c>
      <c r="L2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ortiez Grey Hoodie crafted from soft premium cotton, featuring signature olive oval logo print, loose fit with drawstring hood and kangaroo pocket for unisex street style and daily wear.","refusal":null,"role":"assistant"}}],"created":1776045018,"id":"chatcmpl-DU0jKUkQAgvfqelr8i8VUCe6YFU20","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940,"prompt_tokens_details":{"audio_tokens":0,"cached_tokens":0},"total_tokens":978}}</t>
        </is>
      </c>
      <c r="M20" t="inlineStr">
        <is>
          <t>{"alt-svc":"h3=\":443\"; ma=2592000","apim-request-id":"4bc7ce12-2620-4810-a9c6-3f5e991d2718","azureml-model-session":"d20260402075109-1fc5a0ec","connection":"close","content-length":"1424","content-type":"application/json","date":"Mon, 13 Apr 2026 01:50:19 GMT","skip-error-remapping":"true","strict-transport-security":"max-age=31536000; includeSubDomains; preload","via":"1.1 Caddy","x-accel-buffering":"no","x-content-type-options":"nosniff","x-ms-client-request-id":"Not-Set","x-ms-is-spilled-over":"false","x-ms-rai-invoked":"true","x-ms-region":"Switzerland North","x-new-api-version":"0.4.25-alpha.4","x-oneapi-request-id":"202604130150174162846987Ad6QEB4","x-ratelimit-abusepenalty-active":"False","x-ratelimit-limit-requests":"1000","x-ratelimit-limit-tokens":"1000000","x-ratelimit-remaining-requests":"999","x-ratelimit-remaining-tokens":"998823","x-ratelimit-renewalperiod-requests":"60","x-ratelimit-renewalperiod-tokens":"60","x-ratelimit-reset-requests":"60","x-ratelimit-reset-tokens":"70","x-request-id":"6f6b7441-be80-4a47-a573-1b729cecde5f","x-shellapi-request-id":"2026041309501737895710768620838"}</t>
        </is>
      </c>
      <c r="N20" t="inlineStr">
        <is>
          <t>Cortiez Grey Hoodie crafted from soft premium cotton, featuring signature olive oval logo print, loose fit with drawstring hood and kangaroo pocket for unisex street style and daily wear.</t>
        </is>
      </c>
      <c r="O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hoodie,kakobuy,kakebuy2026,kekobuysheet,kakobuysheet2026,2026kakobuy,kakobuyspreadsheeet,kakobuylink,kakebuylist,Kakobuy MEGA Spreadsheet,kakobuysheetfind,kakobuysheetfind2026,2026kakobuysheetfind,kakobuysheet2026  \nCortiez,jeans,kakobuy,kakebuy2026,kekobuysheet,kakobuysheet2026,2026kakobuy,kakobuyspreadsheeet,kakobuylink,kakebuylist,Kakobuy MEGA Spreadsheet,kakobuysheetfind,kakobuysheetfind2026,2026kakobuysheetfind,kakobuysheet2026  \nCortiez,jacket,kakobuy,kakebuy2026,kekobuysheet,kakobuysheet2026,2026kakobuy,kakobuyspreadsheeet,kakobuylink,kakebuylist,Kakobuy MEGA Spreadsheet,kakobuysheetfind,kakobuysheetfind2026,2026kakobuysheetfind,kakobuysheet2026","refusal":null,"role":"assistant"}}],"created":1776061483,"id":"chatcmpl-DU50tQHkEuNropZvhCTv8W1JWDQ8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266,"completion_tokens_details":{"accepted_prediction_tokens":0,"audio_tokens":0,"reasoning_tokens":0,"rejected_prediction_tokens":0},"prompt_tokens":784,"prompt_tokens_details":{"audio_tokens":0,"cached_tokens":0},"total_tokens":1050}}</t>
        </is>
      </c>
      <c r="P20" t="inlineStr">
        <is>
          <t>Cortiez,hoodie,kakobuy,kakebuy2026,kekobuysheet,kakobuysheet2026,2026kakobuy,kakobuyspreadsheeet,kakobuylink,kakebuylist,Kakobuy MEGA Spreadsheet,kakobuysheetfind,kakobuysheetfind2026,2026kakobuysheetfind,kakobuysheet2026  
Cortiez,jeans,kakobuy,kakebuy2026,kekobuysheet,kakobuysheet2026,2026kakobuy,kakobuyspreadsheeet,kakobuylink,kakebuylist,Kakobuy MEGA Spreadsheet,kakobuysheetfind,kakobuysheetfind2026,2026kakobuysheetfind,kakobuysheet2026  
Cortiez,jacket,kakobuy,kakebuy2026,kekobuysheet,kakobuysheet2026,2026kakobuy,kakobuyspreadsheeet,kakobuylink,kakebuylist,Kakobuy MEGA Spreadsheet,kakobuysheetfind,kakobuysheetfind2026,2026kakobuysheetfind,kakobuysheet2026</t>
        </is>
      </c>
      <c r="Q20" t="inlineStr">
        <is>
          <t>Grey, Streetwear, Unisex</t>
        </is>
      </c>
      <c r="R20" t="inlineStr">
        <is>
          <t>recvgxFjjAhg2U</t>
        </is>
      </c>
      <c r="S20" t="inlineStr">
        <is>
          <t>cortiez-grey-hoodie-recvgxfjjahg2u</t>
        </is>
      </c>
      <c r="T20"/>
      <c r="U20"/>
      <c r="V20"/>
      <c r="W2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灰色连帽卫衣，精选纯棉材质柔软舒适，胸前标志性橄榄形Logo印花彰显街头潮流气质，宽松剪裁搭配可调节抽绳帽设计，前置袋鼠兜实用便捷，男女皆宜，复古运动风与都市街头感融合，适合日常休闲与时尚穿搭。","refusal":null,"role":"assistant"}}],"created":1776044430,"id":"chatcmpl-DU0ZqkhRoaUKdSgkQXbJZVu0c6y8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98,"completion_tokens_details":{"accepted_prediction_tokens":0,"audio_tokens":0,"reasoning_tokens":0,"rejected_prediction_tokens":0},"prompt_tokens":1315,"prompt_tokens_details":{"audio_tokens":0,"cached_tokens":0},"total_tokens":1413}}</t>
        </is>
      </c>
      <c r="X20" t="inlineStr">
        <is>
          <t>Cortiez 灰色连帽卫衣，精选纯棉材质柔软舒适，胸前标志性橄榄形Logo印花彰显街头潮流气质，宽松剪裁搭配可调节抽绳帽设计，前置袋鼠兜实用便捷，男女皆宜，复古运动风与都市街头感融合，适合日常休闲与时尚穿搭。</t>
        </is>
      </c>
    </row>
    <row r="21" ht="25.5" customHeight="1">
      <c r="A21">
        <v>1701442386</v>
      </c>
      <c r="B21">
        <v>7579898161</v>
      </c>
      <c r="C21" s="2" t="str">
        <f>=HYPERLINK("https://weidian.com/item.html?itemID=7579898161", "https://weidian.com/item.html?itemID=7579898161")</f>
        <v>https://weidian.com/item.html?itemID=7579898161</v>
      </c>
      <c r="D21"/>
      <c r="E21" s="2" t="str">
        <f>=HYPERLINK("https://si.geilicdn.com/open1701442386-252808396-44be0000019a0b9929a50a23b491_750_750.jpg?w=750&amp;h=750&amp;cp=1", "https://si.geilicdn.com/open1701442386-252808396-44be0000019a0b9929a50a23b491_750_750.jpg?w=750&amp;h=750&amp;cp=1")</f>
        <v>https://si.geilicdn.com/open1701442386-252808396-44be0000019a0b9929a50a23b491_750_750.jpg?w=750&amp;h=750&amp;cp=1</v>
      </c>
      <c r="F21" t="inlineStr">
        <is>
          <t>Sweaters</t>
        </is>
      </c>
      <c r="G21" t="inlineStr">
        <is>
          <t>Other</t>
        </is>
      </c>
      <c r="H21" t="inlineStr">
        <is>
          <t>194</t>
        </is>
      </c>
      <c r="I21">
        <v>28.1159420289855</v>
      </c>
      <c r="J2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weatersOther Minimalist Dark Gray Cotton Knit Sweater","refusal":null,"role":"assistant"}}],"created":1776061196,"id":"chatcmpl-DU4wGWpJQhFFfMGnv3p9i9624GGzI","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893,"prompt_tokens_details":{"audio_tokens":0,"cached_tokens":0},"total_tokens":905}}</t>
        </is>
      </c>
      <c r="K21" t="inlineStr">
        <is>
          <t>SweatersOther Minimalist Dark Gray Cotton Knit Sweater</t>
        </is>
      </c>
      <c r="L2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weatersOther Minimalist Series dark gray knit sweater, made from high-density pure cotton, soft, warm, and shape-retaining. Classic crew neck ribbed design for men and women, perfect for casual or office wear.","refusal":null,"role":"assistant"}}],"created":1776044938,"id":"chatcmpl-DU0i2hIqzXZfxnWzrDQKgNFCzEmx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46,"completion_tokens_details":{"accepted_prediction_tokens":0,"audio_tokens":0,"reasoning_tokens":0,"rejected_prediction_tokens":0},"prompt_tokens":917,"prompt_tokens_details":{"audio_tokens":0,"cached_tokens":0},"total_tokens":963}}</t>
        </is>
      </c>
      <c r="M21" t="inlineStr">
        <is>
          <t>{"alt-svc":"h3=\":443\"; ma=2592000","apim-request-id":"ff1bfbd9-3ef0-4d11-97d3-804985ae227a","azureml-model-session":"d20260402084046-4209e968","connection":"close","content-length":"1447","content-type":"application/json","date":"Mon, 13 Apr 2026 01:49:01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20260413014856974223187dpxSU9Qk","x-ratelimit-abusepenalty-active":"False","x-ratelimit-limit-requests":"1000","x-ratelimit-limit-tokens":"1000000","x-ratelimit-remaining-requests":"999","x-ratelimit-remaining-tokens":"998830","x-ratelimit-renewalperiod-requests":"60","x-ratelimit-renewalperiod-tokens":"60","x-ratelimit-reset-requests":"60","x-ratelimit-reset-tokens":"70","x-request-id":"b4916bc2-210d-4582-9342-5b3f8f6eeb40","x-shellapi-request-id":"2026041309485693105020064682803"}</t>
        </is>
      </c>
      <c r="N21" t="inlineStr">
        <is>
          <t>SweatersOther Minimalist Series dark gray knit sweater, made from high-density pure cotton, soft, warm, and shape-retaining. Classic crew neck ribbed design for men and women, perfect for casual or office wear.</t>
        </is>
      </c>
      <c r="O2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ison Margiela,Sweaters,kakobuy,kakebuy2026,kekobuysheet,kakobuysheet2026,2026kakobuy,kakobuyspreadsheeet,kakobuylink,kakebuylist,Kakobuy MEGA Spreadsheet,kakobuysheetfind,kakobuysheetfind2026,2026kakobuysheetfind,kakobuysheet2026","refusal":null,"role":"assistant"}}],"created":1776061414,"id":"chatcmpl-DU4zmzcdHXLAUW853OcdwtlLADGa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89,"completion_tokens_details":{"accepted_prediction_tokens":0,"audio_tokens":0,"reasoning_tokens":0,"rejected_prediction_tokens":0},"prompt_tokens":782,"prompt_tokens_details":{"audio_tokens":0,"cached_tokens":0},"total_tokens":871}}</t>
        </is>
      </c>
      <c r="P21" t="inlineStr">
        <is>
          <t>Maison Margiela,Sweaters,kakobuy,kakebuy2026,kekobuysheet,kakobuysheet2026,2026kakobuy,kakobuyspreadsheeet,kakobuylink,kakebuylist,Kakobuy MEGA Spreadsheet,kakobuysheetfind,kakobuysheetfind2026,2026kakobuysheetfind,kakobuysheet2026</t>
        </is>
      </c>
      <c r="Q21" t="inlineStr">
        <is>
          <t>Minimalist, Dark Grey, Knit, Men's And Women's</t>
        </is>
      </c>
      <c r="R21" t="inlineStr">
        <is>
          <t>recvgxFjjAiLkb</t>
        </is>
      </c>
      <c r="S21" t="inlineStr">
        <is>
          <t>minimalist-dark-gray-cotton-knit-sweater-recvgxfjjailkb</t>
        </is>
      </c>
      <c r="T21"/>
      <c r="U21"/>
      <c r="V21"/>
      <c r="W2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简约系列深灰色针织毛衣，甄选高密度纯棉面料，柔软保暖不易变形。圆领经典版型结合细密罗纹设计，展现低调质感美学。适合男女通勤或休闲穿搭，复古简约风格彰显精致品味。","refusal":null,"role":"assistant"}}],"created":1776044255,"id":"chatcmpl-DU0X1JrDR6bwOVODFas3NdD0DaS5Y","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78,"completion_tokens_details":{"accepted_prediction_tokens":0,"audio_tokens":0,"reasoning_tokens":0,"rejected_prediction_tokens":0},"prompt_tokens":1310,"prompt_tokens_details":{"audio_tokens":0,"cached_tokens":1280},"total_tokens":1388}}</t>
        </is>
      </c>
      <c r="X21" t="inlineStr">
        <is>
          <t>简约系列深灰色针织毛衣，甄选高密度纯棉面料，柔软保暖不易变形。圆领经典版型结合细密罗纹设计，展现低调质感美学。适合男女通勤或休闲穿搭，复古简约风格彰显精致品味。</t>
        </is>
      </c>
    </row>
    <row r="22" ht="25.5" customHeight="1">
      <c r="A22">
        <v>1701442386</v>
      </c>
      <c r="B22">
        <v>7579732409</v>
      </c>
      <c r="C22" s="2" t="str">
        <f>=HYPERLINK("https://weidian.com/item.html?itemID=7579732409", "https://weidian.com/item.html?itemID=7579732409")</f>
        <v>https://weidian.com/item.html?itemID=7579732409</v>
      </c>
      <c r="D22"/>
      <c r="E22" s="2" t="str">
        <f>=HYPERLINK("https://si.geilicdn.com/open1701442386-252808396-40000000019a0aa3fcef0a23b491_800_800.jpg?w=750&amp;h=750&amp;cp=1", "https://si.geilicdn.com/open1701442386-252808396-40000000019a0aa3fcef0a23b491_800_800.jpg?w=750&amp;h=750&amp;cp=1")</f>
        <v>https://si.geilicdn.com/open1701442386-252808396-40000000019a0aa3fcef0a23b491_800_800.jpg?w=750&amp;h=750&amp;cp=1</v>
      </c>
      <c r="F22" t="inlineStr">
        <is>
          <t>Hoodies</t>
        </is>
      </c>
      <c r="G22" t="inlineStr">
        <is>
          <t>Superme</t>
        </is>
      </c>
      <c r="H22" t="inlineStr">
        <is>
          <t>325</t>
        </is>
      </c>
      <c r="I22">
        <v>47.1</v>
      </c>
      <c r="J2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SupermeSupreme Grey Cotton Crewneck Sweatshirt","refusal":null,"role":"assistant"}}],"created":1776061215,"id":"chatcmpl-DU4wZX4yiPE0CrClZPHDrreuBnrvR","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14,"completion_tokens_details":{"accepted_prediction_tokens":0,"audio_tokens":0,"reasoning_tokens":0,"rejected_prediction_tokens":0},"prompt_tokens":887,"prompt_tokens_details":{"audio_tokens":0,"cached_tokens":0},"total_tokens":901}}</t>
        </is>
      </c>
      <c r="K22" t="inlineStr">
        <is>
          <t>HoodesSupermeSupreme Grey Cotton Crewneck Sweatshirt</t>
        </is>
      </c>
      <c r="L2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SupermeSupreme grey cotton sweatshirt, featuring a minimalist design, soft skin-friendly texture, classic crewneck and ribbed cuffs. Unisex casual style for everyday wear and urban street fashion.","refusal":null,"role":"assistant"}}],"created":1776044937,"id":"chatcmpl-DU0i1lY6R4B08q33mFNA0uYkMFQBT","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42,"completion_tokens_details":{"accepted_prediction_tokens":0,"audio_tokens":0,"reasoning_tokens":0,"rejected_prediction_tokens":0},"prompt_tokens":925,"prompt_tokens_details":{"audio_tokens":0,"cached_tokens":0},"total_tokens":967}}</t>
        </is>
      </c>
      <c r="M22" t="inlineStr">
        <is>
          <t>{"alt-svc":"h3=\":443\"; ma=2592000","apim-request-id":"db949d52-2d47-4518-8149-d51cb3c3b337","azureml-model-session":"d20260405225800-40f19e54","connection":"close","content-length":"1414","content-type":"application/json","date":"Mon, 13 Apr 2026 01:48:58 GMT","skip-error-remapping":"true","strict-transport-security":"max-age=31536000; includeSubDomains; preload","via":"1.1 Caddy","x-accel-buffering":"no","x-content-type-options":"nosniff","x-ms-client-request-id":"Not-Set","x-ms-is-spilled-over":"false","x-ms-rai-invoked":"true","x-ms-region":"East US","x-new-api-version":"0.4.25-alpha.4","x-oneapi-request-id":"20260413014856549186987YYQhA9pz","x-ratelimit-abusepenalty-active":"False","x-ratelimit-limit-requests":"1000","x-ratelimit-limit-tokens":"1000000","x-ratelimit-remaining-requests":"999","x-ratelimit-remaining-tokens":"998826","x-ratelimit-renewalperiod-requests":"60","x-ratelimit-renewalperiod-tokens":"60","x-ratelimit-reset-requests":"60","x-ratelimit-reset-tokens":"70","x-request-id":"d64863a0-341a-4a4f-85dd-1d5d758934bf","x-shellapi-request-id":"2026041309485650605465338642823"}</t>
        </is>
      </c>
      <c r="N22" t="inlineStr">
        <is>
          <t>HoodesSupermeSupreme grey cotton sweatshirt, featuring a minimalist design, soft skin-friendly texture, classic crewneck and ribbed cuffs. Unisex casual style for everyday wear and urban street fashion.</t>
        </is>
      </c>
      <c r="O2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hoodie,kakobuy,kakebuy2026,kekobuysheet,kakobuysheet2026,2026kakobuy,kakobuyspreadsheeet,kakobuylink,kakebuylist,Kakobuy MEGA Spreadsheet,kakobuysheetfind,kakobuysheetfind2026,2026kakobuysheetfind,kakobuysheet2026","refusal":null,"role":"assistant"}}],"created":1776061412,"id":"chatcmpl-DU4zkI6Dueje1D2fqFBMraoaXUdj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784,"prompt_tokens_details":{"audio_tokens":0,"cached_tokens":0},"total_tokens":875}}</t>
        </is>
      </c>
      <c r="P22" t="inlineStr">
        <is>
          <t>HoodesSuperme,hoodie,kakobuy,kakebuy2026,kekobuysheet,kakobuysheet2026,2026kakobuy,kakobuyspreadsheeet,kakobuylink,kakebuylist,Kakobuy MEGA Spreadsheet,kakobuysheetfind,kakobuysheetfind2026,2026kakobuysheetfind,kakobuysheet2026</t>
        </is>
      </c>
      <c r="Q22" t="inlineStr">
        <is>
          <t>Supreme, Grey, Minimalist, Unisex, Streetwear</t>
        </is>
      </c>
      <c r="R22" t="inlineStr">
        <is>
          <t>recvgxFjjAnGl5</t>
        </is>
      </c>
      <c r="S22" t="inlineStr">
        <is>
          <t>hoodes-supreme-grey-cotton-crewneck-sweatshirt-recvgxfjjan-gl5</t>
        </is>
      </c>
      <c r="T22"/>
      <c r="U22"/>
      <c r="V22"/>
      <c r="W2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灰色基础款卫衣，选用柔软棉质面料打造，触感舒适亲肤。极简无印设计，展现品牌低调街头美学。经典圆领与弹力罗纹袖口拼接，休闲百搭男女皆宜。适合日常穿搭与潮流混搭，凸显都市随性风格。","refusal":null,"role":"assistant"}}],"created":1776044188,"id":"chatcmpl-DU0VwaE4MAPrnHufQyErCOuK1R1ko","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85,"completion_tokens_details":{"accepted_prediction_tokens":0,"audio_tokens":0,"reasoning_tokens":0,"rejected_prediction_tokens":0},"prompt_tokens":1311,"prompt_tokens_details":{"audio_tokens":0,"cached_tokens":0},"total_tokens":1396}}</t>
        </is>
      </c>
      <c r="X22" t="inlineStr">
        <is>
          <t>Supreme灰色基础款卫衣，选用柔软棉质面料打造，触感舒适亲肤。极简无印设计，展现品牌低调街头美学。经典圆领与弹力罗纹袖口拼接，休闲百搭男女皆宜。适合日常穿搭与潮流混搭，凸显都市随性风格。</t>
        </is>
      </c>
    </row>
    <row r="23" ht="25.5" customHeight="1">
      <c r="A23">
        <v>1701442386</v>
      </c>
      <c r="B23">
        <v>7569445467</v>
      </c>
      <c r="C23" s="2" t="str">
        <f>=HYPERLINK("https://weidian.com/item.html?itemID=7569445467", "https://weidian.com/item.html?itemID=7569445467")</f>
        <v>https://weidian.com/item.html?itemID=7569445467</v>
      </c>
      <c r="D23"/>
      <c r="E23" s="2" t="str">
        <f>=HYPERLINK("https://si.geilicdn.com/open1701442386-252808396-1d8000000199d36136700a23b491_800_800.jpg?w=640&amp;h=640", "https://si.geilicdn.com/open1701442386-252808396-1d8000000199d36136700a23b491_800_800.jpg?w=640&amp;h=640")</f>
        <v>https://si.geilicdn.com/open1701442386-252808396-1d8000000199d36136700a23b491_800_800.jpg?w=640&amp;h=640</v>
      </c>
      <c r="F23" t="inlineStr">
        <is>
          <t>Hoodies</t>
        </is>
      </c>
      <c r="G23" t="inlineStr">
        <is>
          <t>Stussy</t>
        </is>
      </c>
      <c r="H23" t="inlineStr">
        <is>
          <t>215</t>
        </is>
      </c>
      <c r="I23">
        <v>31.16</v>
      </c>
      <c r="J23" t="inlineStr">
        <is>
          <t>{"choices":[{"content_filter_result":{"error":{"code":"content_filter_error","message":"The contents are not filtered"}},"content_filter_results":{},"finish_reason":"stop","index":0,"logprobs":null,"message":{"annotations":[],"content":"Stussy 3D Eyeball Print Gray Hooded Sweatshirt Unisex","refusal":null,"role":"assistant"}}],"created":1776061253,"id":"chatcmpl-DU4xBHuplt9JLHaDMFQkc8UDjHPHK","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17,"completion_tokens_details":{"accepted_prediction_tokens":0,"audio_tokens":0,"reasoning_tokens":0,"rejected_prediction_tokens":0},"prompt_tokens":887,"prompt_tokens_details":{"audio_tokens":0,"cached_tokens":0},"total_tokens":904}}</t>
        </is>
      </c>
      <c r="K23" t="inlineStr">
        <is>
          <t>Stussy 3D Eyeball Print Gray Hooded Sweatshirt Unisex</t>
        </is>
      </c>
      <c r="L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Hooded Sweatshirt: Gray 3D eyeball print, soft cotton fabric, classic kangaroo pocket, loose unisex street style, blending trendy graphics with 90s skate culture attitude.","refusal":null,"role":"assistant"}}],"created":1776044907,"id":"chatcmpl-DU0hXU0xo4Q5hQ02QCALsTyhtXnL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42,"completion_tokens_details":{"accepted_prediction_tokens":0,"audio_tokens":0,"reasoning_tokens":0,"rejected_prediction_tokens":0},"prompt_tokens":898,"prompt_tokens_details":{"audio_tokens":0,"cached_tokens":0},"total_tokens":940}}</t>
        </is>
      </c>
      <c r="M23" t="inlineStr">
        <is>
          <t>{"alt-svc":"h3=\":443\"; ma=2592000","apim-request-id":"c58e252e-3e65-453c-baa6-0c9833e5a76c","azureml-model-session":"d20260402083108-57a85543","connection":"close","content-length":"1415","content-type":"application/json","date":"Mon, 13 Apr 2026 01:48:30 GMT","skip-error-remapping":"true","strict-transport-security":"max-age=31536000; includeSubDomains; preload","via":"1.1 Caddy","x-accel-buffering":"no","x-content-type-options":"nosniff","x-ms-client-request-id":"Not-Set","x-ms-is-spilled-over":"false","x-ms-rai-invoked":"true","x-ms-region":"Korea Central","x-new-api-version":"0.4.25-alpha.4","x-oneapi-request-id":"20260413014827224137522vm3Exazz","x-ratelimit-abusepenalty-active":"False","x-ratelimit-limit-requests":"1000","x-ratelimit-limit-tokens":"1000000","x-ratelimit-remaining-requests":"999","x-ratelimit-remaining-tokens":"998833","x-ratelimit-renewalperiod-requests":"60","x-ratelimit-renewalperiod-tokens":"60","x-ratelimit-reset-requests":"60","x-ratelimit-reset-tokens":"70","x-request-id":"db068dff-8bdb-4bea-ad8f-4636b91a2d4b","x-shellapi-request-id":"2026041309482718846923761569038"}</t>
        </is>
      </c>
      <c r="N23" t="inlineStr">
        <is>
          <t>Stussy Hooded Sweatshirt: Gray 3D eyeball print, soft cotton fabric, classic kangaroo pocket, loose unisex street style, blending trendy graphics with 90s skate culture attitude.</t>
        </is>
      </c>
      <c r="O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1776061443,"id":"chatcmpl-DU50F1wnbUQvjlkOGXlH0XoKBFiI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is>
      </c>
      <c r="P23" t="inlineStr">
        <is>
          <t>Stussy,Hoodies,kakobuy,kakebuy2026,kekobuysheet,kakobuysheet2026,2026kakobuy,kakobuyspreadsheeet,kakobuylink,kakebuylist,Kakobuy MEGA Spreadsheet,kakobuysheetfind,kakobuysheetfind2026,2026kakobuysheetfind,kakobuysheet2026</t>
        </is>
      </c>
      <c r="Q23" t="inlineStr">
        <is>
          <t>Stussy, Gray, Streetwear, Unisex, Retro</t>
        </is>
      </c>
      <c r="R23" t="inlineStr">
        <is>
          <t>recvgxFjjA8cTk</t>
        </is>
      </c>
      <c r="S23" t="inlineStr">
        <is>
          <t>stussy-3d-eyeball-print-gray-hooded-sweatshirt-unisex-recvgxFjjA8cTk</t>
        </is>
      </c>
      <c r="T23"/>
      <c r="U23"/>
      <c r="V23"/>
      <c r="W2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灰色3D眼球印花连帽卫衣，柔软纯棉面料，经典袋鼠兜设计，宽松街头风格，男女同款，融合潮流图腾与休闲元素，彰显90年代滑板文化个性。","refusal":null,"role":"assistant"}}],"created":1776044343,"id":"chatcmpl-DU0YREymXwCOG6k0Y9Xl19tx9n7E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63,"completion_tokens_details":{"accepted_prediction_tokens":0,"audio_tokens":0,"reasoning_tokens":0,"rejected_prediction_tokens":0},"prompt_tokens":1301,"prompt_tokens_details":{"audio_tokens":0,"cached_tokens":1280},"total_tokens":1364}}</t>
        </is>
      </c>
      <c r="X23" t="inlineStr">
        <is>
          <t>Stussy：灰色3D眼球印花连帽卫衣，柔软纯棉面料，经典袋鼠兜设计，宽松街头风格，男女同款，融合潮流图腾与休闲元素，彰显90年代滑板文化个性。</t>
        </is>
      </c>
    </row>
    <row r="24" ht="25.5" customHeight="1">
      <c r="A24">
        <v>1701442386</v>
      </c>
      <c r="B24">
        <v>7570844611</v>
      </c>
      <c r="C24" s="2" t="str">
        <f>=HYPERLINK("https://weidian.com/item.html?itemID=7570844611", "https://weidian.com/item.html?itemID=7570844611")</f>
        <v>https://weidian.com/item.html?itemID=7570844611</v>
      </c>
      <c r="D24"/>
      <c r="E24" s="2" t="str">
        <f>=HYPERLINK("https://si.geilicdn.com/open1701442386-252808396-396800000199de0b84800a23b491_640_640.jpg?w=750&amp;h=750&amp;cp=1", "https://si.geilicdn.com/open1701442386-252808396-396800000199de0b84800a23b491_640_640.jpg?w=750&amp;h=750&amp;cp=1")</f>
        <v>https://si.geilicdn.com/open1701442386-252808396-396800000199de0b84800a23b491_640_640.jpg?w=750&amp;h=750&amp;cp=1</v>
      </c>
      <c r="F24" t="inlineStr">
        <is>
          <t>Hoodies</t>
        </is>
      </c>
      <c r="G24" t="inlineStr">
        <is>
          <t>Vicinity</t>
        </is>
      </c>
      <c r="H24" t="inlineStr">
        <is>
          <t>135</t>
        </is>
      </c>
      <c r="I24">
        <v>19.5652173913</v>
      </c>
      <c r="J2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Vicinity Green Pixel Art Zip Up Hoodie","refusal":null,"role":"assistant"}}],"created":1776061220,"id":"chatcmpl-DU4weH9WBEaBB9IYbdpgX9QgM9ig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887,"prompt_tokens_details":{"audio_tokens":0,"cached_tokens":0},"total_tokens":899}}</t>
        </is>
      </c>
      <c r="K24" t="inlineStr">
        <is>
          <t>HoodesVicinity Green Pixel Art Zip Up Hoodie</t>
        </is>
      </c>
      <c r="L2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VicinityVicinity green zip-up hoodie made of thick soft cotton, features retro pixel art print, loose fit with adjustable drawstring, unisex casual streetwear style, warm and trendy.","refusal":null,"role":"assistant"}}],"created":1776061138,"id":"chatcmpl-DU4vKOHV3WiP1lOnnPqe4BTxen0aT","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42,"completion_tokens_details":{"accepted_prediction_tokens":0,"audio_tokens":0,"reasoning_tokens":0,"rejected_prediction_tokens":0},"prompt_tokens":942,"prompt_tokens_details":{"audio_tokens":0,"cached_tokens":0},"total_tokens":984}}</t>
        </is>
      </c>
      <c r="M24" t="inlineStr">
        <is>
          <t>{"alt-svc":"h3=\":443\"; ma=2592000","api-supported-versions":"1","apim-request-id":"35e5295d-55db-481b-9448-241305f83e15","azureml-model-session":"d20260402083108-57a85543","connection":"close","content-length":"1396","content-type":"application/json; charset=utf-8","date":"Mon, 13 Apr 2026 06:18:59 GMT","request-id":"35e5295d-55db-481b-9448-241305f83e15","strict-transport-security":"max-age=31536000; includeSubDomains; preload","via":"1.1 Caddy","x-accel-buffering":"no","x-content-type-options":"nosniff","x-envoy-upstream-service-time":"3275","x-ms-client-request-id":"Not-Set","x-ms-deployment-name":"gpt-5-chat-global","x-ms-rai-invoked":"true","x-ms-region":"Switzerland North","x-new-api-version":"0.4.25-alpha.4","x-oneapi-request-id":"20260413061856437660879rPc8zJ6f","x-ratelimit-limit-requests":"1000","x-ratelimit-limit-tokens":"1000000","x-ratelimit-remaining-requests":"929","x-ratelimit-remaining-tokens":"481880","x-request-id":"c119c0cf-cb89-4f64-b4fb-232cd4e5f8e2","x-shellapi-request-id":"2026041314185638132714539450570"}</t>
        </is>
      </c>
      <c r="N24" t="inlineStr">
        <is>
          <t>HoodesVicinityVicinity green zip-up hoodie made of thick soft cotton, features retro pixel art print, loose fit with adjustable drawstring, unisex casual streetwear style, warm and trendy.</t>
        </is>
      </c>
      <c r="O2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Vicinity,hoodie,kakobuy,kakebuy2026,kekobuysheet,kakobuysheet2026,2026kakobuy,kakobuyspreadsheeet,kakobuylink,kakebuylist,Kakobuy MEGA Spreadsheet,kakobuysheetfind,kakobuysheetfind2026,2026kakobuysheetfind,kakobuysheet2026","refusal":null,"role":"assistant"}}],"created":1776061438,"id":"chatcmpl-DU50AmlshUYFk9SkPzqItZg4H9Txj","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91,"completion_tokens_details":{"accepted_prediction_tokens":0,"audio_tokens":0,"reasoning_tokens":0,"rejected_prediction_tokens":0},"prompt_tokens":815,"prompt_tokens_details":{"audio_tokens":0,"cached_tokens":0},"total_tokens":906}}</t>
        </is>
      </c>
      <c r="P24" t="inlineStr">
        <is>
          <t>HoodesVicinity,hoodie,kakobuy,kakebuy2026,kekobuysheet,kakobuysheet2026,2026kakobuy,kakobuyspreadsheeet,kakobuylink,kakebuylist,Kakobuy MEGA Spreadsheet,kakobuysheetfind,kakobuysheetfind2026,2026kakobuysheetfind,kakobuysheet2026</t>
        </is>
      </c>
      <c r="Q24" t="inlineStr">
        <is>
          <t>Green, Retro, Unisex, Streetwear</t>
        </is>
      </c>
      <c r="R24" t="inlineStr">
        <is>
          <t>recvgxFjjAw6af</t>
        </is>
      </c>
      <c r="S24" t="inlineStr">
        <is>
          <t>hoodesvicinity-green-pixel-art-hoodie-recvgxfjjaw6af</t>
        </is>
      </c>
      <c r="T24"/>
      <c r="U24"/>
      <c r="V24"/>
      <c r="W2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Vicinity绿色拉链连帽卫衣，采用柔软厚质棉料，胸前复古像素人物印花彰显艺术街头气息。宽松版型搭配可调节抽绳设计，适合男女日常休闲穿搭，舒适保暖又极具潮流质感。","refusal":null,"role":"assistant"}}],"created":1776044296,"id":"chatcmpl-DU0XgMlahuAhVIPVoswJVs3ymNIZ0","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73,"completion_tokens_details":{"accepted_prediction_tokens":0,"audio_tokens":0,"reasoning_tokens":0,"rejected_prediction_tokens":0},"prompt_tokens":1307,"prompt_tokens_details":{"audio_tokens":0,"cached_tokens":1280},"total_tokens":1380}}</t>
        </is>
      </c>
      <c r="X24" t="inlineStr">
        <is>
          <t>Vicinity绿色拉链连帽卫衣，采用柔软厚质棉料，胸前复古像素人物印花彰显艺术街头气息。宽松版型搭配可调节抽绳设计，适合男女日常休闲穿搭，舒适保暖又极具潮流质感。</t>
        </is>
      </c>
    </row>
    <row r="25" ht="25.5" customHeight="1">
      <c r="A25">
        <v>1701442386</v>
      </c>
      <c r="B25">
        <v>7572805752</v>
      </c>
      <c r="C25" s="2" t="str">
        <f>=HYPERLINK("https://weidian.com/item.html?itemID=7572805752", "https://weidian.com/item.html?itemID=7572805752")</f>
        <v>https://weidian.com/item.html?itemID=7572805752</v>
      </c>
      <c r="D25"/>
      <c r="E25" s="2" t="str">
        <f>=HYPERLINK("https://si.geilicdn.com/open1701442386-252808396-363c00000199de07e21a0a23b491_800_800.jpg?w=750&amp;h=750&amp;cp=1", "https://si.geilicdn.com/open1701442386-252808396-363c00000199de07e21a0a23b491_800_800.jpg?w=750&amp;h=750&amp;cp=1")</f>
        <v>https://si.geilicdn.com/open1701442386-252808396-363c00000199de07e21a0a23b491_800_800.jpg?w=750&amp;h=750&amp;cp=1</v>
      </c>
      <c r="F25" t="inlineStr">
        <is>
          <t>Hoodies</t>
        </is>
      </c>
      <c r="G25" t="inlineStr">
        <is>
          <t>Bape</t>
        </is>
      </c>
      <c r="H25" t="inlineStr">
        <is>
          <t>109</t>
        </is>
      </c>
      <c r="I25">
        <v>15.8</v>
      </c>
      <c r="J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pe Green Graffiti Logo Hoodie Unisex Streetwear Pullover","refusal":null,"role":"assistant"}}],"created":1776061194,"id":"chatcmpl-DU4wEbkKplRp3Jjc2yjDP7AMZLas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14,"completion_tokens_details":{"accepted_prediction_tokens":0,"audio_tokens":0,"reasoning_tokens":0,"rejected_prediction_tokens":0},"prompt_tokens":879,"prompt_tokens_details":{"audio_tokens":0,"cached_tokens":0},"total_tokens":893}}</t>
        </is>
      </c>
      <c r="K25" t="inlineStr">
        <is>
          <t>Bape Green Graffiti Logo Hoodie Unisex Streetwear Pullover</t>
        </is>
      </c>
      <c r="L2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BapeOther green graffiti logo hoodie, made of soft thick cotton, features a loose streetwear fit for comfy unisex style, perfect for casual fashion and everyday wear.","refusal":null,"role":"assistant"}}],"created":1776045012,"id":"chatcmpl-DU0jEwjF58taa6pOmwu8AF2G6kWzR","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38,"completion_tokens_details":{"accepted_prediction_tokens":0,"audio_tokens":0,"reasoning_tokens":0,"rejected_prediction_tokens":0},"prompt_tokens":898,"prompt_tokens_details":{"audio_tokens":0,"cached_tokens":0},"total_tokens":936}}</t>
        </is>
      </c>
      <c r="M25" t="inlineStr">
        <is>
          <t>{"alt-svc":"h3=\":443\"; ma=2592000","apim-request-id":"089aa0c3-fe01-4105-81d1-db0e999f02fb","azureml-model-session":"d20260405234249-f9874baf","connection":"close","content-length":"1384","content-type":"application/json","date":"Mon, 13 Apr 2026 01:50:13 GMT","skip-error-remapping":"true","strict-transport-security":"max-age=31536000; includeSubDomains; preload","via":"1.1 Caddy","x-accel-buffering":"no","x-content-type-options":"nosniff","x-ms-client-request-id":"Not-Set","x-ms-is-spilled-over":"false","x-ms-rai-invoked":"true","x-ms-region":"East US","x-new-api-version":"0.4.25-alpha.4","x-oneapi-request-id":"2026041301501252372817HIubU0bW","x-ratelimit-abusepenalty-active":"False","x-ratelimit-limit-requests":"1000","x-ratelimit-limit-tokens":"1000000","x-ratelimit-remaining-requests":"999","x-ratelimit-remaining-tokens":"998835","x-ratelimit-renewalperiod-requests":"60","x-ratelimit-renewalperiod-tokens":"60","x-ratelimit-reset-requests":"60","x-ratelimit-reset-tokens":"69","x-request-id":"2558bfeb-c9c7-4945-a042-8c779b49e258","x-shellapi-request-id":"202604130950121487992372464958"}</t>
        </is>
      </c>
      <c r="N25" t="inlineStr">
        <is>
          <t>HoodesBapeOther green graffiti logo hoodie, made of soft thick cotton, features a loose streetwear fit for comfy unisex style, perfect for casual fashion and everyday wear.</t>
        </is>
      </c>
      <c r="O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Hoodie,kakobuy,kakebuy2026,kekobuysheet,kakobuysheet2026,2026kakobuy,kakobuyspreadsheeet,kakobuylink,kakebuylist,Kakobuy MEGA Spreadsheet,kakobuysheetfind,kakobuysheetfind2026,2026kakobuysheetfind,kakobusheet2026","refusal":null,"role":"assistant"}}],"created":1776061375,"id":"chatcmpl-DU4z96S73wDJ61ZSkUwWMymHI33S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87,"completion_tokens_details":{"accepted_prediction_tokens":0,"audio_tokens":0,"reasoning_tokens":0,"rejected_prediction_tokens":0},"prompt_tokens":784,"prompt_tokens_details":{"audio_tokens":0,"cached_tokens":0},"total_tokens":871}}</t>
        </is>
      </c>
      <c r="P25" t="inlineStr">
        <is>
          <t>Stussy,Hoodie,kakobuy,kakebuy2026,kekobuysheet,kakobuysheet2026,2026kakobuy,kakobuyspreadsheeet,kakobuylink,kakebuylist,Kakobuy MEGA Spreadsheet,kakobuysheetfind,kakobuysheetfind2026,2026kakobuysheetfind,kakobusheet2026</t>
        </is>
      </c>
      <c r="Q25" t="inlineStr">
        <is>
          <t>BAPE, Green, Streetwear, Unisex</t>
        </is>
      </c>
      <c r="R25" t="inlineStr">
        <is>
          <t>recvgxFjjABp3t</t>
        </is>
      </c>
      <c r="S25" t="inlineStr">
        <is>
          <t>bape-green-graffiti-logo-hoodie-recvgxfjjabp3t</t>
        </is>
      </c>
      <c r="T25"/>
      <c r="U25"/>
      <c r="V25"/>
      <c r="W2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ther系列绿色连帽卫衣，选用柔软厚实棉质面料，胸前醒目涂鸦标识彰显街头潮流，宽松剪裁兼具舒适与时尚，适合男女休闲穿搭。","refusal":null,"role":"assistant"}}],"created":1776044397,"id":"chatcmpl-DU0ZJn40BpAeBo0aw0EjWPFPn3Je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58,"completion_tokens_details":{"accepted_prediction_tokens":0,"audio_tokens":0,"reasoning_tokens":0,"rejected_prediction_tokens":0},"prompt_tokens":1311,"prompt_tokens_details":{"audio_tokens":0,"cached_tokens":0},"total_tokens":1369}}</t>
        </is>
      </c>
      <c r="X25" t="inlineStr">
        <is>
          <t>Other系列绿色连帽卫衣，选用柔软厚实棉质面料，胸前醒目涂鸦标识彰显街头潮流，宽松剪裁兼具舒适与时尚，适合男女休闲穿搭。</t>
        </is>
      </c>
    </row>
    <row r="26" ht="25.5" customHeight="1">
      <c r="A26">
        <v>1701442386</v>
      </c>
      <c r="B26">
        <v>7572750344</v>
      </c>
      <c r="C26" s="2" t="str">
        <f>=HYPERLINK("https://weidian.com/item.html?itemID=7572750344", "https://weidian.com/item.html?itemID=7572750344")</f>
        <v>https://weidian.com/item.html?itemID=7572750344</v>
      </c>
      <c r="D26"/>
      <c r="E26" s="2" t="str">
        <f>=HYPERLINK("https://si.geilicdn.com/open1701442386-252808396-7d9b00000199ddcb3b620a8115c2_1080_1080.jpg?w=750&amp;h=750&amp;cp=1", "https://si.geilicdn.com/open1701442386-252808396-7d9b00000199ddcb3b620a8115c2_1080_1080.jpg?w=750&amp;h=750&amp;cp=1")</f>
        <v>https://si.geilicdn.com/open1701442386-252808396-7d9b00000199ddcb3b620a8115c2_1080_1080.jpg?w=750&amp;h=750&amp;cp=1</v>
      </c>
      <c r="F26" t="inlineStr">
        <is>
          <t>Jackets</t>
        </is>
      </c>
      <c r="G26" t="inlineStr">
        <is>
          <t>Canada Goose</t>
        </is>
      </c>
      <c r="H26" t="inlineStr">
        <is>
          <t>590</t>
        </is>
      </c>
      <c r="I26">
        <v>85.51</v>
      </c>
      <c r="J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Deep Navy Hooded Down Jacket","refusal":null,"role":"assistant"}}],"created":1776061288,"id":"chatcmpl-DU4xkpYlsPSUVjDUBzTrokCIL2AMf","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completion_tokens_details":{"accepted_prediction_tokens":0,"audio_tokens":0,"reasoning_tokens":0,"rejected_prediction_tokens":0},"prompt_tokens":876,"prompt_tokens_details":{"audio_tokens":0,"cached_tokens":0},"total_tokens":885}}</t>
        </is>
      </c>
      <c r="K26" t="inlineStr">
        <is>
          <t>Canada Goose Deep Navy Hooded Down Jacket</t>
        </is>
      </c>
      <c r="L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premium deep navy hooded down jacket, windproof waterproof nylon, lightweight and warm. Tailored fit with minimalist zipper, unisex urban outdoor style for fall and winter.","refusal":null,"role":"assistant"}}],"created":1776044959,"id":"chatcmpl-DU0iNy8jGDBWOYMk8tIyM6eLYyIH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37,"completion_tokens_details":{"accepted_prediction_tokens":0,"audio_tokens":0,"reasoning_tokens":0,"rejected_prediction_tokens":0},"prompt_tokens":923,"prompt_tokens_details":{"audio_tokens":0,"cached_tokens":0},"total_tokens":960}}</t>
        </is>
      </c>
      <c r="M26" t="inlineStr">
        <is>
          <t>{"alt-svc":"h3=\":443\"; ma=2592000","apim-request-id":"04e94cc7-33bc-45e4-9fba-106f6de0162f","azureml-model-session":"d20260402074105-51db401e","connection":"close","content-length":"1422","content-type":"application/json","date":"Mon, 13 Apr 2026 01:49:21 GMT","skip-error-remapping":"true","strict-transport-security":"max-age=31536000; includeSubDomains; preload","via":"1.1 Caddy","x-accel-buffering":"no","x-content-type-options":"nosniff","x-ms-client-request-id":"Not-Set","x-ms-is-spilled-over":"false","x-ms-rai-invoked":"true","x-ms-region":"Japan East","x-new-api-version":"0.4.25-alpha.4","x-oneapi-request-id":"20260413014917773882956o30iAbmw","x-ratelimit-abusepenalty-active":"False","x-ratelimit-limit-requests":"1000","x-ratelimit-limit-tokens":"1000000","x-ratelimit-remaining-requests":"999","x-ratelimit-remaining-tokens":"998825","x-ratelimit-renewalperiod-requests":"60","x-ratelimit-renewalperiod-tokens":"60","x-ratelimit-reset-requests":"60","x-ratelimit-reset-tokens":"70","x-request-id":"219e74e6-0203-4176-b193-692a49542915","x-shellapi-request-id":"2026041309491773290638469244541"}</t>
        </is>
      </c>
      <c r="N26" t="inlineStr">
        <is>
          <t>Canada Goose premium deep navy hooded down jacket, windproof waterproof nylon, lightweight and warm. Tailored fit with minimalist zipper, unisex urban outdoor style for fall and winter.</t>
        </is>
      </c>
      <c r="O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1776061415,"id":"chatcmpl-DU4zncz56MQh62H8bwrGKvjcOdID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is>
      </c>
      <c r="P26" t="inlineStr">
        <is>
          <t>Canada Goose, Jackets, kakobuy, kakebuy2026, kekobuysheet, kakobuysheet2026, 2026kakobuy, kakobuyspreadsheeet, kakobuylink, kakebuylist, Kakobuy MEGA Spreadsheet, kakobuysheetfind, kakobuysheetfind2026, 2026kakobuysheetfind, kakobuysheet2026</t>
        </is>
      </c>
      <c r="Q26" t="inlineStr">
        <is>
          <t>Navy, Nylon, Windproof, Waterproof, Autumn And Winter, Unisex</t>
        </is>
      </c>
      <c r="R26" t="inlineStr">
        <is>
          <t>recvgxFjjALP5x</t>
        </is>
      </c>
      <c r="S26" t="inlineStr">
        <is>
          <t>canada-goose-deep-navy-hooded-down-jacket-recvgxfjjalp5x</t>
        </is>
      </c>
      <c r="T26"/>
      <c r="U26"/>
      <c r="V26"/>
      <c r="W2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高级深蓝色连帽羽绒夹克，甄选防风防水尼龙材质，轻盈保暖。立体剪裁搭配简约拉链设计，彰显都市户外风格。男女通用款，适合秋冬季穿着，尽显经典与实用兼备的高端质感。","refusal":null,"role":"assistant"}}],"created":1776044198,"id":"chatcmpl-DU0W6CdUU0DMo8Rmzck6r0X5J99PN","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80,"completion_tokens_details":{"accepted_prediction_tokens":0,"audio_tokens":0,"reasoning_tokens":0,"rejected_prediction_tokens":0},"prompt_tokens":1318,"prompt_tokens_details":{"audio_tokens":0,"cached_tokens":1280},"total_tokens":1398}}</t>
        </is>
      </c>
      <c r="X26" t="inlineStr">
        <is>
          <t>Canada Goose：高级深蓝色连帽羽绒夹克，甄选防风防水尼龙材质，轻盈保暖。立体剪裁搭配简约拉链设计，彰显都市户外风格。男女通用款，适合秋冬季穿着，尽显经典与实用兼备的高端质感。</t>
        </is>
      </c>
    </row>
    <row r="27" ht="25.5" customHeight="1">
      <c r="A27">
        <v>1701442386</v>
      </c>
      <c r="B27">
        <v>7573157992</v>
      </c>
      <c r="C27" s="2" t="str">
        <f>=HYPERLINK("https://weidian.com/item.html?itemID=7573157992", "https://weidian.com/item.html?itemID=7573157992")</f>
        <v>https://weidian.com/item.html?itemID=7573157992</v>
      </c>
      <c r="D27"/>
      <c r="E27" s="2" t="str">
        <f>=HYPERLINK("https://si.geilicdn.com/open1701442386-252808396-67c900000199e100c35c0a23b491_1080_1080.jpg?w=750&amp;h=750&amp;cp=1", "https://si.geilicdn.com/open1701442386-252808396-67c900000199e100c35c0a23b491_1080_1080.jpg?w=750&amp;h=750&amp;cp=1")</f>
        <v>https://si.geilicdn.com/open1701442386-252808396-67c900000199e100c35c0a23b491_1080_1080.jpg?w=750&amp;h=750&amp;cp=1</v>
      </c>
      <c r="F27" t="inlineStr">
        <is>
          <t>Hoodies</t>
        </is>
      </c>
      <c r="G27" t="inlineStr">
        <is>
          <t>Stone Island</t>
        </is>
      </c>
      <c r="H27" t="inlineStr">
        <is>
          <t>196</t>
        </is>
      </c>
      <c r="I27">
        <v>28.41</v>
      </c>
      <c r="J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Black Cotton Zip Hoodie for Men Women","refusal":null,"role":"assistant"}}],"created":1776061211,"id":"chatcmpl-DU4wV3j57SeFH0RjL1wcddzxEth3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877,"prompt_tokens_details":{"audio_tokens":0,"cached_tokens":0},"total_tokens":887}}</t>
        </is>
      </c>
      <c r="K27" t="inlineStr">
        <is>
          <t>Stone Island Black Cotton Zip Hoodie for Men Women</t>
        </is>
      </c>
      <c r="L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Black Cotton Zip Hoodie featuring signature Compass logo on sleeve, adjustable drawstring hood, soft high-density fabric for comfort and breathability, perfect streetwear for men and women.","refusal":null,"role":"assistant"}}],"created":1776044934,"id":"chatcmpl-DU0hybNIh104MWWPGH4qGUGlx0DU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37,"completion_tokens_details":{"accepted_prediction_tokens":0,"audio_tokens":0,"reasoning_tokens":0,"rejected_prediction_tokens":0},"prompt_tokens":942,"prompt_tokens_details":{"audio_tokens":0,"cached_tokens":0},"total_tokens":979}}</t>
        </is>
      </c>
      <c r="M27" t="inlineStr">
        <is>
          <t>{"alt-svc":"h3=\":443\"; ma=2592000","apim-request-id":"c9f02e2a-9c78-441a-b288-eed135e5bfba","azureml-model-session":"d20260405221325-2e8d5e76","connection":"close","content-length":"1439","content-type":"application/json","date":"Mon, 13 Apr 2026 01:48:54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20260413014852458054014MYDavlRZ","x-ratelimit-abusepenalty-active":"False","x-ratelimit-limit-requests":"1000","x-ratelimit-limit-tokens":"1000000","x-ratelimit-remaining-requests":"999","x-ratelimit-remaining-tokens":"998820","x-ratelimit-renewalperiod-requests":"60","x-ratelimit-renewalperiod-tokens":"60","x-ratelimit-reset-requests":"60","x-ratelimit-reset-tokens":"70","x-request-id":"673f3df0-4d63-45bd-9a91-b16f6dcf19a9","x-shellapi-request-id":"2026041309485240802382704539475"}</t>
        </is>
      </c>
      <c r="N27" t="inlineStr">
        <is>
          <t>Stone Island Black Cotton Zip Hoodie featuring signature Compass logo on sleeve, adjustable drawstring hood, soft high-density fabric for comfort and breathability, perfect streetwear for men and women.</t>
        </is>
      </c>
      <c r="O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Hoodies, kakobuy, kakebuy2026, kekobuysheet, kakobuysheet2026, 2026kakobuy, kakobuyspreadsheeet, kakobuylink, kakebuylist, Kakobuy MEGA Spreadsheet, kakobuysheetfind, kakobuysheetfind2026, 2026kakobuysheetfind, kakobuysheet2026","refusal":null,"role":"assistant"}}],"created":1776061349,"id":"chatcmpl-DU4yjluItoORnp73gQeJEkdbfNlw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784,"prompt_tokens_details":{"audio_tokens":0,"cached_tokens":0},"total_tokens":876}}</t>
        </is>
      </c>
      <c r="P27" t="inlineStr">
        <is>
          <t>Stone Island, Hoodies, kakobuy, kakebuy2026, kekobuysheet, kakobuysheet2026, 2026kakobuy, kakobuyspreadsheeet, kakobuylink, kakebuylist, Kakobuy MEGA Spreadsheet, kakobuysheetfind, kakobuysheetfind2026, 2026kakobuysheetfind, kakobuysheet2026</t>
        </is>
      </c>
      <c r="Q27" t="inlineStr">
        <is>
          <t>Streetwear, Unisex, Black, Comfort, Breathable</t>
        </is>
      </c>
      <c r="R27" t="inlineStr">
        <is>
          <t>recvgxFjjABwCa</t>
        </is>
      </c>
      <c r="S27" t="inlineStr">
        <is>
          <t>stone-island-black-cotton-zip-hoodie-recvgxfjjabwca</t>
        </is>
      </c>
      <c r="T27"/>
      <c r="U27"/>
      <c r="V27"/>
      <c r="W2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黑色连帽拉链卫衣，采用高密度纯棉材质，质感柔软舒适，袖口缀以标志性罗盘徽章，彰显品牌街头机能美学。简约剪裁搭配可调节抽绳设计，兼具保暖与透气性，男女皆宜，适合日常休闲或潮流穿搭，展现意式都市风格。","refusal":null,"role":"assistant"}}],"created":1776044396,"id":"chatcmpl-DU0ZIGBitqhd1SxZ2xD8ehcyFbzn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100,"completion_tokens_details":{"accepted_prediction_tokens":0,"audio_tokens":0,"reasoning_tokens":0,"rejected_prediction_tokens":0},"prompt_tokens":1315,"prompt_tokens_details":{"audio_tokens":0,"cached_tokens":0},"total_tokens":1415}}</t>
        </is>
      </c>
      <c r="X27" t="inlineStr">
        <is>
          <t>Stone Island：黑色连帽拉链卫衣，采用高密度纯棉材质，质感柔软舒适，袖口缀以标志性罗盘徽章，彰显品牌街头机能美学。简约剪裁搭配可调节抽绳设计，兼具保暖与透气性，男女皆宜，适合日常休闲或潮流穿搭，展现意式都市风格。</t>
        </is>
      </c>
    </row>
    <row r="28" ht="25.5" customHeight="1">
      <c r="A28">
        <v>1701442386</v>
      </c>
      <c r="B28">
        <v>7573243785</v>
      </c>
      <c r="C28" s="2" t="str">
        <f>=HYPERLINK("https://weidian.com/item.html?itemID=7573243785", "https://weidian.com/item.html?itemID=7573243785")</f>
        <v>https://weidian.com/item.html?itemID=7573243785</v>
      </c>
      <c r="D28"/>
      <c r="E28" s="2" t="str">
        <f>=HYPERLINK("https://si.geilicdn.com/open1701442386-252808396-63a900000199ec4e99310a22d249_800_800.jpg?w=750&amp;h=750&amp;cp=1", "https://si.geilicdn.com/open1701442386-252808396-63a900000199ec4e99310a22d249_800_800.jpg?w=750&amp;h=750&amp;cp=1")</f>
        <v>https://si.geilicdn.com/open1701442386-252808396-63a900000199ec4e99310a22d249_800_800.jpg?w=750&amp;h=750&amp;cp=1</v>
      </c>
      <c r="F28" t="inlineStr">
        <is>
          <t>Hoodies</t>
        </is>
      </c>
      <c r="G28" t="inlineStr">
        <is>
          <t>Superme</t>
        </is>
      </c>
      <c r="H28" t="inlineStr">
        <is>
          <t>292</t>
        </is>
      </c>
      <c r="I28">
        <v>42.32</v>
      </c>
      <c r="J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 Gray Box Logo Heavy Cotton Hoodie","refusal":null,"role":"assistant"}}],"created":1776061189,"id":"chatcmpl-DU4w9QEakbxuANsHykRD6cOgez3t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879,"prompt_tokens_details":{"audio_tokens":0,"cached_tokens":0},"total_tokens":891}}</t>
        </is>
      </c>
      <c r="K28" t="inlineStr">
        <is>
          <t>HoodesSuperme Gray Box Logo Heavy Cotton Hoodie</t>
        </is>
      </c>
      <c r="L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Supreme Classic Gray Hoodie featuring red Box Logo embroidery, heavy cotton fabric, unisex streetwear design, perfect for autumn and winter casual warmth and youthful style.","refusal":null,"role":"assistant"}}],"created":1776044941,"id":"chatcmpl-DU0i5D7kIGpfyS3pSUR3fKgOy2hv9","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38,"completion_tokens_details":{"accepted_prediction_tokens":0,"audio_tokens":0,"reasoning_tokens":0,"rejected_prediction_tokens":0},"prompt_tokens":905,"prompt_tokens_details":{"audio_tokens":0,"cached_tokens":0},"total_tokens":943}}</t>
        </is>
      </c>
      <c r="M28" t="inlineStr">
        <is>
          <t>{"alt-svc":"h3=\":443\"; ma=2592000","apim-request-id":"14c0e3e2-7f12-4439-884e-0006c3003a8d","azureml-model-session":"d20260405212659-a9daa006","connection":"close","content-length":"1398","content-type":"application/json","date":"Mon, 13 Apr 2026 01:49:02 GMT","skip-error-remapping":"true","strict-transport-security":"max-age=31536000; includeSubDomains; preload","via":"1.1 Caddy","x-accel-buffering":"no","x-content-type-options":"nosniff","x-ms-client-request-id":"Not-Set","x-ms-is-spilled-over":"false","x-ms-rai-invoked":"true","x-ms-region":"East US 2","x-new-api-version":"0.4.25-alpha.4","x-oneapi-request-id":"20260413014859928966546keInNjFP","x-ratelimit-abusepenalty-active":"False","x-ratelimit-limit-requests":"1000","x-ratelimit-limit-tokens":"1000000","x-ratelimit-remaining-requests":"999","x-ratelimit-remaining-tokens":"998830","x-ratelimit-renewalperiod-requests":"60","x-ratelimit-renewalperiod-tokens":"60","x-ratelimit-reset-requests":"60","x-ratelimit-reset-tokens":"70","x-request-id":"cfe57d9e-ba3a-47e2-8b07-0f0de717b9bb","x-shellapi-request-id":"2026041309485989213001136601219"}</t>
        </is>
      </c>
      <c r="N28" t="inlineStr">
        <is>
          <t>HoodesSupermeSupreme Classic Gray Hoodie featuring red Box Logo embroidery, heavy cotton fabric, unisex streetwear design, perfect for autumn and winter casual warmth and youthful style.</t>
        </is>
      </c>
      <c r="O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1776061434,"id":"chatcmpl-DU506he9l2KZ69Egs2Cy3IxdD467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is>
      </c>
      <c r="P28" t="inlineStr">
        <is>
          <t>Supreme,Hoodie,kakobuy,kakebuy2026,kekobuysheet,kakobuysheet2026,2026kakobuy,kakobuyspreadsheeet,kakobuylink,kakebuylist,Kakobuy MEGA Spreadsheet,kakobuysheetfind,kakobuysheetfind2026,2026kakobuysheetfind,kakobuysheet2026</t>
        </is>
      </c>
      <c r="Q28" t="inlineStr">
        <is>
          <t>Supreme, Gray, Streetwear, Autumn And Winter, Unisex</t>
        </is>
      </c>
      <c r="R28" t="inlineStr">
        <is>
          <t>recvgxFjjAeGCY</t>
        </is>
      </c>
      <c r="S28" t="inlineStr">
        <is>
          <t>hoodesuperme-gray-box-logo-hoodie-recvgxfjjaegecy</t>
        </is>
      </c>
      <c r="T28"/>
      <c r="U28"/>
      <c r="V28"/>
      <c r="W2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经典系列灰色连帽卫衣，采用高克重纯棉面料，胸前标志性红色Box Logo刺绣设计，简约街头风格，男女同款，秋冬季休闲保暖必备，展现年轻潮流态度。","refusal":null,"role":"assistant"}}],"created":1776044309,"id":"chatcmpl-DU0XtCTiBdDAR7XMOa6bZf6iIyLL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66,"completion_tokens_details":{"accepted_prediction_tokens":0,"audio_tokens":0,"reasoning_tokens":0,"rejected_prediction_tokens":0},"prompt_tokens":1309,"prompt_tokens_details":{"audio_tokens":0,"cached_tokens":0},"total_tokens":1375}}</t>
        </is>
      </c>
      <c r="X28" t="inlineStr">
        <is>
          <t>Supreme：经典系列灰色连帽卫衣，采用高克重纯棉面料，胸前标志性红色Box Logo刺绣设计，简约街头风格，男女同款，秋冬季休闲保暖必备，展现年轻潮流态度。</t>
        </is>
      </c>
    </row>
    <row r="29" ht="25.5" customHeight="1">
      <c r="A29">
        <v>1701442386</v>
      </c>
      <c r="B29">
        <v>7581648100</v>
      </c>
      <c r="C29" s="2" t="str">
        <f>=HYPERLINK("https://weidian.com/item.html?itemID=7581648100", "https://weidian.com/item.html?itemID=7581648100")</f>
        <v>https://weidian.com/item.html?itemID=7581648100</v>
      </c>
      <c r="D29"/>
      <c r="E29" s="2" t="str">
        <f>=HYPERLINK("https://si.geilicdn.com/open1701442386-252808396-44d80000019a0aa0d46f0a22d249_800_800.jpg?w=750&amp;h=750&amp;cp=1", "https://si.geilicdn.com/open1701442386-252808396-44d80000019a0aa0d46f0a22d249_800_800.jpg?w=750&amp;h=750&amp;cp=1")</f>
        <v>https://si.geilicdn.com/open1701442386-252808396-44d80000019a0aa0d46f0a22d249_800_800.jpg?w=750&amp;h=750&amp;cp=1</v>
      </c>
      <c r="F29" t="inlineStr">
        <is>
          <t>Hoodies</t>
        </is>
      </c>
      <c r="G29" t="inlineStr">
        <is>
          <t>Hommy Hilfiger</t>
        </is>
      </c>
      <c r="H29" t="inlineStr">
        <is>
          <t>89</t>
        </is>
      </c>
      <c r="I29">
        <v>12.9</v>
      </c>
      <c r="J29" t="inlineStr">
        <is>
          <t>{"choices":[{"content_filter_result":{"error":{"code":"content_filter_error","message":"The contents are not filtered"}},"content_filter_results":{},"finish_reason":"stop","index":0,"logprobs":null,"message":{"annotations":[],"content":"Tommy Hilfiger Classic Green Unisex Hoodie","refusal":null,"role":"assistant"}}],"created":1776061291,"id":"chatcmpl-DU4xnxayYk2glY34ZZnlOBIYLjxu2","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876,"prompt_tokens_details":{"audio_tokens":0,"cached_tokens":0},"total_tokens":887}}</t>
        </is>
      </c>
      <c r="K29" t="inlineStr">
        <is>
          <t>Tommy Hilfiger Classic Green Unisex Hoodie</t>
        </is>
      </c>
      <c r="L2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mmy Hilfiger Classic Deep Green Hoodie, soft cotton fabric, iconic chest logo print, casual unisex American street style, perfect for daily wear and effortless fashion.","refusal":null,"role":"assistant"}}],"created":1776044988,"id":"chatcmpl-DU0iqh310kbI8Lu1b7RlWxs6m2Kf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35,"completion_tokens_details":{"accepted_prediction_tokens":0,"audio_tokens":0,"reasoning_tokens":0,"rejected_prediction_tokens":0},"prompt_tokens":901,"prompt_tokens_details":{"audio_tokens":0,"cached_tokens":0},"total_tokens":936}}</t>
        </is>
      </c>
      <c r="M29" t="inlineStr">
        <is>
          <t>{"alt-svc":"h3=\":443\"; ma=2592000","apim-request-id":"71585ea2-453c-4582-a016-1554ecd69b43","azureml-model-session":"d20260405225800-40f19e54","connection":"close","content-length":"1407","content-type":"application/json","date":"Mon, 13 Apr 2026 01:49:49 GMT","skip-error-remapping":"true","strict-transport-security":"max-age=31536000; includeSubDomains; preload","via":"1.1 Caddy","x-accel-buffering":"no","x-content-type-options":"nosniff","x-ms-client-request-id":"Not-Set","x-ms-is-spilled-over":"false","x-ms-rai-invoked":"true","x-ms-region":"UK South","x-new-api-version":"0.4.25-alpha.4","x-oneapi-request-id":"20260413014947501033011UVSTvRud","x-ratelimit-abusepenalty-active":"False","x-ratelimit-limit-requests":"1000","x-ratelimit-limit-tokens":"1000000","x-ratelimit-remaining-requests":"999","x-ratelimit-remaining-tokens":"998831","x-ratelimit-renewalperiod-requests":"60","x-ratelimit-renewalperiod-tokens":"60","x-ratelimit-reset-requests":"60","x-ratelimit-reset-tokens":"70","x-request-id":"041ce75d-2cbf-4445-a6cf-b45767350969","x-shellapi-request-id":"2026041309494746069351600480129"}</t>
        </is>
      </c>
      <c r="N29" t="inlineStr">
        <is>
          <t>Tommy Hilfiger Classic Deep Green Hoodie, soft cotton fabric, iconic chest logo print, casual unisex American street style, perfect for daily wear and effortless fashion.</t>
        </is>
      </c>
      <c r="O2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mmy Hilfiger, Hoodie, kakobuy, kakebuy2026, kekobuysheet, kakobuysheet2026, 2026kakobuy, kakobuyspreadsheeet, kakobuylink, kakebuylist, Kakobuy MEGA Spreadsheet, kakobuysheetfind, kakobuysheetfind2026, 2026kakobuysheetfind, kakobuysheet2026","refusal":null,"role":"assistant"}}],"created":1776061471,"id":"chatcmpl-DU50hGtdPgvxMKP6EwWnuzR06T50Q","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94,"completion_tokens_details":{"accepted_prediction_tokens":0,"audio_tokens":0,"reasoning_tokens":0,"rejected_prediction_tokens":0},"prompt_tokens":787,"prompt_tokens_details":{"audio_tokens":0,"cached_tokens":0},"total_tokens":881}}</t>
        </is>
      </c>
      <c r="P29" t="inlineStr">
        <is>
          <t>Tommy Hilfiger, Hoodie, kakobuy, kakebuy2026, kekobuysheet, kakobuysheet2026, 2026kakobuy, kakobuyspreadsheeet, kakobuylink, kakebuylist, Kakobuy MEGA Spreadsheet, kakobuysheetfind, kakobuysheetfind2026, 2026kakobuysheetfind, kakobuysheet2026</t>
        </is>
      </c>
      <c r="Q29" t="inlineStr">
        <is>
          <t>Street, Unisex</t>
        </is>
      </c>
      <c r="R29" t="inlineStr">
        <is>
          <t>recvgxFjjACG6g</t>
        </is>
      </c>
      <c r="S29" t="inlineStr">
        <is>
          <t>tommy-hilfiger-classic-green-hoodie-recvgxfjjacg6g</t>
        </is>
      </c>
      <c r="T29"/>
      <c r="U29"/>
      <c r="V29"/>
      <c r="W2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mmy Hilfiger：经典系列深绿色连帽卫衣，柔软棉质面料，胸前标志性LOGO印花，简约美式街头风，男女通用休闲款，适合日常穿搭。","refusal":null,"role":"assistant"}}],"created":1776044232,"id":"chatcmpl-DU0WelY5nkX8zhyRwa9i4LGvArmW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56,"completion_tokens_details":{"accepted_prediction_tokens":0,"audio_tokens":0,"reasoning_tokens":0,"rejected_prediction_tokens":0},"prompt_tokens":1321,"prompt_tokens_details":{"audio_tokens":0,"cached_tokens":0},"total_tokens":1377}}</t>
        </is>
      </c>
      <c r="X29" t="inlineStr">
        <is>
          <t>Tommy Hilfiger：经典系列深绿色连帽卫衣，柔软棉质面料，胸前标志性LOGO印花，简约美式街头风，男女通用休闲款，适合日常穿搭。</t>
        </is>
      </c>
    </row>
    <row r="30" ht="25.5" customHeight="1">
      <c r="A30">
        <v>1701442386</v>
      </c>
      <c r="B30">
        <v>7573341486</v>
      </c>
      <c r="C30" s="2" t="str">
        <f>=HYPERLINK("https://weidian.com/item.html?itemID=7573341486", "https://weidian.com/item.html?itemID=7573341486")</f>
        <v>https://weidian.com/item.html?itemID=7573341486</v>
      </c>
      <c r="D30"/>
      <c r="E30" s="2" t="str">
        <f>=HYPERLINK("https://si.geilicdn.com/open1701442386-252808396-155d00000199e289406f0a23b4de_800_800.jpg?w=750&amp;h=750&amp;cp=1", "https://si.geilicdn.com/open1701442386-252808396-155d00000199e289406f0a23b4de_800_800.jpg?w=750&amp;h=750&amp;cp=1")</f>
        <v>https://si.geilicdn.com/open1701442386-252808396-155d00000199e289406f0a23b4de_800_800.jpg?w=750&amp;h=750&amp;cp=1</v>
      </c>
      <c r="F30" t="inlineStr">
        <is>
          <t>T-Shirts</t>
        </is>
      </c>
      <c r="G30" t="inlineStr">
        <is>
          <t>Stussy</t>
        </is>
      </c>
      <c r="H30" t="inlineStr">
        <is>
          <t>136</t>
        </is>
      </c>
      <c r="I30">
        <v>19.71</v>
      </c>
      <c r="J3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White Cotton Logo T-Shirt Unisex","refusal":null,"role":"assistant"}}],"created":1776061238,"id":"chatcmpl-DU4wwRxiJQZM9uw85hNuLfacVrAh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870,"prompt_tokens_details":{"audio_tokens":0,"cached_tokens":0},"total_tokens":881}}</t>
        </is>
      </c>
      <c r="K30" t="inlineStr">
        <is>
          <t>Stussy Classic White Cotton Logo T-Shirt Unisex</t>
        </is>
      </c>
      <c r="L3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White T-Shirt, made of premium soft breathable cotton, features iconic black graffiti logo print; unisex streetwear showcasing California skate culture freedom and individuality.","refusal":null,"role":"assistant"}}],"created":1776045010,"id":"chatcmpl-DU0jCxR0P2HMrCo8idw42HwKjON8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34,"completion_tokens_details":{"accepted_prediction_tokens":0,"audio_tokens":0,"reasoning_tokens":0,"rejected_prediction_tokens":0},"prompt_tokens":903,"prompt_tokens_details":{"audio_tokens":0,"cached_tokens":0},"total_tokens":937}}</t>
        </is>
      </c>
      <c r="M30" t="inlineStr">
        <is>
          <t>{"alt-svc":"h3=\":443\"; ma=2592000","apim-request-id":"36b30bc2-873b-4e6f-bf57-db70f406bdec","azureml-model-session":"d20260402075109-1fc5a0ec","connection":"close","content-length":"1430","content-type":"application/json","date":"Mon, 13 Apr 2026 01:50:11 GMT","skip-error-remapping":"true","strict-transport-security":"max-age=31536000; includeSubDomains; preload","via":"1.1 Caddy","x-accel-buffering":"no","x-content-type-options":"nosniff","x-ms-client-request-id":"Not-Set","x-ms-is-spilled-over":"false","x-ms-rai-invoked":"true","x-ms-region":"UK South","x-new-api-version":"0.4.25-alpha.4","x-oneapi-request-id":"20260413015009645205336ksHX8TwE","x-ratelimit-abusepenalty-active":"False","x-ratelimit-limit-requests":"1000","x-ratelimit-limit-tokens":"1000000","x-ratelimit-remaining-requests":"999","x-ratelimit-remaining-tokens":"998832","x-ratelimit-renewalperiod-requests":"60","x-ratelimit-renewalperiod-tokens":"60","x-ratelimit-reset-requests":"60","x-ratelimit-reset-tokens":"70","x-request-id":"bd2785c2-793b-403c-83ad-c7c6f63df117","x-shellapi-request-id":"2026041309500959442863394172613"}</t>
        </is>
      </c>
      <c r="N30" t="inlineStr">
        <is>
          <t>Stussy Classic White T-Shirt, made of premium soft breathable cotton, features iconic black graffiti logo print; unisex streetwear showcasing California skate culture freedom and individuality.</t>
        </is>
      </c>
      <c r="O3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1776061435,"id":"chatcmpl-DU507DfuwnOFs5oTMsLjkfR63k0Zs","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87,"completion_tokens_details":{"accepted_prediction_tokens":0,"audio_tokens":0,"reasoning_tokens":0,"rejected_prediction_tokens":0},"prompt_tokens":783,"prompt_tokens_details":{"audio_tokens":0,"cached_tokens":0},"total_tokens":870}}</t>
        </is>
      </c>
      <c r="P30" t="inlineStr">
        <is>
          <t>Stussy,T-Shirts,kakobuy,kakebuy2026,kekobuysheet,kakobuysheet2026,2026kakobuy,kakobuyspreadsheeet,kakobuylink,kakebuylist,Kakobuy MEGA Spreadsheet,kakobuysheetfind,kakobuysheetfind2026,2026kakobuysheetfind,kakobuysheet2026</t>
        </is>
      </c>
      <c r="Q30" t="inlineStr">
        <is>
          <t>Stussy, White, Streetwear, Unisex, Breathable</t>
        </is>
      </c>
      <c r="R30" t="inlineStr">
        <is>
          <t>recvgxFjjA1WDr</t>
        </is>
      </c>
      <c r="S30" t="inlineStr">
        <is>
          <t>stussy-classic-white-cotton-logo-tshirt-recvgxfjja1wdr</t>
        </is>
      </c>
      <c r="T30"/>
      <c r="U30"/>
      <c r="V30"/>
      <c r="W3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ussy：经典系列白色短袖T恤，优质纯棉材质柔软透气，胸前黑色涂鸦Logo印花设计，街头潮流风格，男女通用款，展现加州滑板文化的自由与个性。","refusal":null,"role":"assistant"}}],"created":1776044409,"id":"chatcmpl-DU0ZVAkvFxjzRRBeKjlw1BotaFyU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64,"completion_tokens_details":{"accepted_prediction_tokens":0,"audio_tokens":0,"reasoning_tokens":0,"rejected_prediction_tokens":0},"prompt_tokens":1310,"prompt_tokens_details":{"audio_tokens":0,"cached_tokens":0},"total_tokens":1374}}</t>
        </is>
      </c>
      <c r="X30" t="inlineStr">
        <is>
          <t>Stussy：经典系列白色短袖T恤，优质纯棉材质柔软透气，胸前黑色涂鸦Logo印花设计，街头潮流风格，男女通用款，展现加州滑板文化的自由与个性。</t>
        </is>
      </c>
    </row>
    <row r="31" ht="25.5" customHeight="1">
      <c r="A31">
        <v>1701442386</v>
      </c>
      <c r="B31">
        <v>7572669456</v>
      </c>
      <c r="C31" s="2" t="str">
        <f>=HYPERLINK("https://weidian.com/item.html?itemID=7572669456", "https://weidian.com/item.html?itemID=7572669456")</f>
        <v>https://weidian.com/item.html?itemID=7572669456</v>
      </c>
      <c r="D31"/>
      <c r="E31" s="2" t="str">
        <f>=HYPERLINK("https://si.geilicdn.com/open1701442386-252808396-2b0400000199ddfa1e850a23b4de_876_876.jpg?w=750&amp;h=750&amp;cp=1", "https://si.geilicdn.com/open1701442386-252808396-2b0400000199ddfa1e850a23b4de_876_876.jpg?w=750&amp;h=750&amp;cp=1")</f>
        <v>https://si.geilicdn.com/open1701442386-252808396-2b0400000199ddfa1e850a23b4de_876_876.jpg?w=750&amp;h=750&amp;cp=1</v>
      </c>
      <c r="F31" t="inlineStr">
        <is>
          <t>Hoodies</t>
        </is>
      </c>
      <c r="G31" t="inlineStr">
        <is>
          <t>CEL</t>
        </is>
      </c>
      <c r="H31" t="inlineStr">
        <is>
          <t>188</t>
        </is>
      </c>
      <c r="I31">
        <v>27.25</v>
      </c>
      <c r="J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CEL Black Zip Hoodie Unisex Streetwear","refusal":null,"role":"assistant"}}],"created":1776061210,"id":"chatcmpl-DU4wUZFUM72XzD0TedISclGHqGZ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898,"prompt_tokens_details":{"audio_tokens":0,"cached_tokens":0},"total_tokens":910}}</t>
        </is>
      </c>
      <c r="K31" t="inlineStr">
        <is>
          <t>HoodesCEL Black Zip Hoodie Unisex Streetwear</t>
        </is>
      </c>
      <c r="L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CELCEL black zip hoodie in high-density cotton blend, soft and durable. Features white “CEL” logo on hood, relaxed unisex fit, double zipper, drawstrings—French minimalist street style for fall/winter.","refusal":null,"role":"assistant"}}],"created":1776044989,"id":"chatcmpl-DU0irYjnC9MFGJbqV1kpWRrw8CEo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48,"completion_tokens_details":{"accepted_prediction_tokens":0,"audio_tokens":0,"reasoning_tokens":0,"rejected_prediction_tokens":0},"prompt_tokens":951,"prompt_tokens_details":{"audio_tokens":0,"cached_tokens":0},"total_tokens":999}}</t>
        </is>
      </c>
      <c r="M31" t="inlineStr">
        <is>
          <t>{"alt-svc":"h3=\":443\"; ma=2592000","apim-request-id":"4ff06e9a-ab27-4cef-bc1b-c6bd410aaaa3","azureml-model-session":"d20260402084046-4209e968","connection":"close","content-length":"1425","content-type":"application/json","date":"Mon, 13 Apr 2026 01:49:50 GMT","skip-error-remapping":"true","strict-transport-security":"max-age=31536000; includeSubDomains; preload","via":"1.1 Caddy","x-accel-buffering":"no","x-content-type-options":"nosniff","x-ms-client-request-id":"Not-Set","x-ms-is-spilled-over":"false","x-ms-rai-invoked":"true","x-ms-region":"East US 2","x-new-api-version":"0.4.25-alpha.4","x-oneapi-request-id":"2026041301494815961417586MypSoV","x-ratelimit-abusepenalty-active":"False","x-ratelimit-limit-requests":"1000","x-ratelimit-limit-tokens":"1000000","x-ratelimit-remaining-requests":"999","x-ratelimit-remaining-tokens":"998823","x-ratelimit-renewalperiod-requests":"60","x-ratelimit-renewalperiod-tokens":"60","x-ratelimit-reset-requests":"60","x-ratelimit-reset-tokens":"70","x-request-id":"d1430354-063e-4f87-827d-7a03e2991b14","x-shellapi-request-id":"2026041309494810969207757627075"}</t>
        </is>
      </c>
      <c r="N31" t="inlineStr">
        <is>
          <t>HoodesCELCEL black zip hoodie in high-density cotton blend, soft and durable. Features white “CEL” logo on hood, relaxed unisex fit, double zipper, drawstrings—French minimalist street style for fall/winter.</t>
        </is>
      </c>
      <c r="O3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Hoodie,kakobuy,kakebuy2026,kekobuysheet,kakobuysheet2026,2026kakobuy,kakobuyspreadsheeet,kakobuylink,kakebuylist,Kakobuy MEGA Spreadsheet,kakobuysheetfind,kakobuysheetfind2026,2026kakobuysheetfind,kakobuysheet2026","refusal":null,"role":"assistant"}}],"created":1776061412,"id":"chatcmpl-DU4zkqmQAHZ0JbWsS73Ec3ZRzovp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783,"prompt_tokens_details":{"audio_tokens":0,"cached_tokens":0},"total_tokens":871}}</t>
        </is>
      </c>
      <c r="P31" t="inlineStr">
        <is>
          <t>CELINE,Hoodie,kakobuy,kakebuy2026,kekobuysheet,kakobuysheet2026,2026kakobuy,kakobuyspreadsheeet,kakobuylink,kakebuylist,Kakobuy MEGA Spreadsheet,kakobuysheetfind,kakobuysheetfind2026,2026kakobuysheetfind,kakobuysheet2026</t>
        </is>
      </c>
      <c r="Q31" t="inlineStr">
        <is>
          <t>Black, Minimalist, Streetwear, Autumn And Winter, Unisex</t>
        </is>
      </c>
      <c r="R31" t="inlineStr">
        <is>
          <t>recvgxFjjAl0uc</t>
        </is>
      </c>
      <c r="S31" t="inlineStr">
        <is>
          <t>hoodescel-black-zip-hoodie-recvgxfjjal0uc</t>
        </is>
      </c>
      <c r="T31"/>
      <c r="U31"/>
      <c r="V31"/>
      <c r="W3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EL：黑色连帽拉链卫衣，采用高密度棉质混纺面料，柔软舒适不易变形。帽檐印有简约白色“CEL”字母标识，极具品牌辨识度。宽松廓形设计搭配双向拉链与抽绳细节，男女皆宜，演绎法式极简街头风格。适合秋冬日常穿搭，兼具保暖与时尚感。","refusal":null,"role":"assistant"}}],"created":1776044298,"id":"chatcmpl-DU0Xi1U7QSq62Hr0Rq9GfpfaNdgYb","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111,"completion_tokens_details":{"accepted_prediction_tokens":0,"audio_tokens":0,"reasoning_tokens":0,"rejected_prediction_tokens":0},"prompt_tokens":1311,"prompt_tokens_details":{"audio_tokens":0,"cached_tokens":1280},"total_tokens":1422}}</t>
        </is>
      </c>
      <c r="X31" t="inlineStr">
        <is>
          <t>CEL：黑色连帽拉链卫衣，采用高密度棉质混纺面料，柔软舒适不易变形。帽檐印有简约白色“CEL”字母标识，极具品牌辨识度。宽松廓形设计搭配双向拉链与抽绳细节，男女皆宜，演绎法式极简街头风格。适合秋冬日常穿搭，兼具保暖与时尚感。</t>
        </is>
      </c>
    </row>
    <row r="32" ht="25.5" customHeight="1">
      <c r="A32">
        <v>1701442386</v>
      </c>
      <c r="B32">
        <v>7569413375</v>
      </c>
      <c r="C32" s="2" t="str">
        <f>=HYPERLINK("https://weidian.com/item.html?itemID=7569413375", "https://weidian.com/item.html?itemID=7569413375")</f>
        <v>https://weidian.com/item.html?itemID=7569413375</v>
      </c>
      <c r="D32"/>
      <c r="E32" s="2" t="str">
        <f>=HYPERLINK("https://si.geilicdn.com/open1701442386-252808396-707c00000199d2ddfc620a8115c2_800_800.jpg?w=750&amp;h=750&amp;cp=1", "https://si.geilicdn.com/open1701442386-252808396-707c00000199d2ddfc620a8115c2_800_800.jpg?w=750&amp;h=750&amp;cp=1")</f>
        <v>https://si.geilicdn.com/open1701442386-252808396-707c00000199d2ddfc620a8115c2_800_800.jpg?w=750&amp;h=750&amp;cp=1</v>
      </c>
      <c r="F32" t="inlineStr">
        <is>
          <t>Hoodies</t>
        </is>
      </c>
      <c r="G32" t="inlineStr">
        <is>
          <t>Gallery Dept</t>
        </is>
      </c>
      <c r="H32" t="inlineStr">
        <is>
          <t>288</t>
        </is>
      </c>
      <c r="I32">
        <v>41.74</v>
      </c>
      <c r="J3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Black Pullover Hoodie Streetwear Unisex","refusal":null,"role":"assistant"}}],"created":1776061242,"id":"chatcmpl-DU4x0oEkeqPbxVSN7f9zScbzWmcs3","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897,"prompt_tokens_details":{"audio_tokens":0,"cached_tokens":0},"total_tokens":908}}</t>
        </is>
      </c>
      <c r="K32" t="inlineStr">
        <is>
          <t>Gallery Dept Black Pullover Hoodie Streetwear Unisex</t>
        </is>
      </c>
      <c r="L3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Black Pullover Hoodie, premium cotton for soft breathable comfort. Features iconic white “DEPT. de la GALERIE” print, relaxed unisex fit with drawstring hood and kangaroo pocket for streetwear style.","refusal":null,"role":"assistant"}}],"created":1776044986,"id":"chatcmpl-DU0iopZVPy4QfC0KswNPMMkzCxz64","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47,"completion_tokens_details":{"accepted_prediction_tokens":0,"audio_tokens":0,"reasoning_tokens":0,"rejected_prediction_tokens":0},"prompt_tokens":954,"prompt_tokens_details":{"audio_tokens":0,"cached_tokens":0},"total_tokens":1001}}</t>
        </is>
      </c>
      <c r="M32" t="inlineStr">
        <is>
          <t>{"alt-svc":"h3=\":443\"; ma=2592000","apim-request-id":"ec63762f-d7b8-4aaf-92bd-f85806d7ff11","azureml-model-session":"d20260405234249-f9874baf","connection":"close","content-length":"1454","content-type":"application/json","date":"Mon, 13 Apr 2026 01:49:47 GMT","skip-error-remapping":"true","strict-transport-security":"max-age=31536000; includeSubDomains; preload","via":"1.1 Caddy","x-accel-buffering":"no","x-content-type-options":"nosniff","x-ms-client-request-id":"Not-Set","x-ms-is-spilled-over":"false","x-ms-rai-invoked":"true","x-ms-region":"Japan East","x-new-api-version":"0.4.25-alpha.4","x-oneapi-request-id":"202604130149442304854804PNyeuzc","x-ratelimit-abusepenalty-active":"False","x-ratelimit-limit-requests":"1000","x-ratelimit-limit-tokens":"1000000","x-ratelimit-remaining-requests":"999","x-ratelimit-remaining-tokens":"998815","x-ratelimit-renewalperiod-requests":"60","x-ratelimit-renewalperiod-tokens":"60","x-ratelimit-reset-requests":"60","x-ratelimit-reset-tokens":"71","x-request-id":"40b3c332-2179-4a93-8bd4-22daf0d2c9f5","x-shellapi-request-id":"2026041309494419477206039496405"}</t>
        </is>
      </c>
      <c r="N32" t="inlineStr">
        <is>
          <t>Gallery Dept Black Pullover Hoodie, premium cotton for soft breathable comfort. Features iconic white “DEPT. de la GALERIE” print, relaxed unisex fit with drawstring hood and kangaroo pocket for streetwear style.</t>
        </is>
      </c>
      <c r="O3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Hoodie, kakobuy, kakebuy2026, kekobuysheet, kakobuysheet2026, 2026kakobuy, kakobuyspreadsheeet, kakobuylink, kakebuylist, Kakobuy MEGA Spreadsheet, kakobuysheetfind, kakobuysheetfind2026, 2026kakobuysheetfind, kakobuysheet2026","refusal":null,"role":"assistant"}}],"created":1776061415,"id":"chatcmpl-DU4zn2roFcWJ3wXesoe2GCjHMo9q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784,"prompt_tokens_details":{"audio_tokens":0,"cached_tokens":0},"total_tokens":875}}</t>
        </is>
      </c>
      <c r="P32" t="inlineStr">
        <is>
          <t>Gallery Dept, Hoodie, kakobuy, kakebuy2026, kekobuysheet, kakobuysheet2026, 2026kakobuy, kakobuyspreadsheeet, kakobuylink, kakebuylist, Kakobuy MEGA Spreadsheet, kakobuysheetfind, kakobuysheetfind2026, 2026kakobuysheetfind, kakobuysheet2026</t>
        </is>
      </c>
      <c r="Q32" t="inlineStr">
        <is>
          <t>Black, Unisex, Streetwear, Comfort, Breathable</t>
        </is>
      </c>
      <c r="R32" t="inlineStr">
        <is>
          <t>recvgxFjjAA9yQ</t>
        </is>
      </c>
      <c r="S32" t="inlineStr">
        <is>
          <t>gallery-dept-black-pullover-hoodie-recvgxfjjaa9yq</t>
        </is>
      </c>
      <c r="T32"/>
      <c r="U32"/>
      <c r="V32"/>
      <c r="W3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Dept：黑色套头连帽卫衣，精选纯棉材质，柔软亲肤透气。正面印有品牌经典白色“DEPT. de la GALERIE”字样，极具街头艺术感。宽松廓形设计搭配抽绳帽兜与实用袋鼠口袋，男女皆宜。复古美式街头风格，彰显独立个性与随性态度，适合日常休闲与潮流穿搭。","refusal":null,"role":"assistant"}}],"created":1776044245,"id":"chatcmpl-DU0WrzBdQVQAQTgC0s8mojnC2meba","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114,"completion_tokens_details":{"accepted_prediction_tokens":0,"audio_tokens":0,"reasoning_tokens":0,"rejected_prediction_tokens":0},"prompt_tokens":1311,"prompt_tokens_details":{"audio_tokens":0,"cached_tokens":1280},"total_tokens":1425}}</t>
        </is>
      </c>
      <c r="X32" t="inlineStr">
        <is>
          <t>Gallery Dept：黑色套头连帽卫衣，精选纯棉材质，柔软亲肤透气。正面印有品牌经典白色“DEPT. de la GALERIE”字样，极具街头艺术感。宽松廓形设计搭配抽绳帽兜与实用袋鼠口袋，男女皆宜。复古美式街头风格，彰显独立个性与随性态度，适合日常休闲与潮流穿搭。</t>
        </is>
      </c>
    </row>
    <row r="33" ht="25.5" customHeight="1">
      <c r="A33">
        <v>1701442386</v>
      </c>
      <c r="B33">
        <v>7573340413</v>
      </c>
      <c r="C33" s="2" t="str">
        <f>=HYPERLINK("https://weidian.com/item.html?itemID=7573340413", "https://weidian.com/item.html?itemID=7573340413")</f>
        <v>https://weidian.com/item.html?itemID=7573340413</v>
      </c>
      <c r="D33"/>
      <c r="E33" s="2" t="str">
        <f>=HYPERLINK("https://si.geilicdn.com/open1701442386-252808396-067800000199ec743df00a231226_1080_1080.jpg?w=750&amp;h=750&amp;cp=1", "https://si.geilicdn.com/open1701442386-252808396-067800000199ec743df00a231226_1080_1080.jpg?w=750&amp;h=750&amp;cp=1")</f>
        <v>https://si.geilicdn.com/open1701442386-252808396-067800000199ec743df00a231226_1080_1080.jpg?w=750&amp;h=750&amp;cp=1</v>
      </c>
      <c r="F33" t="inlineStr">
        <is>
          <t>Jackets</t>
        </is>
      </c>
      <c r="G33" t="inlineStr">
        <is>
          <t>Ralph Lauren</t>
        </is>
      </c>
      <c r="H33" t="inlineStr">
        <is>
          <t>550</t>
        </is>
      </c>
      <c r="I33">
        <v>79.71</v>
      </c>
      <c r="J3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Navy Hooded Down Jacket Winter Coat","refusal":null,"role":"assistant"}}],"created":1776061191,"id":"chatcmpl-DU4wBg0PlG1bPmAInqF8J99L6jXK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881,"prompt_tokens_details":{"audio_tokens":0,"cached_tokens":0},"total_tokens":892}}</t>
        </is>
      </c>
      <c r="K33" t="inlineStr">
        <is>
          <t>Ralph Lauren Navy Hooded Down Jacket Winter Coat</t>
        </is>
      </c>
      <c r="L3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Down Jacket—crafted from premium windproof nylon, lightweight and warm. Iconic red polo logo, stand collar with hood, perfect for men and women winter casual wear.","refusal":null,"role":"assistant"}}],"created":1776045012,"id":"chatcmpl-DU0jE2Us8xM0Ic71rFigtqZrA50g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916,"prompt_tokens_details":{"audio_tokens":0,"cached_tokens":0},"total_tokens":955}}</t>
        </is>
      </c>
      <c r="M33" t="inlineStr">
        <is>
          <t>{"alt-svc":"h3=\":443\"; ma=2592000","apim-request-id":"0210e0cb-a9b6-4825-bd77-0308f1ad1088","azureml-model-session":"d20260405212659-a9daa006","connection":"close","content-length":"1420","content-type":"application/json","date":"Mon, 13 Apr 2026 01:50:14 GMT","skip-error-remapping":"true","strict-transport-security":"max-age=31536000; includeSubDomains; preload","via":"1.1 Caddy","x-accel-buffering":"no","x-content-type-options":"nosniff","x-ms-client-request-id":"Not-Set","x-ms-is-spilled-over":"false","x-ms-rai-invoked":"true","x-ms-region":"UK South","x-new-api-version":"0.4.25-alpha.4","x-oneapi-request-id":"202604130150112335827450mkTAgSw","x-ratelimit-abusepenalty-active":"False","x-ratelimit-limit-requests":"1000","x-ratelimit-limit-tokens":"1000000","x-ratelimit-remaining-requests":"999","x-ratelimit-remaining-tokens":"998825","x-ratelimit-renewalperiod-requests":"60","x-ratelimit-renewalperiod-tokens":"60","x-ratelimit-reset-requests":"60","x-ratelimit-reset-tokens":"70","x-request-id":"426a80f3-e1fb-4831-a494-456187878cbb","x-shellapi-request-id":"2026041309501119759042731909495"}</t>
        </is>
      </c>
      <c r="N33" t="inlineStr">
        <is>
          <t>Ralph Lauren Navy Down Jacket—crafted from premium windproof nylon, lightweight and warm. Iconic red polo logo, stand collar with hood, perfect for men and women winter casual wear.</t>
        </is>
      </c>
      <c r="O3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1776061461,"id":"chatcmpl-DU50XtqmaIc8XnmSYskCAV8ikHfp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784,"prompt_tokens_details":{"audio_tokens":0,"cached_tokens":0},"total_tokens":876}}</t>
        </is>
      </c>
      <c r="P33" t="inlineStr">
        <is>
          <t>Ralph Lauren, Jackets, kakobuy, kakebuy2026, kekobuysheet, kakobuysheet2026, 2026kakobuy, kakobuyspreadsheeet, kakobuylink, kakebuylist, Kakobuy MEGA Spreadsheet, kakobuysheetfind, kakobuysheetfind2026, 2026kakobuysheetfind, kakobuysheet2026</t>
        </is>
      </c>
      <c r="Q33" t="inlineStr">
        <is>
          <t>Navy, Windproof, Nylon, Lightweight, Winter, Men's And Women's</t>
        </is>
      </c>
      <c r="R33" t="inlineStr">
        <is>
          <t>recvgxFjjAwtSp</t>
        </is>
      </c>
      <c r="S33" t="inlineStr">
        <is>
          <t>ralph-lauren-navy-hooded-down-jacket-recvgxfjjawtsp</t>
        </is>
      </c>
      <c r="T33"/>
      <c r="U33"/>
      <c r="V33"/>
      <c r="W3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海军蓝羽绒外套，精选优质防风尼龙面料，轻盈保暖。胸前标志性红色骑士徽标彰显品牌格调，立领连帽设计兼具时尚与实用，适合男女冬季休闲穿搭，展现经典美式简约风格。","refusal":null,"role":"assistant"}}],"created":1776044354,"id":"chatcmpl-DU0YcG5okAffLLnVM4cyzZa72ClKR","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78,"completion_tokens_details":{"accepted_prediction_tokens":0,"audio_tokens":0,"reasoning_tokens":0,"rejected_prediction_tokens":0},"prompt_tokens":1308,"prompt_tokens_details":{"audio_tokens":0,"cached_tokens":1280},"total_tokens":1386}}</t>
        </is>
      </c>
      <c r="X33" t="inlineStr">
        <is>
          <t>Ralph Lauren 海军蓝羽绒外套，精选优质防风尼龙面料，轻盈保暖。胸前标志性红色骑士徽标彰显品牌格调，立领连帽设计兼具时尚与实用，适合男女冬季休闲穿搭，展现经典美式简约风格。</t>
        </is>
      </c>
    </row>
    <row r="34" ht="25.5" customHeight="1">
      <c r="A34">
        <v>1701442386</v>
      </c>
      <c r="B34">
        <v>7572714750</v>
      </c>
      <c r="C34" s="2" t="str">
        <f>=HYPERLINK("https://weidian.com/item.html?itemID=7572714750", "https://weidian.com/item.html?itemID=7572714750")</f>
        <v>https://weidian.com/item.html?itemID=7572714750</v>
      </c>
      <c r="D34"/>
      <c r="E34" s="2" t="str">
        <f>=HYPERLINK("https://si.geilicdn.com/open1701442386-252808396-04c400000199ddce542b0a23b4de_1200_1200.jpg?w=750&amp;h=750&amp;cp=1", "https://si.geilicdn.com/open1701442386-252808396-04c400000199ddce542b0a23b4de_1200_1200.jpg?w=750&amp;h=750&amp;cp=1")</f>
        <v>https://si.geilicdn.com/open1701442386-252808396-04c400000199ddce542b0a23b4de_1200_1200.jpg?w=750&amp;h=750&amp;cp=1</v>
      </c>
      <c r="F34" t="inlineStr">
        <is>
          <t>T-Shirts</t>
        </is>
      </c>
      <c r="G34" t="inlineStr">
        <is>
          <t>Chrome Hearts</t>
        </is>
      </c>
      <c r="H34" t="inlineStr">
        <is>
          <t>197</t>
        </is>
      </c>
      <c r="I34">
        <v>28.55</v>
      </c>
      <c r="J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 Red Long Sleeve Gothic Streetwear T-Shirt","refusal":null,"role":"assistant"}}],"created":1776061173,"id":"chatcmpl-DU4vt6mlOVcSfEjh01SE2tVbicvs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874,"prompt_tokens_details":{"audio_tokens":0,"cached_tokens":0},"total_tokens":885}}</t>
        </is>
      </c>
      <c r="K34" t="inlineStr">
        <is>
          <t>Chrome Hearts Red Long Sleeve Gothic Streetwear T-Shirt</t>
        </is>
      </c>
      <c r="L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 Red Long Sleeve T-Shirt crafted from premium cotton, featuring silver logo and heart cross motif, gothic print on sleeves, relaxed unisex fit for edgy streetwear style.","refusal":null,"role":"assistant"}}],"created":1776045026,"id":"chatcmpl-DU0jSLcEXugauUskzNVbf4luWBTA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36,"completion_tokens_details":{"accepted_prediction_tokens":0,"audio_tokens":0,"reasoning_tokens":0,"rejected_prediction_tokens":0},"prompt_tokens":944,"prompt_tokens_details":{"audio_tokens":0,"cached_tokens":0},"total_tokens":980}}</t>
        </is>
      </c>
      <c r="M34" t="inlineStr">
        <is>
          <t>{"alt-svc":"h3=\":443\"; ma=2592000","apim-request-id":"5fa70da7-e2f3-413e-bbf6-4619e5c9072e","azureml-model-session":"d20260405234249-f9874baf","connection":"close","content-length":"1419","content-type":"application/json","date":"Mon, 13 Apr 2026 01:50:28 GMT","skip-error-remapping":"true","strict-transport-security":"max-age=31536000; includeSubDomains; preload","via":"1.1 Caddy","x-accel-buffering":"no","x-content-type-options":"nosniff","x-ms-client-request-id":"Not-Set","x-ms-is-spilled-over":"false","x-ms-rai-invoked":"true","x-ms-region":"UK South","x-new-api-version":"0.4.25-alpha.4","x-oneapi-request-id":"20260413015026168425368wm3PFoxB","x-ratelimit-abusepenalty-active":"False","x-ratelimit-limit-requests":"1000","x-ratelimit-limit-tokens":"1000000","x-ratelimit-remaining-requests":"999","x-ratelimit-remaining-tokens":"998817","x-ratelimit-renewalperiod-requests":"60","x-ratelimit-renewalperiod-tokens":"60","x-ratelimit-reset-requests":"60","x-ratelimit-reset-tokens":"70","x-request-id":"6c0c9120-03a0-44e4-944a-b505fe57b247","x-shellapi-request-id":"2026041309502611474114823428669"}</t>
        </is>
      </c>
      <c r="N34" t="inlineStr">
        <is>
          <t>Chrome Hearts Red Long Sleeve T-Shirt crafted from premium cotton, featuring silver logo and heart cross motif, gothic print on sleeves, relaxed unisex fit for edgy streetwear style.</t>
        </is>
      </c>
      <c r="O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 T-Shirts, kakobuy, kakebuy2026, kekobuysheet, kakobuysheet2026, 2026kakobuy, kakobuyspreadsheeet, kakobuylink, kakebuylist, Kakobuy MEGA Spreadsheet, kakobuysheetfind, kakobuysheetfind2026, 2026kakobuysheetfind, kakobuysheet2026","refusal":null,"role":"assistant"}}],"created":1776061353,"id":"chatcmpl-DU4ynr09qSWRMZU6cQ83Tr3UXHfm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783,"prompt_tokens_details":{"audio_tokens":0,"cached_tokens":0},"total_tokens":875}}</t>
        </is>
      </c>
      <c r="P34" t="inlineStr">
        <is>
          <t>Chrome Hearts, T-Shirts, kakobuy, kakebuy2026, kekobuysheet, kakobuysheet2026, 2026kakobuy, kakobuyspreadsheeet, kakobuylink, kakebuylist, Kakobuy MEGA Spreadsheet, kakobuysheetfind, kakobuysheetfind2026, 2026kakobuysheetfind, kakobuysheet2026</t>
        </is>
      </c>
      <c r="Q34" t="inlineStr">
        <is>
          <t>Red, Unisex, Gothic, Streetwear, Edgy</t>
        </is>
      </c>
      <c r="R34" t="inlineStr">
        <is>
          <t>recvgxFjjAVSDu</t>
        </is>
      </c>
      <c r="S34" t="inlineStr">
        <is>
          <t>chrome-hearts-red-long-sleeve-gothic-streetwear-t-shirt-recvgxFjjAVSDu</t>
        </is>
      </c>
      <c r="T34"/>
      <c r="U34"/>
      <c r="V34"/>
      <c r="W3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红色长袖T恤，甄选纯棉材质，柔软舒适。胸前点缀品牌经典银色Logo字样与心形十字图腾，袖子饰以白色哥特字体印花，展现街头摇滚风格。宽松中性版型设计，适合男女穿搭，凸显个性与潮流态度，打造2020年代标志性街头造型。","refusal":null,"role":"assistant"}}],"created":1776044471,"id":"chatcmpl-DU0aVHHw2tLkJ5KgkXUg5fXmX0OFj","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103,"completion_tokens_details":{"accepted_prediction_tokens":0,"audio_tokens":0,"reasoning_tokens":0,"rejected_prediction_tokens":0},"prompt_tokens":1314,"prompt_tokens_details":{"audio_tokens":0,"cached_tokens":0},"total_tokens":1417}}</t>
        </is>
      </c>
      <c r="X34" t="inlineStr">
        <is>
          <t>Chrome Hearts：红色长袖T恤，甄选纯棉材质，柔软舒适。胸前点缀品牌经典银色Logo字样与心形十字图腾，袖子饰以白色哥特字体印花，展现街头摇滚风格。宽松中性版型设计，适合男女穿搭，凸显个性与潮流态度，打造2020年代标志性街头造型。</t>
        </is>
      </c>
    </row>
    <row r="35" ht="25.5" customHeight="1">
      <c r="A35">
        <v>1701442386</v>
      </c>
      <c r="B35">
        <v>7571319156</v>
      </c>
      <c r="C35" s="2" t="str">
        <f>=HYPERLINK("https://weidian.com/item.html?itemID=7571319156", "https://weidian.com/item.html?itemID=7571319156")</f>
        <v>https://weidian.com/item.html?itemID=7571319156</v>
      </c>
      <c r="D35"/>
      <c r="E35" s="2" t="str">
        <f>=HYPERLINK("https://si.geilicdn.com/open1701442386-252808396-73aa00000199d2cdba470a231226_828_1021.jpg?w=640&amp;h=640", "https://si.geilicdn.com/open1701442386-252808396-73aa00000199d2cdba470a231226_828_1021.jpg?w=640&amp;h=640")</f>
        <v>https://si.geilicdn.com/open1701442386-252808396-73aa00000199d2cdba470a231226_828_1021.jpg?w=640&amp;h=640</v>
      </c>
      <c r="F35" t="inlineStr">
        <is>
          <t>T-Shirts</t>
        </is>
      </c>
      <c r="G35" t="inlineStr">
        <is>
          <t>Canada Goose</t>
        </is>
      </c>
      <c r="H35" t="inlineStr">
        <is>
          <t>280</t>
        </is>
      </c>
      <c r="I35">
        <v>40.58</v>
      </c>
      <c r="J3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Down Vest Lightweight Jacket","refusal":null,"role":"assistant"}}],"created":1776061263,"id":"chatcmpl-DU4xLvUrVEPTluciyKZNRINCNYeUY","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completion_tokens_details":{"accepted_prediction_tokens":0,"audio_tokens":0,"reasoning_tokens":0,"rejected_prediction_tokens":0},"prompt_tokens":882,"prompt_tokens_details":{"audio_tokens":0,"cached_tokens":0},"total_tokens":890}}</t>
        </is>
      </c>
      <c r="K35" t="inlineStr">
        <is>
          <t>Canada Goose White Down Vest Lightweight Jacket</t>
        </is>
      </c>
      <c r="L3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Lightweight Down Vest – filled with high-loft goose down for warmth without bulk. Sleeveless stand collar, zip front, and unisex modern minimalist design for stylish urban winter looks.","refusal":null,"role":"assistant"}}],"created":1776044978,"id":"chatcmpl-DU0igoafSOI6XukOMjpqik9rLpqg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40,"completion_tokens_details":{"accepted_prediction_tokens":0,"audio_tokens":0,"reasoning_tokens":0,"rejected_prediction_tokens":0},"prompt_tokens":916,"prompt_tokens_details":{"audio_tokens":0,"cached_tokens":0},"total_tokens":956}}</t>
        </is>
      </c>
      <c r="M35" t="inlineStr">
        <is>
          <t>{"alt-svc":"h3=\":443\"; ma=2592000","apim-request-id":"254d79a6-f45c-4e52-8fb8-d33a25e30b28","azureml-model-session":"d20260405225800-40f19e54","connection":"close","content-length":"1443","content-type":"application/json","date":"Mon, 13 Apr 2026 01:49:39 GMT","skip-error-remapping":"true","strict-transport-security":"max-age=31536000; includeSubDomains; preload","via":"1.1 Caddy","x-accel-buffering":"no","x-content-type-options":"nosniff","x-ms-client-request-id":"Not-Set","x-ms-is-spilled-over":"false","x-ms-rai-invoked":"true","x-ms-region":"Korea Central","x-new-api-version":"0.4.25-alpha.4","x-oneapi-request-id":"20260413014937230304777yGMx3VK9","x-ratelimit-abusepenalty-active":"False","x-ratelimit-limit-requests":"1000","x-ratelimit-limit-tokens":"1000000","x-ratelimit-remaining-requests":"999","x-ratelimit-remaining-tokens":"998827","x-ratelimit-renewalperiod-requests":"60","x-ratelimit-renewalperiod-tokens":"60","x-ratelimit-reset-requests":"60","x-ratelimit-reset-tokens":"70","x-request-id":"ab231f2e-4791-44b5-97c8-156052c56ae6","x-shellapi-request-id":"2026041309493719271098414613116"}</t>
        </is>
      </c>
      <c r="N35" t="inlineStr">
        <is>
          <t>Canada Goose White Lightweight Down Vest – filled with high-loft goose down for warmth without bulk. Sleeveless stand collar, zip front, and unisex modern minimalist design for stylish urban winter looks.</t>
        </is>
      </c>
      <c r="O3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Goose,T-Shirts,kakobuy,kakebuy2026,kekobuysheet,kakobuysheet2026,2026kakobuy,kakobuyspreadsheeet,kakobuylink,kakebuylist,Kakobuy MEGA Spreadsheet,kakobuysheetfind,kakobuysheetfind2026,2026kakobuysheetfind,kakobuysheet2026","refusal":null,"role":"assistant"}}],"created":1776061351,"id":"chatcmpl-DU4ylSulRbeUzs0ixCFdJ8fmKwmn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87,"completion_tokens_details":{"accepted_prediction_tokens":0,"audio_tokens":0,"reasoning_tokens":0,"rejected_prediction_tokens":0},"prompt_tokens":783,"prompt_tokens_details":{"audio_tokens":0,"cached_tokens":0},"total_tokens":870}}</t>
        </is>
      </c>
      <c r="P35" t="inlineStr">
        <is>
          <t>Canada Goose,T-Shirts,kakobuy,kakebuy2026,kekobuysheet,kakobuysheet2026,2026kakobuy,kakobuyspreadsheeet,kakobuylink,kakebuylist,Kakobuy MEGA Spreadsheet,kakobuysheetfind,kakobuysheetfind2026,2026kakobuysheetfind,kakobuysheet2026</t>
        </is>
      </c>
      <c r="Q35" t="inlineStr">
        <is>
          <t>White, Lightweight, Winter, Unisex, Minimalist</t>
        </is>
      </c>
      <c r="R35" t="inlineStr">
        <is>
          <t>recvgxFjjA13I4</t>
        </is>
      </c>
      <c r="S35" t="inlineStr">
        <is>
          <t>canada-goose-white-down-vest-lightweight-jacket-recvgxfjja13i4</t>
        </is>
      </c>
      <c r="T35"/>
      <c r="U35"/>
      <c r="V35"/>
      <c r="W3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nada Goose：白色轻盈羽绒马甲，选用高蓬松度鹅绒填充，保暖又不显臃肿。简约无袖立领设计，搭配拉链前襟，层次分明。中性剪裁适合男女穿搭，现代极简风格彰显都市冬日高级质感。","refusal":null,"role":"assistant"}}],"created":1776044271,"id":"chatcmpl-DU0XH1zhK7pHpc0FxBUUi7pshdsIy","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82,"completion_tokens_details":{"accepted_prediction_tokens":0,"audio_tokens":0,"reasoning_tokens":0,"rejected_prediction_tokens":0},"prompt_tokens":1300,"prompt_tokens_details":{"audio_tokens":0,"cached_tokens":1280},"total_tokens":1382}}</t>
        </is>
      </c>
      <c r="X35" t="inlineStr">
        <is>
          <t>Canada Goose：白色轻盈羽绒马甲，选用高蓬松度鹅绒填充，保暖又不显臃肿。简约无袖立领设计，搭配拉链前襟，层次分明。中性剪裁适合男女穿搭，现代极简风格彰显都市冬日高级质感。</t>
        </is>
      </c>
    </row>
    <row r="36" ht="25.5" customHeight="1">
      <c r="A36">
        <v>1701442386</v>
      </c>
      <c r="B36">
        <v>7569496063</v>
      </c>
      <c r="C36" s="2" t="str">
        <f>=HYPERLINK("https://weidian.com/item.html?itemID=7569496063", "https://weidian.com/item.html?itemID=7569496063")</f>
        <v>https://weidian.com/item.html?itemID=7569496063</v>
      </c>
      <c r="D36"/>
      <c r="E36" s="2" t="str">
        <f>=HYPERLINK("https://si.geilicdn.com/open1701442386-252808396-6e8d00000199d2cf95570a23b491_1920_1920.jpg?w=640&amp;h=640", "https://si.geilicdn.com/open1701442386-252808396-6e8d00000199d2cf95570a23b491_1920_1920.jpg?w=640&amp;h=640")</f>
        <v>https://si.geilicdn.com/open1701442386-252808396-6e8d00000199d2cf95570a23b491_1920_1920.jpg?w=640&amp;h=640</v>
      </c>
      <c r="F36" t="inlineStr">
        <is>
          <t>Hoodies</t>
        </is>
      </c>
      <c r="G36" t="inlineStr">
        <is>
          <t>Balenciaga</t>
        </is>
      </c>
      <c r="H36" t="inlineStr">
        <is>
          <t>369</t>
        </is>
      </c>
      <c r="I36">
        <v>53.4782608695652</v>
      </c>
      <c r="J3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Black Logo Oversized Unisex Hoodie","refusal":null,"role":"assistant"}}],"created":1776061242,"id":"chatcmpl-DU4x0ABESaZ6PUmpfSM7BzE4l5c1f","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11,"completion_tokens_details":{"accepted_prediction_tokens":0,"audio_tokens":0,"reasoning_tokens":0,"rejected_prediction_tokens":0},"prompt_tokens":872,"prompt_tokens_details":{"audio_tokens":0,"cached_tokens":0},"total_tokens":883}}</t>
        </is>
      </c>
      <c r="K36" t="inlineStr">
        <is>
          <t>Balenciaga Black Logo Oversized Unisex Hoodie</t>
        </is>
      </c>
      <c r="L36" t="inlineStr">
        <is>
          <t>{"choices":[{"content_filter_result":{"error":{"code":"content_filter_error","message":"The contents are not filtered"}},"content_filter_results":{"protected_material_code":{"detected":false,"filtered":false},"protected_material_text":{"detected":false,"filtered":false}},"finish_reason":"stop","index":0,"logprobs":null,"message":{"annotations":[],"content":"Balenciaga Black Logo Embroidered Hoodie – Soft cotton fabric, oversized fit, unisex streetwear style with minimalist design and premium comfort for modern fashion lovers.","refusal":null,"role":"assistant"}}],"created":1776045025,"id":"chatcmpl-DU0jRVDwet5JeBjotJcne6kTteQo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34,"completion_tokens_details":{"accepted_prediction_tokens":0,"audio_tokens":0,"reasoning_tokens":0,"rejected_prediction_tokens":0},"prompt_tokens":890,"prompt_tokens_details":{"audio_tokens":0,"cached_tokens":0},"total_tokens":924}}</t>
        </is>
      </c>
      <c r="M36" t="inlineStr">
        <is>
          <t>{"alt-svc":"h3=\":443\"; ma=2592000","apim-request-id":"3f6c240d-42eb-4bb4-a821-26c88f0d0007","azureml-model-session":"d20260405225800-40f19e54","connection":"close","content-length":"1331","content-type":"application/json","date":"Mon, 13 Apr 2026 01:50:26 GMT","skip-error-remapping":"true","strict-transport-security":"max-age=31536000; includeSubDomains; preload","via":"1.1 Caddy","x-accel-buffering":"no","x-content-type-options":"nosniff","x-ms-client-request-id":"Not-Set","x-ms-is-spilled-over":"false","x-ms-rai-invoked":"true","x-ms-region":"Japan East","x-new-api-version":"0.4.25-alpha.4","x-oneapi-request-id":"202604130150247787306064rTIgUtM","x-ratelimit-abusepenalty-active":"False","x-ratelimit-limit-requests":"1000","x-ratelimit-limit-tokens":"1000000","x-ratelimit-remaining-requests":"999","x-ratelimit-remaining-tokens":"998835","x-ratelimit-renewalperiod-requests":"60","x-ratelimit-renewalperiod-tokens":"60","x-ratelimit-reset-requests":"60","x-ratelimit-reset-tokens":"69","x-request-id":"8217ae2e-deba-4a4f-9fe1-d93481bde106","x-shellapi-request-id":"2026041309502473773042814728543"}</t>
        </is>
      </c>
      <c r="N36" t="inlineStr">
        <is>
          <t>Balenciaga Black Logo Embroidered Hoodie – Soft cotton fabric, oversized fit, unisex streetwear style with minimalist design and premium comfort for modern fashion lovers.</t>
        </is>
      </c>
      <c r="O3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Hoodie,kakobuy,kakebuy2026,kekobuysheet,kakobuysheet2026,2026kakobuy,kakobuyspreadsheeet,kakobuylink,kakebuylist,Kakobuy MEGA Spreadsheet,kakobuysheetfind,kakobuysheetfind2026,2026kakobuysheetfind,kakobuysheet2026","refusal":null,"role":"assistant"}}],"created":1776061408,"id":"chatcmpl-DU4zgGkxbogm1hSEXJnWOIsXLqkP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89,"completion_tokens_details":{"accepted_prediction_tokens":0,"audio_tokens":0,"reasoning_tokens":0,"rejected_prediction_tokens":0},"prompt_tokens":785,"prompt_tokens_details":{"audio_tokens":0,"cached_tokens":0},"total_tokens":874}}</t>
        </is>
      </c>
      <c r="P36" t="inlineStr">
        <is>
          <t>Balenciaga,Hoodie,kakobuy,kakebuy2026,kekobuysheet,kakobuysheet2026,2026kakobuy,kakobuyspreadsheeet,kakobuylink,kakebuylist,Kakobuy MEGA Spreadsheet,kakobuysheetfind,kakobuysheetfind2026,2026kakobuysheetfind,kakobuysheet2026</t>
        </is>
      </c>
      <c r="Q36" t="inlineStr">
        <is>
          <t>Balenciaga, Black, Streetwear, Minimalist, Unisex</t>
        </is>
      </c>
      <c r="R36" t="inlineStr">
        <is>
          <t>recvgxFjjAQktJ</t>
        </is>
      </c>
      <c r="S36" t="inlineStr">
        <is>
          <t>balenciaga-black-logo-oversized-hoodie-recvgxfjjaqktj</t>
        </is>
      </c>
      <c r="T36"/>
      <c r="U36"/>
      <c r="V36"/>
      <c r="W3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黑色Logo刺绣连帽卫衣，采用柔软棉质面料，宽松廓形设计，男女通用，展现极简街头风格与潮流质感。","refusal":null,"role":"assistant"}}],"created":1776044471,"id":"chatcmpl-DU0aVhKribRtQwctsakqBmpumUFs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50,"completion_tokens_details":{"accepted_prediction_tokens":0,"audio_tokens":0,"reasoning_tokens":0,"rejected_prediction_tokens":0},"prompt_tokens":1311,"prompt_tokens_details":{"audio_tokens":0,"cached_tokens":1280},"total_tokens":1361}}</t>
        </is>
      </c>
      <c r="X36" t="inlineStr">
        <is>
          <t>Balenciaga：黑色Logo刺绣连帽卫衣，采用柔软棉质面料，宽松廓形设计，男女通用，展现极简街头风格与潮流质感。</t>
        </is>
      </c>
    </row>
    <row r="37" ht="25.5" customHeight="1">
      <c r="A37">
        <v>1701442386</v>
      </c>
      <c r="B37">
        <v>7566789837</v>
      </c>
      <c r="C37" s="2" t="str">
        <f>=HYPERLINK("https://weidian.com/item.html?itemID=7566789837", "https://weidian.com/item.html?itemID=7566789837")</f>
        <v>https://weidian.com/item.html?itemID=7566789837</v>
      </c>
      <c r="D37"/>
      <c r="E37" s="2" t="str">
        <f>=HYPERLINK("https://si.geilicdn.com/open1701442386-252808396-418800000199bdb89a3c0a231226_800_800.jpg?w=750&amp;h=750&amp;cp=1", "https://si.geilicdn.com/open1701442386-252808396-418800000199bdb89a3c0a231226_800_800.jpg?w=750&amp;h=750&amp;cp=1")</f>
        <v>https://si.geilicdn.com/open1701442386-252808396-418800000199bdb89a3c0a231226_800_800.jpg?w=750&amp;h=750&amp;cp=1</v>
      </c>
      <c r="F37" t="inlineStr">
        <is>
          <t>Hoodies</t>
        </is>
      </c>
      <c r="G37" t="inlineStr">
        <is>
          <t>Essentials</t>
        </is>
      </c>
      <c r="H37" t="inlineStr">
        <is>
          <t>137</t>
        </is>
      </c>
      <c r="I37">
        <v>19.8695652173913</v>
      </c>
      <c r="J3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Essentials White Logo Hoodie Unisex Streetwear Pullover","refusal":null,"role":"assistant"}}],"created":1776061284,"id":"chatcmpl-DU4xgMk9FfqZVqLBzCe6RjoV0gWBo","model":"gpt-5-chat-2025-10-03","object":"chat.completion","prompt_filter_results":[{"prompt_index":0,"content_filter_results":{}}],"system_fingerprint":"fp_ad66631dec","usage":{"completion_tokens":12,"completion_tokens_details":{"accepted_prediction_tokens":0,"audio_tokens":0,"reasoning_tokens":0,"rejected_prediction_tokens":0},"prompt_tokens":875,"prompt_tokens_details":{"audio_tokens":0,"cached_tokens":0},"total_tokens":887}}</t>
        </is>
      </c>
      <c r="K37" t="inlineStr">
        <is>
          <t>Essentials White Logo Hoodie Unisex Streetwear Pullover</t>
        </is>
      </c>
      <c r="L3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Essentials Hooded Sweatshirt: White cotton hoodie with bold black logo print, soft thick fabric, relaxed fit for men and women, minimalist street style for modern casual fashion.","refusal":null,"role":"assistant"}}],"created":1776044909,"id":"chatcmpl-DU0hZIgbTKjYCjW1SSTEPsr2yXEOn","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36,"completion_tokens_details":{"accepted_prediction_tokens":0,"audio_tokens":0,"reasoning_tokens":0,"rejected_prediction_tokens":0},"prompt_tokens":902,"prompt_tokens_details":{"audio_tokens":0,"cached_tokens":0},"total_tokens":938}}</t>
        </is>
      </c>
      <c r="M37" t="inlineStr">
        <is>
          <t>{"alt-svc":"h3=\":443\"; ma=2592000","apim-request-id":"8229b17d-17bf-4664-bc20-9ed3cfecd7b5","azureml-model-session":"d20260405221325-2e8d5e76","connection":"close","content-length":"1390","content-type":"application/json","date":"Mon, 13 Apr 2026 01:48:30 GMT","skip-error-remapping":"true","strict-transport-security":"max-age=31536000; includeSubDomains; preload","via":"1.1 Caddy","x-accel-buffering":"no","x-content-type-options":"nosniff","x-ms-client-request-id":"Not-Set","x-ms-is-spilled-over":"false","x-ms-rai-invoked":"true","x-ms-region":"East US","x-new-api-version":"0.4.25-alpha.4","x-oneapi-request-id":"20260413014828435123731lHQoij61","x-ratelimit-abusepenalty-active":"False","x-ratelimit-limit-requests":"1000","x-ratelimit-limit-tokens":"1000000","x-ratelimit-remaining-requests":"999","x-ratelimit-remaining-tokens":"998831","x-ratelimit-renewalperiod-requests":"60","x-ratelimit-renewalperiod-tokens":"60","x-ratelimit-reset-requests":"60","x-ratelimit-reset-tokens":"70","x-request-id":"1e3a410c-dcbb-4c9d-80cf-9a09bfe24aad","x-shellapi-request-id":"2026041309482838282488491165947"}</t>
        </is>
      </c>
      <c r="N37" t="inlineStr">
        <is>
          <t>Essentials Hooded Sweatshirt: White cotton hoodie with bold black logo print, soft thick fabric, relaxed fit for men and women, minimalist street style for modern casual fashion.</t>
        </is>
      </c>
      <c r="O3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hoodie,kakobuy,kakebuy2026,kekobuysheet,kakobuysheet2026,2026kakobuy,kakobuyspreadsheeet,kakobuylink,kakebuylist,Kakobuy MEGA Spreadsheet,kakobuysheetfind,kakobuysheetfind2026,2026kakobuysheetfind,kakobuysheet2026","refusal":null,"role":"assistant"}}],"created":1776061462,"id":"chatcmpl-DU50YRJIbVidjZGCYW9YzjMT5p6O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is>
      </c>
      <c r="P37" t="inlineStr">
        <is>
          <t>Essentials,hoodie,kakobuy,kakebuy2026,kekobuysheet,kakobuysheet2026,2026kakobuy,kakobuyspreadsheeet,kakobuylink,kakebuylist,Kakobuy MEGA Spreadsheet,kakobuysheetfind,kakobuysheetfind2026,2026kakobuysheetfind,kakobuysheet2026</t>
        </is>
      </c>
      <c r="Q37" t="inlineStr">
        <is>
          <t>White, Minimalist, Street, Unisex</t>
        </is>
      </c>
      <c r="R37" t="inlineStr">
        <is>
          <t>recvgxFjjASdUk</t>
        </is>
      </c>
      <c r="S37" t="inlineStr">
        <is>
          <t>essentials-white-logo-hoodie-recvgxfjjasduk</t>
        </is>
      </c>
      <c r="T37"/>
      <c r="U37"/>
      <c r="V37"/>
      <c r="W3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白色连帽卫衣，精选柔软厚实棉质面料，正面黑色品牌标识印花设计，简约街头风格，宽松剪裁舒适百搭，男女皆宜，展现现代休闲潮流态度。","refusal":null,"role":"assistant"}}],"created":1776044273,"id":"chatcmpl-DU0XJXSJEPaY93cZzcJbiQNlYmkg1","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63,"completion_tokens_details":{"accepted_prediction_tokens":0,"audio_tokens":0,"reasoning_tokens":0,"rejected_prediction_tokens":0},"prompt_tokens":1309,"prompt_tokens_details":{"audio_tokens":0,"cached_tokens":1280},"total_tokens":1372}}</t>
        </is>
      </c>
      <c r="X37" t="inlineStr">
        <is>
          <t>Essentials：白色连帽卫衣，精选柔软厚实棉质面料，正面黑色品牌标识印花设计，简约街头风格，宽松剪裁舒适百搭，男女皆宜，展现现代休闲潮流态度。</t>
        </is>
      </c>
    </row>
    <row r="38" ht="25.5" customHeight="1">
      <c r="A38">
        <v>1701442386</v>
      </c>
      <c r="B38">
        <v>7571395690</v>
      </c>
      <c r="C38" s="2" t="str">
        <f>=HYPERLINK("https://weidian.com/item.html?itemID=7571395690", "https://weidian.com/item.html?itemID=7571395690")</f>
        <v>https://weidian.com/item.html?itemID=7571395690</v>
      </c>
      <c r="D38"/>
      <c r="E38" s="2" t="str">
        <f>=HYPERLINK("https://si.geilicdn.com/open1701442386-252808396-007600000199d29752970a231226_799_799.jpg?w=640&amp;h=640", "https://si.geilicdn.com/open1701442386-252808396-007600000199d29752970a231226_799_799.jpg?w=640&amp;h=640")</f>
        <v>https://si.geilicdn.com/open1701442386-252808396-007600000199d29752970a231226_799_799.jpg?w=640&amp;h=640</v>
      </c>
      <c r="F38" t="inlineStr">
        <is>
          <t>T-Shirts</t>
        </is>
      </c>
      <c r="G38" t="inlineStr">
        <is>
          <t>Ralph Lauren</t>
        </is>
      </c>
      <c r="H38" t="inlineStr">
        <is>
          <t>170</t>
        </is>
      </c>
      <c r="I38">
        <v>24.64</v>
      </c>
      <c r="J3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Half Zip Cotton Long Sleeve Shirt","refusal":null,"role":"assistant"}}],"created":1776061265,"id":"chatcmpl-DU4xNxRFvExQmm7HKcbH1D9x1HBVa","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11,"completion_tokens_details":{"accepted_prediction_tokens":0,"audio_tokens":0,"reasoning_tokens":0,"rejected_prediction_tokens":0},"prompt_tokens":877,"prompt_tokens_details":{"audio_tokens":0,"cached_tokens":0},"total_tokens":888}}</t>
        </is>
      </c>
      <c r="K38" t="inlineStr">
        <is>
          <t>Ralph Lauren Navy Half Zip Cotton Long Sleeve Shirt</t>
        </is>
      </c>
      <c r="L3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half-zip long sleeve shirt made of premium cotton, soft and breathable with iconic red pony logo, unisex modern casual luxury style for comfort and timeless elegance.","refusal":null,"role":"assistant"}}],"created":1776045020,"id":"chatcmpl-DU0jMpPenUPdJSYjTWC6qS9csqky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37,"completion_tokens_details":{"accepted_prediction_tokens":0,"audio_tokens":0,"reasoning_tokens":0,"rejected_prediction_tokens":0},"prompt_tokens":910,"prompt_tokens_details":{"audio_tokens":0,"cached_tokens":0},"total_tokens":947}}</t>
        </is>
      </c>
      <c r="M38" t="inlineStr">
        <is>
          <t>{"alt-svc":"h3=\":443\"; ma=2592000","apim-request-id":"c905c6b2-33de-4d35-9d57-51858059818e","azureml-model-session":"d20260402075109-1fc5a0ec","connection":"close","content-length":"1421","content-type":"application/json","date":"Mon, 13 Apr 2026 01:50:23 GMT","skip-error-remapping":"true","strict-transport-security":"max-age=31536000; includeSubDomains; preload","via":"1.1 Caddy","x-accel-buffering":"no","x-content-type-options":"nosniff","x-ms-client-request-id":"Not-Set","x-ms-is-spilled-over":"false","x-ms-rai-invoked":"true","x-ms-region":"Australia East","x-new-api-version":"0.4.25-alpha.4","x-oneapi-request-id":"20260413015018445022996xWDMpZRX","x-ratelimit-abusepenalty-active":"False","x-ratelimit-limit-requests":"1000","x-ratelimit-limit-tokens":"1000000","x-ratelimit-remaining-requests":"999","x-ratelimit-remaining-tokens":"998827","x-ratelimit-renewalperiod-requests":"60","x-ratelimit-renewalperiod-tokens":"60","x-ratelimit-reset-requests":"60","x-ratelimit-reset-tokens":"70","x-request-id":"5082a0dd-5bfc-4d2b-8841-0a0d1755f2a1","x-shellapi-request-id":"2026041309501840734998166277495"}</t>
        </is>
      </c>
      <c r="N38" t="inlineStr">
        <is>
          <t>Ralph Lauren navy half-zip long sleeve shirt made of premium cotton, soft and breathable with iconic red pony logo, unisex modern casual luxury style for comfort and timeless elegance.</t>
        </is>
      </c>
      <c r="O3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Lauren,T-Shirts,kakobuy,kakebuy2026,kekobuysheet,kakobuysheet2026,2026kakobuy,kakobuyspreadsheeet,kakobuylink,kakebuylist,Kakobuy MEGA Spreadsheet,kakobuysheetfind,kakobuysheetfind2026,2026kakobuysheetfind,kakobuysheet2026","refusal":null,"role":"assistant"}}],"created":1776061463,"id":"chatcmpl-DU50Z18L9xX9BPePK5IyBYvjJYcN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784,"prompt_tokens_details":{"audio_tokens":0,"cached_tokens":0},"total_tokens":872}}</t>
        </is>
      </c>
      <c r="P38" t="inlineStr">
        <is>
          <t>Ralph Lauren,T-Shirts,kakobuy,kakebuy2026,kekobuysheet,kakobuysheet2026,2026kakobuy,kakobuyspreadsheeet,kakobuylink,kakebuylist,Kakobuy MEGA Spreadsheet,kakobuysheetfind,kakobuysheetfind2026,2026kakobuysheetfind,kakobuysheet2026</t>
        </is>
      </c>
      <c r="Q38" t="inlineStr">
        <is>
          <t>Navy, Unisex, Comfort, Elegant</t>
        </is>
      </c>
      <c r="R38" t="inlineStr">
        <is>
          <t>recvgxFjjASccB</t>
        </is>
      </c>
      <c r="S38" t="inlineStr">
        <is>
          <t>ralph-lauren-navy-half-zip-cotton-long-sleeve-shirt-recvgxfjjasc</t>
        </is>
      </c>
      <c r="T38"/>
      <c r="U38"/>
      <c r="V38"/>
      <c r="W3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海军蓝半拉链长袖上衣，甄选优质棉质面料，触感柔软透气，胸前红色刺绣马标彰显品牌经典，简约运动休闲风格，男女皆宜，现代都市轻奢系列，展现优雅品味与舒适穿感。","refusal":null,"role":"assistant"}}],"created":1776044236,"id":"chatcmpl-DU0WiQMfBU7DqesdbhCQRM0RWTJRQ","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78,"completion_tokens_details":{"accepted_prediction_tokens":0,"audio_tokens":0,"reasoning_tokens":0,"rejected_prediction_tokens":0},"prompt_tokens":1296,"prompt_tokens_details":{"audio_tokens":0,"cached_tokens":0},"total_tokens":1374}}</t>
        </is>
      </c>
      <c r="X38" t="inlineStr">
        <is>
          <t>Ralph Lauren 海军蓝半拉链长袖上衣，甄选优质棉质面料，触感柔软透气，胸前红色刺绣马标彰显品牌经典，简约运动休闲风格，男女皆宜，现代都市轻奢系列，展现优雅品味与舒适穿感。</t>
        </is>
      </c>
    </row>
    <row r="39" ht="25.5" customHeight="1">
      <c r="A39">
        <v>1701442386</v>
      </c>
      <c r="B39">
        <v>7571306332</v>
      </c>
      <c r="C39" s="2" t="str">
        <f>=HYPERLINK("https://weidian.com/item.html?itemID=7571306332", "https://weidian.com/item.html?itemID=7571306332")</f>
        <v>https://weidian.com/item.html?itemID=7571306332</v>
      </c>
      <c r="D39"/>
      <c r="E39" s="2" t="str">
        <f>=HYPERLINK("https://si.geilicdn.com/open1701442386-252808396-587e00000199d269e0580a231226_800_800.jpg?w=750&amp;h=750&amp;cp=1", "https://si.geilicdn.com/open1701442386-252808396-587e00000199d269e0580a231226_800_800.jpg?w=750&amp;h=750&amp;cp=1")</f>
        <v>https://si.geilicdn.com/open1701442386-252808396-587e00000199d269e0580a231226_800_800.jpg?w=750&amp;h=750&amp;cp=1</v>
      </c>
      <c r="F39" t="inlineStr">
        <is>
          <t>Hoodies</t>
        </is>
      </c>
      <c r="G39" t="inlineStr">
        <is>
          <t>Broken Hearts</t>
        </is>
      </c>
      <c r="H39" t="inlineStr">
        <is>
          <t>191</t>
        </is>
      </c>
      <c r="I39">
        <v>27.68</v>
      </c>
      <c r="J3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 Broken Hearts Brown Cotton Unisex Hoodie Set","refusal":null,"role":"assistant"}}],"created":1776061269,"id":"chatcmpl-DU4xR2BWAUDcZam4S6O8tJ1nO4IL7","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869,"prompt_tokens_details":{"audio_tokens":0,"cached_tokens":0},"total_tokens":881}}</t>
        </is>
      </c>
      <c r="K39" t="inlineStr">
        <is>
          <t>Hoodes Broken Hearts Brown Cotton Unisex Hoodie Set</t>
        </is>
      </c>
      <c r="L39" t="inlineStr">
        <is>
          <t>{"choices":[{"content_filter_result":{"error":{"code":"content_filter_error","message":"The contents are not filtered"}},"content_filter_results":{},"finish_reason":"stop","index":0,"logprobs":null,"message":{"annotations":[],"content":"HoodesBroken Hearts Series brown cotton hoodie set with twin heart graphic and logo, soft, breathable, unisex retro streetwear for casual daily fashion style.","refusal":null,"role":"assistant"}}],"created":1776044930,"id":"chatcmpl-DU0hu92ewjDmrM9nyYKAISsNUczn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33,"completion_tokens_details":{"accepted_prediction_tokens":0,"audio_tokens":0,"reasoning_tokens":0,"rejected_prediction_tokens":0},"prompt_tokens":901,"prompt_tokens_details":{"audio_tokens":0,"cached_tokens":0},"total_tokens":934}}</t>
        </is>
      </c>
      <c r="M39" t="inlineStr">
        <is>
          <t>{"alt-svc":"h3=\":443\"; ma=2592000","apim-request-id":"abea7903-b4f4-4b16-97a6-83b9e2e87d6d","azureml-model-session":"d20260402083108-57a85543","connection":"close","content-length":"1168","content-type":"application/json","date":"Mon, 13 Apr 2026 01:48:52 GMT","skip-error-remapping":"true","strict-transport-security":"max-age=31536000; includeSubDomains; preload","via":"1.1 Caddy","x-accel-buffering":"no","x-content-type-options":"nosniff","x-ms-client-request-id":"Not-Set","x-ms-is-spilled-over":"false","x-ms-rai-invoked":"true","x-ms-region":"Sweden Central","x-new-api-version":"0.4.25-alpha.4","x-oneapi-request-id":"20260413014849212007113re1vBxBO","x-ratelimit-abusepenalty-active":"False","x-ratelimit-limit-requests":"1000","x-ratelimit-limit-tokens":"1000000","x-ratelimit-remaining-requests":"999","x-ratelimit-remaining-tokens":"998830","x-ratelimit-renewalperiod-requests":"60","x-ratelimit-renewalperiod-tokens":"60","x-ratelimit-reset-requests":"60","x-ratelimit-reset-tokens":"70","x-request-id":"831a4137-fa5d-41d6-aa41-36ea70c3bbc5","x-shellapi-request-id":"2026041309484916429632025237943"}</t>
        </is>
      </c>
      <c r="N39" t="inlineStr">
        <is>
          <t>HoodesBroken Hearts Series brown cotton hoodie set with twin heart graphic and logo, soft, breathable, unisex retro streetwear for casual daily fashion style.</t>
        </is>
      </c>
      <c r="O3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Broken Hearts,hoodie set,kakobuy,kakebuy2026,kekobuysheet,kakobuysheet2026,2026kakobuy,kakobuyspreadsheeet,kakobuylink,kakebuylist,Kakobuy MEGA Spreadsheet,kakobuysheetfind,kakobuysheetfind2026,2026kakobuysheetfind,kakobuysheet2026","refusal":null,"role":"assistant"}}],"created":1776061434,"id":"chatcmpl-DU506ddxOhWnr3I1ftri2VFGyGhI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is>
      </c>
      <c r="P39" t="inlineStr">
        <is>
          <t>HoodesBroken Hearts,hoodie set,kakobuy,kakebuy2026,kekobuysheet,kakobuysheet2026,2026kakobuy,kakobuyspreadsheeet,kakobuylink,kakebuylist,Kakobuy MEGA Spreadsheet,kakobuysheetfind,kakobuysheetfind2026,2026kakobuysheetfind,kakobuysheet2026</t>
        </is>
      </c>
      <c r="Q39" t="inlineStr">
        <is>
          <t>Brown, Unisex, Retro, Streetwear</t>
        </is>
      </c>
      <c r="R39" t="inlineStr">
        <is>
          <t>recvgxFjjA70J2</t>
        </is>
      </c>
      <c r="S39" t="inlineStr">
        <is>
          <t>hoodes-broken-hearts-brown-cotton-hoodie-recvgxFjjA70J2</t>
        </is>
      </c>
      <c r="T39"/>
      <c r="U39"/>
      <c r="V39"/>
      <c r="W3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roken Hearts 系列棕色连帽卫衣套装，采用优质纯棉材质，印有可爱双心碎图腾与品牌标识，柔软透气，彰显复古街头风格，男女皆宜，休闲穿搭首选。","refusal":null,"role":"assistant"}}],"created":1776044486,"id":"chatcmpl-DU0akZWU7thwweRX0y3sv4czwm43w","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63,"completion_tokens_details":{"accepted_prediction_tokens":0,"audio_tokens":0,"reasoning_tokens":0,"rejected_prediction_tokens":0},"prompt_tokens":1307,"prompt_tokens_details":{"audio_tokens":0,"cached_tokens":0},"total_tokens":1370}}</t>
        </is>
      </c>
      <c r="X39" t="inlineStr">
        <is>
          <t>Broken Hearts 系列棕色连帽卫衣套装，采用优质纯棉材质，印有可爱双心碎图腾与品牌标识，柔软透气，彰显复古街头风格，男女皆宜，休闲穿搭首选。</t>
        </is>
      </c>
    </row>
    <row r="40" ht="25.5" customHeight="1">
      <c r="A40">
        <v>1701442386</v>
      </c>
      <c r="B40">
        <v>7569485022</v>
      </c>
      <c r="C40" s="2" t="str">
        <f>=HYPERLINK("https://weidian.com/item.html?itemID=7569485022", "https://weidian.com/item.html?itemID=7569485022")</f>
        <v>https://weidian.com/item.html?itemID=7569485022</v>
      </c>
      <c r="D40"/>
      <c r="E40" s="2" t="str">
        <f>=HYPERLINK("https://si.geilicdn.com/open1701442386-252808396-509d00000199c74e11810aa0229a_800_800.jpg?w=750&amp;h=750&amp;cp=1", "https://si.geilicdn.com/open1701442386-252808396-509d00000199c74e11810aa0229a_800_800.jpg?w=750&amp;h=750&amp;cp=1")</f>
        <v>https://si.geilicdn.com/open1701442386-252808396-509d00000199c74e11810aa0229a_800_800.jpg?w=750&amp;h=750&amp;cp=1</v>
      </c>
      <c r="F40" t="inlineStr">
        <is>
          <t>Jackets</t>
        </is>
      </c>
      <c r="G40" t="inlineStr">
        <is>
          <t>Moncler</t>
        </is>
      </c>
      <c r="H40" t="inlineStr">
        <is>
          <t>440</t>
        </is>
      </c>
      <c r="I40">
        <v>63.77</v>
      </c>
      <c r="J4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cler Off-White Unisex Hooded Down Jacket","refusal":null,"role":"assistant"}}],"created":1776061263,"id":"chatcmpl-DU4xLkUGu19jhVxobZ5mMKpJRRhEs","model":"gpt-5-chat-2025-10-03","object":"chat.completion","prompt_filter_results":[{"prompt_index":0,"content_filter_results":{"jailbreak":{"detected":false,"filtered":false}}}],"system_fingerprint":"fp_ad66631dec","usage":{"completion_tokens":12,"completion_tokens_details":{"accepted_prediction_tokens":0,"audio_tokens":0,"reasoning_tokens":0,"rejected_prediction_tokens":0},"prompt_tokens":892,"prompt_tokens_details":{"audio_tokens":0,"cached_tokens":0},"total_tokens":904}}</t>
        </is>
      </c>
      <c r="K40" t="inlineStr">
        <is>
          <t>Moncler Off-White Unisex Hooded Down Jacket</t>
        </is>
      </c>
      <c r="L4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oncler Off-White Hooded Down Jacket, made with lightweight windproof nylon and premium goose down. Loose unisex fit, black embroidery logo, contrast lining—warm, breathable, and stylish for winter city wear.","refusal":null,"role":"assistant"}}],"created":1776044993,"id":"chatcmpl-DU0ivx7ZMO15IsL4O5971sFVwZKTd","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45,"completion_tokens_details":{"accepted_prediction_tokens":0,"audio_tokens":0,"reasoning_tokens":0,"rejected_prediction_tokens":0},"prompt_tokens":936,"prompt_tokens_details":{"audio_tokens":0,"cached_tokens":0},"total_tokens":981}}</t>
        </is>
      </c>
      <c r="M40" t="inlineStr">
        <is>
          <t>{"alt-svc":"h3=\":443\"; ma=2592000","apim-request-id":"d40805ae-a04b-4f76-af6e-2bf220e340e7","azureml-model-session":"d20260405212659-a9daa006","connection":"close","content-length":"1447","content-type":"application/json","date":"Mon, 13 Apr 2026 01:49:54 GMT","skip-error-remapping":"true","strict-transport-security":"max-age=31536000; includeSubDomains; preload","via":"1.1 Caddy","x-accel-buffering":"no","x-content-type-options":"nosniff","x-ms-client-request-id":"Not-Set","x-ms-is-spilled-over":"false","x-ms-rai-invoked":"true","x-ms-region":"Switzerland North","x-new-api-version":"0.4.25-alpha.4","x-oneapi-request-id":"202604130149522251207631Qq9ndE2","x-ratelimit-abusepenalty-active":"False","x-ratelimit-limit-requests":"1000","x-ratelimit-limit-tokens":"1000000","x-ratelimit-remaining-requests":"999","x-ratelimit-remaining-tokens":"998825","x-ratelimit-renewalperiod-requests":"60","x-ratelimit-renewalperiod-tokens":"60","x-ratelimit-reset-requests":"60","x-ratelimit-reset-tokens":"70","x-request-id":"e1ee947b-4763-42a6-adfa-25e6559fdb1e","x-shellapi-request-id":"2026041309495218897356695185853"}</t>
        </is>
      </c>
      <c r="N40" t="inlineStr">
        <is>
          <t>Moncler Off-White Hooded Down Jacket, made with lightweight windproof nylon and premium goose down. Loose unisex fit, black embroidery logo, contrast lining—warm, breathable, and stylish for winter city wear.</t>
        </is>
      </c>
      <c r="O4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1776061442,"id":"chatcmpl-DU50EoeuS80Waw7eXUWx22oOv29UB","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783,"prompt_tokens_details":{"audio_tokens":0,"cached_tokens":0},"total_tokens":874}}</t>
        </is>
      </c>
      <c r="P40" t="inlineStr">
        <is>
          <t>Moncler, Jackets, kakobuy, kakebuy2026, kekobuysheet, kakobuysheet2026, 2026kakobuy, kakobuyspreadsheeet, kakobuylink, kakebuylist, Kakobuy MEGA Spreadsheet, kakobuysheetfind, kakobuysheetfind2026, 2026kakobuysheetfind, kakobuysheet2026</t>
        </is>
      </c>
      <c r="Q40" t="inlineStr">
        <is>
          <t>Unisex, Winter, Nylon, Windproof, Breathable, Black</t>
        </is>
      </c>
      <c r="R40" t="inlineStr">
        <is>
          <t>recvgxFjjAqv9O</t>
        </is>
      </c>
      <c r="S40" t="inlineStr">
        <is>
          <t>moncler-off-white-hooded-down-jacket-recvgxfjjAqv9O</t>
        </is>
      </c>
      <c r="T40"/>
      <c r="U40"/>
      <c r="V40"/>
      <c r="W4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ther：米白色高蓬松连帽羽绒服，采用轻盈防风尼龙面料与优质鹅绒填充，保暖透气。简约立体剪裁搭配黑色刺绣标识与撞色内衬，彰显街头潮流美学。男女皆宜，休闲宽松版型适合冬季都市出行，兼顾功能性与时尚感。","refusal":null,"role":"assistant"}}],"created":1776044264,"id":"chatcmpl-DU0XAHvkPlzw0mCL9vCQNnevhid8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98,"completion_tokens_details":{"accepted_prediction_tokens":0,"audio_tokens":0,"reasoning_tokens":0,"rejected_prediction_tokens":0},"prompt_tokens":1308,"prompt_tokens_details":{"audio_tokens":0,"cached_tokens":1280},"total_tokens":1406}}</t>
        </is>
      </c>
      <c r="X40" t="inlineStr">
        <is>
          <t>Other：米白色高蓬松连帽羽绒服，采用轻盈防风尼龙面料与优质鹅绒填充，保暖透气。简约立体剪裁搭配黑色刺绣标识与撞色内衬，彰显街头潮流美学。男女皆宜，休闲宽松版型适合冬季都市出行，兼顾功能性与时尚感。</t>
        </is>
      </c>
    </row>
    <row r="41" ht="25.5" customHeight="1">
      <c r="A41">
        <v>1701442386</v>
      </c>
      <c r="B41">
        <v>7567543277</v>
      </c>
      <c r="C41" s="2" t="str">
        <f>=HYPERLINK("https://weidian.com/item.html?itemID=7567543277", "https://weidian.com/item.html?itemID=7567543277")</f>
        <v>https://weidian.com/item.html?itemID=7567543277</v>
      </c>
      <c r="D41"/>
      <c r="E41" s="2" t="str">
        <f>=HYPERLINK("https://si.geilicdn.com/open1701442386-252808396-61f700000199c720ffe80a231226_1200_1200.jpg?w=750&amp;h=750&amp;cp=1", "https://si.geilicdn.com/open1701442386-252808396-61f700000199c720ffe80a231226_1200_1200.jpg?w=750&amp;h=750&amp;cp=1")</f>
        <v>https://si.geilicdn.com/open1701442386-252808396-61f700000199c720ffe80a231226_1200_1200.jpg?w=750&amp;h=750&amp;cp=1</v>
      </c>
      <c r="F41" t="inlineStr">
        <is>
          <t>Jackets</t>
        </is>
      </c>
      <c r="G41" t="inlineStr">
        <is>
          <t>Off White</t>
        </is>
      </c>
      <c r="H41" t="inlineStr">
        <is>
          <t>154</t>
        </is>
      </c>
      <c r="I41">
        <v>22.32</v>
      </c>
      <c r="J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 White Arrow Print Cotton Sweatshirt Unisex Streetwear","refusal":null,"role":"assistant"}}],"created":1776061265,"id":"chatcmpl-DU4xNiXSp1R0nm3mvpcCy7njB6QY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870,"prompt_tokens_details":{"audio_tokens":0,"cached_tokens":0},"total_tokens":882}}</t>
        </is>
      </c>
      <c r="K41" t="inlineStr">
        <is>
          <t>Off White Arrow Print Cotton Sweatshirt Unisex Streetwear</t>
        </is>
      </c>
      <c r="L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White black cotton sweatshirt with iconic arrow graphic, artistic sleeve patch prints, unisex loose fit, streetwear style, bold design for modern urban fashion lovers.","refusal":null,"role":"assistant"}}],"created":1776044954,"id":"chatcmpl-DU0iIiLaUtA0GMlDV1nSJoVq28Cr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34,"completion_tokens_details":{"accepted_prediction_tokens":0,"audio_tokens":0,"reasoning_tokens":0,"rejected_prediction_tokens":0},"prompt_tokens":929,"prompt_tokens_details":{"audio_tokens":0,"cached_tokens":0},"total_tokens":963}}</t>
        </is>
      </c>
      <c r="M41" t="inlineStr">
        <is>
          <t>{"alt-svc":"h3=\":443\"; ma=2592000","apim-request-id":"bf25d460-1d06-4824-beff-379cb21f369a","azureml-model-session":"d20260405225800-40f19e54","connection":"close","content-length":"1408","content-type":"application/json","date":"Mon, 13 Apr 2026 01:49:16 GMT","skip-error-remapping":"true","strict-transport-security":"max-age=31536000; includeSubDomains; preload","via":"1.1 Caddy","x-accel-buffering":"no","x-content-type-options":"nosniff","x-ms-client-request-id":"Not-Set","x-ms-is-spilled-over":"false","x-ms-rai-invoked":"true","x-ms-region":"Australia East","x-new-api-version":"0.4.25-alpha.4","x-oneapi-request-id":"20260413014913683238298Yffnxg16","x-ratelimit-abusepenalty-active":"False","x-ratelimit-limit-requests":"1000","x-ratelimit-limit-tokens":"1000000","x-ratelimit-remaining-requests":"999","x-ratelimit-remaining-tokens":"998478","x-ratelimit-renewalperiod-requests":"60","x-ratelimit-renewalperiod-tokens":"60","x-ratelimit-reset-requests":"60","x-ratelimit-reset-tokens":"91","x-request-id":"5cdd67b0-0b1c-4af0-b5a0-5aac085619b6","x-shellapi-request-id":"2026041309491364628798287064960"}</t>
        </is>
      </c>
      <c r="N41" t="inlineStr">
        <is>
          <t>Off-White black cotton sweatshirt with iconic arrow graphic, artistic sleeve patch prints, unisex loose fit, streetwear style, bold design for modern urban fashion lovers.</t>
        </is>
      </c>
      <c r="O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White, Jacket, kakobuy, kakebuy2026, kekobuysheet, kakobuysheet2026, 2026kakobuy, kakobuyspreadsheeet, kakobuylink, kakebuylist, Kakobuy MEGA Spreadsheet, kakobuysheetfind, kakobuysheetfind2026, 2026kakobuysheetfind, kakobuysheet2026","refusal":null,"role":"assistant"}}],"created":1776061381,"id":"chatcmpl-DU4zFnJRCYE9BCi7f4rfFbs4wuEJS","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783,"prompt_tokens_details":{"audio_tokens":0,"cached_tokens":0},"total_tokens":875}}</t>
        </is>
      </c>
      <c r="P41" t="inlineStr">
        <is>
          <t>Off-White, Jacket, kakobuy, kakebuy2026, kekobuysheet, kakobuysheet2026, 2026kakobuy, kakobuyspreadsheeet, kakobuylink, kakebuylist, Kakobuy MEGA Spreadsheet, kakobuysheetfind, kakobuysheetfind2026, 2026kakobuysheetfind, kakobuysheet2026</t>
        </is>
      </c>
      <c r="Q41" t="inlineStr">
        <is>
          <t>Off-White, Black, Streetwear, Unisex, Modern</t>
        </is>
      </c>
      <c r="R41" t="inlineStr">
        <is>
          <t>recvgxFjjAoMz6</t>
        </is>
      </c>
      <c r="S41" t="inlineStr">
        <is>
          <t>off-white-arrow-print-cotton-sweatshirt-recvgxFjjAoMz6</t>
        </is>
      </c>
      <c r="T41"/>
      <c r="U41"/>
      <c r="V41"/>
      <c r="W4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White：黑色拼接印花箭头系列卫衣，采用纯棉材质，柔软舒适。背部醒目标志“箭头”几何图腾，袖部融入艺术拼框印花细节，彰显潮流前卫设计风格。宽松休闲版型，男女皆宜，街头艺术感浓厚，展现品牌独特美学。","refusal":null,"role":"assistant"}}],"created":1776044405,"id":"chatcmpl-DU0ZRE8RmYazaOcIlhImklY9FhRa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1308,"prompt_tokens_details":{"audio_tokens":0,"cached_tokens":0},"total_tokens":1399}}</t>
        </is>
      </c>
      <c r="X41" t="inlineStr">
        <is>
          <t>Off-White：黑色拼接印花箭头系列卫衣，采用纯棉材质，柔软舒适。背部醒目标志“箭头”几何图腾，袖部融入艺术拼框印花细节，彰显潮流前卫设计风格。宽松休闲版型，男女皆宜，街头艺术感浓厚，展现品牌独特美学。</t>
        </is>
      </c>
    </row>
    <row r="42" ht="25.5" customHeight="1">
      <c r="A42">
        <v>1701442386</v>
      </c>
      <c r="B42">
        <v>7569404797</v>
      </c>
      <c r="C42" s="2" t="str">
        <f>=HYPERLINK("https://weidian.com/item.html?itemID=7569404797", "https://weidian.com/item.html?itemID=7569404797")</f>
        <v>https://weidian.com/item.html?itemID=7569404797</v>
      </c>
      <c r="D42"/>
      <c r="E42" s="2" t="str">
        <f>=HYPERLINK("https://si.geilicdn.com/open1701442386-252808396-714800000199d2c68bdb0a231226_800_800.jpg?w=750&amp;h=750&amp;cp=1", "https://si.geilicdn.com/open1701442386-252808396-714800000199d2c68bdb0a231226_800_800.jpg?w=750&amp;h=750&amp;cp=1")</f>
        <v>https://si.geilicdn.com/open1701442386-252808396-714800000199d2c68bdb0a231226_800_800.jpg?w=750&amp;h=750&amp;cp=1</v>
      </c>
      <c r="F42" t="inlineStr">
        <is>
          <t>Jackets</t>
        </is>
      </c>
      <c r="G42" t="inlineStr">
        <is>
          <t>Canada Goose</t>
        </is>
      </c>
      <c r="H42" t="inlineStr">
        <is>
          <t>480</t>
        </is>
      </c>
      <c r="I42">
        <v>69.5797101449275</v>
      </c>
      <c r="J4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Down Parka Fur Hood Winter Coat","refusal":null,"role":"assistant"}}],"created":1776061167,"id":"chatcmpl-DU4vnRn8w3MzEWUdOAElQC7UgvVJu","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882,"prompt_tokens_details":{"audio_tokens":0,"cached_tokens":0},"total_tokens":893}}</t>
        </is>
      </c>
      <c r="K42" t="inlineStr">
        <is>
          <t>Canada Goose White Down Parka Fur Hood Winter Coat</t>
        </is>
      </c>
      <c r="L4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Down Parka – premium goose down fill, windproof and cold-resistant, real fur hood, unisex urban style, perfect for winter travel, outdoor activities, and daily wear.","refusal":null,"role":"assistant"}}],"created":1776044963,"id":"chatcmpl-DU0iRbwRVZSVLTUu20tsWTEi9ep21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40,"completion_tokens_details":{"accepted_prediction_tokens":0,"audio_tokens":0,"reasoning_tokens":0,"rejected_prediction_tokens":0},"prompt_tokens":911,"prompt_tokens_details":{"audio_tokens":0,"cached_tokens":0},"total_tokens":951}}</t>
        </is>
      </c>
      <c r="M42" t="inlineStr">
        <is>
          <t>{"alt-svc":"h3=\":443\"; ma=2592000","apim-request-id":"6eee7fbe-9a34-4439-8dfe-34a6d3899ccc","azureml-model-session":"d20260405225800-40f19e54","connection":"close","content-length":"1423","content-type":"application/json","date":"Mon, 13 Apr 2026 01:49:24 GMT","skip-error-remapping":"true","strict-transport-security":"max-age=31536000; includeSubDomains; preload","via":"1.1 Caddy","x-accel-buffering":"no","x-content-type-options":"nosniff","x-ms-client-request-id":"Not-Set","x-ms-is-spilled-over":"false","x-ms-rai-invoked":"true","x-ms-region":"Japan East","x-new-api-version":"0.4.25-alpha.4","x-oneapi-request-id":"202604130149216268965nMHffbON","x-ratelimit-abusepenalty-active":"False","x-ratelimit-limit-requests":"1000","x-ratelimit-limit-tokens":"1000000","x-ratelimit-remaining-requests":"999","x-ratelimit-remaining-tokens":"998827","x-ratelimit-renewalperiod-requests":"60","x-ratelimit-renewalperiod-tokens":"60","x-ratelimit-reset-requests":"60","x-ratelimit-reset-tokens":"70","x-request-id":"f3c5612e-549d-4f52-a4d5-1e04a8aa8ba0","x-shellapi-request-id":"2026041309492097043829864206396"}</t>
        </is>
      </c>
      <c r="N42" t="inlineStr">
        <is>
          <t>Canada Goose White Down Parka – premium goose down fill, windproof and cold-resistant, real fur hood, unisex urban style, perfect for winter travel, outdoor activities, and daily wear.</t>
        </is>
      </c>
      <c r="O4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1776061376,"id":"chatcmpl-DU4zAe0eKmMpHvHvqWpl3zTriYTLU","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91,"completion_tokens_details":{"accepted_prediction_tokens":0,"audio_tokens":0,"reasoning_tokens":0,"rejected_prediction_tokens":0},"prompt_tokens":814,"prompt_tokens_details":{"audio_tokens":0,"cached_tokens":0},"total_tokens":905}}</t>
        </is>
      </c>
      <c r="P42" t="inlineStr">
        <is>
          <t>Canada Goose, Jackets, kakobuy, kakebuy2026, kekobuysheet, kakobuysheet2026, 2026kakobuy, kakobuyspreadsheeet, kakobuylink, kakebuylist, Kakobuy MEGA Spreadsheet, kakobuysheetfind, kakobuysheetfind2026, 2026kakobuysheetfind, kakobuysheet2026</t>
        </is>
      </c>
      <c r="Q42"/>
      <c r="R42" t="inlineStr">
        <is>
          <t>recvgxFjjAdkqq</t>
        </is>
      </c>
      <c r="S42" t="inlineStr">
        <is>
          <t>canada-goose-white-down-parka-fur-hood-winter-coat-recvgxfjjadkqq</t>
        </is>
      </c>
      <c r="T42"/>
      <c r="U42"/>
      <c r="V42"/>
      <c r="W42"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nada Goose：白色羽绒派克大衣，高蓬松鹅绒填充，防风防寒功能卓越。配真毛连帽设计，休闲都市风格，男女通用款，保暖舒适兼具时尚品味，冬季户外旅行与日常穿搭皆宜。","refusal":null,"role":"assistant"}}],"created":1776044459,"id":"chatcmpl-DU0aJiyhgk5CqUsnZXKKpImwcUHg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74,"completion_tokens_details":{"accepted_prediction_tokens":0,"audio_tokens":0,"reasoning_tokens":0,"rejected_prediction_tokens":0},"prompt_tokens":1308,"prompt_tokens_details":{"audio_tokens":0,"cached_tokens":0},"total_tokens":1382}}</t>
        </is>
      </c>
      <c r="X42" t="inlineStr">
        <is>
          <t>Canada Goose：白色羽绒派克大衣，高蓬松鹅绒填充，防风防寒功能卓越。配真毛连帽设计，休闲都市风格，男女通用款，保暖舒适兼具时尚品味，冬季户外旅行与日常穿搭皆宜。</t>
        </is>
      </c>
    </row>
    <row r="43" ht="25.5" customHeight="1">
      <c r="A43">
        <v>1701442386</v>
      </c>
      <c r="B43">
        <v>7567596477</v>
      </c>
      <c r="C43" s="2" t="str">
        <f>=HYPERLINK("https://weidian.com/item.html?itemID=7567596477", "https://weidian.com/item.html?itemID=7567596477")</f>
        <v>https://weidian.com/item.html?itemID=7567596477</v>
      </c>
      <c r="D43"/>
      <c r="E43" s="2" t="str">
        <f>=HYPERLINK("https://si.geilicdn.com/open1701442386-252808396-586b00000199c71b20990a8133b0_800_800.jpg?w=750&amp;h=750&amp;cp=1", "https://si.geilicdn.com/open1701442386-252808396-586b00000199c71b20990a8133b0_800_800.jpg?w=750&amp;h=750&amp;cp=1")</f>
        <v>https://si.geilicdn.com/open1701442386-252808396-586b00000199c71b20990a8133b0_800_800.jpg?w=750&amp;h=750&amp;cp=1</v>
      </c>
      <c r="F43" t="inlineStr">
        <is>
          <t>Jackets</t>
        </is>
      </c>
      <c r="G43" t="inlineStr">
        <is>
          <t>Acne Studios</t>
        </is>
      </c>
      <c r="H43" t="inlineStr">
        <is>
          <t>336</t>
        </is>
      </c>
      <c r="I43">
        <v>48.695652173913</v>
      </c>
      <c r="J4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cne Studios Stockholm 1996 Black Unisex Hoodie","refusal":null,"role":"assistant"}}],"created":1776061166,"id":"chatcmpl-DU4vmpcJDg1V8qEP40uWyFJj7MnD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887,"prompt_tokens_details":{"audio_tokens":0,"cached_tokens":0},"total_tokens":899}}</t>
        </is>
      </c>
      <c r="K43" t="inlineStr">
        <is>
          <t>Acne Studios Stockholm 1996 Black Unisex Hoodie</t>
        </is>
      </c>
      <c r="L43"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cne Studios black classic cotton hoodie with “STOCKHOLM 1996” embroidery, unisex relaxed fit, soft texture, minimal Nordic design, perfect for casual streetwear and modern fashion style.","refusal":null,"role":"assistant"}}],"created":1776045032,"id":"chatcmpl-DU0jYyv8L1XYxrkYeyilTtFG8Uyr6","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42,"completion_tokens_details":{"accepted_prediction_tokens":0,"audio_tokens":0,"reasoning_tokens":0,"rejected_prediction_tokens":0},"prompt_tokens":917,"prompt_tokens_details":{"audio_tokens":0,"cached_tokens":0},"total_tokens":959}}</t>
        </is>
      </c>
      <c r="M43" t="inlineStr">
        <is>
          <t>{"alt-svc":"h3=\":443\"; ma=2592000","apim-request-id":"c28013ac-4596-4734-bf37-9155da6ddbf9","azureml-model-session":"d20260402084046-4209e968","connection":"close","content-length":"1403","content-type":"application/json","date":"Mon, 13 Apr 2026 01:50:33 GMT","skip-error-remapping":"true","strict-transport-security":"max-age=31536000; includeSubDomains; preload","via":"1.1 Caddy","x-accel-buffering":"no","x-content-type-options":"nosniff","x-ms-client-request-id":"Not-Set","x-ms-is-spilled-over":"false","x-ms-rai-invoked":"true","x-ms-region":"East US","x-new-api-version":"0.4.25-alpha.4","x-oneapi-request-id":"20260413015031175496109lBV5UQcN","x-ratelimit-abusepenalty-active":"False","x-ratelimit-limit-requests":"1000","x-ratelimit-limit-tokens":"1000000","x-ratelimit-remaining-requests":"999","x-ratelimit-remaining-tokens":"998824","x-ratelimit-renewalperiod-requests":"60","x-ratelimit-renewalperiod-tokens":"60","x-ratelimit-reset-requests":"60","x-ratelimit-reset-tokens":"70","x-request-id":"42e0e63d-72bf-452c-91b8-782d58efaee4","x-shellapi-request-id":"2026041309503113763499912070682"}</t>
        </is>
      </c>
      <c r="N43" t="inlineStr">
        <is>
          <t>Acne Studios black classic cotton hoodie with “STOCKHOLM 1996” embroidery, unisex relaxed fit, soft texture, minimal Nordic design, perfect for casual streetwear and modern fashion style.</t>
        </is>
      </c>
      <c r="O4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cne Studios, Jackets, kakobuy, kakebuy2026, kekobuysheet, kakobuysheet2026, 2026kakobuy, kakobuyspreadsheeet, kakobuylink, kakebuylist, Kakobuy MEGA Spreadsheet, kakobuysheetfind, kakobuysheetfind2026, 2026kakobuysheetfind, kakobuysheet2026","refusal":null,"role":"assistant"}}],"created":1776061505,"id":"chatcmpl-DU51Fm4cFAX5Wp07cuc2IYnAgnWt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784,"prompt_tokens_details":{"audio_tokens":0,"cached_tokens":0},"total_tokens":876}}</t>
        </is>
      </c>
      <c r="P43" t="inlineStr">
        <is>
          <t>Acne Studios, Jackets, kakobuy, kakebuy2026, kekobuysheet, kakobuysheet2026, 2026kakobuy, kakobuyspreadsheeet, kakobuylink, kakebuylist, Kakobuy MEGA Spreadsheet, kakobuysheetfind, kakobuysheetfind2026, 2026kakobuysheetfind, kakobuysheet2026</t>
        </is>
      </c>
      <c r="Q43" t="inlineStr">
        <is>
          <t>Black, Classic, Unisex, Streetwear, Modern</t>
        </is>
      </c>
      <c r="R43" t="inlineStr">
        <is>
          <t>recvgxFjjAYTwK</t>
        </is>
      </c>
      <c r="S43" t="inlineStr">
        <is>
          <t>acne-studios-stockholm-1996-black-hoodie-recvgxFjjAYTwK</t>
        </is>
      </c>
      <c r="T43"/>
      <c r="U43"/>
      <c r="V43"/>
      <c r="W4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cne Studios：黑色经典连帽卫衣，柔软棉质材质提供舒适触感，背面刺绣“STOCKHOLM 1996”字样彰显北欧极简设计魅力，宽松版型适合男女穿着，休闲街头风格，完美融合时尚与功能。","refusal":null,"role":"assistant"}}],"created":1776044315,"id":"chatcmpl-DU0XzOBXr3rycfzwshpqLJZz3DhU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77,"completion_tokens_details":{"accepted_prediction_tokens":0,"audio_tokens":0,"reasoning_tokens":0,"rejected_prediction_tokens":0},"prompt_tokens":1312,"prompt_tokens_details":{"audio_tokens":0,"cached_tokens":0},"total_tokens":1389}}</t>
        </is>
      </c>
      <c r="X43" t="inlineStr">
        <is>
          <t>Acne Studios：黑色经典连帽卫衣，柔软棉质材质提供舒适触感，背面刺绣“STOCKHOLM 1996”字样彰显北欧极简设计魅力，宽松版型适合男女穿着，休闲街头风格，完美融合时尚与功能。</t>
        </is>
      </c>
    </row>
    <row r="44" ht="25.5" customHeight="1">
      <c r="A44">
        <v>1701442386</v>
      </c>
      <c r="B44">
        <v>7567270429</v>
      </c>
      <c r="C44" s="2" t="str">
        <f>=HYPERLINK("https://weidian.com/item.html?itemID=7567270429", "https://weidian.com/item.html?itemID=7567270429")</f>
        <v>https://weidian.com/item.html?itemID=7567270429</v>
      </c>
      <c r="D44"/>
      <c r="E44" s="2" t="str">
        <f>=HYPERLINK("https://si.geilicdn.com/open1701442386-252808396-0dd100000199c382b0750a23b4de_800_800.jpg?w=750&amp;h=750&amp;cp=1", "https://si.geilicdn.com/open1701442386-252808396-0dd100000199c382b0750a23b4de_800_800.jpg?w=750&amp;h=750&amp;cp=1")</f>
        <v>https://si.geilicdn.com/open1701442386-252808396-0dd100000199c382b0750a23b4de_800_800.jpg?w=750&amp;h=750&amp;cp=1</v>
      </c>
      <c r="F44" t="inlineStr">
        <is>
          <t>Jackets</t>
        </is>
      </c>
      <c r="G44" t="inlineStr">
        <is>
          <t>Sp5der</t>
        </is>
      </c>
      <c r="H44" t="inlineStr">
        <is>
          <t>182</t>
        </is>
      </c>
      <c r="I44">
        <v>26.38</v>
      </c>
      <c r="J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p5der Black Punk Street Cotton Hoodie Unisex","refusal":null,"role":"assistant"}}],"created":1776061240,"id":"chatcmpl-DU4wy93zjUKRdQfHeKY9FMr4EMKN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879,"prompt_tokens_details":{"audio_tokens":0,"cached_tokens":0},"total_tokens":890}}</t>
        </is>
      </c>
      <c r="K44" t="inlineStr">
        <is>
          <t>Sp5der Black Punk Street Cotton Hoodie Unisex</t>
        </is>
      </c>
      <c r="L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JacketsSp5derSp5der black street hoodie made of premium cotton, featuring colorful spiderweb and letter print, punk-inspired design, loose unisex fit showing millennium fashion attitude.","refusal":null,"role":"assistant"}}],"created":1776044907,"id":"chatcmpl-DU0hXtGMmGzrgWteYSTAOu9930ir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904,"prompt_tokens_details":{"audio_tokens":0,"cached_tokens":0},"total_tokens":942}}</t>
        </is>
      </c>
      <c r="M44" t="inlineStr">
        <is>
          <t>{"alt-svc":"h3=\":443\"; ma=2592000","apim-request-id":"175f3cfd-6326-4cb7-88d1-c323c0c14f69","azureml-model-session":"d20260405221325-2e8d5e76","connection":"close","content-length":"1423","content-type":"application/json","date":"Mon, 13 Apr 2026 01:48:29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20260413014826763621814OzxT2Buk","x-ratelimit-abusepenalty-active":"False","x-ratelimit-limit-requests":"1000","x-ratelimit-limit-tokens":"1000000","x-ratelimit-remaining-requests":"999","x-ratelimit-remaining-tokens":"998832","x-ratelimit-renewalperiod-requests":"60","x-ratelimit-renewalperiod-tokens":"60","x-ratelimit-reset-requests":"60","x-ratelimit-reset-tokens":"70","x-request-id":"3abe0b24-a392-4c92-acf3-b1c2b48cabe4","x-shellapi-request-id":"2026041309482672797523712181072"}</t>
        </is>
      </c>
      <c r="N44" t="inlineStr">
        <is>
          <t>JacketsSp5derSp5der black street hoodie made of premium cotton, featuring colorful spiderweb and letter print, punk-inspired design, loose unisex fit showing millennium fashion attitude.</t>
        </is>
      </c>
      <c r="O4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JacketsSp5der,Hoodie,kakobuy,kakebuy2026,kekobuysheet,kakobuysheet2026,2026kakobuy,kakobuyspreadsheeet,kakobuylink,kakebuylist,Kakobuy MEGA Spreadsheet,kakobuysheetfind,kakobuysheetfind2026,2026kakobuysheetfind,kakobuysheet2026","refusal":null,"role":"assistant"}}],"created":1776061445,"id":"chatcmpl-DU50HLW0zRKKWznrN6tn50Ms8BxV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784,"prompt_tokens_details":{"audio_tokens":0,"cached_tokens":0},"total_tokens":875}}</t>
        </is>
      </c>
      <c r="P44" t="inlineStr">
        <is>
          <t>JacketsSp5der,Hoodie,kakobuy,kakebuy2026,kekobuysheet,kakobuysheet2026,2026kakobuy,kakobuyspreadsheeet,kakobuylink,kakebuylist,Kakobuy MEGA Spreadsheet,kakobuysheetfind,kakobuysheetfind2026,2026kakobuysheetfind,kakobuysheet2026</t>
        </is>
      </c>
      <c r="Q44" t="inlineStr">
        <is>
          <t>Black, Punk, Unisex, Street, Streetwear</t>
        </is>
      </c>
      <c r="R44" t="inlineStr">
        <is>
          <t>recvgxFjjAWmwH</t>
        </is>
      </c>
      <c r="S44" t="inlineStr">
        <is>
          <t>sp5der-black-punk-street-cotton-hoodie-recvgxfjjawmwh</t>
        </is>
      </c>
      <c r="T44"/>
      <c r="U44"/>
      <c r="V44"/>
      <c r="W4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p5der：黑色街头系列连帽卫衣，采用优质纯棉材质，胸前亮点蜘蛛网与彩色字母图腾，融合朋克设计美学，宽松休闲版型男女皆宜，彰显千禧年代潮流态度。","refusal":null,"role":"assistant"}}],"created":1776044459,"id":"chatcmpl-DU0aJfmrs2d7VNNY4OJvh6XGGrzOX","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64,"completion_tokens_details":{"accepted_prediction_tokens":0,"audio_tokens":0,"reasoning_tokens":0,"rejected_prediction_tokens":0},"prompt_tokens":1312,"prompt_tokens_details":{"audio_tokens":0,"cached_tokens":1280},"total_tokens":1376}}</t>
        </is>
      </c>
      <c r="X44" t="inlineStr">
        <is>
          <t>Sp5der：黑色街头系列连帽卫衣，采用优质纯棉材质，胸前亮点蜘蛛网与彩色字母图腾，融合朋克设计美学，宽松休闲版型男女皆宜，彰显千禧年代潮流态度。</t>
        </is>
      </c>
    </row>
    <row r="45" ht="25.5" customHeight="1">
      <c r="A45">
        <v>1701442386</v>
      </c>
      <c r="B45">
        <v>7571333140</v>
      </c>
      <c r="C45" s="2" t="str">
        <f>=HYPERLINK("https://weidian.com/item.html?itemID=7571333140", "https://weidian.com/item.html?itemID=7571333140")</f>
        <v>https://weidian.com/item.html?itemID=7571333140</v>
      </c>
      <c r="D45"/>
      <c r="E45" s="2" t="str">
        <f>=HYPERLINK("https://si.geilicdn.com/open1701442386-252808396-320e00000199d2d8e6830aa043f9_750_750.jpg?w=640&amp;h=640", "https://si.geilicdn.com/open1701442386-252808396-320e00000199d2d8e6830aa043f9_750_750.jpg?w=640&amp;h=640")</f>
        <v>https://si.geilicdn.com/open1701442386-252808396-320e00000199d2d8e6830aa043f9_750_750.jpg?w=640&amp;h=640</v>
      </c>
      <c r="F45" t="inlineStr">
        <is>
          <t>Jackets</t>
        </is>
      </c>
      <c r="G45" t="inlineStr">
        <is>
          <t>Carhartt</t>
        </is>
      </c>
      <c r="H45" t="inlineStr">
        <is>
          <t>193</t>
        </is>
      </c>
      <c r="I45">
        <v>27.97</v>
      </c>
      <c r="J4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rhartt Khaki Crewneck Workwear Sweatshirt Unisex Casual","refusal":null,"role":"assistant"}}],"created":1776061218,"id":"chatcmpl-DU4wcpCJhuk6Kqk1SiEnbRJm1mTN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15,"completion_tokens_details":{"accepted_prediction_tokens":0,"audio_tokens":0,"reasoning_tokens":0,"rejected_prediction_tokens":0},"prompt_tokens":891,"prompt_tokens_details":{"audio_tokens":0,"cached_tokens":0},"total_tokens":906}}</t>
        </is>
      </c>
      <c r="K45" t="inlineStr">
        <is>
          <t>Carhartt Khaki Crewneck Workwear Sweatshirt Unisex Casual</t>
        </is>
      </c>
      <c r="L4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rhartt Classic Workwear Crewneck Sweatshirt, made from thick soft cotton for warmth and comfort, features square chest logo, khaki color, unisex loose fit, perfect for casual street or daily wear.","refusal":null,"role":"assistant"}}],"created":1776044983,"id":"chatcmpl-DU0iltR5jICsb01JerXF1qRquYG4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44,"completion_tokens_details":{"accepted_prediction_tokens":0,"audio_tokens":0,"reasoning_tokens":0,"rejected_prediction_tokens":0},"prompt_tokens":913,"prompt_tokens_details":{"audio_tokens":0,"cached_tokens":0},"total_tokens":957}}</t>
        </is>
      </c>
      <c r="M45" t="inlineStr">
        <is>
          <t>{"alt-svc":"h3=\":443\"; ma=2592000","apim-request-id":"152c5bfc-7dae-4979-9e44-96123469d0e4","azureml-model-session":"d20260402075109-1fc5a0ec","connection":"close","content-length":"1435","content-type":"application/json","date":"Mon, 13 Apr 2026 01:49:45 GMT","skip-error-remapping":"true","strict-transport-security":"max-age=31536000; includeSubDomains; preload","via":"1.1 Caddy","x-accel-buffering":"no","x-content-type-options":"nosniff","x-ms-client-request-id":"Not-Set","x-ms-is-spilled-over":"false","x-ms-rai-invoked":"true","x-ms-region":"UK South","x-new-api-version":"0.4.25-alpha.4","x-oneapi-request-id":"20260413014942795760448DQ3ojnmj","x-ratelimit-abusepenalty-active":"False","x-ratelimit-limit-requests":"1000","x-ratelimit-limit-tokens":"1000000","x-ratelimit-remaining-requests":"999","x-ratelimit-remaining-tokens":"998829","x-ratelimit-renewalperiod-requests":"60","x-ratelimit-renewalperiod-tokens":"60","x-ratelimit-reset-requests":"60","x-ratelimit-reset-tokens":"70","x-request-id":"6705ed0d-8b35-4c10-be28-4dad6ee04a04","x-shellapi-request-id":"2026041309494275580607148049348"}</t>
        </is>
      </c>
      <c r="N45" t="inlineStr">
        <is>
          <t>Carhartt Classic Workwear Crewneck Sweatshirt, made from thick soft cotton for warmth and comfort, features square chest logo, khaki color, unisex loose fit, perfect for casual street or daily wear.</t>
        </is>
      </c>
      <c r="O4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rhartt,Jackets,kakobuy,kakebuy2026,kekobuysheet,kakobuysheet2026,2026kakobuy,kakobuyspreadsheeet,kakobuylink,kakebuylist,Kakobuy MEGA Spreadsheet,kakobuysheetfind,kakobuysheetfind2026,2026kakobuysheetfind,kakobuysheet2026","refusal":null,"role":"assistant"}}],"created":1776061383,"id":"chatcmpl-DU4zHgaKciTiYECnBHGuOIBs8sY3y","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784,"prompt_tokens_details":{"audio_tokens":0,"cached_tokens":0},"total_tokens":872}}</t>
        </is>
      </c>
      <c r="P45" t="inlineStr">
        <is>
          <t>Carhartt,Jackets,kakobuy,kakebuy2026,kekobuysheet,kakobuysheet2026,2026kakobuy,kakobuyspreadsheeet,kakobuylink,kakebuylist,Kakobuy MEGA Spreadsheet,kakobuysheetfind,kakobuysheetfind2026,2026kakobuysheetfind,kakobuysheet2026</t>
        </is>
      </c>
      <c r="Q45" t="inlineStr">
        <is>
          <t>Unisex, Streetwear</t>
        </is>
      </c>
      <c r="R45" t="inlineStr">
        <is>
          <t>recvgxFjjAsfnC</t>
        </is>
      </c>
      <c r="S45" t="inlineStr">
        <is>
          <t>carhartt-khaki-crewneck-workwear-sweatshirt-recvgxfjjAsfnC</t>
        </is>
      </c>
      <c r="T45"/>
      <c r="U45"/>
      <c r="V45"/>
      <c r="W4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rhartt：经典工装系列卡其色圆领卫衣，厚实纯棉材质柔软保暖，胸前方形Logo简约有型，宽松中性版型适合男女穿搭，复古街头风格演绎休闲质感，日常出行与都市混搭皆宜。","refusal":null,"role":"assistant"}}],"created":1776044221,"id":"chatcmpl-DU0WT0kUkUFDWL3ITlL8jr6336Vm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76,"completion_tokens_details":{"accepted_prediction_tokens":0,"audio_tokens":0,"reasoning_tokens":0,"rejected_prediction_tokens":0},"prompt_tokens":1306,"prompt_tokens_details":{"audio_tokens":0,"cached_tokens":0},"total_tokens":1382}}</t>
        </is>
      </c>
      <c r="X45" t="inlineStr">
        <is>
          <t>Carhartt：经典工装系列卡其色圆领卫衣，厚实纯棉材质柔软保暖，胸前方形Logo简约有型，宽松中性版型适合男女穿搭，复古街头风格演绎休闲质感，日常出行与都市混搭皆宜。</t>
        </is>
      </c>
    </row>
    <row r="46" ht="25.5" customHeight="1">
      <c r="A46">
        <v>1701442386</v>
      </c>
      <c r="B46">
        <v>7571284560</v>
      </c>
      <c r="C46" s="2" t="str">
        <f>=HYPERLINK("https://weidian.com/item.html?itemID=7571284560", "https://weidian.com/item.html?itemID=7571284560")</f>
        <v>https://weidian.com/item.html?itemID=7571284560</v>
      </c>
      <c r="D46"/>
      <c r="E46" s="2" t="str">
        <f>=HYPERLINK("https://si.geilicdn.com/open1701442386-252808396-14c700000199d26b3b530aa043f9_800_800.jpg?w=640&amp;h=640", "https://si.geilicdn.com/open1701442386-252808396-14c700000199d26b3b530aa043f9_800_800.jpg?w=640&amp;h=640")</f>
        <v>https://si.geilicdn.com/open1701442386-252808396-14c700000199d26b3b530aa043f9_800_800.jpg?w=640&amp;h=640</v>
      </c>
      <c r="F46" t="inlineStr">
        <is>
          <t>Hoodies</t>
        </is>
      </c>
      <c r="G46" t="inlineStr">
        <is>
          <t xml:space="preserve"> Palm Angels</t>
        </is>
      </c>
      <c r="H46" t="inlineStr">
        <is>
          <t>147</t>
        </is>
      </c>
      <c r="I46">
        <v>21.3043478261</v>
      </c>
      <c r="J4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lm Angels Street Style Black Cotton Logo Hoodie","refusal":null,"role":"assistant"}}],"created":1776061189,"id":"chatcmpl-DU4w9uyzvKqD2Tp96o26x0NHa3p3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completion_tokens_details":{"accepted_prediction_tokens":0,"audio_tokens":0,"reasoning_tokens":0,"rejected_prediction_tokens":0},"prompt_tokens":883,"prompt_tokens_details":{"audio_tokens":0,"cached_tokens":0},"total_tokens":892}}</t>
        </is>
      </c>
      <c r="K46" t="inlineStr">
        <is>
          <t>Palm Angels Street Style Black Cotton Logo Hoodie</t>
        </is>
      </c>
      <c r="L46"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Palm Angels Street Style Black Hoodie crafted from heavyweight cotton for warmth and comfort, featuring iconic logo prints on front and back, loose fit, drawstring hood, and kangaroo pocket for urban fashion.","refusal":null,"role":"assistant"}}],"created":1776044958,"id":"chatcmpl-DU0iMJPoOfQeyLJH4iW6YTsJjZIO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40,"completion_tokens_details":{"accepted_prediction_tokens":0,"audio_tokens":0,"reasoning_tokens":0,"rejected_prediction_tokens":0},"prompt_tokens":943,"prompt_tokens_details":{"audio_tokens":0,"cached_tokens":0},"total_tokens":983}}</t>
        </is>
      </c>
      <c r="M46" t="inlineStr">
        <is>
          <t>{"alt-svc":"h3=\":443\"; ma=2592000","apim-request-id":"ff41d40d-57d3-4fe4-8c05-d064bfb936f0","azureml-model-session":"d20260402074105-51db401e","connection":"close","content-length":"1420","content-type":"application/json","date":"Mon, 13 Apr 2026 01:49:22 GMT","skip-error-remapping":"true","strict-transport-security":"max-age=31536000; includeSubDomains; preload","via":"1.1 Caddy","x-accel-buffering":"no","x-content-type-options":"nosniff","x-ms-client-request-id":"Not-Set","x-ms-is-spilled-over":"false","x-ms-rai-invoked":"true","x-ms-region":"Sweden Central","x-new-api-version":"0.4.25-alpha.4","x-oneapi-request-id":"20260413014917770115647qIGxX95C","x-ratelimit-abusepenalty-active":"False","x-ratelimit-limit-requests":"1000","x-ratelimit-limit-tokens":"1000000","x-ratelimit-remaining-requests":"999","x-ratelimit-remaining-tokens":"998820","x-ratelimit-renewalperiod-requests":"60","x-ratelimit-renewalperiod-tokens":"60","x-ratelimit-reset-requests":"60","x-ratelimit-reset-tokens":"70","x-request-id":"ea8bc301-3fb7-49f7-9ed7-ddd31e52c554","x-shellapi-request-id":"2026041309491773225283165370338"}</t>
        </is>
      </c>
      <c r="N46" t="inlineStr">
        <is>
          <t>Palm Angels Street Style Black Hoodie crafted from heavyweight cotton for warmth and comfort, featuring iconic logo prints on front and back, loose fit, drawstring hood, and kangaroo pocket for urban fashion.</t>
        </is>
      </c>
      <c r="O4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lm Angels,Hoodie,kakobuy,kakebuy2026,kekobuysheet,kakobuysheet2026,2026kakobuy,kakobuyspreadsheeet,kakobuylink,kakebuylist,Kakobuy MEGA Spreadsheet,kakobuysheetfind,kakobuysheetfind2026,2026kakobuysheetfind,kakobuysheet2026","refusal":null,"role":"assistant"}}],"created":1776061499,"id":"chatcmpl-DU5191Ny7nTWZ9wmPDXzssykV7XSG","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784,"prompt_tokens_details":{"audio_tokens":0,"cached_tokens":0},"total_tokens":872}}</t>
        </is>
      </c>
      <c r="P46" t="inlineStr">
        <is>
          <t>Palm Angels,Hoodie,kakobuy,kakebuy2026,kekobuysheet,kakobuysheet2026,2026kakobuy,kakobuyspreadsheeet,kakobuylink,kakebuylist,Kakobuy MEGA Spreadsheet,kakobuysheetfind,kakobuysheetfind2026,2026kakobuysheetfind,kakobuysheet2026</t>
        </is>
      </c>
      <c r="Q46" t="inlineStr">
        <is>
          <t>Streetwear, Black, Comfort, Fashion, Unisex</t>
        </is>
      </c>
      <c r="R46" t="inlineStr">
        <is>
          <t>recvgxFjjA1HzM</t>
        </is>
      </c>
      <c r="S46" t="inlineStr">
        <is>
          <t>palm-angels-street-style-black-cotton-logo-hoodie-recvgxfjja1hzm</t>
        </is>
      </c>
      <c r="T46"/>
      <c r="U46"/>
      <c r="V46"/>
      <c r="W4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lm Angels：街头系列黑色连帽卫衣，选用高克重纯棉材质，柔软舒适且保暖。胸前及背部印有品牌标志性字母印花，彰显潮流态度。宽松剪裁结合抽绳帽与袋鼠兜设计，兼具实用与时尚感。男女皆宜，都市街头风格凸显个性与自由精神，适合日常休闲穿搭。","refusal":null,"role":"assistant"}}],"created":1776044434,"id":"chatcmpl-DU0ZukeyGKQrYedvZRHuCWa8lSqq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107,"completion_tokens_details":{"accepted_prediction_tokens":0,"audio_tokens":0,"reasoning_tokens":0,"rejected_prediction_tokens":0},"prompt_tokens":1303,"prompt_tokens_details":{"audio_tokens":0,"cached_tokens":0},"total_tokens":1410}}</t>
        </is>
      </c>
      <c r="X46" t="inlineStr">
        <is>
          <t>Palm Angels：街头系列黑色连帽卫衣，选用高克重纯棉材质，柔软舒适且保暖。胸前及背部印有品牌标志性字母印花，彰显潮流态度。宽松剪裁结合抽绳帽与袋鼠兜设计，兼具实用与时尚感。男女皆宜，都市街头风格凸显个性与自由精神，适合日常休闲穿搭。</t>
        </is>
      </c>
    </row>
    <row r="47" ht="25.5" customHeight="1">
      <c r="A47">
        <v>1701442386</v>
      </c>
      <c r="B47"/>
      <c r="C47" s="2" t="str">
        <f>=HYPERLINK("https://weidian.com/item.html?itemID=7569396253", "https://weidian.com/item.html?itemID=7569396253")</f>
        <v>https://weidian.com/item.html?itemID=7569396253</v>
      </c>
      <c r="D47"/>
      <c r="E47" s="2" t="str">
        <f>=HYPERLINK("https://si.geilicdn.com/open1701442386-252808396-52c800000199d25d998b0a22d249_1440_1920.jpg?w=640&amp;h=640", "https://si.geilicdn.com/open1701442386-252808396-52c800000199d25d998b0a22d249_1440_1920.jpg?w=640&amp;h=640")</f>
        <v>https://si.geilicdn.com/open1701442386-252808396-52c800000199d25d998b0a22d249_1440_1920.jpg?w=640&amp;h=640</v>
      </c>
      <c r="F47" t="inlineStr">
        <is>
          <t>Sweaters</t>
        </is>
      </c>
      <c r="G47" t="inlineStr">
        <is>
          <t>Ralph Lauren</t>
        </is>
      </c>
      <c r="H47" t="inlineStr">
        <is>
          <t>108</t>
        </is>
      </c>
      <c r="I47">
        <v>15.65</v>
      </c>
      <c r="J4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Navy Wool Cable Knit Sweater","refusal":null,"role":"assistant"}}],"created":1776061286,"id":"chatcmpl-DU4xiqIzk8uEtWeq0moeLB16RWQI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877,"prompt_tokens_details":{"audio_tokens":0,"cached_tokens":0},"total_tokens":888}}</t>
        </is>
      </c>
      <c r="K47" t="inlineStr">
        <is>
          <t>Ralph Lauren Classic Navy Wool Cable Knit Sweater</t>
        </is>
      </c>
      <c r="L4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Classic Navy Cable Knit Wool Sweater, warm and soft, timeless texture for elegant taste, unisex design brings vintage preppy style, perfect for everyday casual layering.","refusal":null,"role":"assistant"}}],"created":1776044985,"id":"chatcmpl-DU0in5vNtOERRnB6nJC1GSE6bejez","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37,"completion_tokens_details":{"accepted_prediction_tokens":0,"audio_tokens":0,"reasoning_tokens":0,"rejected_prediction_tokens":0},"prompt_tokens":913,"prompt_tokens_details":{"audio_tokens":0,"cached_tokens":0},"total_tokens":950}}</t>
        </is>
      </c>
      <c r="M47" t="inlineStr">
        <is>
          <t>{"alt-svc":"h3=\":443\"; ma=2592000","apim-request-id":"e4a19a99-c09f-4c7f-b74e-aca19e2d9f23","azureml-model-session":"d20260405221325-2e8d5e76","connection":"close","content-length":"1394","content-type":"application/json","date":"Mon, 13 Apr 2026 01:49:46 GMT","skip-error-remapping":"true","strict-transport-security":"max-age=31536000; includeSubDomains; preload","via":"1.1 Caddy","x-accel-buffering":"no","x-content-type-options":"nosniff","x-ms-client-request-id":"Not-Set","x-ms-is-spilled-over":"false","x-ms-rai-invoked":"true","x-ms-region":"Sweden Central","x-new-api-version":"0.4.25-alpha.4","x-oneapi-request-id":"2026041301494446958653ZgAJACec","x-ratelimit-abusepenalty-active":"False","x-ratelimit-limit-requests":"1000","x-ratelimit-limit-tokens":"1000000","x-ratelimit-remaining-requests":"999","x-ratelimit-remaining-tokens":"998828","x-ratelimit-renewalperiod-requests":"60","x-ratelimit-renewalperiod-tokens":"60","x-ratelimit-reset-requests":"60","x-ratelimit-reset-tokens":"70","x-request-id":"8835c0ad-0a8f-41d3-a00e-ce19cc492b0c","x-shellapi-request-id":"202604130949441128477831843956"}</t>
        </is>
      </c>
      <c r="N47" t="inlineStr">
        <is>
          <t>Ralph Lauren Classic Navy Cable Knit Wool Sweater, warm and soft, timeless texture for elegant taste, unisex design brings vintage preppy style, perfect for everyday casual layering.</t>
        </is>
      </c>
      <c r="O4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Sweaters, kakobuy, kakebuy2026, kekobuysheet, kakobuysheet2026, 2026kakobuy, kakobuyspreadsheeet, kakobuylink, kakebuylist, Kakobuy MEGA Spreadsheet, kakobuysheetfind, kakobuysheetfind2026, 2026kakobuysheetfind, kakobuysheet2026","refusal":null,"role":"assistant"}}],"created":1776061494,"id":"chatcmpl-DU514MzicQSq4i4ZcQF966GMeiOUF","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93,"completion_tokens_details":{"accepted_prediction_tokens":0,"audio_tokens":0,"reasoning_tokens":0,"rejected_prediction_tokens":0},"prompt_tokens":784,"prompt_tokens_details":{"audio_tokens":0,"cached_tokens":0},"total_tokens":877}}</t>
        </is>
      </c>
      <c r="P47" t="inlineStr">
        <is>
          <t>Ralph Lauren, Sweaters, kakobuy, kakebuy2026, kekobuysheet, kakobuysheet2026, 2026kakobuy, kakobuyspreadsheeet, kakobuylink, kakebuylist, Kakobuy MEGA Spreadsheet, kakobuysheetfind, kakobuysheetfind2026, 2026kakobuysheetfind, kakobuysheet2026</t>
        </is>
      </c>
      <c r="Q47" t="inlineStr">
        <is>
          <t>Wool, Unisex, Vintage, Preppy</t>
        </is>
      </c>
      <c r="R47" t="inlineStr">
        <is>
          <t>recvgxFjjAl0BS</t>
        </is>
      </c>
      <c r="S47" t="inlineStr">
        <is>
          <t>ralph-lauren-navy-wool-cable-knit-sweater-recvgxfjjal0bs</t>
        </is>
      </c>
      <c r="T47"/>
      <c r="U47"/>
      <c r="V47"/>
      <c r="W4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经典海军蓝麻花针织圆领毛衣，甄选纯羊毛材质，保暖舒适。简约立体编织纹理凸显优雅品味，适合男女皆宜，展现美式学院复古风格，日常休闲与层次穿搭皆宜。","refusal":null,"role":"assistant"}}],"created":1776044373,"id":"chatcmpl-DU0YvZa38BqtkimP1abbdrc5eIKh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75,"completion_tokens_details":{"accepted_prediction_tokens":0,"audio_tokens":0,"reasoning_tokens":0,"rejected_prediction_tokens":0},"prompt_tokens":1308,"prompt_tokens_details":{"audio_tokens":0,"cached_tokens":0},"total_tokens":1383}}</t>
        </is>
      </c>
      <c r="X47" t="inlineStr">
        <is>
          <t>Ralph Lauren：经典海军蓝麻花针织圆领毛衣，甄选纯羊毛材质，保暖舒适。简约立体编织纹理凸显优雅品味，适合男女皆宜，展现美式学院复古风格，日常休闲与层次穿搭皆宜。</t>
        </is>
      </c>
    </row>
    <row r="48" ht="25.5" customHeight="1">
      <c r="A48">
        <v>1701442386</v>
      </c>
      <c r="B48">
        <v>7569395543</v>
      </c>
      <c r="C48" s="2" t="str">
        <f>=HYPERLINK("https://weidian.com/item.html?itemID=7569395543", "https://weidian.com/item.html?itemID=7569395543")</f>
        <v>https://weidian.com/item.html?itemID=7569395543</v>
      </c>
      <c r="D48"/>
      <c r="E48" s="2" t="str">
        <f>=HYPERLINK("https://si.geilicdn.com/open1701442386-252808396-54ed00000199d2c9eabd0aa0229a_1120_1120.jpg?w=750&amp;h=750&amp;cp=1", "https://si.geilicdn.com/open1701442386-252808396-54ed00000199d2c9eabd0aa0229a_1120_1120.jpg?w=750&amp;h=750&amp;cp=1")</f>
        <v>https://si.geilicdn.com/open1701442386-252808396-54ed00000199d2c9eabd0aa0229a_1120_1120.jpg?w=750&amp;h=750&amp;cp=1</v>
      </c>
      <c r="F48" t="inlineStr">
        <is>
          <t>Jackets</t>
        </is>
      </c>
      <c r="G48" t="inlineStr">
        <is>
          <t>Stone Island</t>
        </is>
      </c>
      <c r="H48" t="inlineStr">
        <is>
          <t>356</t>
        </is>
      </c>
      <c r="I48">
        <v>51.59</v>
      </c>
      <c r="J4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Off-White Tech Windproof Jacket","refusal":null,"role":"assistant"}}],"created":1776061289,"id":"chatcmpl-DU4xlduPAo7hZEFBhV2pSkBddjAj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892,"prompt_tokens_details":{"audio_tokens":0,"cached_tokens":0},"total_tokens":902}}</t>
        </is>
      </c>
      <c r="K48" t="inlineStr">
        <is>
          <t>Stone Island Off-White Tech Windproof Jacket</t>
        </is>
      </c>
      <c r="L4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Off-White Tech Windproof Jacket, crafted from high-density fabric with a 3D cut design, features iconic sleeve badge, sleek minimalist style, ideal for urban casual and outdoor wear for men and women.","refusal":null,"role":"assistant"}}],"created":1776044987,"id":"chatcmpl-DU0ipX2KNNn4RunNsIMRTsUMWSsOO","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45,"completion_tokens_details":{"accepted_prediction_tokens":0,"audio_tokens":0,"reasoning_tokens":0,"rejected_prediction_tokens":0},"prompt_tokens":908,"prompt_tokens_details":{"audio_tokens":0,"cached_tokens":0},"total_tokens":953}}</t>
        </is>
      </c>
      <c r="M48" t="inlineStr">
        <is>
          <t>{"alt-svc":"h3=\":443\"; ma=2592000","apim-request-id":"e2f086ed-d004-4a4b-87e1-2eac0653973d","azureml-model-session":"d20260405234249-f9874baf","connection":"close","content-length":"1425","content-type":"application/json","date":"Mon, 13 Apr 2026 01:49:48 GMT","skip-error-remapping":"true","strict-transport-security":"max-age=31536000; includeSubDomains; preload","via":"1.1 Caddy","x-accel-buffering":"no","x-content-type-options":"nosniff","x-ms-client-request-id":"Not-Set","x-ms-is-spilled-over":"false","x-ms-rai-invoked":"true","x-ms-region":"East US 2","x-new-api-version":"0.4.25-alpha.4","x-oneapi-request-id":"20260413014946137476951DHd4gWAr","x-ratelimit-abusepenalty-active":"False","x-ratelimit-limit-requests":"1000","x-ratelimit-limit-tokens":"1000000","x-ratelimit-remaining-requests":"999","x-ratelimit-remaining-tokens":"998827","x-ratelimit-renewalperiod-requests":"60","x-ratelimit-renewalperiod-tokens":"60","x-ratelimit-reset-requests":"60","x-ratelimit-reset-tokens":"70","x-request-id":"055f6156-db0d-4540-9d9b-fce687860fd1","x-shellapi-request-id":"2026041309494610101137596864955"}</t>
        </is>
      </c>
      <c r="N48" t="inlineStr">
        <is>
          <t>Stone Island Off-White Tech Windproof Jacket, crafted from high-density fabric with a 3D cut design, features iconic sleeve badge, sleek minimalist style, ideal for urban casual and outdoor wear for men and women.</t>
        </is>
      </c>
      <c r="O4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Jackets, kakobuy, kakebuy2026, kekobuysheet, kakobuysheet2026, 2026kakobuy, kakobuyspreadsheeet, kakobuylink, kakebuylist, Kakobuy MEGA Spreadsheet, kakobuysheetfind, kakobuysheetfind2026, 2026kakobuysheetfind, kakobuysheet2026","refusal":null,"role":"assistant"}}],"created":1776061431,"id":"chatcmpl-DU5033Lpwwj7iUMGI6Yx2mFQPh1k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is>
      </c>
      <c r="P48" t="inlineStr">
        <is>
          <t>Stone Island, Jackets, kakobuy, kakebuy2026, kekobuysheet, kakobuysheet2026, 2026kakobuy, kakobuyspreadsheeet, kakobuylink, kakebuylist, Kakobuy MEGA Spreadsheet, kakobuysheetfind, kakobuysheetfind2026, 2026kakobuysheetfind, kakobuysheet2026</t>
        </is>
      </c>
      <c r="Q48" t="inlineStr">
        <is>
          <t>Windproof, Unisex, Minimalist, Outdoor, Streetwear</t>
        </is>
      </c>
      <c r="R48" t="inlineStr">
        <is>
          <t>recvgxFjjA1xMr</t>
        </is>
      </c>
      <c r="S48" t="inlineStr">
        <is>
          <t>stone-island-off-white-tech-windproof-jacket-recvgxfjja1xmr</t>
        </is>
      </c>
      <c r="T48"/>
      <c r="U48"/>
      <c r="V48"/>
      <c r="W4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one Island：米白色功能型防风外套，采用高密度科技面料与立体剪裁设计，袖标徽章彰显品牌辨识度，整体简约利落兼具实用美学，男女皆宜，适合都市休闲与户外穿搭。","refusal":null,"role":"assistant"}}],"created":1776044216,"id":"chatcmpl-DU0WOH4n0mPOUPD4BkDJsaFC6o34l","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66,"completion_tokens_details":{"accepted_prediction_tokens":0,"audio_tokens":0,"reasoning_tokens":0,"rejected_prediction_tokens":0},"prompt_tokens":1316,"prompt_tokens_details":{"audio_tokens":0,"cached_tokens":0},"total_tokens":1382}}</t>
        </is>
      </c>
      <c r="X48" t="inlineStr">
        <is>
          <t>Stone Island：米白色功能型防风外套，采用高密度科技面料与立体剪裁设计，袖标徽章彰显品牌辨识度，整体简约利落兼具实用美学，男女皆宜，适合都市休闲与户外穿搭。</t>
        </is>
      </c>
    </row>
    <row r="49" ht="25.5" customHeight="1">
      <c r="A49">
        <v>1701442386</v>
      </c>
      <c r="B49">
        <v>7571405906</v>
      </c>
      <c r="C49" s="2" t="str">
        <f>=HYPERLINK("https://weidian.com/item.html?itemID=7571405906", "https://weidian.com/item.html?itemID=7571405906")</f>
        <v>https://weidian.com/item.html?itemID=7571405906</v>
      </c>
      <c r="D49"/>
      <c r="E49" s="2" t="str">
        <f>=HYPERLINK("https://si.geilicdn.com/open1701442386-252808396-2a8c00000199d2c1a1200aa043f9_1200_1200.jpg?w=750&amp;h=750&amp;cp=1", "https://si.geilicdn.com/open1701442386-252808396-2a8c00000199d2c1a1200aa043f9_1200_1200.jpg?w=750&amp;h=750&amp;cp=1")</f>
        <v>https://si.geilicdn.com/open1701442386-252808396-2a8c00000199d2c1a1200aa043f9_1200_1200.jpg?w=750&amp;h=750&amp;cp=1</v>
      </c>
      <c r="F49" t="inlineStr">
        <is>
          <t>Hoodies</t>
        </is>
      </c>
      <c r="G49" t="inlineStr">
        <is>
          <t>Balenciaga</t>
        </is>
      </c>
      <c r="H49" t="inlineStr">
        <is>
          <t>498</t>
        </is>
      </c>
      <c r="I49">
        <v>72.17</v>
      </c>
      <c r="J4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Grey Patchwork Oversized Unisex Hoodie","refusal":null,"role":"assistant"}}],"created":1776061241,"id":"chatcmpl-DU4wzu6CQiWZC9HnfU5HUrWJmSvA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882,"prompt_tokens_details":{"audio_tokens":0,"cached_tokens":0},"total_tokens":894}}</t>
        </is>
      </c>
      <c r="K49" t="inlineStr">
        <is>
          <t>Balenciaga Grey Patchwork Oversized Unisex Hoodie</t>
        </is>
      </c>
      <c r="L4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Hooded Sweatshirt: Grey patchwork design crafted from premium cotton blend. Loose fit with layered shoulders, round neck, and long sleeves for modern unisex minimalist street style.","refusal":null,"role":"assistant"}}],"created":1776044913,"id":"chatcmpl-DU0hddxpY9igjUy0zpjy2dzCulWk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39,"completion_tokens_details":{"accepted_prediction_tokens":0,"audio_tokens":0,"reasoning_tokens":0,"rejected_prediction_tokens":0},"prompt_tokens":929,"prompt_tokens_details":{"audio_tokens":0,"cached_tokens":0},"total_tokens":968}}</t>
        </is>
      </c>
      <c r="M49" t="inlineStr">
        <is>
          <t>{"alt-svc":"h3=\":443\"; ma=2592000","apim-request-id":"8a8cbce1-9e28-490b-864b-6873a005b2e2","azureml-model-session":"d20260402083108-57a85543","connection":"close","content-length":"1404","content-type":"application/json","date":"Mon, 13 Apr 2026 01:48:33 GMT","skip-error-remapping":"true","strict-transport-security":"max-age=31536000; includeSubDomains; preload","via":"1.1 Caddy","x-accel-buffering":"no","x-content-type-options":"nosniff","x-ms-client-request-id":"Not-Set","x-ms-is-spilled-over":"false","x-ms-rai-invoked":"true","x-ms-region":"East US 2","x-new-api-version":"0.4.25-alpha.4","x-oneapi-request-id":"20260413014831688094655Zevj45qF","x-ratelimit-abusepenalty-active":"False","x-ratelimit-limit-requests":"1000","x-ratelimit-limit-tokens":"1000000","x-ratelimit-remaining-requests":"999","x-ratelimit-remaining-tokens":"998826","x-ratelimit-renewalperiod-requests":"60","x-ratelimit-renewalperiod-tokens":"60","x-ratelimit-reset-requests":"60","x-ratelimit-reset-tokens":"70","x-request-id":"f0fcb98c-6a97-4132-930a-e1f870b0f9d6","x-shellapi-request-id":"2026041309483164248756193850939"}</t>
        </is>
      </c>
      <c r="N49" t="inlineStr">
        <is>
          <t>Balenciaga Hooded Sweatshirt: Grey patchwork design crafted from premium cotton blend. Loose fit with layered shoulders, round neck, and long sleeves for modern unisex minimalist street style.</t>
        </is>
      </c>
      <c r="O4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Hoodie,kakobuy,kakebuy2026,kekobuysheet,kakobuysheet2026,2026kakobuy,kakobuyspreadsheeet,kakobuylink,kakebuylist,Kakobuy MEGA Spreadsheet,kakobuysheetfind,kakobuysheetfind2026,2026kakobuysheetfind,kakobuysheet2026","refusal":null,"role":"assistant"}}],"created":1776061472,"id":"chatcmpl-DU50imjyoVIjaLM5VKZu7JA5lLQqm","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89,"completion_tokens_details":{"accepted_prediction_tokens":0,"audio_tokens":0,"reasoning_tokens":0,"rejected_prediction_tokens":0},"prompt_tokens":785,"prompt_tokens_details":{"audio_tokens":0,"cached_tokens":0},"total_tokens":874}}</t>
        </is>
      </c>
      <c r="P49" t="inlineStr">
        <is>
          <t>Balenciaga,Hoodie,kakobuy,kakebuy2026,kekobuysheet,kakobuysheet2026,2026kakobuy,kakobuyspreadsheeet,kakobuylink,kakebuylist,Kakobuy MEGA Spreadsheet,kakobuysheetfind,kakobuysheetfind2026,2026kakobuysheetfind,kakobuysheet2026</t>
        </is>
      </c>
      <c r="Q49" t="inlineStr">
        <is>
          <t>Balenciaga, Grey, Minimalist, Streetwear, Unisex</t>
        </is>
      </c>
      <c r="R49" t="inlineStr">
        <is>
          <t>recvgxFjjA3t8x</t>
        </is>
      </c>
      <c r="S49" t="inlineStr">
        <is>
          <t>balenciaga-grey-patchwork-oversized-hoodie-recvgxfjja3t8x</t>
        </is>
      </c>
      <c r="T49"/>
      <c r="U49"/>
      <c r="V49"/>
      <c r="W4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灰色拼接卫衣，采用优质棉质混纺面料，剪裁宽松廓形设计，肩部叠搭结构展现前卫解构风格。简约圆领搭配微落肩长袖，展现极简街头时尚魅力，男女皆宜，日常与潮流并存。","refusal":null,"role":"assistant"}}],"created":1776044282,"id":"chatcmpl-DU0XSc2J0poGV72jK44PiwN99UJt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83,"completion_tokens_details":{"accepted_prediction_tokens":0,"audio_tokens":0,"reasoning_tokens":0,"rejected_prediction_tokens":0},"prompt_tokens":1323,"prompt_tokens_details":{"audio_tokens":0,"cached_tokens":0},"total_tokens":1406}}</t>
        </is>
      </c>
      <c r="X49" t="inlineStr">
        <is>
          <t>Balenciaga：灰色拼接卫衣，采用优质棉质混纺面料，剪裁宽松廓形设计，肩部叠搭结构展现前卫解构风格。简约圆领搭配微落肩长袖，展现极简街头时尚魅力，男女皆宜，日常与潮流并存。</t>
        </is>
      </c>
    </row>
    <row r="50" ht="25.5" customHeight="1">
      <c r="A50">
        <v>1701442386</v>
      </c>
      <c r="B50">
        <v>7569404771</v>
      </c>
      <c r="C50" s="2" t="str">
        <f>=HYPERLINK("https://weidian.com/item.html?itemID=7569404771", "https://weidian.com/item.html?itemID=7569404771")</f>
        <v>https://weidian.com/item.html?itemID=7569404771</v>
      </c>
      <c r="D50"/>
      <c r="E50" s="2" t="str">
        <f>=HYPERLINK("https://si.geilicdn.com/open1701442386-252808396-511a00000199d2ba8cf20aa0229a_735_978.jpg?w=640&amp;h=640", "https://si.geilicdn.com/open1701442386-252808396-511a00000199d2ba8cf20aa0229a_735_978.jpg?w=640&amp;h=640")</f>
        <v>https://si.geilicdn.com/open1701442386-252808396-511a00000199d2ba8cf20aa0229a_735_978.jpg?w=640&amp;h=640</v>
      </c>
      <c r="F50" t="inlineStr">
        <is>
          <t>Jackets</t>
        </is>
      </c>
      <c r="G50" t="inlineStr">
        <is>
          <t>The North  Face</t>
        </is>
      </c>
      <c r="H50" t="inlineStr">
        <is>
          <t>560</t>
        </is>
      </c>
      <c r="I50">
        <v>81.16</v>
      </c>
      <c r="J5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Grey White Long Down Jacket","refusal":null,"role":"assistant"}}],"created":1776061231,"id":"chatcmpl-DU4wpYEjdVCGIxcnzpUk73TrRrAS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completion_tokens_details":{"accepted_prediction_tokens":0,"audio_tokens":0,"reasoning_tokens":0,"rejected_prediction_tokens":0},"prompt_tokens":868,"prompt_tokens_details":{"audio_tokens":0,"cached_tokens":0},"total_tokens":877}}</t>
        </is>
      </c>
      <c r="K50" t="inlineStr">
        <is>
          <t>The North Face Grey White Long Down Jacket</t>
        </is>
      </c>
      <c r="L5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long grey-white down jacket with hood, windproof high-density nylon fabric, warm urban style, perfect for men and women winter outdoor travel.","refusal":null,"role":"assistant"}}],"created":1776044913,"id":"chatcmpl-DU0hdN47b6hh8M6NHp0ZRIAdFzY1o","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32,"completion_tokens_details":{"accepted_prediction_tokens":0,"audio_tokens":0,"reasoning_tokens":0,"rejected_prediction_tokens":0},"prompt_tokens":886,"prompt_tokens_details":{"audio_tokens":0,"cached_tokens":0},"total_tokens":918}}</t>
        </is>
      </c>
      <c r="M50" t="inlineStr">
        <is>
          <t>{"alt-svc":"h3=\":443\"; ma=2592000","apim-request-id":"398032b0-e21b-4d8d-8d6a-01caf41a6796","azureml-model-session":"d20260405234249-f9874baf","connection":"close","content-length":"1369","content-type":"application/json","date":"Mon, 13 Apr 2026 01:48:33 GMT","skip-error-remapping":"true","strict-transport-security":"max-age=31536000; includeSubDomains; preload","via":"1.1 Caddy","x-accel-buffering":"no","x-content-type-options":"nosniff","x-ms-client-request-id":"Not-Set","x-ms-is-spilled-over":"false","x-ms-rai-invoked":"true","x-ms-region":"East US 2","x-new-api-version":"0.4.25-alpha.4","x-oneapi-request-id":"202604130148322851170322IXDICE7","x-ratelimit-abusepenalty-active":"False","x-ratelimit-limit-requests":"1000","x-ratelimit-limit-tokens":"1000000","x-ratelimit-remaining-requests":"999","x-ratelimit-remaining-tokens":"998833","x-ratelimit-renewalperiod-requests":"60","x-ratelimit-renewalperiod-tokens":"60","x-ratelimit-reset-requests":"60","x-ratelimit-reset-tokens":"70","x-request-id":"7693da56-0f22-4f23-b6a5-05773e29e3e5","x-shellapi-request-id":"2026041309483222743081953826298"}</t>
        </is>
      </c>
      <c r="N50" t="inlineStr">
        <is>
          <t>The North Face long grey-white down jacket with hood, windproof high-density nylon fabric, warm urban style, perfect for men and women winter outdoor travel.</t>
        </is>
      </c>
      <c r="O5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Jacket, kakobuy, kakebuy2026, kekobuysheet, kakobuysheet2026, 2026kakobuy, kakobuyspreadsheeet, kakobuylink, kakebuylist, Kakobuy MEGA Spreadsheet, kakobuysheetfind, kakobuysheetfind2026, 2026kakobuysheetfind, kakobuysheet2026","refusal":null,"role":"assistant"}}],"created":1776061404,"id":"chatcmpl-DU4zcJEeD8dv8gB5hytJ2dyu5ydqA","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785,"prompt_tokens_details":{"audio_tokens":0,"cached_tokens":0},"total_tokens":877}}</t>
        </is>
      </c>
      <c r="P50" t="inlineStr">
        <is>
          <t>The North Face, Jacket, kakobuy, kakebuy2026, kekobuysheet, kakobuysheet2026, 2026kakobuy, kakobuyspreadsheeet, kakobuylink, kakebuylist, Kakobuy MEGA Spreadsheet, kakobuysheetfind, kakobuysheetfind2026, 2026kakobuysheetfind, kakobuysheet2026</t>
        </is>
      </c>
      <c r="Q50" t="inlineStr">
        <is>
          <t>Windproof, Nylon, Winter, Unisex, Outdoor, Gray</t>
        </is>
      </c>
      <c r="R50" t="inlineStr">
        <is>
          <t>recvgxFjjAFUvM</t>
        </is>
      </c>
      <c r="S50" t="inlineStr">
        <is>
          <t>the-north-face-grey-white-long-down-jacket-recvgxfjjafuvm</t>
        </is>
      </c>
      <c r="T50"/>
      <c r="U50"/>
      <c r="V50"/>
      <c r="W50"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灰白色长款羽绒外套，含帽防风设计，高密度尼龙面料保暖抗寒，简约都市风格，男女皆宜冬季出行必备。","refusal":null,"role":"assistant"}}],"created":1776044442,"id":"chatcmpl-DU0a2my8UDqOgX37XJy2mY6EOcKAP","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50,"completion_tokens_details":{"accepted_prediction_tokens":0,"audio_tokens":0,"reasoning_tokens":0,"rejected_prediction_tokens":0},"prompt_tokens":1306,"prompt_tokens_details":{"audio_tokens":0,"cached_tokens":1280},"total_tokens":1356}}</t>
        </is>
      </c>
      <c r="X50" t="inlineStr">
        <is>
          <t>The North Face 灰白色长款羽绒外套，含帽防风设计，高密度尼龙面料保暖抗寒，简约都市风格，男女皆宜冬季出行必备。</t>
        </is>
      </c>
    </row>
    <row r="51" ht="25.5" customHeight="1">
      <c r="A51">
        <v>1701442386</v>
      </c>
      <c r="B51">
        <v>7566774047</v>
      </c>
      <c r="C51" s="2" t="str">
        <f>=HYPERLINK("https://weidian.com/item.html?itemID=7566774047", "https://weidian.com/item.html?itemID=7566774047")</f>
        <v>https://weidian.com/item.html?itemID=7566774047</v>
      </c>
      <c r="D51"/>
      <c r="E51" s="2" t="str">
        <f>=HYPERLINK("https://si.geilicdn.com/open1701442386-252808396-126800000199bda3ffc20aa0229a_1066_1066.jpg?w=750&amp;h=750&amp;cp=1", "https://si.geilicdn.com/open1701442386-252808396-126800000199bda3ffc20aa0229a_1066_1066.jpg?w=750&amp;h=750&amp;cp=1")</f>
        <v>https://si.geilicdn.com/open1701442386-252808396-126800000199bda3ffc20aa0229a_1066_1066.jpg?w=750&amp;h=750&amp;cp=1</v>
      </c>
      <c r="F51" t="inlineStr">
        <is>
          <t>Jackets</t>
        </is>
      </c>
      <c r="G51" t="inlineStr">
        <is>
          <t>Ralph Lauren</t>
        </is>
      </c>
      <c r="H51" t="inlineStr">
        <is>
          <t>159</t>
        </is>
      </c>
      <c r="I51">
        <v>23.04</v>
      </c>
      <c r="J5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Black Cotton Zip Hoodie Unisex Jacket","refusal":null,"role":"assistant"}}],"created":1776061173,"id":"chatcmpl-DU4vtVAXExSJD9uYBEkYRp6d2Ydfe","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11,"completion_tokens_details":{"accepted_prediction_tokens":0,"audio_tokens":0,"reasoning_tokens":0,"rejected_prediction_tokens":0},"prompt_tokens":881,"prompt_tokens_details":{"audio_tokens":0,"cached_tokens":0},"total_tokens":892}}</t>
        </is>
      </c>
      <c r="K51" t="inlineStr">
        <is>
          <t>Ralph Lauren Black Cotton Zip Hoodie Unisex Jacket</t>
        </is>
      </c>
      <c r="L5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Black Full-Zip Hoodie, crafted from soft cotton with red pony embroidery. Features kangaroo pockets, unisex relaxed fit, blending preppy style and modern urban comfort.","refusal":null,"role":"assistant"}}],"created":1776044906,"id":"chatcmpl-DU0hWiMPesu1eqeOxIuhLxR7qPSW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933,"prompt_tokens_details":{"audio_tokens":0,"cached_tokens":0},"total_tokens":972}}</t>
        </is>
      </c>
      <c r="M51" t="inlineStr">
        <is>
          <t>{"alt-svc":"h3=\":443\"; ma=2592000","apim-request-id":"8db1a046-bd8c-4720-8c71-3f0685eaf2a3","azureml-model-session":"d20260402084046-4209e968","connection":"close","content-length":"1426","content-type":"application/json","date":"Mon, 13 Apr 2026 01:48:28 GMT","skip-error-remapping":"true","strict-transport-security":"max-age=31536000; includeSubDomains; preload","via":"1.1 Caddy","x-accel-buffering":"no","x-content-type-options":"nosniff","x-ms-client-request-id":"Not-Set","x-ms-is-spilled-over":"false","x-ms-rai-invoked":"true","x-ms-region":"Japan East","x-new-api-version":"0.4.25-alpha.4","x-oneapi-request-id":"20260413014825511695917XlXHz0gJ","x-ratelimit-abusepenalty-active":"False","x-ratelimit-limit-requests":"1000","x-ratelimit-limit-tokens":"1000000","x-ratelimit-remaining-requests":"999","x-ratelimit-remaining-tokens":"998821","x-ratelimit-renewalperiod-requests":"60","x-ratelimit-renewalperiod-tokens":"60","x-ratelimit-reset-requests":"60","x-ratelimit-reset-tokens":"70","x-request-id":"a4c3e4ec-7808-44fe-8e53-25cb9f72f7fc","x-shellapi-request-id":"2026041309482547565419120915332"}</t>
        </is>
      </c>
      <c r="N51" t="inlineStr">
        <is>
          <t>Ralph Lauren Classic Black Full-Zip Hoodie, crafted from soft cotton with red pony embroidery. Features kangaroo pockets, unisex relaxed fit, blending preppy style and modern urban comfort.</t>
        </is>
      </c>
      <c r="O5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1776061491,"id":"chatcmpl-DU511K0zUPVarvZDYbCWorQka3gas","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is>
      </c>
      <c r="P51" t="inlineStr">
        <is>
          <t>Ralph Lauren, Jackets, kakobuy, kakebuy2026, kekobuysheet, kakobuysheet2026, 2026kakobuy, kakobuyspreadsheeet, kakobuylink, kakebuylist, Kakobuy MEGA Spreadsheet, kakobuysheetfind, kakobuysheetfind2026, 2026kakobuysheetfind, kakobuysheet2026</t>
        </is>
      </c>
      <c r="Q51" t="inlineStr">
        <is>
          <t>Black, Preppy, Unisex</t>
        </is>
      </c>
      <c r="R51" t="inlineStr">
        <is>
          <t>recvgxFjjA0YZK</t>
        </is>
      </c>
      <c r="S51" t="inlineStr">
        <is>
          <t>ralph-lauren-black-cotton-zip-hoodie-recvgxfjja0yzk</t>
        </is>
      </c>
      <c r="T51"/>
      <c r="U51"/>
      <c r="V51"/>
      <c r="W5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经典黑色全拉链连帽卫衣，精选柔软纯棉面料，胸前红色马标刺绣彰显品牌优雅传承。双袋袋鼠口设计兼具实用与休闲感，宽松剪裁适合男女皆宜。融合美式学院风格与现代都市气息，展现经典与舒适并存的时尚魅力。","refusal":null,"role":"assistant"}}],"created":1776044432,"id":"chatcmpl-DU0ZsrVrNczAiKMgDqRdfgINqV14e","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94,"completion_tokens_details":{"accepted_prediction_tokens":0,"audio_tokens":0,"reasoning_tokens":0,"rejected_prediction_tokens":0},"prompt_tokens":1312,"prompt_tokens_details":{"audio_tokens":0,"cached_tokens":1280},"total_tokens":1406}}</t>
        </is>
      </c>
      <c r="X51" t="inlineStr">
        <is>
          <t>Ralph Lauren：经典黑色全拉链连帽卫衣，精选柔软纯棉面料，胸前红色马标刺绣彰显品牌优雅传承。双袋袋鼠口设计兼具实用与休闲感，宽松剪裁适合男女皆宜。融合美式学院风格与现代都市气息，展现经典与舒适并存的时尚魅力。</t>
        </is>
      </c>
    </row>
    <row r="52" ht="25.5" customHeight="1">
      <c r="A52">
        <v>1701442386</v>
      </c>
      <c r="B52">
        <v>7567608731</v>
      </c>
      <c r="C52" s="2" t="str">
        <f>=HYPERLINK("https://weidian.com/item.html?itemID=7567608731", "https://weidian.com/item.html?itemID=7567608731")</f>
        <v>https://weidian.com/item.html?itemID=7567608731</v>
      </c>
      <c r="D52"/>
      <c r="E52" s="2" t="str">
        <f>=HYPERLINK("https://si.geilicdn.com/open1701442386-252808396-681900000199c753cb810a8133b0_800_800.jpg?w=750&amp;h=750&amp;cp=1", "https://si.geilicdn.com/open1701442386-252808396-681900000199c753cb810a8133b0_800_800.jpg?w=750&amp;h=750&amp;cp=1")</f>
        <v>https://si.geilicdn.com/open1701442386-252808396-681900000199c753cb810a8133b0_800_800.jpg?w=750&amp;h=750&amp;cp=1</v>
      </c>
      <c r="F52" t="inlineStr">
        <is>
          <t>Hoodies</t>
        </is>
      </c>
      <c r="G52" t="inlineStr">
        <is>
          <t>Essentials</t>
        </is>
      </c>
      <c r="H52" t="inlineStr">
        <is>
          <t>94</t>
        </is>
      </c>
      <c r="I52">
        <v>13.62</v>
      </c>
      <c r="J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 Beige Hoodie Unisex Pullover Streetwear Sweatshirt","refusal":null,"role":"assistant"}}],"created":1776061220,"id":"chatcmpl-DU4weF8CunielPWKbhhN9p4SpWT7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13,"completion_tokens_details":{"accepted_prediction_tokens":0,"audio_tokens":0,"reasoning_tokens":0,"rejected_prediction_tokens":0},"prompt_tokens":879,"prompt_tokens_details":{"audio_tokens":0,"cached_tokens":0},"total_tokens":892}}</t>
        </is>
      </c>
      <c r="K52" t="inlineStr">
        <is>
          <t>Essentials Beige Hoodie Unisex Pullover Streetwear Sweatshirt</t>
        </is>
      </c>
      <c r="L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 Beige Hoodie made from premium cotton blend, soft and breathable. Features bold black logo, kangaroo pocket, and relaxed fit. Unisex streetwear style for casual urban fashion.","refusal":null,"role":"assistant"}}],"created":1776044956,"id":"chatcmpl-DU0iK2pK8OngFiZpkz2L6JyRCDCz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934,"prompt_tokens_details":{"audio_tokens":0,"cached_tokens":0},"total_tokens":972}}</t>
        </is>
      </c>
      <c r="M52" t="inlineStr">
        <is>
          <t>{"alt-svc":"h3=\":443\"; ma=2592000","apim-request-id":"f374fe99-31b9-4a9b-a32a-4edd89561dcf","azureml-model-session":"d20260405225800-40f19e54","connection":"close","content-length":"1423","content-type":"application/json","date":"Mon, 13 Apr 2026 01:49:17 GMT","skip-error-remapping":"true","strict-transport-security":"max-age=31536000; includeSubDomains; preload","via":"1.1 Caddy","x-accel-buffering":"no","x-content-type-options":"nosniff","x-ms-client-request-id":"Not-Set","x-ms-is-spilled-over":"false","x-ms-rai-invoked":"true","x-ms-region":"UK South","x-new-api-version":"0.4.25-alpha.4","x-oneapi-request-id":"20260413014915803155503Xfo9u8CW","x-ratelimit-abusepenalty-active":"False","x-ratelimit-limit-requests":"1000","x-ratelimit-limit-tokens":"1000000","x-ratelimit-remaining-requests":"999","x-ratelimit-remaining-tokens":"998823","x-ratelimit-renewalperiod-requests":"60","x-ratelimit-renewalperiod-tokens":"60","x-ratelimit-reset-requests":"60","x-ratelimit-reset-tokens":"70","x-request-id":"26cf6a3c-5ae2-4c83-a4f3-0768839521a8","x-shellapi-request-id":"2026041309491576673659898906896"}</t>
        </is>
      </c>
      <c r="N52" t="inlineStr">
        <is>
          <t>Essentials Beige Hoodie made from premium cotton blend, soft and breathable. Features bold black logo, kangaroo pocket, and relaxed fit. Unisex streetwear style for casual urban fashion.</t>
        </is>
      </c>
      <c r="O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Essentials,hoodie,kakobuy,kakebuy2026,kekobuysheet,kakobuysheet2026,2026kakobuy,kakobuyspreadsheeet,kakobuylink,kakebuylist,Kakobuy MEGA Spreadsheet,kakobuysheetfind,kakobuysheetfind2026,2026kakobuysheetfind,kakobuysheet2026  \nHoodesEssentials,joggers,kakobuy,kakebuy2026,kekobuysheet,kakobuysheet2026,2026kakobuy,kakobuyspreadsheeet,kakobuylink,kakebuylist,Kakobuy MEGA Spreadsheet,kakobuysheetfind,kakobuysheetfind2026,2026kakobuysheetfind,kakobuysheet2026","refusal":null,"role":"assistant"}}],"created":1776061356,"id":"chatcmpl-DU4yqze1gtqSzL1PAbsdJ34FwEfK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182,"completion_tokens_details":{"accepted_prediction_tokens":0,"audio_tokens":0,"reasoning_tokens":0,"rejected_prediction_tokens":0},"prompt_tokens":784,"prompt_tokens_details":{"audio_tokens":0,"cached_tokens":0},"total_tokens":966}}</t>
        </is>
      </c>
      <c r="P52" t="inlineStr">
        <is>
          <t>HoodesEssentials,hoodie,kakobuy,kakebuy2026,kekobuysheet,kakobuysheet2026,2026kakobuy,kakobuyspreadsheeet,kakobuylink,kakebuylist,Kakobuy MEGA Spreadsheet,kakobuysheetfind,kakobuysheetfind2026,2026kakobuysheetfind,kakobuysheet2026  
HoodesEssentials,joggers,kakobuy,kakebuy2026,kekobuysheet,kakobuysheet2026,2026kakobuy,kakobuyspreadsheeet,kakobuylink,kakebuylist,Kakobuy MEGA Spreadsheet,kakobuysheetfind,kakobuysheetfind2026,2026kakobuysheetfind,kakobuysheet2026</t>
        </is>
      </c>
      <c r="Q52" t="inlineStr">
        <is>
          <t>Beige, Unisex, Streetwear, Breathable</t>
        </is>
      </c>
      <c r="R52" t="inlineStr">
        <is>
          <t>recvgxFjjAAFDE</t>
        </is>
      </c>
      <c r="S52" t="inlineStr">
        <is>
          <t>essentials-beige-hoodie-unisex-recvgxfjj aafde</t>
        </is>
      </c>
      <c r="T52"/>
      <c r="U52"/>
      <c r="V52"/>
      <c r="W52"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米色连帽卫衣，采用高密度纯棉混纺面料，触感柔软透气。正面黑色品牌标识简约醒目，宽松版型搭配实用袋鼠兜设计，展现极简街头风格。男女通穿，休闲与时尚兼备，适合都市潮流日常穿搭，彰显简约高级质感。","refusal":null,"role":"assistant"}}],"created":1776044246,"id":"chatcmpl-DU0WsduLQXFVgdt0lRzNKuOZ95Zs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96,"completion_tokens_details":{"accepted_prediction_tokens":0,"audio_tokens":0,"reasoning_tokens":0,"rejected_prediction_tokens":0},"prompt_tokens":1307,"prompt_tokens_details":{"audio_tokens":0,"cached_tokens":0},"total_tokens":1403}}</t>
        </is>
      </c>
      <c r="X52" t="inlineStr">
        <is>
          <t>Essentials：米色连帽卫衣，采用高密度纯棉混纺面料，触感柔软透气。正面黑色品牌标识简约醒目，宽松版型搭配实用袋鼠兜设计，展现极简街头风格。男女通穿，休闲与时尚兼备，适合都市潮流日常穿搭，彰显简约高级质感。</t>
        </is>
      </c>
    </row>
    <row r="53" ht="25.5" customHeight="1">
      <c r="A53">
        <v>1701442386</v>
      </c>
      <c r="B53">
        <v>7581837682</v>
      </c>
      <c r="C53" s="2" t="str">
        <f>=HYPERLINK("https://weidian.com/item.html?itemID=7581837682", "https://weidian.com/item.html?itemID=7581837682")</f>
        <v>https://weidian.com/item.html?itemID=7581837682</v>
      </c>
      <c r="D53"/>
      <c r="E53" s="2" t="str">
        <f>=HYPERLINK("https://si.geilicdn.com/open1701442386-252808396-4ad00000019a0ba8b9100a231226_800_800.jpg?w=750&amp;h=750&amp;cp=1", "https://si.geilicdn.com/open1701442386-252808396-4ad00000019a0ba8b9100a231226_800_800.jpg?w=750&amp;h=750&amp;cp=1")</f>
        <v>https://si.geilicdn.com/open1701442386-252808396-4ad00000019a0ba8b9100a231226_800_800.jpg?w=750&amp;h=750&amp;cp=1</v>
      </c>
      <c r="F53" t="inlineStr">
        <is>
          <t>Jackets</t>
        </is>
      </c>
      <c r="G53" t="inlineStr">
        <is>
          <t xml:space="preserve"> Louis Vuitton</t>
        </is>
      </c>
      <c r="H53" t="inlineStr">
        <is>
          <t>528</t>
        </is>
      </c>
      <c r="I53">
        <v>76.52</v>
      </c>
      <c r="J5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Monogram Black Hooded Down Jacket","refusal":null,"role":"assistant"}}],"created":1776061216,"id":"chatcmpl-DU4waF6Gw4TreptPS64ScEIew4ulc","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10,"completion_tokens_details":{"accepted_prediction_tokens":0,"audio_tokens":0,"reasoning_tokens":0,"rejected_prediction_tokens":0},"prompt_tokens":874,"prompt_tokens_details":{"audio_tokens":0,"cached_tokens":0},"total_tokens":884}}</t>
        </is>
      </c>
      <c r="K53" t="inlineStr">
        <is>
          <t>Louis Vuitton Monogram Black Hooded Down Jacket</t>
        </is>
      </c>
      <c r="L5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Monogram Black Down Jacket, lightweight windproof nylon, subtle LV pattern, hooded stand collar, warm and stylish, unisex design for luxury winter urban fashion.","refusal":null,"role":"assistant"}}],"created":1776044930,"id":"chatcmpl-DU0hu5Z9iGcvyjjJhMc0VMEsO9LP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36,"completion_tokens_details":{"accepted_prediction_tokens":0,"audio_tokens":0,"reasoning_tokens":0,"rejected_prediction_tokens":0},"prompt_tokens":907,"prompt_tokens_details":{"audio_tokens":0,"cached_tokens":0},"total_tokens":943}}</t>
        </is>
      </c>
      <c r="M53" t="inlineStr">
        <is>
          <t>{"alt-svc":"h3=\":443\"; ma=2592000","apim-request-id":"b927f41e-12b3-4edd-9c20-37067a6aa062","azureml-model-session":"d20260402083108-57a85543","connection":"close","content-length":"1412","content-type":"application/json","date":"Mon, 13 Apr 2026 01:48:52 GMT","skip-error-remapping":"true","strict-transport-security":"max-age=31536000; includeSubDomains; preload","via":"1.1 Caddy","x-accel-buffering":"no","x-content-type-options":"nosniff","x-ms-client-request-id":"Not-Set","x-ms-is-spilled-over":"false","x-ms-rai-invoked":"true","x-ms-region":"UK South","x-new-api-version":"0.4.25-alpha.4","x-oneapi-request-id":"20260413014849533230915ExQ8HK6j","x-ratelimit-abusepenalty-active":"False","x-ratelimit-limit-requests":"1000","x-ratelimit-limit-tokens":"1000000","x-ratelimit-remaining-requests":"999","x-ratelimit-remaining-tokens":"998826","x-ratelimit-renewalperiod-requests":"60","x-ratelimit-renewalperiod-tokens":"60","x-ratelimit-reset-requests":"60","x-ratelimit-reset-tokens":"70","x-request-id":"c00cf03d-0804-4a28-9015-c2097ae7f27d","x-shellapi-request-id":"2026041309484947836201976108505"}</t>
        </is>
      </c>
      <c r="N53" t="inlineStr">
        <is>
          <t>Louis Vuitton Monogram Black Down Jacket, lightweight windproof nylon, subtle LV pattern, hooded stand collar, warm and stylish, unisex design for luxury winter urban fashion.</t>
        </is>
      </c>
      <c r="O5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Jackets, kakobuy, kakebuy2026, kekobuysheet, kakobuysheet2026, 2026kakobuy, kakobuyspreadsheeet, kakobuylink, kakebuylist, Kakobuy MEGA Spreadsheet, kakobuysheetfind, kakobuysheetfind2026, 2026kakobuysheetfind, kakobuysheet2026","refusal":null,"role":"assistant"}}],"created":1776061446,"id":"chatcmpl-DU50IZJm59IkKSOoylfev6DhZkWo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is>
      </c>
      <c r="P53" t="inlineStr">
        <is>
          <t>Louis Vuitton, Jackets, kakobuy, kakebuy2026, kekobuysheet, kakobuysheet2026, 2026kakobuy, kakobuyspreadsheeet, kakobuylink, kakebuylist, Kakobuy MEGA Spreadsheet, kakobuysheetfind, kakobuysheetfind2026, 2026kakobuysheetfind, kakobuysheet2026</t>
        </is>
      </c>
      <c r="Q53" t="inlineStr">
        <is>
          <t>LV, Nylon, Windproof, Lightweight, Winter, Unisex</t>
        </is>
      </c>
      <c r="R53" t="inlineStr">
        <is>
          <t>recvgxFjjA5U08</t>
        </is>
      </c>
      <c r="S53" t="inlineStr">
        <is>
          <t>louis-vuitton-monogram-black-hooded-down-jacket-recvgxfjja5u08</t>
        </is>
      </c>
      <c r="T53"/>
      <c r="U53"/>
      <c r="V53"/>
      <c r="W53"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Monogram黑色羽绒夹克，轻盈防风尼龙面料，经典LV老花低调浮现，立领连帽设计保暖实用，简约剪裁彰显都市奢华格调，男女皆宜的冬季时尚外套之选。","refusal":null,"role":"assistant"}}],"created":1776044412,"id":"chatcmpl-DU0ZYQV1ijB0dYyKbcUPK1UosAhXk","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68,"completion_tokens_details":{"accepted_prediction_tokens":0,"audio_tokens":0,"reasoning_tokens":0,"rejected_prediction_tokens":0},"prompt_tokens":1310,"prompt_tokens_details":{"audio_tokens":0,"cached_tokens":1280},"total_tokens":1378}}</t>
        </is>
      </c>
      <c r="X53" t="inlineStr">
        <is>
          <t>Louis Vuitton：Monogram黑色羽绒夹克，轻盈防风尼龙面料，经典LV老花低调浮现，立领连帽设计保暖实用，简约剪裁彰显都市奢华格调，男女皆宜的冬季时尚外套之选。</t>
        </is>
      </c>
    </row>
    <row r="54" ht="25.5" customHeight="1">
      <c r="A54">
        <v>1701442386</v>
      </c>
      <c r="B54">
        <v>7572776000</v>
      </c>
      <c r="C54" s="2" t="str">
        <f>=HYPERLINK("https://weidian.com/item.html?itemID=7572776000", "https://weidian.com/item.html?itemID=7572776000")</f>
        <v>https://weidian.com/item.html?itemID=7572776000</v>
      </c>
      <c r="D54"/>
      <c r="E54" s="2" t="str">
        <f>=HYPERLINK("https://si.geilicdn.com/open1701442386-252808396-391000000199de0320d70a22d249_800_800.jpg?w=750&amp;h=750&amp;cp=1", "https://si.geilicdn.com/open1701442386-252808396-391000000199de0320d70a22d249_800_800.jpg?w=750&amp;h=750&amp;cp=1")</f>
        <v>https://si.geilicdn.com/open1701442386-252808396-391000000199de0320d70a22d249_800_800.jpg?w=750&amp;h=750&amp;cp=1</v>
      </c>
      <c r="F54" t="inlineStr">
        <is>
          <t>Pants</t>
        </is>
      </c>
      <c r="G54" t="inlineStr">
        <is>
          <t>Gallery Dept</t>
        </is>
      </c>
      <c r="H54" t="inlineStr">
        <is>
          <t>188</t>
        </is>
      </c>
      <c r="I54">
        <v>27.25</v>
      </c>
      <c r="J5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 Grey Black Paint Splatter Sweatpants","refusal":null,"role":"assistant"}}],"created":1776061240,"id":"chatcmpl-DU4wytqH5YZ8bZXiaJxQdbRWNLusu","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10,"completion_tokens_details":{"accepted_prediction_tokens":0,"audio_tokens":0,"reasoning_tokens":0,"rejected_prediction_tokens":0},"prompt_tokens":878,"prompt_tokens_details":{"audio_tokens":0,"cached_tokens":0},"total_tokens":888}}</t>
        </is>
      </c>
      <c r="K54" t="inlineStr">
        <is>
          <t>Gallery Dept Grey Black Paint Splatter Sweatpants</t>
        </is>
      </c>
      <c r="L5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Grey-Black Paint-Splatter Sweatpants, unisex loose-fit cotton design with handmade graffiti, elastic waist, vintage workwear meets modern street style for bold urban expression.","refusal":null,"role":"assistant"}}],"created":1776045021,"id":"chatcmpl-DU0jNFvQbEMkp2rv2v0KV1ila6d93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930,"prompt_tokens_details":{"audio_tokens":0,"cached_tokens":0},"total_tokens":968}}</t>
        </is>
      </c>
      <c r="M54" t="inlineStr">
        <is>
          <t>{"alt-svc":"h3=\":443\"; ma=2592000","apim-request-id":"db5f30f0-4f65-4554-b9ff-41d1e1da1743","azureml-model-session":"d20260405225800-40f19e54","connection":"close","content-length":"1427","content-type":"application/json","date":"Mon, 13 Apr 2026 01:50:23 GMT","skip-error-remapping":"true","strict-transport-security":"max-age=31536000; includeSubDomains; preload","via":"1.1 Caddy","x-accel-buffering":"no","x-content-type-options":"nosniff","x-ms-client-request-id":"Not-Set","x-ms-is-spilled-over":"false","x-ms-rai-invoked":"true","x-ms-region":"Australia East","x-new-api-version":"0.4.25-alpha.4","x-oneapi-request-id":"20260413015020714609355sCAM3AzI","x-ratelimit-abusepenalty-active":"False","x-ratelimit-limit-requests":"1000","x-ratelimit-limit-tokens":"1000000","x-ratelimit-remaining-requests":"999","x-ratelimit-remaining-tokens":"998823","x-ratelimit-renewalperiod-requests":"60","x-ratelimit-renewalperiod-tokens":"60","x-ratelimit-reset-requests":"60","x-ratelimit-reset-tokens":"70","x-request-id":"b8247c78-f14c-42a5-ae63-9ca11bcfbce9","x-shellapi-request-id":"2026041309502067794324544976765"}</t>
        </is>
      </c>
      <c r="N54" t="inlineStr">
        <is>
          <t>Gallery Dept Grey-Black Paint-Splatter Sweatpants, unisex loose-fit cotton design with handmade graffiti, elastic waist, vintage workwear meets modern street style for bold urban expression.</t>
        </is>
      </c>
      <c r="O54"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Dept,Pants,kakobuy,kakebuy2026,kekobuysheet,kakobuysheet2026,2026kakobuy,kakobuyspreadsheeet,kakobuylink,kakebuylist,Kakobuy MEGA Spreadsheet,kakobuysheetfind,kakobuysheetfind2026,2026kakobuysheetfind,kakobuysheet2026","refusal":null,"role":"assistant"}}],"created":1776061489,"id":"chatcmpl-DU50zIpum4zQybuVplJ8T2fqdeT6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87,"completion_tokens_details":{"accepted_prediction_tokens":0,"audio_tokens":0,"reasoning_tokens":0,"rejected_prediction_tokens":0},"prompt_tokens":783,"prompt_tokens_details":{"audio_tokens":0,"cached_tokens":0},"total_tokens":870}}</t>
        </is>
      </c>
      <c r="P54" t="inlineStr">
        <is>
          <t>Gallery Dept,Pants,kakobuy,kakebuy2026,kekobuysheet,kakobuysheet2026,2026kakobuy,kakobuyspreadsheeet,kakobuylink,kakebuylist,Kakobuy MEGA Spreadsheet,kakobuysheetfind,kakobuysheetfind2026,2026kakobuysheetfind,kakobuysheet2026</t>
        </is>
      </c>
      <c r="Q54" t="inlineStr">
        <is>
          <t>Grey, Black, Unisex, Streetwear, Workwear, Vintage</t>
        </is>
      </c>
      <c r="R54" t="inlineStr">
        <is>
          <t>recvgxFjjABbZE</t>
        </is>
      </c>
      <c r="S54" t="inlineStr">
        <is>
          <t>gallery-dept-grey-black-paint-splatter-sweatpants-recvgxfjjabbze</t>
        </is>
      </c>
      <c r="T54"/>
      <c r="U54"/>
      <c r="V54"/>
      <c r="W54"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灰黑拼色泼墨运动长裤，选用舒适棉质面料，手工涂鸦油漆设计展现街头艺术感。宽松直筒剪裁搭配松紧腰设计，男女皆宜。融合复古工装与现代城市潮流风格，彰显品牌解构美学，休闲穿搭凸显个性与态度。","refusal":null,"role":"assistant"}}],"created":1776044267,"id":"chatcmpl-DU0XDrRON41O92NWaXb3sNWYMKJQS","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93,"completion_tokens_details":{"accepted_prediction_tokens":0,"audio_tokens":0,"reasoning_tokens":0,"rejected_prediction_tokens":0},"prompt_tokens":1306,"prompt_tokens_details":{"audio_tokens":0,"cached_tokens":0},"total_tokens":1399}}</t>
        </is>
      </c>
      <c r="X54" t="inlineStr">
        <is>
          <t>Gallery Dept：灰黑拼色泼墨运动长裤，选用舒适棉质面料，手工涂鸦油漆设计展现街头艺术感。宽松直筒剪裁搭配松紧腰设计，男女皆宜。融合复古工装与现代城市潮流风格，彰显品牌解构美学，休闲穿搭凸显个性与态度。</t>
        </is>
      </c>
    </row>
    <row r="55" ht="25.5" customHeight="1">
      <c r="A55">
        <v>1701442386</v>
      </c>
      <c r="B55">
        <v>7576605897</v>
      </c>
      <c r="C55" s="2" t="str">
        <f>=HYPERLINK("https://weidian.com/item.html?itemID=7576605897", "https://weidian.com/item.html?itemID=7576605897")</f>
        <v>https://weidian.com/item.html?itemID=7576605897</v>
      </c>
      <c r="D55"/>
      <c r="E55" s="2" t="str">
        <f>=HYPERLINK("https://si.geilicdn.com/open1701442386-252808396-412f00000199fb7922290aa081c2_1066_1066.jpg?w=750&amp;h=750&amp;cp=1", "https://si.geilicdn.com/open1701442386-252808396-412f00000199fb7922290aa081c2_1066_1066.jpg?w=750&amp;h=750&amp;cp=1")</f>
        <v>https://si.geilicdn.com/open1701442386-252808396-412f00000199fb7922290aa081c2_1066_1066.jpg?w=750&amp;h=750&amp;cp=1</v>
      </c>
      <c r="F55" t="inlineStr">
        <is>
          <t>T-Shirts</t>
        </is>
      </c>
      <c r="G55" t="inlineStr">
        <is>
          <t>Casablanca</t>
        </is>
      </c>
      <c r="H55" t="inlineStr">
        <is>
          <t>96</t>
        </is>
      </c>
      <c r="I55">
        <v>13.91</v>
      </c>
      <c r="J55"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sablanca Tennis Club Black Cotton Retro T-Shirt","refusal":null,"role":"assistant"}}],"created":1776061243,"id":"chatcmpl-DU4x115INqBRRZ1iXJozxHfDdBqr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874,"prompt_tokens_details":{"audio_tokens":0,"cached_tokens":0},"total_tokens":884}}</t>
        </is>
      </c>
      <c r="K55" t="inlineStr">
        <is>
          <t>Casablanca Tennis Club Black Cotton Retro T-Shirt</t>
        </is>
      </c>
      <c r="L5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sablanca Tennis Club Black T-Shirt—crafted from soft cotton with geometric gold and green court print, blending sporty elegance and retro Parisian style for timeless unisex resort fashion.","refusal":null,"role":"assistant"}}],"created":1776045012,"id":"chatcmpl-DU0jEMg1W3yUlDAfsbcAoJWqTKVl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36,"completion_tokens_details":{"accepted_prediction_tokens":0,"audio_tokens":0,"reasoning_tokens":0,"rejected_prediction_tokens":0},"prompt_tokens":918,"prompt_tokens_details":{"audio_tokens":0,"cached_tokens":0},"total_tokens":954}}</t>
        </is>
      </c>
      <c r="M55" t="inlineStr">
        <is>
          <t>{"alt-svc":"h3=\":443\"; ma=2592000","apim-request-id":"60ee301c-064c-49e8-aa74-93810bb1ac84","azureml-model-session":"d20260405212659-a9daa006","connection":"close","content-length":"1404","content-type":"application/json","date":"Mon, 13 Apr 2026 01:50:12 GMT","skip-error-remapping":"true","strict-transport-security":"max-age=31536000; includeSubDomains; preload","via":"1.1 Caddy","x-accel-buffering":"no","x-content-type-options":"nosniff","x-ms-client-request-id":"Not-Set","x-ms-is-spilled-over":"false","x-ms-rai-invoked":"true","x-ms-region":"East US","x-new-api-version":"0.4.25-alpha.4","x-oneapi-request-id":"20260413015011133498762OvHPb9pw","x-ratelimit-abusepenalty-active":"False","x-ratelimit-limit-requests":"1000","x-ratelimit-limit-tokens":"1000000","x-ratelimit-remaining-requests":"999","x-ratelimit-remaining-tokens":"998823","x-ratelimit-renewalperiod-requests":"60","x-ratelimit-renewalperiod-tokens":"60","x-ratelimit-reset-requests":"60","x-ratelimit-reset-tokens":"70","x-request-id":"ca4d5cfb-baab-4e43-9cd5-8944f51ceef2","x-shellapi-request-id":"202604130950117327876189421206"}</t>
        </is>
      </c>
      <c r="N55" t="inlineStr">
        <is>
          <t>Casablanca Tennis Club Black T-Shirt—crafted from soft cotton with geometric gold and green court print, blending sporty elegance and retro Parisian style for timeless unisex resort fashion.</t>
        </is>
      </c>
      <c r="O5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sablanca,T-Shirts,kakobuy,kakebuy2026,kekobuysheet,kakobuysheet2026,2026kakobuy,kakobuyspreadsheeet,kakobuylink,kakebuylist,Kakobuy MEGA Spreadsheet,kakobuysheetfind,kakobuysheetfind2026,2026kakobuysheetfind,kakobuysheet2026","refusal":null,"role":"assistant"}}],"created":1776061348,"id":"chatcmpl-DU4yiTCZdkkaGpMP9AZkJ2q9zPYJf","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87,"completion_tokens_details":{"accepted_prediction_tokens":0,"audio_tokens":0,"reasoning_tokens":0,"rejected_prediction_tokens":0},"prompt_tokens":783,"prompt_tokens_details":{"audio_tokens":0,"cached_tokens":0},"total_tokens":870}}</t>
        </is>
      </c>
      <c r="P55" t="inlineStr">
        <is>
          <t>Casablanca,T-Shirts,kakobuy,kakebuy2026,kekobuysheet,kakobuysheet2026,2026kakobuy,kakobuyspreadsheeet,kakobuylink,kakebuylist,Kakobuy MEGA Spreadsheet,kakobuysheetfind,kakobuysheetfind2026,2026kakobuysheetfind,kakobuysheet2026</t>
        </is>
      </c>
      <c r="Q55" t="inlineStr">
        <is>
          <t>Black, Gold, Green, Geometric, Sporty, Retro</t>
        </is>
      </c>
      <c r="R55" t="inlineStr">
        <is>
          <t>recvgxFjjAqI1x</t>
        </is>
      </c>
      <c r="S55" t="inlineStr">
        <is>
          <t>casablanca-tennis-club-black-cotton-retro-tshirt-recvgxfjjaqi1x</t>
        </is>
      </c>
      <c r="T55"/>
      <c r="U55"/>
      <c r="V55"/>
      <c r="W55"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sablanca：黑色Tennis Club系列短袖T恤，柔软纯棉面料呈现舒适触感，胸前几何网球场印花融合绿色与金色线条，彰显运动美学与复古巴黎风格，适合男女休闲穿搭，散发1980年代高端度假气息。","refusal":null,"role":"assistant"}}],"created":1776044437,"id":"chatcmpl-DU0ZxAr0pFhEDPsp3Bs3XV17xEZuU","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79,"completion_tokens_details":{"accepted_prediction_tokens":0,"audio_tokens":0,"reasoning_tokens":0,"rejected_prediction_tokens":0},"prompt_tokens":1310,"prompt_tokens_details":{"audio_tokens":0,"cached_tokens":0},"total_tokens":1389}}</t>
        </is>
      </c>
      <c r="X55" t="inlineStr">
        <is>
          <t>Casablanca：黑色Tennis Club系列短袖T恤，柔软纯棉面料呈现舒适触感，胸前几何网球场印花融合绿色与金色线条，彰显运动美学与复古巴黎风格，适合男女休闲穿搭，散发1980年代高端度假气息。</t>
        </is>
      </c>
    </row>
    <row r="56" ht="25.5" customHeight="1">
      <c r="A56">
        <v>1701442386</v>
      </c>
      <c r="B56">
        <v>7570739741</v>
      </c>
      <c r="C56" s="2" t="str">
        <f>=HYPERLINK("https://weidian.com/item.html?itemID=7570739741", "https://weidian.com/item.html?itemID=7570739741")</f>
        <v>https://weidian.com/item.html?itemID=7570739741</v>
      </c>
      <c r="D56"/>
      <c r="E56" s="2" t="str">
        <f>=HYPERLINK("https://si.geilicdn.com/pcitem901998089496-18ed00000199dcddba010a210139_1440_1920.jpg?w=640&amp;h=640", "https://si.geilicdn.com/pcitem901998089496-18ed00000199dcddba010a210139_1440_1920.jpg?w=640&amp;h=640")</f>
        <v>https://si.geilicdn.com/pcitem901998089496-18ed00000199dcddba010a210139_1440_1920.jpg?w=640&amp;h=640</v>
      </c>
      <c r="F56" t="inlineStr">
        <is>
          <t>Jackets</t>
        </is>
      </c>
      <c r="G56" t="inlineStr">
        <is>
          <t>Canada Goose</t>
        </is>
      </c>
      <c r="H56" t="inlineStr">
        <is>
          <t>960</t>
        </is>
      </c>
      <c r="I56">
        <v>139.13</v>
      </c>
      <c r="J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Black Fur Hood Down Parka Jacket","refusal":null,"role":"assistant"}}],"created":1776061198,"id":"chatcmpl-DU4wIpZX4ojvmy2MuFTlkBoltCRV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884,"prompt_tokens_details":{"audio_tokens":0,"cached_tokens":0},"total_tokens":894}}</t>
        </is>
      </c>
      <c r="K56" t="inlineStr">
        <is>
          <t>Canada Goose Black Fur Hood Down Parka Jacket</t>
        </is>
      </c>
      <c r="L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Black Down Jacket – luxurious high-loft goose down parka with genuine fur-trimmed hood, windproof and warm, perfect for urban adventures and polar exploration in timeless unisex style.","refusal":null,"role":"assistant"}}],"created":1776044965,"id":"chatcmpl-DU0iTZlBaKiUnzeRgvP9vPdvpwem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900,"prompt_tokens_details":{"audio_tokens":0,"cached_tokens":0},"total_tokens":941}}</t>
        </is>
      </c>
      <c r="M56" t="inlineStr">
        <is>
          <t>{"alt-svc":"h3=\":443\"; ma=2592000","apim-request-id":"20f4d54b-d0fc-4a54-823a-9349eb7cc7b5","azureml-model-session":"d20260402075109-1fc5a0ec","connection":"close","content-length":"1436","content-type":"application/json","date":"Mon, 13 Apr 2026 01:49:26 GMT","skip-error-remapping":"true","strict-transport-security":"max-age=31536000; includeSubDomains; preload","via":"1.1 Caddy","x-accel-buffering":"no","x-content-type-options":"nosniff","x-ms-client-request-id":"Not-Set","x-ms-is-spilled-over":"false","x-ms-rai-invoked":"true","x-ms-region":"UK South","x-new-api-version":"0.4.25-alpha.4","x-oneapi-request-id":"20260413014924348979040tuGNSsAy","x-ratelimit-abusepenalty-active":"False","x-ratelimit-limit-requests":"1000","x-ratelimit-limit-tokens":"1000000","x-ratelimit-remaining-requests":"999","x-ratelimit-remaining-tokens":"998831","x-ratelimit-renewalperiod-requests":"60","x-ratelimit-renewalperiod-tokens":"60","x-ratelimit-reset-requests":"60","x-ratelimit-reset-tokens":"70","x-request-id":"594ce6c9-254e-4b53-98d7-2d12012ed0ba","x-shellapi-request-id":"2026041309492431172464595563508"}</t>
        </is>
      </c>
      <c r="N56" t="inlineStr">
        <is>
          <t>Canada Goose Black Down Jacket – luxurious high-loft goose down parka with genuine fur-trimmed hood, windproof and warm, perfect for urban adventures and polar exploration in timeless unisex style.</t>
        </is>
      </c>
      <c r="O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Jacket, kakobuy, kakebuy2026, kekobuysheet, kakobuysheet2026, 2026kakobuy, kakobuyspreadsheeet, kakobuylink, kakebuylist, Kakobuy MEGA Spreadsheet, kakobuysheetfind, kakobuysheetfind2026, 2026kakobuysheetfind, kakobuysheet2026","refusal":null,"role":"assistant"}}],"created":1776061354,"id":"chatcmpl-DU4yo1s6JgKF1rp3xRBlfybx5OfA7","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is>
      </c>
      <c r="P56" t="inlineStr">
        <is>
          <t>Canada Goose, Jacket, kakobuy, kakebuy2026, kekobuysheet, kakobuysheet2026, 2026kakobuy, kakobuyspreadsheeet, kakobuylink, kakebuylist, Kakobuy MEGA Spreadsheet, kakobuysheetfind, kakobuysheetfind2026, 2026kakobuysheetfind, kakobuysheet2026</t>
        </is>
      </c>
      <c r="Q56" t="inlineStr">
        <is>
          <t>Unisex, Windproof, Winter, Genuine Leather, Fur</t>
        </is>
      </c>
      <c r="R56" t="inlineStr">
        <is>
          <t>recvgxFjjA1iLs</t>
        </is>
      </c>
      <c r="S56" t="inlineStr">
        <is>
          <t>canada-goose-black-fur-hood-down-parka-jacket-recvgxfjja1ils</t>
        </is>
      </c>
      <c r="T56"/>
      <c r="U56"/>
      <c r="V56"/>
      <c r="W56"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黑色奢华羽绒夹克，高蓬松鹅绒填充，搭配真毛领连帽设计，防风保暖兼具都市户外风格，男女皆宜的经典冬季外套，彰显极地探险精神与时尚品味。","refusal":null,"role":"assistant"}}],"created":1776044327,"id":"chatcmpl-DU0YBWXm49zxTMjfYXzvJIPX8N6z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69,"completion_tokens_details":{"accepted_prediction_tokens":0,"audio_tokens":0,"reasoning_tokens":0,"rejected_prediction_tokens":0},"prompt_tokens":1296,"prompt_tokens_details":{"audio_tokens":0,"cached_tokens":1280},"total_tokens":1365}}</t>
        </is>
      </c>
      <c r="X56" t="inlineStr">
        <is>
          <t>Canada Goose：黑色奢华羽绒夹克，高蓬松鹅绒填充，搭配真毛领连帽设计，防风保暖兼具都市户外风格，男女皆宜的经典冬季外套，彰显极地探险精神与时尚品味。</t>
        </is>
      </c>
    </row>
    <row r="57" ht="25.5" customHeight="1">
      <c r="A57">
        <v>1701442386</v>
      </c>
      <c r="B57">
        <v>7573792086</v>
      </c>
      <c r="C57" s="2" t="str">
        <f>=HYPERLINK("https://weidian.com/item.html?itemID=7573792086", "https://weidian.com/item.html?itemID=7573792086")</f>
        <v>https://weidian.com/item.html?itemID=7573792086</v>
      </c>
      <c r="D57"/>
      <c r="E57" s="2" t="str">
        <f>=HYPERLINK("https://si.geilicdn.com/open1832946205-1234478995-162500000196c91b63b50aa0834c_960_960.jpg?w=750&amp;h=750&amp;cp=1", "https://si.geilicdn.com/open1832946205-1234478995-162500000196c91b63b50aa0834c_960_960.jpg?w=750&amp;h=750&amp;cp=1")</f>
        <v>https://si.geilicdn.com/open1832946205-1234478995-162500000196c91b63b50aa0834c_960_960.jpg?w=750&amp;h=750&amp;cp=1</v>
      </c>
      <c r="F57" t="inlineStr">
        <is>
          <t>T-Shirts</t>
        </is>
      </c>
      <c r="G57" t="inlineStr">
        <is>
          <t>Nike</t>
        </is>
      </c>
      <c r="H57" t="inlineStr">
        <is>
          <t>49</t>
        </is>
      </c>
      <c r="I57">
        <v>7.1</v>
      </c>
      <c r="J57" t="inlineStr">
        <is>
          <t>{"choices":[{"content_filter_result":{"error":{"code":"content_filter_error","message":"The contents are not filtered"}},"content_filter_results":{},"finish_reason":"stop","index":0,"logprobs":null,"message":{"annotations":[],"content":"Nike Classic White Cotton T-Shirt Unisex Casual Top","refusal":null,"role":"assistant"}}],"created":1776061216,"id":"chatcmpl-DU4wabg9lFPW14YgVJdho8NgLHAUY","model":"gpt-5-chat-2025-10-03","object":"chat.completion","prompt_filter_results":[{"prompt_index":0,"content_filter_results":{}}],"system_fingerprint":"fp_ad66631dec","usage":{"completion_tokens":11,"completion_tokens_details":{"accepted_prediction_tokens":0,"audio_tokens":0,"reasoning_tokens":0,"rejected_prediction_tokens":0},"prompt_tokens":871,"prompt_tokens_details":{"audio_tokens":0,"cached_tokens":0},"total_tokens":882}}</t>
        </is>
      </c>
      <c r="K57" t="inlineStr">
        <is>
          <t>Nike Classic White Cotton T-Shirt Unisex Casual Top</t>
        </is>
      </c>
      <c r="L57"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Classic White Cotton T-Shirt with embroidered Swoosh logo, soft, breathable, unisex, perfect for everyday wear, minimalist style showcasing sporty fashion and casual comfort.","refusal":null,"role":"assistant"}}],"created":1776045002,"id":"chatcmpl-DU0j4MxMCtMNKoUDBAxuKlwHRaJr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35,"completion_tokens_details":{"accepted_prediction_tokens":0,"audio_tokens":0,"reasoning_tokens":0,"rejected_prediction_tokens":0},"prompt_tokens":897,"prompt_tokens_details":{"audio_tokens":0,"cached_tokens":0},"total_tokens":932}}</t>
        </is>
      </c>
      <c r="M57" t="inlineStr">
        <is>
          <t>{"alt-svc":"h3=\":443\"; ma=2592000","apim-request-id":"f4dc32b5-47d4-401f-a36f-f24ea75bd29f","azureml-model-session":"d20260402074105-51db401e","connection":"close","content-length":"1416","content-type":"application/json","date":"Mon, 13 Apr 2026 01:50:04 GMT","skip-error-remapping":"true","strict-transport-security":"max-age=31536000; includeSubDomains; preload","via":"1.1 Caddy","x-accel-buffering":"no","x-content-type-options":"nosniff","x-ms-client-request-id":"Not-Set","x-ms-is-spilled-over":"false","x-ms-rai-invoked":"true","x-ms-region":"Korea Central","x-new-api-version":"0.4.25-alpha.4","x-oneapi-request-id":"202604130150013827885236mZL6mrS","x-ratelimit-abusepenalty-active":"False","x-ratelimit-limit-requests":"1000","x-ratelimit-limit-tokens":"1000000","x-ratelimit-remaining-requests":"999","x-ratelimit-remaining-tokens":"998833","x-ratelimit-renewalperiod-requests":"60","x-ratelimit-renewalperiod-tokens":"60","x-ratelimit-reset-requests":"60","x-ratelimit-reset-tokens":"70","x-request-id":"61f6b5ef-18e2-472d-8340-8b911dd93d46","x-shellapi-request-id":"2026041309500133927789354038019"}</t>
        </is>
      </c>
      <c r="N57" t="inlineStr">
        <is>
          <t>Nike Classic White Cotton T-Shirt with embroidered Swoosh logo, soft, breathable, unisex, perfect for everyday wear, minimalist style showcasing sporty fashion and casual comfort.</t>
        </is>
      </c>
      <c r="O57" t="inlineStr">
        <is>
          <t>{"choices":[{"content_filter_result":{"error":{"code":"content_filter_error","message":"The contents are not filtered"}},"content_filter_results":{},"finish_reason":"stop","index":0,"logprobs":null,"message":{"annotations":[],"content":"Nike, T-Shirts, kakobuy, kakebuy2026, kekobuysheet, kakobuysheet2026, 2026kakobuy, kakobuyspreadsheeet, kakobuylink, kakebuylist, Kakobuy MEGA Spreadsheet, kakobuysheetfind, kakobuysheetfind2026, 2026kakobuysheetfind, kakobuysheet2026","refusal":null,"role":"assistant"}}],"created":1776061407,"id":"chatcmpl-DU4zfot0LwiPtUSg8FDGHqWqNIw7G","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782,"prompt_tokens_details":{"audio_tokens":0,"cached_tokens":0},"total_tokens":873}}</t>
        </is>
      </c>
      <c r="P57" t="inlineStr">
        <is>
          <t>Nike, T-Shirts, kakobuy, kakebuy2026, kekobuysheet, kakobuysheet2026, 2026kakobuy, kakobuyspreadsheeet, kakobuylink, kakebuylist, Kakobuy MEGA Spreadsheet, kakobuysheetfind, kakobuysheetfind2026, 2026kakobuysheetfind, kakobuysheet2026</t>
        </is>
      </c>
      <c r="Q57" t="inlineStr">
        <is>
          <t>Nike, White, Unisex, Minimalist</t>
        </is>
      </c>
      <c r="R57" t="inlineStr">
        <is>
          <t>recvgxFjjAaqxU</t>
        </is>
      </c>
      <c r="S57" t="inlineStr">
        <is>
          <t>nike-classic-white-cotton-t-shirt-recvgxfjjaaqxu</t>
        </is>
      </c>
      <c r="T57"/>
      <c r="U57"/>
      <c r="V57"/>
      <c r="W57"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Nike：经典白色简约Logo棉质T恤，柔软舒适透气，胸前刺绣Swoosh标志，男女皆宜，百搭休闲风格，适合日常穿搭展现运动时尚态度。","refusal":null,"role":"assistant"}}],"created":1776044383,"id":"chatcmpl-DU0Z5fsHEB2REqST8wxS6N4xThven","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59,"completion_tokens_details":{"accepted_prediction_tokens":0,"audio_tokens":0,"reasoning_tokens":0,"rejected_prediction_tokens":0},"prompt_tokens":1308,"prompt_tokens_details":{"audio_tokens":0,"cached_tokens":0},"total_tokens":1367}}</t>
        </is>
      </c>
      <c r="X57" t="inlineStr">
        <is>
          <t>Nike：经典白色简约Logo棉质T恤，柔软舒适透气，胸前刺绣Swoosh标志，男女皆宜，百搭休闲风格，适合日常穿搭展现运动时尚态度。</t>
        </is>
      </c>
    </row>
    <row r="58" ht="25.5" customHeight="1">
      <c r="A58">
        <v>1701442386</v>
      </c>
      <c r="B58">
        <v>7571032457</v>
      </c>
      <c r="C58" s="2" t="str">
        <f>=HYPERLINK("https://weidian.com/item.html?itemID=7571032457", "https://weidian.com/item.html?itemID=7571032457")</f>
        <v>https://weidian.com/item.html?itemID=7571032457</v>
      </c>
      <c r="D58"/>
      <c r="E58" s="2" t="str">
        <f>=HYPERLINK("https://si.geilicdn.com/open1701442386-252808396-030a00000199e08635320aa043f9_800_800.jpg?w=750&amp;h=750&amp;cp=1", "https://si.geilicdn.com/open1701442386-252808396-030a00000199e08635320aa043f9_800_800.jpg?w=750&amp;h=750&amp;cp=1")</f>
        <v>https://si.geilicdn.com/open1701442386-252808396-030a00000199e08635320aa043f9_800_800.jpg?w=750&amp;h=750&amp;cp=1</v>
      </c>
      <c r="F58" t="inlineStr">
        <is>
          <t>Pants</t>
        </is>
      </c>
      <c r="G58" t="inlineStr">
        <is>
          <t>Ralph Lauren</t>
        </is>
      </c>
      <c r="H58" t="inlineStr">
        <is>
          <t>98</t>
        </is>
      </c>
      <c r="I58">
        <v>14.2</v>
      </c>
      <c r="J5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Classic Navy Men’s Swim Shorts","refusal":null,"role":"assistant"}}],"created":1776061190,"id":"chatcmpl-DU4wATKiyHhDDsqQyHCOnWAMrkSQz","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10,"completion_tokens_details":{"accepted_prediction_tokens":0,"audio_tokens":0,"reasoning_tokens":0,"rejected_prediction_tokens":0},"prompt_tokens":873,"prompt_tokens_details":{"audio_tokens":0,"cached_tokens":0},"total_tokens":883}}</t>
        </is>
      </c>
      <c r="K58" t="inlineStr">
        <is>
          <t>Ralph Lauren Classic Navy Men’s Swim Shorts</t>
        </is>
      </c>
      <c r="L58"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Classic Navy Men’s Swim Shorts, lightweight quick-dry nylon fabric with white drawstring and signature golden embroidered polo logo, showcasing casual and refined American style.","refusal":null,"role":"assistant"}}],"created":1776044999,"id":"chatcmpl-DU0j18SlsTDxEtQtB5CSKWIjYF0O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35,"completion_tokens_details":{"accepted_prediction_tokens":0,"audio_tokens":0,"reasoning_tokens":0,"rejected_prediction_tokens":0},"prompt_tokens":892,"prompt_tokens_details":{"audio_tokens":0,"cached_tokens":0},"total_tokens":927}}</t>
        </is>
      </c>
      <c r="M58" t="inlineStr">
        <is>
          <t>{"alt-svc":"h3=\":443\"; ma=2592000","apim-request-id":"5d2e4dac-48dd-42f7-b837-65ced395d5fa","azureml-model-session":"d20260405225800-40f19e54","connection":"close","content-length":"1405","content-type":"application/json","date":"Mon, 13 Apr 2026 01:49:59 GMT","skip-error-remapping":"true","strict-transport-security":"max-age=31536000; includeSubDomains; preload","via":"1.1 Caddy","x-accel-buffering":"no","x-content-type-options":"nosniff","x-ms-client-request-id":"Not-Set","x-ms-is-spilled-over":"false","x-ms-rai-invoked":"true","x-ms-region":"East US","x-new-api-version":"0.4.25-alpha.4","x-oneapi-request-id":"20260413014958794488791WjV8TS54","x-ratelimit-abusepenalty-active":"False","x-ratelimit-limit-requests":"1000","x-ratelimit-limit-tokens":"1000000","x-ratelimit-remaining-requests":"999","x-ratelimit-remaining-tokens":"998834","x-ratelimit-renewalperiod-requests":"60","x-ratelimit-renewalperiod-tokens":"60","x-ratelimit-reset-requests":"60","x-ratelimit-reset-tokens":"69","x-request-id":"4cd07420-8658-4fcc-8db0-fb2e706f1642","x-shellapi-request-id":"2026041309495875811631122016625"}</t>
        </is>
      </c>
      <c r="N58" t="inlineStr">
        <is>
          <t>Ralph Lauren Classic Navy Men’s Swim Shorts, lightweight quick-dry nylon fabric with white drawstring and signature golden embroidered polo logo, showcasing casual and refined American style.</t>
        </is>
      </c>
      <c r="O5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Lauren,Pants,kakobuy,kakebuy2026,kekobuysheet,kakobuysheet2026,2026kakobuy,kakobuyspreadsheeet,kakobuylink,kakebuylist,Kakobuy MEGA Spreadsheet,kakobuysheetfind,kakobuysheetfind2026,2026kakobuysheetfind,kakobuysheet2026","refusal":null,"role":"assistant"}}],"created":1776061349,"id":"chatcmpl-DU4yjMWANYhnSx1QFhztw0b2JEJj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is>
      </c>
      <c r="P58" t="inlineStr">
        <is>
          <t>Ralph Lauren,Pants,kakobuy,kakebuy2026,kekobuysheet,kakobuysheet2026,2026kakobuy,kakobuyspreadsheeet,kakobuylink,kakebuylist,Kakobuy MEGA Spreadsheet,kakobuysheetfind,kakobuysheetfind2026,2026kakobuysheetfind,kakobuysheet2026</t>
        </is>
      </c>
      <c r="Q58" t="inlineStr">
        <is>
          <t>Navy, Men, Summer, Nylon, Quick Dry, Lightweight</t>
        </is>
      </c>
      <c r="R58" t="inlineStr">
        <is>
          <t>recvgxFjjAwv9K</t>
        </is>
      </c>
      <c r="S58" t="inlineStr">
        <is>
          <t>ralph-lauren-navy-swim-shorts-recvgxFjjAwv9K</t>
        </is>
      </c>
      <c r="T58"/>
      <c r="U58"/>
      <c r="V58"/>
      <c r="W58"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经典海军蓝男士泳裤，轻盈速干尼龙材质，配白色抽绳与标志性金色刺绣骑士徽标，展现休闲优雅美式风格。","refusal":null,"role":"assistant"}}],"created":1776044377,"id":"chatcmpl-DU0YzDrqLBzEVnrcycUqQ76QqrTU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54,"completion_tokens_details":{"accepted_prediction_tokens":0,"audio_tokens":0,"reasoning_tokens":0,"rejected_prediction_tokens":0},"prompt_tokens":1308,"prompt_tokens_details":{"audio_tokens":0,"cached_tokens":0},"total_tokens":1362}}</t>
        </is>
      </c>
      <c r="X58" t="inlineStr">
        <is>
          <t>Ralph Lauren：经典海军蓝男士泳裤，轻盈速干尼龙材质，配白色抽绳与标志性金色刺绣骑士徽标，展现休闲优雅美式风格。</t>
        </is>
      </c>
    </row>
    <row r="59" ht="25.5" customHeight="1">
      <c r="A59">
        <v>1701442386</v>
      </c>
      <c r="B59">
        <v>7697286988</v>
      </c>
      <c r="C59" s="2" t="str">
        <f>=HYPERLINK("https://weidian.com/item.html?itemID=7697286988", "https://weidian.com/item.html?itemID=7697286988")</f>
        <v>https://weidian.com/item.html?itemID=7697286988</v>
      </c>
      <c r="D59"/>
      <c r="E59" s="2" t="str">
        <f>=HYPERLINK("https://si.geilicdn.com/open1701442386-252808396-59f30000019c7a59eedb0aa08239_800_800.jpg?w=750&amp;h=750&amp;cp=1", "https://si.geilicdn.com/open1701442386-252808396-59f30000019c7a59eedb0aa08239_800_800.jpg?w=750&amp;h=750&amp;cp=1")</f>
        <v>https://si.geilicdn.com/open1701442386-252808396-59f30000019c7a59eedb0aa08239_800_800.jpg?w=750&amp;h=750&amp;cp=1</v>
      </c>
      <c r="F59" t="inlineStr">
        <is>
          <t>Toys</t>
        </is>
      </c>
      <c r="G59" t="inlineStr">
        <is>
          <t>Robot Dog</t>
        </is>
      </c>
      <c r="H59" t="inlineStr">
        <is>
          <t>204</t>
        </is>
      </c>
      <c r="I59">
        <v>29.5652173913</v>
      </c>
      <c r="J5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Robot Smart Electronic Dog Space Design Toy","refusal":null,"role":"assistant"}}],"created":1776061259,"id":"chatcmpl-DU4xH6HbHUb0wSzxRNNs5epY7o9x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894,"prompt_tokens_details":{"audio_tokens":0,"cached_tokens":0},"total_tokens":904}}</t>
        </is>
      </c>
      <c r="K59" t="inlineStr">
        <is>
          <t>ToysRobot Smart Electronic Dog Space Design Toy</t>
        </is>
      </c>
      <c r="L5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Robot DogRobot Dog Smart Electronic Pet—ABS eco-friendly material, futuristic space design, sings, dances, jumps, greets, and interacts; ideal tech toy for all ages, perfect for science and robot lovers.","refusal":null,"role":"assistant"}}],"created":1776044938,"id":"chatcmpl-DU0i2nPC3l1eWkp8qVKnxWnxW4fn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46,"completion_tokens_details":{"accepted_prediction_tokens":0,"audio_tokens":0,"reasoning_tokens":0,"rejected_prediction_tokens":0},"prompt_tokens":906,"prompt_tokens_details":{"audio_tokens":0,"cached_tokens":0},"total_tokens":952}}</t>
        </is>
      </c>
      <c r="M59" t="inlineStr">
        <is>
          <t>{"alt-svc":"h3=\":443\"; ma=2592000","apim-request-id":"3d2c58c9-1634-4337-8113-bd37bbef31aa","azureml-model-session":"d20260405225800-40f19e54","connection":"close","content-length":"1421","content-type":"application/json","date":"Mon, 13 Apr 2026 01:49:00 GMT","skip-error-remapping":"true","strict-transport-security":"max-age=31536000; includeSubDomains; preload","via":"1.1 Caddy","x-accel-buffering":"no","x-content-type-options":"nosniff","x-ms-client-request-id":"Not-Set","x-ms-is-spilled-over":"false","x-ms-rai-invoked":"true","x-ms-region":"East US","x-new-api-version":"0.4.25-alpha.4","x-oneapi-request-id":"20260413014856719513175QX6DlRKX","x-ratelimit-abusepenalty-active":"False","x-ratelimit-limit-requests":"1000","x-ratelimit-limit-tokens":"1000000","x-ratelimit-remaining-requests":"999","x-ratelimit-remaining-tokens":"998827","x-ratelimit-renewalperiod-requests":"60","x-ratelimit-renewalperiod-tokens":"60","x-ratelimit-reset-requests":"60","x-ratelimit-reset-tokens":"70","x-request-id":"346e6fe2-ac6e-4804-bf8f-b735a119c5bd","x-shellapi-request-id":"2026041309485667883161833184765"}</t>
        </is>
      </c>
      <c r="N59" t="inlineStr">
        <is>
          <t>ToysRobot DogRobot Dog Smart Electronic Pet—ABS eco-friendly material, futuristic space design, sings, dances, jumps, greets, and interacts; ideal tech toy for all ages, perfect for science and robot lovers.</t>
        </is>
      </c>
      <c r="O59"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 Robot Dog, kakobuy, kakebuy2026, kekobuysheet, kakobuysheet2026, 2026kakobuy, kakobuyspreadsheeet, kakobuylink, kakebuylist, Kakobuy MEGA Spreadsheet, kakobuysheetfind, kakobuysheetfind2026, 2026kakobuysheetfind, kakobuysheet2026","refusal":null,"role":"assistant"}}],"created":1776061438,"id":"chatcmpl-DU50AanWXkdVzRqgygZ2Vmp645UhN","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783,"prompt_tokens_details":{"audio_tokens":0,"cached_tokens":0},"total_tokens":875}}</t>
        </is>
      </c>
      <c r="P59" t="inlineStr">
        <is>
          <t>Toys, Robot Dog, kakobuy, kakebuy2026, kekobuysheet, kakobuysheet2026, 2026kakobuy, kakobuyspreadsheeet, kakobuylink, kakebuylist, Kakobuy MEGA Spreadsheet, kakobuysheetfind, kakobuysheetfind2026, 2026kakobuysheetfind, kakobuysheet2026</t>
        </is>
      </c>
      <c r="Q59"/>
      <c r="R59" t="inlineStr">
        <is>
          <t>recvgxFjjAI29d</t>
        </is>
      </c>
      <c r="S59" t="inlineStr">
        <is>
          <t>toysrobot-smart-electronic-dog-space-design-toy-recvgxfjjai29d</t>
        </is>
      </c>
      <c r="T59"/>
      <c r="U59"/>
      <c r="V59"/>
      <c r="W59"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obot Dog：未来科技系列白灰智能电子宠物狗，ABS环保材质打造，具备歌舞表演、运动互动、跳跃迎宾等多种炫技功能，动感设计融合太空科幻风格，适合男女老少，现代智能科技玩具新品。","refusal":null,"role":"assistant"}}],"created":1776044205,"id":"chatcmpl-DU0WDhcVAJqYnYzg8CUna7MBi4hc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67,"completion_tokens_details":{"accepted_prediction_tokens":0,"audio_tokens":0,"reasoning_tokens":0,"rejected_prediction_tokens":0},"prompt_tokens":1310,"prompt_tokens_details":{"audio_tokens":0,"cached_tokens":1280},"total_tokens":1377}}</t>
        </is>
      </c>
      <c r="X59" t="inlineStr">
        <is>
          <t>Robot Dog：未来科技系列白灰智能电子宠物狗，ABS环保材质打造，具备歌舞表演、运动互动、跳跃迎宾等多种炫技功能，动感设计融合太空科幻风格，适合男女老少，现代智能科技玩具新品。</t>
        </is>
      </c>
    </row>
    <row r="60" ht="25.5" customHeight="1">
      <c r="A60">
        <v>1701442386</v>
      </c>
      <c r="B60">
        <v>7697413644</v>
      </c>
      <c r="C60" s="2" t="str">
        <f>=HYPERLINK("https://weidian.com/item.html?itemID=7697413644", "https://weidian.com/item.html?itemID=7697413644")</f>
        <v>https://weidian.com/item.html?itemID=7697413644</v>
      </c>
      <c r="D60"/>
      <c r="E60" s="2" t="str">
        <f>=HYPERLINK("https://si.geilicdn.com/open1701442386-252808396-4e6a0000019c7a5bdff70aa08676_800_800.jpg?w=750&amp;h=750&amp;cp=1", "https://si.geilicdn.com/open1701442386-252808396-4e6a0000019c7a5bdff70aa08676_800_800.jpg?w=750&amp;h=750&amp;cp=1")</f>
        <v>https://si.geilicdn.com/open1701442386-252808396-4e6a0000019c7a5bdff70aa08676_800_800.jpg?w=750&amp;h=750&amp;cp=1</v>
      </c>
      <c r="F60" t="inlineStr">
        <is>
          <t>Toys</t>
        </is>
      </c>
      <c r="G60" t="inlineStr">
        <is>
          <t>Svaiwr</t>
        </is>
      </c>
      <c r="H60" t="inlineStr">
        <is>
          <t>172</t>
        </is>
      </c>
      <c r="I60">
        <v>24.93</v>
      </c>
      <c r="J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Svaiwr Silver Smart Robotic Dog Voice Control Toy","refusal":null,"role":"assistant"}}],"created":1776061187,"id":"chatcmpl-DU4w7gJFw26TtkprvmJLipcMUKEL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14,"completion_tokens_details":{"accepted_prediction_tokens":0,"audio_tokens":0,"reasoning_tokens":0,"rejected_prediction_tokens":0},"prompt_tokens":885,"prompt_tokens_details":{"audio_tokens":0,"cached_tokens":0},"total_tokens":899}}</t>
        </is>
      </c>
      <c r="K60" t="inlineStr">
        <is>
          <t>ToysSvaiwr Silver Smart Robotic Dog Voice Control Toy</t>
        </is>
      </c>
      <c r="L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Svaiwr Smart Robotic Dog – Silver AI companion with bionic design, voice control, emotional feedback, programmable interaction, aerospace alloy body, ideal for all ages, futuristic STEM toy.","refusal":null,"role":"assistant"}}],"created":1776044910,"id":"chatcmpl-DU0haMoesGzUpo7QUKObRMmZVoGY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935,"prompt_tokens_details":{"audio_tokens":0,"cached_tokens":0},"total_tokens":976}}</t>
        </is>
      </c>
      <c r="M60" t="inlineStr">
        <is>
          <t>{"alt-svc":"h3=\":443\"; ma=2592000","apim-request-id":"aaad5a90-ca4f-4a07-8963-220aa421e1d1","azureml-model-session":"d20260402083108-57a85543","connection":"close","content-length":"1433","content-type":"application/json","date":"Mon, 13 Apr 2026 01:48:32 GMT","skip-error-remapping":"true","strict-transport-security":"max-age=31536000; includeSubDomains; preload","via":"1.1 Caddy","x-accel-buffering":"no","x-content-type-options":"nosniff","x-ms-client-request-id":"Not-Set","x-ms-is-spilled-over":"false","x-ms-rai-invoked":"true","x-ms-region":"Korea Central","x-new-api-version":"0.4.25-alpha.4","x-oneapi-request-id":"202604130148293477675433uQlBP7N","x-ratelimit-abusepenalty-active":"False","x-ratelimit-limit-requests":"1000","x-ratelimit-limit-tokens":"1000000","x-ratelimit-remaining-requests":"999","x-ratelimit-remaining-tokens":"998821","x-ratelimit-renewalperiod-requests":"60","x-ratelimit-renewalperiod-tokens":"60","x-ratelimit-reset-requests":"60","x-ratelimit-reset-tokens":"70","x-request-id":"d830f9ba-4af3-4142-b607-56006920971c","x-shellapi-request-id":"2026041309482930734005665331364"}</t>
        </is>
      </c>
      <c r="N60" t="inlineStr">
        <is>
          <t>ToysSvaiwr Smart Robotic Dog – Silver AI companion with bionic design, voice control, emotional feedback, programmable interaction, aerospace alloy body, ideal for all ages, futuristic STEM toy.</t>
        </is>
      </c>
      <c r="O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aviur,Robot Dog,kakobuy,kakebuy2026,kekobuysheet,kakobuysheet2026,2026kakobuy,kakobuyspreadsheeet,kakobuylink,kakebuylist,Kakobuy MEGA Spreadsheet,kakobuysheetfind,kakobuysheetfind2026,2026kakobuysheetfind,kakobuysheet2026","refusal":null,"role":"assistant"}}],"created":1776061463,"id":"chatcmpl-DU50Zynhez5ETtfD0exZaNtvEt7J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89,"completion_tokens_details":{"accepted_prediction_tokens":0,"audio_tokens":0,"reasoning_tokens":0,"rejected_prediction_tokens":0},"prompt_tokens":784,"prompt_tokens_details":{"audio_tokens":0,"cached_tokens":0},"total_tokens":873}}</t>
        </is>
      </c>
      <c r="P60" t="inlineStr">
        <is>
          <t>Saviur,Robot Dog,kakobuy,kakebuy2026,kekobuysheet,kakobuysheet2026,2026kakobuy,kakobuyspreadsheeet,kakobuylink,kakebuylist,Kakobuy MEGA Spreadsheet,kakobuysheetfind,kakobuysheetfind2026,2026kakobuysheetfind,kakobuysheet2026</t>
        </is>
      </c>
      <c r="Q60"/>
      <c r="R60" t="inlineStr">
        <is>
          <t>recvgxFjjAayCF</t>
        </is>
      </c>
      <c r="S60" t="inlineStr">
        <is>
          <t>toyssvaiwr-silver-smart-robotic-dog-voice-control-toy-recvgxfjj-aaycf</t>
        </is>
      </c>
      <c r="T60"/>
      <c r="U60"/>
      <c r="V60"/>
      <c r="W60"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vaiwr：银灰色AI智能陪伴机器狗，融合仿生机械设计与高灵敏感应系统，支持语音指令、编程互动与情感反馈，采用航空级合金机身，造型未来科技感十足，通用男女老少适用，启发式教育玩具与智能陪伴机器人完美结合，展现次世代人工智能科技魅力。","refusal":null,"role":"assistant"}}],"created":1776044213,"id":"chatcmpl-DU0WLvaFczDlpgRw0aWwvR2tc87Z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93,"completion_tokens_details":{"accepted_prediction_tokens":0,"audio_tokens":0,"reasoning_tokens":0,"rejected_prediction_tokens":0},"prompt_tokens":1316,"prompt_tokens_details":{"audio_tokens":0,"cached_tokens":0},"total_tokens":1409}}</t>
        </is>
      </c>
      <c r="X60" t="inlineStr">
        <is>
          <t>Svaiwr：银灰色AI智能陪伴机器狗，融合仿生机械设计与高灵敏感应系统，支持语音指令、编程互动与情感反馈，采用航空级合金机身，造型未来科技感十足，通用男女老少适用，启发式教育玩具与智能陪伴机器人完美结合，展现次世代人工智能科技魅力。</t>
        </is>
      </c>
    </row>
    <row r="61" ht="25.5" customHeight="1">
      <c r="A61">
        <v>1701442386</v>
      </c>
      <c r="B61">
        <v>7697405728</v>
      </c>
      <c r="C61" s="2" t="str">
        <f>=HYPERLINK("https://weidian.com/item.html?itemID=7697405728", "https://weidian.com/item.html?itemID=7697405728")</f>
        <v>https://weidian.com/item.html?itemID=7697405728</v>
      </c>
      <c r="D61"/>
      <c r="E61" s="2" t="str">
        <f>=HYPERLINK("https://si.geilicdn.com/open1701442386-252808396-43400000019c7a5c585c0a8115c2_800_800.jpg?w=750&amp;h=750&amp;cp=1", "https://si.geilicdn.com/open1701442386-252808396-43400000019c7a5c585c0a8115c2_800_800.jpg?w=750&amp;h=750&amp;cp=1")</f>
        <v>https://si.geilicdn.com/open1701442386-252808396-43400000019c7a5c585c0a8115c2_800_800.jpg?w=750&amp;h=750&amp;cp=1</v>
      </c>
      <c r="F61" t="inlineStr">
        <is>
          <t>Toys</t>
        </is>
      </c>
      <c r="G61" t="inlineStr">
        <is>
          <t>Kidbe</t>
        </is>
      </c>
      <c r="H61" t="inlineStr">
        <is>
          <t>172</t>
        </is>
      </c>
      <c r="I61">
        <v>24.93</v>
      </c>
      <c r="J6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Kidbe RX-F White Smart Robot Dog Toy for Kids","refusal":null,"role":"assistant"}}],"created":1776061193,"id":"chatcmpl-DU4wDPyBMdrpqLq6qFpyO8TbrkHv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14,"completion_tokens_details":{"accepted_prediction_tokens":0,"audio_tokens":0,"reasoning_tokens":0,"rejected_prediction_tokens":0},"prompt_tokens":884,"prompt_tokens_details":{"audio_tokens":0,"cached_tokens":0},"total_tokens":898}}</t>
        </is>
      </c>
      <c r="K61" t="inlineStr">
        <is>
          <t>ToysKidbe RX-F White Smart Robot Dog Toy for Kids</t>
        </is>
      </c>
      <c r="L6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KidbeKidbe RX-F White AI Bionic Robot Dog with Voice and Remote Control, LED lights, sounds, dance moves, and programmable system for creative interactive fun for boys and girls.","refusal":null,"role":"assistant"}}],"created":1776044935,"id":"chatcmpl-DU0hznWapztyECnBQfDDgXGdKC1tD","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41,"completion_tokens_details":{"accepted_prediction_tokens":0,"audio_tokens":0,"reasoning_tokens":0,"rejected_prediction_tokens":0},"prompt_tokens":905,"prompt_tokens_details":{"audio_tokens":0,"cached_tokens":0},"total_tokens":946}}</t>
        </is>
      </c>
      <c r="M61" t="inlineStr">
        <is>
          <t>{"alt-svc":"h3=\":443\"; ma=2592000","apim-request-id":"677f8972-e19e-46d7-b331-9e749d2caa1a","azureml-model-session":"d20260402075109-1fc5a0ec","connection":"close","content-length":"1394","content-type":"application/json","date":"Mon, 13 Apr 2026 01:48:56 GMT","skip-error-remapping":"true","strict-transport-security":"max-age=31536000; includeSubDomains; preload","via":"1.1 Caddy","x-accel-buffering":"no","x-content-type-options":"nosniff","x-ms-client-request-id":"Not-Set","x-ms-is-spilled-over":"false","x-ms-rai-invoked":"true","x-ms-region":"East US 2","x-new-api-version":"0.4.25-alpha.4","x-oneapi-request-id":"20260413014853983948912swEkNYTM","x-ratelimit-abusepenalty-active":"False","x-ratelimit-limit-requests":"1000","x-ratelimit-limit-tokens":"1000000","x-ratelimit-remaining-requests":"999","x-ratelimit-remaining-tokens":"998831","x-ratelimit-renewalperiod-requests":"60","x-ratelimit-renewalperiod-tokens":"60","x-ratelimit-reset-requests":"60","x-ratelimit-reset-tokens":"70","x-request-id":"1e95f01f-ee5a-43c9-9101-5b778aceb6d0","x-shellapi-request-id":"2026041309485394818409674504835"}</t>
        </is>
      </c>
      <c r="N61" t="inlineStr">
        <is>
          <t>ToysKidbeKidbe RX-F White AI Bionic Robot Dog with Voice and Remote Control, LED lights, sounds, dance moves, and programmable system for creative interactive fun for boys and girls.</t>
        </is>
      </c>
      <c r="O61" t="inlineStr">
        <is>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Kidbe,Robot Dog,kakobuy,kakebuy2026,kekobuysheet,kakobuysheet2026,2026kakobuy,kakobuyspreadsheeet,kakobuylink,kakebuylist,Kakobuy MEGA Spreadsheet,kakobuysheetfind,kakobuysheetfind2026,2026kakobuysheetfind,kakobuysheet2026","refusal":null,"role":"assistant"}}],"created":1776061409,"id":"chatcmpl-DU4zhqUDaUEiZHkugxgKhhB4aYcpJ","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90,"completion_tokens_details":{"accepted_prediction_tokens":0,"audio_tokens":0,"reasoning_tokens":0,"rejected_prediction_tokens":0},"prompt_tokens":783,"prompt_tokens_details":{"audio_tokens":0,"cached_tokens":0},"total_tokens":873}}</t>
        </is>
      </c>
      <c r="P61" t="inlineStr">
        <is>
          <t>ToysKidbe,Robot Dog,kakobuy,kakebuy2026,kekobuysheet,kakobuysheet2026,2026kakobuy,kakobuyspreadsheeet,kakobuylink,kakebuylist,Kakobuy MEGA Spreadsheet,kakobuysheetfind,kakobuysheetfind2026,2026kakobuysheetfind,kakobuysheet2026</t>
        </is>
      </c>
      <c r="Q61"/>
      <c r="R61" t="inlineStr">
        <is>
          <t>recvgxFjjAsCGS</t>
        </is>
      </c>
      <c r="S61" t="inlineStr">
        <is>
          <t>toyskidbe-rx-f-white-smart-robot-dog-recvgxfjjascgs</t>
        </is>
      </c>
      <c r="T61"/>
      <c r="U61"/>
      <c r="V61"/>
      <c r="W61" t="inlineStr">
        <is>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Kidbe：RX-F白色AI仿生智能机械狗，支持语音声控与手柄遥控，具灯光音效与编程系统设计，科技未来风格，趣味跳舞互动玩具，男女皆宜，激发儿童创造与探索乐趣。","refusal":null,"role":"assistant"}}],"created":1776044323,"id":"chatcmpl-DU0Y7nvrR23gZVAohU8dZuKcFK5v8","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64,"completion_tokens_details":{"accepted_prediction_tokens":0,"audio_tokens":0,"reasoning_tokens":0,"rejected_prediction_tokens":0},"prompt_tokens":1314,"prompt_tokens_details":{"audio_tokens":0,"cached_tokens":1280},"total_tokens":1378}}</t>
        </is>
      </c>
      <c r="X61" t="inlineStr">
        <is>
          <t>Kidbe：RX-F白色AI仿生智能机械狗，支持语音声控与手柄遥控，具灯光音效与编程系统设计，科技未来风格，趣味跳舞互动玩具，男女皆宜，激发儿童创造与探索乐趣。</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