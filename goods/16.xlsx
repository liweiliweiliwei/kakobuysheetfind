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ansbuy·北脸上品 05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微店 ID</t>
        </is>
      </c>
      <c r="B1" s="1" t="inlineStr">
        <is>
          <t>微店商品 ID</t>
        </is>
      </c>
      <c r="C1" s="1" t="inlineStr">
        <is>
          <t>微店商品链接</t>
        </is>
      </c>
      <c r="D1" s="1" t="inlineStr">
        <is>
          <t>共享货源URL</t>
        </is>
      </c>
      <c r="E1" s="1" t="inlineStr">
        <is>
          <t>SKU图片地址</t>
        </is>
      </c>
      <c r="F1" s="1" t="inlineStr">
        <is>
          <t>品类</t>
        </is>
      </c>
      <c r="G1" s="1" t="inlineStr">
        <is>
          <t>品牌</t>
        </is>
      </c>
      <c r="H1" s="1" t="inlineStr">
        <is>
          <t>人民币</t>
        </is>
      </c>
      <c r="I1" s="1" t="inlineStr">
        <is>
          <t>美元</t>
        </is>
      </c>
      <c r="J1" s="1" t="inlineStr">
        <is>
          <t>跑Tittle 的 ai</t>
        </is>
      </c>
      <c r="K1" s="1" t="inlineStr">
        <is>
          <t>Tittle</t>
        </is>
      </c>
      <c r="L1" s="1" t="inlineStr">
        <is>
          <t>跑Description 的 ai</t>
        </is>
      </c>
      <c r="M1" s="1" t="inlineStr">
        <is>
          <t>Description.响应头</t>
        </is>
      </c>
      <c r="N1" s="1" t="inlineStr">
        <is>
          <t>Description</t>
        </is>
      </c>
      <c r="O1" s="1" t="inlineStr">
        <is>
          <t>Keyword 跑 ai</t>
        </is>
      </c>
      <c r="P1" s="1" t="inlineStr">
        <is>
          <t>Keyword</t>
        </is>
      </c>
      <c r="Q1" s="1" t="inlineStr">
        <is>
          <t>TAG</t>
        </is>
      </c>
      <c r="R1" s="1" t="inlineStr">
        <is>
          <t>文本</t>
        </is>
      </c>
      <c r="S1" s="1" t="inlineStr">
        <is>
          <t>SLUG</t>
        </is>
      </c>
      <c r="T1" s="1" t="inlineStr">
        <is>
          <t>共享货源微信</t>
        </is>
      </c>
      <c r="U1" s="1" t="inlineStr">
        <is>
          <t>1688商品编码</t>
        </is>
      </c>
      <c r="V1" s="1" t="inlineStr">
        <is>
          <t>1688型号编码</t>
        </is>
      </c>
      <c r="W1" s="1" t="inlineStr">
        <is>
          <t>中文描述</t>
        </is>
      </c>
      <c r="X1" s="1" t="inlineStr">
        <is>
          <t>中文描述.提取值1</t>
        </is>
      </c>
    </row>
    <row r="2" ht="25.5" customHeight="1">
      <c r="A2">
        <v>1839115443</v>
      </c>
      <c r="B2">
        <v>7770037871</v>
      </c>
      <c r="C2" s="2" t="str">
        <f>=HYPERLINK("https://weidian.com/item.html?itemID=7770037871", "https://weidian.com/item.html?itemID=7770037871")</f>
        <v>https://weidian.com/item.html?itemID=7770037871</v>
      </c>
      <c r="D2"/>
      <c r="E2" s="2" t="str">
        <f>=HYPERLINK("https://si.geilicdn.com/open1839115443-252808396-27640000019e4e7e020d0a8115c2_800_800.jpg?w=750&amp;h=750&amp;cp=1", "https://si.geilicdn.com/open1839115443-252808396-27640000019e4e7e020d0a8115c2_800_800.jpg?w=750&amp;h=750&amp;cp=1")</f>
        <v>https://si.geilicdn.com/open1839115443-252808396-27640000019e4e7e020d0a8115c2_800_800.jpg?w=750&amp;h=750&amp;cp=1</v>
      </c>
      <c r="F2" t="inlineStr">
        <is>
          <t>Jackets</t>
        </is>
      </c>
      <c r="G2" t="inlineStr">
        <is>
          <t>The North Face</t>
        </is>
      </c>
      <c r="H2">
        <v>488</v>
      </c>
      <c r="I2">
        <v>70.72</v>
      </c>
      <c r="J2" t="inlineStr">
        <is>
          <t>{"id":"resp_071c16a62788e48b016a11135fbe048196b1b917904c1a0d12","object":"chat.completion","created":1779503968,"model":"gpt-5.5","choices":[{"index":0,"message":{"role":"assistant","content":"The North Face Black Cropped Puffer Jacket Unisex"},"finish_reason":"stop"}],"usage":{"prompt_tokens":932,"completion_tokens":15,"total_tokens":947}}</t>
        </is>
      </c>
      <c r="K2" t="inlineStr">
        <is>
          <t>The North Face Black Cropped Puffer Jacket Unisex</t>
        </is>
      </c>
      <c r="L2" t="inlineStr">
        <is>
          <t>{"id":"resp_09d4a01cf9b77d23016a110f7c2c188193a0d563083df99598","object":"chat.completion","created":1779502974,"model":"gpt-5.5","choices":[{"index":0,"message":{"role":"assistant","content":"The North Face black cropped down jacket, stand collar windproof warm puffer coat with white chest logo, unisex outdoor casual winter jacket"},"finish_reason":"stop"}],"usage":{"prompt_tokens":954,"completion_tokens":88,"total_tokens":1042}}</t>
        </is>
      </c>
      <c r="M2" t="inlineStr">
        <is>
          <t>{"alt-svc":"h3=\":443\"; ma=2592000","connection":"close","content-length":"434","content-type":"application/json; charset=utf-8","date":"Sat, 23 May 2026 02:22:54 GMT","referrer-policy":"strict-origin-when-cross-origin","server":"nginx/1.24.0 (Ubuntu)","strict-transport-security":"max-age=31536000; includeSubDomains; preload","vary":"Accept-Encoding","via":"1.1 Caddy","x-content-type-options":"nosniff","x-frame-options":"DENY","x-new-api-version":"v1.0.0-rc.2","x-oneapi-request-id":"202605230222518160793448268d9d6ewv8oBEp","x-request-id":"cacc79b5-ac13-490c-b3d9-d0dec6e0f9c7"}</t>
        </is>
      </c>
      <c r="N2" t="inlineStr">
        <is>
          <t>The North Face black cropped down jacket, stand collar windproof warm puffer coat with white chest logo, unisex outdoor casual winter jacket</t>
        </is>
      </c>
      <c r="O2" t="inlineStr">
        <is>
          <t>{"id":"resp_0779982fbd0503e4016a1114ac654c819092bb02343cc7b566","object":"chat.completion","created":1779504306,"model":"gpt-5.5","choices":[{"index":0,"message":{"role":"assistant","content":"The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kakobuysheet2026"},"finish_reason":"stop"}],"usage":{"prompt_tokens":856,"completion_tokens":266,"total_tokens":1122}}</t>
        </is>
      </c>
      <c r="P2" t="inlineStr">
        <is>
          <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t>
        </is>
      </c>
      <c r="Q2" t="inlineStr">
        <is>
          <t>Winter, Windproof, Black, Unisex, Outdoor</t>
        </is>
      </c>
      <c r="R2" t="inlineStr">
        <is>
          <t>recvkkNZS3Ev4x</t>
        </is>
      </c>
      <c r="S2" t="inlineStr">
        <is>
          <t>the-north-face-black-cropped-puffer-jacket-unisex-recvkkNZS3Ev4x</t>
        </is>
      </c>
      <c r="T2"/>
      <c r="U2"/>
      <c r="V2"/>
      <c r="W2" t="inlineStr">
        <is>
          <t>{"id":"resp_06a0919d7bdf03e2016a110b5c97c08192b01348eb86ea695c","object":"chat.completion","created":1779501920,"model":"gpt-5.5","choices":[{"index":0,"message":{"role":"assistant","content":"北面 The North Face 黑色短款羽绒服，立领保暖防风，胸前白色Logo，男女同款户外休闲夹克外套"},"finish_reason":"stop"}],"usage":{"prompt_tokens":1388,"completion_tokens":132,"total_tokens":1520}}</t>
        </is>
      </c>
      <c r="X2" t="inlineStr">
        <is>
          <t>北面 The North Face 黑色短款羽绒服，立领保暖防风，胸前白色Logo，男女同款户外休闲夹克外套</t>
        </is>
      </c>
    </row>
    <row r="3" ht="25.5" customHeight="1">
      <c r="A3">
        <v>1839115443</v>
      </c>
      <c r="B3">
        <v>7773023928</v>
      </c>
      <c r="C3" s="2" t="str">
        <f>=HYPERLINK("https://weidian.com/item.html?itemID=7773023928", "https://weidian.com/item.html?itemID=7773023928")</f>
        <v>https://weidian.com/item.html?itemID=7773023928</v>
      </c>
      <c r="D3"/>
      <c r="E3" s="2" t="str">
        <f>=HYPERLINK("https://si.geilicdn.com/open1839115443-252808396-361e0000019e4e7dd5730aa08269_1157_1672.jpg?w=640&amp;h=640", "https://si.geilicdn.com/open1839115443-252808396-361e0000019e4e7dd5730aa08269_1157_1672.jpg?w=640&amp;h=640")</f>
        <v>https://si.geilicdn.com/open1839115443-252808396-361e0000019e4e7dd5730aa08269_1157_1672.jpg?w=640&amp;h=640</v>
      </c>
      <c r="F3" t="inlineStr">
        <is>
          <t>Jackets</t>
        </is>
      </c>
      <c r="G3" t="inlineStr">
        <is>
          <t>The North Face</t>
        </is>
      </c>
      <c r="H3">
        <v>568</v>
      </c>
      <c r="I3">
        <v>82.32</v>
      </c>
      <c r="J3" t="inlineStr">
        <is>
          <t>{"id":"resp_009df7c9c44778b3016a11133945e08190be1457590eb8b1da","object":"chat.completion","created":1779503934,"model":"gpt-5.5","choices":[{"index":0,"message":{"role":"assistant","content":"The North Face White Long Hooded Down Parka Coat"},"finish_reason":"stop"}],"usage":{"prompt_tokens":946,"completion_tokens":263,"total_tokens":1209}}</t>
        </is>
      </c>
      <c r="K3" t="inlineStr">
        <is>
          <t>The North Face White Long Hooded Down Parka Coat</t>
        </is>
      </c>
      <c r="L3" t="inlineStr">
        <is>
          <t>{"id":"resp_014f24d0688b77b6016a110ef8ca6c819795d045ece5b08f9e","object":"chat.completion","created":1779502843,"model":"gpt-5.5","choices":[{"index":0,"message":{"role":"assistant","content":"The North Face white long hooded down jacket, windproof thick warm parka with chest logo and sleeve patch, unisex winter coat for commute and outdoor."},"finish_reason":"stop"}],"usage":{"prompt_tokens":961,"completion_tokens":121,"total_tokens":1082}}</t>
        </is>
      </c>
      <c r="M3" t="inlineStr">
        <is>
          <t>{"alt-svc":"h3=\":443\"; ma=2592000","connection":"close","content-length":"445","content-type":"application/json; charset=utf-8","date":"Sat, 23 May 2026 02:20:44 GMT","referrer-policy":"strict-origin-when-cross-origin","server":"Caddy","strict-transport-security":"max-age=31536000; includeSubDomains; preload","vary":"Accept-Encoding","x-content-type-options":"nosniff","x-frame-options":"DENY","x-new-api-version":"v1.0.0-rc.2","x-oneapi-request-id":"202605230220404281242078268d9d69vtqkFnR","x-request-id":"296e5e3e-a4d8-4967-89dd-f7625a7d501a"}</t>
        </is>
      </c>
      <c r="N3" t="inlineStr">
        <is>
          <t>The North Face white long hooded down jacket, windproof thick warm parka with chest logo and sleeve patch, unisex winter coat for commute and outdoor.</t>
        </is>
      </c>
      <c r="O3" t="inlineStr">
        <is>
          <t>{"id":"resp_0377fe334da22679016a1114f4d2508196810614aa8d62db84","object":"chat.completion","created":1779504378,"model":"gpt-5.5","choices":[{"index":0,"message":{"role":"assistant","content":"The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kakobuysheet2026"},"finish_reason":"stop"}],"usage":{"prompt_tokens":861,"completion_tokens":274,"total_tokens":1135}}</t>
        </is>
      </c>
      <c r="P3" t="inlineStr">
        <is>
          <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t>
        </is>
      </c>
      <c r="Q3" t="inlineStr">
        <is>
          <t>Winter, Windproof, White, Unisex, Outdoor</t>
        </is>
      </c>
      <c r="R3" t="inlineStr">
        <is>
          <t>recvkkO0nsQldu</t>
        </is>
      </c>
      <c r="S3" t="inlineStr">
        <is>
          <t>the-north-face-white-long-hooded-down-parka-coat-recvkkO0nsQldu</t>
        </is>
      </c>
      <c r="T3"/>
      <c r="U3"/>
      <c r="V3"/>
      <c r="W3" t="inlineStr">
        <is>
          <t>{"id":"resp_063546f201840aa6016a110bd4d7f08196abf4c14c135e0615","object":"chat.completion","created":1779502040,"model":"gpt-5.5","choices":[{"index":0,"message":{"role":"assistant","content":"北面 The North Face 白色长款连帽羽绒服，防风保暖加厚材质，胸前Logo与袖章设计，男女通勤户外冬季夹克外套"},"finish_reason":"stop"}],"usage":{"prompt_tokens":1385,"completion_tokens":163,"total_tokens":1548}}</t>
        </is>
      </c>
      <c r="X3" t="inlineStr">
        <is>
          <t>北面 The North Face 白色长款连帽羽绒服，防风保暖加厚材质，胸前Logo与袖章设计，男女通勤户外冬季夹克外套</t>
        </is>
      </c>
    </row>
    <row r="4" ht="25.5" customHeight="1">
      <c r="A4">
        <v>1839115443</v>
      </c>
      <c r="B4">
        <v>7769890387</v>
      </c>
      <c r="C4" s="2" t="str">
        <f>=HYPERLINK("https://weidian.com/item.html?itemID=7769890387", "https://weidian.com/item.html?itemID=7769890387")</f>
        <v>https://weidian.com/item.html?itemID=7769890387</v>
      </c>
      <c r="D4"/>
      <c r="E4" s="2" t="str">
        <f>=HYPERLINK("https://si.geilicdn.com/open1839115443-252808396-121a0000019e4e78da540a8133b0_1920_3840.jpg?w=640&amp;h=640", "https://si.geilicdn.com/open1839115443-252808396-121a0000019e4e78da540a8133b0_1920_3840.jpg?w=640&amp;h=640")</f>
        <v>https://si.geilicdn.com/open1839115443-252808396-121a0000019e4e78da540a8133b0_1920_3840.jpg?w=640&amp;h=640</v>
      </c>
      <c r="F4" t="inlineStr">
        <is>
          <t>Jackets</t>
        </is>
      </c>
      <c r="G4" t="inlineStr">
        <is>
          <t>The North Face</t>
        </is>
      </c>
      <c r="H4">
        <v>296</v>
      </c>
      <c r="I4">
        <v>42.9</v>
      </c>
      <c r="J4" t="inlineStr">
        <is>
          <t>{"id":"resp_03006fbb34339afc016a11138898c881a09416b5420b5cc85f","object":"chat.completion","created":1779504012,"model":"gpt-5.5","choices":[{"index":0,"message":{"role":"assistant","content":"The North Face Black Hooded Windproof Hiking Jacket"},"finish_reason":"stop"}],"usage":{"prompt_tokens":1201,"completion_tokens":141,"total_tokens":1342}}</t>
        </is>
      </c>
      <c r="K4" t="inlineStr">
        <is>
          <t>The North Face Black Hooded Windproof Hiking Jacket</t>
        </is>
      </c>
      <c r="L4" t="inlineStr">
        <is>
          <t>{"id":"resp_0211a01800180401016a110f6f6eb081a38d92bdfe28ecc587","object":"chat.completion","created":1779502962,"model":"gpt-5.5","choices":[{"index":0,"message":{"role":"assistant","content":"The North Face black hooded shell jacket, windproof water-repellent outdoor mountain jacket with shoulder patch, unisex casual hiking coat"},"finish_reason":"stop"}],"usage":{"prompt_tokens":1224,"completion_tokens":109,"total_tokens":1333}}</t>
        </is>
      </c>
      <c r="M4" t="inlineStr">
        <is>
          <t>{"alt-svc":"h3=\":443\"; ma=2592000","connection":"close","content-length":"434","content-type":"application/json; charset=utf-8","date":"Sat, 23 May 2026 02:22:42 GMT","referrer-policy":"strict-origin-when-cross-origin","server":"Caddy","strict-transport-security":"max-age=31536000; includeSubDomains; preload","vary":"Accept-Encoding","x-content-type-options":"nosniff","x-frame-options":"DENY","x-new-api-version":"v1.0.0-rc.2","x-oneapi-request-id":"202605230222376634039998268d9d6GowEsfZq","x-request-id":"32d37d26-c2a3-423c-b688-9634893febfb"}</t>
        </is>
      </c>
      <c r="N4" t="inlineStr">
        <is>
          <t>The North Face black hooded shell jacket, windproof water-repellent outdoor mountain jacket with shoulder patch, unisex casual hiking coat</t>
        </is>
      </c>
      <c r="O4" t="inlineStr">
        <is>
          <t>{"id":"resp_0e2266a8ffcf1254016a1114cf8c308191adbab40d4c5e4821","object":"chat.completion","created":1779504344,"model":"gpt-5.5","choices":[{"index":0,"message":{"role":"assistant","content":"The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2026kakobuysheetfind"},"finish_reason":"stop"}],"usage":{"prompt_tokens":1125,"completion_tokens":434,"total_tokens":1559}}</t>
        </is>
      </c>
      <c r="P4" t="inlineStr">
        <is>
          <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t>
        </is>
      </c>
      <c r="Q4" t="inlineStr">
        <is>
          <t>Black, Windproof, Outdoor, Hiking Shoes, Unisex</t>
        </is>
      </c>
      <c r="R4" t="inlineStr">
        <is>
          <t>recvkkO0nswEc4</t>
        </is>
      </c>
      <c r="S4" t="inlineStr">
        <is>
          <t>the-north-face-black-hooded-windproof-hiking-jacket-recvkkO0nswEc4</t>
        </is>
      </c>
      <c r="T4"/>
      <c r="U4"/>
      <c r="V4"/>
      <c r="W4" t="inlineStr">
        <is>
          <t>{"id":"resp_0df7eaa9008c9e98016a110bbd998c819d9ec12e61a99c246e","object":"chat.completion","created":1779502018,"model":"gpt-5.5","choices":[{"index":0,"message":{"role":"assistant","content":"北面The North Face 黑色连帽冲锋夹克，防风防泼水机能面料，拼接肩章设计，户外休闲男女同款山系外套"},"finish_reason":"stop"}],"usage":{"prompt_tokens":1651,"completion_tokens":193,"total_tokens":1844,"prompt_tokens_details":{"cached_tokens":1280}}}</t>
        </is>
      </c>
      <c r="X4" t="inlineStr">
        <is>
          <t>北面The North Face 黑色连帽冲锋夹克，防风防泼水机能面料，拼接肩章设计，户外休闲男女同款山系外套</t>
        </is>
      </c>
    </row>
    <row r="5" ht="25.5" customHeight="1">
      <c r="A5">
        <v>1839115443</v>
      </c>
      <c r="B5">
        <v>7772962748</v>
      </c>
      <c r="C5" s="2" t="str">
        <f>=HYPERLINK("https://weidian.com/item.html?itemID=7772962748", "https://weidian.com/item.html?itemID=7772962748")</f>
        <v>https://weidian.com/item.html?itemID=7772962748</v>
      </c>
      <c r="D5"/>
      <c r="E5" s="2" t="str">
        <f>=HYPERLINK("https://si.geilicdn.com/open1839115443-252808396-2cdc0000019e4e7910be0a231226_790_790.jpg?w=640&amp;h=640", "https://si.geilicdn.com/open1839115443-252808396-2cdc0000019e4e7910be0a231226_790_790.jpg?w=640&amp;h=640")</f>
        <v>https://si.geilicdn.com/open1839115443-252808396-2cdc0000019e4e7910be0a231226_790_790.jpg?w=640&amp;h=640</v>
      </c>
      <c r="F5" t="inlineStr">
        <is>
          <t>Jackets</t>
        </is>
      </c>
      <c r="G5" t="inlineStr">
        <is>
          <t>The North Face</t>
        </is>
      </c>
      <c r="H5">
        <v>163</v>
      </c>
      <c r="I5">
        <v>23.62</v>
      </c>
      <c r="J5" t="inlineStr">
        <is>
          <t>{"id":"resp_0822fb8697101eda016a1112cb8f8481948fa08eee36d866ca","object":"chat.completion","created":1779503823,"model":"gpt-5.5","choices":[{"index":0,"message":{"role":"assistant","content":"The North Face Men's Black Waterproof Hooded Rain Jacket"},"finish_reason":"stop"}],"usage":{"prompt_tokens":721,"completion_tokens":130,"total_tokens":851}}</t>
        </is>
      </c>
      <c r="K5" t="inlineStr">
        <is>
          <t>The North Face Men's Black Waterproof Hooded Rain Jacket</t>
        </is>
      </c>
      <c r="L5" t="inlineStr">
        <is>
          <t>{"id":"resp_028c26e6b49349fd016a110f1fd910819da98f08915fd54df0","object":"chat.completion","created":1779502881,"model":"gpt-5.5","choices":[{"index":0,"message":{"role":"assistant","content":"The North Face men's black hooded rain jacket, waterproof windproof lightweight nylon shell, zip front, elastic cuffs, outdoor commute casual coat"},"finish_reason":"stop"}],"usage":{"prompt_tokens":748,"completion_tokens":31,"total_tokens":779}}</t>
        </is>
      </c>
      <c r="M5" t="inlineStr">
        <is>
          <t>{"alt-svc":"h3=\":443\"; ma=2592000","connection":"close","content-length":"439","content-type":"application/json; charset=utf-8","date":"Sat, 23 May 2026 02:21:21 GMT","referrer-policy":"strict-origin-when-cross-origin","server":"nginx/1.24.0 (Ubuntu)","strict-transport-security":"max-age=31536000; includeSubDomains; preload","vary":"Accept-Encoding","via":"1.1 Caddy","x-content-type-options":"nosniff","x-frame-options":"DENY","x-new-api-version":"v1.0.0-rc.2","x-oneapi-request-id":"202605230221195015102318268d9d6hPHNwwn8","x-request-id":"c5c39ff1-e859-490c-b512-6100b63e5757"}</t>
        </is>
      </c>
      <c r="N5" t="inlineStr">
        <is>
          <t>The North Face men's black hooded rain jacket, waterproof windproof lightweight nylon shell, zip front, elastic cuffs, outdoor commute casual coat</t>
        </is>
      </c>
      <c r="O5" t="inlineStr">
        <is>
          <t>{"id":"resp_07feb15aae09311b016a11145bca6481a194b7f6ef68d892ef","object":"chat.completion","created":1779504224,"model":"gpt-5.5","choices":[{"index":0,"message":{"role":"assistant","content":"The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kakobuysheet2026"},"finish_reason":"stop"}],"usage":{"prompt_tokens":645,"completion_tokens":226,"total_tokens":871}}</t>
        </is>
      </c>
      <c r="P5" t="inlineStr">
        <is>
          <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t>
        </is>
      </c>
      <c r="Q5" t="inlineStr">
        <is>
          <t>Men, Black, Waterproof, Windproof, Lightweight, Nylon</t>
        </is>
      </c>
      <c r="R5" t="inlineStr">
        <is>
          <t>recvkkO0nspni7</t>
        </is>
      </c>
      <c r="S5" t="inlineStr">
        <is>
          <t>north-face-mens-black-waterproof-hooded-rain-jacket-recvkkO0nspni7</t>
        </is>
      </c>
      <c r="T5"/>
      <c r="U5"/>
      <c r="V5"/>
      <c r="W5" t="inlineStr">
        <is>
          <t>{"id":"resp_064cdfb94cc4f15f016a110b7e5bac8195bb2b5bbb5f87286f","object":"chat.completion","created":1779501954,"model":"gpt-5.5","choices":[{"index":0,"message":{"role":"assistant","content":"北面（The North Face）黑色连帽冲锋夹克，防风防水轻量尼龙面料，拉链门襟与弹力袖口设计，男士户外通勤休闲外套"},"finish_reason":"stop"}],"usage":{"prompt_tokens":1165,"completion_tokens":172,"total_tokens":1337}}</t>
        </is>
      </c>
      <c r="X5" t="inlineStr">
        <is>
          <t>北面（The North Face）黑色连帽冲锋夹克，防风防水轻量尼龙面料，拉链门襟与弹力袖口设计，男士户外通勤休闲外套</t>
        </is>
      </c>
    </row>
    <row r="6" ht="25.5" customHeight="1">
      <c r="A6">
        <v>1839115443</v>
      </c>
      <c r="B6">
        <v>7773031788</v>
      </c>
      <c r="C6" s="2" t="str">
        <f>=HYPERLINK("https://weidian.com/item.html?itemID=7773031788", "https://weidian.com/item.html?itemID=7773031788")</f>
        <v>https://weidian.com/item.html?itemID=7773031788</v>
      </c>
      <c r="D6"/>
      <c r="E6" s="2" t="str">
        <f>=HYPERLINK("https://si.geilicdn.com/open1839115443-252808396-3b970000019e4e7d04bd0aa08239_1080_1080.jpg?w=640&amp;h=640", "https://si.geilicdn.com/open1839115443-252808396-3b970000019e4e7d04bd0aa08239_1080_1080.jpg?w=640&amp;h=640")</f>
        <v>https://si.geilicdn.com/open1839115443-252808396-3b970000019e4e7d04bd0aa08239_1080_1080.jpg?w=640&amp;h=640</v>
      </c>
      <c r="F6" t="inlineStr">
        <is>
          <t>Jackets</t>
        </is>
      </c>
      <c r="G6" t="inlineStr">
        <is>
          <t>The North Face</t>
        </is>
      </c>
      <c r="H6">
        <v>176</v>
      </c>
      <c r="I6">
        <v>25.51</v>
      </c>
      <c r="J6" t="inlineStr">
        <is>
          <t>{"id":"resp_09e44318d2dd645e016a11131eb914819eb8499e7e27e94f9c","object":"chat.completion","created":1779503906,"model":"gpt-5.5","choices":[{"index":0,"message":{"role":"assistant","content":"The North Face Black Hooded Fleece Zip Jacket"},"finish_reason":"stop"}],"usage":{"prompt_tokens":720,"completion_tokens":93,"total_tokens":813}}</t>
        </is>
      </c>
      <c r="K6" t="inlineStr">
        <is>
          <t>The North Face Black Hooded Fleece Zip Jacket</t>
        </is>
      </c>
      <c r="L6" t="inlineStr">
        <is>
          <t>{"id":"resp_09d6dcfb3fd71774016a110f2ce1908190ad40258f6b7b6293","object":"chat.completion","created":1779502895,"model":"gpt-5.5","choices":[{"index":0,"message":{"role":"assistant","content":"The North Face black hooded fleece jacket, warm polar fleece, white chest logo, zip pockets, unisex outdoor casual winter coat."},"finish_reason":"stop"}],"usage":{"prompt_tokens":747,"completion_tokens":115,"total_tokens":862}}</t>
        </is>
      </c>
      <c r="M6" t="inlineStr">
        <is>
          <t>{"alt-svc":"h3=\":443\"; ma=2592000","connection":"close","content-length":"421","content-type":"application/json; charset=utf-8","date":"Sat, 23 May 2026 02:21:35 GMT","referrer-policy":"strict-origin-when-cross-origin","server":"nginx/1.24.0 (Ubuntu)","strict-transport-security":"max-age=31536000; includeSubDomains; preload","vary":"Accept-Encoding","via":"1.1 Caddy","x-content-type-options":"nosniff","x-frame-options":"DENY","x-new-api-version":"v1.0.0-rc.2","x-oneapi-request-id":"202605230221325716365058268d9d6yT7OL123","x-request-id":"f70702fb-c6b2-411e-b9df-bf2402e58226"}</t>
        </is>
      </c>
      <c r="N6" t="inlineStr">
        <is>
          <t>The North Face black hooded fleece jacket, warm polar fleece, white chest logo, zip pockets, unisex outdoor casual winter coat.</t>
        </is>
      </c>
      <c r="O6" t="inlineStr">
        <is>
          <t>{"id":"resp_07472c7dcb0a25ad016a11154df7e0819ea34290925ca633ed","object":"chat.completion","created":1779504469,"model":"gpt-5.5","choices":[{"index":0,"message":{"role":"assistant","content":"The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kakobuysheet2026"},"finish_reason":"stop"}],"usage":{"prompt_tokens":645,"completion_tokens":312,"total_tokens":957}}</t>
        </is>
      </c>
      <c r="P6" t="inlineStr">
        <is>
          <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t>
        </is>
      </c>
      <c r="Q6" t="inlineStr">
        <is>
          <t>Unisex, Outdoor, Winter, Fleece-Lined, Black</t>
        </is>
      </c>
      <c r="R6" t="inlineStr">
        <is>
          <t>recvkkO0ns6ey5</t>
        </is>
      </c>
      <c r="S6" t="inlineStr">
        <is>
          <t>the-north-face-black-hooded-fleece-zip-jacket-recvkkO0ns6ey5</t>
        </is>
      </c>
      <c r="T6"/>
      <c r="U6"/>
      <c r="V6"/>
      <c r="W6" t="inlineStr">
        <is>
          <t>{"id":"resp_08982537dad937d9016a110b62a70c81958a9d30eb33a1c374","object":"chat.completion","created":1779501926,"model":"gpt-5.5","choices":[{"index":0,"message":{"role":"assistant","content":"北面The North Face：黑色连帽抓绒夹克，保暖摇粒绒材质，胸前白色Logo，拉链口袋，男女同款户外休闲外套"},"finish_reason":"stop"}],"usage":{"prompt_tokens":1171,"completion_tokens":166,"total_tokens":1337}}</t>
        </is>
      </c>
      <c r="X6" t="inlineStr">
        <is>
          <t>北面The North Face：黑色连帽抓绒夹克，保暖摇粒绒材质，胸前白色Logo，拉链口袋，男女同款户外休闲外套</t>
        </is>
      </c>
    </row>
    <row r="7" ht="25.5" customHeight="1">
      <c r="A7">
        <v>1839115443</v>
      </c>
      <c r="B7">
        <v>7772961018</v>
      </c>
      <c r="C7" s="2" t="str">
        <f>=HYPERLINK("https://weidian.com/item.html?itemID=7772961018", "https://weidian.com/item.html?itemID=7772961018")</f>
        <v>https://weidian.com/item.html?itemID=7772961018</v>
      </c>
      <c r="D7"/>
      <c r="E7" s="2" t="str">
        <f>=HYPERLINK("https://si.geilicdn.com/open1839115443-252808396-266a0000019e4e7c7fa50a8115c2_1220_1540.jpg?w=640&amp;h=640", "https://si.geilicdn.com/open1839115443-252808396-266a0000019e4e7c7fa50a8115c2_1220_1540.jpg?w=640&amp;h=640")</f>
        <v>https://si.geilicdn.com/open1839115443-252808396-266a0000019e4e7c7fa50a8115c2_1220_1540.jpg?w=640&amp;h=640</v>
      </c>
      <c r="F7" t="inlineStr">
        <is>
          <t>Jackets</t>
        </is>
      </c>
      <c r="G7" t="inlineStr">
        <is>
          <t>The North Face</t>
        </is>
      </c>
      <c r="H7">
        <v>380</v>
      </c>
      <c r="I7">
        <v>55.07</v>
      </c>
      <c r="J7" t="inlineStr">
        <is>
          <t>{"id":"resp_0836e1623c6617de016a1113022648819dba59926d5dfd0de1","object":"chat.completion","created":1779503881,"model":"gpt-5.5","choices":[{"index":0,"message":{"role":"assistant","content":"The North Face Pink Black Cropped Down Puffer Jacket"},"finish_reason":"stop"}],"usage":{"prompt_tokens":861,"completion_tokens":281,"total_tokens":1142}}</t>
        </is>
      </c>
      <c r="K7" t="inlineStr">
        <is>
          <t>The North Face Pink Black Cropped Down Puffer Jacket</t>
        </is>
      </c>
      <c r="L7" t="inlineStr">
        <is>
          <t>{"id":"resp_0479c5a122bc4450016a110f7b67008195aaa7dd2e6ade9558","object":"chat.completion","created":1779502975,"model":"gpt-5.5","choices":[{"index":0,"message":{"role":"assistant","content":"The North Face pink black stand collar down puffer jacket, windproof warm cropped coat, unisex winter outdoor casual outerwear"},"finish_reason":"stop"}],"usage":{"prompt_tokens":894,"completion_tokens":142,"total_tokens":1036}}</t>
        </is>
      </c>
      <c r="M7" t="inlineStr">
        <is>
          <t>{"alt-svc":"h3=\":443\"; ma=2592000","connection":"close","content-length":"421","content-type":"application/json; charset=utf-8","date":"Sat, 23 May 2026 02:22:55 GMT","referrer-policy":"strict-origin-when-cross-origin","server":"nginx/1.24.0 (Ubuntu)","strict-transport-security":"max-age=31536000; includeSubDomains; preload","vary":"Accept-Encoding","via":"1.1 Caddy","x-content-type-options":"nosniff","x-frame-options":"DENY","x-new-api-version":"v1.0.0-rc.2","x-oneapi-request-id":"20260523022251471729118268d9d6RnkjM2Tu","x-request-id":"ab5826e7-889e-47ca-8d6a-828a6820cb7e"}</t>
        </is>
      </c>
      <c r="N7" t="inlineStr">
        <is>
          <t>The North Face pink black stand collar down puffer jacket, windproof warm cropped coat, unisex winter outdoor casual outerwear</t>
        </is>
      </c>
      <c r="O7" t="inlineStr">
        <is>
          <t>{"id":"resp_0ffdce1449cd8281016a1114fba94481a28d33e54c9c7855f8","object":"chat.completion","created":1779504385,"model":"gpt-5.5","choices":[{"index":0,"message":{"role":"assistant","content":"The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kakobuysheet2026"},"finish_reason":"stop"}],"usage":{"prompt_tokens":789,"completion_tokens":301,"total_tokens":1090}}</t>
        </is>
      </c>
      <c r="P7" t="inlineStr">
        <is>
          <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t>
        </is>
      </c>
      <c r="Q7" t="inlineStr">
        <is>
          <t>Unisex, Winter, Outdoor, Windproof, Pink</t>
        </is>
      </c>
      <c r="R7" t="inlineStr">
        <is>
          <t>recvkkO0ns4wAX</t>
        </is>
      </c>
      <c r="S7" t="inlineStr">
        <is>
          <t>north-face-pink-black-cropped-down-puffer-jacket-recvkkO0ns4wAX</t>
        </is>
      </c>
      <c r="T7"/>
      <c r="U7"/>
      <c r="V7"/>
      <c r="W7" t="inlineStr">
        <is>
          <t>{"id":"resp_0a3e7b7545acdd01016a110bbe092c81928afece1b7555b4c8","object":"chat.completion","created":1779502018,"model":"gpt-5.5","choices":[{"index":0,"message":{"role":"assistant","content":"北面 The North Face 粉色拼黑立领羽绒夹克，防风保暖蓬松填充，短款面包服设计，男女同款冬季户外休闲外套"},"finish_reason":"stop"}],"usage":{"prompt_tokens":1319,"completion_tokens":193,"total_tokens":1512}}</t>
        </is>
      </c>
      <c r="X7" t="inlineStr">
        <is>
          <t>北面 The North Face 粉色拼黑立领羽绒夹克，防风保暖蓬松填充，短款面包服设计，男女同款冬季户外休闲外套</t>
        </is>
      </c>
    </row>
    <row r="8" ht="25.5" customHeight="1">
      <c r="A8">
        <v>1839115443</v>
      </c>
      <c r="B8">
        <v>7772880530</v>
      </c>
      <c r="C8" s="2" t="str">
        <f>=HYPERLINK("https://weidian.com/item.html?itemID=7772880530", "https://weidian.com/item.html?itemID=7772880530")</f>
        <v>https://weidian.com/item.html?itemID=7772880530</v>
      </c>
      <c r="D8"/>
      <c r="E8" s="2" t="str">
        <f>=HYPERLINK("https://si.geilicdn.com/open1839115443-252808396-47c00000019e4e7e9c390a22d249_790_1201.jpg?w=640&amp;h=640", "https://si.geilicdn.com/open1839115443-252808396-47c00000019e4e7e9c390a22d249_790_1201.jpg?w=640&amp;h=640")</f>
        <v>https://si.geilicdn.com/open1839115443-252808396-47c00000019e4e7e9c390a22d249_790_1201.jpg?w=640&amp;h=640</v>
      </c>
      <c r="F8" t="inlineStr">
        <is>
          <t>Jackets</t>
        </is>
      </c>
      <c r="G8" t="inlineStr">
        <is>
          <t>The North Face</t>
        </is>
      </c>
      <c r="H8">
        <v>261</v>
      </c>
      <c r="I8">
        <v>37.83</v>
      </c>
      <c r="J8" t="inlineStr">
        <is>
          <t>{"id":"resp_03d92a93c8c0302c016a1113277f888195b55f1cdab5613e54","object":"chat.completion","created":1779503923,"model":"gpt-5.5","choices":[{"index":0,"message":{"role":"assistant","content":"The North Face 3-in-1 Hooded Waterproof Fleece Jacket"},"finish_reason":"stop"}],"usage":{"prompt_tokens":983,"completion_tokens":235,"total_tokens":1218}}</t>
        </is>
      </c>
      <c r="K8" t="inlineStr">
        <is>
          <t>The North Face 3-in-1 Hooded Waterproof Fleece Jacket</t>
        </is>
      </c>
      <c r="L8" t="inlineStr">
        <is>
          <t>{"id":"resp_00a9ff9fc4211f55016a110ef08b9881a1a4c7eb12d95b9c27","object":"chat.completion","created":1779502835,"model":"gpt-5.5","choices":[{"index":0,"message":{"role":"assistant","content":"The North Face 3-in-1 black white waterproof windproof hooded jacket with warm fleece liner, outdoor casual unisex coat"},"finish_reason":"stop"}],"usage":{"prompt_tokens":1007,"completion_tokens":111,"total_tokens":1118}}</t>
        </is>
      </c>
      <c r="M8" t="inlineStr">
        <is>
          <t>{"alt-svc":"h3=\":443\"; ma=2592000","connection":"close","content-length":"415","content-type":"application/json; charset=utf-8","date":"Sat, 23 May 2026 02:20:35 GMT","referrer-policy":"strict-origin-when-cross-origin","server":"nginx/1.24.0 (Ubuntu)","strict-transport-security":"max-age=31536000; includeSubDomains; preload","vary":"Accept-Encoding","via":"1.1 Caddy","x-content-type-options":"nosniff","x-frame-options":"DENY","x-new-api-version":"v1.0.0-rc.2","x-oneapi-request-id":"202605230220318472446188268d9d6CmE2ccPd","x-request-id":"b3627cc1-22e0-406b-a2b4-345a620fc3d6"}</t>
        </is>
      </c>
      <c r="N8" t="inlineStr">
        <is>
          <t>The North Face 3-in-1 black white waterproof windproof hooded jacket with warm fleece liner, outdoor casual unisex coat</t>
        </is>
      </c>
      <c r="O8" t="inlineStr">
        <is>
          <t>{"id":"resp_0702af4ddf2a5f7a016a111456bb4c819688ce98f10d345f14","object":"chat.completion","created":1779504219,"model":"gpt-5.5","choices":[{"index":0,"message":{"role":"assistant","content":"The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kakobuysheet2026"},"finish_reason":"stop"}],"usage":{"prompt_tokens":909,"completion_tokens":217,"total_tokens":1126}}</t>
        </is>
      </c>
      <c r="P8" t="inlineStr">
        <is>
          <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t>
        </is>
      </c>
      <c r="Q8" t="inlineStr">
        <is>
          <t>Black, White, Waterproof, Windproof, Outdoor, Unisex</t>
        </is>
      </c>
      <c r="R8" t="inlineStr">
        <is>
          <t>recvkkO0nscvgY</t>
        </is>
      </c>
      <c r="S8" t="inlineStr">
        <is>
          <t>the-north-face-3-in-1-hooded-waterproof-fleece-jacket-recvkkO0nscvgY</t>
        </is>
      </c>
      <c r="T8"/>
      <c r="U8"/>
      <c r="V8"/>
      <c r="W8" t="inlineStr">
        <is>
          <t>{"id":"resp_0701934f9d76291f016a110c0afe5c81a0a036bf7e22ea4381","object":"chat.completion","created":1779502094,"model":"gpt-5.5","choices":[{"index":0,"message":{"role":"assistant","content":"北面The North Face白黑拼色三合一冲锋衣，防风防水连帽设计，抓绒内胆保暖，户外休闲男女夹克外套"},"finish_reason":"stop"}],"usage":{"prompt_tokens":1435,"completion_tokens":138,"total_tokens":1573}}</t>
        </is>
      </c>
      <c r="X8" t="inlineStr">
        <is>
          <t>北面The North Face白黑拼色三合一冲锋衣，防风防水连帽设计，抓绒内胆保暖，户外休闲男女夹克外套</t>
        </is>
      </c>
    </row>
    <row r="9" ht="25.5" customHeight="1">
      <c r="A9">
        <v>1839115443</v>
      </c>
      <c r="B9">
        <v>7772966972</v>
      </c>
      <c r="C9" s="2" t="str">
        <f>=HYPERLINK("https://weidian.com/item.html?itemID=7772966972", "https://weidian.com/item.html?itemID=7772966972")</f>
        <v>https://weidian.com/item.html?itemID=7772966972</v>
      </c>
      <c r="D9"/>
      <c r="E9" s="2" t="str">
        <f>=HYPERLINK("https://si.geilicdn.com/open1839115443-252808396-3e1c0000019e4e819b710a231226-unadjust_1024_1024.png?w=640&amp;h=640", "https://si.geilicdn.com/open1839115443-252808396-3e1c0000019e4e819b710a231226-unadjust_1024_1024.png?w=640&amp;h=640")</f>
        <v>https://si.geilicdn.com/open1839115443-252808396-3e1c0000019e4e819b710a231226-unadjust_1024_1024.png?w=640&amp;h=640</v>
      </c>
      <c r="F9" t="inlineStr">
        <is>
          <t>Jackets</t>
        </is>
      </c>
      <c r="G9" t="inlineStr">
        <is>
          <t>The North Face</t>
        </is>
      </c>
      <c r="H9">
        <v>499</v>
      </c>
      <c r="I9">
        <v>72.32</v>
      </c>
      <c r="J9" t="inlineStr">
        <is>
          <t>{"id":"resp_0af5df57fe8f12e4016a111344f670819fa17f8c092168499d","object":"chat.completion","created":1779503944,"model":"gpt-5.5","choices":[{"index":0,"message":{"role":"assistant","content":"The North Face Black Gray Colorblock Puffer Jacket"},"finish_reason":"stop"}],"usage":{"prompt_tokens":729,"completion_tokens":117,"total_tokens":846}}</t>
        </is>
      </c>
      <c r="K9" t="inlineStr">
        <is>
          <t>The North Face Black Gray Colorblock Puffer Jacket</t>
        </is>
      </c>
      <c r="L9" t="inlineStr">
        <is>
          <t>{"id":"resp_0682f7f65e027bf5016a110edac1c081949016adca85302f9b","object":"chat.completion","created":1779502814,"model":"gpt-5.5","choices":[{"index":0,"message":{"role":"assistant","content":"The North Face black gray colorblock stand collar padded jacket, windproof warm nylon, full zip, white chest logo, unisex outdoor casual puffer coat"},"finish_reason":"stop"}],"usage":{"prompt_tokens":754,"completion_tokens":143,"total_tokens":897}}</t>
        </is>
      </c>
      <c r="M9" t="inlineStr">
        <is>
          <t>{"alt-svc":"h3=\":443\"; ma=2592000","connection":"close","content-length":"442","content-type":"application/json; charset=utf-8","date":"Sat, 23 May 2026 02:20:14 GMT","referrer-policy":"strict-origin-when-cross-origin","server":"nginx/1.24.0 (Ubuntu)","strict-transport-security":"max-age=31536000; includeSubDomains; preload","vary":"Accept-Encoding","via":"1.1 Caddy","x-content-type-options":"nosniff","x-frame-options":"DENY","x-new-api-version":"v1.0.0-rc.2","x-oneapi-request-id":"202605230220103756145138268d9d6XVUge4vD","x-request-id":"c46d8558-7917-4c79-94d2-8bc3737adadd"}</t>
        </is>
      </c>
      <c r="N9" t="inlineStr">
        <is>
          <t>The North Face black gray colorblock stand collar padded jacket, windproof warm nylon, full zip, white chest logo, unisex outdoor casual puffer coat</t>
        </is>
      </c>
      <c r="O9" t="inlineStr">
        <is>
          <t>{"id":"resp_084f8097782a4519016a111537858081939a2cd68a774bb378","object":"chat.completion","created":1779504445,"model":"gpt-5.5","choices":[{"index":0,"message":{"role":"assistant","content":"The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kakobuysheet2026"},"finish_reason":"stop"}],"usage":{"prompt_tokens":645,"completion_tokens":258,"total_tokens":903}}</t>
        </is>
      </c>
      <c r="P9" t="inlineStr">
        <is>
          <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t>
        </is>
      </c>
      <c r="Q9" t="inlineStr">
        <is>
          <t>Color Block, Windproof, Unisex, Outdoor, Nylon</t>
        </is>
      </c>
      <c r="R9" t="inlineStr">
        <is>
          <t>recvkkO0nsg3hO</t>
        </is>
      </c>
      <c r="S9" t="inlineStr">
        <is>
          <t>the-north-face-black-gray-colorblock-puffer-jacket-recvkkO0nsg3hO</t>
        </is>
      </c>
      <c r="T9"/>
      <c r="U9"/>
      <c r="V9"/>
      <c r="W9" t="inlineStr">
        <is>
          <t>{"id":"resp_09d919c4ff96036a016a110c213c60819e917792d3685e69e4","object":"chat.completion","created":1779502117,"model":"gpt-5.5","choices":[{"index":0,"message":{"role":"assistant","content":"北面（The North Face）黑灰拼色立领羽绒棉服，防风保暖尼龙材质，全拉链设计，胸前白色Logo，男女同款户外休闲夹克外套"},"finish_reason":"stop"}],"usage":{"prompt_tokens":1175,"completion_tokens":175,"total_tokens":1350}}</t>
        </is>
      </c>
      <c r="X9" t="inlineStr">
        <is>
          <t>北面（The North Face）黑灰拼色立领羽绒棉服，防风保暖尼龙材质，全拉链设计，胸前白色Logo，男女同款户外休闲夹克外套</t>
        </is>
      </c>
    </row>
    <row r="10" ht="25.5" customHeight="1">
      <c r="A10">
        <v>1839115443</v>
      </c>
      <c r="B10">
        <v>7773047644</v>
      </c>
      <c r="C10" s="2" t="str">
        <f>=HYPERLINK("https://weidian.com/item.html?itemID=7773047644", "https://weidian.com/item.html?itemID=7773047644")</f>
        <v>https://weidian.com/item.html?itemID=7773047644</v>
      </c>
      <c r="D10"/>
      <c r="E10" s="2" t="str">
        <f>=HYPERLINK("https://si.geilicdn.com/open1839115443-252808396-3a3c0000019e4e829f590aa08269_1179_1153.jpg?w=640&amp;h=640", "https://si.geilicdn.com/open1839115443-252808396-3a3c0000019e4e829f590aa08269_1179_1153.jpg?w=640&amp;h=640")</f>
        <v>https://si.geilicdn.com/open1839115443-252808396-3a3c0000019e4e829f590aa08269_1179_1153.jpg?w=640&amp;h=640</v>
      </c>
      <c r="F10" t="inlineStr">
        <is>
          <t>Jackets</t>
        </is>
      </c>
      <c r="G10" t="inlineStr">
        <is>
          <t>The North Face</t>
        </is>
      </c>
      <c r="H10">
        <v>293</v>
      </c>
      <c r="I10">
        <v>42.46</v>
      </c>
      <c r="J10" t="inlineStr">
        <is>
          <t>{"id":"resp_0550e2885e78aec1016a1112e6f4148196a84abf415b245768","object":"chat.completion","created":1779503850,"model":"gpt-5.5","choices":[{"index":0,"message":{"role":"assistant","content":"The North Face Navy Black Hooded Windbreaker Jacket"},"finish_reason":"stop"}],"usage":{"prompt_tokens":732,"completion_tokens":128,"total_tokens":860}}</t>
        </is>
      </c>
      <c r="K10" t="inlineStr">
        <is>
          <t>The North Face Navy Black Hooded Windbreaker Jacket</t>
        </is>
      </c>
      <c r="L10" t="inlineStr">
        <is>
          <t>{"id":"resp_090117be721d4d15016a110ed4f83481939ab7ef726a36db4c","object":"chat.completion","created":1779502808,"model":"gpt-5.5","choices":[{"index":0,"message":{"role":"assistant","content":"The North Face navy black hooded windbreaker jacket, windproof water-repellent shell, drawstring hood, snap placket, unisex outdoor casual coat."},"finish_reason":"stop"}],"usage":{"prompt_tokens":747,"completion_tokens":130,"total_tokens":877}}</t>
        </is>
      </c>
      <c r="M10" t="inlineStr">
        <is>
          <t>{"alt-svc":"h3=\":443\"; ma=2592000","connection":"close","content-length":"438","content-type":"application/json; charset=utf-8","date":"Sat, 23 May 2026 02:20:08 GMT","referrer-policy":"strict-origin-when-cross-origin","server":"Caddy","strict-transport-security":"max-age=31536000; includeSubDomains; preload","vary":"Accept-Encoding","x-content-type-options":"nosniff","x-frame-options":"DENY","x-new-api-version":"v1.0.0-rc.2","x-oneapi-request-id":"202605230220045682919998268d9d6TYKgldBe","x-request-id":"60b14945-1a43-4e57-b0d4-4b486bea7970"}</t>
        </is>
      </c>
      <c r="N10" t="inlineStr">
        <is>
          <t>The North Face navy black hooded windbreaker jacket, windproof water-repellent shell, drawstring hood, snap placket, unisex outdoor casual coat.</t>
        </is>
      </c>
      <c r="O10" t="inlineStr">
        <is>
          <t>{"id":"resp_08ce24729da06e36016a1114f59b4881928dffeb43b5e3baaa","object":"chat.completion","created":1779504379,"model":"gpt-5.5","choices":[{"index":0,"message":{"role":"assistant","content":"The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kakobuysheet2026"},"finish_reason":"stop"}],"usage":{"prompt_tokens":645,"completion_tokens":253,"total_tokens":898}}</t>
        </is>
      </c>
      <c r="P10" t="inlineStr">
        <is>
          <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t>
        </is>
      </c>
      <c r="Q10" t="inlineStr">
        <is>
          <t>Navy, Black, Windproof, Outdoor, Unisex</t>
        </is>
      </c>
      <c r="R10" t="inlineStr">
        <is>
          <t>recvkkO0nsKjvv</t>
        </is>
      </c>
      <c r="S10" t="inlineStr">
        <is>
          <t>north-face-navy-black-hooded-windbreaker-recvkkO0nsKjvv</t>
        </is>
      </c>
      <c r="T10"/>
      <c r="U10"/>
      <c r="V10"/>
      <c r="W10" t="inlineStr">
        <is>
          <t>{"id":"resp_0d4389d45ae21e56016a110bd902d48194a16ebeb7fd4b988e","object":"chat.completion","created":1779502045,"model":"gpt-5.5","choices":[{"index":0,"message":{"role":"assistant","content":"北面 The North Face 深蓝拼黑连帽冲锋衣，防风防泼水机能面料，抽绳帽与按扣门襟设计，户外休闲男女夹克。"},"finish_reason":"stop"}],"usage":{"prompt_tokens":1171,"completion_tokens":137,"total_tokens":1308}}</t>
        </is>
      </c>
      <c r="X10" t="inlineStr">
        <is>
          <t>北面 The North Face 深蓝拼黑连帽冲锋衣，防风防泼水机能面料，抽绳帽与按扣门襟设计，户外休闲男女夹克。</t>
        </is>
      </c>
    </row>
    <row r="11" ht="25.5" customHeight="1">
      <c r="A11">
        <v>1839115443</v>
      </c>
      <c r="B11">
        <v>7770032057</v>
      </c>
      <c r="C11" s="2" t="str">
        <f>=HYPERLINK("https://weidian.com/item.html?itemID=7770032057", "https://weidian.com/item.html?itemID=7770032057")</f>
        <v>https://weidian.com/item.html?itemID=7770032057</v>
      </c>
      <c r="D11"/>
      <c r="E11" s="2" t="str">
        <f>=HYPERLINK("https://si.geilicdn.com/open1839115443-252808396-24180000019e4e8288100a8133b0_320_426.jpg?w=640&amp;h=640", "https://si.geilicdn.com/open1839115443-252808396-24180000019e4e8288100a8133b0_320_426.jpg?w=640&amp;h=640")</f>
        <v>https://si.geilicdn.com/open1839115443-252808396-24180000019e4e8288100a8133b0_320_426.jpg?w=640&amp;h=640</v>
      </c>
      <c r="F11" t="inlineStr">
        <is>
          <t>Jackets</t>
        </is>
      </c>
      <c r="G11" t="inlineStr">
        <is>
          <t>The North Face</t>
        </is>
      </c>
      <c r="H11">
        <v>285</v>
      </c>
      <c r="I11">
        <v>41.3</v>
      </c>
      <c r="J11" t="inlineStr">
        <is>
          <t>{"id":"resp_01a6c19e0ac20687016a11136b89a081908e399e29c09d7206","object":"chat.completion","created":1779503984,"model":"gpt-5.5","choices":[{"index":0,"message":{"role":"assistant","content":"The North Face Black Hooded Nylon Windbreaker Jacket"},"finish_reason":"stop"}],"usage":{"prompt_tokens":412,"completion_tokens":139,"total_tokens":551}}</t>
        </is>
      </c>
      <c r="K11" t="inlineStr">
        <is>
          <t>The North Face Black Hooded Nylon Windbreaker Jacket</t>
        </is>
      </c>
      <c r="L11" t="inlineStr">
        <is>
          <t>{"id":"resp_0d370d4da4d464fe016a110ef4a89c81908e30fbd653473305","object":"chat.completion","created":1779502839,"model":"gpt-5.5","choices":[{"index":0,"message":{"role":"assistant","content":"The North Face black hooded windbreaker jacket, unisex outdoor nylon shell with snap front, drawstring hem, casual techwear raincoat."},"finish_reason":"stop"}],"usage":{"prompt_tokens":434,"completion_tokens":108,"total_tokens":542}}</t>
        </is>
      </c>
      <c r="M11" t="inlineStr">
        <is>
          <t>{"alt-svc":"h3=\":443\"; ma=2592000","connection":"close","content-length":"427","content-type":"application/json; charset=utf-8","date":"Sat, 23 May 2026 02:20:39 GMT","referrer-policy":"strict-origin-when-cross-origin","server":"nginx/1.24.0 (Ubuntu)","strict-transport-security":"max-age=31536000; includeSubDomains; preload","vary":"Accept-Encoding","via":"1.1 Caddy","x-content-type-options":"nosniff","x-frame-options":"DENY","x-new-api-version":"v1.0.0-rc.2","x-oneapi-request-id":"202605230220361715329608268d9d6fd0GIw8w","x-request-id":"0523a234-45ae-452e-a70b-b6501af12668"}</t>
        </is>
      </c>
      <c r="N11" t="inlineStr">
        <is>
          <t>The North Face black hooded windbreaker jacket, unisex outdoor nylon shell with snap front, drawstring hem, casual techwear raincoat.</t>
        </is>
      </c>
      <c r="O11" t="inlineStr">
        <is>
          <t>{"id":"resp_07a5c20ae9b6959f016a11147869588193a2fd3d0d73e0e259","object":"chat.completion","created":1779504253,"model":"gpt-5.5","choices":[{"index":0,"message":{"role":"assistant","content":"The North Face, Jackets, kakobuy, kakebuy2026, kekobuysheet, kakobuysheet2026, 2026kakobuy, kakobuyspreadsheeet, kakobuylink, kakebuylist, Kakobuy MEGA Spreadsheet, kakobuysheetfind, kakobuysheetfind2026, 2026kakobuysheetfind, kakobuysheet2026"},"finish_reason":"stop"}],"usage":{"prompt_tokens":333,"completion_tokens":227,"total_tokens":560}}</t>
        </is>
      </c>
      <c r="P11" t="inlineStr">
        <is>
          <t>The North Face, Jackets, kakobuy, kakebuy2026, kekobuysheet, kakobuysheet2026, 2026kakobuy, kakobuyspreadsheeet, kakobuylink, kakebuylist, Kakobuy MEGA Spreadsheet, kakobuysheetfind, kakobuysheetfind2026, 2026kakobuysheetfind, kakobuysheet2026</t>
        </is>
      </c>
      <c r="Q11" t="inlineStr">
        <is>
          <t>Unisex, Outdoor, Black, Nylon, Windproof</t>
        </is>
      </c>
      <c r="R11" t="inlineStr">
        <is>
          <t>recvkkO0ns7H8J</t>
        </is>
      </c>
      <c r="S11" t="inlineStr">
        <is>
          <t>north-face-black-hooded-nylon-windbreaker-recvkkO0ns7H8J</t>
        </is>
      </c>
      <c r="T11"/>
      <c r="U11"/>
      <c r="V11"/>
      <c r="W11" t="inlineStr">
        <is>
          <t>{"id":"resp_06ab65c907c9868a016a110bbac0ec81a3b13b6096c273ab71","object":"chat.completion","created":1779502014,"model":"gpt-5.5","choices":[{"index":0,"message":{"role":"assistant","content":"北面（The North Face）黑色连帽防风夹克，户外机能风尼龙外套，按扣门襟抽绳下摆，男女通用休闲冲锋衣款式。"},"finish_reason":"stop"}],"usage":{"prompt_tokens":853,"completion_tokens":167,"total_tokens":1020}}</t>
        </is>
      </c>
      <c r="X11" t="inlineStr">
        <is>
          <t>北面（The North Face）黑色连帽防风夹克，户外机能风尼龙外套，按扣门襟抽绳下摆，男女通用休闲冲锋衣款式。</t>
        </is>
      </c>
    </row>
    <row r="12" ht="25.5" customHeight="1">
      <c r="A12">
        <v>1839115443</v>
      </c>
      <c r="B12">
        <v>7772985234</v>
      </c>
      <c r="C12" s="2" t="str">
        <f>=HYPERLINK("https://weidian.com/item.html?itemID=7772985234", "https://weidian.com/item.html?itemID=7772985234")</f>
        <v>https://weidian.com/item.html?itemID=7772985234</v>
      </c>
      <c r="D12"/>
      <c r="E12" s="2" t="str">
        <f>=HYPERLINK("https://si.geilicdn.com/open1839115443-252808396-4e6a0000019e4e8d17870a22d249_750_949.jpg?w=640&amp;h=640", "https://si.geilicdn.com/open1839115443-252808396-4e6a0000019e4e8d17870a22d249_750_949.jpg?w=640&amp;h=640")</f>
        <v>https://si.geilicdn.com/open1839115443-252808396-4e6a0000019e4e8d17870a22d249_750_949.jpg?w=640&amp;h=640</v>
      </c>
      <c r="F12" t="inlineStr">
        <is>
          <t>Jackets</t>
        </is>
      </c>
      <c r="G12" t="inlineStr">
        <is>
          <t>The North Face</t>
        </is>
      </c>
      <c r="H12">
        <v>365</v>
      </c>
      <c r="I12">
        <v>52.9</v>
      </c>
      <c r="J12" t="inlineStr">
        <is>
          <t>{"id":"resp_0b63730d8fc300ec016a11131e9ef8819f86940930f809b77d","object":"chat.completion","created":1779503905,"model":"gpt-5.5","choices":[{"index":0,"message":{"role":"assistant","content":"The North Face Black Stand Collar Down Puffer Jacket"},"finish_reason":"stop"}],"usage":{"prompt_tokens":873,"completion_tokens":124,"total_tokens":997}}</t>
        </is>
      </c>
      <c r="K12" t="inlineStr">
        <is>
          <t>The North Face Black Stand Collar Down Puffer Jacket</t>
        </is>
      </c>
      <c r="L12" t="inlineStr">
        <is>
          <t>{"id":"resp_0aef447f1e25791c016a110f15a09c8193878b8e2b5275be4b","object":"chat.completion","created":1779502873,"model":"gpt-5.5","choices":[{"index":0,"message":{"role":"assistant","content":"The North Face black stand-collar down jacket, windproof warm nylon puffer with white chest logo, relaxed cropped outdoor streetwear coat for men and women"},"finish_reason":"stop"}],"usage":{"prompt_tokens":887,"completion_tokens":153,"total_tokens":1040}}</t>
        </is>
      </c>
      <c r="M12" t="inlineStr">
        <is>
          <t>{"alt-svc":"h3=\":443\"; ma=2592000","connection":"close","content-length":"450","content-type":"application/json; charset=utf-8","date":"Sat, 23 May 2026 02:21:13 GMT","referrer-policy":"strict-origin-when-cross-origin","server":"Caddy","strict-transport-security":"max-age=31536000; includeSubDomains; preload","vary":"Accept-Encoding","x-content-type-options":"nosniff","x-frame-options":"DENY","x-new-api-version":"v1.0.0-rc.2","x-oneapi-request-id":"202605230221092858940738268d9d619HY3Awz","x-request-id":"9f731921-34d8-4ac4-8bca-14944462a2ae"}</t>
        </is>
      </c>
      <c r="N12" t="inlineStr">
        <is>
          <t>The North Face black stand-collar down jacket, windproof warm nylon puffer with white chest logo, relaxed cropped outdoor streetwear coat for men and women</t>
        </is>
      </c>
      <c r="O12" t="inlineStr">
        <is>
          <t>{"id":"resp_0ebf4696b53e0d24016a1114d0262881a0b42ac694aa9a1e5e","object":"chat.completion","created":1779504406,"model":"gpt-5.5","choices":[{"index":0,"message":{"role":"assistant","content":"The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2026kakobuysheetfind"},"finish_reason":"stop"}],"usage":{"prompt_tokens":789,"completion_tokens":414,"total_tokens":1203}}</t>
        </is>
      </c>
      <c r="P12" t="inlineStr">
        <is>
          <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t>
        </is>
      </c>
      <c r="Q12" t="inlineStr">
        <is>
          <t>Windproof, Nylon, Outdoor, Streetwear, Men's And Women's, Black</t>
        </is>
      </c>
      <c r="R12" t="inlineStr">
        <is>
          <t>recvkkO0nsbQik</t>
        </is>
      </c>
      <c r="S12" t="inlineStr">
        <is>
          <t>north-face-black-stand-collar-down-puffer-jacket-recvkkO0nsbQik</t>
        </is>
      </c>
      <c r="T12"/>
      <c r="U12"/>
      <c r="V12"/>
      <c r="W12" t="inlineStr">
        <is>
          <t>{"id":"resp_0ed7f0ca86d137dd016a110c0fc750819c862faf89061f6a88","object":"chat.completion","created":1779502099,"model":"gpt-5.5","choices":[{"index":0,"message":{"role":"assistant","content":"北面 The North Face 黑色立领羽绒夹克，防风保暖尼龙面料，胸前白色Logo，宽松短款户外潮流男女外套"},"finish_reason":"stop"}],"usage":{"prompt_tokens":1315,"completion_tokens":151,"total_tokens":1466}}</t>
        </is>
      </c>
      <c r="X12" t="inlineStr">
        <is>
          <t>北面 The North Face 黑色立领羽绒夹克，防风保暖尼龙面料，胸前白色Logo，宽松短款户外潮流男女外套</t>
        </is>
      </c>
    </row>
    <row r="13" ht="25.5" customHeight="1">
      <c r="A13">
        <v>1839115443</v>
      </c>
      <c r="B13">
        <v>7769978981</v>
      </c>
      <c r="C13" s="2" t="str">
        <f>=HYPERLINK("https://weidian.com/item.html?itemID=7769978981", "https://weidian.com/item.html?itemID=7769978981")</f>
        <v>https://weidian.com/item.html?itemID=7769978981</v>
      </c>
      <c r="D13"/>
      <c r="E13" s="2" t="str">
        <f>=HYPERLINK("https://si.geilicdn.com/open1839115443-252808396-3d7a0000019e4e805add0a231226_1080_1080.jpg?w=640&amp;h=640", "https://si.geilicdn.com/open1839115443-252808396-3d7a0000019e4e805add0a231226_1080_1080.jpg?w=640&amp;h=640")</f>
        <v>https://si.geilicdn.com/open1839115443-252808396-3d7a0000019e4e805add0a231226_1080_1080.jpg?w=640&amp;h=640</v>
      </c>
      <c r="F13" t="inlineStr">
        <is>
          <t>Jackets</t>
        </is>
      </c>
      <c r="G13" t="inlineStr">
        <is>
          <t>The North Face</t>
        </is>
      </c>
      <c r="H13">
        <v>312</v>
      </c>
      <c r="I13">
        <v>45.22</v>
      </c>
      <c r="J13" t="inlineStr">
        <is>
          <t>{"id":"resp_0aa4001e760be1c3016a111328bbb881978e9896a0a56da4b3","object":"chat.completion","created":1779503916,"model":"gpt-5.5","choices":[{"index":0,"message":{"role":"assistant","content":"The North Face Olive Waterproof Hooded Utility Jacket"},"finish_reason":"stop"}],"usage":{"prompt_tokens":717,"completion_tokens":128,"total_tokens":845}}</t>
        </is>
      </c>
      <c r="K13" t="inlineStr">
        <is>
          <t>The North Face Olive Waterproof Hooded Utility Jacket</t>
        </is>
      </c>
      <c r="L13" t="inlineStr">
        <is>
          <t>{"id":"resp_08a4c0bf68d24e8d016a110ec2cb10819494a4918173b46781","object":"chat.completion","created":1779502789,"model":"gpt-5.5","choices":[{"index":0,"message":{"role":"assistant","content":"The North Face olive green hooded jacket, waterproof windproof tech shell, multi-pocket utility design, unisex outdoor casual coat"},"finish_reason":"stop"}],"usage":{"prompt_tokens":743,"completion_tokens":104,"total_tokens":847}}</t>
        </is>
      </c>
      <c r="M13" t="inlineStr">
        <is>
          <t>{"alt-svc":"h3=\":443\"; ma=2592000","connection":"close","content-length":"424","content-type":"application/json; charset=utf-8","date":"Sat, 23 May 2026 02:19:49 GMT","referrer-policy":"strict-origin-when-cross-origin","server":"nginx/1.24.0 (Ubuntu)","strict-transport-security":"max-age=31536000; includeSubDomains; preload","vary":"Accept-Encoding","via":"1.1 Caddy","x-content-type-options":"nosniff","x-frame-options":"DENY","x-new-api-version":"v1.0.0-rc.2","x-oneapi-request-id":"202605230219463112162198268d9d6loApJbtM","x-request-id":"e372d0e4-0b1e-47a3-97e8-d0e2122a88c9"}</t>
        </is>
      </c>
      <c r="N13" t="inlineStr">
        <is>
          <t>The North Face olive green hooded jacket, waterproof windproof tech shell, multi-pocket utility design, unisex outdoor casual coat</t>
        </is>
      </c>
      <c r="O13" t="inlineStr">
        <is>
          <t>{"id":"resp_0d669f19617474e4016a11152dd8788197a35e86cc158e1022","object":"chat.completion","created":1779504437,"model":"gpt-5.5","choices":[{"index":0,"message":{"role":"assistant","content":"The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kakobuysheet2026"},"finish_reason":"stop"}],"usage":{"prompt_tokens":645,"completion_tokens":322,"total_tokens":967}}</t>
        </is>
      </c>
      <c r="P13" t="inlineStr">
        <is>
          <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t>
        </is>
      </c>
      <c r="Q13" t="inlineStr">
        <is>
          <t>Olive Green, Waterproof, Windproof, Outdoor, Unisex</t>
        </is>
      </c>
      <c r="R13" t="inlineStr">
        <is>
          <t>recvkkO0nsWZQM</t>
        </is>
      </c>
      <c r="S13" t="inlineStr">
        <is>
          <t>the-north-face-olive-waterproof-hooded-utility-jacket-recvkkO0nsWZQM</t>
        </is>
      </c>
      <c r="T13"/>
      <c r="U13"/>
      <c r="V13"/>
      <c r="W13" t="inlineStr">
        <is>
          <t>{"id":"resp_048b935042198bc6016a110ba067f0819f8e3a8043dbe93b14","object":"chat.completion","created":1779501988,"model":"gpt-5.5","choices":[{"index":0,"message":{"role":"assistant","content":"北面The North Face橄榄绿连帽冲锋夹克，防风防水机能面料，多口袋工装设计，户外休闲男女同款外套"},"finish_reason":"stop"}],"usage":{"prompt_tokens":1171,"completion_tokens":145,"total_tokens":1316}}</t>
        </is>
      </c>
      <c r="X13" t="inlineStr">
        <is>
          <t>北面The North Face橄榄绿连帽冲锋夹克，防风防水机能面料，多口袋工装设计，户外休闲男女同款外套</t>
        </is>
      </c>
    </row>
    <row r="14" ht="25.5" customHeight="1">
      <c r="A14">
        <v>1839115443</v>
      </c>
      <c r="B14">
        <v>7770005159</v>
      </c>
      <c r="C14" s="2" t="str">
        <f>=HYPERLINK("https://weidian.com/item.html?itemID=7770005159", "https://weidian.com/item.html?itemID=7770005159")</f>
        <v>https://weidian.com/item.html?itemID=7770005159</v>
      </c>
      <c r="D14"/>
      <c r="E14" s="2" t="str">
        <f>=HYPERLINK("https://si.geilicdn.com/open1839115443-252808396-3eda0000019e4e8f4d6a0aa08269_790_945.jpg?w=640&amp;h=640", "https://si.geilicdn.com/open1839115443-252808396-3eda0000019e4e8f4d6a0aa08269_790_945.jpg?w=640&amp;h=640")</f>
        <v>https://si.geilicdn.com/open1839115443-252808396-3eda0000019e4e8f4d6a0aa08269_790_945.jpg?w=640&amp;h=640</v>
      </c>
      <c r="F14" t="inlineStr">
        <is>
          <t>T-Shirts</t>
        </is>
      </c>
      <c r="G14" t="inlineStr">
        <is>
          <t>Gucci</t>
        </is>
      </c>
      <c r="H14">
        <v>129</v>
      </c>
      <c r="I14">
        <v>18.7</v>
      </c>
      <c r="J14" t="inlineStr">
        <is>
          <t>{"id":"resp_051d42b8689f5887016a1113757d28819fbc2b11d9b9a75cfd","object":"chat.completion","created":1779503993,"model":"gpt-5.5","choices":[{"index":0,"message":{"role":"assistant","content":"Gucci Black Cotton GG Logo Crew Neck T-Shirt"},"finish_reason":"stop"}],"usage":{"prompt_tokens":821,"completion_tokens":146,"total_tokens":967}}</t>
        </is>
      </c>
      <c r="K14" t="inlineStr">
        <is>
          <t>Gucci Black Cotton GG Logo Crew Neck T-Shirt</t>
        </is>
      </c>
      <c r="L14" t="inlineStr">
        <is>
          <t>{"id":"resp_02f2412fe5a2c0a7016a110ec544b8819fa071b891954208d0","object":"chat.completion","created":1779502792,"model":"gpt-5.5","choices":[{"index":0,"message":{"role":"assistant","content":"Gucci black cotton crew neck T-shirt with red-green interlocking GG logo and CUCEI letter print, trendy casual unisex short sleeve top."},"finish_reason":"stop"}],"usage":{"prompt_tokens":841,"completion_tokens":132,"total_tokens":973}}</t>
        </is>
      </c>
      <c r="M14" t="inlineStr">
        <is>
          <t>{"alt-svc":"h3=\":443\"; ma=2592000","connection":"close","content-length":"429","content-type":"application/json; charset=utf-8","date":"Sat, 23 May 2026 02:19:52 GMT","referrer-policy":"strict-origin-when-cross-origin","server":"Caddy","strict-transport-security":"max-age=31536000; includeSubDomains; preload","vary":"Accept-Encoding","x-content-type-options":"nosniff","x-frame-options":"DENY","x-new-api-version":"v1.0.0-rc.2","x-oneapi-request-id":"202605230219489812428138268d9d6JViEHX8g","x-request-id":"6f8d9d75-6953-410b-8aa9-bdbe5b5253d7"}</t>
        </is>
      </c>
      <c r="N14" t="inlineStr">
        <is>
          <t>Gucci black cotton crew neck T-shirt with red-green interlocking GG logo and CUCEI letter print, trendy casual unisex short sleeve top.</t>
        </is>
      </c>
      <c r="O14" t="inlineStr">
        <is>
          <t>{"id":"resp_06ada4746a001984016a111499190c81a2a56b8e3fc7a30be1","object":"chat.completion","created":1779504286,"model":"gpt-5.5","choices":[{"index":0,"message":{"role":"assistant","content":"Gucci T-Shirts kakobuy, Gucci T-Shirts kakebuy2026, Gucci T-Shirts kekobuysheet, Gucci T-Shirts kakobuysheet2026, Gucci T-Shirts 2026kakobuy, Gucci T-Shirts kakobuyspreadsheeet, Gucci T-Shirts kakobuylink, Gucci T-Shirts kakebuylist, Gucci T-Shirts Kakobuy MEGA Spreadsheet, Gucci T-Shirts kakobuysheetfind, Gucci T-Shirts kakobuysheetfind2026, Gucci T-Shirts 2026kakobuysheetfind, Gucci T-Shirts kakobuysheet2026"},"finish_reason":"stop"}],"usage":{"prompt_tokens":740,"completion_tokens":272,"total_tokens":1012}}</t>
        </is>
      </c>
      <c r="P14" t="inlineStr">
        <is>
          <t>Gucci T-Shirts kakobuy, Gucci T-Shirts kakebuy2026, Gucci T-Shirts kekobuysheet, Gucci T-Shirts kakobuysheet2026, Gucci T-Shirts 2026kakobuy, Gucci T-Shirts kakobuyspreadsheeet, Gucci T-Shirts kakobuylink, Gucci T-Shirts kakebuylist, Gucci T-Shirts Kakobuy MEGA Spreadsheet, Gucci T-Shirts kakobuysheetfind, Gucci T-Shirts kakobuysheetfind2026, Gucci T-Shirts 2026kakobuysheetfind, Gucci T-Shirts kakobuysheet2026</t>
        </is>
      </c>
      <c r="Q14" t="inlineStr">
        <is>
          <t>Black, Unisex, Summer</t>
        </is>
      </c>
      <c r="R14" t="inlineStr">
        <is>
          <t>recvkkO0ns2gXz</t>
        </is>
      </c>
      <c r="S14" t="inlineStr">
        <is>
          <t>gucci-black-cotton-gg-logo-crew-neck-t-shirt-recvkkO0ns2gXz</t>
        </is>
      </c>
      <c r="T14"/>
      <c r="U14"/>
      <c r="V14"/>
      <c r="W14" t="inlineStr">
        <is>
          <t>{"id":"resp_0813814ec58f84b9016a110bdd664c8193823db3a5c091712d","object":"chat.completion","created":1779502049,"model":"gpt-5.5","choices":[{"index":0,"message":{"role":"assistant","content":"古驰Gucci黑色短袖T恤，棉质圆领，红绿撞色双G图腾与CUCEI字母印花，潮流休闲男女同款上衣"},"finish_reason":"stop"}],"usage":{"prompt_tokens":1265,"completion_tokens":174,"total_tokens":1439}}</t>
        </is>
      </c>
      <c r="X14" t="inlineStr">
        <is>
          <t>古驰Gucci黑色短袖T恤，棉质圆领，红绿撞色双G图腾与CUCEI字母印花，潮流休闲男女同款上衣</t>
        </is>
      </c>
    </row>
    <row r="15" ht="25.5" customHeight="1">
      <c r="A15">
        <v>1839115443</v>
      </c>
      <c r="B15">
        <v>7773058812</v>
      </c>
      <c r="C15" s="2" t="str">
        <f>=HYPERLINK("https://weidian.com/item.html?itemID=7773058812", "https://weidian.com/item.html?itemID=7773058812")</f>
        <v>https://weidian.com/item.html?itemID=7773058812</v>
      </c>
      <c r="D15"/>
      <c r="E15" s="2" t="str">
        <f>=HYPERLINK("https://si.geilicdn.com/open1839115443-252808396-07340000019e4ea7dc3d0a23b491_800_800.jpg?w=750&amp;h=750&amp;cp=1", "https://si.geilicdn.com/open1839115443-252808396-07340000019e4ea7dc3d0a23b491_800_800.jpg?w=750&amp;h=750&amp;cp=1")</f>
        <v>https://si.geilicdn.com/open1839115443-252808396-07340000019e4ea7dc3d0a23b491_800_800.jpg?w=750&amp;h=750&amp;cp=1</v>
      </c>
      <c r="F15" t="inlineStr">
        <is>
          <t>Pants</t>
        </is>
      </c>
      <c r="G15" t="inlineStr">
        <is>
          <t>Essentials</t>
        </is>
      </c>
      <c r="H15">
        <v>105</v>
      </c>
      <c r="I15">
        <v>15.22</v>
      </c>
      <c r="J15" t="inlineStr">
        <is>
          <t>{"id":"resp_0d7f9fc4bf598585016a11138b04cc819d8f6d99782968a126","object":"chat.completion","created":1779504020,"model":"gpt-5.5","choices":[{"index":0,"message":{"role":"assistant","content":"Fear of God Essentials Khaki Unisex Sweat Shorts"},"finish_reason":"stop"}],"usage":{"prompt_tokens":937,"completion_tokens":468,"total_tokens":1405}}</t>
        </is>
      </c>
      <c r="K15" t="inlineStr">
        <is>
          <t>Fear of God Essentials Khaki Unisex Sweat Shorts</t>
        </is>
      </c>
      <c r="L15" t="inlineStr">
        <is>
          <t>{"id":"resp_0ddc671b6d4b5f7f016a110f120fd0819380c01e5fc1f98b2a","object":"chat.completion","created":1779502869,"model":"gpt-5.5","choices":[{"index":0,"message":{"role":"assistant","content":"Fear of God Essentials light khaki unisex sweat shorts, cotton fleece, elastic drawstring waist, logo print, streetwear athletic knee-length casual shorts"},"finish_reason":"stop"}],"usage":{"prompt_tokens":957,"completion_tokens":141,"total_tokens":1098}}</t>
        </is>
      </c>
      <c r="M15" t="inlineStr">
        <is>
          <t>{"alt-svc":"h3=\":443\"; ma=2592000","connection":"close","content-length":"449","content-type":"application/json; charset=utf-8","date":"Sat, 23 May 2026 02:21:09 GMT","referrer-policy":"strict-origin-when-cross-origin","server":"Caddy","strict-transport-security":"max-age=31536000; includeSubDomains; preload","vary":"Accept-Encoding","x-content-type-options":"nosniff","x-frame-options":"DENY","x-new-api-version":"v1.0.0-rc.2","x-oneapi-request-id":"202605230221055925706438268d9d661Ixqlsm","x-request-id":"42127d55-e53b-41b4-a933-fcd0262e9e68"}</t>
        </is>
      </c>
      <c r="N15" t="inlineStr">
        <is>
          <t>Fear of God Essentials light khaki unisex sweat shorts, cotton fleece, elastic drawstring waist, logo print, streetwear athletic knee-length casual shorts</t>
        </is>
      </c>
      <c r="O15" t="inlineStr">
        <is>
          <t>{"id":"resp_0b5bf3807f95fcf6016a11145f35b481a29c810f197d201c21","object":"chat.completion","created":1779504232,"model":"gpt-5.5","choices":[{"index":0,"message":{"role":"assistant","content":"Essentials, Pants, kakobuy\nEssentials, Pants, kakebuy2026\nEssentials, Pants, kekobuysheet\nEssentials, Pants, kakobuysheet2026\nEssentials, Pants, 2026kakobuy\nEssentials, Pants, kakobuyspreadsheeet\nEssentials, Pants, kakobuylink\nEssentials, Pants, kakebuylist\nEssentials, Pants, Kakobuy MEGA Spreadsheet\nEssentials, Pants, kakobuysheetfind\nEssentials, Pants, kakobuysheetfind2026\nEssentials, Pants, 2026kakobuysheetfind\nEssentials, Pants, kakobuysheet2026"},"finish_reason":"stop"}],"usage":{"prompt_tokens":855,"completion_tokens":438,"total_tokens":1293}}</t>
        </is>
      </c>
      <c r="P15" t="inlineStr">
        <is>
          <t>Essentials, Pants, kakobuy
Essentials, Pants, kakebuy2026
Essentials, Pants, kekobuysheet
Essentials, Pants, kakobuysheet2026
Essentials, Pants, 2026kakobuy
Essentials, Pants, kakobuyspreadsheeet
Essentials, Pants, kakobuylink
Essentials, Pants, kakebuylist
Essentials, Pants, Kakobuy MEGA Spreadsheet
Essentials, Pants, kakobuysheetfind
Essentials, Pants, kakobuysheetfind2026
Essentials, Pants, 2026kakobuysheetfind
Essentials, Pants, kakobuysheet2026</t>
        </is>
      </c>
      <c r="Q15" t="inlineStr">
        <is>
          <t>Unisex, Elastic, Streetwear, Athletic</t>
        </is>
      </c>
      <c r="R15" t="inlineStr">
        <is>
          <t>recvkkO0nsVGTB</t>
        </is>
      </c>
      <c r="S15" t="inlineStr">
        <is>
          <t>fear-of-god-essentials-khaki-sweat-shorts-recvkkO0nsVGTB</t>
        </is>
      </c>
      <c r="T15"/>
      <c r="U15"/>
      <c r="V15"/>
      <c r="W15" t="inlineStr">
        <is>
          <t>{"id":"resp_03efb2a60b3dd4fc016a110b838b6c81a280ed61b58c7981f3","object":"chat.completion","created":1779501959,"model":"gpt-5.5","choices":[{"index":0,"message":{"role":"assistant","content":"浅卡其色Fear of God Essentials休闲短裤，棉质卫衣面料，抽绳松紧腰，字母Logo印花，男女同款街头运动五分裤"},"finish_reason":"stop"}],"usage":{"prompt_tokens":1384,"completion_tokens":165,"total_tokens":1549}}</t>
        </is>
      </c>
      <c r="X15" t="inlineStr">
        <is>
          <t>浅卡其色Fear of God Essentials休闲短裤，棉质卫衣面料，抽绳松紧腰，字母Logo印花，男女同款街头运动五分裤</t>
        </is>
      </c>
    </row>
    <row r="16" ht="25.5" customHeight="1">
      <c r="A16">
        <v>1839115443</v>
      </c>
      <c r="B16">
        <v>7770050553</v>
      </c>
      <c r="C16" s="2" t="str">
        <f>=HYPERLINK("https://weidian.com/item.html?itemID=7770050553", "https://weidian.com/item.html?itemID=7770050553")</f>
        <v>https://weidian.com/item.html?itemID=7770050553</v>
      </c>
      <c r="D16"/>
      <c r="E16" s="2" t="str">
        <f>=HYPERLINK("https://si.geilicdn.com/open1839115443-252808396-54230000019e4e9542360a23b4de_750_755.jpg?w=640&amp;h=640", "https://si.geilicdn.com/open1839115443-252808396-54230000019e4e9542360a23b4de_750_755.jpg?w=640&amp;h=640")</f>
        <v>https://si.geilicdn.com/open1839115443-252808396-54230000019e4e9542360a23b4de_750_755.jpg?w=640&amp;h=640</v>
      </c>
      <c r="F16" t="inlineStr">
        <is>
          <t>Jackets</t>
        </is>
      </c>
      <c r="G16" t="inlineStr">
        <is>
          <t>New York Yankees</t>
        </is>
      </c>
      <c r="H16">
        <v>195</v>
      </c>
      <c r="I16">
        <v>28.26</v>
      </c>
      <c r="J16" t="inlineStr">
        <is>
          <t>{"id":"resp_0b5f1f48f194ba85016a111395a94c8190be47e2ebe6968a90","object":"chat.completion","created":1779504023,"model":"gpt-5.5","choices":[{"index":0,"message":{"role":"assistant","content":"New York Yankees Black NY Logo Zip Hoodie Jacket"},"finish_reason":"stop"}],"usage":{"prompt_tokens":751,"completion_tokens":83,"total_tokens":834}}</t>
        </is>
      </c>
      <c r="K16" t="inlineStr">
        <is>
          <t>New York Yankees Black NY Logo Zip Hoodie Jacket</t>
        </is>
      </c>
      <c r="L16" t="inlineStr">
        <is>
          <t>{"id":"resp_0c9223b70459ea7c016a110edfcf888193a00deb87b64ebb39","object":"chat.completion","created":1779502818,"model":"gpt-5.5","choices":[{"index":0,"message":{"role":"assistant","content":"New York Yankees black hooded zip jacket with embroidered NY logo, unisex casual sporty coat for men and women, spring autumn streetwear hoodie outerwear"},"finish_reason":"stop"}],"usage":{"prompt_tokens":767,"completion_tokens":96,"total_tokens":863}}</t>
        </is>
      </c>
      <c r="M16" t="inlineStr">
        <is>
          <t>{"alt-svc":"h3=\":443\"; ma=2592000","connection":"close","content-length":"446","content-type":"application/json; charset=utf-8","date":"Sat, 23 May 2026 02:20:18 GMT","referrer-policy":"strict-origin-when-cross-origin","server":"Caddy","strict-transport-security":"max-age=31536000; includeSubDomains; preload","vary":"Accept-Encoding","x-content-type-options":"nosniff","x-frame-options":"DENY","x-new-api-version":"v1.0.0-rc.2","x-oneapi-request-id":"202605230220154340895978268d9d6yWftFBe6","x-request-id":"bb00a42e-2bfe-46ed-9093-55ba6cd0bf87"}</t>
        </is>
      </c>
      <c r="N16" t="inlineStr">
        <is>
          <t>New York Yankees black hooded zip jacket with embroidered NY logo, unisex casual sporty coat for men and women, spring autumn streetwear hoodie outerwear</t>
        </is>
      </c>
      <c r="O16" t="inlineStr">
        <is>
          <t>{"id":"resp_0be0bc0cb8357137016a1114bbc83c81938d7d146b1fcdbe15","object":"chat.completion","created":1779504321,"model":"gpt-5.5","choices":[{"index":0,"message":{"role":"assistant","content":"New York Yankees Jackets kakobuy, New York Yankees Jackets kakebuy2026, New York Yankees Jackets kekobuysheet, New York Yankees Jackets kakobuysheet2026, New York Yankees Jackets 2026kakobuy, New York Yankees Jackets kakobuyspreadsheeet, New York Yankees Jackets kakobuylink, New York Yankees Jackets kakebuylist, New York Yankees Jackets Kakobuy MEGA Spreadsheet, New York Yankees Jackets kakobuysheetfind, New York Yankees Jackets kakobuysheetfind2026, New York Yankees Jackets 2026kakobuysheetfind, New York Yankees Jackets kakobuysheet2026"},"finish_reason":"stop"}],"usage":{"prompt_tokens":669,"completion_tokens":267,"total_tokens":936}}</t>
        </is>
      </c>
      <c r="P16" t="inlineStr">
        <is>
          <t>New York Yankees Jackets kakobuy, New York Yankees Jackets kakebuy2026, New York Yankees Jackets kekobuysheet, New York Yankees Jackets kakobuysheet2026, New York Yankees Jackets 2026kakobuy, New York Yankees Jackets kakobuyspreadsheeet, New York Yankees Jackets kakobuylink, New York Yankees Jackets kakebuylist, New York Yankees Jackets Kakobuy MEGA Spreadsheet, New York Yankees Jackets kakobuysheetfind, New York Yankees Jackets kakobuysheetfind2026, New York Yankees Jackets 2026kakobuysheetfind, New York Yankees Jackets kakobuysheet2026</t>
        </is>
      </c>
      <c r="Q16" t="inlineStr">
        <is>
          <t>Unisex, Sporty, Streetwear, Spring And Autumn, Black</t>
        </is>
      </c>
      <c r="R16" t="inlineStr">
        <is>
          <t>recvkkO0nsYORK</t>
        </is>
      </c>
      <c r="S16" t="inlineStr">
        <is>
          <t>yankees-black-ny-logo-zip-hoodie-jacket-recvkkO0nsYORK</t>
        </is>
      </c>
      <c r="T16"/>
      <c r="U16"/>
      <c r="V16"/>
      <c r="W16" t="inlineStr">
        <is>
          <t>{"id":"resp_04dce426d0463586016a110c2d037881a0954d394a85111c1e","object":"chat.completion","created":1779502129,"model":"gpt-5.5","choices":[{"index":0,"message":{"role":"assistant","content":"纽约洋基 New York Yankees 黑色连帽拉链夹克，胸前NY刺绣徽标，休闲运动风男女同款外套，春秋百搭潮流卫衣上衣"},"finish_reason":"stop"}],"usage":{"prompt_tokens":1189,"completion_tokens":173,"total_tokens":1362}}</t>
        </is>
      </c>
      <c r="X16" t="inlineStr">
        <is>
          <t>纽约洋基 New York Yankees 黑色连帽拉链夹克，胸前NY刺绣徽标，休闲运动风男女同款外套，春秋百搭潮流卫衣上衣</t>
        </is>
      </c>
    </row>
    <row r="17" ht="25.5" customHeight="1">
      <c r="A17">
        <v>1839115443</v>
      </c>
      <c r="B17">
        <v>7770020677</v>
      </c>
      <c r="C17" s="2" t="str">
        <f>=HYPERLINK("https://weidian.com/item.html?itemID=7770020677", "https://weidian.com/item.html?itemID=7770020677")</f>
        <v>https://weidian.com/item.html?itemID=7770020677</v>
      </c>
      <c r="D17"/>
      <c r="E17" s="2" t="str">
        <f>=HYPERLINK("https://si.geilicdn.com/open1839115443-252808396-3d960000019e4e8bc6650aa08269_553_553.jpg?w=750&amp;h=750&amp;cp=1", "https://si.geilicdn.com/open1839115443-252808396-3d960000019e4e8bc6650aa08269_553_553.jpg?w=750&amp;h=750&amp;cp=1")</f>
        <v>https://si.geilicdn.com/open1839115443-252808396-3d960000019e4e8bc6650aa08269_553_553.jpg?w=750&amp;h=750&amp;cp=1</v>
      </c>
      <c r="F17" t="inlineStr">
        <is>
          <t>Jackets</t>
        </is>
      </c>
      <c r="G17" t="inlineStr">
        <is>
          <t>The North Face</t>
        </is>
      </c>
      <c r="H17">
        <v>95</v>
      </c>
      <c r="I17">
        <v>13.77</v>
      </c>
      <c r="J17" t="inlineStr">
        <is>
          <t>{"id":"resp_0b04b9db1351e6ef016a11138e70e08196bbf5b18512168baa","object":"chat.completion","created":1779504019,"model":"gpt-5.5","choices":[{"index":0,"message":{"role":"assistant","content":"The North Face Black Waterproof Unisex Hooded Jacket"},"finish_reason":"stop"}],"usage":{"prompt_tokens":938,"completion_tokens":237,"total_tokens":1175}}</t>
        </is>
      </c>
      <c r="K17" t="inlineStr">
        <is>
          <t>The North Face Black Waterproof Unisex Hooded Jacket</t>
        </is>
      </c>
      <c r="L17" t="inlineStr">
        <is>
          <t>{"id":"resp_0b8665f2727e6e17016a110f63bc888192aee51cfc6a4b8ee6","object":"chat.completion","created":1779502950,"model":"gpt-5.5","choices":[{"index":0,"message":{"role":"assistant","content":"The North Face black hooded jacket, waterproof windproof tech fabric, 3D cut, multi-pocket unisex outdoor shell coat for hiking and travel"},"finish_reason":"stop"}],"usage":{"prompt_tokens":951,"completion_tokens":114,"total_tokens":1065}}</t>
        </is>
      </c>
      <c r="M17" t="inlineStr">
        <is>
          <t>{"alt-svc":"h3=\":443\"; ma=2592000","connection":"close","content-length":"433","content-type":"application/json; charset=utf-8","date":"Sat, 23 May 2026 02:22:30 GMT","referrer-policy":"strict-origin-when-cross-origin","server":"Caddy","strict-transport-security":"max-age=31536000; includeSubDomains; preload","vary":"Accept-Encoding","x-content-type-options":"nosniff","x-frame-options":"DENY","x-new-api-version":"v1.0.0-rc.2","x-oneapi-request-id":"202605230222274448463838268d9d6y2THYjFL","x-request-id":"142f35ca-3596-4d1c-b41b-9d7021889c7c"}</t>
        </is>
      </c>
      <c r="N17" t="inlineStr">
        <is>
          <t>The North Face black hooded jacket, waterproof windproof tech fabric, 3D cut, multi-pocket unisex outdoor shell coat for hiking and travel</t>
        </is>
      </c>
      <c r="O17" t="inlineStr">
        <is>
          <t>{"id":"resp_0c0649bfaf8d63ab016a111521aa44819c9e32dc3c0b01645c","object":"chat.completion","created":1779504428,"model":"gpt-5.5","choices":[{"index":0,"message":{"role":"assistant","content":"The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kakobuysheet2026"},"finish_reason":"stop"}],"usage":{"prompt_tokens":856,"completion_tokens":572,"total_tokens":1428}}</t>
        </is>
      </c>
      <c r="P17" t="inlineStr">
        <is>
          <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t>
        </is>
      </c>
      <c r="Q17" t="inlineStr">
        <is>
          <t>Waterproof, Windproof, Outdoor, Unisex, Black</t>
        </is>
      </c>
      <c r="R17" t="inlineStr">
        <is>
          <t>recvkkO0nsTHKx</t>
        </is>
      </c>
      <c r="S17" t="inlineStr">
        <is>
          <t>the-north-face-black-waterproof-hooded-jacket-recvkkO0nsTHKx</t>
        </is>
      </c>
      <c r="T17"/>
      <c r="U17"/>
      <c r="V17"/>
      <c r="W17" t="inlineStr">
        <is>
          <t>{"id":"resp_0de71de75f27a822016a110b97264481a393be2e048c6dd0f4","object":"chat.completion","created":1779501979,"model":"gpt-5.5","choices":[{"index":0,"message":{"role":"assistant","content":"北面The North Face黑色连帽冲锋衣，防风防水机能面料，立体剪裁，多口袋设计，男女通用户外夹克"},"finish_reason":"stop"}],"usage":{"prompt_tokens":1384,"completion_tokens":190,"total_tokens":1574}}</t>
        </is>
      </c>
      <c r="X17" t="inlineStr">
        <is>
          <t>北面The North Face黑色连帽冲锋衣，防风防水机能面料，立体剪裁，多口袋设计，男女通用户外夹克</t>
        </is>
      </c>
    </row>
    <row r="18" ht="25.5" customHeight="1">
      <c r="A18">
        <v>1839115443</v>
      </c>
      <c r="B18">
        <v>7773040572</v>
      </c>
      <c r="C18" s="2" t="str">
        <f>=HYPERLINK("https://weidian.com/item.html?itemID=7773040572", "https://weidian.com/item.html?itemID=7773040572")</f>
        <v>https://weidian.com/item.html?itemID=7773040572</v>
      </c>
      <c r="D18"/>
      <c r="E18" s="2" t="str">
        <f>=HYPERLINK("https://si.geilicdn.com/open1839115443-252808396-554b0000019e4e973d590a23b491_790_1138.jpg?w=640&amp;h=640", "https://si.geilicdn.com/open1839115443-252808396-554b0000019e4e973d590a23b491_790_1138.jpg?w=640&amp;h=640")</f>
        <v>https://si.geilicdn.com/open1839115443-252808396-554b0000019e4e973d590a23b491_790_1138.jpg?w=640&amp;h=640</v>
      </c>
      <c r="F18" t="inlineStr">
        <is>
          <t>Jackets</t>
        </is>
      </c>
      <c r="G18" t="inlineStr">
        <is>
          <t>Other</t>
        </is>
      </c>
      <c r="H18">
        <v>203</v>
      </c>
      <c r="I18">
        <v>29.42</v>
      </c>
      <c r="J18" t="inlineStr">
        <is>
          <t>{"id":"resp_0abb12e4241df193016a111392cfb8819790f7b3572aa9ccbc","object":"chat.completion","created":1779504022,"model":"gpt-5.5","choices":[{"index":0,"message":{"role":"assistant","content":"Black White Varsity Baseball Jacket Embroidered Patch Coat"},"finish_reason":"stop"}],"usage":{"prompt_tokens":939,"completion_tokens":149,"total_tokens":1088}}</t>
        </is>
      </c>
      <c r="K18" t="inlineStr">
        <is>
          <t>Black White Varsity Baseball Jacket Embroidered Patch Coat</t>
        </is>
      </c>
      <c r="L18" t="inlineStr">
        <is>
          <t>{"id":"resp_0890e0ad57b46fd3016a110f257fbc819d8105e699c3420057","object":"chat.completion","created":1779502888,"model":"gpt-5.5","choices":[{"index":0,"message":{"role":"assistant","content":"JacketsOther black white varsity baseball jacket, wool-look fabric, embroidered patches, striped rib collar, snap buttons, unisex retro streetwear coat"},"finish_reason":"stop"}],"usage":{"prompt_tokens":961,"completion_tokens":102,"total_tokens":1063}}</t>
        </is>
      </c>
      <c r="M18" t="inlineStr">
        <is>
          <t>{"alt-svc":"h3=\":443\"; ma=2592000","connection":"close","content-length":"446","content-type":"application/json; charset=utf-8","date":"Sat, 23 May 2026 02:21:28 GMT","referrer-policy":"strict-origin-when-cross-origin","server":"nginx/1.24.0 (Ubuntu)","strict-transport-security":"max-age=31536000; includeSubDomains; preload","vary":"Accept-Encoding","via":"1.1 Caddy","x-content-type-options":"nosniff","x-frame-options":"DENY","x-new-api-version":"v1.0.0-rc.2","x-oneapi-request-id":"202605230221251392491858268d9d6MCvZvgbu","x-request-id":"8f33c401-004d-4583-bcf7-5bf959e92ece"}</t>
        </is>
      </c>
      <c r="N18" t="inlineStr">
        <is>
          <t>JacketsOther black white varsity baseball jacket, wool-look fabric, embroidered patches, striped rib collar, snap buttons, unisex retro streetwear coat</t>
        </is>
      </c>
      <c r="O18" t="inlineStr">
        <is>
          <t>{"id":"resp_07bff79fa40b6180016a111521616481979194f7589bd32cfb","object":"chat.completion","created":1779504428,"model":"gpt-5.5","choices":[{"index":0,"message":{"role":"assistant","content":"Other Jackets kakobuy, Other Jackets kakebuy2026, Other Jackets kekobuysheet, Other Jackets kakobuysheet2026, Other Jackets 2026kakobuy, Other Jackets kakobuyspreadsheeet, Other Jackets kakobuylink, Other Jackets kakebuylist, Other Jackets Kakobuy MEGA Spreadsheet, Other Jackets kakobuysheetfind, Other Jackets kakobuysheetfind2026, Other Jackets 2026kakobuysheetfind"},"finish_reason":"stop"}],"usage":{"prompt_tokens":859,"completion_tokens":549,"total_tokens":1408}}</t>
        </is>
      </c>
      <c r="P18" t="inlineStr">
        <is>
          <t>Other Jackets kakobuy, Other Jackets kakebuy2026, Other Jackets kekobuysheet, Other Jackets kakobuysheet2026, Other Jackets 2026kakobuy, Other Jackets kakobuyspreadsheeet, Other Jackets kakobuylink, Other Jackets kakebuylist, Other Jackets Kakobuy MEGA Spreadsheet, Other Jackets kakobuysheetfind, Other Jackets kakobuysheetfind2026, Other Jackets 2026kakobuysheetfind</t>
        </is>
      </c>
      <c r="Q18" t="inlineStr">
        <is>
          <t>Black, White, Unisex, Retro, Streetwear</t>
        </is>
      </c>
      <c r="R18" t="inlineStr">
        <is>
          <t>recvkkO0nsa70r</t>
        </is>
      </c>
      <c r="S18" t="inlineStr">
        <is>
          <t>black-white-varsity-baseball-jacket-embroidered-patch-coat-recvkkO0nsa70r</t>
        </is>
      </c>
      <c r="T18"/>
      <c r="U18"/>
      <c r="V18"/>
      <c r="W18" t="inlineStr">
        <is>
          <t>{"id":"resp_0f46bf44f43ef131016a110b8312c8819d9969ecb1819570e1","object":"chat.completion","created":1779501957,"model":"gpt-5.5","choices":[{"index":0,"message":{"role":"assistant","content":"黑白拼色学院风棒球夹克，毛呢质感面料，白色袖拼接徽章刺绣，撞色罗纹立领按扣，男女同款复古街头外套"},"finish_reason":"stop"}],"usage":{"prompt_tokens":1379,"completion_tokens":114,"total_tokens":1493}}</t>
        </is>
      </c>
      <c r="X18" t="inlineStr">
        <is>
          <t>黑白拼色学院风棒球夹克，毛呢质感面料，白色袖拼接徽章刺绣，撞色罗纹立领按扣，男女同款复古街头外套</t>
        </is>
      </c>
    </row>
    <row r="19" ht="25.5" customHeight="1">
      <c r="A19">
        <v>1839115443</v>
      </c>
      <c r="B19">
        <v>7773030844</v>
      </c>
      <c r="C19" s="2" t="str">
        <f>=HYPERLINK("https://weidian.com/item.html?itemID=7773030844", "https://weidian.com/item.html?itemID=7773030844")</f>
        <v>https://weidian.com/item.html?itemID=7773030844</v>
      </c>
      <c r="D19"/>
      <c r="E19" s="2" t="str">
        <f>=HYPERLINK("https://si.geilicdn.com/open1839115443-252808396-5a900000019e4e9bde320a231226_800_800.jpg?w=750&amp;h=750&amp;cp=1", "https://si.geilicdn.com/open1839115443-252808396-5a900000019e4e9bde320a231226_800_800.jpg?w=750&amp;h=750&amp;cp=1")</f>
        <v>https://si.geilicdn.com/open1839115443-252808396-5a900000019e4e9bde320a231226_800_800.jpg?w=750&amp;h=750&amp;cp=1</v>
      </c>
      <c r="F19" t="inlineStr">
        <is>
          <t>Jackets</t>
        </is>
      </c>
      <c r="G19" t="inlineStr">
        <is>
          <t>Adidas</t>
        </is>
      </c>
      <c r="H19">
        <v>137</v>
      </c>
      <c r="I19">
        <v>19.86</v>
      </c>
      <c r="J19" t="inlineStr">
        <is>
          <t>{"id":"resp_0430db11117973fe016a1112f341b8819e85e18d59e0415979","object":"chat.completion","created":1779503862,"model":"gpt-5.5","choices":[{"index":0,"message":{"role":"assistant","content":"Adidas Originals Cream Gray Colorblock Tracksuit Set"},"finish_reason":"stop"}],"usage":{"prompt_tokens":947,"completion_tokens":142,"total_tokens":1089}}</t>
        </is>
      </c>
      <c r="K19" t="inlineStr">
        <is>
          <t>Adidas Originals Cream Gray Colorblock Tracksuit Set</t>
        </is>
      </c>
      <c r="L19" t="inlineStr">
        <is>
          <t>{"id":"resp_006763b7f4a7ce97016a110f17337c8193b6bea0c939f6a8c9","object":"chat.completion","created":1779502874,"model":"gpt-5.5","choices":[{"index":0,"message":{"role":"assistant","content":"Adidas Originals retro cream gray colorblock tracksuit, stand collar zip jacket and pants, smooth woven fabric, 3-Stripes Trefoil logo, unisex streetwear set"},"finish_reason":"stop"}],"usage":{"prompt_tokens":964,"completion_tokens":123,"total_tokens":1087}}</t>
        </is>
      </c>
      <c r="M19" t="inlineStr">
        <is>
          <t>{"alt-svc":"h3=\":443\"; ma=2592000","connection":"close","content-length":"452","content-type":"application/json; charset=utf-8","date":"Sat, 23 May 2026 02:21:14 GMT","referrer-policy":"strict-origin-when-cross-origin","server":"Caddy","strict-transport-security":"max-age=31536000; includeSubDomains; preload","vary":"Accept-Encoding","x-content-type-options":"nosniff","x-frame-options":"DENY","x-new-api-version":"v1.0.0-rc.2","x-oneapi-request-id":"202605230221107880315818268d9d6M5TBjPQ2","x-request-id":"8673a8f7-0a87-4d73-b02a-1316721affef"}</t>
        </is>
      </c>
      <c r="N19" t="inlineStr">
        <is>
          <t>Adidas Originals retro cream gray colorblock tracksuit, stand collar zip jacket and pants, smooth woven fabric, 3-Stripes Trefoil logo, unisex streetwear set</t>
        </is>
      </c>
      <c r="O19" t="inlineStr">
        <is>
          <t>{"id":"resp_089e0fa9d1bc6e54016a1114dd58008197ac42dc4703cdb57e","object":"chat.completion","created":1779504354,"model":"gpt-5.5","choices":[{"index":0,"message":{"role":"assistant","content":"Adidas, Jackets, kakobuy, kakebuy2026, kekobuysheet, kakobuysheet2026, 2026kakobuy, kakobuyspreadsheeet, kakobuylink, kakebuylist, Kakobuy MEGA Spreadsheet, kakobuysheetfind, kakobuysheetfind2026, 2026kakobuysheetfind, kakobuysheet2026"},"finish_reason":"stop"}],"usage":{"prompt_tokens":855,"completion_tokens":222,"total_tokens":1077}}</t>
        </is>
      </c>
      <c r="P19" t="inlineStr">
        <is>
          <t>Adidas, Jackets, kakobuy, kakebuy2026, kekobuysheet, kakobuysheet2026, 2026kakobuy, kakobuyspreadsheeet, kakobuylink, kakebuylist, Kakobuy MEGA Spreadsheet, kakobuysheetfind, kakobuysheetfind2026, 2026kakobuysheetfind, kakobuysheet2026</t>
        </is>
      </c>
      <c r="Q19" t="inlineStr">
        <is>
          <t>ADIDAS Originals, Retro, Color Block, Unisex, Streetwear, Cream</t>
        </is>
      </c>
      <c r="R19" t="inlineStr">
        <is>
          <t>recvkkO0nsrcWf</t>
        </is>
      </c>
      <c r="S19" t="inlineStr">
        <is>
          <t>adidas-cream-gray-colorblock-tracksuit-recvkkO0nsrcWf</t>
        </is>
      </c>
      <c r="T19"/>
      <c r="U19"/>
      <c r="V19"/>
      <c r="W19" t="inlineStr">
        <is>
          <t>{"id":"resp_00c515aed92912df016a110b7acf1c8196b8d2718257016f30","object":"chat.completion","created":1779501951,"model":"gpt-5.5","choices":[{"index":0,"message":{"role":"assistant","content":"阿迪达斯：三叶草复古米白灰拼色运动套装，立领拉链夹克长裤，顺滑梭织面料，三条纹Logo设计，男女休闲街头外套品类"},"finish_reason":"stop"}],"usage":{"prompt_tokens":1382,"completion_tokens":175,"total_tokens":1557}}</t>
        </is>
      </c>
      <c r="X19" t="inlineStr">
        <is>
          <t>阿迪达斯：三叶草复古米白灰拼色运动套装，立领拉链夹克长裤，顺滑梭织面料，三条纹Logo设计，男女休闲街头外套品类</t>
        </is>
      </c>
    </row>
    <row r="20" ht="25.5" customHeight="1">
      <c r="A20">
        <v>1839115443</v>
      </c>
      <c r="B20">
        <v>7773068228</v>
      </c>
      <c r="C20" s="2" t="str">
        <f>=HYPERLINK("https://weidian.com/item.html?itemID=7773068228", "https://weidian.com/item.html?itemID=7773068228")</f>
        <v>https://weidian.com/item.html?itemID=7773068228</v>
      </c>
      <c r="D20"/>
      <c r="E20" s="2" t="str">
        <f>=HYPERLINK("https://si.geilicdn.com/open1839115443-252808396-40100000019e4e9b74cb0a8133b0_800_800.jpg?w=750&amp;h=750&amp;cp=1", "https://si.geilicdn.com/open1839115443-252808396-40100000019e4e9b74cb0a8133b0_800_800.jpg?w=750&amp;h=750&amp;cp=1")</f>
        <v>https://si.geilicdn.com/open1839115443-252808396-40100000019e4e9b74cb0a8133b0_800_800.jpg?w=750&amp;h=750&amp;cp=1</v>
      </c>
      <c r="F20" t="inlineStr">
        <is>
          <t>T-Shirts</t>
        </is>
      </c>
      <c r="G20" t="inlineStr">
        <is>
          <t>Essentials</t>
        </is>
      </c>
      <c r="H20">
        <v>105</v>
      </c>
      <c r="I20">
        <v>15.22</v>
      </c>
      <c r="J20" t="inlineStr">
        <is>
          <t>{"id":"resp_0a1fe3eed5b90f8e016a1113524980819580f88e7c3e4177a6","object":"chat.completion","created":1779503957,"model":"gpt-5.5","choices":[{"index":0,"message":{"role":"assistant","content":"Essentials Fear of God 1977 Mist Gray Cotton T-Shirt"},"finish_reason":"stop"}],"usage":{"prompt_tokens":935,"completion_tokens":142,"total_tokens":1077}}</t>
        </is>
      </c>
      <c r="K20" t="inlineStr">
        <is>
          <t>Essentials Fear of God 1977 Mist Gray Cotton T-Shirt</t>
        </is>
      </c>
      <c r="L20" t="inlineStr">
        <is>
          <t>{"id":"resp_07cd442624709d0f016a110f75993c819fb2d1d1042c8b4b32","object":"chat.completion","created":1779502968,"model":"gpt-5.5","choices":[{"index":0,"message":{"role":"assistant","content":"Essentials Fear of God 1977 Mist Gray T-Shirt, pure cotton crew neck tee with chest letter print, unisex casual streetwear top"},"finish_reason":"stop"}],"usage":{"prompt_tokens":958,"completion_tokens":126,"total_tokens":1084}}</t>
        </is>
      </c>
      <c r="M20" t="inlineStr">
        <is>
          <t>{"alt-svc":"h3=\":443\"; ma=2592000","connection":"close","content-length":"421","content-type":"application/json; charset=utf-8","date":"Sat, 23 May 2026 02:22:48 GMT","referrer-policy":"strict-origin-when-cross-origin","server":"Caddy","strict-transport-security":"max-age=31536000; includeSubDomains; preload","vary":"Accept-Encoding","x-content-type-options":"nosniff","x-frame-options":"DENY","x-new-api-version":"v1.0.0-rc.2","x-oneapi-request-id":"202605230222452811590028268d9d6vb3yBoVw","x-request-id":"33172959-ef6c-4d1a-b0f4-d3dc9d1a9cea"}</t>
        </is>
      </c>
      <c r="N20" t="inlineStr">
        <is>
          <t>Essentials Fear of God 1977 Mist Gray T-Shirt, pure cotton crew neck tee with chest letter print, unisex casual streetwear top</t>
        </is>
      </c>
      <c r="O20" t="inlineStr">
        <is>
          <t>{"id":"resp_0446ef6511a263ad016a111474b1c881939a4e17d26659c909","object":"chat.completion","created":1779504252,"model":"gpt-5.5","choices":[{"index":0,"message":{"role":"assistant","content":"Essentials T-Shirts kakobuy, Essentials T-Shirts kakebuy2026, Essentials T-Shirts kekobuysheet, Essentials T-Shirts kakobuysheet2026, Essentials T-Shirts 2026kakobuy, Essentials T-Shirts kakobuyspreadsheeet, Essentials T-Shirts kakobuylink, Essentials T-Shirts kakebuylist, Essentials T-Shirts Kakobuy MEGA Spreadsheet, Essentials T-Shirts kakobuysheetfind, Essentials T-Shirts kakobuysheetfind2026, Essentials T-Shirts 2026kakobuysheetfind"},"finish_reason":"stop"}],"usage":{"prompt_tokens":855,"completion_tokens":398,"total_tokens":1253}}</t>
        </is>
      </c>
      <c r="P20" t="inlineStr">
        <is>
          <t>Essentials T-Shirts kakobuy, Essentials T-Shirts kakebuy2026, Essentials T-Shirts kekobuysheet, Essentials T-Shirts kakobuysheet2026, Essentials T-Shirts 2026kakobuy, Essentials T-Shirts kakobuyspreadsheeet, Essentials T-Shirts kakobuylink, Essentials T-Shirts kakebuylist, Essentials T-Shirts Kakobuy MEGA Spreadsheet, Essentials T-Shirts kakobuysheetfind, Essentials T-Shirts kakobuysheetfind2026, Essentials T-Shirts 2026kakobuysheetfind</t>
        </is>
      </c>
      <c r="Q20" t="inlineStr">
        <is>
          <t>Streetwear, Unisex, Grey</t>
        </is>
      </c>
      <c r="R20" t="inlineStr">
        <is>
          <t>recvkkO0nsaWJm</t>
        </is>
      </c>
      <c r="S20" t="inlineStr">
        <is>
          <t>essentials-fear-of-god-1977-mist-gray-cotton-tshirt-recvkkO0nsaWJm</t>
        </is>
      </c>
      <c r="T20"/>
      <c r="U20"/>
      <c r="V20"/>
      <c r="W20" t="inlineStr">
        <is>
          <t>{"id":"resp_04e621d104123a66016a110b629f1c8195934c0973150114d9","object":"chat.completion","created":1779501927,"model":"gpt-5.5","choices":[{"index":0,"message":{"role":"assistant","content":"雾灰色Essentials Fear of God 1977系列短袖T恤，纯棉休闲圆领，胸前字母印花，男女同款街头潮流上衣"},"finish_reason":"stop"}],"usage":{"prompt_tokens":1386,"completion_tokens":156,"total_tokens":1542}}</t>
        </is>
      </c>
      <c r="X20" t="inlineStr">
        <is>
          <t>雾灰色Essentials Fear of God 1977系列短袖T恤，纯棉休闲圆领，胸前字母印花，男女同款街头潮流上衣</t>
        </is>
      </c>
    </row>
    <row r="21" ht="25.5" customHeight="1">
      <c r="A21">
        <v>1839115443</v>
      </c>
      <c r="B21">
        <v>7773084232</v>
      </c>
      <c r="C21" s="2" t="str">
        <f>=HYPERLINK("https://weidian.com/item.html?itemID=7773084232", "https://weidian.com/item.html?itemID=7773084232")</f>
        <v>https://weidian.com/item.html?itemID=7773084232</v>
      </c>
      <c r="D21"/>
      <c r="E21" s="2" t="str">
        <f>=HYPERLINK("https://si.geilicdn.com/open1839115443-252808396-5d730000019e4e9d6db30aa08239_800_800.jpg?w=750&amp;h=750&amp;cp=1", "https://si.geilicdn.com/open1839115443-252808396-5d730000019e4e9d6db30aa08239_800_800.jpg?w=750&amp;h=750&amp;cp=1")</f>
        <v>https://si.geilicdn.com/open1839115443-252808396-5d730000019e4e9d6db30aa08239_800_800.jpg?w=750&amp;h=750&amp;cp=1</v>
      </c>
      <c r="F21" t="inlineStr">
        <is>
          <t>T-Shirts</t>
        </is>
      </c>
      <c r="G21" t="inlineStr">
        <is>
          <t>MLB</t>
        </is>
      </c>
      <c r="H21">
        <v>137</v>
      </c>
      <c r="I21">
        <v>19.86</v>
      </c>
      <c r="J21" t="inlineStr">
        <is>
          <t>{"id":"resp_0363fffd8af91526016a1112ec1b548190867bb50789c18cad","object":"chat.completion","created":1779503856,"model":"gpt-5.5","choices":[{"index":0,"message":{"role":"assistant","content":"MLB Los Angeles Dodgers LA Embroidered White Cotton T-Shirt"},"finish_reason":"stop"}],"usage":{"prompt_tokens":935,"completion_tokens":161,"total_tokens":1096}}</t>
        </is>
      </c>
      <c r="K21" t="inlineStr">
        <is>
          <t>MLB Los Angeles Dodgers LA Embroidered White Cotton T-Shirt</t>
        </is>
      </c>
      <c r="L21" t="inlineStr">
        <is>
          <t>{"id":"resp_00913e224b93f681016a110f459ee8819c90c5eec3c56fa847","object":"chat.completion","created":1779502921,"model":"gpt-5.5","choices":[{"index":0,"message":{"role":"assistant","content":"MLB Los Angeles Dodgers white cotton T-shirt, breathable short sleeve with LA embroidery and back city graphic print, vintage streetwear unisex casual tee"},"finish_reason":"stop"}],"usage":{"prompt_tokens":965,"completion_tokens":130,"total_tokens":1095}}</t>
        </is>
      </c>
      <c r="M21" t="inlineStr">
        <is>
          <t>{"alt-svc":"h3=\":443\"; ma=2592000","connection":"close","content-length":"449","content-type":"application/json; charset=utf-8","date":"Sat, 23 May 2026 02:22:01 GMT","referrer-policy":"strict-origin-when-cross-origin","server":"nginx/1.24.0 (Ubuntu)","strict-transport-security":"max-age=31536000; includeSubDomains; preload","vary":"Accept-Encoding","via":"1.1 Caddy","x-content-type-options":"nosniff","x-frame-options":"DENY","x-new-api-version":"v1.0.0-rc.2","x-oneapi-request-id":"202605230221572989566588268d9d6XhImfZzG","x-request-id":"5273b2c5-20f9-48ee-b654-346ef9de02df"}</t>
        </is>
      </c>
      <c r="N21" t="inlineStr">
        <is>
          <t>MLB Los Angeles Dodgers white cotton T-shirt, breathable short sleeve with LA embroidery and back city graphic print, vintage streetwear unisex casual tee</t>
        </is>
      </c>
      <c r="O21" t="inlineStr">
        <is>
          <t>{"id":"resp_01734299b0b975d4016a11149b005c819fadaf8522a9cc9faf","object":"chat.completion","created":1779504288,"model":"gpt-5.5","choices":[{"index":0,"message":{"role":"assistant","content":"MLB T-Shirts kakobuy, MLB T-Shirts kakebuy2026, MLB T-Shirts kekobuysheet, MLB T-Shirts kakobuysheet2026, MLB T-Shirts 2026kakobuy, MLB T-Shirts kakobuyspreadsheeet, MLB T-Shirts kakobuylink, MLB T-Shirts kakebuylist, MLB T-Shirts Kakobuy MEGA Spreadsheet, MLB T-Shirts kakobuysheetfind, MLB T-Shirts kakobuysheetfind2026, MLB T-Shirts 2026kakobuysheetfind, MLB T-Shirts kakobuysheet2026"},"finish_reason":"stop"}],"usage":{"prompt_tokens":855,"completion_tokens":235,"total_tokens":1090}}</t>
        </is>
      </c>
      <c r="P21" t="inlineStr">
        <is>
          <t>MLB T-Shirts kakobuy, MLB T-Shirts kakebuy2026, MLB T-Shirts kekobuysheet, MLB T-Shirts kakobuysheet2026, MLB T-Shirts 2026kakobuy, MLB T-Shirts kakobuyspreadsheeet, MLB T-Shirts kakobuylink, MLB T-Shirts kakebuylist, MLB T-Shirts Kakobuy MEGA Spreadsheet, MLB T-Shirts kakobuysheetfind, MLB T-Shirts kakobuysheetfind2026, MLB T-Shirts 2026kakobuysheetfind, MLB T-Shirts kakobuysheet2026</t>
        </is>
      </c>
      <c r="Q21" t="inlineStr">
        <is>
          <t>White, Breathable, Vintage, Streetwear, Unisex</t>
        </is>
      </c>
      <c r="R21" t="inlineStr">
        <is>
          <t>recvkkO0nsWq90</t>
        </is>
      </c>
      <c r="S21" t="inlineStr">
        <is>
          <t>la-dodgers-embroidered-white-cotton-tshirt-recvkkO0nsWq90</t>
        </is>
      </c>
      <c r="T21"/>
      <c r="U21"/>
      <c r="V21"/>
      <c r="W21" t="inlineStr">
        <is>
          <t>{"id":"resp_0e07e239ca98dd11016a110c34ce9c81a2b11dd28e4283419d","object":"chat.completion","created":1779502137,"model":"gpt-5.5","choices":[{"index":0,"message":{"role":"assistant","content":"美国职棒MLB洛杉矶道奇白色短袖T恤，棉质透气，LA字母刺绣与背部城市图腾印花，复古街头男女同款休闲上衣"},"finish_reason":"stop"}],"usage":{"prompt_tokens":1384,"completion_tokens":151,"total_tokens":1535}}</t>
        </is>
      </c>
      <c r="X21" t="inlineStr">
        <is>
          <t>美国职棒MLB洛杉矶道奇白色短袖T恤，棉质透气，LA字母刺绣与背部城市图腾印花，复古街头男女同款休闲上衣</t>
        </is>
      </c>
    </row>
    <row r="22" ht="25.5" customHeight="1">
      <c r="A22">
        <v>1839115443</v>
      </c>
      <c r="B22">
        <v>7770066525</v>
      </c>
      <c r="C22" s="2" t="str">
        <f>=HYPERLINK("https://weidian.com/item.html?itemID=7770066525", "https://weidian.com/item.html?itemID=7770066525")</f>
        <v>https://weidian.com/item.html?itemID=7770066525</v>
      </c>
      <c r="D22"/>
      <c r="E22" s="2" t="str">
        <f>=HYPERLINK("https://si.geilicdn.com/open1839115443-252808396-702b0000019e4ea0245c0a23b491_800_800.jpg?w=640&amp;h=640", "https://si.geilicdn.com/open1839115443-252808396-702b0000019e4ea0245c0a23b491_800_800.jpg?w=640&amp;h=640")</f>
        <v>https://si.geilicdn.com/open1839115443-252808396-702b0000019e4ea0245c0a23b491_800_800.jpg?w=640&amp;h=640</v>
      </c>
      <c r="F22" t="inlineStr">
        <is>
          <t>T-Shirts</t>
        </is>
      </c>
      <c r="G22" t="inlineStr">
        <is>
          <t>Essentials</t>
        </is>
      </c>
      <c r="H22">
        <v>127</v>
      </c>
      <c r="I22">
        <v>18.41</v>
      </c>
      <c r="J22" t="inlineStr">
        <is>
          <t>{"id":"resp_0bf9f7becda0208b016a11130cbc30819d8fc433d8af29a192","object":"chat.completion","created":1779503888,"model":"gpt-5.5","choices":[{"index":0,"message":{"role":"assistant","content":"Essentials Fear of God Oversized Cotton Logo T-Shirt"},"finish_reason":"stop"}],"usage":{"prompt_tokens":730,"completion_tokens":133,"total_tokens":863}}</t>
        </is>
      </c>
      <c r="K22" t="inlineStr">
        <is>
          <t>Essentials Fear of God Oversized Cotton Logo T-Shirt</t>
        </is>
      </c>
      <c r="L22" t="inlineStr">
        <is>
          <t>{"id":"resp_074b675958240138016a110f7f816c81959dd317fc5425af5d","object":"chat.completion","created":1779502979,"model":"gpt-5.5","choices":[{"index":0,"message":{"role":"assistant","content":"Essentials Fear of God T-Shirt, gray/white pure cotton oversized drop-shoulder short sleeve with big back logo print, unisex streetwear casual tee"},"finish_reason":"stop"}],"usage":{"prompt_tokens":741,"completion_tokens":129,"total_tokens":870}}</t>
        </is>
      </c>
      <c r="M22" t="inlineStr">
        <is>
          <t>{"alt-svc":"h3=\":443\"; ma=2592000","connection":"close","content-length":"440","content-type":"application/json; charset=utf-8","date":"Sat, 23 May 2026 02:22:59 GMT","referrer-policy":"strict-origin-when-cross-origin","server":"nginx/1.24.0 (Ubuntu)","strict-transport-security":"max-age=31536000; includeSubDomains; preload","vary":"Accept-Encoding","via":"1.1 Caddy","x-content-type-options":"nosniff","x-frame-options":"DENY","x-new-api-version":"v1.0.0-rc.2","x-oneapi-request-id":"202605230222545649043338268d9d65mYGBf9B","x-request-id":"8505d805-eae6-4203-bdd4-2755e504a2a3"}</t>
        </is>
      </c>
      <c r="N22" t="inlineStr">
        <is>
          <t>Essentials Fear of God T-Shirt, gray/white pure cotton oversized drop-shoulder short sleeve with big back logo print, unisex streetwear casual tee</t>
        </is>
      </c>
      <c r="O22" t="inlineStr">
        <is>
          <t>{"id":"resp_0854b734ff6c97c3016a11155726dc8194b9fb52f29906a54b","object":"chat.completion","created":1779504476,"model":"gpt-5.5","choices":[{"index":0,"message":{"role":"assistant","content":"Essentials T-Shirts kakobuy, Essentials T-Shirts kakebuy2026, Essentials T-Shirts kekobuysheet, Essentials T-Shirts kakobuysheet2026, Essentials T-Shirts 2026kakobuy, Essentials T-Shirts kakobuyspreadsheeet, Essentials T-Shirts kakobuylink, Essentials T-Shirts kakebuylist, Essentials T-Shirts Kakobuy MEGA Spreadsheet, Essentials T-Shirts kakobuysheetfind, Essentials T-Shirts kakobuysheetfind2026, Essentials T-Shirts 2026kakobuysheetfind, Essentials T-Shirts kakobuysheet2026"},"finish_reason":"stop"}],"usage":{"prompt_tokens":644,"completion_tokens":250,"total_tokens":894}}</t>
        </is>
      </c>
      <c r="P22" t="inlineStr">
        <is>
          <t>Essentials T-Shirts kakobuy, Essentials T-Shirts kakebuy2026, Essentials T-Shirts kekobuysheet, Essentials T-Shirts kakobuysheet2026, Essentials T-Shirts 2026kakobuy, Essentials T-Shirts kakobuyspreadsheeet, Essentials T-Shirts kakobuylink, Essentials T-Shirts kakebuylist, Essentials T-Shirts Kakobuy MEGA Spreadsheet, Essentials T-Shirts kakobuysheetfind, Essentials T-Shirts kakobuysheetfind2026, Essentials T-Shirts 2026kakobuysheetfind, Essentials T-Shirts kakobuysheet2026</t>
        </is>
      </c>
      <c r="Q22" t="inlineStr">
        <is>
          <t>Gray, White, Streetwear, Unisex</t>
        </is>
      </c>
      <c r="R22" t="inlineStr">
        <is>
          <t>recvkkO0nsQt43</t>
        </is>
      </c>
      <c r="S22" t="inlineStr">
        <is>
          <t>fear-of-god-oversized-cotton-logo-t-shirt-recvkkO0nsQt43</t>
        </is>
      </c>
      <c r="T22"/>
      <c r="U22"/>
      <c r="V22"/>
      <c r="W22" t="inlineStr">
        <is>
          <t>{"id":"resp_0959b88aad8629ce016a110bbfca508196bb868f135ab746e6","object":"chat.completion","created":1779502019,"model":"gpt-5.5","choices":[{"index":0,"message":{"role":"assistant","content":"灰白色Essentials Fear of God短袖T恤，纯棉宽松落肩版型，背部大Logo印花，男女同款街头休闲潮牌上衣"},"finish_reason":"stop"}],"usage":{"prompt_tokens":1165,"completion_tokens":147,"total_tokens":1312}}</t>
        </is>
      </c>
      <c r="X22" t="inlineStr">
        <is>
          <t>灰白色Essentials Fear of God短袖T恤，纯棉宽松落肩版型，背部大Logo印花，男女同款街头休闲潮牌上衣</t>
        </is>
      </c>
    </row>
    <row r="23" ht="25.5" customHeight="1">
      <c r="A23">
        <v>1839115443</v>
      </c>
      <c r="B23">
        <v>7770046919</v>
      </c>
      <c r="C23" s="2" t="str">
        <f>=HYPERLINK("https://weidian.com/item.html?itemID=7770046919", "https://weidian.com/item.html?itemID=7770046919")</f>
        <v>https://weidian.com/item.html?itemID=7770046919</v>
      </c>
      <c r="D23"/>
      <c r="E23" s="2" t="str">
        <f>=HYPERLINK("https://si.geilicdn.com/open1839115443-252808396-67f80000019e4ea0d8d90aa08269_1500_1500.jpg?w=640&amp;h=640", "https://si.geilicdn.com/open1839115443-252808396-67f80000019e4ea0d8d90aa08269_1500_1500.jpg?w=640&amp;h=640")</f>
        <v>https://si.geilicdn.com/open1839115443-252808396-67f80000019e4ea0d8d90aa08269_1500_1500.jpg?w=640&amp;h=640</v>
      </c>
      <c r="F23" t="inlineStr">
        <is>
          <t>T-Shirts</t>
        </is>
      </c>
      <c r="G23" t="inlineStr">
        <is>
          <t>Off-White</t>
        </is>
      </c>
      <c r="H23">
        <v>140</v>
      </c>
      <c r="I23">
        <v>20.29</v>
      </c>
      <c r="J23" t="inlineStr">
        <is>
          <t>{"id":"resp_079c791bc6523ebf016a11130ea3888197b6cde6fffd631fbf","object":"chat.completion","created":1779503890,"model":"gpt-5.5","choices":[{"index":0,"message":{"role":"assistant","content":"Off-White Black Cotton Arrow Graffiti Loose Unisex T-Shirt"},"finish_reason":"stop"}],"usage":{"prompt_tokens":723,"completion_tokens":177,"total_tokens":900}}</t>
        </is>
      </c>
      <c r="K23" t="inlineStr">
        <is>
          <t>Off-White Black Cotton Arrow Graffiti Loose Unisex T-Shirt</t>
        </is>
      </c>
      <c r="L23" t="inlineStr">
        <is>
          <t>{"id":"resp_0fa8c6f45e7ba293016a110f129fcc8197a0ce9a33c3fc723e","object":"chat.completion","created":1779502869,"model":"gpt-5.5","choices":[{"index":0,"message":{"role":"assistant","content":"Off-White black cotton short sleeve T-shirt, small chest logo, back arrow graffiti print, loose streetwear fit, unisex casual top"},"finish_reason":"stop"}],"usage":{"prompt_tokens":744,"completion_tokens":95,"total_tokens":839}}</t>
        </is>
      </c>
      <c r="M23" t="inlineStr">
        <is>
          <t>{"alt-svc":"h3=\":443\"; ma=2592000","connection":"close","content-length":"422","content-type":"application/json; charset=utf-8","date":"Sat, 23 May 2026 02:21:09 GMT","referrer-policy":"strict-origin-when-cross-origin","server":"nginx/1.24.0 (Ubuntu)","strict-transport-security":"max-age=31536000; includeSubDomains; preload","vary":"Accept-Encoding","via":"1.1 Caddy","x-content-type-options":"nosniff","x-frame-options":"DENY","x-new-api-version":"v1.0.0-rc.2","x-oneapi-request-id":"202605230221062808186668268d9d6XDn781a9","x-request-id":"7cd103f3-303d-4f3b-83d8-4137efb751b0"}</t>
        </is>
      </c>
      <c r="N23" t="inlineStr">
        <is>
          <t>Off-White black cotton short sleeve T-shirt, small chest logo, back arrow graffiti print, loose streetwear fit, unisex casual top</t>
        </is>
      </c>
      <c r="O23" t="inlineStr">
        <is>
          <t>{"id":"resp_00d0e62aa6fa9a44016a11156d8e18819c81e3abe4ce1aefc2","object":"chat.completion","created":1779504499,"model":"gpt-5.5","choices":[{"index":0,"message":{"role":"assistant","content":"Off-White T-Shirts kakobuy, Off-White T-Shirts kakebuy2026, Off-White T-Shirts kekobuysheet, Off-White T-Shirts kakobuysheet2026, Off-White T-Shirts 2026kakobuy, Off-White T-Shirts kakobuyspreadsheeet, Off-White T-Shirts kakobuylink, Off-White T-Shirts kakebuylist, Off-White T-Shirts Kakobuy MEGA Spreadsheet, Off-White T-Shirts kakobuysheetfind, Off-White T-Shirts kakobuysheetfind2026, Off-White T-Shirts 2026kakobuysheetfind, Off-White T-Shirts kakobuysheet2026"},"finish_reason":"stop"}],"usage":{"prompt_tokens":645,"completion_tokens":287,"total_tokens":932}}</t>
        </is>
      </c>
      <c r="P23" t="inlineStr">
        <is>
          <t>Off-White T-Shirts kakobuy, Off-White T-Shirts kakebuy2026, Off-White T-Shirts kekobuysheet, Off-White T-Shirts kakobuysheet2026, Off-White T-Shirts 2026kakobuy, Off-White T-Shirts kakobuyspreadsheeet, Off-White T-Shirts kakobuylink, Off-White T-Shirts kakebuylist, Off-White T-Shirts Kakobuy MEGA Spreadsheet, Off-White T-Shirts kakobuysheetfind, Off-White T-Shirts kakobuysheetfind2026, Off-White T-Shirts 2026kakobuysheetfind, Off-White T-Shirts kakobuysheet2026</t>
        </is>
      </c>
      <c r="Q23" t="inlineStr">
        <is>
          <t>Off-White, Black, Streetwear, Unisex, Summer</t>
        </is>
      </c>
      <c r="R23" t="inlineStr">
        <is>
          <t>recvkkO0nsa4i9</t>
        </is>
      </c>
      <c r="S23" t="inlineStr">
        <is>
          <t>off-white-black-cotton-arrow-graffiti-loose-unisex-t-shirt-recvkkO0nsa4i9</t>
        </is>
      </c>
      <c r="T23"/>
      <c r="U23"/>
      <c r="V23"/>
      <c r="W23" t="inlineStr">
        <is>
          <t>{"id":"resp_0252320c821d10cb016a110bf23b04819f9cdd068296e01cbf","object":"chat.completion","created":1779502069,"model":"gpt-5.5","choices":[{"index":0,"message":{"role":"assistant","content":"潮牌Off-White黑色棉质短袖T恤，胸前小Logo背部箭头涂鸦印花，街头宽松休闲男女同款上衣"},"finish_reason":"stop"}],"usage":{"prompt_tokens":1171,"completion_tokens":117,"total_tokens":1288}}</t>
        </is>
      </c>
      <c r="X23" t="inlineStr">
        <is>
          <t>潮牌Off-White黑色棉质短袖T恤，胸前小Logo背部箭头涂鸦印花，街头宽松休闲男女同款上衣</t>
        </is>
      </c>
    </row>
    <row r="24" ht="25.5" customHeight="1">
      <c r="A24">
        <v>1839115443</v>
      </c>
      <c r="B24">
        <v>7773119992</v>
      </c>
      <c r="C24" s="2" t="str">
        <f>=HYPERLINK("https://weidian.com/item.html?itemID=7773119992", "https://weidian.com/item.html?itemID=7773119992")</f>
        <v>https://weidian.com/item.html?itemID=7773119992</v>
      </c>
      <c r="D24"/>
      <c r="E24" s="2" t="str">
        <f>=HYPERLINK("https://si.geilicdn.com/open1839115443-252808396-7b3a0000019e4ea6f5f90aa08269_1280_1280.jpg?w=640&amp;h=640", "https://si.geilicdn.com/open1839115443-252808396-7b3a0000019e4ea6f5f90aa08269_1280_1280.jpg?w=640&amp;h=640")</f>
        <v>https://si.geilicdn.com/open1839115443-252808396-7b3a0000019e4ea6f5f90aa08269_1280_1280.jpg?w=640&amp;h=640</v>
      </c>
      <c r="F24" t="inlineStr">
        <is>
          <t>Pants</t>
        </is>
      </c>
      <c r="G24" t="inlineStr">
        <is>
          <t>Alo</t>
        </is>
      </c>
      <c r="H24">
        <v>113</v>
      </c>
      <c r="I24">
        <v>16.38</v>
      </c>
      <c r="J24" t="inlineStr">
        <is>
          <t>{"id":"resp_0c382998b435fb41016a111301f60481958d05e0e4950bf7a2","object":"chat.completion","created":1779503878,"model":"gpt-5.5","choices":[{"index":0,"message":{"role":"assistant","content":"Alo Deep Navy Unisex Quick Dry Athletic Shorts"},"finish_reason":"stop"}],"usage":{"prompt_tokens":728,"completion_tokens":196,"total_tokens":924}}</t>
        </is>
      </c>
      <c r="K24" t="inlineStr">
        <is>
          <t>Alo Deep Navy Unisex Quick Dry Athletic Shorts</t>
        </is>
      </c>
      <c r="L24" t="inlineStr">
        <is>
          <t>{"id":"resp_0e7101d493e4b27c016a110ec3f4b8819ca5c475c47080b7f8","object":"chat.completion","created":1779502793,"model":"gpt-5.5","choices":[{"index":0,"message":{"role":"assistant","content":"Alo deep navy unisex athletic shorts, drawstring elastic waist, quick-dry breathable fabric, minimal logo, summer gym running streetwear knee-length shorts"},"finish_reason":"stop"}],"usage":{"prompt_tokens":747,"completion_tokens":219,"total_tokens":966}}</t>
        </is>
      </c>
      <c r="M24" t="inlineStr">
        <is>
          <t>{"alt-svc":"h3=\":443\"; ma=2592000","connection":"close","content-length":"449","content-type":"application/json; charset=utf-8","date":"Sat, 23 May 2026 02:19:53 GMT","referrer-policy":"strict-origin-when-cross-origin","server":"nginx/1.24.0 (Ubuntu)","strict-transport-security":"max-age=31536000; includeSubDomains; preload","vary":"Accept-Encoding","via":"1.1 Caddy","x-content-type-options":"nosniff","x-frame-options":"DENY","x-new-api-version":"v1.0.0-rc.2","x-oneapi-request-id":"202605230219476644019188268d9d6IzSJmH2Y","x-request-id":"dde06465-74e3-4e7c-8baf-8d938a5dae5f"}</t>
        </is>
      </c>
      <c r="N24" t="inlineStr">
        <is>
          <t>Alo deep navy unisex athletic shorts, drawstring elastic waist, quick-dry breathable fabric, minimal logo, summer gym running streetwear knee-length shorts</t>
        </is>
      </c>
      <c r="O24" t="inlineStr">
        <is>
          <t>{"id":"resp_0d771a77f038552f016a11153b57788195930ed4d513f7fc21","object":"chat.completion","created":1779504453,"model":"gpt-5.5","choices":[{"index":0,"message":{"role":"assistant","content":"Alo Pants kakobuy, Alo Pants kakebuy2026, Alo Pants kekobuysheet, Alo Pants kakobuysheet2026, Alo Pants 2026kakobuy, Alo Pants kakobuyspreadsheeet, Alo Pants kakobuylink, Alo Pants kakebuylist, Alo Pants Kakobuy MEGA Spreadsheet, Alo Pants kakobuysheetfind, Alo Pants kakobuysheetfind2026, Alo Pants 2026kakobuysheetfind, Alo Pants kakobuysheet2026"},"finish_reason":"stop"}],"usage":{"prompt_tokens":644,"completion_tokens":475,"total_tokens":1119}}</t>
        </is>
      </c>
      <c r="P24" t="inlineStr">
        <is>
          <t>Alo Pants kakobuy, Alo Pants kakebuy2026, Alo Pants kekobuysheet, Alo Pants kakobuysheet2026, Alo Pants 2026kakobuy, Alo Pants kakobuyspreadsheeet, Alo Pants kakobuylink, Alo Pants kakebuylist, Alo Pants Kakobuy MEGA Spreadsheet, Alo Pants kakobuysheetfind, Alo Pants kakobuysheetfind2026, Alo Pants 2026kakobuysheetfind, Alo Pants kakobuysheet2026</t>
        </is>
      </c>
      <c r="Q24" t="inlineStr">
        <is>
          <t>Navy, Athletic, Summer, Quick Dry, Breathable, Unisex</t>
        </is>
      </c>
      <c r="R24" t="inlineStr">
        <is>
          <t>recvkkO0nsOsxJ</t>
        </is>
      </c>
      <c r="S24" t="inlineStr">
        <is>
          <t>alo-deep-navy-athletic-shorts-recvkkO0nsOsxJ</t>
        </is>
      </c>
      <c r="T24"/>
      <c r="U24"/>
      <c r="V24"/>
      <c r="W24" t="inlineStr">
        <is>
          <t>{"id":"resp_011bdc8753e21e7c016a110b9f5dfc81929a77512cb8aa79d5","object":"chat.completion","created":1779501986,"model":"gpt-5.5","choices":[{"index":0,"message":{"role":"assistant","content":"深海蓝Alo休闲运动短裤，抽绳松紧腰速干透气面料，简约小logo设计，男女同款夏季健身跑步街头五分裤"},"finish_reason":"stop"}],"usage":{"prompt_tokens":1173,"completion_tokens":114,"total_tokens":1287}}</t>
        </is>
      </c>
      <c r="X24" t="inlineStr">
        <is>
          <t>深海蓝Alo休闲运动短裤，抽绳松紧腰速干透气面料，简约小logo设计，男女同款夏季健身跑步街头五分裤</t>
        </is>
      </c>
    </row>
    <row r="25" ht="25.5" customHeight="1">
      <c r="A25">
        <v>1839115443</v>
      </c>
      <c r="B25">
        <v>7772955074</v>
      </c>
      <c r="C25" s="2" t="str">
        <f>=HYPERLINK("https://weidian.com/item.html?itemID=7772955074", "https://weidian.com/item.html?itemID=7772955074")</f>
        <v>https://weidian.com/item.html?itemID=7772955074</v>
      </c>
      <c r="D25"/>
      <c r="E25" s="2" t="str">
        <f>=HYPERLINK("https://si.geilicdn.com/open1839115443-252808396-48740000019e4e7f616d0a22d249_790_1005.jpg?w=640&amp;h=640", "https://si.geilicdn.com/open1839115443-252808396-48740000019e4e7f616d0a22d249_790_1005.jpg?w=640&amp;h=640")</f>
        <v>https://si.geilicdn.com/open1839115443-252808396-48740000019e4e7f616d0a22d249_790_1005.jpg?w=640&amp;h=640</v>
      </c>
      <c r="F25" t="inlineStr">
        <is>
          <t>Jackets</t>
        </is>
      </c>
      <c r="G25" t="inlineStr">
        <is>
          <t>The North Face</t>
        </is>
      </c>
      <c r="H25">
        <v>144</v>
      </c>
      <c r="I25">
        <v>20.87</v>
      </c>
      <c r="J25" t="inlineStr">
        <is>
          <t>{"id":"resp_0274050652cad054016a11131f0c6881a289ce186056090ce4","object":"chat.completion","created":1779503907,"model":"gpt-5.5","choices":[{"index":0,"message":{"role":"assistant","content":"The North Face Cream Black Waterproof Hooded Shell Jacket"},"finish_reason":"stop"}],"usage":{"prompt_tokens":861,"completion_tokens":175,"total_tokens":1036}}</t>
        </is>
      </c>
      <c r="K25" t="inlineStr">
        <is>
          <t>The North Face Cream Black Waterproof Hooded Shell Jacket</t>
        </is>
      </c>
      <c r="L25" t="inlineStr">
        <is>
          <t>{"id":"resp_0fbc785f42a15952016a110f7c8fa881948f616fd1ccd9b3c6","object":"chat.completion","created":1779502975,"model":"gpt-5.5","choices":[{"index":0,"message":{"role":"assistant","content":"The North Face cream black colorblock hooded waterproof windproof shell jacket, stand collar zip liner, outdoor lightweight unisex coat"},"finish_reason":"stop"}],"usage":{"prompt_tokens":888,"completion_tokens":111,"total_tokens":999}}</t>
        </is>
      </c>
      <c r="M25" t="inlineStr">
        <is>
          <t>{"alt-svc":"h3=\":443\"; ma=2592000","connection":"close","content-length":"429","content-type":"application/json; charset=utf-8","date":"Sat, 23 May 2026 02:22:55 GMT","referrer-policy":"strict-origin-when-cross-origin","server":"Caddy","strict-transport-security":"max-age=31536000; includeSubDomains; preload","vary":"Accept-Encoding","x-content-type-options":"nosniff","x-frame-options":"DENY","x-new-api-version":"v1.0.0-rc.2","x-oneapi-request-id":"202605230222522124351738268d9d6mk9fULBq","x-request-id":"8d823d5e-5ca6-4ff1-b58d-3b816412cf30"}</t>
        </is>
      </c>
      <c r="N25" t="inlineStr">
        <is>
          <t>The North Face cream black colorblock hooded waterproof windproof shell jacket, stand collar zip liner, outdoor lightweight unisex coat</t>
        </is>
      </c>
      <c r="O25" t="inlineStr">
        <is>
          <t>{"id":"resp_08af63937458b179016a11151688d881a1b5f944ffd6142042","object":"chat.completion","created":1779504411,"model":"gpt-5.5","choices":[{"index":0,"message":{"role":"assistant","content":"The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kakobuysheet2026"},"finish_reason":"stop"}],"usage":{"prompt_tokens":789,"completion_tokens":243,"total_tokens":1032}}</t>
        </is>
      </c>
      <c r="P25" t="inlineStr">
        <is>
          <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t>
        </is>
      </c>
      <c r="Q25" t="inlineStr">
        <is>
          <t>Color Block, Waterproof, Windproof, Outdoor, Lightweight, Unisex</t>
        </is>
      </c>
      <c r="R25" t="inlineStr">
        <is>
          <t>recvkkO0nsyDxT</t>
        </is>
      </c>
      <c r="S25" t="inlineStr">
        <is>
          <t>the-north-face-cream-black-waterproof-hooded-shell-jacket-recvkkO0nsyDxT</t>
        </is>
      </c>
      <c r="T25"/>
      <c r="U25"/>
      <c r="V25"/>
      <c r="W25" t="inlineStr">
        <is>
          <t>{"id":"resp_00e1a58087d1ca39016a110bf60e1c819fade97b2e7f5d88ad","object":"chat.completion","created":1779502073,"model":"gpt-5.5","choices":[{"index":0,"message":{"role":"assistant","content":"北面The North Face 米白黑拼接连帽冲锋夹克，防风防雨机能面料，立领拉链内胆设计，户外轻潮男女通用外套"},"finish_reason":"stop"}],"usage":{"prompt_tokens":1313,"completion_tokens":153,"total_tokens":1466}}</t>
        </is>
      </c>
      <c r="X25" t="inlineStr">
        <is>
          <t>北面The North Face 米白黑拼接连帽冲锋夹克，防风防雨机能面料，立领拉链内胆设计，户外轻潮男女通用外套</t>
        </is>
      </c>
    </row>
    <row r="26" ht="25.5" customHeight="1">
      <c r="A26">
        <v>1839115443</v>
      </c>
      <c r="B26">
        <v>7770012191</v>
      </c>
      <c r="C26" s="2" t="str">
        <f>=HYPERLINK("https://weidian.com/item.html?itemID=7770012191", "https://weidian.com/item.html?itemID=7770012191")</f>
        <v>https://weidian.com/item.html?itemID=7770012191</v>
      </c>
      <c r="D26"/>
      <c r="E26" s="2" t="str">
        <f>=HYPERLINK("https://si.geilicdn.com/open1839115443-252808396-3df50000019e4e7f53320aa08239_1200_1200.jpg?w=750&amp;h=750&amp;cp=1", "https://si.geilicdn.com/open1839115443-252808396-3df50000019e4e7f53320aa08239_1200_1200.jpg?w=750&amp;h=750&amp;cp=1")</f>
        <v>https://si.geilicdn.com/open1839115443-252808396-3df50000019e4e7f53320aa08239_1200_1200.jpg?w=750&amp;h=750&amp;cp=1</v>
      </c>
      <c r="F26" t="inlineStr">
        <is>
          <t>Jackets</t>
        </is>
      </c>
      <c r="G26" t="inlineStr">
        <is>
          <t>The North Face</t>
        </is>
      </c>
      <c r="H26">
        <v>366</v>
      </c>
      <c r="I26">
        <v>53.04</v>
      </c>
      <c r="J26" t="inlineStr">
        <is>
          <t>{"id":"resp_0a3b9b6c099f3ea1016a11132500008190bf644ca30f8399c7","object":"chat.completion","created":1779503913,"model":"gpt-5.5","choices":[{"index":0,"message":{"role":"assistant","content":"The North Face Light Blue Waterproof Hooded Shell Jacket"},"finish_reason":"stop"}],"usage":{"prompt_tokens":926,"completion_tokens":149,"total_tokens":1075}}</t>
        </is>
      </c>
      <c r="K26" t="inlineStr">
        <is>
          <t>The North Face Light Blue Waterproof Hooded Shell Jacket</t>
        </is>
      </c>
      <c r="L26" t="inlineStr">
        <is>
          <t>{"id":"resp_032f68563b4437ff016a110eca18bc8195a4b1311c48d8b591","object":"chat.completion","created":1779502797,"model":"gpt-5.5","choices":[{"index":0,"message":{"role":"assistant","content":"The North Face light blue colorblock hooded shell jacket, waterproof windproof outdoor technical fabric, unisex casual hiking coat"},"finish_reason":"stop"}],"usage":{"prompt_tokens":950,"completion_tokens":113,"total_tokens":1063}}</t>
        </is>
      </c>
      <c r="M26" t="inlineStr">
        <is>
          <t>{"alt-svc":"h3=\":443\"; ma=2592000","connection":"close","content-length":"425","content-type":"application/json; charset=utf-8","date":"Sat, 23 May 2026 02:19:57 GMT","referrer-policy":"strict-origin-when-cross-origin","server":"nginx/1.24.0 (Ubuntu)","strict-transport-security":"max-age=31536000; includeSubDomains; preload","vary":"Accept-Encoding","via":"1.1 Caddy","x-content-type-options":"nosniff","x-frame-options":"DENY","x-new-api-version":"v1.0.0-rc.2","x-oneapi-request-id":"202605230219533312367818268d9d6mjnzv2xA","x-request-id":"89cf6f34-ec88-4e34-9e8d-e83fa3391e8b"}</t>
        </is>
      </c>
      <c r="N26" t="inlineStr">
        <is>
          <t>The North Face light blue colorblock hooded shell jacket, waterproof windproof outdoor technical fabric, unisex casual hiking coat</t>
        </is>
      </c>
      <c r="O26" t="inlineStr">
        <is>
          <t>{"id":"resp_0df76ee4f86578ce016a111457d8448197a113d7252f3f58a6","object":"chat.completion","created":1779504222,"model":"gpt-5.5","choices":[{"index":0,"message":{"role":"assistant","content":"The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kakobuysheet2026"},"finish_reason":"stop"}],"usage":{"prompt_tokens":856,"completion_tokens":297,"total_tokens":1153}}</t>
        </is>
      </c>
      <c r="P26" t="inlineStr">
        <is>
          <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t>
        </is>
      </c>
      <c r="Q26" t="inlineStr">
        <is>
          <t>Color Block, Waterproof, Windproof, Outdoor, Unisex, Hiking Shoes</t>
        </is>
      </c>
      <c r="R26" t="inlineStr">
        <is>
          <t>recvkkO0ns5092</t>
        </is>
      </c>
      <c r="S26" t="inlineStr">
        <is>
          <t>the-north-face-light-blue-waterproof-hooded-shell-jacket-recvkkO0ns5092</t>
        </is>
      </c>
      <c r="T26"/>
      <c r="U26"/>
      <c r="V26"/>
      <c r="W26" t="inlineStr">
        <is>
          <t>{"id":"resp_08b73e31b21e2e9a016a110be6bbe881a396096452b56b896e","object":"chat.completion","created":1779502056,"model":"gpt-5.5","choices":[{"index":0,"message":{"role":"assistant","content":"The North Face浅蓝拼色连帽冲锋夹克，防风防水户外机能面料，男女同款休闲登山外套"},"finish_reason":"stop"}],"usage":{"prompt_tokens":1388,"completion_tokens":38,"total_tokens":1426}}</t>
        </is>
      </c>
      <c r="X26" t="inlineStr">
        <is>
          <t>The North Face浅蓝拼色连帽冲锋夹克，防风防水户外机能面料，男女同款休闲登山外套</t>
        </is>
      </c>
    </row>
    <row r="27" ht="25.5" customHeight="1">
      <c r="A27">
        <v>1839115443</v>
      </c>
      <c r="B27">
        <v>7772986740</v>
      </c>
      <c r="C27" s="2" t="str">
        <f>=HYPERLINK("https://weidian.com/item.html?itemID=7772986740", "https://weidian.com/item.html?itemID=7772986740")</f>
        <v>https://weidian.com/item.html?itemID=7772986740</v>
      </c>
      <c r="D27"/>
      <c r="E27" s="2" t="str">
        <f>=HYPERLINK("https://si.geilicdn.com/open1839115443-252808396-488e0000019e4e7f9faa0a22d249_1440_1920.jpg?w=640&amp;h=640", "https://si.geilicdn.com/open1839115443-252808396-488e0000019e4e7f9faa0a22d249_1440_1920.jpg?w=640&amp;h=640")</f>
        <v>https://si.geilicdn.com/open1839115443-252808396-488e0000019e4e7f9faa0a22d249_1440_1920.jpg?w=640&amp;h=640</v>
      </c>
      <c r="F27" t="inlineStr">
        <is>
          <t>Jackets</t>
        </is>
      </c>
      <c r="G27" t="inlineStr">
        <is>
          <t>The North Face</t>
        </is>
      </c>
      <c r="H27">
        <v>434</v>
      </c>
      <c r="I27">
        <v>62.9</v>
      </c>
      <c r="J27" t="inlineStr">
        <is>
          <t>{"id":"resp_0ee5c21e17eed16f016a11135252ac8193a4246598640f496c","object":"chat.completion","created":1779503957,"model":"gpt-5.5","choices":[{"index":0,"message":{"role":"assistant","content":"The North Face 700 Down Vest Black Puffer Gilet"},"finish_reason":"stop"}],"usage":{"prompt_tokens":901,"completion_tokens":126,"total_tokens":1027}}</t>
        </is>
      </c>
      <c r="K27" t="inlineStr">
        <is>
          <t>The North Face 700 Down Vest Black Puffer Gilet</t>
        </is>
      </c>
      <c r="L27" t="inlineStr">
        <is>
          <t>{"id":"resp_0898723155977f4a016a110ec1837c81a0be0ebf6e06923843","object":"chat.completion","created":1779502788,"model":"gpt-5.5","choices":[{"index":0,"message":{"role":"assistant","content":"The North Face 700 Series black stand-collar down vest, windproof warm nylon puffer gilet with zip pockets, unisex retro outdoor casual sleeveless jacket"},"finish_reason":"stop"}],"usage":{"prompt_tokens":915,"completion_tokens":110,"total_tokens":1025}}</t>
        </is>
      </c>
      <c r="M27" t="inlineStr">
        <is>
          <t>{"alt-svc":"h3=\":443\"; ma=2592000","connection":"close","content-length":"448","content-type":"application/json; charset=utf-8","date":"Sat, 23 May 2026 02:19:48 GMT","referrer-policy":"strict-origin-when-cross-origin","server":"nginx/1.24.0 (Ubuntu)","strict-transport-security":"max-age=31536000; includeSubDomains; preload","vary":"Accept-Encoding","via":"1.1 Caddy","x-content-type-options":"nosniff","x-frame-options":"DENY","x-new-api-version":"v1.0.0-rc.2","x-oneapi-request-id":"202605230219452024428438268d9d6TmMUlJ7p","x-request-id":"5bf5ea49-7119-4da3-9229-65ef8463d893"}</t>
        </is>
      </c>
      <c r="N27" t="inlineStr">
        <is>
          <t>The North Face 700 Series black stand-collar down vest, windproof warm nylon puffer gilet with zip pockets, unisex retro outdoor casual sleeveless jacket</t>
        </is>
      </c>
      <c r="O27" t="inlineStr">
        <is>
          <t>{"id":"resp_05c1a4602465a229016a11154a32d0819086611bb0a4c51cd9","object":"chat.completion","created":1779504465,"model":"gpt-5.5","choices":[{"index":0,"message":{"role":"assistant","content":"The North Face,Jackets,kakobuy,The North Face,Jackets,kakebuy2026,The North Face,Jackets,kekobuysheet,The North Face,Jackets,kakobuysheet2026,The North Face,Jackets,2026kakobuy,The North Face,Jackets,kakobuyspreadsheeet,The North Face,Jackets,kakobuylink,The North Face,Jackets,kakebuylist,The North Face,Jackets,Kakobuy MEGA Spreadsheet,The North Face,Jackets,kakobuysheetfind,The North Face,Jackets,kakobuysheetfind2026,The North Face,Jackets,2026kakobuysheetfind,The North Face,Jackets,kakobuysheet2026"},"finish_reason":"stop"}],"usage":{"prompt_tokens":813,"completion_tokens":353,"total_tokens":1166}}</t>
        </is>
      </c>
      <c r="P27" t="inlineStr">
        <is>
          <t>The North Face,Jackets,kakobuy,The North Face,Jackets,kakebuy2026,The North Face,Jackets,kekobuysheet,The North Face,Jackets,kakobuysheet2026,The North Face,Jackets,2026kakobuy,The North Face,Jackets,kakobuyspreadsheeet,The North Face,Jackets,kakobuylink,The North Face,Jackets,kakebuylist,The North Face,Jackets,Kakobuy MEGA Spreadsheet,The North Face,Jackets,kakobuysheetfind,The North Face,Jackets,kakobuysheetfind2026,The North Face,Jackets,2026kakobuysheetfind,The North Face,Jackets,kakobuysheet2026</t>
        </is>
      </c>
      <c r="Q27" t="inlineStr">
        <is>
          <t>Unisex, Retro, Outdoor, Nylon, Windproof</t>
        </is>
      </c>
      <c r="R27" t="inlineStr">
        <is>
          <t>recvkkO0nsrtAR</t>
        </is>
      </c>
      <c r="S27" t="inlineStr">
        <is>
          <t>north-face-700-down-vest-black-puffer-gilet-recvkkO0nsrtAR</t>
        </is>
      </c>
      <c r="T27"/>
      <c r="U27"/>
      <c r="V27"/>
      <c r="W27" t="inlineStr">
        <is>
          <t>{"id":"resp_0b887ebef0363be4016a110bd70de88197aed82c8cefa59b74","object":"chat.completion","created":1779502042,"model":"gpt-5.5","choices":[{"index":0,"message":{"role":"assistant","content":"北面The North Face 700系列黑色立领羽绒马甲，防风保暖尼龙面料，拉链口袋设计，男女同款复古户外休闲背心"},"finish_reason":"stop"}],"usage":{"prompt_tokens":1341,"completion_tokens":137,"total_tokens":1478}}</t>
        </is>
      </c>
      <c r="X27" t="inlineStr">
        <is>
          <t>北面The North Face 700系列黑色立领羽绒马甲，防风保暖尼龙面料，拉链口袋设计，男女同款复古户外休闲背心</t>
        </is>
      </c>
    </row>
    <row r="28" ht="25.5" customHeight="1">
      <c r="A28">
        <v>1839115443</v>
      </c>
      <c r="B28">
        <v>7773028000</v>
      </c>
      <c r="C28" s="2" t="str">
        <f>=HYPERLINK("https://weidian.com/item.html?itemID=7773028000", "https://weidian.com/item.html?itemID=7773028000")</f>
        <v>https://weidian.com/item.html?itemID=7773028000</v>
      </c>
      <c r="D28"/>
      <c r="E28" s="2" t="str">
        <f>=HYPERLINK("https://si.geilicdn.com/open1839115443-252808396-49fa0000019e4e817c040a22d249_800_800.jpg?w=750&amp;h=750&amp;cp=1", "https://si.geilicdn.com/open1839115443-252808396-49fa0000019e4e817c040a22d249_800_800.jpg?w=750&amp;h=750&amp;cp=1")</f>
        <v>https://si.geilicdn.com/open1839115443-252808396-49fa0000019e4e817c040a22d249_800_800.jpg?w=750&amp;h=750&amp;cp=1</v>
      </c>
      <c r="F28" t="inlineStr">
        <is>
          <t>Jackets</t>
        </is>
      </c>
      <c r="G28" t="inlineStr">
        <is>
          <t>The North Face</t>
        </is>
      </c>
      <c r="H28">
        <v>94</v>
      </c>
      <c r="I28">
        <v>13.62</v>
      </c>
      <c r="J28" t="inlineStr">
        <is>
          <t>{"id":"resp_01efcea07ad98fa6016a111375a0d081a3b74a858cd308eb64","object":"chat.completion","created":1779503992,"model":"gpt-5.5","choices":[{"index":0,"message":{"role":"assistant","content":"The North Face Neon Green Waterproof Hooded Shell Jacket"},"finish_reason":"stop"}],"usage":{"prompt_tokens":932,"completion_tokens":128,"total_tokens":1060}}</t>
        </is>
      </c>
      <c r="K28" t="inlineStr">
        <is>
          <t>The North Face Neon Green Waterproof Hooded Shell Jacket</t>
        </is>
      </c>
      <c r="L28" t="inlineStr">
        <is>
          <t>{"id":"resp_02fcc4cdf07e3c1a016a110f4b134081a3843ce09abeedf31b","object":"chat.completion","created":1779502927,"model":"gpt-5.5","choices":[{"index":0,"message":{"role":"assistant","content":"The North Face Neon Green Hooded Shell Jacket, windproof waterproof technical fabric, multi-pocket utility design, unisex outdoor streetwear coat"},"finish_reason":"stop"}],"usage":{"prompt_tokens":954,"completion_tokens":96,"total_tokens":1050}}</t>
        </is>
      </c>
      <c r="M28" t="inlineStr">
        <is>
          <t>{"alt-svc":"h3=\":443\"; ma=2592000","connection":"close","content-length":"439","content-type":"application/json; charset=utf-8","date":"Sat, 23 May 2026 02:22:07 GMT","referrer-policy":"strict-origin-when-cross-origin","server":"Caddy","strict-transport-security":"max-age=31536000; includeSubDomains; preload","vary":"Accept-Encoding","x-content-type-options":"nosniff","x-frame-options":"DENY","x-new-api-version":"v1.0.0-rc.2","x-oneapi-request-id":"202605230222027764186698268d9d6r3eKkBPT","x-request-id":"7a256805-814f-4ef4-aa34-35184d410055"}</t>
        </is>
      </c>
      <c r="N28" t="inlineStr">
        <is>
          <t>The North Face Neon Green Hooded Shell Jacket, windproof waterproof technical fabric, multi-pocket utility design, unisex outdoor streetwear coat</t>
        </is>
      </c>
      <c r="O28" t="inlineStr">
        <is>
          <t>{"id":"resp_0936f2408d40de26016a111483bb7c8196ad7bb792359bd7c8","object":"chat.completion","created":1779504270,"model":"gpt-5.5","choices":[{"index":0,"message":{"role":"assistant","content":"The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2026kakobuysheetfind"},"finish_reason":"stop"}],"usage":{"prompt_tokens":856,"completion_tokens":521,"total_tokens":1377}}</t>
        </is>
      </c>
      <c r="P28" t="inlineStr">
        <is>
          <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t>
        </is>
      </c>
      <c r="Q28" t="inlineStr">
        <is>
          <t>Outdoor, Streetwear, Windproof, Waterproof, Unisex, Green</t>
        </is>
      </c>
      <c r="R28" t="inlineStr">
        <is>
          <t>recvkkO0nsE4bA</t>
        </is>
      </c>
      <c r="S28" t="inlineStr">
        <is>
          <t>the-north-face-neon-green-waterproof-hooded-shell-jacket-recvkkO0nsE4bA</t>
        </is>
      </c>
      <c r="T28"/>
      <c r="U28"/>
      <c r="V28"/>
      <c r="W28" t="inlineStr">
        <is>
          <t>{"id":"resp_01bd787a6ab16c2a016a110bde0f0081a3aaf1adeb86b52bc2","object":"chat.completion","created":1779502050,"model":"gpt-5.5","choices":[{"index":0,"message":{"role":"assistant","content":"北面The North Face荧光绿连帽冲锋夹克，防风防水机能面料，多口袋工装设计，男女同款户外潮流外套"},"finish_reason":"stop"}],"usage":{"prompt_tokens":1384,"completion_tokens":166,"total_tokens":1550}}</t>
        </is>
      </c>
      <c r="X28" t="inlineStr">
        <is>
          <t>北面The North Face荧光绿连帽冲锋夹克，防风防水机能面料，多口袋工装设计，男女同款户外潮流外套</t>
        </is>
      </c>
    </row>
    <row r="29" ht="25.5" customHeight="1">
      <c r="A29">
        <v>1839115443</v>
      </c>
      <c r="B29">
        <v>7770103685</v>
      </c>
      <c r="C29" s="2" t="str">
        <f>=HYPERLINK("https://weidian.com/item.html?itemID=7770103685", "https://weidian.com/item.html?itemID=7770103685")</f>
        <v>https://weidian.com/item.html?itemID=7770103685</v>
      </c>
      <c r="D29"/>
      <c r="E29" s="2" t="str">
        <f>=HYPERLINK("https://si.geilicdn.com/open1839115443-252808396-4e880000019e4e963c7f0a231226_790_900.jpg?w=640&amp;h=640", "https://si.geilicdn.com/open1839115443-252808396-4e880000019e4e963c7f0a231226_790_900.jpg?w=640&amp;h=640")</f>
        <v>https://si.geilicdn.com/open1839115443-252808396-4e880000019e4e963c7f0a231226_790_900.jpg?w=640&amp;h=640</v>
      </c>
      <c r="F29" t="inlineStr">
        <is>
          <t>Jackets</t>
        </is>
      </c>
      <c r="G29" t="inlineStr">
        <is>
          <t>Other</t>
        </is>
      </c>
      <c r="H29">
        <v>125</v>
      </c>
      <c r="I29">
        <v>18.12</v>
      </c>
      <c r="J29" t="inlineStr">
        <is>
          <t>{"id":"resp_045ea12bda0be906016a11136fd1648197ba6c5be5092d6849","object":"chat.completion","created":1779503987,"model":"gpt-5.5","choices":[{"index":0,"message":{"role":"assistant","content":"Men's Green Sherpa Lined Fleece Jacket Full Zip Coat"},"finish_reason":"stop"}],"usage":{"prompt_tokens":789,"completion_tokens":144,"total_tokens":933}}</t>
        </is>
      </c>
      <c r="K29" t="inlineStr">
        <is>
          <t>Men's Green Sherpa Lined Fleece Jacket Full Zip Coat</t>
        </is>
      </c>
      <c r="L29" t="inlineStr">
        <is>
          <t>{"id":"resp_0bc4e6333bc58bc4016a110edf2318819fbc8ede7b3921e3b9","object":"chat.completion","created":1779502818,"model":"gpt-5.5","choices":[{"index":0,"message":{"role":"assistant","content":"JacketsOther Men's Green Stand Collar Fleece Jacket, Sherpa Lined Warm Full Zip Outdoor Casual Winter Coat with Multi Pockets"},"finish_reason":"stop"}],"usage":{"prompt_tokens":808,"completion_tokens":104,"total_tokens":912}}</t>
        </is>
      </c>
      <c r="M29" t="inlineStr">
        <is>
          <t>{"alt-svc":"h3=\":443\"; ma=2592000","connection":"close","content-length":"419","content-type":"application/json; charset=utf-8","date":"Sat, 23 May 2026 02:20:18 GMT","referrer-policy":"strict-origin-when-cross-origin","server":"nginx/1.24.0 (Ubuntu)","strict-transport-security":"max-age=31536000; includeSubDomains; preload","vary":"Accept-Encoding","via":"1.1 Caddy","x-content-type-options":"nosniff","x-frame-options":"DENY","x-new-api-version":"v1.0.0-rc.2","x-oneapi-request-id":"202605230220148102604658268d9d69XbtfmAd","x-request-id":"e4ebccfe-1237-409e-b7d5-326862c91e40"}</t>
        </is>
      </c>
      <c r="N29" t="inlineStr">
        <is>
          <t>JacketsOther Men's Green Stand Collar Fleece Jacket, Sherpa Lined Warm Full Zip Outdoor Casual Winter Coat with Multi Pockets</t>
        </is>
      </c>
      <c r="O29" t="inlineStr">
        <is>
          <t>{"id":"resp_0f21ebc06aca3f52016a111550a83c819d8df4f3984ab9541b","object":"chat.completion","created":1779504472,"model":"gpt-5.5","choices":[{"index":0,"message":{"role":"assistant","content":"Kailas JacketsOther kakobuy, Kailas JacketsOther kakebuy2026, Kailas JacketsOther kekobuysheet, Kailas JacketsOther kakobuysheet2026, Kailas JacketsOther 2026kakobuy, Kailas JacketsOther kakobuyspreadsheeet, Kailas JacketsOther kakobuylink, Kailas JacketsOther kakebuylist, Kailas JacketsOther Kakobuy MEGA Spreadsheet, Kailas JacketsOther kakobuysheetfind, Kailas JacketsOther kakobuysheetfind2026, Kailas JacketsOther 2026kakobuysheetfind, Kailas JacketsOther kakobuysheet2026"},"finish_reason":"stop"}],"usage":{"prompt_tokens":715,"completion_tokens":373,"total_tokens":1088}}</t>
        </is>
      </c>
      <c r="P29" t="inlineStr">
        <is>
          <t>Kailas JacketsOther kakobuy, Kailas JacketsOther kakebuy2026, Kailas JacketsOther kekobuysheet, Kailas JacketsOther kakobuysheet2026, Kailas JacketsOther 2026kakobuy, Kailas JacketsOther kakobuyspreadsheeet, Kailas JacketsOther kakobuylink, Kailas JacketsOther kakebuylist, Kailas JacketsOther Kakobuy MEGA Spreadsheet, Kailas JacketsOther kakobuysheetfind, Kailas JacketsOther kakobuysheetfind2026, Kailas JacketsOther 2026kakobuysheetfind, Kailas JacketsOther kakobuysheet2026</t>
        </is>
      </c>
      <c r="Q29" t="inlineStr">
        <is>
          <t>Men, Green, Winter, Outdoor, Fleece-Lined</t>
        </is>
      </c>
      <c r="R29" t="inlineStr">
        <is>
          <t>recvkkO0ns1AZU</t>
        </is>
      </c>
      <c r="S29" t="inlineStr">
        <is>
          <t>men-green-sherpa-lined-fleece-jacket-recvkkO0ns1AZU</t>
        </is>
      </c>
      <c r="T29"/>
      <c r="U29"/>
      <c r="V29"/>
      <c r="W29" t="inlineStr">
        <is>
          <t>{"id":"resp_087826dcefdd0070016a110c101484819c83ff22af52e00b1f","object":"chat.completion","created":1779502097,"model":"gpt-5.5","choices":[{"index":0,"message":{"role":"assistant","content":"绿色立领保暖抓绒夹克，羊羔绒内里，全拉链开合，多口袋设计，户外休闲男士秋冬外套"},"finish_reason":"stop"}],"usage":{"prompt_tokens":1235,"completion_tokens":42,"total_tokens":1277}}</t>
        </is>
      </c>
      <c r="X29" t="inlineStr">
        <is>
          <t>绿色立领保暖抓绒夹克，羊羔绒内里，全拉链开合，多口袋设计，户外休闲男士秋冬外套</t>
        </is>
      </c>
    </row>
    <row r="30" ht="25.5" customHeight="1">
      <c r="A30">
        <v>1839115443</v>
      </c>
      <c r="B30">
        <v>7770028829</v>
      </c>
      <c r="C30" s="2" t="str">
        <f>=HYPERLINK("https://weidian.com/item.html?itemID=7770028829", "https://weidian.com/item.html?itemID=7770028829")</f>
        <v>https://weidian.com/item.html?itemID=7770028829</v>
      </c>
      <c r="D30"/>
      <c r="E30" s="2" t="str">
        <f>=HYPERLINK("https://si.geilicdn.com/open1839115443-252808396-33f40000019e4e95d2f30a8133b0_800_800.jpg?w=750&amp;h=750&amp;cp=1", "https://si.geilicdn.com/open1839115443-252808396-33f40000019e4e95d2f30a8133b0_800_800.jpg?w=750&amp;h=750&amp;cp=1")</f>
        <v>https://si.geilicdn.com/open1839115443-252808396-33f40000019e4e95d2f30a8133b0_800_800.jpg?w=750&amp;h=750&amp;cp=1</v>
      </c>
      <c r="F30" t="inlineStr">
        <is>
          <t>Jackets</t>
        </is>
      </c>
      <c r="G30" t="inlineStr">
        <is>
          <t>Jeep</t>
        </is>
      </c>
      <c r="H30">
        <v>169</v>
      </c>
      <c r="I30">
        <v>24.49</v>
      </c>
      <c r="J30" t="inlineStr">
        <is>
          <t>{"id":"resp_0fb04ed12e123949016a11130171e881a2ba6f040ccc2bad99","object":"chat.completion","created":1779503877,"model":"gpt-5.5","choices":[{"index":0,"message":{"role":"assistant","content":"Jeep Men's Army Green Hooded Windproof Work Jacket"},"finish_reason":"stop"}],"usage":{"prompt_tokens":932,"completion_tokens":110,"total_tokens":1042}}</t>
        </is>
      </c>
      <c r="K30" t="inlineStr">
        <is>
          <t>Jeep Men's Army Green Hooded Windproof Work Jacket</t>
        </is>
      </c>
      <c r="L30" t="inlineStr">
        <is>
          <t>{"id":"resp_021ffc3d89b8ce0f016a110eedc9948194b73d19098d482537","object":"chat.completion","created":1779502835,"model":"gpt-5.5","choices":[{"index":0,"message":{"role":"assistant","content":"Jeep men's army green hooded work jacket, windproof durable polyester outdoor casual coat with multi-pocket utility design and BLUE STOCK chest print."},"finish_reason":"stop"}],"usage":{"prompt_tokens":961,"completion_tokens":143,"total_tokens":1104}}</t>
        </is>
      </c>
      <c r="M30" t="inlineStr">
        <is>
          <t>{"alt-svc":"h3=\":443\"; ma=2592000","connection":"close","content-length":"445","content-type":"application/json; charset=utf-8","date":"Sat, 23 May 2026 02:20:35 GMT","referrer-policy":"strict-origin-when-cross-origin","server":"Caddy","strict-transport-security":"max-age=31536000; includeSubDomains; preload","vary":"Accept-Encoding","x-content-type-options":"nosniff","x-frame-options":"DENY","x-new-api-version":"v1.0.0-rc.2","x-oneapi-request-id":"202605230220292317783828268d9d6hhT6b01W","x-request-id":"89d61e4c-1663-4417-88f3-77c77d3874a3"}</t>
        </is>
      </c>
      <c r="N30" t="inlineStr">
        <is>
          <t>Jeep men's army green hooded work jacket, windproof durable polyester outdoor casual coat with multi-pocket utility design and BLUE STOCK chest print.</t>
        </is>
      </c>
      <c r="O30" t="inlineStr">
        <is>
          <t>{"id":"resp_0951db7ccfc7d300016a11147fa1b081a0b0201f8612ca9f22","object":"chat.completion","created":1779504260,"model":"gpt-5.5","choices":[{"index":0,"message":{"role":"assistant","content":"Jeep Jackets kakobuy, Jeep Jackets kakebuy2026, Jeep Jackets kekobuysheet, Jeep Jackets kakobuysheet2026, Jeep Jackets 2026kakobuy, Jeep Jackets kakobuyspreadsheeet, Jeep Jackets kakobuylink, Jeep Jackets kakebuylist, Jeep Jackets Kakobuy MEGA Spreadsheet, Jeep Jackets kakobuysheetfind, Jeep Jackets kakobuysheetfind2026, Jeep Jackets 2026kakobuysheetfind, Jeep Jackets kakobuysheet2026"},"finish_reason":"stop"}],"usage":{"prompt_tokens":855,"completion_tokens":187,"total_tokens":1042}}</t>
        </is>
      </c>
      <c r="P30" t="inlineStr">
        <is>
          <t>Jeep Jackets kakobuy, Jeep Jackets kakebuy2026, Jeep Jackets kekobuysheet, Jeep Jackets kakobuysheet2026, Jeep Jackets 2026kakobuy, Jeep Jackets kakobuyspreadsheeet, Jeep Jackets kakobuylink, Jeep Jackets kakebuylist, Jeep Jackets Kakobuy MEGA Spreadsheet, Jeep Jackets kakobuysheetfind, Jeep Jackets kakobuysheetfind2026, Jeep Jackets 2026kakobuysheetfind, Jeep Jackets kakobuysheet2026</t>
        </is>
      </c>
      <c r="Q30" t="inlineStr">
        <is>
          <t>Windproof, Polyester, Outdoor, Men</t>
        </is>
      </c>
      <c r="R30" t="inlineStr">
        <is>
          <t>recvkkO0nsf11H</t>
        </is>
      </c>
      <c r="S30" t="inlineStr">
        <is>
          <t>jeep-army-green-hooded-windproof-work-jacket-recvkkO0nsf11H</t>
        </is>
      </c>
      <c r="T30"/>
      <c r="U30"/>
      <c r="V30"/>
      <c r="W30" t="inlineStr">
        <is>
          <t>{"id":"resp_065f572029f23956016a110c14588c8192874b43f3f0033e31","object":"chat.completion","created":1779502107,"model":"gpt-5.5","choices":[{"index":0,"message":{"role":"assistant","content":"吉普Jeep军绿色连帽工装夹克，防风耐磨涤纶材质，多口袋机能设计，胸前BLUE STOCK印花，男士户外休闲外套。"},"finish_reason":"stop"}],"usage":{"prompt_tokens":1388,"completion_tokens":172,"total_tokens":1560}}</t>
        </is>
      </c>
      <c r="X30" t="inlineStr">
        <is>
          <t>吉普Jeep军绿色连帽工装夹克，防风耐磨涤纶材质，多口袋机能设计，胸前BLUE STOCK印花，男士户外休闲外套。</t>
        </is>
      </c>
    </row>
    <row r="31" ht="25.5" customHeight="1">
      <c r="A31">
        <v>1839115443</v>
      </c>
      <c r="B31">
        <v>7770040681</v>
      </c>
      <c r="C31" s="2" t="str">
        <f>=HYPERLINK("https://weidian.com/item.html?itemID=7770040681", "https://weidian.com/item.html?itemID=7770040681")</f>
        <v>https://weidian.com/item.html?itemID=7770040681</v>
      </c>
      <c r="D31"/>
      <c r="E31" s="2" t="str">
        <f>=HYPERLINK("https://si.geilicdn.com/open1839115443-252808396-39ca0000019e4e99195d0a8133b0_1000_1000.jpg?w=640&amp;h=640", "https://si.geilicdn.com/open1839115443-252808396-39ca0000019e4e99195d0a8133b0_1000_1000.jpg?w=640&amp;h=640")</f>
        <v>https://si.geilicdn.com/open1839115443-252808396-39ca0000019e4e99195d0a8133b0_1000_1000.jpg?w=640&amp;h=640</v>
      </c>
      <c r="F31" t="inlineStr">
        <is>
          <t>Pants</t>
        </is>
      </c>
      <c r="G31" t="inlineStr">
        <is>
          <t>Other</t>
        </is>
      </c>
      <c r="H31">
        <v>114</v>
      </c>
      <c r="I31">
        <v>16.52</v>
      </c>
      <c r="J31" t="inlineStr">
        <is>
          <t>{"id":"resp_0924ac12eb8bae2a016a1112d0b86881a2a034a034db22ad23","object":"chat.completion","created":1779503827,"model":"gpt-5.5","choices":[{"index":0,"message":{"role":"assistant","content":"PantsOther Black White Satin Muay Thai Boxing Shorts"},"finish_reason":"stop"}],"usage":{"prompt_tokens":725,"completion_tokens":119,"total_tokens":844}}</t>
        </is>
      </c>
      <c r="K31" t="inlineStr">
        <is>
          <t>PantsOther Black White Satin Muay Thai Boxing Shorts</t>
        </is>
      </c>
      <c r="L31" t="inlineStr">
        <is>
          <t>{"id":"resp_09c85e38e3aacf15016a110f2fc24481a28f899408a69e71c7","object":"chat.completion","created":1779502899,"model":"gpt-5.5","choices":[{"index":0,"message":{"role":"assistant","content":"PantsOther black white quick-dry satin boxing shorts, elastic waist, flame tribal print, street sport unisex Muay Thai fight training competition trunks"},"finish_reason":"stop"}],"usage":{"prompt_tokens":744,"completion_tokens":169,"total_tokens":913}}</t>
        </is>
      </c>
      <c r="M31" t="inlineStr">
        <is>
          <t>{"alt-svc":"h3=\":443\"; ma=2592000","connection":"close","content-length":"446","content-type":"application/json; charset=utf-8","date":"Sat, 23 May 2026 02:21:39 GMT","referrer-policy":"strict-origin-when-cross-origin","server":"Caddy","strict-transport-security":"max-age=31536000; includeSubDomains; preload","vary":"Accept-Encoding","x-content-type-options":"nosniff","x-frame-options":"DENY","x-new-api-version":"v1.0.0-rc.2","x-oneapi-request-id":"202605230221354671419918268d9d6AyuMBMGM","x-request-id":"9e4ae2eb-9c72-4471-98b1-6f1f8e9ff090"}</t>
        </is>
      </c>
      <c r="N31" t="inlineStr">
        <is>
          <t>PantsOther black white quick-dry satin boxing shorts, elastic waist, flame tribal print, street sport unisex Muay Thai fight training competition trunks</t>
        </is>
      </c>
      <c r="O31" t="inlineStr">
        <is>
          <t>{"id":"resp_0f02e95631b2ce5f016a111563dfd081949920ffa0e9a8accb","object":"chat.completion","created":1779504491,"model":"gpt-5.5","choices":[{"index":0,"message":{"role":"assistant","content":"Mars shorts kakobuy, Mars shorts kakebuy2026, Mars shorts kekobuysheet, Mars shorts kakobuysheet2026, Mars shorts 2026kakobuy, Mars shorts kakobuyspreadsheeet, Mars shorts kakobuylink, Mars shorts kakebuylist, Mars shorts Kakobuy MEGA Spreadsheet, Mars shorts kakobuysheetfind, Mars shorts kakobuysheetfind2026, Mars shorts 2026kakobuysheetfind, Mars shorts kakobuysheet2026"},"finish_reason":"stop"}],"usage":{"prompt_tokens":643,"completion_tokens":391,"total_tokens":1034}}</t>
        </is>
      </c>
      <c r="P31" t="inlineStr">
        <is>
          <t>Mars shorts kakobuy, Mars shorts kakebuy2026, Mars shorts kekobuysheet, Mars shorts kakobuysheet2026, Mars shorts 2026kakobuy, Mars shorts kakobuyspreadsheeet, Mars shorts kakobuylink, Mars shorts kakebuylist, Mars shorts Kakobuy MEGA Spreadsheet, Mars shorts kakobuysheetfind, Mars shorts kakobuysheetfind2026, Mars shorts 2026kakobuysheetfind, Mars shorts kakobuysheet2026</t>
        </is>
      </c>
      <c r="Q31" t="inlineStr">
        <is>
          <t>Black, White, Quick Dry, Street, Unisex, Training Shoes</t>
        </is>
      </c>
      <c r="R31" t="inlineStr">
        <is>
          <t>recvkkO0nsBsiL</t>
        </is>
      </c>
      <c r="S31" t="inlineStr">
        <is>
          <t>pantsother-black-white-satin-muay-thai-boxing-shorts-recvkkO0nsBsiL</t>
        </is>
      </c>
      <c r="T31"/>
      <c r="U31"/>
      <c r="V31"/>
      <c r="W31" t="inlineStr">
        <is>
          <t>{"id":"resp_06f2a28db939e35c016a110b629c148196870acce8f89fa305","object":"chat.completion","created":1779501925,"model":"gpt-5.5","choices":[{"index":0,"message":{"role":"assistant","content":"黑白拼色格斗系列速干缎面拳击短裤，弹力腰头，火焰图腾印花，街头运动风，男女通用训练比赛泰拳裤"},"finish_reason":"stop"}],"usage":{"prompt_tokens":1169,"completion_tokens":117,"total_tokens":1286}}</t>
        </is>
      </c>
      <c r="X31" t="inlineStr">
        <is>
          <t>黑白拼色格斗系列速干缎面拳击短裤，弹力腰头，火焰图腾印花，街头运动风，男女通用训练比赛泰拳裤</t>
        </is>
      </c>
    </row>
    <row r="32" ht="25.5" customHeight="1">
      <c r="A32">
        <v>1839115443</v>
      </c>
      <c r="B32">
        <v>7772995114</v>
      </c>
      <c r="C32" s="2" t="str">
        <f>=HYPERLINK("https://weidian.com/item.html?itemID=7772995114", "https://weidian.com/item.html?itemID=7772995114")</f>
        <v>https://weidian.com/item.html?itemID=7772995114</v>
      </c>
      <c r="D32"/>
      <c r="E32" s="2" t="str">
        <f>=HYPERLINK("https://si.geilicdn.com/open1839115443-252808396-5e010000019e4e9aac9e0a23b491_1000_1000.jpg?w=640&amp;h=640", "https://si.geilicdn.com/open1839115443-252808396-5e010000019e4e9aac9e0a23b491_1000_1000.jpg?w=640&amp;h=640")</f>
        <v>https://si.geilicdn.com/open1839115443-252808396-5e010000019e4e9aac9e0a23b491_1000_1000.jpg?w=640&amp;h=640</v>
      </c>
      <c r="F32" t="inlineStr">
        <is>
          <t>T-Shirts</t>
        </is>
      </c>
      <c r="G32" t="inlineStr">
        <is>
          <t>The North Face</t>
        </is>
      </c>
      <c r="H32">
        <v>62</v>
      </c>
      <c r="I32">
        <v>8.99</v>
      </c>
      <c r="J32" t="inlineStr">
        <is>
          <t>{"id":"resp_0c8ddd92ab918d03016a1113450bc4819db1e60db9733da5e1","object":"chat.completion","created":1779503946,"model":"gpt-5.5","choices":[{"index":0,"message":{"role":"assistant","content":"The North Face Black Cotton Logo T-Shirt Unisex Tee"},"finish_reason":"stop"}],"usage":{"prompt_tokens":717,"completion_tokens":170,"total_tokens":887}}</t>
        </is>
      </c>
      <c r="K32" t="inlineStr">
        <is>
          <t>The North Face Black Cotton Logo T-Shirt Unisex Tee</t>
        </is>
      </c>
      <c r="L32" t="inlineStr">
        <is>
          <t>{"id":"resp_0370603e31f99f64016a110f2eddc481a0a10c82794c219587","object":"chat.completion","created":1779502897,"model":"gpt-5.5","choices":[{"index":0,"message":{"role":"assistant","content":"The North Face black short sleeve T-shirt, breathable pure cotton with white chest logo embroidery, unisex outdoor casual streetwear top"},"finish_reason":"stop"}],"usage":{"prompt_tokens":748,"completion_tokens":109,"total_tokens":857}}</t>
        </is>
      </c>
      <c r="M32" t="inlineStr">
        <is>
          <t>{"alt-svc":"h3=\":443\"; ma=2592000","connection":"close","content-length":"430","content-type":"application/json; charset=utf-8","date":"Sat, 23 May 2026 02:21:37 GMT","referrer-policy":"strict-origin-when-cross-origin","server":"Caddy","strict-transport-security":"max-age=31536000; includeSubDomains; preload","vary":"Accept-Encoding","x-content-type-options":"nosniff","x-frame-options":"DENY","x-new-api-version":"v1.0.0-rc.2","x-oneapi-request-id":"202605230221345529509558268d9d6HmYiUhsR","x-request-id":"e56bb5ae-b68e-4e5d-bca3-be87cfab608c"}</t>
        </is>
      </c>
      <c r="N32" t="inlineStr">
        <is>
          <t>The North Face black short sleeve T-shirt, breathable pure cotton with white chest logo embroidery, unisex outdoor casual streetwear top</t>
        </is>
      </c>
      <c r="O32" t="inlineStr">
        <is>
          <t>{"id":"resp_06b73f42ab12faa4016a11145edcb481949880d3d5bd4996c3","object":"chat.completion","created":1779504230,"model":"gpt-5.5","choices":[{"index":0,"message":{"role":"assistant","content":"The North Face, T-Shirts, kakobuy, kakebuy2026, kekobuysheet, kakobuysheet2026, 2026kakobuy, kakobuyspreadsheeet, kakobuylink, kakebuylist, Kakobuy MEGA Spreadsheet, kakobuysheetfind, kakobuysheetfind2026, 2026kakobuysheetfind, kakobuysheet2026"},"finish_reason":"stop"}],"usage":{"prompt_tokens":645,"completion_tokens":360,"total_tokens":1005}}</t>
        </is>
      </c>
      <c r="P32" t="inlineStr">
        <is>
          <t>The North Face, T-Shirts, kakobuy, kakebuy2026, kekobuysheet, kakobuysheet2026, 2026kakobuy, kakobuyspreadsheeet, kakobuylink, kakebuylist, Kakobuy MEGA Spreadsheet, kakobuysheetfind, kakobuysheetfind2026, 2026kakobuysheetfind, kakobuysheet2026</t>
        </is>
      </c>
      <c r="Q32"/>
      <c r="R32" t="inlineStr">
        <is>
          <t>recvkkO0ns8k3C</t>
        </is>
      </c>
      <c r="S32" t="inlineStr">
        <is>
          <t>north-face-black-cotton-logo-tee-recvkkO0ns8k3C</t>
        </is>
      </c>
      <c r="T32"/>
      <c r="U32"/>
      <c r="V32"/>
      <c r="W32" t="inlineStr">
        <is>
          <t>{"id":"resp_05c1f228060a677a016a110c0065648194a185da2d16422ca5","object":"chat.completion","created":1779502083,"model":"gpt-5.5","choices":[{"index":0,"message":{"role":"assistant","content":"北面 The North Face 黑色短袖T恤，纯棉透气面料，胸前白色Logo刺绣，简约户外休闲风，男女通用潮流上衣"},"finish_reason":"stop"}],"usage":{"prompt_tokens":1173,"completion_tokens":130,"total_tokens":1303}}</t>
        </is>
      </c>
      <c r="X32" t="inlineStr">
        <is>
          <t>北面 The North Face 黑色短袖T恤，纯棉透气面料，胸前白色Logo刺绣，简约户外休闲风，男女通用潮流上衣</t>
        </is>
      </c>
    </row>
    <row r="33" ht="25.5" customHeight="1">
      <c r="A33">
        <v>1839115443</v>
      </c>
      <c r="B33">
        <v>7770109801</v>
      </c>
      <c r="C33" s="2" t="str">
        <f>=HYPERLINK("https://weidian.com/item.html?itemID=7770109801", "https://weidian.com/item.html?itemID=7770109801")</f>
        <v>https://weidian.com/item.html?itemID=7770109801</v>
      </c>
      <c r="D33"/>
      <c r="E33" s="2" t="str">
        <f>=HYPERLINK("https://si.geilicdn.com/open1839115443-252808396-5bd30000019e4e9b33fc0aa08239_800_800.jpg?w=750&amp;h=750&amp;cp=1", "https://si.geilicdn.com/open1839115443-252808396-5bd30000019e4e9b33fc0aa08239_800_800.jpg?w=750&amp;h=750&amp;cp=1")</f>
        <v>https://si.geilicdn.com/open1839115443-252808396-5bd30000019e4e9b33fc0aa08239_800_800.jpg?w=750&amp;h=750&amp;cp=1</v>
      </c>
      <c r="F33" t="inlineStr">
        <is>
          <t>Hoodies</t>
        </is>
      </c>
      <c r="G33" t="inlineStr">
        <is>
          <t>Other</t>
        </is>
      </c>
      <c r="H33">
        <v>91</v>
      </c>
      <c r="I33">
        <v>13.19</v>
      </c>
      <c r="J33" t="inlineStr">
        <is>
          <t>{"id":"resp_07a31f3ee92d7c9f016a11134cb7108192b2ddd0dec4ba52cb","object":"chat.completion","created":1779503952,"model":"gpt-5.5","choices":[{"index":0,"message":{"role":"assistant","content":"Women's Burgundy Heartbeat Hoodie Jogger Fleece Set"},"finish_reason":"stop"}],"usage":{"prompt_tokens":947,"completion_tokens":163,"total_tokens":1110}}</t>
        </is>
      </c>
      <c r="K33" t="inlineStr">
        <is>
          <t>Women's Burgundy Heartbeat Hoodie Jogger Fleece Set</t>
        </is>
      </c>
      <c r="L33" t="inlineStr">
        <is>
          <t>{"id":"resp_0fa7d27ce84ed697016a110f0ddc1881a1a38bf5dcecd57d49","object":"chat.completion","created":1779502865,"model":"gpt-5.5","choices":[{"index":0,"message":{"role":"assistant","content":"HoodiesOther Women's Burgundy Heartbeat Heart Print Fleece Hoodie &amp; Jogger Set, soft cotton blend drawstring pullover with kangaroo pocket, casual streetwear tracksuit"},"finish_reason":"stop"}],"usage":{"prompt_tokens":963,"completion_tokens":158,"total_tokens":1121}}</t>
        </is>
      </c>
      <c r="M33" t="inlineStr">
        <is>
          <t>{"alt-svc":"h3=\":443\"; ma=2592000","connection":"close","content-length":"467","content-type":"application/json; charset=utf-8","date":"Sat, 23 May 2026 02:21:05 GMT","referrer-policy":"strict-origin-when-cross-origin","server":"nginx/1.24.0 (Ubuntu)","strict-transport-security":"max-age=31536000; includeSubDomains; preload","vary":"Accept-Encoding","via":"1.1 Caddy","x-content-type-options":"nosniff","x-frame-options":"DENY","x-new-api-version":"v1.0.0-rc.2","x-oneapi-request-id":"202605230221015447853008268d9d6ctTL9Hyq","x-request-id":"83d35484-800a-477a-91fa-e6082b4da949"}</t>
        </is>
      </c>
      <c r="N33" t="inlineStr">
        <is>
          <t>HoodiesOther Women's Burgundy Heartbeat Heart Print Fleece Hoodie &amp; Jogger Set, soft cotton blend drawstring pullover with kangaroo pocket, casual streetwear tracksuit</t>
        </is>
      </c>
      <c r="O33" t="inlineStr">
        <is>
          <t>{"id":"resp_003a8bbae124534b016a1114d4a15081a282f624e21d270709","object":"chat.completion","created":1779504346,"model":"gpt-5.5","choices":[{"index":0,"message":{"role":"assistant","content":"Other Hoodies kakobuy, Other Hoodies kakebuy2026, Other Hoodies kekobuysheet, Other Hoodies kakobuysheet2026, Other Hoodies 2026kakobuy, Other Hoodies kakobuyspreadsheeet, Other Hoodies kakobuylink, Other Hoodies kakebuylist, Other Hoodies Kakobuy MEGA Spreadsheet, Other Hoodies kakobuysheetfind, Other Hoodies kakobuysheetfind2026, Other Hoodies 2026kakobuysheetfind, Other Hoodies kakobuysheet2026"},"finish_reason":"stop"}],"usage":{"prompt_tokens":855,"completion_tokens":260,"total_tokens":1115}}</t>
        </is>
      </c>
      <c r="P33" t="inlineStr">
        <is>
          <t>Other Hoodies kakobuy, Other Hoodies kakebuy2026, Other Hoodies kekobuysheet, Other Hoodies kakobuysheet2026, Other Hoodies 2026kakobuy, Other Hoodies kakobuyspreadsheeet, Other Hoodies kakobuylink, Other Hoodies kakebuylist, Other Hoodies Kakobuy MEGA Spreadsheet, Other Hoodies kakobuysheetfind, Other Hoodies kakobuysheetfind2026, Other Hoodies 2026kakobuysheetfind, Other Hoodies kakobuysheet2026</t>
        </is>
      </c>
      <c r="Q33" t="inlineStr">
        <is>
          <t>Women, Burgundy, Streetwear, Fleece-Lined, Joggers</t>
        </is>
      </c>
      <c r="R33" t="inlineStr">
        <is>
          <t>recvkkO0nsy8du</t>
        </is>
      </c>
      <c r="S33" t="inlineStr">
        <is>
          <t>women-burgundy-heartbeat-hoodie-jogger-fleece-set-recvkkO0nsy8du</t>
        </is>
      </c>
      <c r="T33"/>
      <c r="U33"/>
      <c r="V33"/>
      <c r="W33" t="inlineStr">
        <is>
          <t>{"id":"resp_02f73ab5f2649bcb016a110b9d6e708193b02ea44f83f248ab","object":"chat.completion","created":1779501984,"model":"gpt-5.5","choices":[{"index":0,"message":{"role":"assistant","content":"酒红色爱心心电图印花连帽卫衣套装，柔软棉混纺加绒，抽绳袋鼠兜设计，女士休闲运动街头风长裤两件套"},"finish_reason":"stop"}],"usage":{"prompt_tokens":1383,"completion_tokens":113,"total_tokens":1496}}</t>
        </is>
      </c>
      <c r="X33" t="inlineStr">
        <is>
          <t>酒红色爱心心电图印花连帽卫衣套装，柔软棉混纺加绒，抽绳袋鼠兜设计，女士休闲运动街头风长裤两件套</t>
        </is>
      </c>
    </row>
    <row r="34" ht="25.5" customHeight="1">
      <c r="A34">
        <v>1839115443</v>
      </c>
      <c r="B34">
        <v>7773072406</v>
      </c>
      <c r="C34" s="2" t="str">
        <f>=HYPERLINK("https://weidian.com/item.html?itemID=7773072406", "https://weidian.com/item.html?itemID=7773072406")</f>
        <v>https://weidian.com/item.html?itemID=7773072406</v>
      </c>
      <c r="D34"/>
      <c r="E34" s="2" t="str">
        <f>=HYPERLINK("https://si.geilicdn.com/open1839115443-252808396-561c0000019e4ea2650c0a8133b0_1438_1920.jpg?w=640&amp;h=640", "https://si.geilicdn.com/open1839115443-252808396-561c0000019e4ea2650c0a8133b0_1438_1920.jpg?w=640&amp;h=640")</f>
        <v>https://si.geilicdn.com/open1839115443-252808396-561c0000019e4ea2650c0a8133b0_1438_1920.jpg?w=640&amp;h=640</v>
      </c>
      <c r="F34" t="inlineStr">
        <is>
          <t>T-Shirts</t>
        </is>
      </c>
      <c r="G34" t="inlineStr">
        <is>
          <t>Essentials</t>
        </is>
      </c>
      <c r="H34">
        <v>157</v>
      </c>
      <c r="I34">
        <v>22.75</v>
      </c>
      <c r="J34" t="inlineStr">
        <is>
          <t>{"id":"resp_0e075469c5d1e91a016a11137b74e881919557babf06473966","object":"chat.completion","created":1779503999,"model":"gpt-5.5","choices":[{"index":0,"message":{"role":"assistant","content":"Essentials Fear of God Gray Long Sleeve Logo T-Shirt"},"finish_reason":"stop"}],"usage":{"prompt_tokens":889,"completion_tokens":158,"total_tokens":1047}}</t>
        </is>
      </c>
      <c r="K34" t="inlineStr">
        <is>
          <t>Essentials Fear of God Gray Long Sleeve Logo T-Shirt</t>
        </is>
      </c>
      <c r="L34" t="inlineStr">
        <is>
          <t>{"id":"resp_08edeaa2782fabdb016a110f867a8881a19d78fa42bd918c7d","object":"chat.completion","created":1779502984,"model":"gpt-5.5","choices":[{"index":0,"message":{"role":"assistant","content":"Essentials Fear of God gray long sleeve T-shirt, soft cotton, black back logo print, relaxed drop shoulder unisex streetwear top."},"finish_reason":"stop"}],"usage":{"prompt_tokens":915,"completion_tokens":84,"total_tokens":999}}</t>
        </is>
      </c>
      <c r="M34" t="inlineStr">
        <is>
          <t>{"alt-svc":"h3=\":443\"; ma=2592000","connection":"close","content-length":"422","content-type":"application/json; charset=utf-8","date":"Sat, 23 May 2026 02:23:04 GMT","referrer-policy":"strict-origin-when-cross-origin","server":"Caddy","strict-transport-security":"max-age=31536000; includeSubDomains; preload","vary":"Accept-Encoding","x-content-type-options":"nosniff","x-frame-options":"DENY","x-new-api-version":"v1.0.0-rc.2","x-oneapi-request-id":"202605230223021759160648268d9d6utxiN6ue","x-request-id":"b9e54d69-4e73-40e7-a3b1-f67e71171250"}</t>
        </is>
      </c>
      <c r="N34" t="inlineStr">
        <is>
          <t>Essentials Fear of God gray long sleeve T-shirt, soft cotton, black back logo print, relaxed drop shoulder unisex streetwear top.</t>
        </is>
      </c>
      <c r="O34" t="inlineStr">
        <is>
          <t>{"id":"resp_0d733b72c7c9a835016a1114aa0d14819d961eee8bf74810aa","object":"chat.completion","created":1779504306,"model":"gpt-5.5","choices":[{"index":0,"message":{"role":"assistant","content":"Essentials T-Shirts kakobuy, Essentials T-Shirts kakebuy2026, Essentials T-Shirts kekobuysheet, Essentials T-Shirts kakobuysheet2026, Essentials T-Shirts 2026kakobuy, Essentials T-Shirts kakobuyspreadsheeet, Essentials T-Shirts kakobuylink, Essentials T-Shirts kakebuylist, Essentials T-Shirts Kakobuy MEGA Spreadsheet, Essentials T-Shirts kakobuysheetfind, Essentials T-Shirts kakobuysheetfind2026, Essentials T-Shirts 2026kakobuysheetfind, Essentials T-Shirts kakobuysheet2026"},"finish_reason":"stop"}],"usage":{"prompt_tokens":812,"completion_tokens":417,"total_tokens":1229}}</t>
        </is>
      </c>
      <c r="P34" t="inlineStr">
        <is>
          <t>Essentials T-Shirts kakobuy, Essentials T-Shirts kakebuy2026, Essentials T-Shirts kekobuysheet, Essentials T-Shirts kakobuysheet2026, Essentials T-Shirts 2026kakobuy, Essentials T-Shirts kakobuyspreadsheeet, Essentials T-Shirts kakobuylink, Essentials T-Shirts kakebuylist, Essentials T-Shirts Kakobuy MEGA Spreadsheet, Essentials T-Shirts kakobuysheetfind, Essentials T-Shirts kakobuysheetfind2026, Essentials T-Shirts 2026kakobuysheetfind, Essentials T-Shirts kakobuysheet2026</t>
        </is>
      </c>
      <c r="Q34" t="inlineStr">
        <is>
          <t>Gray, Unisex, Streetwear</t>
        </is>
      </c>
      <c r="R34" t="inlineStr">
        <is>
          <t>recvkkO0nsXjiz</t>
        </is>
      </c>
      <c r="S34" t="inlineStr">
        <is>
          <t>fear-of-god-gray-long-sleeve-logo-t-shirt-recvkkO0nsXjiz</t>
        </is>
      </c>
      <c r="T34"/>
      <c r="U34"/>
      <c r="V34"/>
      <c r="W34" t="inlineStr">
        <is>
          <t>{"id":"resp_0c29bf507b7a2a04016a110b643e1c819195abff09648c2845","object":"chat.completion","created":1779501928,"model":"gpt-5.5","choices":[{"index":0,"message":{"role":"assistant","content":"灰色 Essentials Fear of God 长袖T恤，棉质舒适面料，背部黑色字母Logo印花，宽松落肩设计，男女同款街头休闲上衣"},"finish_reason":"stop"}],"usage":{"prompt_tokens":1339,"completion_tokens":143,"total_tokens":1482}}</t>
        </is>
      </c>
      <c r="X34" t="inlineStr">
        <is>
          <t>灰色 Essentials Fear of God 长袖T恤，棉质舒适面料，背部黑色字母Logo印花，宽松落肩设计，男女同款街头休闲上衣</t>
        </is>
      </c>
    </row>
    <row r="35" ht="25.5" customHeight="1">
      <c r="A35">
        <v>1839115443</v>
      </c>
      <c r="B35">
        <v>7773011406</v>
      </c>
      <c r="C35" s="2" t="str">
        <f>=HYPERLINK("https://weidian.com/item.html?itemID=7773011406", "https://weidian.com/item.html?itemID=7773011406")</f>
        <v>https://weidian.com/item.html?itemID=7773011406</v>
      </c>
      <c r="D35"/>
      <c r="E35" s="2" t="str">
        <f>=HYPERLINK("https://si.geilicdn.com/open1839115443-252808396-7b720000019e4ea20bdc0a22d249_1920_1920.jpg?w=750&amp;h=750&amp;cp=1", "https://si.geilicdn.com/open1839115443-252808396-7b720000019e4ea20bdc0a22d249_1920_1920.jpg?w=750&amp;h=750&amp;cp=1")</f>
        <v>https://si.geilicdn.com/open1839115443-252808396-7b720000019e4ea20bdc0a22d249_1920_1920.jpg?w=750&amp;h=750&amp;cp=1</v>
      </c>
      <c r="F35" t="inlineStr">
        <is>
          <t>T-Shirts</t>
        </is>
      </c>
      <c r="G35" t="inlineStr">
        <is>
          <t>Stone Island</t>
        </is>
      </c>
      <c r="H35">
        <v>123</v>
      </c>
      <c r="I35">
        <v>17.83</v>
      </c>
      <c r="J35" t="inlineStr">
        <is>
          <t>{"id":"resp_0bb3100b58949a81016a1113943e7c8195a0144e964918a0ff","object":"chat.completion","created":1779504024,"model":"gpt-5.5","choices":[{"index":0,"message":{"role":"assistant","content":"Stone Island Dark Gray Washed Compass Back T-Shirt"},"finish_reason":"stop"}],"usage":{"prompt_tokens":929,"completion_tokens":164,"total_tokens":1093}}</t>
        </is>
      </c>
      <c r="K35" t="inlineStr">
        <is>
          <t>Stone Island Dark Gray Washed Compass Back T-Shirt</t>
        </is>
      </c>
      <c r="L35" t="inlineStr">
        <is>
          <t>{"id":"resp_07b12420d24d0071016a110ef9d6048191a78250540046934f","object":"chat.completion","created":1779502844,"model":"gpt-5.5","choices":[{"index":0,"message":{"role":"assistant","content":"Stone Island dark gray washed cotton short sleeve T-shirt, back compass logo print, oversized streetwear fit, unisex summer casual tee"},"finish_reason":"stop"}],"usage":{"prompt_tokens":958,"completion_tokens":118,"total_tokens":1076}}</t>
        </is>
      </c>
      <c r="M35" t="inlineStr">
        <is>
          <t>{"alt-svc":"h3=\":443\"; ma=2592000","connection":"close","content-length":"429","content-type":"application/json; charset=utf-8","date":"Sat, 23 May 2026 02:20:44 GMT","referrer-policy":"strict-origin-when-cross-origin","server":"Caddy","strict-transport-security":"max-age=31536000; includeSubDomains; preload","vary":"Accept-Encoding","x-content-type-options":"nosniff","x-frame-options":"DENY","x-new-api-version":"v1.0.0-rc.2","x-oneapi-request-id":"202605230220415153100048268d9d6744Q6yzs","x-request-id":"9e55dbb6-b00b-4cdf-81cf-2196290bc00a"}</t>
        </is>
      </c>
      <c r="N35" t="inlineStr">
        <is>
          <t>Stone Island dark gray washed cotton short sleeve T-shirt, back compass logo print, oversized streetwear fit, unisex summer casual tee</t>
        </is>
      </c>
      <c r="O35" t="inlineStr">
        <is>
          <t>{"id":"resp_0ff36d4b47689483016a1114b1c8c8819eb54373a4f3f10091","object":"chat.completion","created":1779504311,"model":"gpt-5.5","choices":[{"index":0,"message":{"role":"assistant","content":"Stone Island T-Shirts kakobuy, Stone Island T-Shirts kakebuy2026, Stone Island T-Shirts kekobuysheet, Stone Island T-Shirts kakobuysheet2026, Stone Island T-Shirts 2026kakobuy, Stone Island T-Shirts kakobuyspreadsheeet, Stone Island T-Shirts kakobuylink, Stone Island T-Shirts kakebuylist, Stone Island T-Shirts Kakobuy MEGA Spreadsheet, Stone Island T-Shirts kakobuysheetfind, Stone Island T-Shirts kakobuysheetfind2026, Stone Island T-Shirts 2026kakobuysheetfind, Stone Island T-Shirts kakobuysheet2026"},"finish_reason":"stop"}],"usage":{"prompt_tokens":855,"completion_tokens":286,"total_tokens":1141}}</t>
        </is>
      </c>
      <c r="P35" t="inlineStr">
        <is>
          <t>Stone Island T-Shirts kakobuy, Stone Island T-Shirts kakebuy2026, Stone Island T-Shirts kekobuysheet, Stone Island T-Shirts kakobuysheet2026, Stone Island T-Shirts 2026kakobuy, Stone Island T-Shirts kakobuyspreadsheeet, Stone Island T-Shirts kakobuylink, Stone Island T-Shirts kakebuylist, Stone Island T-Shirts Kakobuy MEGA Spreadsheet, Stone Island T-Shirts kakobuysheetfind, Stone Island T-Shirts kakobuysheetfind2026, Stone Island T-Shirts 2026kakobuysheetfind, Stone Island T-Shirts kakobuysheet2026</t>
        </is>
      </c>
      <c r="Q35" t="inlineStr">
        <is>
          <t>Dark Grey, Streetwear, Summer, Unisex</t>
        </is>
      </c>
      <c r="R35" t="inlineStr">
        <is>
          <t>recvkkO0nsbB3x</t>
        </is>
      </c>
      <c r="S35" t="inlineStr">
        <is>
          <t>stone-island-dark-gray-washed-compass-back-t-shirt-recvkkO0nsbB3x</t>
        </is>
      </c>
      <c r="T35"/>
      <c r="U35"/>
      <c r="V35"/>
      <c r="W35" t="inlineStr">
        <is>
          <t>{"id":"resp_0f14536ccc1107f6016a110c15b310819684fd510eb9f358a6","object":"chat.completion","created":1779502112,"model":"gpt-5.5","choices":[{"index":0,"message":{"role":"assistant","content":"石头岛 Stone Island 深灰色水洗纯棉短袖T恤，背面罗盘Logo印花，宽松街头休闲风，男女同款夏季上衣"},"finish_reason":"stop"}],"usage":{"prompt_tokens":1388,"completion_tokens":177,"total_tokens":1565}}</t>
        </is>
      </c>
      <c r="X35" t="inlineStr">
        <is>
          <t>石头岛 Stone Island 深灰色水洗纯棉短袖T恤，背面罗盘Logo印花，宽松街头休闲风，男女同款夏季上衣</t>
        </is>
      </c>
    </row>
    <row r="36" ht="25.5" customHeight="1">
      <c r="A36">
        <v>1839115443</v>
      </c>
      <c r="B36">
        <v>7770027405</v>
      </c>
      <c r="C36" s="2" t="str">
        <f>=HYPERLINK("https://weidian.com/item.html?itemID=7770027405", "https://weidian.com/item.html?itemID=7770027405")</f>
        <v>https://weidian.com/item.html?itemID=7770027405</v>
      </c>
      <c r="D36"/>
      <c r="E36" s="2" t="str">
        <f>=HYPERLINK("https://si.geilicdn.com/open1839115443-252808396-7e580000019e4ea675a60a231226_1280_1280.jpg?w=750&amp;h=750&amp;cp=1", "https://si.geilicdn.com/open1839115443-252808396-7e580000019e4ea675a60a231226_1280_1280.jpg?w=750&amp;h=750&amp;cp=1")</f>
        <v>https://si.geilicdn.com/open1839115443-252808396-7e580000019e4ea675a60a231226_1280_1280.jpg?w=750&amp;h=750&amp;cp=1</v>
      </c>
      <c r="F36" t="inlineStr">
        <is>
          <t>T-Shirts</t>
        </is>
      </c>
      <c r="G36" t="inlineStr">
        <is>
          <t>Chrome Hearts</t>
        </is>
      </c>
      <c r="H36">
        <v>147</v>
      </c>
      <c r="I36">
        <v>21.3</v>
      </c>
      <c r="J36" t="inlineStr">
        <is>
          <t>{"id":"resp_05ba3a0542170464016a1113222e80819e99b01877811edd00","object":"chat.completion","created":1779503909,"model":"gpt-5.5","choices":[{"index":0,"message":{"role":"assistant","content":"Chrome Hearts White Pink Cross Gothic Logo T-Shirt"},"finish_reason":"stop"}],"usage":{"prompt_tokens":929,"completion_tokens":123,"total_tokens":1052}}</t>
        </is>
      </c>
      <c r="K36" t="inlineStr">
        <is>
          <t>Chrome Hearts White Pink Cross Gothic Logo T-Shirt</t>
        </is>
      </c>
      <c r="L36" t="inlineStr">
        <is>
          <t>{"id":"resp_0c302b8737fc49ef016a110ef9fc9881a3860cbfb676e24c03","object":"chat.completion","created":1779502845,"model":"gpt-5.5","choices":[{"index":0,"message":{"role":"assistant","content":"Chrome Hearts white short sleeve T-shirt, pink cross graphic and Gothic logo print, cotton unisex streetwear tee for casual fashion outfits"},"finish_reason":"stop"}],"usage":{"prompt_tokens":955,"completion_tokens":122,"total_tokens":1077}}</t>
        </is>
      </c>
      <c r="M36" t="inlineStr">
        <is>
          <t>{"alt-svc":"h3=\":443\"; ma=2592000","connection":"close","content-length":"434","content-type":"application/json; charset=utf-8","date":"Sat, 23 May 2026 02:20:45 GMT","referrer-policy":"strict-origin-when-cross-origin","server":"nginx/1.24.0 (Ubuntu)","strict-transport-security":"max-age=31536000; includeSubDomains; preload","vary":"Accept-Encoding","via":"1.1 Caddy","x-content-type-options":"nosniff","x-frame-options":"DENY","x-new-api-version":"v1.0.0-rc.2","x-oneapi-request-id":"202605230220416634631838268d9d6LSrtblzz","x-request-id":"29a9dc0a-51c5-4332-bbaf-d2a10ee7846c"}</t>
        </is>
      </c>
      <c r="N36" t="inlineStr">
        <is>
          <t>Chrome Hearts white short sleeve T-shirt, pink cross graphic and Gothic logo print, cotton unisex streetwear tee for casual fashion outfits</t>
        </is>
      </c>
      <c r="O36" t="inlineStr">
        <is>
          <t>{"id":"resp_059a49132ae5ff14016a11147b5c9c819eb8ba6d2eb953c345","object":"chat.completion","created":1779504256,"model":"gpt-5.5","choices":[{"index":0,"message":{"role":"assistant","content":"Chrome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kakobuysheet2026"},"finish_reason":"stop"}],"usage":{"prompt_tokens":855,"completion_tokens":239,"total_tokens":1094}}</t>
        </is>
      </c>
      <c r="P36" t="inlineStr">
        <is>
          <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t>
        </is>
      </c>
      <c r="Q36" t="inlineStr">
        <is>
          <t>White, Unisex, Streetwear, Fashion</t>
        </is>
      </c>
      <c r="R36" t="inlineStr">
        <is>
          <t>recvkkO0nsoehn</t>
        </is>
      </c>
      <c r="S36" t="inlineStr">
        <is>
          <t>chrome-hearts-white-pink-cross-gothic-logo-tshirt-recvkkO0nsoehn</t>
        </is>
      </c>
      <c r="T36"/>
      <c r="U36"/>
      <c r="V36"/>
      <c r="W36" t="inlineStr">
        <is>
          <t>{"id":"resp_0a9369489151900a016a110ba2034c8193ac9fba962db2c85e","object":"chat.completion","created":1779501990,"model":"gpt-5.5","choices":[{"index":0,"message":{"role":"assistant","content":"克罗心Chrome Hearts 白色短袖T恤，粉色十字图腾与哥特Logo印花，纯棉休闲街头风男女同款潮牌上衣"},"finish_reason":"stop"}],"usage":{"prompt_tokens":1384,"completion_tokens":188,"total_tokens":1572}}</t>
        </is>
      </c>
      <c r="X36" t="inlineStr">
        <is>
          <t>克罗心Chrome Hearts 白色短袖T恤，粉色十字图腾与哥特Logo印花，纯棉休闲街头风男女同款潮牌上衣</t>
        </is>
      </c>
    </row>
    <row r="37" ht="25.5" customHeight="1">
      <c r="A37">
        <v>1839115443</v>
      </c>
      <c r="B37">
        <v>7773119982</v>
      </c>
      <c r="C37" s="2" t="str">
        <f>=HYPERLINK("https://weidian.com/item.html?itemID=7773119982", "https://weidian.com/item.html?itemID=7773119982")</f>
        <v>https://weidian.com/item.html?itemID=7773119982</v>
      </c>
      <c r="D37"/>
      <c r="E37" s="2" t="str">
        <f>=HYPERLINK("https://si.geilicdn.com/open1839115443-252808396-63e80000019e4ea66fbc0a8133b0_800_800.jpg?w=750&amp;h=750&amp;cp=1", "https://si.geilicdn.com/open1839115443-252808396-63e80000019e4ea66fbc0a8133b0_800_800.jpg?w=750&amp;h=750&amp;cp=1")</f>
        <v>https://si.geilicdn.com/open1839115443-252808396-63e80000019e4ea66fbc0a8133b0_800_800.jpg?w=750&amp;h=750&amp;cp=1</v>
      </c>
      <c r="F37" t="inlineStr">
        <is>
          <t>Pants</t>
        </is>
      </c>
      <c r="G37" t="inlineStr">
        <is>
          <t>Air Jordan</t>
        </is>
      </c>
      <c r="H37">
        <v>67</v>
      </c>
      <c r="I37">
        <v>9.71</v>
      </c>
      <c r="J37" t="inlineStr">
        <is>
          <t>{"id":"resp_0628edcea9aa1075016a1112cbe60881969e38555c78d7b622","object":"chat.completion","created":1779503822,"model":"gpt-5.5","choices":[{"index":0,"message":{"role":"assistant","content":"Air Jordan Jumpman Grey Fleece Jogger Sweatpants"},"finish_reason":"stop"}],"usage":{"prompt_tokens":945,"completion_tokens":113,"total_tokens":1058}}</t>
        </is>
      </c>
      <c r="K37" t="inlineStr">
        <is>
          <t>Air Jordan Jumpman Grey Fleece Jogger Sweatpants</t>
        </is>
      </c>
      <c r="L37" t="inlineStr">
        <is>
          <t>{"id":"resp_01d2dd8ee9ec6512016a110ef727a08190812783fe6b8cd7f6","object":"chat.completion","created":1779502843,"model":"gpt-5.5","choices":[{"index":0,"message":{"role":"assistant","content":"Air Jordan grey fleece jogger sweatpants, cotton blend, drawstring elastic waist, side pockets, Jumpman logo, Jordan leg print, unisex casual streetwear pants"},"finish_reason":"stop"}],"usage":{"prompt_tokens":966,"completion_tokens":125,"total_tokens":1091}}</t>
        </is>
      </c>
      <c r="M37" t="inlineStr">
        <is>
          <t>{"alt-svc":"h3=\":443\"; ma=2592000","connection":"close","content-length":"453","content-type":"application/json; charset=utf-8","date":"Sat, 23 May 2026 02:20:43 GMT","referrer-policy":"strict-origin-when-cross-origin","server":"nginx/1.24.0 (Ubuntu)","strict-transport-security":"max-age=31536000; includeSubDomains; preload","vary":"Accept-Encoding","via":"1.1 Caddy","x-content-type-options":"nosniff","x-frame-options":"DENY","x-new-api-version":"v1.0.0-rc.2","x-oneapi-request-id":"202605230220387662832258268d9d65pTwTwEJ","x-request-id":"cda47a68-8247-4178-ae99-125cb904306f"}</t>
        </is>
      </c>
      <c r="N37" t="inlineStr">
        <is>
          <t>Air Jordan grey fleece jogger sweatpants, cotton blend, drawstring elastic waist, side pockets, Jumpman logo, Jordan leg print, unisex casual streetwear pants</t>
        </is>
      </c>
      <c r="O37" t="inlineStr">
        <is>
          <t>{"id":"resp_0c1c7fb994d7a3e7016a1114ab2788819db78cf7140ad945a6","object":"chat.completion","created":1779504304,"model":"gpt-5.5","choices":[{"index":0,"message":{"role":"assistant","content":"Air Jordan Pants kakobuy, Air Jordan Pants kakebuy2026, Air Jordan Pants kekobuysheet, Air Jordan Pants kakobuysheet2026, Air Jordan Pants 2026kakobuy, Air Jordan Pants kakobuyspreadsheeet, Air Jordan Pants kakobuylink, Air Jordan Pants kakebuylist, Air Jordan Pants Kakobuy MEGA Spreadsheet, Air Jordan Pants kakobuysheetfind, Air Jordan Pants kakobuysheetfind2026, Air Jordan Pants 2026kakobuysheetfind, Air Jordan Pants kakobuysheet2026"},"finish_reason":"stop"}],"usage":{"prompt_tokens":855,"completion_tokens":252,"total_tokens":1107}}</t>
        </is>
      </c>
      <c r="P37" t="inlineStr">
        <is>
          <t>Air Jordan Pants kakobuy, Air Jordan Pants kakebuy2026, Air Jordan Pants kekobuysheet, Air Jordan Pants kakobuysheet2026, Air Jordan Pants 2026kakobuy, Air Jordan Pants kakobuyspreadsheeet, Air Jordan Pants kakobuylink, Air Jordan Pants kakebuylist, Air Jordan Pants Kakobuy MEGA Spreadsheet, Air Jordan Pants kakobuysheetfind, Air Jordan Pants kakobuysheetfind2026, Air Jordan Pants 2026kakobuysheetfind, Air Jordan Pants kakobuysheet2026</t>
        </is>
      </c>
      <c r="Q37" t="inlineStr">
        <is>
          <t>Jordan, Grey, Streetwear, Unisex, Joggers</t>
        </is>
      </c>
      <c r="R37" t="inlineStr">
        <is>
          <t>recvkkO0nsib04</t>
        </is>
      </c>
      <c r="S37" t="inlineStr">
        <is>
          <t>air-jordan-jumpman-grey-fleece-jogger-recvkkO0nsib04</t>
        </is>
      </c>
      <c r="T37"/>
      <c r="U37"/>
      <c r="V37"/>
      <c r="W37" t="inlineStr">
        <is>
          <t>{"id":"resp_074f9ec1a5311b10016a110b64854c8194a21955079cf3cb69","object":"chat.completion","created":1779501928,"model":"gpt-5.5","choices":[{"index":0,"message":{"role":"assistant","content":"乔丹Air Jordan灰色束脚运动裤，棉质抓绒面料，抽绳松紧腰与侧袋设计，Jumpman标识搭配裤腿字母印花，男女休闲街头卫裤"},"finish_reason":"stop"}],"usage":{"prompt_tokens":1386,"completion_tokens":139,"total_tokens":1525}}</t>
        </is>
      </c>
      <c r="X37" t="inlineStr">
        <is>
          <t>乔丹Air Jordan灰色束脚运动裤，棉质抓绒面料，抽绳松紧腰与侧袋设计，Jumpman标识搭配裤腿字母印花，男女休闲街头卫裤</t>
        </is>
      </c>
    </row>
    <row r="38" ht="25.5" customHeight="1">
      <c r="A38">
        <v>1839115443</v>
      </c>
      <c r="B38">
        <v>7773056480</v>
      </c>
      <c r="C38" s="2" t="str">
        <f>=HYPERLINK("https://weidian.com/item.html?itemID=7773056480", "https://weidian.com/item.html?itemID=7773056480")</f>
        <v>https://weidian.com/item.html?itemID=7773056480</v>
      </c>
      <c r="D38"/>
      <c r="E38" s="2" t="str">
        <f>=HYPERLINK("https://si.geilicdn.com/open1839115443-252808396-04e40000019e4ea67bf90a23b4de_790_790.jpg?w=640&amp;h=640", "https://si.geilicdn.com/open1839115443-252808396-04e40000019e4ea67bf90a23b4de_790_790.jpg?w=640&amp;h=640")</f>
        <v>https://si.geilicdn.com/open1839115443-252808396-04e40000019e4ea67bf90a23b4de_790_790.jpg?w=640&amp;h=640</v>
      </c>
      <c r="F38" t="inlineStr">
        <is>
          <t>Shorts</t>
        </is>
      </c>
      <c r="G38" t="inlineStr">
        <is>
          <t>Ralph Lauren</t>
        </is>
      </c>
      <c r="H38">
        <v>89</v>
      </c>
      <c r="I38">
        <v>12.9</v>
      </c>
      <c r="J38" t="inlineStr">
        <is>
          <t>{"id":"resp_01057da28f5dcf00016a111328f844819e8ddd769ad676394c","object":"chat.completion","created":1779503918,"model":"gpt-5.5","choices":[{"index":0,"message":{"role":"assistant","content":"Ralph Lauren White Cotton Terry Drawstring Shorts Pony Logo"},"finish_reason":"stop"}],"usage":{"prompt_tokens":727,"completion_tokens":267,"total_tokens":994}}</t>
        </is>
      </c>
      <c r="K38" t="inlineStr">
        <is>
          <t>Ralph Lauren White Cotton Terry Drawstring Shorts Pony Logo</t>
        </is>
      </c>
      <c r="L38" t="inlineStr">
        <is>
          <t>{"id":"resp_0264e621a4c7d400016a110ee287688190af53dd1164dda1e3","object":"chat.completion","created":1779502822,"model":"gpt-5.5","choices":[{"index":0,"message":{"role":"assistant","content":"Ralph Lauren white drawstring cotton terry shorts, elastic waist, side pockets, Polo pony embroidery, unisex summer athletic streetwear knee-length shorts"},"finish_reason":"stop"}],"usage":{"prompt_tokens":751,"completion_tokens":144,"total_tokens":895}}</t>
        </is>
      </c>
      <c r="M38" t="inlineStr">
        <is>
          <t>{"alt-svc":"h3=\":443\"; ma=2592000","connection":"close","content-length":"448","content-type":"application/json; charset=utf-8","date":"Sat, 23 May 2026 02:20:22 GMT","referrer-policy":"strict-origin-when-cross-origin","server":"Caddy","strict-transport-security":"max-age=31536000; includeSubDomains; preload","vary":"Accept-Encoding","x-content-type-options":"nosniff","x-frame-options":"DENY","x-new-api-version":"v1.0.0-rc.2","x-oneapi-request-id":"202605230220181967749088268d9d6dlwMwVCb","x-request-id":"05c2b5c8-cd2d-42ca-b26c-6e06832abfd2"}</t>
        </is>
      </c>
      <c r="N38" t="inlineStr">
        <is>
          <t>Ralph Lauren white drawstring cotton terry shorts, elastic waist, side pockets, Polo pony embroidery, unisex summer athletic streetwear knee-length shorts</t>
        </is>
      </c>
      <c r="O38" t="inlineStr">
        <is>
          <t>{"id":"resp_0adf25ebdb360e0e016a11154c2378819483d0e6a84656a47c","object":"chat.completion","created":1779504465,"model":"gpt-5.5","choices":[{"index":0,"message":{"role":"assistant","content":"Ralph Lauren Shorts kakobuy, Ralph Lauren Shorts kakebuy2026, Ralph Lauren Shorts kekobuysheet, Ralph Lauren Shorts kakobuysheet2026, Ralph Lauren Shorts 2026kakobuy, Ralph Lauren Shorts kakobuyspreadsheeet, Ralph Lauren Shorts kakobuylink, Ralph Lauren Shorts kakebuylist, Ralph Lauren Shorts Kakobuy MEGA Spreadsheet, Ralph Lauren Shorts kakobuysheetfind, Ralph Lauren Shorts kakobuysheetfind2026, Ralph Lauren Shorts 2026kakobuysheetfind, Ralph Lauren Shorts kakobuysheet2026"},"finish_reason":"stop"}],"usage":{"prompt_tokens":645,"completion_tokens":252,"total_tokens":897}}</t>
        </is>
      </c>
      <c r="P38" t="inlineStr">
        <is>
          <t>Ralph Lauren Shorts kakobuy, Ralph Lauren Shorts kakebuy2026, Ralph Lauren Shorts kekobuysheet, Ralph Lauren Shorts kakobuysheet2026, Ralph Lauren Shorts 2026kakobuy, Ralph Lauren Shorts kakobuyspreadsheeet, Ralph Lauren Shorts kakobuylink, Ralph Lauren Shorts kakebuylist, Ralph Lauren Shorts Kakobuy MEGA Spreadsheet, Ralph Lauren Shorts kakobuysheetfind, Ralph Lauren Shorts kakobuysheetfind2026, Ralph Lauren Shorts 2026kakobuysheetfind, Ralph Lauren Shorts kakobuysheet2026</t>
        </is>
      </c>
      <c r="Q38" t="inlineStr">
        <is>
          <t>Summer, Athletic, Streetwear, Unisex</t>
        </is>
      </c>
      <c r="R38" t="inlineStr">
        <is>
          <t>recvkkO0nskpz0</t>
        </is>
      </c>
      <c r="S38" t="inlineStr">
        <is>
          <t>ralph-lauren-white-cotton-terry-drawstring-shorts-pony-logo-recvkkO0nskpz0</t>
        </is>
      </c>
      <c r="T38"/>
      <c r="U38"/>
      <c r="V38"/>
      <c r="W38" t="inlineStr">
        <is>
          <t>{"id":"resp_0760914fb2d4620a016a110bbde7508191b12feb02a78f986a","object":"chat.completion","created":1779502018,"model":"gpt-5.5","choices":[{"index":0,"message":{"role":"assistant","content":"拉夫劳伦白色抽绳休闲短裤，棉质毛圈面料，松紧腰双侧口袋，经典Polo小马刺绣，男女同款夏季运动街头风五分裤"},"finish_reason":"stop"}],"usage":{"prompt_tokens":1167,"completion_tokens":136,"total_tokens":1303}}</t>
        </is>
      </c>
      <c r="X38" t="inlineStr">
        <is>
          <t>拉夫劳伦白色抽绳休闲短裤，棉质毛圈面料，松紧腰双侧口袋，经典Polo小马刺绣，男女同款夏季运动街头风五分裤</t>
        </is>
      </c>
    </row>
    <row r="39" ht="25.5" customHeight="1">
      <c r="A39">
        <v>1839115443</v>
      </c>
      <c r="B39">
        <v>7769937297</v>
      </c>
      <c r="C39" s="2" t="str">
        <f>=HYPERLINK("https://weidian.com/item.html?itemID=7769937297", "https://weidian.com/item.html?itemID=7769937297")</f>
        <v>https://weidian.com/item.html?itemID=7769937297</v>
      </c>
      <c r="D39"/>
      <c r="E39" s="2" t="str">
        <f>=HYPERLINK("https://si.geilicdn.com/open1839115443-252808396-22f40000019e4e7fdb590a8133b0_1430_1430.jpg?w=750&amp;h=750&amp;cp=1", "https://si.geilicdn.com/open1839115443-252808396-22f40000019e4e7fdb590a8133b0_1430_1430.jpg?w=750&amp;h=750&amp;cp=1")</f>
        <v>https://si.geilicdn.com/open1839115443-252808396-22f40000019e4e7fdb590a8133b0_1430_1430.jpg?w=750&amp;h=750&amp;cp=1</v>
      </c>
      <c r="F39" t="inlineStr">
        <is>
          <t>Hoodies</t>
        </is>
      </c>
      <c r="G39" t="inlineStr">
        <is>
          <t>Eric Emanuel</t>
        </is>
      </c>
      <c r="H39">
        <v>65</v>
      </c>
      <c r="I39">
        <v>9.42</v>
      </c>
      <c r="J39" t="inlineStr">
        <is>
          <t>{"id":"resp_0d89ae6fd48cbc29016a1112e750b481978698dbfb99285548","object":"chat.completion","created":1779503850,"model":"gpt-5.5","choices":[{"index":0,"message":{"role":"assistant","content":"Eric Emanuel Black EE Embroidered Fleece Hoodie"},"finish_reason":"stop"}],"usage":{"prompt_tokens":933,"completion_tokens":124,"total_tokens":1057}}</t>
        </is>
      </c>
      <c r="K39" t="inlineStr">
        <is>
          <t>Eric Emanuel Black EE Embroidered Fleece Hoodie</t>
        </is>
      </c>
      <c r="L39" t="inlineStr">
        <is>
          <t>{"id":"resp_02f1232faccec91b016a110f06e9648197bebc85809f3cea83","object":"chat.completion","created":1779502858,"model":"gpt-5.5","choices":[{"index":0,"message":{"role":"assistant","content":"Eric Emanuel black cotton fleece hoodie, EE embroidered chest logo, kangaroo pocket, unisex streetwear pullover sweatshirt for men and women."},"finish_reason":"stop"}],"usage":{"prompt_tokens":962,"completion_tokens":153,"total_tokens":1115}}</t>
        </is>
      </c>
      <c r="M39" t="inlineStr">
        <is>
          <t>{"alt-svc":"h3=\":443\"; ma=2592000","connection":"close","content-length":"436","content-type":"application/json; charset=utf-8","date":"Sat, 23 May 2026 02:20:58 GMT","referrer-policy":"strict-origin-when-cross-origin","server":"Caddy","strict-transport-security":"max-age=31536000; includeSubDomains; preload","vary":"Accept-Encoding","x-content-type-options":"nosniff","x-frame-options":"DENY","x-new-api-version":"v1.0.0-rc.2","x-oneapi-request-id":"202605230220544257928428268d9d65vexRGJj","x-request-id":"d0c41244-af30-44b8-8654-3daf7e3c4aa3"}</t>
        </is>
      </c>
      <c r="N39" t="inlineStr">
        <is>
          <t>Eric Emanuel black cotton fleece hoodie, EE embroidered chest logo, kangaroo pocket, unisex streetwear pullover sweatshirt for men and women.</t>
        </is>
      </c>
      <c r="O39" t="inlineStr">
        <is>
          <t>{"id":"resp_057bedaad84d1f44016a111514527c81a39994d75dc9b90793","object":"chat.completion","created":1779504411,"model":"gpt-5.5","choices":[{"index":0,"message":{"role":"assistant","content":"Eric Emanuel,Hoodies,kakobuy,kakebuy2026,kekobuysheet,kakobuysheet2026,2026kakobuy,kakobuyspreadsheeet,kakobuylink,kakebuylist,Kakobuy MEGA Spreadsheet,kakobuysheetfind,kakobuysheetfind2026,2026kakobuysheetfind,kakobuysheet2026"},"finish_reason":"stop"}],"usage":{"prompt_tokens":856,"completion_tokens":283,"total_tokens":1139}}</t>
        </is>
      </c>
      <c r="P39" t="inlineStr">
        <is>
          <t>Eric Emanuel,Hoodies,kakobuy,kakebuy2026,kekobuysheet,kakobuysheet2026,2026kakobuy,kakobuyspreadsheeet,kakobuylink,kakebuylist,Kakobuy MEGA Spreadsheet,kakobuysheetfind,kakobuysheetfind2026,2026kakobuysheetfind,kakobuysheet2026</t>
        </is>
      </c>
      <c r="Q39" t="inlineStr">
        <is>
          <t>Unisex, Streetwear, Black, Men's And Women's, Fleece-Lined</t>
        </is>
      </c>
      <c r="R39" t="inlineStr">
        <is>
          <t>recvkkO0nsIHWY</t>
        </is>
      </c>
      <c r="S39" t="inlineStr">
        <is>
          <t>eric-emanuel-black-ee-embroidered-fleece-hoodie-recvkkO0nsIHWY</t>
        </is>
      </c>
      <c r="T39"/>
      <c r="U39"/>
      <c r="V39"/>
      <c r="W39" t="inlineStr">
        <is>
          <t>{"id":"resp_087e2a57964124d8016a110bf303e88197bc5de1bf71112c29","object":"chat.completion","created":1779502070,"model":"gpt-5.5","choices":[{"index":0,"message":{"role":"assistant","content":"黑色Eric Emanuel连帽卫衣，棉质抓绒面料，胸前EE刺绣Logo，袋鼠兜设计，男女同款街头休闲潮牌Hoodie"},"finish_reason":"stop"}],"usage":{"prompt_tokens":1391,"completion_tokens":159,"total_tokens":1550}}</t>
        </is>
      </c>
      <c r="X39" t="inlineStr">
        <is>
          <t>黑色Eric Emanuel连帽卫衣，棉质抓绒面料，胸前EE刺绣Logo，袋鼠兜设计，男女同款街头休闲潮牌Hoodie</t>
        </is>
      </c>
    </row>
    <row r="40" ht="25.5" customHeight="1">
      <c r="A40">
        <v>1839115443</v>
      </c>
      <c r="B40">
        <v>7772953594</v>
      </c>
      <c r="C40" s="2" t="str">
        <f>=HYPERLINK("https://weidian.com/item.html?itemID=7772953594", "https://weidian.com/item.html?itemID=7772953594")</f>
        <v>https://weidian.com/item.html?itemID=7772953594</v>
      </c>
      <c r="D40"/>
      <c r="E40" s="2" t="str">
        <f>=HYPERLINK("https://si.geilicdn.com/open1839115443-252808396-27e80000019e4e8c9fd00a8133b0_790_1362.jpg?w=640&amp;h=640", "https://si.geilicdn.com/open1839115443-252808396-27e80000019e4e8c9fd00a8133b0_790_1362.jpg?w=640&amp;h=640")</f>
        <v>https://si.geilicdn.com/open1839115443-252808396-27e80000019e4e8c9fd00a8133b0_790_1362.jpg?w=640&amp;h=640</v>
      </c>
      <c r="F40" t="inlineStr">
        <is>
          <t>Jackets</t>
        </is>
      </c>
      <c r="G40" t="inlineStr">
        <is>
          <t>The North Face</t>
        </is>
      </c>
      <c r="H40">
        <v>403</v>
      </c>
      <c r="I40">
        <v>58.41</v>
      </c>
      <c r="J40" t="inlineStr">
        <is>
          <t>{"id":"resp_0959e476cd4d127f016a11138669448197aa56b89b1f7a47cf","object":"chat.completion","created":1779504012,"model":"gpt-5.5","choices":[{"index":0,"message":{"role":"assistant","content":"The North Face 700 Fill Black Stand Collar Down Jacket"},"finish_reason":"stop"}],"usage":{"prompt_tokens":1085,"completion_tokens":270,"total_tokens":1355}}</t>
        </is>
      </c>
      <c r="K40" t="inlineStr">
        <is>
          <t>The North Face 700 Fill Black Stand Collar Down Jacket</t>
        </is>
      </c>
      <c r="L40" t="inlineStr">
        <is>
          <t>{"id":"resp_09360401353ec1db016a110f5e88848196af518e6b0536820c","object":"chat.completion","created":1779502946,"model":"gpt-5.5","choices":[{"index":0,"message":{"role":"assistant","content":"The North Face black 700-fill stand collar down jacket, 3D tailored windproof warm unisex winter puffer coat for casual outdoor wear"},"finish_reason":"stop"}],"usage":{"prompt_tokens":1102,"completion_tokens":120,"total_tokens":1222}}</t>
        </is>
      </c>
      <c r="M40" t="inlineStr">
        <is>
          <t>{"alt-svc":"h3=\":443\"; ma=2592000","connection":"close","content-length":"428","content-type":"application/json; charset=utf-8","date":"Sat, 23 May 2026 02:22:26 GMT","referrer-policy":"strict-origin-when-cross-origin","server":"Caddy","strict-transport-security":"max-age=31536000; includeSubDomains; preload","vary":"Accept-Encoding","x-content-type-options":"nosniff","x-frame-options":"DENY","x-new-api-version":"v1.0.0-rc.2","x-oneapi-request-id":"202605230222221234725478268d9d6Wp702lDH","x-request-id":"a65f4aa7-10a8-472b-b47d-e0b1f88c0841"}</t>
        </is>
      </c>
      <c r="N40" t="inlineStr">
        <is>
          <t>The North Face black 700-fill stand collar down jacket, 3D tailored windproof warm unisex winter puffer coat for casual outdoor wear</t>
        </is>
      </c>
      <c r="O40" t="inlineStr">
        <is>
          <t>{"id":"resp_08745a5979dd366c016a111540125c81909e859aab8123088b","object":"chat.completion","created":1779504456,"model":"gpt-5.5","choices":[{"index":0,"message":{"role":"assistant","content":"The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kakobuysheet2026"},"finish_reason":"stop"}],"usage":{"prompt_tokens":1005,"completion_tokens":330,"total_tokens":1335}}</t>
        </is>
      </c>
      <c r="P40" t="inlineStr">
        <is>
          <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t>
        </is>
      </c>
      <c r="Q40" t="inlineStr">
        <is>
          <t>Black, Windproof, Winter, Unisex, Outdoor</t>
        </is>
      </c>
      <c r="R40" t="inlineStr">
        <is>
          <t>recvkkO0nsOEIW</t>
        </is>
      </c>
      <c r="S40" t="inlineStr">
        <is>
          <t>the-north-face-700-fill-black-stand-collar-down-jacket-recvkkO0nsOEIW</t>
        </is>
      </c>
      <c r="T40"/>
      <c r="U40"/>
      <c r="V40"/>
      <c r="W40" t="inlineStr">
        <is>
          <t>{"id":"resp_0f99b57247223988016a110b9e79788193aac7e85796f244bc","object":"chat.completion","created":1779501986,"model":"gpt-5.5","choices":[{"index":0,"message":{"role":"assistant","content":"北面 The North Face 黑色700蓬立领羽绒夹克，3D立体裁剪、防风保暖，休闲户外男女秋冬面包服"},"finish_reason":"stop"}],"usage":{"prompt_tokens":1533,"completion_tokens":140,"total_tokens":1673,"prompt_tokens_details":{"cached_tokens":1280}}}</t>
        </is>
      </c>
      <c r="X40" t="inlineStr">
        <is>
          <t>北面 The North Face 黑色700蓬立领羽绒夹克，3D立体裁剪、防风保暖，休闲户外男女秋冬面包服</t>
        </is>
      </c>
    </row>
    <row r="41" ht="25.5" customHeight="1">
      <c r="A41">
        <v>1839115443</v>
      </c>
      <c r="B41">
        <v>7773073986</v>
      </c>
      <c r="C41" s="2" t="str">
        <f>=HYPERLINK("https://weidian.com/item.html?itemID=7773073986", "https://weidian.com/item.html?itemID=7773073986")</f>
        <v>https://weidian.com/item.html?itemID=7773073986</v>
      </c>
      <c r="D41"/>
      <c r="E41" s="2" t="str">
        <f>=HYPERLINK("https://si.geilicdn.com/open1839115443-252808396-54490000019e4e96925b0a23b491_790_1300.jpg?w=640&amp;h=640", "https://si.geilicdn.com/open1839115443-252808396-54490000019e4e96925b0a23b491_790_1300.jpg?w=640&amp;h=640")</f>
        <v>https://si.geilicdn.com/open1839115443-252808396-54490000019e4e96925b0a23b491_790_1300.jpg?w=640&amp;h=640</v>
      </c>
      <c r="F41" t="inlineStr">
        <is>
          <t>Jackets</t>
        </is>
      </c>
      <c r="G41" t="inlineStr">
        <is>
          <t>Other</t>
        </is>
      </c>
      <c r="H41">
        <v>89</v>
      </c>
      <c r="I41">
        <v>12.9</v>
      </c>
      <c r="J41" t="inlineStr">
        <is>
          <t>{"id":"resp_0ec3ba5e716dca1e016a1112caa47c819f8cf413b02023eea9","object":"chat.completion","created":1779503826,"model":"gpt-5.5","choices":[{"index":0,"message":{"role":"assistant","content":"Kids White UPF Sun Protection Astronaut Windbreaker Jacket"},"finish_reason":"stop"}],"usage":{"prompt_tokens":1045,"completion_tokens":394,"total_tokens":1439}}</t>
        </is>
      </c>
      <c r="K41" t="inlineStr">
        <is>
          <t>Kids White UPF Sun Protection Astronaut Windbreaker Jacket</t>
        </is>
      </c>
      <c r="L41" t="inlineStr">
        <is>
          <t>{"id":"resp_0414f68ab3b2843d016a110f49861881a0a386a04d179d3968","object":"chat.completion","created":1779502926,"model":"gpt-5.5","choices":[{"index":0,"message":{"role":"assistant","content":"JacketsOther Kids Summer White UPF Sun Protection Jacket, lightweight breathable quick-dry hooded zip windbreaker with drawstring, astronaut line print, boys girls casual coat"},"finish_reason":"stop"}],"usage":{"prompt_tokens":1054,"completion_tokens":159,"total_tokens":1213}}</t>
        </is>
      </c>
      <c r="M41" t="inlineStr">
        <is>
          <t>{"alt-svc":"h3=\":443\"; ma=2592000","connection":"close","content-length":"471","content-type":"application/json; charset=utf-8","date":"Sat, 23 May 2026 02:22:06 GMT","referrer-policy":"strict-origin-when-cross-origin","server":"nginx/1.24.0 (Ubuntu)","strict-transport-security":"max-age=31536000; includeSubDomains; preload","vary":"Accept-Encoding","via":"1.1 Caddy","x-content-type-options":"nosniff","x-frame-options":"DENY","x-new-api-version":"v1.0.0-rc.2","x-oneapi-request-id":"202605230222011907447308268d9d6FbhoxA1L","x-request-id":"c7e94fea-2c1c-4853-9c2b-9fb765792612"}</t>
        </is>
      </c>
      <c r="N41" t="inlineStr">
        <is>
          <t>JacketsOther Kids Summer White UPF Sun Protection Jacket, lightweight breathable quick-dry hooded zip windbreaker with drawstring, astronaut line print, boys girls casual coat</t>
        </is>
      </c>
      <c r="O41" t="inlineStr">
        <is>
          <t>{"id":"resp_0955a485e66d330f016a1114aa7e888191b1c161f94405a388","object":"chat.completion","created":1779504306,"model":"gpt-5.5","choices":[{"index":0,"message":{"role":"assistant","content":"Other Jackets kakobuy, Other Jackets kakebuy2026, Other Jackets kekobuysheet, Other Jackets kakobuysheet2026, Other Jackets 2026kakobuy, Other Jackets kakobuyspreadsheeet, Other Jackets kakobuylink, Other Jackets kakebuylist, Other Jackets Kakobuy MEGA Spreadsheet, Other Jackets kakobuysheetfind, Other Jackets kakobuysheetfind2026, Other Jackets 2026kakobuysheetfind, Other Jackets kakobuysheet2026"},"finish_reason":"stop"}],"usage":{"prompt_tokens":955,"completion_tokens":394,"total_tokens":1349}}</t>
        </is>
      </c>
      <c r="P41" t="inlineStr">
        <is>
          <t>Other Jackets kakobuy, Other Jackets kakebuy2026, Other Jackets kekobuysheet, Other Jackets kakobuysheet2026, Other Jackets 2026kakobuy, Other Jackets kakobuyspreadsheeet, Other Jackets kakobuylink, Other Jackets kakebuylist, Other Jackets Kakobuy MEGA Spreadsheet, Other Jackets kakobuysheetfind, Other Jackets kakobuysheetfind2026, Other Jackets 2026kakobuysheetfind, Other Jackets kakobuysheet2026</t>
        </is>
      </c>
      <c r="Q41" t="inlineStr">
        <is>
          <t>Summer, White, Sun Protection, Lightweight, Breathable, Quick Dry</t>
        </is>
      </c>
      <c r="R41" t="inlineStr">
        <is>
          <t>recvkkO0nsGvqn</t>
        </is>
      </c>
      <c r="S41" t="inlineStr">
        <is>
          <t>kids-white-upf-sun-protection-astronaut-windbreaker-jacket-recvkkO0nsGvqn</t>
        </is>
      </c>
      <c r="T41"/>
      <c r="U41"/>
      <c r="V41"/>
      <c r="W41" t="inlineStr">
        <is>
          <t>{"id":"resp_08b65b1a84a9ebec016a110b846d448193831fdc2d2b35f453","object":"chat.completion","created":1779501959,"model":"gpt-5.5","choices":[{"index":0,"message":{"role":"assistant","content":"夏季白色轻薄遮阳防晒衣，透气速干面料，连帽拉链抽绳设计，宇航员线稿印花，男女童休闲夹克外套"},"finish_reason":"stop"}],"usage":{"prompt_tokens":1475,"completion_tokens":118,"total_tokens":1593}}</t>
        </is>
      </c>
      <c r="X41" t="inlineStr">
        <is>
          <t>夏季白色轻薄遮阳防晒衣，透气速干面料，连帽拉链抽绳设计，宇航员线稿印花，男女童休闲夹克外套</t>
        </is>
      </c>
    </row>
    <row r="42" ht="25.5" customHeight="1">
      <c r="A42">
        <v>1839115443</v>
      </c>
      <c r="B42">
        <v>7773075968</v>
      </c>
      <c r="C42" s="2" t="str">
        <f>=HYPERLINK("https://weidian.com/item.html?itemID=7773075968", "https://weidian.com/item.html?itemID=7773075968")</f>
        <v>https://weidian.com/item.html?itemID=7773075968</v>
      </c>
      <c r="D42"/>
      <c r="E42" s="2" t="str">
        <f>=HYPERLINK("https://si.geilicdn.com/open1839115443-252808396-5c230000019e4e9a7bbf0a23b491_800_800.jpg?w=640&amp;h=640", "https://si.geilicdn.com/open1839115443-252808396-5c230000019e4e9a7bbf0a23b491_800_800.jpg?w=640&amp;h=640")</f>
        <v>https://si.geilicdn.com/open1839115443-252808396-5c230000019e4e9a7bbf0a23b491_800_800.jpg?w=640&amp;h=640</v>
      </c>
      <c r="F42" t="inlineStr">
        <is>
          <t>Jackets</t>
        </is>
      </c>
      <c r="G42" t="inlineStr">
        <is>
          <t>Air Jordan</t>
        </is>
      </c>
      <c r="H42">
        <v>97</v>
      </c>
      <c r="I42">
        <v>14.06</v>
      </c>
      <c r="J42" t="inlineStr">
        <is>
          <t>{"id":"resp_05402273f9f417a7016a1113208150819ea41b6c2104d9d69a","object":"chat.completion","created":1779503908,"model":"gpt-5.5","choices":[{"index":0,"message":{"role":"assistant","content":"Air Jordan Black Gold Jumpman Stand Collar Down Vest"},"finish_reason":"stop"}],"usage":{"prompt_tokens":728,"completion_tokens":140,"total_tokens":868}}</t>
        </is>
      </c>
      <c r="K42" t="inlineStr">
        <is>
          <t>Air Jordan Black Gold Jumpman Stand Collar Down Vest</t>
        </is>
      </c>
      <c r="L42" t="inlineStr">
        <is>
          <t>{"id":"resp_07a086cf28386a0d016a110f1f40508194bc3d77fdcabc254a","object":"chat.completion","created":1779502882,"model":"gpt-5.5","choices":[{"index":0,"message":{"role":"assistant","content":"Air Jordan black stand-collar down vest with gold Jumpman embroidery, warm windproof sleeveless puffer jacket for men and women, street sports outerwear"},"finish_reason":"stop"}],"usage":{"prompt_tokens":738,"completion_tokens":109,"total_tokens":847}}</t>
        </is>
      </c>
      <c r="M42" t="inlineStr">
        <is>
          <t>{"alt-svc":"h3=\":443\"; ma=2592000","connection":"close","content-length":"446","content-type":"application/json; charset=utf-8","date":"Sat, 23 May 2026 02:21:22 GMT","referrer-policy":"strict-origin-when-cross-origin","server":"nginx/1.24.0 (Ubuntu)","strict-transport-security":"max-age=31536000; includeSubDomains; preload","vary":"Accept-Encoding","via":"1.1 Caddy","x-content-type-options":"nosniff","x-frame-options":"DENY","x-new-api-version":"v1.0.0-rc.2","x-oneapi-request-id":"202605230221187858538018268d9d6YXeuzWQF","x-request-id":"7cfbc797-5bc5-4a02-bc7b-a9038293d865"}</t>
        </is>
      </c>
      <c r="N42" t="inlineStr">
        <is>
          <t>Air Jordan black stand-collar down vest with gold Jumpman embroidery, warm windproof sleeveless puffer jacket for men and women, street sports outerwear</t>
        </is>
      </c>
      <c r="O42" t="inlineStr">
        <is>
          <t>{"id":"resp_0abcb55fcf732221016a11145b62008193830cf1ba14f6e9b7","object":"chat.completion","created":1779504225,"model":"gpt-5.5","choices":[{"index":0,"message":{"role":"assistant","content":"Air Jordan Jackets kakobuy, Air Jordan Jackets kakebuy2026, Air Jordan Jackets kekobuysheet, Air Jordan Jackets kakobuysheet2026, Air Jordan Jackets 2026kakobuy, Air Jordan Jackets kakobuyspreadsheeet, Air Jordan Jackets kakobuylink, Air Jordan Jackets kakebuylist, Air Jordan Jackets Kakobuy MEGA Spreadsheet, Air Jordan Jackets kakobuysheetfind, Air Jordan Jackets kakobuysheetfind2026, Air Jordan Jackets 2026kakobuysheetfind, Air Jordan Jackets kakobuysheet2026"},"finish_reason":"stop"}],"usage":{"prompt_tokens":644,"completion_tokens":295,"total_tokens":939}}</t>
        </is>
      </c>
      <c r="P42" t="inlineStr">
        <is>
          <t>Air Jordan Jackets kakobuy, Air Jordan Jackets kakebuy2026, Air Jordan Jackets kekobuysheet, Air Jordan Jackets kakobuysheet2026, Air Jordan Jackets 2026kakobuy, Air Jordan Jackets kakobuyspreadsheeet, Air Jordan Jackets kakobuylink, Air Jordan Jackets kakebuylist, Air Jordan Jackets Kakobuy MEGA Spreadsheet, Air Jordan Jackets kakobuysheetfind, Air Jordan Jackets kakobuysheetfind2026, Air Jordan Jackets 2026kakobuysheetfind, Air Jordan Jackets kakobuysheet2026</t>
        </is>
      </c>
      <c r="Q42" t="inlineStr">
        <is>
          <t>AIR JORDAN, Men's And Women's, Black, Gold, Street, Windproof</t>
        </is>
      </c>
      <c r="R42" t="inlineStr">
        <is>
          <t>recvkkO0nsfrPe</t>
        </is>
      </c>
      <c r="S42" t="inlineStr">
        <is>
          <t>air-jordan-black-gold-jumpman-stand-collar-down-vest-recvkkO0nsfrPe</t>
        </is>
      </c>
      <c r="T42"/>
      <c r="U42"/>
      <c r="V42"/>
      <c r="W42" t="inlineStr">
        <is>
          <t>{"id":"resp_0edd8e44b6750b5c016a110bd50b9c819790ebe52fdb233e8e","object":"chat.completion","created":1779502041,"model":"gpt-5.5","choices":[{"index":0,"message":{"role":"assistant","content":"乔丹Air Jordan 黑色立领羽绒马甲，胸前金色Jumpman刺绣，保暖防风，街头运动风男女外套 vest"},"finish_reason":"stop"}],"usage":{"prompt_tokens":1169,"completion_tokens":141,"total_tokens":1310}}</t>
        </is>
      </c>
      <c r="X42" t="inlineStr">
        <is>
          <t>乔丹Air Jordan 黑色立领羽绒马甲，胸前金色Jumpman刺绣，保暖防风，街头运动风男女外套 vest</t>
        </is>
      </c>
    </row>
    <row r="43" ht="25.5" customHeight="1">
      <c r="A43">
        <v>1839115443</v>
      </c>
      <c r="B43">
        <v>7773115884</v>
      </c>
      <c r="C43" s="2" t="str">
        <f>=HYPERLINK("https://weidian.com/item.html?itemID=7773115884", "https://weidian.com/item.html?itemID=7773115884")</f>
        <v>https://weidian.com/item.html?itemID=7773115884</v>
      </c>
      <c r="D43"/>
      <c r="E43" s="2" t="str">
        <f>=HYPERLINK("https://si.geilicdn.com/open1839115443-252808396-59d00000019e4ea2de1d0a8133b0_1920_1079.jpg?w=640&amp;h=640", "https://si.geilicdn.com/open1839115443-252808396-59d00000019e4ea2de1d0a8133b0_1920_1079.jpg?w=640&amp;h=640")</f>
        <v>https://si.geilicdn.com/open1839115443-252808396-59d00000019e4ea2de1d0a8133b0_1920_1079.jpg?w=640&amp;h=640</v>
      </c>
      <c r="F43" t="inlineStr">
        <is>
          <t>T-Shirts</t>
        </is>
      </c>
      <c r="G43" t="inlineStr">
        <is>
          <t>Chrome Hearts</t>
        </is>
      </c>
      <c r="H43">
        <v>83</v>
      </c>
      <c r="I43">
        <v>12.03</v>
      </c>
      <c r="J43" t="inlineStr">
        <is>
          <t>{"id":"resp_0d14d2eedf4816eb016a1113604e248195a9c890e28aa28e44","object":"chat.completion","created":1779503971,"model":"gpt-5.5","choices":[{"index":0,"message":{"role":"assistant","content":"Chrome Hearts Black Gothic Cross Logo Cotton T-Shirt"},"finish_reason":"stop"}],"usage":{"prompt_tokens":529,"completion_tokens":136,"total_tokens":665}}</t>
        </is>
      </c>
      <c r="K43" t="inlineStr">
        <is>
          <t>Chrome Hearts Black Gothic Cross Logo Cotton T-Shirt</t>
        </is>
      </c>
      <c r="L43" t="inlineStr">
        <is>
          <t>{"id":"resp_0f572ee50093e3ec016a110ed710888192b83b384c83dc4e3a","object":"chat.completion","created":1779502809,"model":"gpt-5.5","choices":[{"index":0,"message":{"role":"assistant","content":"Chrome Hearts black cotton short sleeve T-shirt, chest badge logo, colorful Gothic back lettering with gold cross graphic, unisex streetwear tee."},"finish_reason":"stop"}],"usage":{"prompt_tokens":558,"completion_tokens":116,"total_tokens":674}}</t>
        </is>
      </c>
      <c r="M43" t="inlineStr">
        <is>
          <t>{"alt-svc":"h3=\":443\"; ma=2592000","connection":"close","content-length":"439","content-type":"application/json; charset=utf-8","date":"Sat, 23 May 2026 02:20:09 GMT","referrer-policy":"strict-origin-when-cross-origin","server":"Caddy","strict-transport-security":"max-age=31536000; includeSubDomains; preload","vary":"Accept-Encoding","x-content-type-options":"nosniff","x-frame-options":"DENY","x-new-api-version":"v1.0.0-rc.2","x-oneapi-request-id":"202605230220067225851498268d9d6VCWwsgm9","x-request-id":"cfea6fe9-279a-4dc2-8e01-2ae772d77f88"}</t>
        </is>
      </c>
      <c r="N43" t="inlineStr">
        <is>
          <t>Chrome Hearts black cotton short sleeve T-shirt, chest badge logo, colorful Gothic back lettering with gold cross graphic, unisex streetwear tee.</t>
        </is>
      </c>
      <c r="O43" t="inlineStr">
        <is>
          <t>{"id":"resp_039a606164435a72016a111485322081958bc6b0a49d1f9ce3","object":"chat.completion","created":1779504267,"model":"gpt-5.5","choices":[{"index":0,"message":{"role":"assistant","content":"Chrome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kakobuysheet2026"},"finish_reason":"stop"}],"usage":{"prompt_tokens":452,"completion_tokens":302,"total_tokens":754}}</t>
        </is>
      </c>
      <c r="P43" t="inlineStr">
        <is>
          <t>Chrome Hearts T-Shirts kakobuy, Chrome Hearts T-Shirts kakebuy2026, Chrome Hearts T-Shirts kekobuysheet, Chrome Hearts T-Shirts kakobuysheet2026, Chrome Hearts T-Shirts 2026kakobuy, Chrome Hearts T-Shirts kakobuyspreadsheeet, Chrome Hearts T-Shirts kakobuylink, Chrome Hearts T-Shirts kakebuylist, Chrome Hearts T-Shirts Kakobuy MEGA Spreadsheet, Chrome Hearts T-Shirts kakobuysheetfind, Chrome Hearts T-Shirts kakobuysheetfind2026, Chrome Hearts T-Shirts 2026kakobuysheetfind, Chrome Hearts T-Shirts kakobuysheet2026</t>
        </is>
      </c>
      <c r="Q43" t="inlineStr">
        <is>
          <t>Black, Streetwear, Unisex</t>
        </is>
      </c>
      <c r="R43" t="inlineStr">
        <is>
          <t>recvkkO0ns5aDy</t>
        </is>
      </c>
      <c r="S43" t="inlineStr">
        <is>
          <t>chrome-hearts-black-gothic-cross-logo-cotton-t-shirt-recvkkO0ns5aDy</t>
        </is>
      </c>
      <c r="T43"/>
      <c r="U43"/>
      <c r="V43"/>
      <c r="W43" t="inlineStr">
        <is>
          <t>{"id":"resp_08d30fcca8be10ef016a110bd55fa481928e4b0da47b75b2dd","object":"chat.completion","created":1779502041,"model":"gpt-5.5","choices":[{"index":0,"message":{"role":"assistant","content":"克罗心 Chrome Hearts 黑色纯棉短袖T恤，胸前徽章Logo，背面彩色哥特字母与金色十字图腾，男女同款街头潮牌上衣"},"finish_reason":"stop"}],"usage":{"prompt_tokens":981,"completion_tokens":161,"total_tokens":1142}}</t>
        </is>
      </c>
      <c r="X43" t="inlineStr">
        <is>
          <t>克罗心 Chrome Hearts 黑色纯棉短袖T恤，胸前徽章Logo，背面彩色哥特字母与金色十字图腾，男女同款街头潮牌上衣</t>
        </is>
      </c>
    </row>
    <row r="44" ht="25.5" customHeight="1">
      <c r="A44">
        <v>1839115443</v>
      </c>
      <c r="B44">
        <v>7769981575</v>
      </c>
      <c r="C44" s="2" t="str">
        <f>=HYPERLINK("https://weidian.com/item.html?itemID=7769981575", "https://weidian.com/item.html?itemID=7769981575")</f>
        <v>https://weidian.com/item.html?itemID=7769981575</v>
      </c>
      <c r="D44"/>
      <c r="E44" s="2" t="str">
        <f>=HYPERLINK("https://si.geilicdn.com/open1839115443-252808396-76f50000019e4ea352b40aa08239_800_800.jpg?w=640&amp;h=640", "https://si.geilicdn.com/open1839115443-252808396-76f50000019e4ea352b40aa08239_800_800.jpg?w=640&amp;h=640")</f>
        <v>https://si.geilicdn.com/open1839115443-252808396-76f50000019e4ea352b40aa08239_800_800.jpg?w=640&amp;h=640</v>
      </c>
      <c r="F44" t="inlineStr">
        <is>
          <t>T-Shirts</t>
        </is>
      </c>
      <c r="G44" t="inlineStr">
        <is>
          <t>Sp5der</t>
        </is>
      </c>
      <c r="H44">
        <v>73</v>
      </c>
      <c r="I44">
        <v>10.58</v>
      </c>
      <c r="J44" t="inlineStr">
        <is>
          <t>{"id":"resp_0266ddd1b55dd568016a11133b3c54819ebdf5ea66ebfe92be","object":"chat.completion","created":1779503934,"model":"gpt-5.5","choices":[{"index":0,"message":{"role":"assistant","content":"Sp5der Black Cotton T-Shirt Pink Logo Web Streetwear Tee"},"finish_reason":"stop"}],"usage":{"prompt_tokens":728,"completion_tokens":147,"total_tokens":875}}</t>
        </is>
      </c>
      <c r="K44" t="inlineStr">
        <is>
          <t>Sp5der Black Cotton T-Shirt Pink Logo Web Streetwear Tee</t>
        </is>
      </c>
      <c r="L44" t="inlineStr">
        <is>
          <t>{"id":"resp_0bd42b78376d11f4016a110f2e57c0819da40cfa995f5efb66","object":"chat.completion","created":1779502897,"model":"gpt-5.5","choices":[{"index":0,"message":{"role":"assistant","content":"Sp5der black cotton short sleeve T-shirt, breathable unisex Y2K streetwear tee with pink logo, silver spider web print and star accents."},"finish_reason":"stop"}],"usage":{"prompt_tokens":746,"completion_tokens":137,"total_tokens":883}}</t>
        </is>
      </c>
      <c r="M44" t="inlineStr">
        <is>
          <t>{"alt-svc":"h3=\":443\"; ma=2592000","connection":"close","content-length":"430","content-type":"application/json; charset=utf-8","date":"Sat, 23 May 2026 02:21:37 GMT","referrer-policy":"strict-origin-when-cross-origin","server":"Caddy","strict-transport-security":"max-age=31536000; includeSubDomains; preload","vary":"Accept-Encoding","x-content-type-options":"nosniff","x-frame-options":"DENY","x-new-api-version":"v1.0.0-rc.2","x-oneapi-request-id":"202605230221338042336408268d9d6iV8i08Uf","x-request-id":"52e8c4c2-0111-4391-8abc-6262ce268a29"}</t>
        </is>
      </c>
      <c r="N44" t="inlineStr">
        <is>
          <t>Sp5der black cotton short sleeve T-shirt, breathable unisex Y2K streetwear tee with pink logo, silver spider web print and star accents.</t>
        </is>
      </c>
      <c r="O44" t="inlineStr">
        <is>
          <t>{"id":"resp_0e8cf03e3740608c016a11155ea77081a081890276b6e20b42","object":"chat.completion","created":1779504483,"model":"gpt-5.5","choices":[{"index":0,"message":{"role":"assistant","content":"Sp5der T-Shirts kakobuy, Sp5der T-Shirts kakebuy2026, Sp5der T-Shirts kekobuysheet, Sp5der T-Shirts kakobuysheet2026, Sp5der T-Shirts 2026kakobuy, Sp5der T-Shirts kakobuyspreadsheeet, Sp5der T-Shirts kakobuylink, Sp5der T-Shirts kakebuylist, Sp5der T-Shirts Kakobuy MEGA Spreadsheet, Sp5der T-Shirts kakobuysheetfind, Sp5der T-Shirts kakobuysheetfind2026, Sp5der T-Shirts 2026kakobuysheetfind, Sp5der T-Shirts kakobuysheet2026"},"finish_reason":"stop"}],"usage":{"prompt_tokens":645,"completion_tokens":234,"total_tokens":879}}</t>
        </is>
      </c>
      <c r="P44" t="inlineStr">
        <is>
          <t>Sp5der T-Shirts kakobuy, Sp5der T-Shirts kakebuy2026, Sp5der T-Shirts kekobuysheet, Sp5der T-Shirts kakobuysheet2026, Sp5der T-Shirts 2026kakobuy, Sp5der T-Shirts kakobuyspreadsheeet, Sp5der T-Shirts kakobuylink, Sp5der T-Shirts kakebuylist, Sp5der T-Shirts Kakobuy MEGA Spreadsheet, Sp5der T-Shirts kakobuysheetfind, Sp5der T-Shirts kakobuysheetfind2026, Sp5der T-Shirts 2026kakobuysheetfind, Sp5der T-Shirts kakobuysheet2026</t>
        </is>
      </c>
      <c r="Q44" t="inlineStr">
        <is>
          <t>Streetwear, Unisex, Black, Breathable</t>
        </is>
      </c>
      <c r="R44" t="inlineStr">
        <is>
          <t>recvkkO0nsBZq7</t>
        </is>
      </c>
      <c r="S44" t="inlineStr">
        <is>
          <t>sp5der-black-cotton-t-shirt-pink-logo-recvkkO0nsBZq7</t>
        </is>
      </c>
      <c r="T44"/>
      <c r="U44"/>
      <c r="V44"/>
      <c r="W44" t="inlineStr">
        <is>
          <t>{"id":"resp_0e9fc0f0009197fe016a110b6528888197914459929052efca","object":"chat.completion","created":1779501930,"model":"gpt-5.5","choices":[{"index":0,"message":{"role":"assistant","content":"黑色短袖T恤，棉质透气面料，Sp5der粉色Logo与银色蜘蛛网印花，星星点缀，男女同款Y2K街头潮流上衣"},"finish_reason":"stop"}],"usage":{"prompt_tokens":1163,"completion_tokens":178,"total_tokens":1341}}</t>
        </is>
      </c>
      <c r="X44" t="inlineStr">
        <is>
          <t>黑色短袖T恤，棉质透气面料，Sp5der粉色Logo与银色蜘蛛网印花，星星点缀，男女同款Y2K街头潮流上衣</t>
        </is>
      </c>
    </row>
    <row r="45" ht="25.5" customHeight="1">
      <c r="A45">
        <v>1839115443</v>
      </c>
      <c r="B45">
        <v>7773013496</v>
      </c>
      <c r="C45" s="2" t="str">
        <f>=HYPERLINK("https://weidian.com/item.html?itemID=7773013496", "https://weidian.com/item.html?itemID=7773013496")</f>
        <v>https://weidian.com/item.html?itemID=7773013496</v>
      </c>
      <c r="D45"/>
      <c r="E45" s="2" t="str">
        <f>=HYPERLINK("https://si.geilicdn.com/open1839115443-252808396-7c870000019e4ea3d9bb0a23b491_1200_1200.jpg?w=640&amp;h=640", "https://si.geilicdn.com/open1839115443-252808396-7c870000019e4ea3d9bb0a23b491_1200_1200.jpg?w=640&amp;h=640")</f>
        <v>https://si.geilicdn.com/open1839115443-252808396-7c870000019e4ea3d9bb0a23b491_1200_1200.jpg?w=640&amp;h=640</v>
      </c>
      <c r="F45" t="inlineStr">
        <is>
          <t>T-Shirts</t>
        </is>
      </c>
      <c r="G45" t="inlineStr">
        <is>
          <t>The North Face</t>
        </is>
      </c>
      <c r="H45">
        <v>99</v>
      </c>
      <c r="I45">
        <v>14.35</v>
      </c>
      <c r="J45" t="inlineStr">
        <is>
          <t>{"error":{"code":"invalid_request","message":"Model name not specified, model name cannot be empty (request id: B202605230240073876593568268d9d6cZKbOhIXSlave1)","type":"new_api_error"}}</t>
        </is>
      </c>
      <c r="K45"/>
      <c r="L45" t="inlineStr">
        <is>
          <t>{"id":"resp_00bcfbf168dee3a5016a110f365e9c81a196cc6a14a193ef29","object":"chat.completion","created":1779502905,"model":"gpt-5.5","choices":[{"index":0,"message":{"role":"assistant","content":"The North Face black cotton short sleeve T-shirt with back \"Walls Are Meant For Climbing\" print, outdoor casual unisex streetwear top."},"finish_reason":"stop"}],"usage":{"prompt_tokens":755,"completion_tokens":107,"total_tokens":862}}</t>
        </is>
      </c>
      <c r="M45" t="inlineStr">
        <is>
          <t>{"alt-svc":"h3=\":443\"; ma=2592000","connection":"close","content-length":"430","content-type":"application/json; charset=utf-8","date":"Sat, 23 May 2026 02:21:45 GMT","referrer-policy":"strict-origin-when-cross-origin","server":"Caddy","strict-transport-security":"max-age=31536000; includeSubDomains; preload","vary":"Accept-Encoding","x-content-type-options":"nosniff","x-frame-options":"DENY","x-new-api-version":"v1.0.0-rc.2","x-oneapi-request-id":"202605230221414382113388268d9d6UnROtarC","x-request-id":"014e0719-94d9-4d5b-9752-886a630033e2"}</t>
        </is>
      </c>
      <c r="N45" t="inlineStr">
        <is>
          <t>The North Face black cotton short sleeve T-shirt with back "Walls Are Meant For Climbing" print, outdoor casual unisex streetwear top.</t>
        </is>
      </c>
      <c r="O45" t="inlineStr">
        <is>
          <t>{"id":"resp_0d7c65aa628d598c016a1115258afc819584713982d22d1ae6","object":"chat.completion","created":1779504428,"model":"gpt-5.5","choices":[{"index":0,"message":{"role":"assistant","content":"The North Face T-Shirts kakobuy, The North Face T-Shirts kakebuy2026, The North Face T-Shirts kekobuysheet, The North Face T-Shirts kakobuysheet2026, The North Face T-Shirts 2026kakobuy, The North Face T-Shirts kakobuyspreadsheeet, The North Face T-Shirts kakobuylink, The North Face T-Shirts kakebuylist, The North Face T-Shirts Kakobuy MEGA Spreadsheet, The North Face T-Shirts kakobuysheetfind, The North Face T-Shirts kakobuysheetfind2026, The North Face T-Shirts 2026kakobuysheetfind, The North Face T-Shirts kakobuysheet2026"},"finish_reason":"stop"}],"usage":{"prompt_tokens":645,"completion_tokens":338,"total_tokens":983}}</t>
        </is>
      </c>
      <c r="P45" t="inlineStr">
        <is>
          <t>The North Face T-Shirts kakobuy, The North Face T-Shirts kakebuy2026, The North Face T-Shirts kekobuysheet, The North Face T-Shirts kakobuysheet2026, The North Face T-Shirts 2026kakobuy, The North Face T-Shirts kakobuyspreadsheeet, The North Face T-Shirts kakobuylink, The North Face T-Shirts kakebuylist, The North Face T-Shirts Kakobuy MEGA Spreadsheet, The North Face T-Shirts kakobuysheetfind, The North Face T-Shirts kakobuysheetfind2026, The North Face T-Shirts 2026kakobuysheetfind, The North Face T-Shirts kakobuysheet2026</t>
        </is>
      </c>
      <c r="Q45" t="inlineStr">
        <is>
          <t>Black, Outdoor, Streetwear, Unisex</t>
        </is>
      </c>
      <c r="R45" t="inlineStr">
        <is>
          <t>recvkkO0nsIYLl</t>
        </is>
      </c>
      <c r="S45" t="inlineStr">
        <is>
          <t>recvkk-o0nsiyl</t>
        </is>
      </c>
      <c r="T45"/>
      <c r="U45"/>
      <c r="V45"/>
      <c r="W45" t="inlineStr">
        <is>
          <t>{"id":"resp_0ba2bc87e244c47b016a110ba1c33881a28a219b8546f7de50","object":"chat.completion","created":1779501990,"model":"gpt-5.5","choices":[{"index":0,"message":{"role":"assistant","content":"北面（The North Face）黑色纯棉短袖T恤，背面“Walls Are Meant For Climbing”攀登标语印花，户外机能休闲风，男女通用潮流上衣。"},"finish_reason":"stop"}],"usage":{"prompt_tokens":1173,"completion_tokens":182,"total_tokens":1355}}</t>
        </is>
      </c>
      <c r="X45" t="inlineStr">
        <is>
          <t>北面（The North Face）黑色纯棉短袖T恤，背面“Walls Are Meant For Climbing”攀登标语印花，户外机能休闲风，男女通用潮流上衣。</t>
        </is>
      </c>
    </row>
    <row r="46" ht="25.5" customHeight="1">
      <c r="A46">
        <v>1839115443</v>
      </c>
      <c r="B46">
        <v>7772984724</v>
      </c>
      <c r="C46" s="2" t="str">
        <f>=HYPERLINK("https://weidian.com/item.html?itemID=7772984724", "https://weidian.com/item.html?itemID=7772984724")</f>
        <v>https://weidian.com/item.html?itemID=7772984724</v>
      </c>
      <c r="D46"/>
      <c r="E46" s="2" t="str">
        <f>=HYPERLINK("https://si.geilicdn.com/open1839115443-252808396-45ca0000019e4e7c9cf40a22d249_1080_1080.jpg?w=640&amp;h=640", "https://si.geilicdn.com/open1839115443-252808396-45ca0000019e4e7c9cf40a22d249_1080_1080.jpg?w=640&amp;h=640")</f>
        <v>https://si.geilicdn.com/open1839115443-252808396-45ca0000019e4e7c9cf40a22d249_1080_1080.jpg?w=640&amp;h=640</v>
      </c>
      <c r="F46" t="inlineStr">
        <is>
          <t>Jackets</t>
        </is>
      </c>
      <c r="G46" t="inlineStr">
        <is>
          <t>The North Face</t>
        </is>
      </c>
      <c r="H46">
        <v>316</v>
      </c>
      <c r="I46">
        <v>45.8</v>
      </c>
      <c r="J46" t="inlineStr">
        <is>
          <t>{"id":"resp_0beb2a7fcfb4468a016a11135435e081a0bf99680d5507b171","object":"chat.completion","created":1779503959,"model":"gpt-5.5","choices":[{"index":0,"message":{"role":"assistant","content":"The North Face GORE-TEX White Black Hooded Jacket"},"finish_reason":"stop"}],"usage":{"prompt_tokens":745,"completion_tokens":120,"total_tokens":865}}</t>
        </is>
      </c>
      <c r="K46" t="inlineStr">
        <is>
          <t>The North Face GORE-TEX White Black Hooded Jacket</t>
        </is>
      </c>
      <c r="L46" t="inlineStr">
        <is>
          <t>{"id":"resp_0c65bf5779f2130e016a110f370d78819484dff7ee9f3947f6","object":"chat.completion","created":1779502906,"model":"gpt-5.5","choices":[{"index":0,"message":{"role":"assistant","content":"The North Face GORE-TEX hooded jacket, white/black colorblock, windproof waterproof outdoor shell with stand collar, drawstring hood, snap placket, multi-pocket unisex design"},"finish_reason":"stop"}],"usage":{"prompt_tokens":750,"completion_tokens":127,"total_tokens":877}}</t>
        </is>
      </c>
      <c r="M46" t="inlineStr">
        <is>
          <t>{"alt-svc":"h3=\":443\"; ma=2592000","connection":"close","content-length":"468","content-type":"application/json; charset=utf-8","date":"Sat, 23 May 2026 02:21:46 GMT","referrer-policy":"strict-origin-when-cross-origin","server":"nginx/1.24.0 (Ubuntu)","strict-transport-security":"max-age=31536000; includeSubDomains; preload","vary":"Accept-Encoding","via":"1.1 Caddy","x-content-type-options":"nosniff","x-frame-options":"DENY","x-new-api-version":"v1.0.0-rc.2","x-oneapi-request-id":"202605230221427307692478268d9d6iA8tHlPa","x-request-id":"443e508b-e013-4109-9eaa-b4c66e0ed926"}</t>
        </is>
      </c>
      <c r="N46" t="inlineStr">
        <is>
          <t>The North Face GORE-TEX hooded jacket, white/black colorblock, windproof waterproof outdoor shell with stand collar, drawstring hood, snap placket, multi-pocket unisex design</t>
        </is>
      </c>
      <c r="O46" t="inlineStr">
        <is>
          <t>{"id":"resp_0eb5645a76d0b208016a111454a59c81928b260d8a2e66aed6","object":"chat.completion","created":1779504218,"model":"gpt-5.5","choices":[{"index":0,"message":{"role":"assistant","content":"The North Face, Jackets, kakobuy, kakebuy2026, kekobuysheet, kakobuysheet2026, 2026kakobuy, kakobuyspreadsheeet, kakobuylink, kakebuylist, Kakobuy MEGA Spreadsheet, kakobuysheetfind, kakobuysheetfind2026, 2026kakobuysheetfind, kakobuysheet2026"},"finish_reason":"stop"}],"usage":{"prompt_tokens":645,"completion_tokens":251,"total_tokens":896}}</t>
        </is>
      </c>
      <c r="P46" t="inlineStr">
        <is>
          <t>The North Face, Jackets, kakobuy, kakebuy2026, kekobuysheet, kakobuysheet2026, 2026kakobuy, kakobuyspreadsheeet, kakobuylink, kakebuylist, Kakobuy MEGA Spreadsheet, kakobuysheetfind, kakobuysheetfind2026, 2026kakobuysheetfind, kakobuysheet2026</t>
        </is>
      </c>
      <c r="Q46" t="inlineStr">
        <is>
          <t>Color Block, Windproof, Waterproof, Outdoor, Unisex, White</t>
        </is>
      </c>
      <c r="R46" t="inlineStr">
        <is>
          <t>recvkkO0nsEsYP</t>
        </is>
      </c>
      <c r="S46" t="inlineStr">
        <is>
          <t>the-north-face-gore-tex-hooded-jacket-recvkkO0nsEsYP</t>
        </is>
      </c>
      <c r="T46"/>
      <c r="U46"/>
      <c r="V46"/>
      <c r="W46" t="inlineStr">
        <is>
          <t>{"id":"resp_03c1613e9eb5050c016a110bb945c48190a09c814c6fcf807e","object":"chat.completion","created":1779502013,"model":"gpt-5.5","choices":[{"index":0,"message":{"role":"assistant","content":"北面 The North Face 白黑拼色GORE-TEX防风防水连帽冲锋衣，立领抽绳、按扣门襟、多口袋机能设计，男女通用户外夹克"},"finish_reason":"stop"}],"usage":{"prompt_tokens":1173,"completion_tokens":154,"total_tokens":1327}}</t>
        </is>
      </c>
      <c r="X46" t="inlineStr">
        <is>
          <t>北面 The North Face 白黑拼色GORE-TEX防风防水连帽冲锋衣，立领抽绳、按扣门襟、多口袋机能设计，男女通用户外夹克</t>
        </is>
      </c>
    </row>
    <row r="47" ht="25.5" customHeight="1">
      <c r="A47">
        <v>1839115443</v>
      </c>
      <c r="B47">
        <v>7772941386</v>
      </c>
      <c r="C47" s="2" t="str">
        <f>=HYPERLINK("https://weidian.com/item.html?itemID=7772941386", "https://weidian.com/item.html?itemID=7772941386")</f>
        <v>https://weidian.com/item.html?itemID=7772941386</v>
      </c>
      <c r="D47"/>
      <c r="E47" s="2" t="str">
        <f>=HYPERLINK("https://si.geilicdn.com/open1839115443-252808396-24ac0000019e4e8439590a8133b0_800_800.jpg?w=750&amp;h=750&amp;cp=1", "https://si.geilicdn.com/open1839115443-252808396-24ac0000019e4e8439590a8133b0_800_800.jpg?w=750&amp;h=750&amp;cp=1")</f>
        <v>https://si.geilicdn.com/open1839115443-252808396-24ac0000019e4e8439590a8133b0_800_800.jpg?w=750&amp;h=750&amp;cp=1</v>
      </c>
      <c r="F47" t="inlineStr">
        <is>
          <t>Jackets</t>
        </is>
      </c>
      <c r="G47" t="inlineStr">
        <is>
          <t>The North Face</t>
        </is>
      </c>
      <c r="H47">
        <v>380</v>
      </c>
      <c r="I47">
        <v>55.07</v>
      </c>
      <c r="J47" t="inlineStr">
        <is>
          <t>{"id":"resp_0fde9e4d7a25ac96016a111341870c81a281469c6eb6465cfe","object":"chat.completion","created":1779503940,"model":"gpt-5.5","choices":[{"index":0,"message":{"role":"assistant","content":"The North Face Black Hooded Windproof Shell Jacket"},"finish_reason":"stop"}],"usage":{"prompt_tokens":934,"completion_tokens":112,"total_tokens":1046}}</t>
        </is>
      </c>
      <c r="K47" t="inlineStr">
        <is>
          <t>The North Face Black Hooded Windproof Shell Jacket</t>
        </is>
      </c>
      <c r="L47" t="inlineStr">
        <is>
          <t>{"id":"resp_01615d2f26d9088c016a110efb0aa4819db1838e02ce5c4a86","object":"chat.completion","created":1779502848,"model":"gpt-5.5","choices":[{"index":0,"message":{"role":"assistant","content":"The North Face black hooded shell jacket, windproof durable tech fabric, snap placket, drawstring hem, unisex outdoor commuting coat"},"finish_reason":"stop"}],"usage":{"prompt_tokens":959,"completion_tokens":101,"total_tokens":1060}}</t>
        </is>
      </c>
      <c r="M47" t="inlineStr">
        <is>
          <t>{"alt-svc":"h3=\":443\"; ma=2592000","connection":"close","content-length":"427","content-type":"application/json; charset=utf-8","date":"Sat, 23 May 2026 02:20:48 GMT","referrer-policy":"strict-origin-when-cross-origin","server":"Caddy","strict-transport-security":"max-age=31536000; includeSubDomains; preload","vary":"Accept-Encoding","x-content-type-options":"nosniff","x-frame-options":"DENY","x-new-api-version":"v1.0.0-rc.2","x-oneapi-request-id":"202605230220427578699538268d9d6zkykb8JA","x-request-id":"4669ce87-57dd-4f17-b596-d23db91cfc50"}</t>
        </is>
      </c>
      <c r="N47" t="inlineStr">
        <is>
          <t>The North Face black hooded shell jacket, windproof durable tech fabric, snap placket, drawstring hem, unisex outdoor commuting coat</t>
        </is>
      </c>
      <c r="O47" t="inlineStr">
        <is>
          <t>{"id":"resp_0d60bddc60066c52016a1114843b70819685b4a28f683b00a1","object":"chat.completion","created":1779504266,"model":"gpt-5.5","choices":[{"index":0,"message":{"role":"assistant","content":"The North Face, Jackets, kakobuy, kakebuy2026, kekobuysheet, kakobuysheet2026, 2026kakobuy, kakobuyspreadsheeet, kakobuylink, kakebuylist, Kakobuy MEGA Spreadsheet, kakobuysheetfind, kakobuysheetfind2026, 2026kakobuysheetfind, kakobuysheet2026"},"finish_reason":"stop"}],"usage":{"prompt_tokens":856,"completion_tokens":288,"total_tokens":1144}}</t>
        </is>
      </c>
      <c r="P47" t="inlineStr">
        <is>
          <t>The North Face, Jackets, kakobuy, kakebuy2026, kekobuysheet, kakobuysheet2026, 2026kakobuy, kakobuyspreadsheeet, kakobuylink, kakebuylist, Kakobuy MEGA Spreadsheet, kakobuysheetfind, kakobuysheetfind2026, 2026kakobuysheetfind, kakobuysheet2026</t>
        </is>
      </c>
      <c r="Q47" t="inlineStr">
        <is>
          <t>Windproof, Unisex, Outdoor, Black, Synthetic Leather</t>
        </is>
      </c>
      <c r="R47" t="inlineStr">
        <is>
          <t>recvkkO0nsb0mB</t>
        </is>
      </c>
      <c r="S47" t="inlineStr">
        <is>
          <t>the-north-face-black-hooded-windproof-shell-jacket-recvkkO0nsb0mB</t>
        </is>
      </c>
      <c r="T47"/>
      <c r="U47"/>
      <c r="V47"/>
      <c r="W47" t="inlineStr">
        <is>
          <t>{"id":"resp_0e76ce44f5436720016a110c11e60c819ea245b4bc9bb49c44","object":"chat.completion","created":1779502101,"model":"gpt-5.5","choices":[{"index":0,"message":{"role":"assistant","content":"北面 The North Face 黑色连帽冲锋夹克，防风耐磨机能面料，按扣门襟与抽绳下摆设计，户外通勤男女款外套"},"finish_reason":"stop"}],"usage":{"prompt_tokens":1386,"completion_tokens":145,"total_tokens":1531}}</t>
        </is>
      </c>
      <c r="X47" t="inlineStr">
        <is>
          <t>北面 The North Face 黑色连帽冲锋夹克，防风耐磨机能面料，按扣门襟与抽绳下摆设计，户外通勤男女款外套</t>
        </is>
      </c>
    </row>
    <row r="48" ht="25.5" customHeight="1">
      <c r="A48">
        <v>1839115443</v>
      </c>
      <c r="B48">
        <v>7770024385</v>
      </c>
      <c r="C48" s="2" t="str">
        <f>=HYPERLINK("https://weidian.com/item.html?itemID=7770024385", "https://weidian.com/item.html?itemID=7770024385")</f>
        <v>https://weidian.com/item.html?itemID=7770024385</v>
      </c>
      <c r="D48"/>
      <c r="E48" s="2" t="str">
        <f>=HYPERLINK("https://si.geilicdn.com/open1839115443-252808396-455d0000019e4e83f84f0a23b4de_800_800.jpg?w=750&amp;h=750&amp;cp=1", "https://si.geilicdn.com/open1839115443-252808396-455d0000019e4e83f84f0a23b4de_800_800.jpg?w=750&amp;h=750&amp;cp=1")</f>
        <v>https://si.geilicdn.com/open1839115443-252808396-455d0000019e4e83f84f0a23b4de_800_800.jpg?w=750&amp;h=750&amp;cp=1</v>
      </c>
      <c r="F48" t="inlineStr">
        <is>
          <t>Jackets</t>
        </is>
      </c>
      <c r="G48" t="inlineStr">
        <is>
          <t>The North Face</t>
        </is>
      </c>
      <c r="H48">
        <v>376</v>
      </c>
      <c r="I48">
        <v>54.49</v>
      </c>
      <c r="J48" t="inlineStr">
        <is>
          <t>{"id":"resp_05e66c71b6d5850a016a1112d6526881959deb4c2c3fa43b34","object":"chat.completion","created":1779503833,"model":"gpt-5.5","choices":[{"index":0,"message":{"role":"assistant","content":"The North Face White Black Waterproof Hooded Jacket"},"finish_reason":"stop"}],"usage":{"prompt_tokens":942,"completion_tokens":120,"total_tokens":1062}}</t>
        </is>
      </c>
      <c r="K48" t="inlineStr">
        <is>
          <t>The North Face White Black Waterproof Hooded Jacket</t>
        </is>
      </c>
      <c r="L48" t="inlineStr">
        <is>
          <t>{"id":"resp_02d89f35416b81b0016a110f4f1bec8194b9cf88b26f98dc13","object":"chat.completion","created":1779502930,"model":"gpt-5.5","choices":[{"index":0,"message":{"role":"assistant","content":"The North Face white black colorblock hooded hardshell jacket, waterproof windproof fabric, snap zip front, drawstring hood, unisex outdoor casual coat"},"finish_reason":"stop"}],"usage":{"prompt_tokens":965,"completion_tokens":141,"total_tokens":1106}}</t>
        </is>
      </c>
      <c r="M48" t="inlineStr">
        <is>
          <t>{"alt-svc":"h3=\":443\"; ma=2592000","connection":"close","content-length":"446","content-type":"application/json; charset=utf-8","date":"Sat, 23 May 2026 02:22:10 GMT","referrer-policy":"strict-origin-when-cross-origin","server":"nginx/1.24.0 (Ubuntu)","strict-transport-security":"max-age=31536000; includeSubDomains; preload","vary":"Accept-Encoding","via":"1.1 Caddy","x-content-type-options":"nosniff","x-frame-options":"DENY","x-new-api-version":"v1.0.0-rc.2","x-oneapi-request-id":"202605230222067486146068268d9d6i0nvvykC","x-request-id":"caade281-260d-4d42-b0cb-28e7594cfd27"}</t>
        </is>
      </c>
      <c r="N48" t="inlineStr">
        <is>
          <t>The North Face white black colorblock hooded hardshell jacket, waterproof windproof fabric, snap zip front, drawstring hood, unisex outdoor casual coat</t>
        </is>
      </c>
      <c r="O48" t="inlineStr">
        <is>
          <t>{"id":"resp_0c2868af70859a29016a1115287364819fb40d30336c6014ea","object":"chat.completion","created":1779504430,"model":"gpt-5.5","choices":[{"index":0,"message":{"role":"assistant","content":"The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kakobuysheet2026"},"finish_reason":"stop"}],"usage":{"prompt_tokens":856,"completion_tokens":246,"total_tokens":1102}}</t>
        </is>
      </c>
      <c r="P48" t="inlineStr">
        <is>
          <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t>
        </is>
      </c>
      <c r="Q48" t="inlineStr">
        <is>
          <t>Color Block, Waterproof, Windproof, Outdoor, Unisex</t>
        </is>
      </c>
      <c r="R48" t="inlineStr">
        <is>
          <t>recvkkO0nsnRC3</t>
        </is>
      </c>
      <c r="S48" t="inlineStr">
        <is>
          <t>the-north-face-white-black-waterproof-hooded-jacket-recvkkO0nsnRC3</t>
        </is>
      </c>
      <c r="T48"/>
      <c r="U48"/>
      <c r="V48"/>
      <c r="W48" t="inlineStr">
        <is>
          <t>{"id":"resp_0f1f8bceb5a286dc016a110b84628481a0ab68bd81c1b44b1c","object":"chat.completion","created":1779501960,"model":"gpt-5.5","choices":[{"index":0,"message":{"role":"assistant","content":"北面The North Face 白黑拼色连帽冲锋夹克，防风防水机能面料，按扣拉链门襟与抽绳帽设计，男女同款户外休闲外套"},"finish_reason":"stop"}],"usage":{"prompt_tokens":1390,"completion_tokens":134,"total_tokens":1524}}</t>
        </is>
      </c>
      <c r="X48" t="inlineStr">
        <is>
          <t>北面The North Face 白黑拼色连帽冲锋夹克，防风防水机能面料，按扣拉链门襟与抽绳帽设计，男女同款户外休闲外套</t>
        </is>
      </c>
    </row>
    <row r="49" ht="25.5" customHeight="1">
      <c r="A49">
        <v>1839115443</v>
      </c>
      <c r="B49">
        <v>7773071902</v>
      </c>
      <c r="C49" s="2" t="str">
        <f>=HYPERLINK("https://weidian.com/item.html?itemID=7773071902", "https://weidian.com/item.html?itemID=7773071902")</f>
        <v>https://weidian.com/item.html?itemID=7773071902</v>
      </c>
      <c r="D49"/>
      <c r="E49" s="2" t="str">
        <f>=HYPERLINK("https://si.geilicdn.com/open1839115443-252808396-57e20000019e4e918fd50a22d249_790_811.jpg?w=640&amp;h=640", "https://si.geilicdn.com/open1839115443-252808396-57e20000019e4e918fd50a22d249_790_811.jpg?w=640&amp;h=640")</f>
        <v>https://si.geilicdn.com/open1839115443-252808396-57e20000019e4e918fd50a22d249_790_811.jpg?w=640&amp;h=640</v>
      </c>
      <c r="F49" t="inlineStr">
        <is>
          <t>Jackets</t>
        </is>
      </c>
      <c r="G49" t="inlineStr">
        <is>
          <t>Other</t>
        </is>
      </c>
      <c r="H49">
        <v>143</v>
      </c>
      <c r="I49">
        <v>20.72</v>
      </c>
      <c r="J49" t="inlineStr">
        <is>
          <t>{"id":"resp_004717094032c1ca016a1112cd62e8819fa083048a0f618587","object":"chat.completion","created":1779503825,"model":"gpt-5.5","choices":[{"index":0,"message":{"role":"assistant","content":"Light Gray Unisex Hooded Sun Protection Windbreaker Jacket"},"finish_reason":"stop"}],"usage":{"prompt_tokens":745,"completion_tokens":149,"total_tokens":894}}</t>
        </is>
      </c>
      <c r="K49" t="inlineStr">
        <is>
          <t>Light Gray Unisex Hooded Sun Protection Windbreaker Jacket</t>
        </is>
      </c>
      <c r="L49" t="inlineStr">
        <is>
          <t>{"id":"resp_0b822f74aa5e407d016a110f5416b881a1b665510c1b991f44","object":"chat.completion","created":1779502934,"model":"gpt-5.5","choices":[{"index":0,"message":{"role":"assistant","content":"JacketsOther Light Gray Couples Hooded Sun Protection Jacket, lightweight quick-dry nylon, zip-up windproof breathable unisex outdoor casual coat"},"finish_reason":"stop"}],"usage":{"prompt_tokens":760,"completion_tokens":106,"total_tokens":866}}</t>
        </is>
      </c>
      <c r="M49" t="inlineStr">
        <is>
          <t>{"alt-svc":"h3=\":443\"; ma=2592000","connection":"close","content-length":"439","content-type":"application/json; charset=utf-8","date":"Sat, 23 May 2026 02:22:14 GMT","referrer-policy":"strict-origin-when-cross-origin","server":"nginx/1.24.0 (Ubuntu)","strict-transport-security":"max-age=31536000; includeSubDomains; preload","vary":"Accept-Encoding","via":"1.1 Caddy","x-content-type-options":"nosniff","x-frame-options":"DENY","x-new-api-version":"v1.0.0-rc.2","x-oneapi-request-id":"202605230222117985890928268d9d6QCkt6sVm","x-request-id":"5da1b314-9b75-42b7-9262-778bbc3917a4"}</t>
        </is>
      </c>
      <c r="N49" t="inlineStr">
        <is>
          <t>JacketsOther Light Gray Couples Hooded Sun Protection Jacket, lightweight quick-dry nylon, zip-up windproof breathable unisex outdoor casual coat</t>
        </is>
      </c>
      <c r="O49" t="inlineStr">
        <is>
          <t>{"id":"resp_0c8ed121d2734f7d016a11152c04d8819ea1d0d857465664a3","object":"chat.completion","created":1779504434,"model":"gpt-5.5","choices":[{"index":0,"message":{"role":"assistant","content":"Other Jackets kakobuy, Other Jackets kakebuy2026, Other Jackets kekobuysheet, Other Jackets kakobuysheet2026, Other Jackets 2026kakobuy, Other Jackets kakobuyspreadsheeet, Other Jackets kakobuylink, Other Jackets kakebuylist, Other Jackets Kakobuy MEGA Spreadsheet, Other Jackets kakobuysheetfind, Other Jackets kakobuysheetfind2026, Other Jackets 2026kakobuysheetfind, Other Jackets kakobuysheet2026"},"finish_reason":"stop"}],"usage":{"prompt_tokens":667,"completion_tokens":237,"total_tokens":904}}</t>
        </is>
      </c>
      <c r="P49" t="inlineStr">
        <is>
          <t>Other Jackets kakobuy, Other Jackets kakebuy2026, Other Jackets kekobuysheet, Other Jackets kakobuysheet2026, Other Jackets 2026kakobuy, Other Jackets kakobuyspreadsheeet, Other Jackets kakobuylink, Other Jackets kakebuylist, Other Jackets Kakobuy MEGA Spreadsheet, Other Jackets kakobuysheetfind, Other Jackets kakobuysheetfind2026, Other Jackets 2026kakobuysheetfind, Other Jackets kakobuysheet2026</t>
        </is>
      </c>
      <c r="Q49" t="inlineStr">
        <is>
          <t>Lightweight, Quick Dry, Nylon, Windproof, Breathable, Unisex</t>
        </is>
      </c>
      <c r="R49" t="inlineStr">
        <is>
          <t>recvkkO0nsWdJa</t>
        </is>
      </c>
      <c r="S49" t="inlineStr">
        <is>
          <t>light-gray-unisex-hooded-sun-protection-windbreaker-recvkkO0nsWdJa</t>
        </is>
      </c>
      <c r="T49"/>
      <c r="U49"/>
      <c r="V49"/>
      <c r="W49" t="inlineStr">
        <is>
          <t>{"id":"resp_067e709e1e71f2f8016a110bfbb98c81a285ba4e26dad46e10","object":"chat.completion","created":1779502087,"model":"gpt-5.5","choices":[{"index":0,"message":{"role":"assistant","content":"浅灰情侣款连帽防晒夹克，轻薄尼龙速干面料，拉链开合防风透气，简约休闲男女通用户外外套"},"finish_reason":"stop"}],"usage":{"prompt_tokens":1185,"completion_tokens":105,"total_tokens":1290}}</t>
        </is>
      </c>
      <c r="X49" t="inlineStr">
        <is>
          <t>浅灰情侣款连帽防晒夹克，轻薄尼龙速干面料，拉链开合防风透气，简约休闲男女通用户外外套</t>
        </is>
      </c>
    </row>
    <row r="50" ht="25.5" customHeight="1">
      <c r="A50">
        <v>1839115443</v>
      </c>
      <c r="B50">
        <v>7770005499</v>
      </c>
      <c r="C50" s="2" t="str">
        <f>=HYPERLINK("https://weidian.com/item.html?itemID=7770005499", "https://weidian.com/item.html?itemID=7770005499")</f>
        <v>https://weidian.com/item.html?itemID=7770005499</v>
      </c>
      <c r="D50"/>
      <c r="E50" s="2" t="str">
        <f>=HYPERLINK("https://si.geilicdn.com/open1839115443-252808396-50480000019e4e9a04550aa08269_800_800.jpg?w=750&amp;h=750&amp;cp=1", "https://si.geilicdn.com/open1839115443-252808396-50480000019e4e9a04550aa08269_800_800.jpg?w=750&amp;h=750&amp;cp=1")</f>
        <v>https://si.geilicdn.com/open1839115443-252808396-50480000019e4e9a04550aa08269_800_800.jpg?w=750&amp;h=750&amp;cp=1</v>
      </c>
      <c r="F50" t="inlineStr">
        <is>
          <t>T-Shirts</t>
        </is>
      </c>
      <c r="G50" t="inlineStr">
        <is>
          <t>The North Face</t>
        </is>
      </c>
      <c r="H50">
        <v>71</v>
      </c>
      <c r="I50">
        <v>10.29</v>
      </c>
      <c r="J50" t="inlineStr">
        <is>
          <t>{"id":"resp_0370321e22421301016a11130fb14c81a2b671336cb7401bae","object":"chat.completion","created":1779503892,"model":"gpt-5.5","choices":[{"index":0,"message":{"role":"assistant","content":"The North Face White Cotton Logo T-Shirt Unisex Outdoor Tee"},"finish_reason":"stop"}],"usage":{"prompt_tokens":926,"completion_tokens":189,"total_tokens":1115}}</t>
        </is>
      </c>
      <c r="K50" t="inlineStr">
        <is>
          <t>The North Face White Cotton Logo T-Shirt Unisex Outdoor Tee</t>
        </is>
      </c>
      <c r="L50" t="inlineStr">
        <is>
          <t>{"id":"resp_01adf024b914e355016a110ebedd848194b4dd1b6f63ee945e","object":"chat.completion","created":1779502784,"model":"gpt-5.5","choices":[{"index":0,"message":{"role":"assistant","content":"The North Face white cotton short sleeve T-shirt, breathable unisex outdoor casual tee with black chest logo, basic everyday top"},"finish_reason":"stop"}],"usage":{"prompt_tokens":957,"completion_tokens":28,"total_tokens":985}}</t>
        </is>
      </c>
      <c r="M50" t="inlineStr">
        <is>
          <t>{"alt-svc":"h3=\":443\"; ma=2592000","connection":"close","content-length":"421","content-type":"application/json; charset=utf-8","date":"Sat, 23 May 2026 02:19:44 GMT","referrer-policy":"strict-origin-when-cross-origin","server":"Caddy","strict-transport-security":"max-age=31536000; includeSubDomains; preload","vary":"Accept-Encoding","x-content-type-options":"nosniff","x-frame-options":"DENY","x-new-api-version":"v1.0.0-rc.2","x-oneapi-request-id":"202605230219424609741848268d9d6CcjJaEat","x-request-id":"2ec38472-c5b9-4e8f-a8ef-6ba1d3cc82cb"}</t>
        </is>
      </c>
      <c r="N50" t="inlineStr">
        <is>
          <t>The North Face white cotton short sleeve T-shirt, breathable unisex outdoor casual tee with black chest logo, basic everyday top</t>
        </is>
      </c>
      <c r="O50" t="inlineStr">
        <is>
          <t>{"id":"resp_0de525b44977f0cb016a111459c3bc8193bfef853e5d24261b","object":"chat.completion","created":1779504226,"model":"gpt-5.5","choices":[{"index":0,"message":{"role":"assistant","content":"The North Face T-Shirts kakobuy, The North Face T-Shirts kakebuy2026, The North Face T-Shirts kekobuysheet, The North Face T-Shirts kakobuysheet2026, The North Face T-Shirts 2026kakobuy, The North Face T-Shirts kakobuyspreadsheeet, The North Face T-Shirts kakobuylink, The North Face T-Shirts kakebuylist, The North Face T-Shirts Kakobuy MEGA Spreadsheet, The North Face T-Shirts kakobuysheetfind, The North Face T-Shirts kakobuysheetfind2026, The North Face T-Shirts 2026kakobuysheetfind, The North Face T-Shirts kakobuysheet2026"},"finish_reason":"stop"}],"usage":{"prompt_tokens":856,"completion_tokens":394,"total_tokens":1250}}</t>
        </is>
      </c>
      <c r="P50" t="inlineStr">
        <is>
          <t>The North Face T-Shirts kakobuy, The North Face T-Shirts kakebuy2026, The North Face T-Shirts kekobuysheet, The North Face T-Shirts kakobuysheet2026, The North Face T-Shirts 2026kakobuy, The North Face T-Shirts kakobuyspreadsheeet, The North Face T-Shirts kakobuylink, The North Face T-Shirts kakebuylist, The North Face T-Shirts Kakobuy MEGA Spreadsheet, The North Face T-Shirts kakobuysheetfind, The North Face T-Shirts kakobuysheetfind2026, The North Face T-Shirts 2026kakobuysheetfind, The North Face T-Shirts kakobuysheet2026</t>
        </is>
      </c>
      <c r="Q50" t="inlineStr">
        <is>
          <t>White, Breathable, Unisex, Outdoor</t>
        </is>
      </c>
      <c r="R50" t="inlineStr">
        <is>
          <t>recvkkO0nsWcV0</t>
        </is>
      </c>
      <c r="S50" t="inlineStr">
        <is>
          <t>the-north-face-white-cotton-logo-tee-recvkkO0nsWcV0</t>
        </is>
      </c>
      <c r="T50"/>
      <c r="U50"/>
      <c r="V50"/>
      <c r="W50" t="inlineStr">
        <is>
          <t>{"id":"resp_0ab2082f54e7d885016a110c2c6468819cae9b059da0a1705f","object":"chat.completion","created":1779502127,"model":"gpt-5.5","choices":[{"index":0,"message":{"role":"assistant","content":"北面 The North Face 白色短袖T恤，纯棉透气面料，胸前黑色Logo印花，简约户外休闲风，男女通用基础款上衣"},"finish_reason":"stop"}],"usage":{"prompt_tokens":1382,"completion_tokens":140,"total_tokens":1522}}</t>
        </is>
      </c>
      <c r="X50" t="inlineStr">
        <is>
          <t>北面 The North Face 白色短袖T恤，纯棉透气面料，胸前黑色Logo印花，简约户外休闲风，男女通用基础款上衣</t>
        </is>
      </c>
    </row>
    <row r="51" ht="25.5" customHeight="1">
      <c r="A51">
        <v>1839115443</v>
      </c>
      <c r="B51">
        <v>7773084612</v>
      </c>
      <c r="C51" s="2" t="str">
        <f>=HYPERLINK("https://weidian.com/item.html?itemID=7773084612", "https://weidian.com/item.html?itemID=7773084612")</f>
        <v>https://weidian.com/item.html?itemID=7773084612</v>
      </c>
      <c r="D51"/>
      <c r="E51" s="2" t="str">
        <f>=HYPERLINK("https://si.geilicdn.com/open1839115443-252808396-00530000019e4ea7523a0a231226_1194_1194.jpg?w=640&amp;h=640", "https://si.geilicdn.com/open1839115443-252808396-00530000019e4ea7523a0a231226_1194_1194.jpg?w=640&amp;h=640")</f>
        <v>https://si.geilicdn.com/open1839115443-252808396-00530000019e4ea7523a0a231226_1194_1194.jpg?w=640&amp;h=640</v>
      </c>
      <c r="F51" t="inlineStr">
        <is>
          <t>Pants</t>
        </is>
      </c>
      <c r="G51" t="inlineStr">
        <is>
          <t>Other</t>
        </is>
      </c>
      <c r="H51">
        <v>131</v>
      </c>
      <c r="I51">
        <v>18.99</v>
      </c>
      <c r="J51" t="inlineStr">
        <is>
          <t>{"id":"resp_032452a7fb67e2f5016a111369b1bc81938cfc1f565cc7c23d","object":"chat.completion","created":1779503982,"model":"gpt-5.5","choices":[{"index":0,"message":{"role":"assistant","content":"PantsOther Women's Light Gray Wide Leg Cargo Sweatpants"},"finish_reason":"stop"}],"usage":{"prompt_tokens":723,"completion_tokens":191,"total_tokens":914}}</t>
        </is>
      </c>
      <c r="K51" t="inlineStr">
        <is>
          <t>PantsOther Women's Light Gray Wide Leg Cargo Sweatpants</t>
        </is>
      </c>
      <c r="L51" t="inlineStr">
        <is>
          <t>{"id":"resp_011d66372206766a016a110f471a0881a3bd99d8b7de512582","object":"chat.completion","created":1779502922,"model":"gpt-5.5","choices":[{"index":0,"message":{"role":"assistant","content":"PantsOther Women's Light Gray Wide Leg Cargo Sweatpants, soft cotton blend fleece, high elastic drawstring waist, multi-pocket casual streetwear pants"},"finish_reason":"stop"}],"usage":{"prompt_tokens":743,"completion_tokens":130,"total_tokens":873}}</t>
        </is>
      </c>
      <c r="M51" t="inlineStr">
        <is>
          <t>{"alt-svc":"h3=\":443\"; ma=2592000","connection":"close","content-length":"444","content-type":"application/json; charset=utf-8","date":"Sat, 23 May 2026 02:22:02 GMT","referrer-policy":"strict-origin-when-cross-origin","server":"Caddy","strict-transport-security":"max-age=31536000; includeSubDomains; preload","vary":"Accept-Encoding","x-content-type-options":"nosniff","x-frame-options":"DENY","x-new-api-version":"v1.0.0-rc.2","x-oneapi-request-id":"202605230221586985692058268d9d6BGuJMsIk","x-request-id":"f05d9863-76ce-4566-8147-38b401840f7f"}</t>
        </is>
      </c>
      <c r="N51" t="inlineStr">
        <is>
          <t>PantsOther Women's Light Gray Wide Leg Cargo Sweatpants, soft cotton blend fleece, high elastic drawstring waist, multi-pocket casual streetwear pants</t>
        </is>
      </c>
      <c r="O51" t="inlineStr">
        <is>
          <t>{"id":"resp_0a935c0faeab7f53016a1115361064819db25842f1a7a40815","object":"chat.completion","created":1779504445,"model":"gpt-5.5","choices":[{"index":0,"message":{"role":"assistant","content":"Pants, Other, kakobuy, kakebuy2026, kekobuysheet, kakobuysheet2026, 2026kakobuy, kakobuyspreadsheeet, kakobuylink, kakebuylist, Kakobuy MEGA Spreadsheet, kakobuysheetfind, kakobuysheetfind2026, 2026kakobuysheetfind, kakobuysheet2026"},"finish_reason":"stop"}],"usage":{"prompt_tokens":643,"completion_tokens":382,"total_tokens":1025}}</t>
        </is>
      </c>
      <c r="P51" t="inlineStr">
        <is>
          <t>Pants, Other, kakobuy, kakebuy2026, kekobuysheet, kakobuysheet2026, 2026kakobuy, kakobuyspreadsheeet, kakobuylink, kakebuylist, Kakobuy MEGA Spreadsheet, kakobuysheetfind, kakobuysheetfind2026, 2026kakobuysheetfind, kakobuysheet2026</t>
        </is>
      </c>
      <c r="Q51" t="inlineStr">
        <is>
          <t>Women, Gray, Cargo, Streetwear, Fleece-Lined</t>
        </is>
      </c>
      <c r="R51" t="inlineStr">
        <is>
          <t>recvkkO0nsrKLh</t>
        </is>
      </c>
      <c r="S51" t="inlineStr">
        <is>
          <t>women-light-gray-wide-leg-cargo-sweatpants-recvkkO0nsrKLh</t>
        </is>
      </c>
      <c r="T51"/>
      <c r="U51"/>
      <c r="V51"/>
      <c r="W51" t="inlineStr">
        <is>
          <t>{"id":"resp_01cdc324a7750cfb016a110bd890488190a7cdaec3e2943bf9","object":"chat.completion","created":1779502043,"model":"gpt-5.5","choices":[{"index":0,"message":{"role":"assistant","content":"浅灰色运动工装阔腿裤，柔软棉混纺卫衣面料，松紧高腰抽绳，多口袋实用设计，女款休闲街头长裤"},"finish_reason":"stop"}],"usage":{"prompt_tokens":1163,"completion_tokens":101,"total_tokens":1264}}</t>
        </is>
      </c>
      <c r="X51" t="inlineStr">
        <is>
          <t>浅灰色运动工装阔腿裤，柔软棉混纺卫衣面料，松紧高腰抽绳，多口袋实用设计，女款休闲街头长裤</t>
        </is>
      </c>
    </row>
    <row r="52" ht="25.5" customHeight="1">
      <c r="A52">
        <v>1839115443</v>
      </c>
      <c r="B52">
        <v>7770016917</v>
      </c>
      <c r="C52" s="2" t="str">
        <f>=HYPERLINK("https://weidian.com/item.html?itemID=7770016917", "https://weidian.com/item.html?itemID=7770016917")</f>
        <v>https://weidian.com/item.html?itemID=7770016917</v>
      </c>
      <c r="D52"/>
      <c r="E52" s="2" t="str">
        <f>=HYPERLINK("https://si.geilicdn.com/open1839115443-252808396-2a120000019e4e8fd5540a8133b0_800_800.jpg?w=750&amp;h=750&amp;cp=1", "https://si.geilicdn.com/open1839115443-252808396-2a120000019e4e8fd5540a8133b0_800_800.jpg?w=750&amp;h=750&amp;cp=1")</f>
        <v>https://si.geilicdn.com/open1839115443-252808396-2a120000019e4e8fd5540a8133b0_800_800.jpg?w=750&amp;h=750&amp;cp=1</v>
      </c>
      <c r="F52" t="inlineStr">
        <is>
          <t>Jackets</t>
        </is>
      </c>
      <c r="G52" t="inlineStr">
        <is>
          <t>Other</t>
        </is>
      </c>
      <c r="H52">
        <v>215</v>
      </c>
      <c r="I52">
        <v>31.16</v>
      </c>
      <c r="J52" t="inlineStr">
        <is>
          <t>{"id":"resp_07f643b14ccf9bf1016a1112ec481081969b73b3c0f6405975","object":"chat.completion","created":1779503857,"model":"gpt-5.5","choices":[{"index":0,"message":{"role":"assistant","content":"Unisex Vintage Varsity Jacket N 23 Sherpa Baseball Coat"},"finish_reason":"stop"}],"usage":{"prompt_tokens":945,"completion_tokens":157,"total_tokens":1102}}</t>
        </is>
      </c>
      <c r="K52" t="inlineStr">
        <is>
          <t>Unisex Vintage Varsity Jacket N 23 Sherpa Baseball Coat</t>
        </is>
      </c>
      <c r="L52" t="inlineStr">
        <is>
          <t>{"id":"resp_02723884301f2694016a110f446b3c8191a60dea1347bd0482","object":"chat.completion","created":1779502918,"model":"gpt-5.5","choices":[{"index":0,"message":{"role":"assistant","content":"JacketsOther unisex vintage American varsity jacket, sherpa fleece feel, colorblock baseball coat with N &amp; 23 embroidered patches, stand collar, snap buttons streetwear."},"finish_reason":"stop"}],"usage":{"prompt_tokens":962,"completion_tokens":76,"total_tokens":1038}}</t>
        </is>
      </c>
      <c r="M52" t="inlineStr">
        <is>
          <t>{"alt-svc":"h3=\":443\"; ma=2592000","connection":"close","content-length":"468","content-type":"application/json; charset=utf-8","date":"Sat, 23 May 2026 02:21:58 GMT","referrer-policy":"strict-origin-when-cross-origin","server":"Caddy","strict-transport-security":"max-age=31536000; includeSubDomains; preload","vary":"Accept-Encoding","x-content-type-options":"nosniff","x-frame-options":"DENY","x-new-api-version":"v1.0.0-rc.2","x-oneapi-request-id":"20260523022156288798458268d9d6oFFqt7Ip","x-request-id":"d01e6e25-5fba-440e-8ef4-a4ac11900f11"}</t>
        </is>
      </c>
      <c r="N52" t="inlineStr">
        <is>
          <t>JacketsOther unisex vintage American varsity jacket, sherpa fleece feel, colorblock baseball coat with N &amp; 23 embroidered patches, stand collar, snap buttons streetwear.</t>
        </is>
      </c>
      <c r="O52" t="inlineStr">
        <is>
          <t>{"id":"resp_0cc092d1b5a042e8016a1114fb3dec81938b2099c15f21da6a","object":"chat.completion","created":1779504385,"model":"gpt-5.5","choices":[{"index":0,"message":{"role":"assistant","content":"Other Jackets kakobuy, Other Jackets kakebuy2026, Other Jackets kekobuysheet, Other Jackets kakobuysheet2026, Other Jackets 2026kakobuy, Other Jackets kakobuyspreadsheeet, Other Jackets kakobuylink, Other Jackets kakebuylist, Other Jackets Kakobuy MEGA Spreadsheet, Other Jackets kakobuysheetfind, Other Jackets kakobuysheetfind2026, Other Jackets 2026kakobuysheetfind, Other Jackets kakobuysheet2026"},"finish_reason":"stop"}],"usage":{"prompt_tokens":854,"completion_tokens":254,"total_tokens":1108}}</t>
        </is>
      </c>
      <c r="P52" t="inlineStr">
        <is>
          <t>Other Jackets kakobuy, Other Jackets kakebuy2026, Other Jackets kekobuysheet, Other Jackets kakobuysheet2026, Other Jackets 2026kakobuy, Other Jackets kakobuyspreadsheeet, Other Jackets kakobuylink, Other Jackets kakebuylist, Other Jackets Kakobuy MEGA Spreadsheet, Other Jackets kakobuysheetfind, Other Jackets kakobuysheetfind2026, Other Jackets 2026kakobuysheetfind, Other Jackets kakobuysheet2026</t>
        </is>
      </c>
      <c r="Q52" t="inlineStr">
        <is>
          <t>Unisex, Vintage, Color Block, Streetwear, Fleece-Lined</t>
        </is>
      </c>
      <c r="R52" t="inlineStr">
        <is>
          <t>recvkkO0nstPO4</t>
        </is>
      </c>
      <c r="S52" t="inlineStr">
        <is>
          <t>unisex-vintage-varsity-jacket-n23-sherpa-baseball-coat-recvkkO0nstPO4</t>
        </is>
      </c>
      <c r="T52"/>
      <c r="U52"/>
      <c r="V52"/>
      <c r="W52" t="inlineStr">
        <is>
          <t>{"id":"resp_0c61d9fc30991e24016a110b6785a081a28b3dcb2cbacf741b","object":"chat.completion","created":1779501930,"model":"gpt-5.5","choices":[{"index":0,"message":{"role":"assistant","content":"黑白拼色复古美式棒球服外套，羊羔绒质感面料，字母N与23刺绣贴布，立领纽扣设计，男女同款街头夹克"},"finish_reason":"stop"}],"usage":{"prompt_tokens":1384,"completion_tokens":103,"total_tokens":1487}}</t>
        </is>
      </c>
      <c r="X52" t="inlineStr">
        <is>
          <t>黑白拼色复古美式棒球服外套，羊羔绒质感面料，字母N与23刺绣贴布，立领纽扣设计，男女同款街头夹克</t>
        </is>
      </c>
    </row>
    <row r="53" ht="25.5" customHeight="1">
      <c r="A53">
        <v>1839115443</v>
      </c>
      <c r="B53">
        <v>7770044627</v>
      </c>
      <c r="C53" s="2" t="str">
        <f>=HYPERLINK("https://weidian.com/item.html?itemID=7770044627", "https://weidian.com/item.html?itemID=7770044627")</f>
        <v>https://weidian.com/item.html?itemID=7770044627</v>
      </c>
      <c r="D53"/>
      <c r="E53" s="2" t="str">
        <f>=HYPERLINK("https://si.geilicdn.com/open1839115443-252808396-4f840000019e4e9804800aa08269_750_1088.jpg?w=640&amp;h=640", "https://si.geilicdn.com/open1839115443-252808396-4f840000019e4e9804800aa08269_750_1088.jpg?w=640&amp;h=640")</f>
        <v>https://si.geilicdn.com/open1839115443-252808396-4f840000019e4e9804800aa08269_750_1088.jpg?w=640&amp;h=640</v>
      </c>
      <c r="F53" t="inlineStr">
        <is>
          <t>Jackets</t>
        </is>
      </c>
      <c r="G53" t="inlineStr">
        <is>
          <t>Other</t>
        </is>
      </c>
      <c r="H53">
        <v>142</v>
      </c>
      <c r="I53">
        <v>20.58</v>
      </c>
      <c r="J53" t="inlineStr">
        <is>
          <t>{"id":"resp_043806c63e47bfd7016a1112ee2ddc819382aa5106656b2a53","object":"chat.completion","created":1779503860,"model":"gpt-5.5","choices":[{"index":0,"message":{"role":"assistant","content":"Unisex Waterproof Colorblock Shell Jacket Detachable Hood"},"finish_reason":"stop"}],"usage":{"prompt_tokens":943,"completion_tokens":320,"total_tokens":1263}}</t>
        </is>
      </c>
      <c r="K53" t="inlineStr">
        <is>
          <t>Unisex Waterproof Colorblock Shell Jacket Detachable Hood</t>
        </is>
      </c>
      <c r="L53" t="inlineStr">
        <is>
          <t>{"id":"resp_009d0999255dff10016a110f6b0d2081909dcbb2750669ffad","object":"chat.completion","created":1779502958,"model":"gpt-5.5","choices":[{"index":0,"message":{"role":"assistant","content":"JacketsOther unisex spring fall outdoor shell jacket, white black colorblock, windproof waterproof breathable, detachable hood, high collar, casual techwear coat"},"finish_reason":"stop"}],"usage":{"prompt_tokens":956,"completion_tokens":119,"total_tokens":1075}}</t>
        </is>
      </c>
      <c r="M53" t="inlineStr">
        <is>
          <t>{"alt-svc":"h3=\":443\"; ma=2592000","connection":"close","content-length":"456","content-type":"application/json; charset=utf-8","date":"Sat, 23 May 2026 02:22:38 GMT","referrer-policy":"strict-origin-when-cross-origin","server":"Caddy","strict-transport-security":"max-age=31536000; includeSubDomains; preload","vary":"Accept-Encoding","x-content-type-options":"nosniff","x-frame-options":"DENY","x-new-api-version":"v1.0.0-rc.2","x-oneapi-request-id":"202605230222347350839318268d9d6pB79Gvis","x-request-id":"fe4ec96f-df88-4fbe-8083-74ac9492e2c0"}</t>
        </is>
      </c>
      <c r="N53" t="inlineStr">
        <is>
          <t>JacketsOther unisex spring fall outdoor shell jacket, white black colorblock, windproof waterproof breathable, detachable hood, high collar, casual techwear coat</t>
        </is>
      </c>
      <c r="O53" t="inlineStr">
        <is>
          <t>{"id":"resp_01633ed1513bc4ce016a1114c983108195ba28dcf3b0fa43e4","object":"chat.completion","created":1779504337,"model":"gpt-5.5","choices":[{"index":0,"message":{"role":"assistant","content":"Other Jackets kakobuy, Other Jackets kakebuy2026, Other Jackets kekobuysheet, Other Jackets kakobuysheet2026, Other Jackets 2026kakobuy, Other Jackets kakobuyspreadsheeet, Other Jackets kakobuylink, Other Jackets kakebuylist, Other Jackets Kakobuy MEGA Spreadsheet, Other Jackets kakobuysheetfind, Other Jackets kakobuysheetfind2026, Other Jackets 2026kakobuysheetfind, Other Jackets kakobuysheet2026"},"finish_reason":"stop"}],"usage":{"prompt_tokens":859,"completion_tokens":357,"total_tokens":1216}}</t>
        </is>
      </c>
      <c r="P53" t="inlineStr">
        <is>
          <t>Other Jackets kakobuy, Other Jackets kakebuy2026, Other Jackets kekobuysheet, Other Jackets kakobuysheet2026, Other Jackets 2026kakobuy, Other Jackets kakobuyspreadsheeet, Other Jackets kakobuylink, Other Jackets kakebuylist, Other Jackets Kakobuy MEGA Spreadsheet, Other Jackets kakobuysheetfind, Other Jackets kakobuysheetfind2026, Other Jackets 2026kakobuysheetfind, Other Jackets kakobuysheet2026</t>
        </is>
      </c>
      <c r="Q53" t="inlineStr">
        <is>
          <t>Unisex, Spring And Autumn, Outdoor, Color Block, Windproof, Waterproof</t>
        </is>
      </c>
      <c r="R53" t="inlineStr">
        <is>
          <t>recvkkO0nsD1Om</t>
        </is>
      </c>
      <c r="S53" t="inlineStr">
        <is>
          <t>unisex-waterproof-colorblock-shell-jacket-detachable-hood-recvkkO0nsD1Om</t>
        </is>
      </c>
      <c r="T53"/>
      <c r="U53"/>
      <c r="V53"/>
      <c r="W53" t="inlineStr">
        <is>
          <t>{"id":"resp_08ccf0e0090c555b016a110bf7e35c8190b77ff7f1317e55ae","object":"chat.completion","created":1779502074,"model":"gpt-5.5","choices":[{"index":0,"message":{"role":"assistant","content":"春秋白黑拼色户外冲锋衣外套，防风防雨透气面料，可拆卸连帽高领设计，休闲机能风男女通用夹克品类"},"finish_reason":"stop"}],"usage":{"prompt_tokens":1377,"completion_tokens":113,"total_tokens":1490}}</t>
        </is>
      </c>
      <c r="X53" t="inlineStr">
        <is>
          <t>春秋白黑拼色户外冲锋衣外套，防风防雨透气面料，可拆卸连帽高领设计，休闲机能风男女通用夹克品类</t>
        </is>
      </c>
    </row>
    <row r="54" ht="25.5" customHeight="1">
      <c r="A54">
        <v>1839115443</v>
      </c>
      <c r="B54">
        <v>7773111778</v>
      </c>
      <c r="C54" s="2" t="str">
        <f>=HYPERLINK("https://weidian.com/item.html?itemID=7773111778", "https://weidian.com/item.html?itemID=7773111778")</f>
        <v>https://weidian.com/item.html?itemID=7773111778</v>
      </c>
      <c r="D54"/>
      <c r="E54" s="2" t="str">
        <f>=HYPERLINK("https://si.geilicdn.com/open1839115443-252808396-64010000019e4e9eaefd0aa08239_800_800.jpg?w=640&amp;h=640", "https://si.geilicdn.com/open1839115443-252808396-64010000019e4e9eaefd0aa08239_800_800.jpg?w=640&amp;h=640")</f>
        <v>https://si.geilicdn.com/open1839115443-252808396-64010000019e4e9eaefd0aa08239_800_800.jpg?w=640&amp;h=640</v>
      </c>
      <c r="F54" t="inlineStr">
        <is>
          <t>Shorts</t>
        </is>
      </c>
      <c r="G54" t="inlineStr">
        <is>
          <t>Ralph Lauren</t>
        </is>
      </c>
      <c r="H54">
        <v>99</v>
      </c>
      <c r="I54">
        <v>14.35</v>
      </c>
      <c r="J54" t="inlineStr">
        <is>
          <t>{"id":"resp_0a6c3c4d93121b30016a1113781af4819fb03c990fcc4819be","object":"chat.completion","created":1779503994,"model":"gpt-5.5","choices":[{"index":0,"message":{"role":"assistant","content":"Ralph Lauren Polo White Drawstring Cotton Shorts"},"finish_reason":"stop"}],"usage":{"prompt_tokens":722,"completion_tokens":75,"total_tokens":797}}</t>
        </is>
      </c>
      <c r="K54" t="inlineStr">
        <is>
          <t>Ralph Lauren Polo White Drawstring Cotton Shorts</t>
        </is>
      </c>
      <c r="L54" t="inlineStr">
        <is>
          <t>{"id":"resp_0b9a1d3e05396465016a110f3c66188191bb3fa9f6fe6ed0a8","object":"chat.completion","created":1779502909,"model":"gpt-5.5","choices":[{"index":0,"message":{"role":"assistant","content":"Ralph Lauren Polo white drawstring shorts, soft cotton knit, elastic waist, navy pony logo embroidery, unisex summer casual athletic shorts."},"finish_reason":"stop"}],"usage":{"prompt_tokens":746,"completion_tokens":32,"total_tokens":778}}</t>
        </is>
      </c>
      <c r="M54" t="inlineStr">
        <is>
          <t>{"alt-svc":"h3=\":443\"; ma=2592000","connection":"close","content-length":"433","content-type":"application/json; charset=utf-8","date":"Sat, 23 May 2026 02:21:49 GMT","referrer-policy":"strict-origin-when-cross-origin","server":"Caddy","strict-transport-security":"max-age=31536000; includeSubDomains; preload","vary":"Accept-Encoding","x-content-type-options":"nosniff","x-frame-options":"DENY","x-new-api-version":"v1.0.0-rc.2","x-oneapi-request-id":"202605230221481286168058268d9d6aibbIm85","x-request-id":"050de145-af39-402b-8461-2904e91159fd"}</t>
        </is>
      </c>
      <c r="N54" t="inlineStr">
        <is>
          <t>Ralph Lauren Polo white drawstring shorts, soft cotton knit, elastic waist, navy pony logo embroidery, unisex summer casual athletic shorts.</t>
        </is>
      </c>
      <c r="O54" t="inlineStr">
        <is>
          <t>{"id":"resp_04f1bc0c89ab2405016a111480791c8195abf6d6a97e493832","object":"chat.completion","created":1779504262,"model":"gpt-5.5","choices":[{"index":0,"message":{"role":"assistant","content":"Ralph Lauren Shorts kakobuy, Ralph Lauren Shorts kakebuy2026, Ralph Lauren Shorts kekobuysheet, Ralph Lauren Shorts kakobuysheet2026, Ralph Lauren Shorts 2026kakobuy, Ralph Lauren Shorts kakobuyspreadsheeet, Ralph Lauren Shorts kakobuylink, Ralph Lauren Shorts kakebuylist, Ralph Lauren Shorts Kakobuy MEGA Spreadsheet, Ralph Lauren Shorts kakobuysheetfind, Ralph Lauren Shorts kakobuysheetfind2026, Ralph Lauren Shorts 2026kakobuysheetfind, Ralph Lauren Shorts kakobuysheet2026"},"finish_reason":"stop"}],"usage":{"prompt_tokens":645,"completion_tokens":286,"total_tokens":931}}</t>
        </is>
      </c>
      <c r="P54" t="inlineStr">
        <is>
          <t>Ralph Lauren Shorts kakobuy, Ralph Lauren Shorts kakebuy2026, Ralph Lauren Shorts kekobuysheet, Ralph Lauren Shorts kakobuysheet2026, Ralph Lauren Shorts 2026kakobuy, Ralph Lauren Shorts kakobuyspreadsheeet, Ralph Lauren Shorts kakobuylink, Ralph Lauren Shorts kakebuylist, Ralph Lauren Shorts Kakobuy MEGA Spreadsheet, Ralph Lauren Shorts kakobuysheetfind, Ralph Lauren Shorts kakobuysheetfind2026, Ralph Lauren Shorts 2026kakobuysheetfind, Ralph Lauren Shorts kakobuysheet2026</t>
        </is>
      </c>
      <c r="Q54" t="inlineStr">
        <is>
          <t>Unisex, Summer, Athletic, White</t>
        </is>
      </c>
      <c r="R54" t="inlineStr">
        <is>
          <t>recvkkO0nsvdr6</t>
        </is>
      </c>
      <c r="S54" t="inlineStr">
        <is>
          <t>ralph-lauren-polo-white-drawstring-cotton-shorts-recvkkO0nsvdr6</t>
        </is>
      </c>
      <c r="T54"/>
      <c r="U54"/>
      <c r="V54"/>
      <c r="W54" t="inlineStr">
        <is>
          <t>{"id":"resp_0db3a62edf9aba11016a110c0d4b7881a28154c10de3188875","object":"chat.completion","created":1779502097,"model":"gpt-5.5","choices":[{"index":0,"message":{"role":"assistant","content":"拉夫劳伦 Polo 白色抽绳休闲短裤，柔软棉质针织面料，弹力腰头，海军蓝骑马Logo刺绣，男女通用夏季运动短裤。"},"finish_reason":"stop"}],"usage":{"prompt_tokens":1163,"completion_tokens":216,"total_tokens":1379}}</t>
        </is>
      </c>
      <c r="X54" t="inlineStr">
        <is>
          <t>拉夫劳伦 Polo 白色抽绳休闲短裤，柔软棉质针织面料，弹力腰头，海军蓝骑马Logo刺绣，男女通用夏季运动短裤。</t>
        </is>
      </c>
    </row>
    <row r="55" ht="25.5" customHeight="1">
      <c r="A55">
        <v>1839115443</v>
      </c>
      <c r="B55">
        <v>7773103816</v>
      </c>
      <c r="C55" s="2" t="str">
        <f>=HYPERLINK("https://weidian.com/item.html?itemID=7773103816", "https://weidian.com/item.html?itemID=7773103816")</f>
        <v>https://weidian.com/item.html?itemID=7773103816</v>
      </c>
      <c r="D55"/>
      <c r="E55" s="2" t="str">
        <f>=HYPERLINK("https://si.geilicdn.com/open1839115443-252808396-50560000019e4e9ebfd70a8115c2_800_800.jpg?w=640&amp;h=640", "https://si.geilicdn.com/open1839115443-252808396-50560000019e4e9ebfd70a8115c2_800_800.jpg?w=640&amp;h=640")</f>
        <v>https://si.geilicdn.com/open1839115443-252808396-50560000019e4e9ebfd70a8115c2_800_800.jpg?w=640&amp;h=640</v>
      </c>
      <c r="F55" t="inlineStr">
        <is>
          <t>T-Shirts</t>
        </is>
      </c>
      <c r="G55" t="inlineStr">
        <is>
          <t>Moncler</t>
        </is>
      </c>
      <c r="H55">
        <v>85</v>
      </c>
      <c r="I55">
        <v>12.32</v>
      </c>
      <c r="J55" t="inlineStr">
        <is>
          <t>{"id":"resp_007528adef386800016a1113380154819699b5c2867b2c48ac","object":"chat.completion","created":1779503931,"model":"gpt-5.5","choices":[{"index":0,"message":{"role":"assistant","content":"Moncler White Cotton Crew Neck Logo Patch T-Shirt"},"finish_reason":"stop"}],"usage":{"prompt_tokens":719,"completion_tokens":109,"total_tokens":828}}</t>
        </is>
      </c>
      <c r="K55" t="inlineStr">
        <is>
          <t>Moncler White Cotton Crew Neck Logo Patch T-Shirt</t>
        </is>
      </c>
      <c r="L55" t="inlineStr">
        <is>
          <t>{"id":"resp_0b4aa071044da24c016a110f0af93c819db0ade9631ef81455","object":"chat.completion","created":1779502862,"model":"gpt-5.5","choices":[{"index":0,"message":{"role":"assistant","content":"Moncler white classic short sleeve T-shirt, soft cotton crew neck with embroidered logo patch, casual unisex tee for men and women."},"finish_reason":"stop"}],"usage":{"prompt_tokens":743,"completion_tokens":119,"total_tokens":862}}</t>
        </is>
      </c>
      <c r="M55" t="inlineStr">
        <is>
          <t>{"alt-svc":"h3=\":443\"; ma=2592000","connection":"close","content-length":"425","content-type":"application/json; charset=utf-8","date":"Sat, 23 May 2026 02:21:02 GMT","referrer-policy":"strict-origin-when-cross-origin","server":"nginx/1.24.0 (Ubuntu)","strict-transport-security":"max-age=31536000; includeSubDomains; preload","vary":"Accept-Encoding","via":"1.1 Caddy","x-content-type-options":"nosniff","x-frame-options":"DENY","x-new-api-version":"v1.0.0-rc.2","x-oneapi-request-id":"202605230220567939995068268d9d6ffDfza80","x-request-id":"d28e52ae-298f-474f-83d5-ce38d204aa8b"}</t>
        </is>
      </c>
      <c r="N55" t="inlineStr">
        <is>
          <t>Moncler white classic short sleeve T-shirt, soft cotton crew neck with embroidered logo patch, casual unisex tee for men and women.</t>
        </is>
      </c>
      <c r="O55" t="inlineStr">
        <is>
          <t>{"id":"resp_0c1355da2c408279016a11157526208191bcd2fdfcad1a26cd","object":"chat.completion","created":1779504507,"model":"gpt-5.5","choices":[{"index":0,"message":{"role":"assistant","content":"Moncler T-Shirts kakobuy, Moncler T-Shirts kakebuy2026, Moncler T-Shirts kekobuysheet, Moncler T-Shirts kakobuysheet2026, Moncler T-Shirts 2026kakobuy, Moncler T-Shirts kakobuyspreadsheeet, Moncler T-Shirts kakobuylink, Moncler T-Shirts kakebuylist, Moncler T-Shirts Kakobuy MEGA Spreadsheet, Moncler T-Shirts kakobuysheetfind, Moncler T-Shirts kakobuysheetfind2026, Moncler T-Shirts 2026kakobuysheetfind, Moncler T-Shirts kakobuysheet2026"},"finish_reason":"stop"}],"usage":{"prompt_tokens":644,"completion_tokens":331,"total_tokens":975}}</t>
        </is>
      </c>
      <c r="P55" t="inlineStr">
        <is>
          <t>Moncler T-Shirts kakobuy, Moncler T-Shirts kakebuy2026, Moncler T-Shirts kekobuysheet, Moncler T-Shirts kakobuysheet2026, Moncler T-Shirts 2026kakobuy, Moncler T-Shirts kakobuyspreadsheeet, Moncler T-Shirts kakobuylink, Moncler T-Shirts kakebuylist, Moncler T-Shirts Kakobuy MEGA Spreadsheet, Moncler T-Shirts kakobuysheetfind, Moncler T-Shirts kakobuysheetfind2026, Moncler T-Shirts 2026kakobuysheetfind, Moncler T-Shirts kakobuysheet2026</t>
        </is>
      </c>
      <c r="Q55" t="inlineStr">
        <is>
          <t>White, Classic, Unisex, Men's And Women's</t>
        </is>
      </c>
      <c r="R55" t="inlineStr">
        <is>
          <t>recvkkO0nsDqdK</t>
        </is>
      </c>
      <c r="S55" t="inlineStr">
        <is>
          <t>moncler-white-cotton-logo-patch-tshirt-recvkkO0nsDqdK</t>
        </is>
      </c>
      <c r="T55"/>
      <c r="U55"/>
      <c r="V55"/>
      <c r="W55" t="inlineStr">
        <is>
          <t>{"id":"resp_0d688dea2f7db26c016a110bf5f3688196a298df6dc14a915c","object":"chat.completion","created":1779502074,"model":"gpt-5.5","choices":[{"index":0,"message":{"role":"assistant","content":"盟可睐 Moncler 白色经典系列短袖T恤，柔软棉质圆领设计，胸前刺绣徽标贴章，休闲百搭男女同款上衣"},"finish_reason":"stop"}],"usage":{"prompt_tokens":1165,"completion_tokens":163,"total_tokens":1328}}</t>
        </is>
      </c>
      <c r="X55" t="inlineStr">
        <is>
          <t>盟可睐 Moncler 白色经典系列短袖T恤，柔软棉质圆领设计，胸前刺绣徽标贴章，休闲百搭男女同款上衣</t>
        </is>
      </c>
    </row>
    <row r="56" ht="25.5" customHeight="1">
      <c r="A56">
        <v>1839115443</v>
      </c>
      <c r="B56">
        <v>7773021368</v>
      </c>
      <c r="C56" s="2" t="str">
        <f>=HYPERLINK("https://weidian.com/item.html?itemID=7773021368", "https://weidian.com/item.html?itemID=7773021368")</f>
        <v>https://weidian.com/item.html?itemID=7773021368</v>
      </c>
      <c r="D56"/>
      <c r="E56" s="2" t="str">
        <f>=HYPERLINK("https://si.geilicdn.com/open1839115443-252808396-000c0000019e4ea507470a23b491_790_1007.jpg?w=640&amp;h=640", "https://si.geilicdn.com/open1839115443-252808396-000c0000019e4ea507470a23b491_790_1007.jpg?w=640&amp;h=640")</f>
        <v>https://si.geilicdn.com/open1839115443-252808396-000c0000019e4ea507470a23b491_790_1007.jpg?w=640&amp;h=640</v>
      </c>
      <c r="F56" t="inlineStr">
        <is>
          <t>Sweatshirt</t>
        </is>
      </c>
      <c r="G56" t="inlineStr">
        <is>
          <t>Arc teryx</t>
        </is>
      </c>
      <c r="H56">
        <v>123</v>
      </c>
      <c r="I56">
        <v>17.83</v>
      </c>
      <c r="J56" t="inlineStr">
        <is>
          <t>{"id":"resp_04f59ed45b6d7628016a11130788f88197a897d89e4bfe699e","object":"chat.completion","created":1779503882,"model":"gpt-5.5","choices":[{"index":0,"message":{"role":"assistant","content":"Arc'teryx Dark Gray Half-Zip Stand Collar Sweatshirt"},"finish_reason":"stop"}],"usage":{"prompt_tokens":873,"completion_tokens":123,"total_tokens":996}}</t>
        </is>
      </c>
      <c r="K56" t="inlineStr">
        <is>
          <t>Arc'teryx Dark Gray Half-Zip Stand Collar Sweatshirt</t>
        </is>
      </c>
      <c r="L56" t="inlineStr">
        <is>
          <t>{"id":"resp_01e0101d5db22e95016a110eded7bc8194a8f4b922c301e92a","object":"chat.completion","created":1779502819,"model":"gpt-5.5","choices":[{"index":0,"message":{"role":"assistant","content":"Arc'teryx dark gray half-zip stand collar sweatshirt, soft smooth fabric, embroidered bird logo, unisex outdoor casual pullover for fall winter"},"finish_reason":"stop"}],"usage":{"prompt_tokens":892,"completion_tokens":188,"total_tokens":1080}}</t>
        </is>
      </c>
      <c r="M56" t="inlineStr">
        <is>
          <t>{"alt-svc":"h3=\":443\"; ma=2592000","connection":"close","content-length":"438","content-type":"application/json; charset=utf-8","date":"Sat, 23 May 2026 02:20:19 GMT","referrer-policy":"strict-origin-when-cross-origin","server":"Caddy","strict-transport-security":"max-age=31536000; includeSubDomains; preload","vary":"Accept-Encoding","x-content-type-options":"nosniff","x-frame-options":"DENY","x-new-api-version":"v1.0.0-rc.2","x-oneapi-request-id":"202605230220142815389638268d9d6V7wHpAQL","x-request-id":"50b40612-c6f6-46b8-9c5e-832adac667f1"}</t>
        </is>
      </c>
      <c r="N56" t="inlineStr">
        <is>
          <t>Arc'teryx dark gray half-zip stand collar sweatshirt, soft smooth fabric, embroidered bird logo, unisex outdoor casual pullover for fall winter</t>
        </is>
      </c>
      <c r="O56" t="inlineStr">
        <is>
          <t>{"id":"resp_0e5a64801a878a07016a1114c17e2481a3a0fe58d6cca93451","object":"chat.completion","created":1779504331,"model":"gpt-5.5","choices":[{"index":0,"message":{"role":"assistant","content":"Arc'teryx, Sweatshirt, kakobuy, kakebuy2026, kekobuysheet, kakobuysheet2026, 2026kakobuy, kakobuyspreadsheeet, kakobuylink, kakebuylist, Kakobuy MEGA Spreadsheet, kakobuysheetfind, kakobuysheetfind2026, 2026kakobuysheetfind, kakobuysheet2026"},"finish_reason":"stop"}],"usage":{"prompt_tokens":791,"completion_tokens":499,"total_tokens":1290}}</t>
        </is>
      </c>
      <c r="P56" t="inlineStr">
        <is>
          <t>Arc'teryx, Sweatshirt, kakobuy, kakebuy2026, kekobuysheet, kakobuysheet2026, 2026kakobuy, kakobuyspreadsheeet, kakobuylink, kakebuylist, Kakobuy MEGA Spreadsheet, kakobuysheetfind, kakobuysheetfind2026, 2026kakobuysheetfind, kakobuysheet2026</t>
        </is>
      </c>
      <c r="Q56" t="inlineStr">
        <is>
          <t>Dark Grey, Outdoor, Autumn And Winter, Unisex</t>
        </is>
      </c>
      <c r="R56" t="inlineStr">
        <is>
          <t>recvkkO0nsgeCp</t>
        </is>
      </c>
      <c r="S56" t="inlineStr">
        <is>
          <t>arcteryx-dark-gray-half-zip-sweatshirt-recvkkO0nsgeCp</t>
        </is>
      </c>
      <c r="T56"/>
      <c r="U56"/>
      <c r="V56"/>
      <c r="W56" t="inlineStr">
        <is>
          <t>{"id":"resp_047547e39dd97b02016a110bb43980819d981ca12e8e64b6eb","object":"chat.completion","created":1779502007,"model":"gpt-5.5","choices":[{"index":0,"message":{"role":"assistant","content":"始祖鸟深灰色半拉链立领卫衣，柔顺舒适面料，胸前刺绣鸟标，简约户外休闲风，秋冬男女同款套头运动上衣"},"finish_reason":"stop"}],"usage":{"prompt_tokens":1312,"completion_tokens":148,"total_tokens":1460}}</t>
        </is>
      </c>
      <c r="X56" t="inlineStr">
        <is>
          <t>始祖鸟深灰色半拉链立领卫衣，柔顺舒适面料，胸前刺绣鸟标，简约户外休闲风，秋冬男女同款套头运动上衣</t>
        </is>
      </c>
    </row>
    <row r="57" ht="25.5" customHeight="1">
      <c r="A57">
        <v>1839115443</v>
      </c>
      <c r="B57">
        <v>7770131789</v>
      </c>
      <c r="C57" s="2" t="str">
        <f>=HYPERLINK("https://weidian.com/item.html?itemID=7770131789", "https://weidian.com/item.html?itemID=7770131789")</f>
        <v>https://weidian.com/item.html?itemID=7770131789</v>
      </c>
      <c r="D57"/>
      <c r="E57" s="2" t="str">
        <f>=HYPERLINK("https://si.geilicdn.com/open1839115443-252808396-7c0a0000019e4ea5b3670a231226_1081_938.jpg?w=640&amp;h=640", "https://si.geilicdn.com/open1839115443-252808396-7c0a0000019e4ea5b3670a231226_1081_938.jpg?w=640&amp;h=640")</f>
        <v>https://si.geilicdn.com/open1839115443-252808396-7c0a0000019e4ea5b3670a231226_1081_938.jpg?w=640&amp;h=640</v>
      </c>
      <c r="F57" t="inlineStr">
        <is>
          <t>Pants</t>
        </is>
      </c>
      <c r="G57" t="inlineStr">
        <is>
          <t>Essentials</t>
        </is>
      </c>
      <c r="H57">
        <v>177</v>
      </c>
      <c r="I57">
        <v>25.65</v>
      </c>
      <c r="J57" t="inlineStr">
        <is>
          <t>{"id":"resp_041b8fe64830f480016a11138e502c8197beeb842b560bb55d","object":"chat.completion","created":1779504017,"model":"gpt-5.5","choices":[{"index":0,"message":{"role":"assistant","content":"PantsEssentials Cream White Unisex Fleece Jogger Pants"},"finish_reason":"stop"}],"usage":{"prompt_tokens":682,"completion_tokens":129,"total_tokens":811}}</t>
        </is>
      </c>
      <c r="K57" t="inlineStr">
        <is>
          <t>PantsEssentials Cream White Unisex Fleece Jogger Pants</t>
        </is>
      </c>
      <c r="L57" t="inlineStr">
        <is>
          <t>{"id":"resp_095b8e68af4d927b016a110f2c1124819dbb9d31126988afc5","object":"chat.completion","created":1779502895,"model":"gpt-5.5","choices":[{"index":0,"message":{"role":"assistant","content":"PantsEssentials Essentials Cream White Unisex Jogger Sweatpants, cotton-blend fleece, drawstring elastic waist, small logo, casual streetwear athletic pants"},"finish_reason":"stop"}],"usage":{"prompt_tokens":693,"completion_tokens":131,"total_tokens":824}}</t>
        </is>
      </c>
      <c r="M57" t="inlineStr">
        <is>
          <t>{"alt-svc":"h3=\":443\"; ma=2592000","connection":"close","content-length":"450","content-type":"application/json; charset=utf-8","date":"Sat, 23 May 2026 02:21:35 GMT","referrer-policy":"strict-origin-when-cross-origin","server":"Caddy","strict-transport-security":"max-age=31536000; includeSubDomains; preload","vary":"Accept-Encoding","x-content-type-options":"nosniff","x-frame-options":"DENY","x-new-api-version":"v1.0.0-rc.2","x-oneapi-request-id":"202605230221317439377688268d9d6QBtmQJLl","x-request-id":"0ffa1bf4-c4d4-4453-8e2b-58365c251e71"}</t>
        </is>
      </c>
      <c r="N57" t="inlineStr">
        <is>
          <t>PantsEssentials Essentials Cream White Unisex Jogger Sweatpants, cotton-blend fleece, drawstring elastic waist, small logo, casual streetwear athletic pants</t>
        </is>
      </c>
      <c r="O57" t="inlineStr">
        <is>
          <t>{"id":"resp_0d725d518ec5d5c9016a11154e2e448195b1a3c45887348ea3","object":"chat.completion","created":1779504467,"model":"gpt-5.5","choices":[{"index":0,"message":{"role":"assistant","content":"Essentials pants kakobuy, Essentials pants kakebuy2026, Essentials pants kekobuysheet, Essentials pants kakobuysheet2026, Essentials pants 2026kakobuy, Essentials pants kakobuyspreadsheeet, Essentials pants kakobuylink, Essentials pants kakebuylist, Essentials pants Kakobuy MEGA Spreadsheet, Essentials pants kakobuysheetfind, Essentials pants kakobuysheetfind2026, Essentials pants 2026kakobuysheetfind, Essentials pants kakobuysheet2026"},"finish_reason":"stop"}],"usage":{"prompt_tokens":596,"completion_tokens":258,"total_tokens":854}}</t>
        </is>
      </c>
      <c r="P57" t="inlineStr">
        <is>
          <t>Essentials pants kakobuy, Essentials pants kakebuy2026, Essentials pants kekobuysheet, Essentials pants kakobuysheet2026, Essentials pants 2026kakobuy, Essentials pants kakobuyspreadsheeet, Essentials pants kakobuylink, Essentials pants kakebuylist, Essentials pants Kakobuy MEGA Spreadsheet, Essentials pants kakobuysheetfind, Essentials pants kakobuysheetfind2026, Essentials pants 2026kakobuysheetfind, Essentials pants kakobuysheet2026</t>
        </is>
      </c>
      <c r="Q57" t="inlineStr">
        <is>
          <t>Unisex, Joggers, Cream, White, Streetwear</t>
        </is>
      </c>
      <c r="R57" t="inlineStr">
        <is>
          <t>recvkkO0nsyyI4</t>
        </is>
      </c>
      <c r="S57" t="inlineStr">
        <is>
          <t>pants-essentials-cream-white-fleece-jogger-recvkkO0nsyyI4</t>
        </is>
      </c>
      <c r="T57"/>
      <c r="U57"/>
      <c r="V57"/>
      <c r="W57" t="inlineStr">
        <is>
          <t>{"id":"resp_05f66add44ae812f016a110c1b4c0c8193868ea3cc3162cb30","object":"chat.completion","created":1779502111,"model":"gpt-5.5","choices":[{"index":0,"message":{"role":"assistant","content":"奶油白Essentials休闲束脚卫裤，棉混抓绒材质，抽绳松紧腰小标识设计，男女同款街头运动长裤"},"finish_reason":"stop"}],"usage":{"prompt_tokens":1121,"completion_tokens":165,"total_tokens":1286}}</t>
        </is>
      </c>
      <c r="X57" t="inlineStr">
        <is>
          <t>奶油白Essentials休闲束脚卫裤，棉混抓绒材质，抽绳松紧腰小标识设计，男女同款街头运动长裤</t>
        </is>
      </c>
    </row>
    <row r="58" ht="25.5" customHeight="1">
      <c r="A58">
        <v>1839115443</v>
      </c>
      <c r="B58">
        <v>7773085862</v>
      </c>
      <c r="C58" s="2" t="str">
        <f>=HYPERLINK("https://weidian.com/item.html?itemID=7773085862", "https://weidian.com/item.html?itemID=7773085862")</f>
        <v>https://weidian.com/item.html?itemID=7773085862</v>
      </c>
      <c r="D58"/>
      <c r="E58" s="2" t="str">
        <f>=HYPERLINK("https://si.geilicdn.com/open1839115443-252808396-4d1e0000019e4e9487d20a231226_885_885.jpg?w=640&amp;h=640", "https://si.geilicdn.com/open1839115443-252808396-4d1e0000019e4e9487d20a231226_885_885.jpg?w=640&amp;h=640")</f>
        <v>https://si.geilicdn.com/open1839115443-252808396-4d1e0000019e4e9487d20a231226_885_885.jpg?w=640&amp;h=640</v>
      </c>
      <c r="F58" t="inlineStr">
        <is>
          <t>Jackets</t>
        </is>
      </c>
      <c r="G58" t="inlineStr">
        <is>
          <t>Other</t>
        </is>
      </c>
      <c r="H58">
        <v>235</v>
      </c>
      <c r="I58">
        <v>34.06</v>
      </c>
      <c r="J58" t="inlineStr">
        <is>
          <t>{"id":"resp_0dfe6b6fda025f7d016a11134465e881a2b07c47704939a61b","object":"chat.completion","created":1779503943,"model":"gpt-5.5","choices":[{"index":0,"message":{"role":"assistant","content":"Men's Black Faux Leather Bomber Jacket Shearling Collar"},"finish_reason":"stop"}],"usage":{"prompt_tokens":739,"completion_tokens":126,"total_tokens":865}}</t>
        </is>
      </c>
      <c r="K58" t="inlineStr">
        <is>
          <t>Men's Black Faux Leather Bomber Jacket Shearling Collar</t>
        </is>
      </c>
      <c r="L58" t="inlineStr">
        <is>
          <t>{"id":"resp_00543c6cdb4c8908016a110f89940c81a3a02dc4a49a54ac4e","object":"chat.completion","created":1779502990,"model":"gpt-5.5","choices":[{"index":0,"message":{"role":"assistant","content":"JacketsOther Men's Black Faux Leather Bomber Jacket, Warm Shearling Collar, Embroidered Patches, Zip Pockets, Vintage Aviator Motorcycle Streetwear Coat for Fall Winter"},"finish_reason":"stop"}],"usage":{"prompt_tokens":745,"completion_tokens":195,"total_tokens":940}}</t>
        </is>
      </c>
      <c r="M58" t="inlineStr">
        <is>
          <t>{"alt-svc":"h3=\":443\"; ma=2592000","connection":"close","content-length":"462","content-type":"application/json; charset=utf-8","date":"Sat, 23 May 2026 02:23:10 GMT","referrer-policy":"strict-origin-when-cross-origin","server":"nginx/1.24.0 (Ubuntu)","strict-transport-security":"max-age=31536000; includeSubDomains; preload","vary":"Accept-Encoding","via":"1.1 Caddy","x-content-type-options":"nosniff","x-frame-options":"DENY","x-new-api-version":"v1.0.0-rc.2","x-oneapi-request-id":"202605230223052741647148268d9d6BtvmHUK4","x-request-id":"178fe25f-33b9-42e8-a41d-8fb7b21e7815"}</t>
        </is>
      </c>
      <c r="N58" t="inlineStr">
        <is>
          <t>JacketsOther Men's Black Faux Leather Bomber Jacket, Warm Shearling Collar, Embroidered Patches, Zip Pockets, Vintage Aviator Motorcycle Streetwear Coat for Fall Winter</t>
        </is>
      </c>
      <c r="O58" t="inlineStr">
        <is>
          <t>{"id":"resp_0f8ce6fed0db6ee7016a1114d3434c8194a635da21814c7be0","object":"chat.completion","created":1779504347,"model":"gpt-5.5","choices":[{"index":0,"message":{"role":"assistant","content":"KAITE SHITH Jackets Other kakobuy, KAITE SHITH Jackets Other kakebuy2026, KAITE SHITH Jackets Other kekobuysheet, KAITE SHITH Jackets Other kakobuysheet2026, KAITE SHITH Jackets Other 2026kakobuy, KAITE SHITH Jackets Other kakobuyspreadsheeet, KAITE SHITH Jackets Other kakobuylink, KAITE SHITH Jackets Other kakebuylist, KAITE SHITH Jackets Other Kakobuy MEGA Spreadsheet, KAITE SHITH Jackets Other kakobuysheetfind, KAITE SHITH Jackets Other kakobuysheetfind2026, KAITE SHITH Jackets Other 2026kakobuysheetfind, KAITE SHITH Jackets Other kakobuysheet2026"},"finish_reason":"stop"}],"usage":{"prompt_tokens":643,"completion_tokens":369,"total_tokens":1012}}</t>
        </is>
      </c>
      <c r="P58" t="inlineStr">
        <is>
          <t>KAITE SHITH Jackets Other kakobuy, KAITE SHITH Jackets Other kakebuy2026, KAITE SHITH Jackets Other kekobuysheet, KAITE SHITH Jackets Other kakobuysheet2026, KAITE SHITH Jackets Other 2026kakobuy, KAITE SHITH Jackets Other kakobuyspreadsheeet, KAITE SHITH Jackets Other kakobuylink, KAITE SHITH Jackets Other kakebuylist, KAITE SHITH Jackets Other Kakobuy MEGA Spreadsheet, KAITE SHITH Jackets Other kakobuysheetfind, KAITE SHITH Jackets Other kakobuysheetfind2026, KAITE SHITH Jackets Other 2026kakobuysheetfind, KAITE SHITH Jackets Other kakobuysheet2026</t>
        </is>
      </c>
      <c r="Q58" t="inlineStr">
        <is>
          <t>Black, Vintage, Moto, Streetwear, Winter, Autumn</t>
        </is>
      </c>
      <c r="R58" t="inlineStr">
        <is>
          <t>recvkkO0nsqUhj</t>
        </is>
      </c>
      <c r="S58" t="inlineStr">
        <is>
          <t>men-black-faux-leather-bomber-jacket-shearling-collar-recvkkO0nsqUhj</t>
        </is>
      </c>
      <c r="T58"/>
      <c r="U58"/>
      <c r="V58"/>
      <c r="W58" t="inlineStr">
        <is>
          <t>{"id":"resp_0bd6d5b02df14288016a110c27bd68819497d36341b6f55652","object":"chat.completion","created":1779502123,"model":"gpt-5.5","choices":[{"index":0,"message":{"role":"assistant","content":"复古飞行员系列黑色保暖仿皮夹克，羊羔绒翻领、刺绣徽章与拉链口袋设计，男士秋冬机车街头外套"},"finish_reason":"stop"}],"usage":{"prompt_tokens":1165,"completion_tokens":134,"total_tokens":1299}}</t>
        </is>
      </c>
      <c r="X58" t="inlineStr">
        <is>
          <t>复古飞行员系列黑色保暖仿皮夹克，羊羔绒翻领、刺绣徽章与拉链口袋设计，男士秋冬机车街头外套</t>
        </is>
      </c>
    </row>
    <row r="59" ht="25.5" customHeight="1">
      <c r="A59">
        <v>1839115443</v>
      </c>
      <c r="B59">
        <v>7769991481</v>
      </c>
      <c r="C59" s="2" t="str">
        <f>=HYPERLINK("https://weidian.com/item.html?itemID=7769991481", "https://weidian.com/item.html?itemID=7769991481")</f>
        <v>https://weidian.com/item.html?itemID=7769991481</v>
      </c>
      <c r="D59"/>
      <c r="E59" s="2" t="str">
        <f>=HYPERLINK("https://si.geilicdn.com/open1839115443-252808396-53950000019e4e9585ac0a23b491_750_861.jpg?w=640&amp;h=640", "https://si.geilicdn.com/open1839115443-252808396-53950000019e4e9585ac0a23b491_750_861.jpg?w=640&amp;h=640")</f>
        <v>https://si.geilicdn.com/open1839115443-252808396-53950000019e4e9585ac0a23b491_750_861.jpg?w=640&amp;h=640</v>
      </c>
      <c r="F59" t="inlineStr">
        <is>
          <t>Jackets</t>
        </is>
      </c>
      <c r="G59" t="inlineStr">
        <is>
          <t>Other</t>
        </is>
      </c>
      <c r="H59">
        <v>105</v>
      </c>
      <c r="I59">
        <v>15.22</v>
      </c>
      <c r="J59" t="inlineStr">
        <is>
          <t>{"id":"resp_0c5bb8ab5e21d466016a111347d1b481a3bfa79a566c369055","object":"chat.completion","created":1779503947,"model":"gpt-5.5","choices":[{"index":0,"message":{"role":"assistant","content":"Teal Hooded Windproof Outdoor Jacket with Zip Pockets"},"finish_reason":"stop"}],"usage":{"prompt_tokens":787,"completion_tokens":137,"total_tokens":924}}</t>
        </is>
      </c>
      <c r="K59" t="inlineStr">
        <is>
          <t>Teal Hooded Windproof Outdoor Jacket with Zip Pockets</t>
        </is>
      </c>
      <c r="L59" t="inlineStr">
        <is>
          <t>{"id":"resp_0bd83c5b79a6bcaf016a110ec039588192a93ee58911437e3e","object":"chat.completion","created":1779502787,"model":"gpt-5.5","choices":[{"index":0,"message":{"role":"assistant","content":"JacketsOther teal hooded outdoor jacket, windproof technical fabric, zip pockets, elastic cuffs, casual commuter unisex coat"},"finish_reason":"stop"}],"usage":{"prompt_tokens":803,"completion_tokens":111,"total_tokens":914}}</t>
        </is>
      </c>
      <c r="M59" t="inlineStr">
        <is>
          <t>{"alt-svc":"h3=\":443\"; ma=2592000","connection":"close","content-length":"418","content-type":"application/json; charset=utf-8","date":"Sat, 23 May 2026 02:19:47 GMT","referrer-policy":"strict-origin-when-cross-origin","server":"nginx/1.24.0 (Ubuntu)","strict-transport-security":"max-age=31536000; includeSubDomains; preload","vary":"Accept-Encoding","via":"1.1 Caddy","x-content-type-options":"nosniff","x-frame-options":"DENY","x-new-api-version":"v1.0.0-rc.2","x-oneapi-request-id":"202605230219439170346588268d9d6GzrpZC1X","x-request-id":"6f8a8556-d8aa-4720-ae7e-4b6092829062"}</t>
        </is>
      </c>
      <c r="N59" t="inlineStr">
        <is>
          <t>JacketsOther teal hooded outdoor jacket, windproof technical fabric, zip pockets, elastic cuffs, casual commuter unisex coat</t>
        </is>
      </c>
      <c r="O59" t="inlineStr">
        <is>
          <t>{"id":"resp_0be714b86697beb7016a1114a178e481a3a64c7ec4d53c8be3","object":"chat.completion","created":1779504297,"model":"gpt-5.5","choices":[{"index":0,"message":{"role":"assistant","content":"Other Jackets kakobuy, Other Jackets kakebuy2026, Other Jackets kekobuysheet, Other Jackets kakobuysheet2026, Other Jackets 2026kakobuy, Other Jackets kakobuyspreadsheeet, Other Jackets kakobuylink, Other Jackets kakebuylist, Other Jackets Kakobuy MEGA Spreadsheet, Other Jackets kakobuysheetfind, Other Jackets kakobuysheetfind2026, Other Jackets 2026kakobuysheetfind, Other Jackets kakobuysheet2026"},"finish_reason":"stop"}],"usage":{"prompt_tokens":715,"completion_tokens":361,"total_tokens":1076}}</t>
        </is>
      </c>
      <c r="P59" t="inlineStr">
        <is>
          <t>Other Jackets kakobuy, Other Jackets kakebuy2026, Other Jackets kekobuysheet, Other Jackets kakobuysheet2026, Other Jackets 2026kakobuy, Other Jackets kakobuyspreadsheeet, Other Jackets kakobuylink, Other Jackets kakebuylist, Other Jackets Kakobuy MEGA Spreadsheet, Other Jackets kakobuysheetfind, Other Jackets kakobuysheetfind2026, Other Jackets 2026kakobuysheetfind, Other Jackets kakobuysheet2026</t>
        </is>
      </c>
      <c r="Q59" t="inlineStr">
        <is>
          <t>Teal, Outdoor, Windproof, Unisex</t>
        </is>
      </c>
      <c r="R59" t="inlineStr">
        <is>
          <t>recvkkO0nsjrVy</t>
        </is>
      </c>
      <c r="S59" t="inlineStr">
        <is>
          <t>teal-hooded-windproof-outdoor-jacket-recvkkO0nsjrVy</t>
        </is>
      </c>
      <c r="T59"/>
      <c r="U59"/>
      <c r="V59"/>
      <c r="W59" t="inlineStr">
        <is>
          <t>{"id":"resp_0c23e13e9c9f5279016a110c2abc0c819eb00b81b55b81120e","object":"chat.completion","created":1779502124,"model":"gpt-5.5","choices":[{"index":0,"message":{"role":"assistant","content":"蓝绿色连帽户外夹克，防风机能面料，拉链口袋与松紧袖口设计，休闲通勤男女外套"},"finish_reason":"stop"}],"usage":{"prompt_tokens":1233,"completion_tokens":38,"total_tokens":1271}}</t>
        </is>
      </c>
      <c r="X59" t="inlineStr">
        <is>
          <t>蓝绿色连帽户外夹克，防风机能面料，拉链口袋与松紧袖口设计，休闲通勤男女外套</t>
        </is>
      </c>
    </row>
    <row r="60" ht="25.5" customHeight="1">
      <c r="A60">
        <v>1839115443</v>
      </c>
      <c r="B60">
        <v>7773060664</v>
      </c>
      <c r="C60" s="2" t="str">
        <f>=HYPERLINK("https://weidian.com/item.html?itemID=7773060664", "https://weidian.com/item.html?itemID=7773060664")</f>
        <v>https://weidian.com/item.html?itemID=7773060664</v>
      </c>
      <c r="D60"/>
      <c r="E60" s="2" t="str">
        <f>=HYPERLINK("https://si.geilicdn.com/open1839115443-252808396-7ed10000019e4ea467190a23b4de_1920_1920.jpg?w=640&amp;h=640", "https://si.geilicdn.com/open1839115443-252808396-7ed10000019e4ea467190a23b4de_1920_1920.jpg?w=640&amp;h=640")</f>
        <v>https://si.geilicdn.com/open1839115443-252808396-7ed10000019e4ea467190a23b4de_1920_1920.jpg?w=640&amp;h=640</v>
      </c>
      <c r="F60" t="inlineStr">
        <is>
          <t>T-Shirts</t>
        </is>
      </c>
      <c r="G60" t="inlineStr">
        <is>
          <t>Ralph Lauren</t>
        </is>
      </c>
      <c r="H60">
        <v>89</v>
      </c>
      <c r="I60">
        <v>12.9</v>
      </c>
      <c r="J60" t="inlineStr">
        <is>
          <t>{"id":"resp_0b4b08265887ebea016a11133c0afc81a3a7ea79995e0c4c83","object":"chat.completion","created":1779503934,"model":"gpt-5.5","choices":[{"index":0,"message":{"role":"assistant","content":"Polo Ralph Lauren White Cotton Pony Logo T-Shirt"},"finish_reason":"stop"}],"usage":{"prompt_tokens":719,"completion_tokens":85,"total_tokens":804}}</t>
        </is>
      </c>
      <c r="K60" t="inlineStr">
        <is>
          <t>Polo Ralph Lauren White Cotton Pony Logo T-Shirt</t>
        </is>
      </c>
      <c r="L60" t="inlineStr">
        <is>
          <t>{"id":"resp_05d545f47c3f5343016a110f657a6881938e3b7e91cefbb54d","object":"chat.completion","created":1779502951,"model":"gpt-5.5","choices":[{"index":0,"message":{"role":"assistant","content":"Polo Ralph Lauren white cotton crew neck T-shirt, classic pony embroidered logo, short sleeve casual unisex top for men and women"},"finish_reason":"stop"}],"usage":{"prompt_tokens":740,"completion_tokens":71,"total_tokens":811}}</t>
        </is>
      </c>
      <c r="M60" t="inlineStr">
        <is>
          <t>{"alt-svc":"h3=\":443\"; ma=2592000","connection":"close","content-length":"422","content-type":"application/json; charset=utf-8","date":"Sat, 23 May 2026 02:22:31 GMT","referrer-policy":"strict-origin-when-cross-origin","server":"Caddy","strict-transport-security":"max-age=31536000; includeSubDomains; preload","vary":"Accept-Encoding","x-content-type-options":"nosniff","x-frame-options":"DENY","x-new-api-version":"v1.0.0-rc.2","x-oneapi-request-id":"202605230222289585907278268d9d6nlCLDKnV","x-request-id":"f1a3c85c-c5e8-451e-bc18-0dba498a306f"}</t>
        </is>
      </c>
      <c r="N60" t="inlineStr">
        <is>
          <t>Polo Ralph Lauren white cotton crew neck T-shirt, classic pony embroidered logo, short sleeve casual unisex top for men and women</t>
        </is>
      </c>
      <c r="O60" t="inlineStr">
        <is>
          <t>{"id":"resp_0bfac1172556be79016a1114db8eb0819c87084628b1105f77","object":"chat.completion","created":1779504357,"model":"gpt-5.5","choices":[{"index":0,"message":{"role":"assistant","content":"Ralph Lauren,T-Shirts,kakobuy\nRalph Lauren,T-Shirts,kakebuy2026\nRalph Lauren,T-Shirts,kekobuysheet\nRalph Lauren,T-Shirts,kakobuysheet2026\nRalph Lauren,T-Shirts,2026kakobuy\nRalph Lauren,T-Shirts,kakobuyspreadsheeet\nRalph Lauren,T-Shirts,kakobuylink\nRalph Lauren,T-Shirts,kakebuylist\nRalph Lauren,T-Shirts,Kakobuy MEGA Spreadsheet\nRalph Lauren,T-Shirts,kakobuysheetfind\nRalph Lauren,T-Shirts,kakobuysheetfind2026\nRalph Lauren,T-Shirts,2026kakobuysheetfind\nRalph Lauren,T-Shirts,kakobuysheet2026"},"finish_reason":"stop"}],"usage":{"prompt_tokens":645,"completion_tokens":496,"total_tokens":1141}}</t>
        </is>
      </c>
      <c r="P60" t="inlineStr">
        <is>
          <t>Ralph Lauren,T-Shirts,kakobuy
Ralph Lauren,T-Shirts,kakebuy2026
Ralph Lauren,T-Shirts,kekobuysheet
Ralph Lauren,T-Shirts,kakobuysheet2026
Ralph Lauren,T-Shirts,2026kakobuy
Ralph Lauren,T-Shirts,kakobuyspreadsheeet
Ralph Lauren,T-Shirts,kakobuylink
Ralph Lauren,T-Shirts,kakebuylist
Ralph Lauren,T-Shirts,Kakobuy MEGA Spreadsheet
Ralph Lauren,T-Shirts,kakobuysheetfind
Ralph Lauren,T-Shirts,kakobuysheetfind2026
Ralph Lauren,T-Shirts,2026kakobuysheetfind
Ralph Lauren,T-Shirts,kakobuysheet2026</t>
        </is>
      </c>
      <c r="Q60" t="inlineStr">
        <is>
          <t>White, Classic, Unisex</t>
        </is>
      </c>
      <c r="R60" t="inlineStr">
        <is>
          <t>recvkkO0nsvwcz</t>
        </is>
      </c>
      <c r="S60" t="inlineStr">
        <is>
          <t>polo-ralph-lauren-white-cotton-pony-logo-tshirt-recvkkO0nsvwcz</t>
        </is>
      </c>
      <c r="T60"/>
      <c r="U60"/>
      <c r="V60"/>
      <c r="W60" t="inlineStr">
        <is>
          <t>{"id":"resp_0736db9d770628f2016a110c3473dc81979f836c1d0c2d07bf","object":"chat.completion","created":1779502136,"model":"gpt-5.5","choices":[{"index":0,"message":{"role":"assistant","content":"拉夫劳伦Polo Ralph Lauren白色纯棉圆领短袖T恤，经典小马刺绣Logo，休闲简约风男女同款上衣"},"finish_reason":"stop"}],"usage":{"prompt_tokens":1169,"completion_tokens":193,"total_tokens":1362}}</t>
        </is>
      </c>
      <c r="X60" t="inlineStr">
        <is>
          <t>拉夫劳伦Polo Ralph Lauren白色纯棉圆领短袖T恤，经典小马刺绣Logo，休闲简约风男女同款上衣</t>
        </is>
      </c>
    </row>
    <row r="61" ht="25.5" customHeight="1">
      <c r="A61">
        <v>1839115443</v>
      </c>
      <c r="B61">
        <v>7772988886</v>
      </c>
      <c r="C61" s="2" t="str">
        <f>=HYPERLINK("https://weidian.com/item.html?itemID=7772988886", "https://weidian.com/item.html?itemID=7772988886")</f>
        <v>https://weidian.com/item.html?itemID=7772988886</v>
      </c>
      <c r="D61"/>
      <c r="E61" s="2" t="str">
        <f>=HYPERLINK("https://si.geilicdn.com/open1839115443-252808396-2e800000019e4e8bc9300a8115c2_336_336.jpg?w=750&amp;h=750&amp;cp=1", "https://si.geilicdn.com/open1839115443-252808396-2e800000019e4e8bc9300a8115c2_336_336.jpg?w=750&amp;h=750&amp;cp=1")</f>
        <v>https://si.geilicdn.com/open1839115443-252808396-2e800000019e4e8bc9300a8115c2_336_336.jpg?w=750&amp;h=750&amp;cp=1</v>
      </c>
      <c r="F61" t="inlineStr">
        <is>
          <t>Jackets</t>
        </is>
      </c>
      <c r="G61" t="inlineStr">
        <is>
          <t>The North Face</t>
        </is>
      </c>
      <c r="H61">
        <v>145</v>
      </c>
      <c r="I61">
        <v>21.01</v>
      </c>
      <c r="J61" t="inlineStr">
        <is>
          <t>{"id":"resp_0b86904599f5807a016a11136015948195a24f8d32e07a979f","object":"chat.completion","created":1779503972,"model":"gpt-5.5","choices":[{"index":0,"message":{"role":"assistant","content":"The North Face Gray Black Windproof Hooded Shell Jacket"},"finish_reason":"stop"}],"usage":{"prompt_tokens":944,"completion_tokens":212,"total_tokens":1156}}</t>
        </is>
      </c>
      <c r="K61" t="inlineStr">
        <is>
          <t>The North Face Gray Black Windproof Hooded Shell Jacket</t>
        </is>
      </c>
      <c r="L61" t="inlineStr">
        <is>
          <t>{"id":"resp_08c231e746e722fc016a110f4c240c81938f97f0a5427bf01c","object":"chat.completion","created":1779502927,"model":"gpt-5.5","choices":[{"index":0,"message":{"role":"assistant","content":"The North Face gray black colorblock hooded shell jacket, windproof water-repellent outdoor coat with chest half-dome logo, unisex casual hiking outerwear"},"finish_reason":"stop"}],"usage":{"prompt_tokens":958,"completion_tokens":139,"total_tokens":1097}}</t>
        </is>
      </c>
      <c r="M61" t="inlineStr">
        <is>
          <t>{"alt-svc":"h3=\":443\"; ma=2592000","connection":"close","content-length":"449","content-type":"application/json; charset=utf-8","date":"Sat, 23 May 2026 02:22:07 GMT","referrer-policy":"strict-origin-when-cross-origin","server":"nginx/1.24.0 (Ubuntu)","strict-transport-security":"max-age=31536000; includeSubDomains; preload","vary":"Accept-Encoding","via":"1.1 Caddy","x-content-type-options":"nosniff","x-frame-options":"DENY","x-new-api-version":"v1.0.0-rc.2","x-oneapi-request-id":"202605230222037625978108268d9d6JEVfwc8k","x-request-id":"f20fccec-f7a2-4968-9a04-dfedfac84251"}</t>
        </is>
      </c>
      <c r="N61" t="inlineStr">
        <is>
          <t>The North Face gray black colorblock hooded shell jacket, windproof water-repellent outdoor coat with chest half-dome logo, unisex casual hiking outerwear</t>
        </is>
      </c>
      <c r="O61" t="inlineStr">
        <is>
          <t>{"id":"resp_03cabb81d659ed88016a1114fb1c5881a089c42e02ffd3f4ac","object":"chat.completion","created":1779504383,"model":"gpt-5.5","choices":[{"index":0,"message":{"role":"assistant","content":"The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kakobuysheet2026"},"finish_reason":"stop"}],"usage":{"prompt_tokens":856,"completion_tokens":211,"total_tokens":1067}}</t>
        </is>
      </c>
      <c r="P61" t="inlineStr">
        <is>
          <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t>
        </is>
      </c>
      <c r="Q61" t="inlineStr">
        <is>
          <t>Color Block, Windproof, Hiking Shoes, Unisex, Outdoor</t>
        </is>
      </c>
      <c r="R61" t="inlineStr">
        <is>
          <t>recvkkO0nsf947</t>
        </is>
      </c>
      <c r="S61" t="inlineStr">
        <is>
          <t>thenorthface-gray-black-windproof-hooded-shell-jacket-recvkkO0nsf947</t>
        </is>
      </c>
      <c r="T61"/>
      <c r="U61"/>
      <c r="V61"/>
      <c r="W61" t="inlineStr">
        <is>
          <t>{"id":"resp_0aaea9332b9b1e8a016a110b88da1481a089860265aafa0175","object":"chat.completion","created":1779501964,"model":"gpt-5.5","choices":[{"index":0,"message":{"role":"assistant","content":"北面The North Face 灰黑拼色连帽冲锋夹克，防风防泼水机能面料，胸前半圆Logo，男女通用户外休闲外套"},"finish_reason":"stop"}],"usage":{"prompt_tokens":1388,"completion_tokens":166,"total_tokens":1554}}</t>
        </is>
      </c>
      <c r="X61" t="inlineStr">
        <is>
          <t>北面The North Face 灰黑拼色连帽冲锋夹克，防风防泼水机能面料，胸前半圆Logo，男女通用户外休闲外套</t>
        </is>
      </c>
    </row>
    <row r="62" ht="25.5" customHeight="1">
      <c r="A62">
        <v>1839115443</v>
      </c>
      <c r="B62">
        <v>7770067815</v>
      </c>
      <c r="C62" s="2" t="str">
        <f>=HYPERLINK("https://weidian.com/item.html?itemID=7770067815", "https://weidian.com/item.html?itemID=7770067815")</f>
        <v>https://weidian.com/item.html?itemID=7770067815</v>
      </c>
      <c r="D62"/>
      <c r="E62" s="2" t="str">
        <f>=HYPERLINK("https://si.geilicdn.com/open1839115443-252808396-479f0000019e4e8bff570a23b491_790_1254.jpg?w=640&amp;h=640", "https://si.geilicdn.com/open1839115443-252808396-479f0000019e4e8bff570a23b491_790_1254.jpg?w=640&amp;h=640")</f>
        <v>https://si.geilicdn.com/open1839115443-252808396-479f0000019e4e8bff570a23b491_790_1254.jpg?w=640&amp;h=640</v>
      </c>
      <c r="F62" t="inlineStr">
        <is>
          <t>Jackets</t>
        </is>
      </c>
      <c r="G62" t="inlineStr">
        <is>
          <t>The North Face</t>
        </is>
      </c>
      <c r="H62">
        <v>465</v>
      </c>
      <c r="I62">
        <v>67.39</v>
      </c>
      <c r="J62" t="inlineStr">
        <is>
          <t>{"id":"resp_091bbee8f9854378016a11135b93c8819f8db28c51628ec923","object":"chat.completion","created":1779503967,"model":"gpt-5.5","choices":[{"index":0,"message":{"role":"assistant","content":"The North Face Olive Black Windproof Down Puffer Jacket"},"finish_reason":"stop"}],"usage":{"prompt_tokens":1017,"completion_tokens":153,"total_tokens":1170}}</t>
        </is>
      </c>
      <c r="K62" t="inlineStr">
        <is>
          <t>The North Face Olive Black Windproof Down Puffer Jacket</t>
        </is>
      </c>
      <c r="L62" t="inlineStr">
        <is>
          <t>{"id":"resp_0865aeb3e7001b56016a110f05db908192abf2718962654056","object":"chat.completion","created":1779502856,"model":"gpt-5.5","choices":[{"index":0,"message":{"role":"assistant","content":"The North Face olive green and black stand collar down jacket, windproof warm puffer coat with multi-pocket utility design, unisex winter outdoor casual outerwear"},"finish_reason":"stop"}],"usage":{"prompt_tokens":1035,"completion_tokens":119,"total_tokens":1154}}</t>
        </is>
      </c>
      <c r="M62" t="inlineStr">
        <is>
          <t>{"alt-svc":"h3=\":443\"; ma=2592000","connection":"close","content-length":"458","content-type":"application/json; charset=utf-8","date":"Sat, 23 May 2026 02:20:56 GMT","referrer-policy":"strict-origin-when-cross-origin","server":"Caddy","strict-transport-security":"max-age=31536000; includeSubDomains; preload","vary":"Accept-Encoding","x-content-type-options":"nosniff","x-frame-options":"DENY","x-new-api-version":"v1.0.0-rc.2","x-oneapi-request-id":"202605230220536018062278268d9d6qStWxKBL","x-request-id":"2fdaeceb-1c4d-4dfe-be45-749fc6308dfa"}</t>
        </is>
      </c>
      <c r="N62" t="inlineStr">
        <is>
          <t>The North Face olive green and black stand collar down jacket, windproof warm puffer coat with multi-pocket utility design, unisex winter outdoor casual outerwear</t>
        </is>
      </c>
      <c r="O62" t="inlineStr">
        <is>
          <t>{"id":"resp_099c855e31ecc9e4016a111479c7bc819ca25a0a99ef554aff","object":"chat.completion","created":1779504258,"model":"gpt-5.5","choices":[{"index":0,"message":{"role":"assistant","content":"The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kakobuysheet2026"},"finish_reason":"stop"}],"usage":{"prompt_tokens":933,"completion_tokens":408,"total_tokens":1341}}</t>
        </is>
      </c>
      <c r="P62" t="inlineStr">
        <is>
          <t>The North Face Jackets kakobuy, The North Face Jackets kakebuy2026, The North Face Jackets kekobuysheet, The North Face Jackets kakobuysheet2026, The North Face Jackets 2026kakobuy, The North Face Jackets kakobuyspreadsheeet, The North Face Jackets kakobuylink, The North Face Jackets kakebuylist, The North Face Jackets Kakobuy MEGA Spreadsheet, The North Face Jackets kakobuysheetfind, The North Face Jackets kakobuysheetfind2026, The North Face Jackets 2026kakobuysheetfind, The North Face Jackets kakobuysheet2026</t>
        </is>
      </c>
      <c r="Q62" t="inlineStr">
        <is>
          <t>Olive Green, Black, Windproof, Winter, Outdoor, Unisex</t>
        </is>
      </c>
      <c r="R62" t="inlineStr">
        <is>
          <t>recvkkO0nsEwMn</t>
        </is>
      </c>
      <c r="S62" t="inlineStr">
        <is>
          <t>the-north-face-olive-black-windproof-down-puffer-recvkkO0nsEwMn</t>
        </is>
      </c>
      <c r="T62"/>
      <c r="U62"/>
      <c r="V62"/>
      <c r="W62" t="inlineStr">
        <is>
          <t>{"id":"resp_09707f44d9be4986016a110bccdc148197a32dfbb9be6bd737","object":"chat.completion","created":1779502032,"model":"gpt-5.5","choices":[{"index":0,"message":{"role":"assistant","content":"北面The North Face橄榄绿拼黑立领羽绒夹克，防风保暖蓬松填充，多口袋工装设计，冬季户外休闲男女款外套"},"finish_reason":"stop"}],"usage":{"prompt_tokens":1457,"completion_tokens":168,"total_tokens":1625}}</t>
        </is>
      </c>
      <c r="X62" t="inlineStr">
        <is>
          <t>北面The North Face橄榄绿拼黑立领羽绒夹克，防风保暖蓬松填充，多口袋工装设计，冬季户外休闲男女款外套</t>
        </is>
      </c>
    </row>
    <row r="63" ht="25.5" customHeight="1">
      <c r="A63">
        <v>1839115443</v>
      </c>
      <c r="B63">
        <v>7770071919</v>
      </c>
      <c r="C63" s="2" t="str">
        <f>=HYPERLINK("https://weidian.com/item.html?itemID=7770071919", "https://weidian.com/item.html?itemID=7770071919")</f>
        <v>https://weidian.com/item.html?itemID=7770071919</v>
      </c>
      <c r="D63"/>
      <c r="E63" s="2" t="str">
        <f>=HYPERLINK("https://si.geilicdn.com/open1839115443-252808396-49a40000019e4e9122e00a231226_790_897.jpg?w=640&amp;h=640", "https://si.geilicdn.com/open1839115443-252808396-49a40000019e4e9122e00a231226_790_897.jpg?w=640&amp;h=640")</f>
        <v>https://si.geilicdn.com/open1839115443-252808396-49a40000019e4e9122e00a231226_790_897.jpg?w=640&amp;h=640</v>
      </c>
      <c r="F63" t="inlineStr">
        <is>
          <t>Jackets</t>
        </is>
      </c>
      <c r="G63" t="inlineStr">
        <is>
          <t>Other</t>
        </is>
      </c>
      <c r="H63">
        <v>155</v>
      </c>
      <c r="I63">
        <v>22.46</v>
      </c>
      <c r="J63" t="inlineStr">
        <is>
          <t>{"id":"resp_0632c44f4ec9d0f0016a1112e092bc819384a1389d1eb9acf4","object":"chat.completion","created":1779503844,"model":"gpt-5.5","choices":[{"index":0,"message":{"role":"assistant","content":"ADORE White Leather Look Embroidered Zip Bomber Jacket"},"finish_reason":"stop"}],"usage":{"prompt_tokens":803,"completion_tokens":170,"total_tokens":973}}</t>
        </is>
      </c>
      <c r="K63" t="inlineStr">
        <is>
          <t>ADORE White Leather Look Embroidered Zip Bomber Jacket</t>
        </is>
      </c>
      <c r="L63" t="inlineStr">
        <is>
          <t>{"id":"resp_04d54f5842cb7bdb016a110ec2ba7c819e8d660b581162c4fa","object":"chat.completion","created":1779502790,"model":"gpt-5.5","choices":[{"index":0,"message":{"role":"assistant","content":"ADORE JacketsOther white stand-collar zip bomber jacket, smooth leather-look fabric, embroidered chest logo, ribbed cuffs and hem, unisex vintage casual flight coat"},"finish_reason":"stop"}],"usage":{"prompt_tokens":815,"completion_tokens":138,"total_tokens":953}}</t>
        </is>
      </c>
      <c r="M63" t="inlineStr">
        <is>
          <t>{"alt-svc":"h3=\":443\"; ma=2592000","connection":"close","content-length":"458","content-type":"application/json; charset=utf-8","date":"Sat, 23 May 2026 02:19:50 GMT","referrer-policy":"strict-origin-when-cross-origin","server":"nginx/1.24.0 (Ubuntu)","strict-transport-security":"max-age=31536000; includeSubDomains; preload","vary":"Accept-Encoding","via":"1.1 Caddy","x-content-type-options":"nosniff","x-frame-options":"DENY","x-new-api-version":"v1.0.0-rc.2","x-oneapi-request-id":"202605230219464346961948268d9d6q1nFuZoQ","x-request-id":"6474c760-3f0d-4382-85af-882e1cb2588d"}</t>
        </is>
      </c>
      <c r="N63" t="inlineStr">
        <is>
          <t>ADORE JacketsOther white stand-collar zip bomber jacket, smooth leather-look fabric, embroidered chest logo, ribbed cuffs and hem, unisex vintage casual flight coat</t>
        </is>
      </c>
      <c r="O63" t="inlineStr">
        <is>
          <t>{"id":"resp_03a07b9af8b307b7016a1114ec67e081958bf63b9a6789e492","object":"chat.completion","created":1779504376,"model":"gpt-5.5","choices":[{"index":0,"message":{"role":"assistant","content":"Dior Jackets Other kakobuy, Dior Jackets Other kakebuy2026, Dior Jackets Other kekobuysheet, Dior Jackets Other kakobuysheet2026, Dior Jackets Other 2026kakobuy, Dior Jackets Other kakobuyspreadsheeet, Dior Jackets Other kakobuylink, Dior Jackets Other kakebuylist, Dior Jackets Other Kakobuy MEGA Spreadsheet, Dior Jackets Other kakobuysheetfind, Dior Jackets Other kakobuysheetfind2026, Dior Jackets Other 2026kakobuysheetfind, Dior Jackets Other kakobuysheet2026"},"finish_reason":"stop"}],"usage":{"prompt_tokens":715,"completion_tokens":452,"total_tokens":1167}}</t>
        </is>
      </c>
      <c r="P63" t="inlineStr">
        <is>
          <t>Dior Jackets Other kakobuy, Dior Jackets Other kakebuy2026, Dior Jackets Other kekobuysheet, Dior Jackets Other kakobuysheet2026, Dior Jackets Other 2026kakobuy, Dior Jackets Other kakobuyspreadsheeet, Dior Jackets Other kakobuylink, Dior Jackets Other kakebuylist, Dior Jackets Other Kakobuy MEGA Spreadsheet, Dior Jackets Other kakobuysheetfind, Dior Jackets Other kakobuysheetfind2026, Dior Jackets Other 2026kakobuysheetfind, Dior Jackets Other kakobuysheet2026</t>
        </is>
      </c>
      <c r="Q63" t="inlineStr">
        <is>
          <t>Unisex, Vintage, Leather Look, White</t>
        </is>
      </c>
      <c r="R63" t="inlineStr">
        <is>
          <t>recvkkO0nsmTap</t>
        </is>
      </c>
      <c r="S63" t="inlineStr">
        <is>
          <t>adore-white-leather-embroidered-zip-bomber-jacket-recvkkO0nsmTap</t>
        </is>
      </c>
      <c r="T63"/>
      <c r="U63"/>
      <c r="V63"/>
      <c r="W63" t="inlineStr">
        <is>
          <t>{"id":"resp_047147f83a91b18c016a110bd8559c81949b671e624881de8c","object":"chat.completion","created":1779502043,"model":"gpt-5.5","choices":[{"index":0,"message":{"role":"assistant","content":"白色立领拉链飞行夹克，顺滑皮革质感面料，胸前ADORE刺绣徽标，罗纹袖口下摆，男女同款复古休闲外套"},"finish_reason":"stop"}],"usage":{"prompt_tokens":1233,"completion_tokens":144,"total_tokens":1377}}</t>
        </is>
      </c>
      <c r="X63" t="inlineStr">
        <is>
          <t>白色立领拉链飞行夹克，顺滑皮革质感面料，胸前ADORE刺绣徽标，罗纹袖口下摆，男女同款复古休闲外套</t>
        </is>
      </c>
    </row>
    <row r="64" ht="25.5" customHeight="1">
      <c r="A64">
        <v>1839115443</v>
      </c>
      <c r="B64">
        <v>7773010898</v>
      </c>
      <c r="C64" s="2" t="str">
        <f>=HYPERLINK("https://weidian.com/item.html?itemID=7773010898", "https://weidian.com/item.html?itemID=7773010898")</f>
        <v>https://weidian.com/item.html?itemID=7773010898</v>
      </c>
      <c r="D64"/>
      <c r="E64" s="2" t="str">
        <f>=HYPERLINK("https://si.geilicdn.com/open1839115443-252808396-4b640000019e4e9166830a231226_790_1031.jpg?w=640&amp;h=640", "https://si.geilicdn.com/open1839115443-252808396-4b640000019e4e9166830a231226_790_1031.jpg?w=640&amp;h=640")</f>
        <v>https://si.geilicdn.com/open1839115443-252808396-4b640000019e4e9166830a231226_790_1031.jpg?w=640&amp;h=640</v>
      </c>
      <c r="F64" t="inlineStr">
        <is>
          <t>Jackets</t>
        </is>
      </c>
      <c r="G64" t="inlineStr">
        <is>
          <t>Jeep</t>
        </is>
      </c>
      <c r="H64">
        <v>149</v>
      </c>
      <c r="I64">
        <v>21.59</v>
      </c>
      <c r="J64" t="inlineStr">
        <is>
          <t>{"id":"resp_05c1eed954b6defa016a11137ccff4819088d9e084cdd17d0f","object":"chat.completion","created":1779504000,"model":"gpt-5.5","choices":[{"index":0,"message":{"role":"assistant","content":"Jeep Men's Army Green Hooded Cargo Work Jacket"},"finish_reason":"stop"}],"usage":{"prompt_tokens":900,"completion_tokens":159,"total_tokens":1059}}</t>
        </is>
      </c>
      <c r="K64" t="inlineStr">
        <is>
          <t>Jeep Men's Army Green Hooded Cargo Work Jacket</t>
        </is>
      </c>
      <c r="L64" t="inlineStr">
        <is>
          <t>{"id":"resp_0ae6d65adc983eee016a110f144420819e908c9579e99f9bef","object":"chat.completion","created":1779502871,"model":"gpt-5.5","choices":[{"index":0,"message":{"role":"assistant","content":"Jeep men's army green cargo work jacket, windproof wear-resistant poly-cotton outdoor casual coat with stand collar hood, zipper, multi pockets and chest letter embroidery"},"finish_reason":"stop"}],"usage":{"prompt_tokens":915,"completion_tokens":139,"total_tokens":1054}}</t>
        </is>
      </c>
      <c r="M64" t="inlineStr">
        <is>
          <t>{"alt-svc":"h3=\":443\"; ma=2592000","connection":"close","content-length":"466","content-type":"application/json; charset=utf-8","date":"Sat, 23 May 2026 02:21:11 GMT","referrer-policy":"strict-origin-when-cross-origin","server":"nginx/1.24.0 (Ubuntu)","strict-transport-security":"max-age=31536000; includeSubDomains; preload","vary":"Accept-Encoding","via":"1.1 Caddy","x-content-type-options":"nosniff","x-frame-options":"DENY","x-new-api-version":"v1.0.0-rc.2","x-oneapi-request-id":"202605230221079624535028268d9d6pAPlAhEc","x-request-id":"b6e39500-aca6-4c44-a317-42a48d6fc165"}</t>
        </is>
      </c>
      <c r="N64" t="inlineStr">
        <is>
          <t>Jeep men's army green cargo work jacket, windproof wear-resistant poly-cotton outdoor casual coat with stand collar hood, zipper, multi pockets and chest letter embroidery</t>
        </is>
      </c>
      <c r="O64" t="inlineStr">
        <is>
          <t>{"id":"resp_06361027ea202ec7016a111503896881a1a706773adc7ce732","object":"chat.completion","created":1779504395,"model":"gpt-5.5","choices":[{"index":0,"message":{"role":"assistant","content":"Jeep, Jackets, kakobuy, kakebuy2026, kekobuysheet, kakobuysheet2026, 2026kakobuy, kakobuyspreadsheeet, kakobuylink, kakebuylist, Kakobuy MEGA Spreadsheet, kakobuysheetfind, kakobuysheetfind2026, 2026kakobuysheetfind, kakobuysheet2026"},"finish_reason":"stop"}],"usage":{"prompt_tokens":812,"completion_tokens":376,"total_tokens":1188}}</t>
        </is>
      </c>
      <c r="P64" t="inlineStr">
        <is>
          <t>Jeep, Jackets, kakobuy, kakebuy2026, kekobuysheet, kakobuysheet2026, 2026kakobuy, kakobuyspreadsheeet, kakobuylink, kakebuylist, Kakobuy MEGA Spreadsheet, kakobuysheetfind, kakobuysheetfind2026, 2026kakobuysheetfind, kakobuysheet2026</t>
        </is>
      </c>
      <c r="Q64" t="inlineStr">
        <is>
          <t>Cargo, Workwear, Outdoor, Windproof, Green, Men</t>
        </is>
      </c>
      <c r="R64" t="inlineStr">
        <is>
          <t>recvkkO0ns7yNd</t>
        </is>
      </c>
      <c r="S64" t="inlineStr">
        <is>
          <t>jeep-army-green-hooded-cargo-work-jacket-recvkkO0ns7yNd</t>
        </is>
      </c>
      <c r="T64"/>
      <c r="U64"/>
      <c r="V64"/>
      <c r="W64" t="inlineStr">
        <is>
          <t>{"id":"resp_0621cfaaaf0f8339016a110b9aa6b08194aca97a605a96e6fa","object":"chat.completion","created":1779501982,"model":"gpt-5.5","choices":[{"index":0,"message":{"role":"assistant","content":"吉普Jeep军绿色多口袋工装夹克，防风耐磨涤棉材质，立领连帽拉链设计，胸前字母刺绣，男士户外休闲外套"},"finish_reason":"stop"}],"usage":{"prompt_tokens":1331,"completion_tokens":187,"total_tokens":1518}}</t>
        </is>
      </c>
      <c r="X64" t="inlineStr">
        <is>
          <t>吉普Jeep军绿色多口袋工装夹克，防风耐磨涤棉材质，立领连帽拉链设计，胸前字母刺绣，男士户外休闲外套</t>
        </is>
      </c>
    </row>
    <row r="65" ht="25.5" customHeight="1">
      <c r="A65">
        <v>1839115443</v>
      </c>
      <c r="B65">
        <v>7770052711</v>
      </c>
      <c r="C65" s="2" t="str">
        <f>=HYPERLINK("https://weidian.com/item.html?itemID=7770052711", "https://weidian.com/item.html?itemID=7770052711")</f>
        <v>https://weidian.com/item.html?itemID=7770052711</v>
      </c>
      <c r="D65"/>
      <c r="E65" s="2" t="str">
        <f>=HYPERLINK("https://si.geilicdn.com/open1839115443-252808396-57100000019e4e9ceb910aa08269_1200_1200.jpg?w=640&amp;h=640", "https://si.geilicdn.com/open1839115443-252808396-57100000019e4e9ceb910aa08269_1200_1200.jpg?w=640&amp;h=640")</f>
        <v>https://si.geilicdn.com/open1839115443-252808396-57100000019e4e9ceb910aa08269_1200_1200.jpg?w=640&amp;h=640</v>
      </c>
      <c r="F65" t="inlineStr">
        <is>
          <t>T-Shirts</t>
        </is>
      </c>
      <c r="G65" t="inlineStr">
        <is>
          <t>The North Face</t>
        </is>
      </c>
      <c r="H65">
        <v>99</v>
      </c>
      <c r="I65">
        <v>14.35</v>
      </c>
      <c r="J65" t="inlineStr">
        <is>
          <t>{"error":{"code":"invalid_request","message":"Model name not specified, model name cannot be empty (request id: B202605230238403429961438268d9d6ga99tMpLMaster)","type":"new_api_error"}}</t>
        </is>
      </c>
      <c r="K65"/>
      <c r="L65" t="inlineStr">
        <is>
          <t>{"id":"resp_0e3b1c4ea0a76203016a110f5fbd0c81a2900ae4670c9f4cd9","object":"chat.completion","created":1779502946,"model":"gpt-5.5","choices":[{"index":0,"message":{"role":"assistant","content":"The North Face black cotton short sleeve T-shirt, breathable unisex outdoor streetwear, back \"WALLS ARE MEANT FOR CLIMBING\" climbing graphic."},"finish_reason":"stop"}],"usage":{"prompt_tokens":753,"completion_tokens":128,"total_tokens":881}}</t>
        </is>
      </c>
      <c r="M65" t="inlineStr">
        <is>
          <t>{"alt-svc":"h3=\":443\"; ma=2592000","connection":"close","content-length":"437","content-type":"application/json; charset=utf-8","date":"Sat, 23 May 2026 02:22:26 GMT","referrer-policy":"strict-origin-when-cross-origin","server":"Caddy","strict-transport-security":"max-age=31536000; includeSubDomains; preload","vary":"Accept-Encoding","x-content-type-options":"nosniff","x-frame-options":"DENY","x-new-api-version":"v1.0.0-rc.2","x-oneapi-request-id":"202605230222234012776858268d9d6N72bisFa","x-request-id":"80fbcc76-0034-4332-9d6b-1b8f2aa9b375"}</t>
        </is>
      </c>
      <c r="N65" t="inlineStr">
        <is>
          <t>The North Face black cotton short sleeve T-shirt, breathable unisex outdoor streetwear, back "WALLS ARE MEANT FOR CLIMBING" climbing graphic.</t>
        </is>
      </c>
      <c r="O65" t="inlineStr">
        <is>
          <t>{"id":"resp_0f81b8db3de7d83e016a1114ac08f08195abee3af1a349021e","object":"chat.completion","created":1779504306,"model":"gpt-5.5","choices":[{"index":0,"message":{"role":"assistant","content":"The North Face T-Shirts kakobuy, The North Face T-Shirts kakebuy2026, The North Face T-Shirts kekobuysheet, The North Face T-Shirts kakobuysheet2026, The North Face T-Shirts 2026kakobuy, The North Face T-Shirts kakobuyspreadsheeet, The North Face T-Shirts kakobuylink, The North Face T-Shirts kakebuylist, The North Face T-Shirts Kakobuy MEGA Spreadsheet, The North Face T-Shirts kakobuysheetfind, The North Face T-Shirts kakobuysheetfind2026, The North Face T-Shirts 2026kakobuysheetfind, The North Face T-Shirts kakobuysheet2026"},"finish_reason":"stop"}],"usage":{"prompt_tokens":645,"completion_tokens":258,"total_tokens":903}}</t>
        </is>
      </c>
      <c r="P65" t="inlineStr">
        <is>
          <t>The North Face T-Shirts kakobuy, The North Face T-Shirts kakebuy2026, The North Face T-Shirts kekobuysheet, The North Face T-Shirts kakobuysheet2026, The North Face T-Shirts 2026kakobuy, The North Face T-Shirts kakobuyspreadsheeet, The North Face T-Shirts kakobuylink, The North Face T-Shirts kakebuylist, The North Face T-Shirts Kakobuy MEGA Spreadsheet, The North Face T-Shirts kakobuysheetfind, The North Face T-Shirts kakobuysheetfind2026, The North Face T-Shirts 2026kakobuysheetfind, The North Face T-Shirts kakobuysheet2026</t>
        </is>
      </c>
      <c r="Q65" t="inlineStr">
        <is>
          <t>Black, Breathable, Unisex, Outdoor, Streetwear, Summer</t>
        </is>
      </c>
      <c r="R65" t="inlineStr">
        <is>
          <t>recvkkO0nsFlzq</t>
        </is>
      </c>
      <c r="S65" t="inlineStr">
        <is>
          <t>recvkk-o0nsflzq</t>
        </is>
      </c>
      <c r="T65"/>
      <c r="U65"/>
      <c r="V65"/>
      <c r="W65" t="inlineStr">
        <is>
          <t>{"id":"resp_0c3321a646c8fed3016a110bf3bfe881978c1a2fcf9a98463c","object":"chat.completion","created":1779502071,"model":"gpt-5.5","choices":[{"index":0,"message":{"role":"assistant","content":"北面The North Face黑色短袖T恤，棉质透气面料，背部“WALLS ARE MEANT FOR CLIMBING”攀岩文字印花，户外街头风男女款潮流上衣"},"finish_reason":"stop"}],"usage":{"prompt_tokens":1165,"completion_tokens":175,"total_tokens":1340}}</t>
        </is>
      </c>
      <c r="X65" t="inlineStr">
        <is>
          <t>北面The North Face黑色短袖T恤，棉质透气面料，背部“WALLS ARE MEANT FOR CLIMBING”攀岩文字印花，户外街头风男女款潮流上衣</t>
        </is>
      </c>
    </row>
    <row r="66" ht="25.5" customHeight="1">
      <c r="A66">
        <v>1839115443</v>
      </c>
      <c r="B66">
        <v>7772995168</v>
      </c>
      <c r="C66" s="2" t="str">
        <f>=HYPERLINK("https://weidian.com/item.html?itemID=7772995168", "https://weidian.com/item.html?itemID=7772995168")</f>
        <v>https://weidian.com/item.html?itemID=7772995168</v>
      </c>
      <c r="D66"/>
      <c r="E66" s="2" t="str">
        <f>=HYPERLINK("https://si.geilicdn.com/open1839115443-252808396-48220000019e4e9d08f40a8115c2_750_750.jpg?w=640&amp;h=640", "https://si.geilicdn.com/open1839115443-252808396-48220000019e4e9d08f40a8115c2_750_750.jpg?w=640&amp;h=640")</f>
        <v>https://si.geilicdn.com/open1839115443-252808396-48220000019e4e9d08f40a8115c2_750_750.jpg?w=640&amp;h=640</v>
      </c>
      <c r="F66" t="inlineStr">
        <is>
          <t>T-Shirts</t>
        </is>
      </c>
      <c r="G66" t="inlineStr">
        <is>
          <t>Ralph Lauren</t>
        </is>
      </c>
      <c r="H66">
        <v>83</v>
      </c>
      <c r="I66">
        <v>12.03</v>
      </c>
      <c r="J66" t="inlineStr">
        <is>
          <t>{"id":"resp_0e02c447fa714717016a11135e9bac81a2a9ea8f3264bedab0","object":"chat.completion","created":1779503971,"model":"gpt-5.5","choices":[{"index":0,"message":{"role":"assistant","content":"Polo Ralph Lauren White Pique Polo Shirt Navy Pony"},"finish_reason":"stop"}],"usage":{"prompt_tokens":724,"completion_tokens":218,"total_tokens":942}}</t>
        </is>
      </c>
      <c r="K66" t="inlineStr">
        <is>
          <t>Polo Ralph Lauren White Pique Polo Shirt Navy Pony</t>
        </is>
      </c>
      <c r="L66" t="inlineStr">
        <is>
          <t>{"id":"resp_05febc6ee22803c3016a110ec46e448196a5e10b08b63c8225","object":"chat.completion","created":1779502790,"model":"gpt-5.5","choices":[{"index":0,"message":{"role":"assistant","content":"Polo Ralph Lauren white cotton pique polo shirt, short sleeve collared button placket, navy pony embroidery, classic casual unisex T-shirt."},"finish_reason":"stop"}],"usage":{"prompt_tokens":748,"completion_tokens":90,"total_tokens":838}}</t>
        </is>
      </c>
      <c r="M66" t="inlineStr">
        <is>
          <t>{"alt-svc":"h3=\":443\"; ma=2592000","connection":"close","content-length":"432","content-type":"application/json; charset=utf-8","date":"Sat, 23 May 2026 02:19:50 GMT","referrer-policy":"strict-origin-when-cross-origin","server":"Caddy","strict-transport-security":"max-age=31536000; includeSubDomains; preload","vary":"Accept-Encoding","x-content-type-options":"nosniff","x-frame-options":"DENY","x-new-api-version":"v1.0.0-rc.2","x-oneapi-request-id":"20260523021948277792398268d9d6QRS48Ibs","x-request-id":"44200fd9-17e8-4560-9d09-4b3aea0ad452"}</t>
        </is>
      </c>
      <c r="N66" t="inlineStr">
        <is>
          <t>Polo Ralph Lauren white cotton pique polo shirt, short sleeve collared button placket, navy pony embroidery, classic casual unisex T-shirt.</t>
        </is>
      </c>
      <c r="O66" t="inlineStr">
        <is>
          <t>{"id":"resp_0d15ad3f498305c4016a11150d1d7c8195874bb9879263c16a","object":"chat.completion","created":1779504403,"model":"gpt-5.5","choices":[{"index":0,"message":{"role":"assistant","content":"Ralph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kakobuysheet2026"},"finish_reason":"stop"}],"usage":{"prompt_tokens":645,"completion_tokens":301,"total_tokens":946}}</t>
        </is>
      </c>
      <c r="P66" t="inlineStr">
        <is>
          <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t>
        </is>
      </c>
      <c r="Q66" t="inlineStr">
        <is>
          <t>White, Classic, Unisex</t>
        </is>
      </c>
      <c r="R66" t="inlineStr">
        <is>
          <t>recvkkO0ns4gpI</t>
        </is>
      </c>
      <c r="S66" t="inlineStr">
        <is>
          <t>ralph-lauren-white-pique-polo-navy-pony-recvkkO0ns4gpI</t>
        </is>
      </c>
      <c r="T66"/>
      <c r="U66"/>
      <c r="V66"/>
      <c r="W66" t="inlineStr">
        <is>
          <t>{"id":"resp_06ad2355c1174f18016a110b67920881a0b8af330f7ba3288a","object":"chat.completion","created":1779501933,"model":"gpt-5.5","choices":[{"index":0,"message":{"role":"assistant","content":"拉夫劳伦 Polo Ralph Lauren 白色纯棉网眼短袖Polo衫，翻领纽扣门襟，藏蓝小马刺绣标识，男女休闲经典款T恤"},"finish_reason":"stop"}],"usage":{"prompt_tokens":1169,"completion_tokens":141,"total_tokens":1310}}</t>
        </is>
      </c>
      <c r="X66" t="inlineStr">
        <is>
          <t>拉夫劳伦 Polo Ralph Lauren 白色纯棉网眼短袖Polo衫，翻领纽扣门襟，藏蓝小马刺绣标识，男女休闲经典款T恤</t>
        </is>
      </c>
    </row>
    <row r="67" ht="25.5" customHeight="1">
      <c r="A67">
        <v>1839115443</v>
      </c>
      <c r="B67">
        <v>7772904828</v>
      </c>
      <c r="C67" s="2" t="str">
        <f>=HYPERLINK("https://weidian.com/item.html?itemID=7772904828", "https://weidian.com/item.html?itemID=7772904828")</f>
        <v>https://weidian.com/item.html?itemID=7772904828</v>
      </c>
      <c r="D67"/>
      <c r="E67" s="2" t="str">
        <f>=HYPERLINK("https://si.geilicdn.com/open1839115443-252808396-56e20000019e4e9cc5c60aa08269_1080_1080.jpg?w=640&amp;h=640", "https://si.geilicdn.com/open1839115443-252808396-56e20000019e4e9cc5c60aa08269_1080_1080.jpg?w=640&amp;h=640")</f>
        <v>https://si.geilicdn.com/open1839115443-252808396-56e20000019e4e9cc5c60aa08269_1080_1080.jpg?w=640&amp;h=640</v>
      </c>
      <c r="F67" t="inlineStr">
        <is>
          <t>T-Shirts</t>
        </is>
      </c>
      <c r="G67" t="inlineStr">
        <is>
          <t>Prada</t>
        </is>
      </c>
      <c r="H67">
        <v>225</v>
      </c>
      <c r="I67">
        <v>32.61</v>
      </c>
      <c r="J67" t="inlineStr">
        <is>
          <t>{"id":"resp_0ce02a2ecabbb983016a1112c973148192a02c929d5df1a6b3","object":"chat.completion","created":1779503822,"model":"gpt-5.5","choices":[{"index":0,"message":{"role":"assistant","content":"Prada White Triangle Logo Cotton Crew Neck Unisex T-Shirt"},"finish_reason":"stop"}],"usage":{"prompt_tokens":716,"completion_tokens":243,"total_tokens":959}}</t>
        </is>
      </c>
      <c r="K67" t="inlineStr">
        <is>
          <t>Prada White Triangle Logo Cotton Crew Neck Unisex T-Shirt</t>
        </is>
      </c>
      <c r="L67" t="inlineStr">
        <is>
          <t>{"id":"resp_02bf56c5159b03b0016a110f13109481a2bf74e8bba76b4fe3","object":"chat.completion","created":1779502869,"model":"gpt-5.5","choices":[{"index":0,"message":{"role":"assistant","content":"Prada white triangle logo short sleeve T-shirt, pure cotton crew neck, minimalist casual unisex summer top, versatile everyday tee"},"finish_reason":"stop"}],"usage":{"prompt_tokens":740,"completion_tokens":107,"total_tokens":847}}</t>
        </is>
      </c>
      <c r="M67" t="inlineStr">
        <is>
          <t>{"alt-svc":"h3=\":443\"; ma=2592000","connection":"close","content-length":"424","content-type":"application/json; charset=utf-8","date":"Sat, 23 May 2026 02:21:09 GMT","referrer-policy":"strict-origin-when-cross-origin","server":"nginx/1.24.0 (Ubuntu)","strict-transport-security":"max-age=31536000; includeSubDomains; preload","vary":"Accept-Encoding","via":"1.1 Caddy","x-content-type-options":"nosniff","x-frame-options":"DENY","x-new-api-version":"v1.0.0-rc.2","x-oneapi-request-id":"202605230221067356280198268d9d61Mo8QdDz","x-request-id":"b14e6771-3671-4f9a-8aa3-ee6f7bc68fc4"}</t>
        </is>
      </c>
      <c r="N67" t="inlineStr">
        <is>
          <t>Prada white triangle logo short sleeve T-shirt, pure cotton crew neck, minimalist casual unisex summer top, versatile everyday tee</t>
        </is>
      </c>
      <c r="O67" t="inlineStr">
        <is>
          <t>{"id":"resp_0fd06f5cafc3fe9b016a1114ddf280819f9bda5f3fca8c5b6a","object":"chat.completion","created":1779504355,"model":"gpt-5.5","choices":[{"index":0,"message":{"role":"assistant","content":"Prada T-Shirts kakobuy, Prada T-Shirts kakebuy2026, Prada T-Shirts kekobuysheet, Prada T-Shirts kakobuysheet2026, Prada T-Shirts 2026kakobuy, Prada T-Shirts kakobuyspreadsheeet, Prada T-Shirts kakobuylink, Prada T-Shirts kakebuylist, Prada T-Shirts Kakobuy MEGA Spreadsheet, Prada T-Shirts kakobuysheetfind, Prada T-Shirts kakobuysheetfind2026, Prada T-Shirts 2026kakobuysheetfind, Prada T-Shirts kakobuysheet2026"},"finish_reason":"stop"}],"usage":{"prompt_tokens":644,"completion_tokens":283,"total_tokens":927}}</t>
        </is>
      </c>
      <c r="P67" t="inlineStr">
        <is>
          <t>Prada T-Shirts kakobuy, Prada T-Shirts kakebuy2026, Prada T-Shirts kekobuysheet, Prada T-Shirts kakobuysheet2026, Prada T-Shirts 2026kakobuy, Prada T-Shirts kakobuyspreadsheeet, Prada T-Shirts kakobuylink, Prada T-Shirts kakebuylist, Prada T-Shirts Kakobuy MEGA Spreadsheet, Prada T-Shirts kakobuysheetfind, Prada T-Shirts kakobuysheetfind2026, Prada T-Shirts 2026kakobuysheetfind, Prada T-Shirts kakobuysheet2026</t>
        </is>
      </c>
      <c r="Q67" t="inlineStr">
        <is>
          <t>Minimalist, Unisex, Summer, Versatile</t>
        </is>
      </c>
      <c r="R67" t="inlineStr">
        <is>
          <t>recvkkO0nsOHra</t>
        </is>
      </c>
      <c r="S67" t="inlineStr">
        <is>
          <t>prada-white-triangle-logo-cotton-tshirt-recvkkO0nsOHra</t>
        </is>
      </c>
      <c r="T67"/>
      <c r="U67"/>
      <c r="V67"/>
      <c r="W67" t="inlineStr">
        <is>
          <t>{"id":"resp_05341755402f36e4016a110b82d62c8190ad2ef686bbd30378","object":"chat.completion","created":1779501958,"model":"gpt-5.5","choices":[{"index":0,"message":{"role":"assistant","content":"普拉达Prada 白色三角徽标短袖T恤，纯棉圆领设计，简约休闲风，男女通用夏季百搭上衣"},"finish_reason":"stop"}],"usage":{"prompt_tokens":1169,"completion_tokens":175,"total_tokens":1344}}</t>
        </is>
      </c>
      <c r="X67" t="inlineStr">
        <is>
          <t>普拉达Prada 白色三角徽标短袖T恤，纯棉圆领设计，简约休闲风，男女通用夏季百搭上衣</t>
        </is>
      </c>
    </row>
    <row r="68" ht="25.5" customHeight="1">
      <c r="A68">
        <v>1839115443</v>
      </c>
      <c r="B68">
        <v>7769997523</v>
      </c>
      <c r="C68" s="2" t="str">
        <f>=HYPERLINK("https://weidian.com/item.html?itemID=7769997523", "https://weidian.com/item.html?itemID=7769997523")</f>
        <v>https://weidian.com/item.html?itemID=7769997523</v>
      </c>
      <c r="D68"/>
      <c r="E68" s="2" t="str">
        <f>=HYPERLINK("https://si.geilicdn.com/open1839115443-252808396-66260000019e4ea4b7fb0a8115c2_800_800.jpg?w=640&amp;h=640", "https://si.geilicdn.com/open1839115443-252808396-66260000019e4ea4b7fb0a8115c2_800_800.jpg?w=640&amp;h=640")</f>
        <v>https://si.geilicdn.com/open1839115443-252808396-66260000019e4ea4b7fb0a8115c2_800_800.jpg?w=640&amp;h=640</v>
      </c>
      <c r="F68" t="inlineStr">
        <is>
          <t>Jackets</t>
        </is>
      </c>
      <c r="G68" t="inlineStr">
        <is>
          <t>Nike</t>
        </is>
      </c>
      <c r="H68">
        <v>197</v>
      </c>
      <c r="I68">
        <v>28.55</v>
      </c>
      <c r="J68" t="inlineStr">
        <is>
          <t>{"id":"resp_02ba694344488afd016a1112e74cd481a095a58c2222511dd4","object":"chat.completion","created":1779503852,"model":"gpt-5.5","choices":[{"index":0,"message":{"role":"assistant","content":"Nike Tech Fleece Black Gray Zip Hoodie Tracksuit Set"},"finish_reason":"stop"}],"usage":{"prompt_tokens":731,"completion_tokens":207,"total_tokens":938}}</t>
        </is>
      </c>
      <c r="K68" t="inlineStr">
        <is>
          <t>Nike Tech Fleece Black Gray Zip Hoodie Tracksuit Set</t>
        </is>
      </c>
      <c r="L68" t="inlineStr">
        <is>
          <t>{"id":"resp_0f16b7b4716e0295016a110f4f89308192a40a6d30c67e5879","object":"chat.completion","created":1779502931,"model":"gpt-5.5","choices":[{"index":0,"message":{"role":"assistant","content":"Nike Tech Fleece black/gray colorblock hooded zip jacket tracksuit, warm knit cotton-blend V-cut design, unisex sports casual hoodie and pants set"},"finish_reason":"stop"}],"usage":{"prompt_tokens":745,"completion_tokens":139,"total_tokens":884}}</t>
        </is>
      </c>
      <c r="M68" t="inlineStr">
        <is>
          <t>{"alt-svc":"h3=\":443\"; ma=2592000","connection":"close","content-length":"440","content-type":"application/json; charset=utf-8","date":"Sat, 23 May 2026 02:22:11 GMT","referrer-policy":"strict-origin-when-cross-origin","server":"nginx/1.24.0 (Ubuntu)","strict-transport-security":"max-age=31536000; includeSubDomains; preload","vary":"Accept-Encoding","via":"1.1 Caddy","x-content-type-options":"nosniff","x-frame-options":"DENY","x-new-api-version":"v1.0.0-rc.2","x-oneapi-request-id":"202605230222072028688688268d9d6gNhzPALZ","x-request-id":"46579cfb-d148-46c3-8b7d-7c42b6c569e3"}</t>
        </is>
      </c>
      <c r="N68" t="inlineStr">
        <is>
          <t>Nike Tech Fleece black/gray colorblock hooded zip jacket tracksuit, warm knit cotton-blend V-cut design, unisex sports casual hoodie and pants set</t>
        </is>
      </c>
      <c r="O68" t="inlineStr">
        <is>
          <t>{"id":"resp_028d408b840842b1016a11151850ec81958d024e0db70e4c3b","object":"chat.completion","created":1779504415,"model":"gpt-5.5","choices":[{"index":0,"message":{"role":"assistant","content":"Nike Jackets kakobuy, Nike Jackets kakebuy2026, Nike Jackets kekobuysheet, Nike Jackets kakobuysheet2026, Nike Jackets 2026kakobuy, Nike Jackets kakobuyspreadsheeet, Nike Jackets kakobuylink, Nike Jackets kakebuylist, Nike Jackets Kakobuy MEGA Spreadsheet, Nike Jackets kakobuysheetfind, Nike Jackets kakobuysheetfind2026, Nike Jackets 2026kakobuysheetfind, Nike Jackets kakobuysheet2026"},"finish_reason":"stop"}],"usage":{"prompt_tokens":643,"completion_tokens":301,"total_tokens":944}}</t>
        </is>
      </c>
      <c r="P68" t="inlineStr">
        <is>
          <t>Nike Jackets kakobuy, Nike Jackets kakebuy2026, Nike Jackets kekobuysheet, Nike Jackets kakobuysheet2026, Nike Jackets 2026kakobuy, Nike Jackets kakobuyspreadsheeet, Nike Jackets kakobuylink, Nike Jackets kakebuylist, Nike Jackets Kakobuy MEGA Spreadsheet, Nike Jackets kakobuysheetfind, Nike Jackets kakobuysheetfind2026, Nike Jackets 2026kakobuysheetfind, Nike Jackets kakobuysheet2026</t>
        </is>
      </c>
      <c r="Q68" t="inlineStr">
        <is>
          <t>Nike, Color Block, Unisex, Knit, Athleisure</t>
        </is>
      </c>
      <c r="R68" t="inlineStr">
        <is>
          <t>recvkkO0nsvyRs</t>
        </is>
      </c>
      <c r="S68" t="inlineStr">
        <is>
          <t>nike-tech-fleece-black-gray-zip-hoodie-tracksuit-recvkkO0nsvyRs</t>
        </is>
      </c>
      <c r="T68"/>
      <c r="U68"/>
      <c r="V68"/>
      <c r="W68" t="inlineStr">
        <is>
          <t>{"id":"resp_05d6bbace72b4107016a110b7cd910819d893e58cc6df9b2d4","object":"chat.completion","created":1779501953,"model":"gpt-5.5","choices":[{"index":0,"message":{"role":"assistant","content":"耐克Tech Fleece黑灰拼色连帽拉链夹克套装，保暖针织棉混纺材质，V形切割设计，运动休闲男女同款外套裤装"},"finish_reason":"stop"}],"usage":{"prompt_tokens":1165,"completion_tokens":203,"total_tokens":1368}}</t>
        </is>
      </c>
      <c r="X68" t="inlineStr">
        <is>
          <t>耐克Tech Fleece黑灰拼色连帽拉链夹克套装，保暖针织棉混纺材质，V形切割设计，运动休闲男女同款外套裤装</t>
        </is>
      </c>
    </row>
    <row r="69" ht="25.5" customHeight="1">
      <c r="A69">
        <v>1839115443</v>
      </c>
      <c r="B69">
        <v>7773072530</v>
      </c>
      <c r="C69" s="2" t="str">
        <f>=HYPERLINK("https://weidian.com/item.html?itemID=7773072530", "https://weidian.com/item.html?itemID=7773072530")</f>
        <v>https://weidian.com/item.html?itemID=7773072530</v>
      </c>
      <c r="D69"/>
      <c r="E69" s="2" t="str">
        <f>=HYPERLINK("https://si.geilicdn.com/open1839115443-252808396-5e440000019e4ea4789f0a8133b0_800_800.jpg?w=640&amp;h=640", "https://si.geilicdn.com/open1839115443-252808396-5e440000019e4ea4789f0a8133b0_800_800.jpg?w=640&amp;h=640")</f>
        <v>https://si.geilicdn.com/open1839115443-252808396-5e440000019e4ea4789f0a8133b0_800_800.jpg?w=640&amp;h=640</v>
      </c>
      <c r="F69" t="inlineStr">
        <is>
          <t>T-Shirts</t>
        </is>
      </c>
      <c r="G69" t="inlineStr">
        <is>
          <t>Corteiz</t>
        </is>
      </c>
      <c r="H69">
        <v>85</v>
      </c>
      <c r="I69">
        <v>12.32</v>
      </c>
      <c r="J69" t="inlineStr">
        <is>
          <t>{"id":"resp_001778107d7c914a016a1112c9a1b881929a551cfdd9792fc3","object":"chat.completion","created":1779503822,"model":"gpt-5.5","choices":[{"index":0,"message":{"role":"assistant","content":"Corteiz Black T-Shirt Colorful Logo Streetwear Tee"},"finish_reason":"stop"}],"usage":{"prompt_tokens":720,"completion_tokens":101,"total_tokens":821}}</t>
        </is>
      </c>
      <c r="K69" t="inlineStr">
        <is>
          <t>Corteiz Black T-Shirt Colorful Logo Streetwear Tee</t>
        </is>
      </c>
      <c r="L69" t="inlineStr">
        <is>
          <t>{"id":"resp_04c55fdd7a854a4d016a110f2a121481a09ca794be8b75f9de","object":"chat.completion","created":1779502891,"model":"gpt-5.5","choices":[{"index":0,"message":{"role":"assistant","content":"Corteiz black T-shirt with colorful handwritten logo, soft cotton crew neck, relaxed streetwear fit, unisex summer casual top."},"finish_reason":"stop"}],"usage":{"prompt_tokens":742,"completion_tokens":31,"total_tokens":773}}</t>
        </is>
      </c>
      <c r="M69" t="inlineStr">
        <is>
          <t>{"alt-svc":"h3=\":443\"; ma=2592000","connection":"close","content-length":"419","content-type":"application/json; charset=utf-8","date":"Sat, 23 May 2026 02:21:31 GMT","referrer-policy":"strict-origin-when-cross-origin","server":"Caddy","strict-transport-security":"max-age=31536000; includeSubDomains; preload","vary":"Accept-Encoding","x-content-type-options":"nosniff","x-frame-options":"DENY","x-new-api-version":"v1.0.0-rc.2","x-oneapi-request-id":"202605230221295297682528268d9d6wrGA5Rw1","x-request-id":"c826c46a-1b88-4129-925e-aeee6ce81461"}</t>
        </is>
      </c>
      <c r="N69" t="inlineStr">
        <is>
          <t>Corteiz black T-shirt with colorful handwritten logo, soft cotton crew neck, relaxed streetwear fit, unisex summer casual top.</t>
        </is>
      </c>
      <c r="O69" t="inlineStr">
        <is>
          <t>{"id":"resp_0e464966660bcd28016a1115714ce4819ca70fe2bee422138b","object":"chat.completion","created":1779504502,"model":"gpt-5.5","choices":[{"index":0,"message":{"role":"assistant","content":"Corteiz T-Shirts kakobuy, Corteiz T-Shirts kakebuy2026, Corteiz T-Shirts kekobuysheet, Corteiz T-Shirts kakobuysheet2026, Corteiz T-Shirts 2026kakobuy, Corteiz T-Shirts kakobuyspreadsheeet, Corteiz T-Shirts kakobuylink, Corteiz T-Shirts kakebuylist, Corteiz T-Shirts Kakobuy MEGA Spreadsheet, Corteiz T-Shirts kakobuysheetfind, Corteiz T-Shirts kakobuysheetfind2026, Corteiz T-Shirts 2026kakobuysheetfind, Corteiz T-Shirts kakobuysheet2026"},"finish_reason":"stop"}],"usage":{"prompt_tokens":645,"completion_tokens":216,"total_tokens":861}}</t>
        </is>
      </c>
      <c r="P69" t="inlineStr">
        <is>
          <t>Corteiz T-Shirts kakobuy, Corteiz T-Shirts kakebuy2026, Corteiz T-Shirts kekobuysheet, Corteiz T-Shirts kakobuysheet2026, Corteiz T-Shirts 2026kakobuy, Corteiz T-Shirts kakobuyspreadsheeet, Corteiz T-Shirts kakobuylink, Corteiz T-Shirts kakebuylist, Corteiz T-Shirts Kakobuy MEGA Spreadsheet, Corteiz T-Shirts kakobuysheetfind, Corteiz T-Shirts kakobuysheetfind2026, Corteiz T-Shirts 2026kakobuysheetfind, Corteiz T-Shirts kakobuysheet2026</t>
        </is>
      </c>
      <c r="Q69" t="inlineStr">
        <is>
          <t>Corteiz, Black, Colorful, Streetwear, Summer, Unisex</t>
        </is>
      </c>
      <c r="R69" t="inlineStr">
        <is>
          <t>recvkkO0nslUXy</t>
        </is>
      </c>
      <c r="S69" t="inlineStr">
        <is>
          <t>corteiz-black-t-shirt-colorful-logo-streetwear-tee-recvkkO0nslUXy</t>
        </is>
      </c>
      <c r="T69"/>
      <c r="U69"/>
      <c r="V69"/>
      <c r="W69" t="inlineStr">
        <is>
          <t>{"id":"resp_06a4408f53130832016a110baf73f8819f83698bc613a27bd6","object":"chat.completion","created":1779502003,"model":"gpt-5.5","choices":[{"index":0,"message":{"role":"assistant","content":"黑色 Corteiz 彩色手写Logo短袖T恤，柔软棉质圆领休闲版型，街头潮流男女同款，夏季百搭上衣"},"finish_reason":"stop"}],"usage":{"prompt_tokens":1169,"completion_tokens":144,"total_tokens":1313}}</t>
        </is>
      </c>
      <c r="X69" t="inlineStr">
        <is>
          <t>黑色 Corteiz 彩色手写Logo短袖T恤，柔软棉质圆领休闲版型，街头潮流男女同款，夏季百搭上衣</t>
        </is>
      </c>
    </row>
    <row r="70" ht="25.5" customHeight="1">
      <c r="A70">
        <v>1839115443</v>
      </c>
      <c r="B70">
        <v>7770122161</v>
      </c>
      <c r="C70" s="2" t="str">
        <f>=HYPERLINK("https://weidian.com/item.html?itemID=7770122161", "https://weidian.com/item.html?itemID=7770122161")</f>
        <v>https://weidian.com/item.html?itemID=7770122161</v>
      </c>
      <c r="D70"/>
      <c r="E70" s="2" t="str">
        <f>=HYPERLINK("https://si.geilicdn.com/open1839115443-252808396-73140000019e4ea987530a8115c2_800_800.jpg?w=640&amp;h=640", "https://si.geilicdn.com/open1839115443-252808396-73140000019e4ea987530a8115c2_800_800.jpg?w=640&amp;h=640")</f>
        <v>https://si.geilicdn.com/open1839115443-252808396-73140000019e4ea987530a8115c2_800_800.jpg?w=640&amp;h=640</v>
      </c>
      <c r="F70" t="inlineStr">
        <is>
          <t>Hoodies</t>
        </is>
      </c>
      <c r="G70" t="inlineStr">
        <is>
          <t>The North Face</t>
        </is>
      </c>
      <c r="H70">
        <v>97</v>
      </c>
      <c r="I70">
        <v>14.06</v>
      </c>
      <c r="J70" t="inlineStr">
        <is>
          <t>{"id":"resp_02be3d8cc1b37fa8016a1112c7a92c81a080c0472d817005a3","object":"chat.completion","created":1779503818,"model":"gpt-5.5","choices":[{"index":0,"message":{"role":"assistant","content":"The North Face Navy Camo Logo Fleece Pullover Hoodie"},"finish_reason":"stop"}],"usage":{"prompt_tokens":726,"completion_tokens":138,"total_tokens":864}}</t>
        </is>
      </c>
      <c r="K70" t="inlineStr">
        <is>
          <t>The North Face Navy Camo Logo Fleece Pullover Hoodie</t>
        </is>
      </c>
      <c r="L70" t="inlineStr">
        <is>
          <t>{"id":"resp_0929d92da619a6f8016a110f65133c81a39843a30cbd5154db","object":"chat.completion","created":1779502952,"model":"gpt-5.5","choices":[{"index":0,"message":{"role":"assistant","content":"The North Face navy pullover hoodie, fleece-lined cotton blend, camo half-dome logo, kangaroo pocket, unisex streetwear sweatshirt"},"finish_reason":"stop"}],"usage":{"prompt_tokens":749,"completion_tokens":121,"total_tokens":870}}</t>
        </is>
      </c>
      <c r="M70" t="inlineStr">
        <is>
          <t>{"alt-svc":"h3=\":443\"; ma=2592000","connection":"close","content-length":"424","content-type":"application/json; charset=utf-8","date":"Sat, 23 May 2026 02:22:32 GMT","referrer-policy":"strict-origin-when-cross-origin","server":"nginx/1.24.0 (Ubuntu)","strict-transport-security":"max-age=31536000; includeSubDomains; preload","vary":"Accept-Encoding","via":"1.1 Caddy","x-content-type-options":"nosniff","x-frame-options":"DENY","x-new-api-version":"v1.0.0-rc.2","x-oneapi-request-id":"202605230222287591142438268d9d6vS04dPeX","x-request-id":"175a5e4a-4851-44f2-a99c-e8633edcd5b2"}</t>
        </is>
      </c>
      <c r="N70" t="inlineStr">
        <is>
          <t>The North Face navy pullover hoodie, fleece-lined cotton blend, camo half-dome logo, kangaroo pocket, unisex streetwear sweatshirt</t>
        </is>
      </c>
      <c r="O70" t="inlineStr">
        <is>
          <t>{"id":"resp_0452929cf22346e9016a111458e57481948c1bc7ff3e1cfe61","object":"chat.completion","created":1779504222,"model":"gpt-5.5","choices":[{"index":0,"message":{"role":"assistant","content":"The North Face Hoodies kakobuy, The North Face Hoodies kakebuy2026, The North Face Hoodies kekobuysheet, The North Face Hoodies kakobuysheet2026, The North Face Hoodies 2026kakobuy, The North Face Hoodies kakobuyspreadsheeet, The North Face Hoodies kakobuylink, The North Face Hoodies kakebuylist, The North Face Hoodies Kakobuy MEGA Spreadsheet, The North Face Hoodies kakobuysheetfind, The North Face Hoodies kakobuysheetfind2026, The North Face Hoodies 2026kakobuysheetfind, The North Face Hoodies kakobuysheet2026"},"finish_reason":"stop"}],"usage":{"prompt_tokens":646,"completion_tokens":260,"total_tokens":906}}</t>
        </is>
      </c>
      <c r="P70" t="inlineStr">
        <is>
          <t>The North Face Hoodies kakobuy, The North Face Hoodies kakebuy2026, The North Face Hoodies kekobuysheet, The North Face Hoodies kakobuysheet2026, The North Face Hoodies 2026kakobuy, The North Face Hoodies kakobuyspreadsheeet, The North Face Hoodies kakobuylink, The North Face Hoodies kakebuylist, The North Face Hoodies Kakobuy MEGA Spreadsheet, The North Face Hoodies kakobuysheetfind, The North Face Hoodies kakobuysheetfind2026, The North Face Hoodies 2026kakobuysheetfind, The North Face Hoodies kakobuysheet2026</t>
        </is>
      </c>
      <c r="Q70" t="inlineStr">
        <is>
          <t>Navy, Fleece-Lined, Unisex, Streetwear</t>
        </is>
      </c>
      <c r="R70" t="inlineStr">
        <is>
          <t>recvkkO0nszsov</t>
        </is>
      </c>
      <c r="S70" t="inlineStr">
        <is>
          <t>the-north-face-navy-camo-logo-fleece-pullover-hoodie-recvkkO0nszsov</t>
        </is>
      </c>
      <c r="T70"/>
      <c r="U70"/>
      <c r="V70"/>
      <c r="W70" t="inlineStr">
        <is>
          <t>{"id":"resp_0bf0d96f8c45581f016a110c1650988196b913481b6d47b94f","object":"chat.completion","created":1779502105,"model":"gpt-5.5","choices":[{"index":0,"message":{"role":"assistant","content":"北面The North Face 藏蓝色连帽卫衣，棉混纺加绒面料，胸前迷彩半圆Logo印花，袋鼠兜休闲街头风男女同款上衣"},"finish_reason":"stop"}],"usage":{"prompt_tokens":1164,"completion_tokens":152,"total_tokens":1316}}</t>
        </is>
      </c>
      <c r="X70" t="inlineStr">
        <is>
          <t>北面The North Face 藏蓝色连帽卫衣，棉混纺加绒面料，胸前迷彩半圆Logo印花，袋鼠兜休闲街头风男女同款上衣</t>
        </is>
      </c>
    </row>
    <row r="71" ht="25.5" customHeight="1">
      <c r="A71">
        <v>1839115443</v>
      </c>
      <c r="B71">
        <v>7770080697</v>
      </c>
      <c r="C71" s="2" t="str">
        <f>=HYPERLINK("https://weidian.com/item.html?itemID=7770080697", "https://weidian.com/item.html?itemID=7770080697")</f>
        <v>https://weidian.com/item.html?itemID=7770080697</v>
      </c>
      <c r="D71"/>
      <c r="E71" s="2" t="str">
        <f>=HYPERLINK("https://si.geilicdn.com/open1839115443-252808396-0c0c0000019e4ea93fc90a23b4de_800_800.jpg?w=640&amp;h=640", "https://si.geilicdn.com/open1839115443-252808396-0c0c0000019e4ea93fc90a23b4de_800_800.jpg?w=640&amp;h=640")</f>
        <v>https://si.geilicdn.com/open1839115443-252808396-0c0c0000019e4ea93fc90a23b4de_800_800.jpg?w=640&amp;h=640</v>
      </c>
      <c r="F71" t="inlineStr">
        <is>
          <t>Hoodies</t>
        </is>
      </c>
      <c r="G71" t="inlineStr">
        <is>
          <t>Ralph Lauren</t>
        </is>
      </c>
      <c r="H71">
        <v>159</v>
      </c>
      <c r="I71">
        <v>23.04</v>
      </c>
      <c r="J71" t="inlineStr">
        <is>
          <t>{"id":"resp_0a8d82a4516e25ca016a11137b34888197a496fbbc483e8914","object":"chat.completion","created":1779503999,"model":"gpt-5.5","choices":[{"index":0,"message":{"role":"assistant","content":"Ralph Lauren Black Zip Hoodie White Pony Sweatshirt"},"finish_reason":"stop"}],"usage":{"prompt_tokens":723,"completion_tokens":188,"total_tokens":911}}</t>
        </is>
      </c>
      <c r="K71" t="inlineStr">
        <is>
          <t>Ralph Lauren Black Zip Hoodie White Pony Sweatshirt</t>
        </is>
      </c>
      <c r="L71" t="inlineStr">
        <is>
          <t>{"id":"resp_0370c49328100ed7016a110f455e108192bc40637f40b75cb0","object":"chat.completion","created":1779502920,"model":"gpt-5.5","choices":[{"index":0,"message":{"role":"assistant","content":"Ralph Lauren black zip hoodie, cotton blend sweatshirt with white pony embroidery, drawstring hood and kangaroo pockets, unisex casual classic."},"finish_reason":"stop"}],"usage":{"prompt_tokens":743,"completion_tokens":105,"total_tokens":848}}</t>
        </is>
      </c>
      <c r="M71" t="inlineStr">
        <is>
          <t>{"alt-svc":"h3=\":443\"; ma=2592000","connection":"close","content-length":"437","content-type":"application/json; charset=utf-8","date":"Sat, 23 May 2026 02:22:00 GMT","referrer-policy":"strict-origin-when-cross-origin","server":"nginx/1.24.0 (Ubuntu)","strict-transport-security":"max-age=31536000; includeSubDomains; preload","vary":"Accept-Encoding","via":"1.1 Caddy","x-content-type-options":"nosniff","x-frame-options":"DENY","x-new-api-version":"v1.0.0-rc.2","x-oneapi-request-id":"202605230221535188279058268d9d6y6d5APfp","x-request-id":"9ff2516a-a475-4189-946a-4c0cd0737369"}</t>
        </is>
      </c>
      <c r="N71" t="inlineStr">
        <is>
          <t>Ralph Lauren black zip hoodie, cotton blend sweatshirt with white pony embroidery, drawstring hood and kangaroo pockets, unisex casual classic.</t>
        </is>
      </c>
      <c r="O71" t="inlineStr">
        <is>
          <t>{"id":"resp_0505f206d7e303e5016a111548b03881969f696fa3beb29cdf","object":"chat.completion","created":1779504465,"model":"gpt-5.5","choices":[{"index":0,"message":{"role":"assistant","content":"Ralph Lauren Hoodies kakobuy, Ralph Lauren Hoodies kakebuy2026, Ralph Lauren Hoodies kekobuysheet, Ralph Lauren Hoodies kakobuysheet2026, Ralph Lauren Hoodies 2026kakobuy, Ralph Lauren Hoodies kakobuyspreadsheeet, Ralph Lauren Hoodies kakobuylink, Ralph Lauren Hoodies kakebuylist, Ralph Lauren Hoodies Kakobuy MEGA Spreadsheet, Ralph Lauren Hoodies kakobuysheetfind, Ralph Lauren Hoodies kakobuysheetfind2026, Ralph Lauren Hoodies 2026kakobuysheetfind, Ralph Lauren Hoodies kakobuysheet2026"},"finish_reason":"stop"}],"usage":{"prompt_tokens":646,"completion_tokens":370,"total_tokens":1016}}</t>
        </is>
      </c>
      <c r="P71" t="inlineStr">
        <is>
          <t>Ralph Lauren Hoodies kakobuy, Ralph Lauren Hoodies kakebuy2026, Ralph Lauren Hoodies kekobuysheet, Ralph Lauren Hoodies kakobuysheet2026, Ralph Lauren Hoodies 2026kakobuy, Ralph Lauren Hoodies kakobuyspreadsheeet, Ralph Lauren Hoodies kakobuylink, Ralph Lauren Hoodies kakebuylist, Ralph Lauren Hoodies Kakobuy MEGA Spreadsheet, Ralph Lauren Hoodies kakobuysheetfind, Ralph Lauren Hoodies kakobuysheetfind2026, Ralph Lauren Hoodies 2026kakobuysheetfind, Ralph Lauren Hoodies kakobuysheet2026</t>
        </is>
      </c>
      <c r="Q71" t="inlineStr">
        <is>
          <t>Black, Classic, Unisex</t>
        </is>
      </c>
      <c r="R71" t="inlineStr">
        <is>
          <t>recvkkO0nsiSF2</t>
        </is>
      </c>
      <c r="S71" t="inlineStr">
        <is>
          <t>ralph-lauren-black-zip-hoodie-white-pony-sweatshirt-recvkkO0nsiSF2</t>
        </is>
      </c>
      <c r="T71"/>
      <c r="U71"/>
      <c r="V71"/>
      <c r="W71" t="inlineStr">
        <is>
          <t>{"id":"resp_097fc0befa45d65a016a110c2acc0c81928466ba5d668c8e17","object":"chat.completion","created":1779502126,"model":"gpt-5.5","choices":[{"index":0,"message":{"role":"assistant","content":"拉夫劳伦 Ralph Lauren 黑色拉链连帽卫衣，棉质混纺，白色小马刺绣，袋鼠口袋，男女休闲经典款"},"finish_reason":"stop"}],"usage":{"prompt_tokens":1172,"completion_tokens":143,"total_tokens":1315}}</t>
        </is>
      </c>
      <c r="X71" t="inlineStr">
        <is>
          <t>拉夫劳伦 Ralph Lauren 黑色拉链连帽卫衣，棉质混纺，白色小马刺绣，袋鼠口袋，男女休闲经典款</t>
        </is>
      </c>
    </row>
    <row r="72" ht="25.5" customHeight="1">
      <c r="A72">
        <v>1839115443</v>
      </c>
      <c r="B72">
        <v>7770071001</v>
      </c>
      <c r="C72" s="2" t="str">
        <f>=HYPERLINK("https://weidian.com/item.html?itemID=7770071001", "https://weidian.com/item.html?itemID=7770071001")</f>
        <v>https://weidian.com/item.html?itemID=7770071001</v>
      </c>
      <c r="D72"/>
      <c r="E72" s="2" t="str">
        <f>=HYPERLINK("https://si.geilicdn.com/open1839115443-252808396-18710000019e4eab54300a22d249_800_800.jpg?w=640&amp;h=640", "https://si.geilicdn.com/open1839115443-252808396-18710000019e4eab54300a22d249_800_800.jpg?w=640&amp;h=640")</f>
        <v>https://si.geilicdn.com/open1839115443-252808396-18710000019e4eab54300a22d249_800_800.jpg?w=640&amp;h=640</v>
      </c>
      <c r="F72" t="inlineStr">
        <is>
          <t>Hoodies</t>
        </is>
      </c>
      <c r="G72" t="inlineStr">
        <is>
          <t>Ralph Lauren</t>
        </is>
      </c>
      <c r="H72">
        <v>100</v>
      </c>
      <c r="I72">
        <v>14.49</v>
      </c>
      <c r="J72" t="inlineStr">
        <is>
          <t>{"id":"resp_00f133897b9e1d85016a111305ec4881929b53350413aa6aeb","object":"chat.completion","created":1779503881,"model":"gpt-5.5","choices":[{"index":0,"message":{"role":"assistant","content":"Ralph Lauren Pink Zip Hoodie Embroidered Pony Fleece"},"finish_reason":"stop"}],"usage":{"prompt_tokens":734,"completion_tokens":147,"total_tokens":881}}</t>
        </is>
      </c>
      <c r="K72" t="inlineStr">
        <is>
          <t>Ralph Lauren Pink Zip Hoodie Embroidered Pony Fleece</t>
        </is>
      </c>
      <c r="L72" t="inlineStr">
        <is>
          <t>{"id":"resp_0460ddffc906a5e3016a110edcf45c819da4b6b596408f4ab0","object":"chat.completion","created":1779502816,"model":"gpt-5.5","choices":[{"index":0,"message":{"role":"assistant","content":"Ralph Lauren pink zip-up hoodie, soft cotton-blend fleece with embroidered pony logo, drawstring hood and kangaroo pocket, unisex casual preppy sweatshirt jacket"},"finish_reason":"stop"}],"usage":{"prompt_tokens":751,"completion_tokens":111,"total_tokens":862}}</t>
        </is>
      </c>
      <c r="M72" t="inlineStr">
        <is>
          <t>{"alt-svc":"h3=\":443\"; ma=2592000","connection":"close","content-length":"455","content-type":"application/json; charset=utf-8","date":"Sat, 23 May 2026 02:20:16 GMT","referrer-policy":"strict-origin-when-cross-origin","server":"Caddy","strict-transport-security":"max-age=31536000; includeSubDomains; preload","vary":"Accept-Encoding","x-content-type-options":"nosniff","x-frame-options":"DENY","x-new-api-version":"v1.0.0-rc.2","x-oneapi-request-id":"202605230220126833801918268d9d6YkQPTGku","x-request-id":"d73e6405-3066-4a62-9133-bc72734f0bb1"}</t>
        </is>
      </c>
      <c r="N72" t="inlineStr">
        <is>
          <t>Ralph Lauren pink zip-up hoodie, soft cotton-blend fleece with embroidered pony logo, drawstring hood and kangaroo pocket, unisex casual preppy sweatshirt jacket</t>
        </is>
      </c>
      <c r="O72" t="inlineStr">
        <is>
          <t>{"id":"resp_0db9cad9aaf9c871016a1114b940b4819ca5a030004885bb0a","object":"chat.completion","created":1779504320,"model":"gpt-5.5","choices":[{"index":0,"message":{"role":"assistant","content":"Ralph Lauren, Hoodies, kakobuy\nRalph Lauren, Hoodies, kakebuy2026\nRalph Lauren, Hoodies, kekobuysheet\nRalph Lauren, Hoodies, kakobuysheet2026\nRalph Lauren, Hoodies, 2026kakobuy\nRalph Lauren, Hoodies, kakobuyspreadsheeet\nRalph Lauren, Hoodies, kakobuylink\nRalph Lauren, Hoodies, kakebuylist\nRalph Lauren, Hoodies, Kakobuy MEGA Spreadsheet\nRalph Lauren, Hoodies, kakobuysheetfind\nRalph Lauren, Hoodies, kakobuysheetfind2026\nRalph Lauren, Hoodies, 2026kakobuysheetfind\nRalph Lauren, Hoodies, kakobuysheet2026"},"finish_reason":"stop"}],"usage":{"prompt_tokens":646,"completion_tokens":348,"total_tokens":994}}</t>
        </is>
      </c>
      <c r="P72" t="inlineStr">
        <is>
          <t>Ralph Lauren, Hoodies, kakobuy
Ralph Lauren, Hoodies, kakebuy2026
Ralph Lauren, Hoodies, kekobuysheet
Ralph Lauren, Hoodies, kakobuysheet2026
Ralph Lauren, Hoodies, 2026kakobuy
Ralph Lauren, Hoodies, kakobuyspreadsheeet
Ralph Lauren, Hoodies, kakobuylink
Ralph Lauren, Hoodies, kakebuylist
Ralph Lauren, Hoodies, Kakobuy MEGA Spreadsheet
Ralph Lauren, Hoodies, kakobuysheetfind
Ralph Lauren, Hoodies, kakobuysheetfind2026
Ralph Lauren, Hoodies, 2026kakobuysheetfind
Ralph Lauren, Hoodies, kakobuysheet2026</t>
        </is>
      </c>
      <c r="Q72" t="inlineStr">
        <is>
          <t>Pink, Unisex, Preppy</t>
        </is>
      </c>
      <c r="R72" t="inlineStr">
        <is>
          <t>recvkkO0nsA2Ev</t>
        </is>
      </c>
      <c r="S72" t="inlineStr">
        <is>
          <t>ralph-lauren-pink-zip-hoodie-pony-fleece-recvkk0nsa2ev</t>
        </is>
      </c>
      <c r="T72"/>
      <c r="U72"/>
      <c r="V72"/>
      <c r="W72" t="inlineStr">
        <is>
          <t>{"id":"resp_0a188b8ebc4a02eb016a110bf907708190afc15b86617818e3","object":"chat.completion","created":1779502076,"model":"gpt-5.5","choices":[{"index":0,"message":{"role":"assistant","content":"拉夫劳伦粉色连帽拉链卫衣，柔软棉混纺抓绒，胸前小马刺绣标识，抽绳帽袋鼠兜，休闲学院风男女同款外套"},"finish_reason":"stop"}],"usage":{"prompt_tokens":1164,"completion_tokens":139,"total_tokens":1303}}</t>
        </is>
      </c>
      <c r="X72" t="inlineStr">
        <is>
          <t>拉夫劳伦粉色连帽拉链卫衣，柔软棉混纺抓绒，胸前小马刺绣标识，抽绳帽袋鼠兜，休闲学院风男女同款外套</t>
        </is>
      </c>
    </row>
    <row r="73" ht="25.5" customHeight="1">
      <c r="A73">
        <v>1839115443</v>
      </c>
      <c r="B73">
        <v>7773029454</v>
      </c>
      <c r="C73" s="2" t="str">
        <f>=HYPERLINK("https://weidian.com/item.html?itemID=7773029454", "https://weidian.com/item.html?itemID=7773029454")</f>
        <v>https://weidian.com/item.html?itemID=7773029454</v>
      </c>
      <c r="D73"/>
      <c r="E73" s="2" t="str">
        <f>=HYPERLINK("https://si.geilicdn.com/open1839115443-252808396-0fe80000019e4eaa4f3a0a23b4de_1920_1080.jpg?w=640&amp;h=640", "https://si.geilicdn.com/open1839115443-252808396-0fe80000019e4eaa4f3a0a23b4de_1920_1080.jpg?w=640&amp;h=640")</f>
        <v>https://si.geilicdn.com/open1839115443-252808396-0fe80000019e4eaa4f3a0a23b4de_1920_1080.jpg?w=640&amp;h=640</v>
      </c>
      <c r="F73" t="inlineStr">
        <is>
          <t>Hoodies</t>
        </is>
      </c>
      <c r="G73" t="inlineStr">
        <is>
          <t>Chrome Hearts</t>
        </is>
      </c>
      <c r="H73">
        <v>196</v>
      </c>
      <c r="I73">
        <v>28.41</v>
      </c>
      <c r="J73" t="inlineStr">
        <is>
          <t>{"id":"resp_08a826529d7db107016a1113068ae881969731ebb18a7e6dd3","object":"chat.completion","created":1779503882,"model":"gpt-5.5","choices":[{"index":0,"message":{"role":"assistant","content":"Chrome Hearts Black Zip Hoodie Horseshoe Cross Sleeve Print"},"finish_reason":"stop"}],"usage":{"prompt_tokens":527,"completion_tokens":145,"total_tokens":672}}</t>
        </is>
      </c>
      <c r="K73" t="inlineStr">
        <is>
          <t>Chrome Hearts Black Zip Hoodie Horseshoe Cross Sleeve Print</t>
        </is>
      </c>
      <c r="L73" t="inlineStr">
        <is>
          <t>{"id":"resp_0e44eca6e9f274e1016a110f2ac2408191a6513ea0c647bda2","object":"chat.completion","created":1779502892,"model":"gpt-5.5","choices":[{"index":0,"message":{"role":"assistant","content":"Chrome Hearts black zip hoodie, cotton casual unisex streetwear jacket with horseshoe logo and sleeve cross vine print, vintage fashion sweatshirt"},"finish_reason":"stop"}],"usage":{"prompt_tokens":561,"completion_tokens":30,"total_tokens":591}}</t>
        </is>
      </c>
      <c r="M73" t="inlineStr">
        <is>
          <t>{"alt-svc":"h3=\":443\"; ma=2592000","connection":"close","content-length":"439","content-type":"application/json; charset=utf-8","date":"Sat, 23 May 2026 02:21:32 GMT","referrer-policy":"strict-origin-when-cross-origin","server":"Caddy","strict-transport-security":"max-age=31536000; includeSubDomains; preload","vary":"Accept-Encoding","x-content-type-options":"nosniff","x-frame-options":"DENY","x-new-api-version":"v1.0.0-rc.2","x-oneapi-request-id":"202605230221304628338898268d9d69SCRaI1h","x-request-id":"a193d66c-9043-49e5-8329-38af9cd52441"}</t>
        </is>
      </c>
      <c r="N73" t="inlineStr">
        <is>
          <t>Chrome Hearts black zip hoodie, cotton casual unisex streetwear jacket with horseshoe logo and sleeve cross vine print, vintage fashion sweatshirt</t>
        </is>
      </c>
      <c r="O73" t="inlineStr">
        <is>
          <t>{"id":"resp_0356c089a324adf5016a111567712481a3acb8299a83a89383","object":"chat.completion","created":1779504493,"model":"gpt-5.5","choices":[{"index":0,"message":{"role":"assistant","content":"Chrome Hearts Hoodies kakobuy, Chrome Hearts Hoodies kakebuy2026, Chrome Hearts Hoodies kekobuysheet, Chrome Hearts Hoodies kakobuysheet2026, Chrome Hearts Hoodies 2026kakobuy, Chrome Hearts Hoodies kakobuyspreadsheeet, Chrome Hearts Hoodies kakobuylink, Chrome Hearts Hoodies kakebuylist, Chrome Hearts Hoodies Kakobuy MEGA Spreadsheet, Chrome Hearts Hoodies kakobuysheetfind, Chrome Hearts Hoodies kakobuysheetfind2026, Chrome Hearts Hoodies 2026kakobuysheetfind, Chrome Hearts Hoodies kakobuysheet2026"},"finish_reason":"stop"}],"usage":{"prompt_tokens":453,"completion_tokens":291,"total_tokens":744}}</t>
        </is>
      </c>
      <c r="P73" t="inlineStr">
        <is>
          <t>Chrome Hearts Hoodies kakobuy, Chrome Hearts Hoodies kakebuy2026, Chrome Hearts Hoodies kekobuysheet, Chrome Hearts Hoodies kakobuysheet2026, Chrome Hearts Hoodies 2026kakobuy, Chrome Hearts Hoodies kakobuyspreadsheeet, Chrome Hearts Hoodies kakobuylink, Chrome Hearts Hoodies kakebuylist, Chrome Hearts Hoodies Kakobuy MEGA Spreadsheet, Chrome Hearts Hoodies kakobuysheetfind, Chrome Hearts Hoodies kakobuysheetfind2026, Chrome Hearts Hoodies 2026kakobuysheetfind, Chrome Hearts Hoodies kakobuysheet2026</t>
        </is>
      </c>
      <c r="Q73" t="inlineStr">
        <is>
          <t>Black, Unisex, Streetwear, Vintage</t>
        </is>
      </c>
      <c r="R73" t="inlineStr">
        <is>
          <t>recvkkO0ns9WMF</t>
        </is>
      </c>
      <c r="S73" t="inlineStr">
        <is>
          <t>chrome-hearts-black-zip-hoodie-horseshoe-cross-sleeve-print-recvkkO0ns9WMF</t>
        </is>
      </c>
      <c r="T73"/>
      <c r="U73"/>
      <c r="V73"/>
      <c r="W73" t="inlineStr">
        <is>
          <t>{"id":"resp_0401de4c39e25a39016a110bbe52388192b8c95b83a541ea89","object":"chat.completion","created":1779502017,"model":"gpt-5.5","choices":[{"index":0,"message":{"role":"assistant","content":"克罗心Chrome Hearts 黑色拉链连帽卫衣，棉质休闲面料，马蹄Logo与袖部十字藤蔓印花，男女同款复古街头潮牌外套"},"finish_reason":"stop"}],"usage":{"prompt_tokens":984,"completion_tokens":138,"total_tokens":1122}}</t>
        </is>
      </c>
      <c r="X73" t="inlineStr">
        <is>
          <t>克罗心Chrome Hearts 黑色拉链连帽卫衣，棉质休闲面料，马蹄Logo与袖部十字藤蔓印花，男女同款复古街头潮牌外套</t>
        </is>
      </c>
    </row>
    <row r="74" ht="25.5" customHeight="1">
      <c r="A74">
        <v>1839115443</v>
      </c>
      <c r="B74">
        <v>7770108413</v>
      </c>
      <c r="C74" s="2" t="str">
        <f>=HYPERLINK("https://weidian.com/item.html?itemID=7770108413", "https://weidian.com/item.html?itemID=7770108413")</f>
        <v>https://weidian.com/item.html?itemID=7770108413</v>
      </c>
      <c r="D74"/>
      <c r="E74" s="2" t="str">
        <f>=HYPERLINK("https://si.geilicdn.com/open1839115443-252808396-76220000019e4eaa52ce0a8115c2_1200_1200.jpg?w=640&amp;h=640", "https://si.geilicdn.com/open1839115443-252808396-76220000019e4eaa52ce0a8115c2_1200_1200.jpg?w=640&amp;h=640")</f>
        <v>https://si.geilicdn.com/open1839115443-252808396-76220000019e4eaa52ce0a8115c2_1200_1200.jpg?w=640&amp;h=640</v>
      </c>
      <c r="F74" t="inlineStr">
        <is>
          <t>Shorts</t>
        </is>
      </c>
      <c r="G74" t="inlineStr">
        <is>
          <t>Ralph Lauren</t>
        </is>
      </c>
      <c r="H74">
        <v>93</v>
      </c>
      <c r="I74">
        <v>13.48</v>
      </c>
      <c r="J74" t="inlineStr">
        <is>
          <t>{"id":"resp_0e5a653f9fe16340016a1112e3535c81958fe62226b7eb791b","object":"chat.completion","created":1779503846,"model":"gpt-5.5","choices":[{"index":0,"message":{"role":"assistant","content":"Ralph Lauren Men's Navy Polo Embroidered Drawstring Shorts"},"finish_reason":"stop"}],"usage":{"prompt_tokens":715,"completion_tokens":133,"total_tokens":848}}</t>
        </is>
      </c>
      <c r="K74" t="inlineStr">
        <is>
          <t>Ralph Lauren Men's Navy Polo Embroidered Drawstring Shorts</t>
        </is>
      </c>
      <c r="L74" t="inlineStr">
        <is>
          <t>{"id":"resp_028a41c105f903c5016a110f7901e881a2ada8701808f9a18a","object":"chat.completion","created":1779502972,"model":"gpt-5.5","choices":[{"index":0,"message":{"role":"assistant","content":"Ralph Lauren men's navy Polo embroidered drawstring shorts, breathable cotton knee-length casual athletic summer pants for commute and everyday wear"},"finish_reason":"stop"}],"usage":{"prompt_tokens":746,"completion_tokens":157,"total_tokens":903}}</t>
        </is>
      </c>
      <c r="M74" t="inlineStr">
        <is>
          <t>{"alt-svc":"h3=\":443\"; ma=2592000","connection":"close","content-length":"442","content-type":"application/json; charset=utf-8","date":"Sat, 23 May 2026 02:22:52 GMT","referrer-policy":"strict-origin-when-cross-origin","server":"nginx/1.24.0 (Ubuntu)","strict-transport-security":"max-age=31536000; includeSubDomains; preload","vary":"Accept-Encoding","via":"1.1 Caddy","x-content-type-options":"nosniff","x-frame-options":"DENY","x-new-api-version":"v1.0.0-rc.2","x-oneapi-request-id":"202605230222485448337498268d9d6bs50OIzM","x-request-id":"860b06f9-d360-4b74-89c9-ae3f8c82620f"}</t>
        </is>
      </c>
      <c r="N74" t="inlineStr">
        <is>
          <t>Ralph Lauren men's navy Polo embroidered drawstring shorts, breathable cotton knee-length casual athletic summer pants for commute and everyday wear</t>
        </is>
      </c>
      <c r="O74" t="inlineStr">
        <is>
          <t>{"id":"resp_0a1f3d681d5c1817016a1114ee42e081978295f8d82d7a791a","object":"chat.completion","created":1779504370,"model":"gpt-5.5","choices":[{"index":0,"message":{"role":"assistant","content":"Ralph Lauren Shorts kakobuy, Ralph Lauren Shorts kakebuy2026, Ralph Lauren Shorts kekobuysheet, Ralph Lauren Shorts kakobuysheet2026, Ralph Lauren Shorts 2026kakobuy, Ralph Lauren Shorts kakobuyspreadsheeet, Ralph Lauren Shorts kakobuylink, Ralph Lauren Shorts kakebuylist, Ralph Lauren Shorts Kakobuy MEGA Spreadsheet, Ralph Lauren Shorts kakobuysheetfind, Ralph Lauren Shorts kakobuysheetfind2026, Ralph Lauren Shorts 2026kakobuysheetfind, Ralph Lauren Shorts kakobuysheet2026"},"finish_reason":"stop"}],"usage":{"prompt_tokens":645,"completion_tokens":209,"total_tokens":854}}</t>
        </is>
      </c>
      <c r="P74" t="inlineStr">
        <is>
          <t>Ralph Lauren Shorts kakobuy, Ralph Lauren Shorts kakebuy2026, Ralph Lauren Shorts kekobuysheet, Ralph Lauren Shorts kakobuysheet2026, Ralph Lauren Shorts 2026kakobuy, Ralph Lauren Shorts kakobuyspreadsheeet, Ralph Lauren Shorts kakobuylink, Ralph Lauren Shorts kakebuylist, Ralph Lauren Shorts Kakobuy MEGA Spreadsheet, Ralph Lauren Shorts kakobuysheetfind, Ralph Lauren Shorts kakobuysheetfind2026, Ralph Lauren Shorts 2026kakobuysheetfind, Ralph Lauren Shorts kakobuysheet2026</t>
        </is>
      </c>
      <c r="Q74" t="inlineStr">
        <is>
          <t>Navy, Summer, Breathable, Men</t>
        </is>
      </c>
      <c r="R74" t="inlineStr">
        <is>
          <t>recvkkO0nswXBT</t>
        </is>
      </c>
      <c r="S74" t="inlineStr">
        <is>
          <t>ralph-lauren-navy-polo-embroidered-drawstring-shorts-recvkkO0nswXBT</t>
        </is>
      </c>
      <c r="T74"/>
      <c r="U74"/>
      <c r="V74"/>
      <c r="W74" t="inlineStr">
        <is>
          <t>{"id":"resp_09b3d0cd594a0950016a110bf5188481938106116d849eecf0","object":"chat.completion","created":1779502073,"model":"gpt-5.5","choices":[{"index":0,"message":{"role":"assistant","content":"拉夫劳伦 Ralph Lauren 藏蓝色Polo刺绣抽绳休闲短裤，棉质舒适透气，男士夏季运动通勤百搭五分裤"},"finish_reason":"stop"}],"usage":{"prompt_tokens":1171,"completion_tokens":145,"total_tokens":1316}}</t>
        </is>
      </c>
      <c r="X74" t="inlineStr">
        <is>
          <t>拉夫劳伦 Ralph Lauren 藏蓝色Polo刺绣抽绳休闲短裤，棉质舒适透气，男士夏季运动通勤百搭五分裤</t>
        </is>
      </c>
    </row>
    <row r="75" ht="25.5" customHeight="1">
      <c r="A75">
        <v>1839115443</v>
      </c>
      <c r="B75">
        <v>7773076390</v>
      </c>
      <c r="C75" s="2" t="str">
        <f>=HYPERLINK("https://weidian.com/item.html?itemID=7773076390", "https://weidian.com/item.html?itemID=7773076390")</f>
        <v>https://weidian.com/item.html?itemID=7773076390</v>
      </c>
      <c r="D75"/>
      <c r="E75" s="2" t="str">
        <f>=HYPERLINK("https://si.geilicdn.com/open1839115443-252808396-10580000019e4eaaaf570a23b491_800_800.jpg?w=640&amp;h=640", "https://si.geilicdn.com/open1839115443-252808396-10580000019e4eaaaf570a23b491_800_800.jpg?w=640&amp;h=640")</f>
        <v>https://si.geilicdn.com/open1839115443-252808396-10580000019e4eaaaf570a23b491_800_800.jpg?w=640&amp;h=640</v>
      </c>
      <c r="F75" t="inlineStr">
        <is>
          <t>Hoodies</t>
        </is>
      </c>
      <c r="G75" t="inlineStr">
        <is>
          <t>Ralph Lauren</t>
        </is>
      </c>
      <c r="H75">
        <v>147</v>
      </c>
      <c r="I75">
        <v>21.3</v>
      </c>
      <c r="J75" t="inlineStr">
        <is>
          <t>{"id":"resp_0fe20b00fc94c987016a111354d644819785cf2acf6e61abbf","object":"chat.completion","created":1779503960,"model":"gpt-5.5","choices":[{"index":0,"message":{"role":"assistant","content":"Ralph Lauren Polo White Full Zip Hoodie Tracksuit Unisex"},"finish_reason":"stop"}],"usage":{"prompt_tokens":735,"completion_tokens":146,"total_tokens":881}}</t>
        </is>
      </c>
      <c r="K75" t="inlineStr">
        <is>
          <t>Ralph Lauren Polo White Full Zip Hoodie Tracksuit Unisex</t>
        </is>
      </c>
      <c r="L75" t="inlineStr">
        <is>
          <t>{"id":"resp_09cab68dbb1a702e016a110f6de0a481908b6368649716d880","object":"chat.completion","created":1779502961,"model":"gpt-5.5","choices":[{"index":0,"message":{"role":"assistant","content":"Ralph Lauren Polo white full-zip hoodie tracksuit, soft cotton blend, embroidered pony logo, drawstring hood, kangaroo pocket, unisex casual sportswear."},"finish_reason":"stop"}],"usage":{"prompt_tokens":752,"completion_tokens":130,"total_tokens":882}}</t>
        </is>
      </c>
      <c r="M75" t="inlineStr">
        <is>
          <t>{"alt-svc":"h3=\":443\"; ma=2592000","connection":"close","content-length":"446","content-type":"application/json; charset=utf-8","date":"Sat, 23 May 2026 02:22:41 GMT","referrer-policy":"strict-origin-when-cross-origin","server":"Caddy","strict-transport-security":"max-age=31536000; includeSubDomains; preload","vary":"Accept-Encoding","x-content-type-options":"nosniff","x-frame-options":"DENY","x-new-api-version":"v1.0.0-rc.2","x-oneapi-request-id":"202605230222375413456868268d9d6agcecl7v","x-request-id":"0c0f2b83-287f-46b0-b391-76e53584bc4d"}</t>
        </is>
      </c>
      <c r="N75" t="inlineStr">
        <is>
          <t>Ralph Lauren Polo white full-zip hoodie tracksuit, soft cotton blend, embroidered pony logo, drawstring hood, kangaroo pocket, unisex casual sportswear.</t>
        </is>
      </c>
      <c r="O75" t="inlineStr">
        <is>
          <t>{"id":"resp_0cc99a30c1f68209016a11148a41c0819283d8172e0c762780","object":"chat.completion","created":1779504275,"model":"gpt-5.5","choices":[{"index":0,"message":{"role":"assistant","content":"Ralph Lauren Hoodies kakobuy, Ralph Lauren Hoodies kakebuy2026, Ralph Lauren Hoodies kekobuysheet, Ralph Lauren Hoodies kakobuysheet2026, Ralph Lauren Hoodies 2026kakobuy, Ralph Lauren Hoodies kakobuyspreadsheeet, Ralph Lauren Hoodies kakobuylink, Ralph Lauren Hoodies kakebuylist, Ralph Lauren Hoodies Kakobuy MEGA Spreadsheet, Ralph Lauren Hoodies kakobuysheetfind, Ralph Lauren Hoodies kakobuysheetfind2026, Ralph Lauren Hoodies 2026kakobuysheetfind, Ralph Lauren Hoodies kakobuysheet2026"},"finish_reason":"stop"}],"usage":{"prompt_tokens":646,"completion_tokens":461,"total_tokens":1107}}</t>
        </is>
      </c>
      <c r="P75" t="inlineStr">
        <is>
          <t>Ralph Lauren Hoodies kakobuy, Ralph Lauren Hoodies kakebuy2026, Ralph Lauren Hoodies kekobuysheet, Ralph Lauren Hoodies kakobuysheet2026, Ralph Lauren Hoodies 2026kakobuy, Ralph Lauren Hoodies kakobuyspreadsheeet, Ralph Lauren Hoodies kakobuylink, Ralph Lauren Hoodies kakebuylist, Ralph Lauren Hoodies Kakobuy MEGA Spreadsheet, Ralph Lauren Hoodies kakobuysheetfind, Ralph Lauren Hoodies kakobuysheetfind2026, Ralph Lauren Hoodies 2026kakobuysheetfind, Ralph Lauren Hoodies kakobuysheet2026</t>
        </is>
      </c>
      <c r="Q75" t="inlineStr">
        <is>
          <t>White, Unisex</t>
        </is>
      </c>
      <c r="R75" t="inlineStr">
        <is>
          <t>recvkkO0nsbHHz</t>
        </is>
      </c>
      <c r="S75" t="inlineStr">
        <is>
          <t>ralph-lauren-polo-white-zip-hoodie-tracksuit-recvkkO0nsbHHz</t>
        </is>
      </c>
      <c r="T75"/>
      <c r="U75"/>
      <c r="V75"/>
      <c r="W75" t="inlineStr">
        <is>
          <t>{"id":"resp_0414262d36a17c69016a110c314c4881a09c79773cd2467e39","object":"chat.completion","created":1779502133,"model":"gpt-5.5","choices":[{"index":0,"message":{"role":"assistant","content":"拉夫劳伦Polo白色全拉链连帽卫衣套装，棉混纺柔软舒适，刺绣小马Logo，抽绳帽袋鼠兜，男女休闲运动风潮牌品类"},"finish_reason":"stop"}],"usage":{"prompt_tokens":1164,"completion_tokens":155,"total_tokens":1319}}</t>
        </is>
      </c>
      <c r="X75" t="inlineStr">
        <is>
          <t>拉夫劳伦Polo白色全拉链连帽卫衣套装，棉混纺柔软舒适，刺绣小马Logo，抽绳帽袋鼠兜，男女休闲运动风潮牌品类</t>
        </is>
      </c>
    </row>
    <row r="76" ht="25.5" customHeight="1">
      <c r="A76">
        <v>1839115443</v>
      </c>
      <c r="B76">
        <v>7773129890</v>
      </c>
      <c r="C76" s="2" t="str">
        <f>=HYPERLINK("https://weidian.com/item.html?itemID=7773129890", "https://weidian.com/item.html?itemID=7773129890")</f>
        <v>https://weidian.com/item.html?itemID=7773129890</v>
      </c>
      <c r="D76"/>
      <c r="E76" s="2" t="str">
        <f>=HYPERLINK("https://si.geilicdn.com/open1839115443-252808396-177d0000019e4eaafb450a22d249_800_800.jpg?w=640&amp;h=640", "https://si.geilicdn.com/open1839115443-252808396-177d0000019e4eaafb450a22d249_800_800.jpg?w=640&amp;h=640")</f>
        <v>https://si.geilicdn.com/open1839115443-252808396-177d0000019e4eaafb450a22d249_800_800.jpg?w=640&amp;h=640</v>
      </c>
      <c r="F76" t="inlineStr">
        <is>
          <t>T-Shirts</t>
        </is>
      </c>
      <c r="G76" t="inlineStr">
        <is>
          <t>Ralph Lauren</t>
        </is>
      </c>
      <c r="H76">
        <v>90</v>
      </c>
      <c r="I76">
        <v>13.04</v>
      </c>
      <c r="J76" t="inlineStr">
        <is>
          <t>{"id":"resp_0260b511e0748d11016a11136bd1388195ae8a1b3d50fc7112","object":"chat.completion","created":1779503982,"model":"gpt-5.5","choices":[{"index":0,"message":{"role":"assistant","content":"Ralph Lauren White Cotton Crew Neck Polo Pony T-Shirt"},"finish_reason":"stop"}],"usage":{"prompt_tokens":715,"completion_tokens":137,"total_tokens":852}}</t>
        </is>
      </c>
      <c r="K76" t="inlineStr">
        <is>
          <t>Ralph Lauren White Cotton Crew Neck Polo Pony T-Shirt</t>
        </is>
      </c>
      <c r="L76" t="inlineStr">
        <is>
          <t>{"id":"resp_0337110e8360eb09016a110ec10ef88191868a4e5475b48c18","object":"chat.completion","created":1779502788,"model":"gpt-5.5","choices":[{"index":0,"message":{"role":"assistant","content":"Ralph Lauren white pure cotton crew neck short sleeve T-shirt with blue Polo pony embroidery, unisex casual summer basic top"},"finish_reason":"stop"}],"usage":{"prompt_tokens":744,"completion_tokens":115,"total_tokens":859}}</t>
        </is>
      </c>
      <c r="M76" t="inlineStr">
        <is>
          <t>{"alt-svc":"h3=\":443\"; ma=2592000","connection":"close","content-length":"418","content-type":"application/json; charset=utf-8","date":"Sat, 23 May 2026 02:19:48 GMT","referrer-policy":"strict-origin-when-cross-origin","server":"Caddy","strict-transport-security":"max-age=31536000; includeSubDomains; preload","vary":"Accept-Encoding","x-content-type-options":"nosniff","x-frame-options":"DENY","x-new-api-version":"v1.0.0-rc.2","x-oneapi-request-id":"202605230219446637485758268d9d6zIsKq4JI","x-request-id":"65c0d2aa-6da1-4d59-a085-a6b6c0570452"}</t>
        </is>
      </c>
      <c r="N76" t="inlineStr">
        <is>
          <t>Ralph Lauren white pure cotton crew neck short sleeve T-shirt with blue Polo pony embroidery, unisex casual summer basic top</t>
        </is>
      </c>
      <c r="O76" t="inlineStr">
        <is>
          <t>{"id":"resp_0c1fb451f703f9ee016a11145f8f5481a39ab3b96dd1801f22","object":"chat.completion","created":1779504230,"model":"gpt-5.5","choices":[{"index":0,"message":{"role":"assistant","content":"Ralph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kakobuysheet2026"},"finish_reason":"stop"}],"usage":{"prompt_tokens":645,"completion_tokens":311,"total_tokens":956}}</t>
        </is>
      </c>
      <c r="P76" t="inlineStr">
        <is>
          <t>Ralph Lauren T-Shirts kakobuy, Ralph Lauren T-Shirts kakebuy2026, Ralph Lauren T-Shirts kekobuysheet, Ralph Lauren T-Shirts kakobuysheet2026, Ralph Lauren T-Shirts 2026kakobuy, Ralph Lauren T-Shirts kakobuyspreadsheeet, Ralph Lauren T-Shirts kakobuylink, Ralph Lauren T-Shirts kakebuylist, Ralph Lauren T-Shirts Kakobuy MEGA Spreadsheet, Ralph Lauren T-Shirts kakobuysheetfind, Ralph Lauren T-Shirts kakobuysheetfind2026, Ralph Lauren T-Shirts 2026kakobuysheetfind, Ralph Lauren T-Shirts kakobuysheet2026</t>
        </is>
      </c>
      <c r="Q76" t="inlineStr">
        <is>
          <t>White, Summer, Unisex, Basic Style</t>
        </is>
      </c>
      <c r="R76" t="inlineStr">
        <is>
          <t>recvkkO0ns3w9E</t>
        </is>
      </c>
      <c r="S76" t="inlineStr">
        <is>
          <t>ralph-lauren-white-cotton-crew-neck-polo-pony-t-shirt-recvkkO0ns3w9E</t>
        </is>
      </c>
      <c r="T76"/>
      <c r="U76"/>
      <c r="V76"/>
      <c r="W76" t="inlineStr">
        <is>
          <t>{"id":"resp_06b951e93e79475f016a110b81631481969cdcaf23f7f9c4ab","object":"chat.completion","created":1779501957,"model":"gpt-5.5","choices":[{"index":0,"message":{"role":"assistant","content":"拉夫劳伦白色纯棉圆领短袖T恤，胸前蓝色Polo骑士刺绣标识，简约休闲男女同款，夏季百搭基础上衣"},"finish_reason":"stop"}],"usage":{"prompt_tokens":1163,"completion_tokens":185,"total_tokens":1348}}</t>
        </is>
      </c>
      <c r="X76" t="inlineStr">
        <is>
          <t>拉夫劳伦白色纯棉圆领短袖T恤，胸前蓝色Polo骑士刺绣标识，简约休闲男女同款，夏季百搭基础上衣</t>
        </is>
      </c>
    </row>
    <row r="77" ht="25.5" customHeight="1">
      <c r="A77">
        <v>1839115443</v>
      </c>
      <c r="B77">
        <v>7770141831</v>
      </c>
      <c r="C77" s="2" t="str">
        <f>=HYPERLINK("https://weidian.com/item.html?itemID=7770141831", "https://weidian.com/item.html?itemID=7770141831")</f>
        <v>https://weidian.com/item.html?itemID=7770141831</v>
      </c>
      <c r="D77"/>
      <c r="E77" s="2" t="str">
        <f>=HYPERLINK("https://si.geilicdn.com/open1839115443-252808396-108e0000019e4eaac0f80a23b491_800_800.jpg?w=640&amp;h=640", "https://si.geilicdn.com/open1839115443-252808396-108e0000019e4eaac0f80a23b491_800_800.jpg?w=640&amp;h=640")</f>
        <v>https://si.geilicdn.com/open1839115443-252808396-108e0000019e4eaac0f80a23b491_800_800.jpg?w=640&amp;h=640</v>
      </c>
      <c r="F77" t="inlineStr">
        <is>
          <t>Hoodies</t>
        </is>
      </c>
      <c r="G77" t="inlineStr">
        <is>
          <t>Lacoste</t>
        </is>
      </c>
      <c r="H77">
        <v>88</v>
      </c>
      <c r="I77">
        <v>12.75</v>
      </c>
      <c r="J77" t="inlineStr">
        <is>
          <t>{"id":"resp_006047d6d6854ded016a1112ed70088190b83b35c6a88c6435","object":"chat.completion","created":1779503857,"model":"gpt-5.5","choices":[{"index":0,"message":{"role":"assistant","content":"Lacoste Black Zip Hoodie Crocodile Logo Fleece Jacket"},"finish_reason":"stop"}],"usage":{"prompt_tokens":723,"completion_tokens":125,"total_tokens":848}}</t>
        </is>
      </c>
      <c r="K77" t="inlineStr">
        <is>
          <t>Lacoste Black Zip Hoodie Crocodile Logo Fleece Jacket</t>
        </is>
      </c>
      <c r="L77" t="inlineStr">
        <is>
          <t>{"id":"resp_021041a5c405449d016a110efa8e5881958cc9973bc90325b1","object":"chat.completion","created":1779502847,"model":"gpt-5.5","choices":[{"index":0,"message":{"role":"assistant","content":"Lacoste black zip hoodie, cotton-blend fleece, crocodile logo, kangaroo pockets, unisex casual sports fall winter jacket."},"finish_reason":"stop"}],"usage":{"prompt_tokens":755,"completion_tokens":32,"total_tokens":787}}</t>
        </is>
      </c>
      <c r="M77" t="inlineStr">
        <is>
          <t>{"alt-svc":"h3=\":443\"; ma=2592000","connection":"close","content-length":"414","content-type":"application/json; charset=utf-8","date":"Sat, 23 May 2026 02:20:47 GMT","referrer-policy":"strict-origin-when-cross-origin","server":"Caddy","strict-transport-security":"max-age=31536000; includeSubDomains; preload","vary":"Accept-Encoding","x-content-type-options":"nosniff","x-frame-options":"DENY","x-new-api-version":"v1.0.0-rc.2","x-oneapi-request-id":"202605230220422103198258268d9d68bMctoXe","x-request-id":"c785ca81-b718-41a2-9049-09ccd8a29343"}</t>
        </is>
      </c>
      <c r="N77" t="inlineStr">
        <is>
          <t>Lacoste black zip hoodie, cotton-blend fleece, crocodile logo, kangaroo pockets, unisex casual sports fall winter jacket.</t>
        </is>
      </c>
      <c r="O77" t="inlineStr">
        <is>
          <t>{"id":"resp_00383d6f3cad92b7016a1114cee7e48197952fe9b14aa53b9c","object":"chat.completion","created":1779504343,"model":"gpt-5.5","choices":[{"index":0,"message":{"role":"assistant","content":"Lacoste Hoodies kakobuy, Lacoste Hoodies kakebuy2026, Lacoste Hoodies kekobuysheet, Lacoste Hoodies kakobuysheet2026, Lacoste Hoodies 2026kakobuy, Lacoste Hoodies kakobuyspreadsheeet, Lacoste Hoodies kakobuylink, Lacoste Hoodies kakebuylist, Lacoste Hoodies Kakobuy MEGA Spreadsheet, Lacoste Hoodies kakobuysheetfind, Lacoste Hoodies kakobuysheetfind2026, Lacoste Hoodies 2026kakobuysheetfind, Lacoste Hoodies kakobuysheet2026"},"finish_reason":"stop"}],"usage":{"prompt_tokens":646,"completion_tokens":297,"total_tokens":943}}</t>
        </is>
      </c>
      <c r="P77" t="inlineStr">
        <is>
          <t>Lacoste Hoodies kakobuy, Lacoste Hoodies kakebuy2026, Lacoste Hoodies kekobuysheet, Lacoste Hoodies kakobuysheet2026, Lacoste Hoodies 2026kakobuy, Lacoste Hoodies kakobuyspreadsheeet, Lacoste Hoodies kakobuylink, Lacoste Hoodies kakebuylist, Lacoste Hoodies Kakobuy MEGA Spreadsheet, Lacoste Hoodies kakobuysheetfind, Lacoste Hoodies kakobuysheetfind2026, Lacoste Hoodies 2026kakobuysheetfind, Lacoste Hoodies kakobuysheet2026</t>
        </is>
      </c>
      <c r="Q77" t="inlineStr">
        <is>
          <t>Black, Unisex, Autumn And Winter</t>
        </is>
      </c>
      <c r="R77" t="inlineStr">
        <is>
          <t>recvkkO0nsw9H7</t>
        </is>
      </c>
      <c r="S77" t="inlineStr">
        <is>
          <t>lacoste-black-zip-hoodie-crocodile-logo-fleece-jacket-recvkkO0nsw9H7</t>
        </is>
      </c>
      <c r="T77"/>
      <c r="U77"/>
      <c r="V77"/>
      <c r="W77" t="inlineStr">
        <is>
          <t>{"id":"resp_02620887e96d766d016a110b6b9348819f83031c8731bb5c82","object":"chat.completion","created":1779501935,"model":"gpt-5.5","choices":[{"index":0,"message":{"role":"assistant","content":"鳄鱼牌Lacoste 黑色拉链连帽卫衣，棉质混纺抓绒面料，胸前小鳄鱼Logo，袋鼠兜休闲运动风，男女通用秋冬外套品类"},"finish_reason":"stop"}],"usage":{"prompt_tokens":1168,"completion_tokens":178,"total_tokens":1346}}</t>
        </is>
      </c>
      <c r="X77" t="inlineStr">
        <is>
          <t>鳄鱼牌Lacoste 黑色拉链连帽卫衣，棉质混纺抓绒面料，胸前小鳄鱼Logo，袋鼠兜休闲运动风，男女通用秋冬外套品类</t>
        </is>
      </c>
    </row>
    <row r="78" ht="25.5" customHeight="1">
      <c r="A78">
        <v>1839115443</v>
      </c>
      <c r="B78">
        <v>7773137956</v>
      </c>
      <c r="C78" s="2" t="str">
        <f>=HYPERLINK("https://weidian.com/item.html?itemID=7773137956", "https://weidian.com/item.html?itemID=7773137956")</f>
        <v>https://weidian.com/item.html?itemID=7773137956</v>
      </c>
      <c r="D78"/>
      <c r="E78" s="2" t="str">
        <f>=HYPERLINK("https://si.geilicdn.com/open1839115443-252808396-18db0000019e4eab7aaf0a22d249_1440_1920.jpg?w=640&amp;h=640", "https://si.geilicdn.com/open1839115443-252808396-18db0000019e4eab7aaf0a22d249_1440_1920.jpg?w=640&amp;h=640")</f>
        <v>https://si.geilicdn.com/open1839115443-252808396-18db0000019e4eab7aaf0a22d249_1440_1920.jpg?w=640&amp;h=640</v>
      </c>
      <c r="F78" t="inlineStr">
        <is>
          <t>Hoodies</t>
        </is>
      </c>
      <c r="G78" t="inlineStr">
        <is>
          <t>Alo</t>
        </is>
      </c>
      <c r="H78">
        <v>71</v>
      </c>
      <c r="I78">
        <v>10.29</v>
      </c>
      <c r="J78" t="inlineStr">
        <is>
          <t>{"id":"resp_01b05da109feb4dd016a11132676648190943aac9327d1f938","object":"chat.completion","created":1779503912,"model":"gpt-5.5","choices":[{"index":0,"message":{"role":"assistant","content":"Alo White Fleece Pullover Hoodie with Chest Logo"},"finish_reason":"stop"}],"usage":{"prompt_tokens":900,"completion_tokens":15,"total_tokens":915}}</t>
        </is>
      </c>
      <c r="K78" t="inlineStr">
        <is>
          <t>Alo White Fleece Pullover Hoodie with Chest Logo</t>
        </is>
      </c>
      <c r="L78" t="inlineStr">
        <is>
          <t>{"id":"resp_069f840cede30ad8016a110edd46b081a18a8e18a1bda3cb51","object":"chat.completion","created":1779502816,"model":"gpt-5.5","choices":[{"index":0,"message":{"role":"assistant","content":"Alo white hoodie, cotton-blend fleece pullover with small ab chest logo, drawstring hood, kangaroo pocket, relaxed unisex streetwear sports sweatshirt."},"finish_reason":"stop"}],"usage":{"prompt_tokens":920,"completion_tokens":133,"total_tokens":1053}}</t>
        </is>
      </c>
      <c r="M78" t="inlineStr">
        <is>
          <t>{"alt-svc":"h3=\":443\"; ma=2592000","connection":"close","content-length":"446","content-type":"application/json; charset=utf-8","date":"Sat, 23 May 2026 02:20:16 GMT","referrer-policy":"strict-origin-when-cross-origin","server":"Caddy","strict-transport-security":"max-age=31536000; includeSubDomains; preload","vary":"Accept-Encoding","x-content-type-options":"nosniff","x-frame-options":"DENY","x-new-api-version":"v1.0.0-rc.2","x-oneapi-request-id":"202605230220129869885548268d9d68LK9QkWG","x-request-id":"ff0131aa-5bc1-46a3-9472-301f0a001278"}</t>
        </is>
      </c>
      <c r="N78" t="inlineStr">
        <is>
          <t>Alo white hoodie, cotton-blend fleece pullover with small ab chest logo, drawstring hood, kangaroo pocket, relaxed unisex streetwear sports sweatshirt.</t>
        </is>
      </c>
      <c r="O78" t="inlineStr">
        <is>
          <t>{"id":"resp_01d99c51635c6a33016a1114997aec819fadf68194cce98d81","object":"chat.completion","created":1779504286,"model":"gpt-5.5","choices":[{"index":0,"message":{"role":"assistant","content":"Alo Hoodies kakobuy, Alo Hoodies kakebuy2026, Alo Hoodies kekobuysheet, Alo Hoodies kakobuysheet2026, Alo Hoodies 2026kakobuy, Alo Hoodies kakobuyspreadsheeet, Alo Hoodies kakobuylink, Alo Hoodies kakebuylist, Alo Hoodies Kakobuy MEGA Spreadsheet, Alo Hoodies kakobuysheetfind, Alo Hoodies kakobuysheetfind2026, Alo Hoodies 2026kakobuysheetfind, Alo Hoodies kakobuysheet2026"},"finish_reason":"stop"}],"usage":{"prompt_tokens":813,"completion_tokens":252,"total_tokens":1065}}</t>
        </is>
      </c>
      <c r="P78" t="inlineStr">
        <is>
          <t>Alo Hoodies kakobuy, Alo Hoodies kakebuy2026, Alo Hoodies kekobuysheet, Alo Hoodies kakobuysheet2026, Alo Hoodies 2026kakobuy, Alo Hoodies kakobuyspreadsheeet, Alo Hoodies kakobuylink, Alo Hoodies kakebuylist, Alo Hoodies Kakobuy MEGA Spreadsheet, Alo Hoodies kakobuysheetfind, Alo Hoodies kakobuysheetfind2026, Alo Hoodies 2026kakobuysheetfind, Alo Hoodies kakobuysheet2026</t>
        </is>
      </c>
      <c r="Q78" t="inlineStr">
        <is>
          <t>White, Unisex, Streetwear</t>
        </is>
      </c>
      <c r="R78" t="inlineStr">
        <is>
          <t>recvkkO0nsLTUT</t>
        </is>
      </c>
      <c r="S78" t="inlineStr">
        <is>
          <t>alo-white-fleece-pullover-hoodie-chest-logo-recvkkO0nsLTUT</t>
        </is>
      </c>
      <c r="T78"/>
      <c r="U78"/>
      <c r="V78"/>
      <c r="W78" t="inlineStr">
        <is>
          <t>{"id":"resp_002d904ca98c8c24016a110b9b321c819380a83eae45f9d012","object":"chat.completion","created":1779501983,"model":"gpt-5.5","choices":[{"index":0,"message":{"role":"assistant","content":"白色 Alo 连帽卫衣，棉质混纺抓绒面料，胸前小ab标识，抽绳连帽袋鼠兜，宽松休闲男女同款街头运动外套"},"finish_reason":"stop"}],"usage":{"prompt_tokens":1340,"completion_tokens":196,"total_tokens":1536}}</t>
        </is>
      </c>
      <c r="X78" t="inlineStr">
        <is>
          <t>白色 Alo 连帽卫衣，棉质混纺抓绒面料，胸前小ab标识，抽绳连帽袋鼠兜，宽松休闲男女同款街头运动外套</t>
        </is>
      </c>
    </row>
    <row r="79" ht="25.5" customHeight="1">
      <c r="A79">
        <v>1839115443</v>
      </c>
      <c r="B79">
        <v>7770102667</v>
      </c>
      <c r="C79" s="2" t="str">
        <f>=HYPERLINK("https://weidian.com/item.html?itemID=7770102667", "https://weidian.com/item.html?itemID=7770102667")</f>
        <v>https://weidian.com/item.html?itemID=7770102667</v>
      </c>
      <c r="D79"/>
      <c r="E79" s="2" t="str">
        <f>=HYPERLINK("https://si.geilicdn.com/open1839115443-252808396-08a30000019e4eab80210aa08269_800_799.jpg?w=640&amp;h=640", "https://si.geilicdn.com/open1839115443-252808396-08a30000019e4eab80210aa08269_800_799.jpg?w=640&amp;h=640")</f>
        <v>https://si.geilicdn.com/open1839115443-252808396-08a30000019e4eab80210aa08269_800_799.jpg?w=640&amp;h=640</v>
      </c>
      <c r="F79" t="inlineStr">
        <is>
          <t>Hoodies</t>
        </is>
      </c>
      <c r="G79" t="inlineStr">
        <is>
          <t>Chrome Hearts</t>
        </is>
      </c>
      <c r="H79">
        <v>170</v>
      </c>
      <c r="I79">
        <v>24.64</v>
      </c>
      <c r="J79" t="inlineStr">
        <is>
          <t>{"id":"resp_022081b974fafd24016a1112ccdea08196b82c0a42cf6182c3","object":"chat.completion","created":1779503824,"model":"gpt-5.5","choices":[{"index":0,"message":{"role":"assistant","content":"Chrome Hearts White Horseshoe Ape Print Pullover Hoodie"},"finish_reason":"stop"}],"usage":{"prompt_tokens":717,"completion_tokens":121,"total_tokens":838}}</t>
        </is>
      </c>
      <c r="K79" t="inlineStr">
        <is>
          <t>Chrome Hearts White Horseshoe Ape Print Pullover Hoodie</t>
        </is>
      </c>
      <c r="L79" t="inlineStr">
        <is>
          <t>{"id":"resp_0a8f455abf4b94c1016a110f5d6bf0819e87dc311ec9306f5e","object":"chat.completion","created":1779502945,"model":"gpt-5.5","choices":[{"index":0,"message":{"role":"assistant","content":"Chrome Hearts white pullover hoodie, cotton, horseshoe letter logo and ape totem print, unisex streetwear casual sweatshirt"},"finish_reason":"stop"}],"usage":{"prompt_tokens":743,"completion_tokens":110,"total_tokens":853}}</t>
        </is>
      </c>
      <c r="M79" t="inlineStr">
        <is>
          <t>{"alt-svc":"h3=\":443\"; ma=2592000","connection":"close","content-length":"417","content-type":"application/json; charset=utf-8","date":"Sat, 23 May 2026 02:22:25 GMT","referrer-policy":"strict-origin-when-cross-origin","server":"nginx/1.24.0 (Ubuntu)","strict-transport-security":"max-age=31536000; includeSubDomains; preload","vary":"Accept-Encoding","via":"1.1 Caddy","x-content-type-options":"nosniff","x-frame-options":"DENY","x-new-api-version":"v1.0.0-rc.2","x-oneapi-request-id":"202605230222211045671208268d9d6L1Esk4LN","x-request-id":"17958f33-c62e-4761-98c4-fa6339d97607"}</t>
        </is>
      </c>
      <c r="N79" t="inlineStr">
        <is>
          <t>Chrome Hearts white pullover hoodie, cotton, horseshoe letter logo and ape totem print, unisex streetwear casual sweatshirt</t>
        </is>
      </c>
      <c r="O79" t="inlineStr">
        <is>
          <t>{"id":"resp_00d18070064df831016a11150813ec81978bc9081ba43fabc8","object":"chat.completion","created":1779504398,"model":"gpt-5.5","choices":[{"index":0,"message":{"role":"assistant","content":"Chrome Hearts Hoodies kakobuy, Chrome Hearts Hoodies kakebuy2026, Chrome Hearts Hoodies kekobuysheet, Chrome Hearts Hoodies kakobuysheet2026, Chrome Hearts Hoodies 2026kakobuy, Chrome Hearts Hoodies kakobuyspreadsheeet, Chrome Hearts Hoodies kakobuylink, Chrome Hearts Hoodies kakebuylist, Chrome Hearts Hoodies Kakobuy MEGA Spreadsheet, Chrome Hearts Hoodies kakobuysheetfind, Chrome Hearts Hoodies kakobuysheetfind2026, Chrome Hearts Hoodies 2026kakobuysheetfind, Chrome Hearts Hoodies kakobuysheet2026"},"finish_reason":"stop"}],"usage":{"prompt_tokens":645,"completion_tokens":263,"total_tokens":908}}</t>
        </is>
      </c>
      <c r="P79" t="inlineStr">
        <is>
          <t>Chrome Hearts Hoodies kakobuy, Chrome Hearts Hoodies kakebuy2026, Chrome Hearts Hoodies kekobuysheet, Chrome Hearts Hoodies kakobuysheet2026, Chrome Hearts Hoodies 2026kakobuy, Chrome Hearts Hoodies kakobuyspreadsheeet, Chrome Hearts Hoodies kakobuylink, Chrome Hearts Hoodies kakebuylist, Chrome Hearts Hoodies Kakobuy MEGA Spreadsheet, Chrome Hearts Hoodies kakobuysheetfind, Chrome Hearts Hoodies kakobuysheetfind2026, Chrome Hearts Hoodies 2026kakobuysheetfind, Chrome Hearts Hoodies kakobuysheet2026</t>
        </is>
      </c>
      <c r="Q79" t="inlineStr">
        <is>
          <t>White, Unisex, Streetwear</t>
        </is>
      </c>
      <c r="R79" t="inlineStr">
        <is>
          <t>recvkkO0nsz9u3</t>
        </is>
      </c>
      <c r="S79" t="inlineStr">
        <is>
          <t>chrome-hearts-white-horseshoe-ape-print-pullover-hoodie-recvkkO0nsz9u3</t>
        </is>
      </c>
      <c r="T79"/>
      <c r="U79"/>
      <c r="V79"/>
      <c r="W79" t="inlineStr">
        <is>
          <t>{"id":"resp_014846cf2e559493016a110bb93450819c93484db264e17a09","object":"chat.completion","created":1779502013,"model":"gpt-5.5","choices":[{"index":0,"message":{"role":"assistant","content":"克罗心 Chrome Hearts 白色连帽卫衣，棉质套头，马蹄字母Logo与猿人图腾印花，街头潮流男女同款休闲帽衫"},"finish_reason":"stop"}],"usage":{"prompt_tokens":1162,"completion_tokens":201,"total_tokens":1363}}</t>
        </is>
      </c>
      <c r="X79" t="inlineStr">
        <is>
          <t>克罗心 Chrome Hearts 白色连帽卫衣，棉质套头，马蹄字母Logo与猿人图腾印花，街头潮流男女同款休闲帽衫</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