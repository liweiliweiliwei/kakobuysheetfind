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ttleExplorerToys商品导入042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1654975475</v>
      </c>
      <c r="B2">
        <v>7626176438</v>
      </c>
      <c r="C2" s="2" t="str">
        <f>=HYPERLINK("https://weidian.com/item.html?itemID=7626176438", "https://weidian.com/item.html?itemID=7626176438")</f>
        <v>https://weidian.com/item.html?itemID=7626176438</v>
      </c>
      <c r="D2"/>
      <c r="E2" s="2" t="str">
        <f>=HYPERLINK("https://si.geilicdn.com/pcitem2014204438-75780000019ade8ae8200a23111a_1440_1920.jpg?w=640&amp;h=640", "https://si.geilicdn.com/pcitem2014204438-75780000019ade8ae8200a23111a_1440_1920.jpg?w=640&amp;h=640")</f>
        <v>https://si.geilicdn.com/pcitem2014204438-75780000019ade8ae8200a23111a_1440_1920.jpg?w=640&amp;h=640</v>
      </c>
      <c r="F2" t="inlineStr">
        <is>
          <t>Glasses</t>
        </is>
      </c>
      <c r="G2" t="inlineStr">
        <is>
          <t>Dior</t>
        </is>
      </c>
      <c r="H2">
        <v>540</v>
      </c>
      <c r="I2">
        <v>78.26</v>
      </c>
      <c r="J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Futuristic Black Acetate Unisex UV Sunglasses","refusal":null,"role":"assistant"}}],"created":1778142947,"id":"chatcmpl-DcoUtJTV436EEjzDRjBEuEHdVXZU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14,"completion_tokens_details":{"accepted_prediction_tokens":0,"audio_tokens":0,"reasoning_tokens":0,"rejected_prediction_tokens":0},"latency_checkpoint":{"engine_tbt_ms":86,"engine_ttft_ms":683,"engine_ttlt_ms":1882,"pre_inference_ms":220,"service_tbt_ms":86,"service_ttft_ms":1152,"service_ttlt_ms":2349,"total_duration_ms":2139,"user_visible_ttft_ms":932},"prompt_tokens":874,"prompt_tokens_details":{"audio_tokens":0,"cached_tokens":0},"total_tokens":888}}</t>
        </is>
      </c>
      <c r="K2" t="inlineStr">
        <is>
          <t>Dior Futuristic Black Acetate Unisex UV Sunglasses</t>
        </is>
      </c>
      <c r="L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Glasses – Futuristic black acetate sunglasses with UV-protection lenses, bold geometric lines, metal stud accents, unisex design blending modern street style and luxury elegance.","refusal":null,"role":"assistant"}}],"created":1778142093,"id":"chatcmpl-DcoH7rtUo3qUTGg2VgdL96fdzzuA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67,"engine_ttft_ms":744,"engine_ttlt_ms":3159,"pre_inference_ms":133,"service_tbt_ms":67,"service_ttft_ms":1296,"service_ttlt_ms":3710,"total_duration_ms":3584,"user_visible_ttft_ms":1163},"prompt_tokens":907,"prompt_tokens_details":{"audio_tokens":0,"cached_tokens":0},"total_tokens":943}}</t>
        </is>
      </c>
      <c r="M2" t="inlineStr">
        <is>
          <t>{"alt-svc":"h3=\":443\"; ma=2592000","apim-request-id":"c3f509f4-476f-4bad-ac56-c2116a57204f","azureml-model-session":"d20260501041445-2c187743","connection":"close","content-length":"1649","content-type":"application/json","date":"Thu, 07 May 2026 08:21:37 GMT","server":"Caddy","skip-error-remapping":"true","strict-transport-security":"max-age=31536000; includeSubDomains; preload","x-accel-buffering":"no","x-content-type-options":"nosniff","x-ms-client-request-id":"Not-Set","x-ms-is-spilled-over":"false","x-ms-rai-invoked":"true","x-ms-region":"UK South","x-new-api-version":"v1.0.0-rc.4","x-oneapi-request-id":"202605070821324869350268268d9d6MgFoexPw","x-ratelimit-abusepenalty-active":"False","x-ratelimit-key":"gpt-5-chat-global","x-ratelimit-limit-requests":"1000","x-ratelimit-limit-tokens":"1000000","x-ratelimit-remaining-requests":"999","x-ratelimit-remaining-tokens":"998331","x-ratelimit-renewalperiod-requests":"60","x-ratelimit-renewalperiod-tokens":"60","x-ratelimit-reset-requests":"0","x-ratelimit-reset-tokens":"0","x-request-id":"b8b9c9d2-66a3-4643-a7c7-6c547e8a0cad","x-shellapi-request-id":"2026050716213242439976035180627"}</t>
        </is>
      </c>
      <c r="N2" t="inlineStr">
        <is>
          <t>Dior Glasses – Futuristic black acetate sunglasses with UV-protection lenses, bold geometric lines, metal stud accents, unisex design blending modern street style and luxury elegance.</t>
        </is>
      </c>
      <c r="O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Glasses,kakobuy,kakebuy2026,kekobuysheet,kakobuysheet2026,2026kakobuy,kakobuyspreadsheeet,kakobuylink,kakebuylist,Kakobuy MEGA Spreadsheet,kakobuysheetfind,kakobuysheetfind2026,2026kakobuysheetfind,kakobuysheet2026","refusal":null,"role":"assistant"}}],"created":1778143312,"id":"chatcmpl-DcoamhhBrYMPvLIoMTB5YRaOA6LC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20,"engine_ttft_ms":927,"engine_ttlt_ms":2643,"pre_inference_ms":116,"service_tbt_ms":20,"service_ttft_ms":1333,"service_ttlt_ms":3049,"total_duration_ms":2940,"user_visible_ttft_ms":1217},"prompt_tokens":783,"prompt_tokens_details":{"audio_tokens":0,"cached_tokens":0},"total_tokens":871}}</t>
        </is>
      </c>
      <c r="P2" t="inlineStr">
        <is>
          <t>Dior,Glasses,kakobuy,kakebuy2026,kekobuysheet,kakobuysheet2026,2026kakobuy,kakobuyspreadsheeet,kakobuylink,kakebuylist,Kakobuy MEGA Spreadsheet,kakobuysheetfind,kakobuysheetfind2026,2026kakobuysheetfind,kakobuysheet2026</t>
        </is>
      </c>
      <c r="Q2" t="inlineStr">
        <is>
          <t>Dior, Black, Acetate Fiber, Geometric, Unisex, Anti-Ultraviolet</t>
        </is>
      </c>
      <c r="R2" t="inlineStr">
        <is>
          <t>recvhju1CrwX7x</t>
        </is>
      </c>
      <c r="S2" t="inlineStr">
        <is>
          <t>dior-futuristic-black-acetate-uv-sunglasses-recvhju1crwx7x</t>
        </is>
      </c>
      <c r="T2"/>
      <c r="U2"/>
      <c r="V2"/>
      <c r="W2" t="inlineStr">
        <is>
          <t>{"id":"chatcmpl-DcnwQLeYEUTn5J8IauTmyhbJkffZo","object":"chat.completion","created":1778140810,"model":"gpt-5-chat-latest","choices":[{"index":0,"message":{"role":"assistant","content":"Dior：未来感黑色太阳眼镜，采用高光醋酸纤维镜框与防紫外线镜片，硬朗几何线条设计融合现代街头风格，金属铆钉细节点缀彰显品牌质感，男女皆宜，展现摩登前卫格调。","refusal":null,"annotations":[]},"logprobs":null,"finish_reason":"stop"}],"usage":{"prompt_tokens":1298,"completion_tokens":75,"total_tokens":1373,"prompt_tokens_details":{"cached_tokens":0,"audio_tokens":0},"completion_tokens_details":{"reasoning_tokens":0,"audio_tokens":0,"accepted_prediction_tokens":0,"rejected_prediction_tokens":0},"latency_checkpoint":{"service_ttft_ms":1140,"user_visible_ttft_ms":987,"total_duration_ms":15688,"pre_inference_ms":154,"service_tbt_ms":196,"service_ttlt_ms":15828,"engine_ttft_ms":906,"engine_ttlt_ms":15594,"engine_tbt_ms":196}},"service_tier":"default","system_fingerprint":"fp_fd471178c5"}</t>
        </is>
      </c>
      <c r="X2" t="inlineStr">
        <is>
          <t>Dior：未来感黑色太阳眼镜，采用高光醋酸纤维镜框与防紫外线镜片，硬朗几何线条设计融合现代街头风格，金属铆钉细节点缀彰显品牌质感，男女皆宜，展现摩登前卫格调。</t>
        </is>
      </c>
    </row>
    <row r="3" ht="25.5" customHeight="1">
      <c r="A3">
        <v>1654975475</v>
      </c>
      <c r="B3">
        <v>7623224007</v>
      </c>
      <c r="C3" s="2" t="str">
        <f>=HYPERLINK("https://weidian.com/item.html?itemID=7623224007", "https://weidian.com/item.html?itemID=7623224007")</f>
        <v>https://weidian.com/item.html?itemID=7623224007</v>
      </c>
      <c r="D3"/>
      <c r="E3" s="2" t="str">
        <f>=HYPERLINK("https://si.geilicdn.com/pcitem2014204438-63620000019ade7ee3a10a8134f0_1440_1920.jpg?w=640&amp;h=640", "https://si.geilicdn.com/pcitem2014204438-63620000019ade7ee3a10a8134f0_1440_1920.jpg?w=640&amp;h=640")</f>
        <v>https://si.geilicdn.com/pcitem2014204438-63620000019ade7ee3a10a8134f0_1440_1920.jpg?w=640&amp;h=640</v>
      </c>
      <c r="F3" t="inlineStr">
        <is>
          <t>Glasses</t>
        </is>
      </c>
      <c r="G3" t="inlineStr">
        <is>
          <t>Prada</t>
        </is>
      </c>
      <c r="H3">
        <v>350</v>
      </c>
      <c r="I3">
        <v>50.72</v>
      </c>
      <c r="J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Prada Black Square Sunglasses Matte Frame UV Protection","refusal":null,"role":"assistant"}}],"created":1778142925,"id":"chatcmpl-DcoUXCdxVSOPMJDpnFYOg2FUxv0nq","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58,"engine_ttft_ms":1024,"engine_ttlt_ms":1657,"pre_inference_ms":146,"service_tbt_ms":59,"service_ttft_ms":1759,"service_ttlt_ms":2389,"total_duration_ms":2259,"user_visible_ttft_ms":1612},"prompt_tokens":880,"prompt_tokens_details":{"audio_tokens":0,"cached_tokens":0},"total_tokens":891}}</t>
        </is>
      </c>
      <c r="K3" t="inlineStr">
        <is>
          <t>Prada Black Square Sunglasses Matte Frame UV Protection</t>
        </is>
      </c>
      <c r="L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rada Black Square Sunglasses – Matte acetate frame with dark gray UV-protection lenses. Unisex design, sleek urban style for everyday commute or casual wear, blending comfort and modern fashion.","refusal":null,"role":"assistant"}}],"created":1778142180,"id":"chatcmpl-DcoIWwVddLLuL5FN64DGUCXEmT1Y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101,"engine_ttft_ms":961,"engine_ttlt_ms":4882,"pre_inference_ms":144,"service_tbt_ms":101,"service_ttft_ms":1337,"service_ttlt_ms":5258,"total_duration_ms":5125,"user_visible_ttft_ms":1192},"prompt_tokens":911,"prompt_tokens_details":{"audio_tokens":0,"cached_tokens":0},"total_tokens":950}}</t>
        </is>
      </c>
      <c r="M3" t="inlineStr">
        <is>
          <t>{"alt-svc":"h3=\":443\"; ma=2592000","apim-request-id":"b4a423ad-181a-4c0a-a4db-e3d53032a497","azureml-model-session":"d20260501050840-08dc6769","connection":"close","content-length":"1663","content-type":"application/json","date":"Thu, 07 May 2026 08:23:04 GMT","server":"Caddy","skip-error-remapping":"true","strict-transport-security":"max-age=31536000; includeSubDomains; preload","x-accel-buffering":"no","x-content-type-options":"nosniff","x-ms-client-request-id":"Not-Set","x-ms-is-spilled-over":"false","x-ms-rai-invoked":"true","x-ms-region":"Switzerland North","x-new-api-version":"v1.0.0-rc.4","x-oneapi-request-id":"20260507082259252569578268d9d662FkhkKc","x-ratelimit-abusepenalty-active":"False","x-ratelimit-key":"gpt-5-chat-global","x-ratelimit-limit-requests":"1000","x-ratelimit-limit-tokens":"1000000","x-ratelimit-remaining-requests":"999","x-ratelimit-remaining-tokens":"998327","x-ratelimit-renewalperiod-requests":"60","x-ratelimit-renewalperiod-tokens":"60","x-ratelimit-reset-requests":"0","x-ratelimit-reset-tokens":"0","x-request-id":"ecf698f7-4ba6-4df2-bbd9-d5b226d31891","x-shellapi-request-id":"2026050716225897425431679567398"}</t>
        </is>
      </c>
      <c r="N3" t="inlineStr">
        <is>
          <t>Prada Black Square Sunglasses – Matte acetate frame with dark gray UV-protection lenses. Unisex design, sleek urban style for everyday commute or casual wear, blending comfort and modern fashion.</t>
        </is>
      </c>
      <c r="O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rada,Glasses,kakobuy,kakebuy2026,kekobuysheet,kakobuysheet2026,2026kakobuy,kakobuyspreadsheeet,kakobuylink,kakebuylist,Kakobuy MEGA Spreadsheet,kakobuysheetfind,kakobuysheetfind2026,2026kakobuysheetfind,kakobuysheet2026","refusal":null,"role":"assistant"}}],"created":1778143409,"id":"chatcmpl-DcocL6NXnph7dD3nRyGScPMoNH2J1","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21,"engine_ttft_ms":1016,"engine_ttlt_ms":2861,"pre_inference_ms":144,"service_tbt_ms":21,"service_ttft_ms":1969,"service_ttlt_ms":3813,"total_duration_ms":3676,"user_visible_ttft_ms":1825},"prompt_tokens":783,"prompt_tokens_details":{"audio_tokens":0,"cached_tokens":0},"total_tokens":871}}</t>
        </is>
      </c>
      <c r="P3" t="inlineStr">
        <is>
          <t>Prada,Glasses,kakobuy,kakebuy2026,kekobuysheet,kakobuysheet2026,2026kakobuy,kakobuyspreadsheeet,kakobuylink,kakebuylist,Kakobuy MEGA Spreadsheet,kakobuysheetfind,kakobuysheetfind2026,2026kakobuysheetfind,kakobuysheet2026</t>
        </is>
      </c>
      <c r="Q3" t="inlineStr">
        <is>
          <t>Black, Unisex, Modern, Sleek, Dark Grey, Acetate Fiber</t>
        </is>
      </c>
      <c r="R3" t="inlineStr">
        <is>
          <t>recvhju1Crpco1</t>
        </is>
      </c>
      <c r="S3" t="inlineStr">
        <is>
          <t>prada-black-square-sunglasses-recvhju1crpco1</t>
        </is>
      </c>
      <c r="T3"/>
      <c r="U3"/>
      <c r="V3"/>
      <c r="W3" t="inlineStr">
        <is>
          <t>{"id":"chatcmpl-Dcnjt2n8TiyPNUCQVSGZuq4iZKwkg","object":"chat.completion","created":1778140033,"model":"gpt-5-chat-latest","choices":[{"index":0,"message":{"role":"assistant","content":"Prada：黑色方框墨镜，哑光醋酸纤维镜框搭配深灰镜片，简约硬朗线条彰显现代都市感。男女通用款，适合日常通勤与休闲出行，防紫外线设计提升舒适与时尚并存的佩戴体验。","refusal":null,"annotations":[]},"logprobs":null,"finish_reason":"stop"}],"usage":{"prompt_tokens":1302,"completion_tokens":76,"total_tokens":1378,"prompt_tokens_details":{"cached_tokens":0,"audio_tokens":0},"completion_tokens_details":{"reasoning_tokens":0,"audio_tokens":0,"accepted_prediction_tokens":0,"rejected_prediction_tokens":0},"latency_checkpoint":{"service_ttft_ms":1618,"user_visible_ttft_ms":1481,"total_duration_ms":12149,"pre_inference_ms":137,"service_tbt_ms":140,"service_ttlt_ms":12275,"engine_ttft_ms":1240,"engine_ttlt_ms":11897,"engine_tbt_ms":140}},"service_tier":"default","system_fingerprint":"fp_fd471178c5"}</t>
        </is>
      </c>
      <c r="X3" t="inlineStr">
        <is>
          <t>Prada：黑色方框墨镜，哑光醋酸纤维镜框搭配深灰镜片，简约硬朗线条彰显现代都市感。男女通用款，适合日常通勤与休闲出行，防紫外线设计提升舒适与时尚并存的佩戴体验。</t>
        </is>
      </c>
    </row>
    <row r="4" ht="25.5" customHeight="1">
      <c r="A4">
        <v>1654975475</v>
      </c>
      <c r="B4">
        <v>7626110934</v>
      </c>
      <c r="C4" s="2" t="str">
        <f>=HYPERLINK("https://weidian.com/item.html?itemID=7626110934", "https://weidian.com/item.html?itemID=7626110934")</f>
        <v>https://weidian.com/item.html?itemID=7626110934</v>
      </c>
      <c r="D4"/>
      <c r="E4" s="2" t="str">
        <f>=HYPERLINK("https://si.geilicdn.com/pcitem2014204438-69b80000019ade7da6610a207569_1440_1920.jpg?w=640&amp;h=640", "https://si.geilicdn.com/pcitem2014204438-69b80000019ade7da6610a207569_1440_1920.jpg?w=640&amp;h=640")</f>
        <v>https://si.geilicdn.com/pcitem2014204438-69b80000019ade7da6610a207569_1440_1920.jpg?w=640&amp;h=640</v>
      </c>
      <c r="F4" t="inlineStr">
        <is>
          <t>Glasses</t>
        </is>
      </c>
      <c r="G4" t="inlineStr">
        <is>
          <t>Gucci</t>
        </is>
      </c>
      <c r="H4">
        <v>350</v>
      </c>
      <c r="I4">
        <v>50.72</v>
      </c>
      <c r="J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Gold Geometric Sunglasses Purple Gray Lenses","refusal":null,"role":"assistant"}}],"created":1778142886,"id":"chatcmpl-DcoTuIeiHJASOX1hvChFFeAl8IgL0","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15,"engine_ttft_ms":787,"engine_ttlt_ms":970,"pre_inference_ms":129,"service_tbt_ms":16,"service_ttft_ms":1614,"service_ttlt_ms":1796,"total_duration_ms":1674,"user_visible_ttft_ms":1485},"prompt_tokens":870,"prompt_tokens_details":{"audio_tokens":0,"cached_tokens":0},"total_tokens":882}}</t>
        </is>
      </c>
      <c r="K4" t="inlineStr">
        <is>
          <t>Gucci Gold Geometric Sunglasses Purple Gray Lenses</t>
        </is>
      </c>
      <c r="L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ucci Geometric Gold Frame Sunglasses with Purple-Gray Gradient Lenses, Luxury Metal Design, Retro Chic Unisex Style, UV Protection for Fashion and Comfort.","refusal":null,"role":"assistant"}}],"created":1778142330,"id":"chatcmpl-DcoKwHq8vrqkcVS8FWt3y5AsIYhwI","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34,"completion_tokens_details":{"accepted_prediction_tokens":0,"audio_tokens":0,"reasoning_tokens":0,"rejected_prediction_tokens":0},"latency_checkpoint":{"engine_tbt_ms":23,"engine_ttft_ms":1026,"engine_ttlt_ms":1793,"pre_inference_ms":156,"service_tbt_ms":23,"service_ttft_ms":1929,"service_ttlt_ms":2695,"total_duration_ms":2548,"user_visible_ttft_ms":1773},"prompt_tokens":890,"prompt_tokens_details":{"audio_tokens":0,"cached_tokens":0},"total_tokens":924}}</t>
        </is>
      </c>
      <c r="M4" t="inlineStr">
        <is>
          <t>{"alt-svc":"h3=\":443\"; ma=2592000","apim-request-id":"ff6c6526-5bb8-4304-b279-aa2a19c263b7","azureml-model-session":"d20260428205641-55ca9797","connection":"close","content-length":"1621","content-type":"application/json","date":"Thu, 07 May 2026 08:25:32 GMT","skip-error-remapping":"true","strict-transport-security":"max-age=31536000; includeSubDomains; preload","via":"1.1 Caddy","x-accel-buffering":"no","x-content-type-options":"nosniff","x-ms-client-request-id":"Not-Set","x-ms-is-spilled-over":"false","x-ms-rai-invoked":"true","x-ms-region":"Sweden Central","x-new-api-version":"v1.0.0-rc.4","x-oneapi-request-id":"202605070825298015672388268d9d6PVifS45l","x-ratelimit-abusepenalty-active":"False","x-ratelimit-key":"gpt-5-chat-global","x-ratelimit-limit-requests":"1000","x-ratelimit-limit-tokens":"1000000","x-ratelimit-remaining-requests":"999","x-ratelimit-remaining-tokens":"998348","x-ratelimit-renewalperiod-requests":"60","x-ratelimit-renewalperiod-tokens":"60","x-ratelimit-reset-requests":"0","x-ratelimit-reset-tokens":"0","x-request-id":"7886401c-eb8d-475e-8d6c-30c34daa1fa5","x-shellapi-request-id":"2026050716252974507027781123191"}</t>
        </is>
      </c>
      <c r="N4" t="inlineStr">
        <is>
          <t>Gucci Geometric Gold Frame Sunglasses with Purple-Gray Gradient Lenses, Luxury Metal Design, Retro Chic Unisex Style, UV Protection for Fashion and Comfort.</t>
        </is>
      </c>
      <c r="O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Glasses,kakobuy,kakebuy2026,kekobuysheet,kakobuysheet2026,2026kakobuy,kakobuyspreadsheeet,kakobuylink,kakebuylist,Kakobuy MEGA Spreadsheet,kakobuysheetfind,kakobuysheetfind2026,2026kakobuysheetfind,kakobuysheet2026","refusal":null,"role":"assistant"}}],"created":1778143612,"id":"chatcmpl-DcofcYdly0WMTIkCm9f1oTWhbbgG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24,"engine_ttft_ms":907,"engine_ttlt_ms":3026,"pre_inference_ms":148,"service_tbt_ms":24,"service_ttft_ms":1408,"service_ttlt_ms":3526,"total_duration_ms":3384,"user_visible_ttft_ms":1260},"prompt_tokens":783,"prompt_tokens_details":{"audio_tokens":0,"cached_tokens":0},"total_tokens":871}}</t>
        </is>
      </c>
      <c r="P4" t="inlineStr">
        <is>
          <t>Gucci,Glasses,kakobuy,kakebuy2026,kekobuysheet,kakobuysheet2026,2026kakobuy,kakobuyspreadsheeet,kakobuylink,kakebuylist,Kakobuy MEGA Spreadsheet,kakobuysheetfind,kakobuysheetfind2026,2026kakobuysheetfind,kakobuysheet2026</t>
        </is>
      </c>
      <c r="Q4" t="inlineStr">
        <is>
          <t>Unisex, Retro, Gold, Gradient, Anti-Ultraviolet, Comfort</t>
        </is>
      </c>
      <c r="R4" t="inlineStr">
        <is>
          <t>recvhju1Cre1qS</t>
        </is>
      </c>
      <c r="S4" t="inlineStr">
        <is>
          <t>gucci-gold-geometric-sunglasses-purple-gray-lenses-recvhju1cre1qs</t>
        </is>
      </c>
      <c r="T4"/>
      <c r="U4"/>
      <c r="V4"/>
      <c r="W4" t="inlineStr">
        <is>
          <t>{"id":"chatcmpl-Dcnk09JUJcJ7Uszp60a5atdAoH2Th","object":"chat.completion","created":1778140040,"model":"gpt-5-chat-latest","choices":[{"index":0,"message":{"role":"assistant","content":"Gucci：几何金框紫灰渐变镜片太阳眼镜，精致金属材质搭配轻奢设计，复古摩登风格，男女通用款，防紫外线护眼同时彰显时尚格调。","refusal":null,"annotations":[]},"logprobs":null,"finish_reason":"stop"}],"usage":{"prompt_tokens":1298,"completion_tokens":57,"total_tokens":1355,"prompt_tokens_details":{"cached_tokens":0,"audio_tokens":0},"completion_tokens_details":{"reasoning_tokens":0,"audio_tokens":0,"accepted_prediction_tokens":0,"rejected_prediction_tokens":0},"latency_checkpoint":{"service_ttft_ms":1729,"user_visible_ttft_ms":1577,"total_duration_ms":2685,"pre_inference_ms":152,"service_tbt_ms":19,"service_ttlt_ms":2829,"engine_ttft_ms":822,"engine_ttlt_ms":1923,"engine_tbt_ms":19}},"service_tier":"default","system_fingerprint":"fp_fd471178c5"}</t>
        </is>
      </c>
      <c r="X4" t="inlineStr">
        <is>
          <t>Gucci：几何金框紫灰渐变镜片太阳眼镜，精致金属材质搭配轻奢设计，复古摩登风格，男女通用款，防紫外线护眼同时彰显时尚格调。</t>
        </is>
      </c>
    </row>
    <row r="5" ht="25.5" customHeight="1">
      <c r="A5">
        <v>1654975475</v>
      </c>
      <c r="B5">
        <v>7624645681</v>
      </c>
      <c r="C5" s="2" t="str">
        <f>=HYPERLINK("https://weidian.com/item.html?itemID=7624645681", "https://weidian.com/item.html?itemID=7624645681")</f>
        <v>https://weidian.com/item.html?itemID=7624645681</v>
      </c>
      <c r="D5"/>
      <c r="E5" s="2" t="str">
        <f>=HYPERLINK("https://si.geilicdn.com/pcitem2014204438-265b0000019ae7eb871b0a2303ee_1080_1080.jpg?w=640&amp;h=640", "https://si.geilicdn.com/pcitem2014204438-265b0000019ae7eb871b0a2303ee_1080_1080.jpg?w=640&amp;h=640")</f>
        <v>https://si.geilicdn.com/pcitem2014204438-265b0000019ae7eb871b0a2303ee_1080_1080.jpg?w=640&amp;h=640</v>
      </c>
      <c r="F5" t="inlineStr">
        <is>
          <t>Socks &amp; Hosiery</t>
        </is>
      </c>
      <c r="G5" t="inlineStr">
        <is>
          <t>Balenciaga</t>
        </is>
      </c>
      <c r="H5">
        <v>136</v>
      </c>
      <c r="I5">
        <v>19.71</v>
      </c>
      <c r="J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 Black White Logo Mid-Calf Cotton Socks Unisex","refusal":null,"role":"assistant"}}],"created":1778142996,"id":"chatcmpl-DcoVgWXv2PpmlJUIYyiYdSxtx7ud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14,"completion_tokens_details":{"accepted_prediction_tokens":0,"audio_tokens":0,"reasoning_tokens":0,"rejected_prediction_tokens":0},"latency_checkpoint":{"engine_tbt_ms":57,"engine_ttft_ms":1216,"engine_ttlt_ms":2012,"pre_inference_ms":199,"service_tbt_ms":60,"service_ttft_ms":1809,"service_ttlt_ms":2605,"total_duration_ms":2445,"user_visible_ttft_ms":1610},"prompt_tokens":880,"prompt_tokens_details":{"audio_tokens":0,"cached_tokens":0},"total_tokens":894}}</t>
        </is>
      </c>
      <c r="K5" t="inlineStr">
        <is>
          <t>Balenciaga Black White Logo Mid-Calf Cotton Socks Unisex</t>
        </is>
      </c>
      <c r="L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lenciaga Minimalist Black &amp; White Logo Mid-Calf Socks, premium soft cotton blend, breathable comfort, unisex design, showcasing modern streetwear elegance and timeless minimalist style.","refusal":null,"role":"assistant"}}],"created":1778142270,"id":"chatcmpl-DcoJyy0FN9T1EJ0XQP6oaIpLF0RKs","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18,"engine_ttft_ms":409,"engine_ttlt_ms":1078,"pre_inference_ms":152,"service_tbt_ms":18,"service_ttft_ms":836,"service_ttlt_ms":1504,"total_duration_ms":1361,"user_visible_ttft_ms":684},"prompt_tokens":886,"prompt_tokens_details":{"audio_tokens":0,"cached_tokens":0},"total_tokens":923}}</t>
        </is>
      </c>
      <c r="M5" t="inlineStr">
        <is>
          <t>{"alt-svc":"h3=\":443\"; ma=2592000","apim-request-id":"11af3a39-8fd6-4443-93fb-a43d0a58e8e7","azureml-model-session":"d20260428165144-a78ba574","connection":"close","content-length":"1654","content-type":"application/json","date":"Thu, 07 May 2026 08:24:30 GMT","skip-error-remapping":"true","strict-transport-security":"max-age=31536000; includeSubDomains; preload","via":"1.1 Caddy","x-accel-buffering":"no","x-content-type-options":"nosniff","x-ms-client-request-id":"Not-Set","x-ms-is-spilled-over":"false","x-ms-rai-invoked":"true","x-ms-region":"East US","x-new-api-version":"v1.0.0-rc.4","x-oneapi-request-id":"202605070824294336548948268d9d6d8PUKx48","x-ratelimit-abusepenalty-active":"False","x-ratelimit-key":"gpt-5-chat-global","x-ratelimit-limit-requests":"1000","x-ratelimit-limit-tokens":"1000000","x-ratelimit-remaining-requests":"999","x-ratelimit-remaining-tokens":"998352","x-ratelimit-renewalperiod-requests":"60","x-ratelimit-renewalperiod-tokens":"60","x-ratelimit-reset-requests":"0","x-ratelimit-reset-tokens":"0","x-request-id":"eca2ea62-9819-4fcf-a76b-d7ccd3a1ffc2","x-shellapi-request-id":"2026050716242938231907915313623"}</t>
        </is>
      </c>
      <c r="N5" t="inlineStr">
        <is>
          <t>Balenciaga Minimalist Black &amp; White Logo Mid-Calf Socks, premium soft cotton blend, breathable comfort, unisex design, showcasing modern streetwear elegance and timeless minimalist style.</t>
        </is>
      </c>
      <c r="O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lenciaga,Socks &amp; Hosiery,kakobuy,kakebuy2026,kekobuysheet,kakobuysheet2026,2026kakobuy,kakobuyspreadsheeet,kakobuylink,kakebuylist,Kakobuy MEGA Spreadsheet,kakobuysheetfind,kakobuysheetfind2026,2026kakobuysheetfind,kakobuysheet2026","refusal":null,"role":"assistant"}}],"created":1778143648,"id":"chatcmpl-DcogCcxImjnUHg9HiUr7w35LZLAjD","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91,"completion_tokens_details":{"accepted_prediction_tokens":0,"audio_tokens":0,"reasoning_tokens":0,"rejected_prediction_tokens":0},"latency_checkpoint":{"engine_tbt_ms":74,"engine_ttft_ms":293,"engine_ttlt_ms":7070,"pre_inference_ms":250,"service_tbt_ms":74,"service_ttft_ms":619,"service_ttlt_ms":7386,"total_duration_ms":7145,"user_visible_ttft_ms":369},"prompt_tokens":787,"prompt_tokens_details":{"audio_tokens":0,"cached_tokens":0},"total_tokens":878}}</t>
        </is>
      </c>
      <c r="P5" t="inlineStr">
        <is>
          <t>Balenciaga,Socks &amp; Hosiery,kakobuy,kakebuy2026,kekobuysheet,kakobuysheet2026,2026kakobuy,kakobuyspreadsheeet,kakobuylink,kakebuylist,Kakobuy MEGA Spreadsheet,kakobuysheetfind,kakobuysheetfind2026,2026kakobuysheetfind,kakobuysheet2026</t>
        </is>
      </c>
      <c r="Q5" t="inlineStr">
        <is>
          <t>Balenciaga, Minimalist, Black, White, Unisex, Streetwear</t>
        </is>
      </c>
      <c r="R5" t="inlineStr">
        <is>
          <t>recvhju1Crn9rI</t>
        </is>
      </c>
      <c r="S5" t="inlineStr">
        <is>
          <t>balenciaga-black-white-logo-mid-calf-cotton-socks-recvhju1crn9ri</t>
        </is>
      </c>
      <c r="T5"/>
      <c r="U5"/>
      <c r="V5"/>
      <c r="W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lenciaga：极简黑白LOGO中筒袜，柔软优质棉混纺材质，舒适透气，男女皆宜，彰显现代极简街头风格。","refusal":null,"role":"assistant"}}],"created":1778140360,"id":"chatcmpl-DcnpAW0hUmHcUoztYPJLGYnBZj07p","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47,"completion_tokens_details":{"accepted_prediction_tokens":0,"audio_tokens":0,"reasoning_tokens":0,"rejected_prediction_tokens":0},"latency_checkpoint":{"engine_tbt_ms":20,"engine_ttft_ms":944,"engine_ttlt_ms":1888,"pre_inference_ms":122,"service_tbt_ms":20,"service_ttft_ms":1391,"service_ttlt_ms":2319,"total_duration_ms":2205,"user_visible_ttft_ms":1269},"prompt_tokens":1307,"prompt_tokens_details":{"audio_tokens":0,"cached_tokens":0},"total_tokens":1354}}</t>
        </is>
      </c>
      <c r="X5" t="inlineStr">
        <is>
          <t>Balenciaga：极简黑白LOGO中筒袜，柔软优质棉混纺材质，舒适透气，男女皆宜，彰显现代极简街头风格。</t>
        </is>
      </c>
    </row>
    <row r="6" ht="25.5" customHeight="1">
      <c r="A6">
        <v>1654975475</v>
      </c>
      <c r="B6">
        <v>7627562606</v>
      </c>
      <c r="C6" s="2" t="str">
        <f>=HYPERLINK("https://weidian.com/item.html?itemID=7627562606", "https://weidian.com/item.html?itemID=7627562606")</f>
        <v>https://weidian.com/item.html?itemID=7627562606</v>
      </c>
      <c r="D6"/>
      <c r="E6" s="2" t="str">
        <f>=HYPERLINK("https://si.geilicdn.com/pcitem2014204438-56070000019ae7e80ac70a21146b_1080_1080.jpg?w=640&amp;h=640", "https://si.geilicdn.com/pcitem2014204438-56070000019ae7e80ac70a21146b_1080_1080.jpg?w=640&amp;h=640")</f>
        <v>https://si.geilicdn.com/pcitem2014204438-56070000019ae7e80ac70a21146b_1080_1080.jpg?w=640&amp;h=640</v>
      </c>
      <c r="F6" t="inlineStr">
        <is>
          <t>Socks &amp; Hosiery</t>
        </is>
      </c>
      <c r="G6" t="inlineStr">
        <is>
          <t>Chanel</t>
        </is>
      </c>
      <c r="H6">
        <v>120</v>
      </c>
      <c r="I6">
        <v>17.39</v>
      </c>
      <c r="J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Black White Cotton Mid-Calf Logo Socks","refusal":null,"role":"assistant"}}],"created":1778142938,"id":"chatcmpl-DcoUk7ixS6ber5BSRIJyYWviND51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75,"engine_ttft_ms":1463,"engine_ttlt_ms":2291,"pre_inference_ms":129,"service_tbt_ms":76,"service_ttft_ms":2663,"service_ttlt_ms":3483,"total_duration_ms":3371,"user_visible_ttft_ms":2534},"prompt_tokens":881,"prompt_tokens_details":{"audio_tokens":0,"cached_tokens":0},"total_tokens":892}}</t>
        </is>
      </c>
      <c r="K6" t="inlineStr">
        <is>
          <t>Chanel Black White Cotton Mid-Calf Logo Socks</t>
        </is>
      </c>
      <c r="L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nel Black &amp; White Mid-Calf Socks, crafted from soft cotton knit, feature signature double C logo and geometric pattern, offering a unisex minimalist look for modern chic everyday style.","refusal":null,"role":"assistant"}}],"created":1778142298,"id":"chatcmpl-DcoKQSt8ZUzHrFRTBpecVVIkqt4xL","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74,"engine_ttft_ms":293,"engine_ttlt_ms":3102,"pre_inference_ms":168,"service_tbt_ms":74,"service_ttft_ms":542,"service_ttlt_ms":3350,"total_duration_ms":3192,"user_visible_ttft_ms":375},"prompt_tokens":902,"prompt_tokens_details":{"audio_tokens":0,"cached_tokens":0},"total_tokens":940}}</t>
        </is>
      </c>
      <c r="M6" t="inlineStr">
        <is>
          <t>{"alt-svc":"h3=\":443\"; ma=2592000","apim-request-id":"178f1b74-ce05-4473-9631-2480af300b60","azureml-model-session":"d20260501041445-2c187743","connection":"close","content-length":"1655","content-type":"application/json","date":"Thu, 07 May 2026 08:25:01 GMT","skip-error-remapping":"true","strict-transport-security":"max-age=31536000; includeSubDomains; preload","via":"1.1 Caddy","x-accel-buffering":"no","x-content-type-options":"nosniff","x-ms-client-request-id":"Not-Set","x-ms-is-spilled-over":"false","x-ms-rai-invoked":"true","x-ms-region":"East US","x-new-api-version":"v1.0.0-rc.4","x-oneapi-request-id":"202605070824573164316938268d9d6ULURngYA","x-ratelimit-abusepenalty-active":"False","x-ratelimit-key":"gpt-5-chat-global","x-ratelimit-limit-requests":"1000","x-ratelimit-limit-tokens":"1000000","x-ratelimit-remaining-requests":"999","x-ratelimit-remaining-tokens":"998336","x-ratelimit-renewalperiod-requests":"60","x-ratelimit-renewalperiod-tokens":"60","x-ratelimit-reset-requests":"0","x-ratelimit-reset-tokens":"0","x-request-id":"279d4389-2f85-4ae6-9b70-e85e581eb83f","x-shellapi-request-id":"2026050716245726262475829459282"}</t>
        </is>
      </c>
      <c r="N6" t="inlineStr">
        <is>
          <t>Chanel Black &amp; White Mid-Calf Socks, crafted from soft cotton knit, feature signature double C logo and geometric pattern, offering a unisex minimalist look for modern chic everyday style.</t>
        </is>
      </c>
      <c r="O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nel, Socks &amp; Hosiery, kakobuy, kakebuy2026, kekobuysheet, kakobuysheet2026, 2026kakobuy, kakobuyspreadsheeet, kakobuylink, kakebuylist, Kakobuy MEGA Spreadsheet, kakobuysheetfind, kakobuysheetfind2026, 2026kakobuysheetfind, kakobuysheet2026","refusal":null,"role":"assistant"}}],"created":1778143542,"id":"chatcmpl-DcoeUGhHQZhiDSnvgDLj3leQ3DdRk","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30,"engine_ttft_ms":415,"engine_ttlt_ms":3233,"pre_inference_ms":143,"service_tbt_ms":30,"service_ttft_ms":888,"service_ttlt_ms":3683,"total_duration_ms":3549,"user_visible_ttft_ms":745},"prompt_tokens":786,"prompt_tokens_details":{"audio_tokens":0,"cached_tokens":0},"total_tokens":880}}</t>
        </is>
      </c>
      <c r="P6" t="inlineStr">
        <is>
          <t>Chanel, Socks &amp; Hosiery, kakobuy, kakebuy2026, kekobuysheet, kakobuysheet2026, 2026kakobuy, kakobuyspreadsheeet, kakobuylink, kakebuylist, Kakobuy MEGA Spreadsheet, kakobuysheetfind, kakobuysheetfind2026, 2026kakobuysheetfind, kakobuysheet2026</t>
        </is>
      </c>
      <c r="Q6" t="inlineStr">
        <is>
          <t>Chanel, Black, White, Unisex, Minimalist, Modern</t>
        </is>
      </c>
      <c r="R6" t="inlineStr">
        <is>
          <t>recvhju1Crsp5o</t>
        </is>
      </c>
      <c r="S6" t="inlineStr">
        <is>
          <t>chanel-black-white-cotton-mid-calf-logo-socks-recvhju1crsp5o</t>
        </is>
      </c>
      <c r="T6"/>
      <c r="U6"/>
      <c r="V6"/>
      <c r="W6" t="inlineStr">
        <is>
          <t>{"id":"chatcmpl-DcnvAhRI4L6kV2hsIhrYocnCPKMGX","object":"chat.completion","created":1778140732,"model":"gpt-5-chat-latest","choices":[{"index":0,"message":{"role":"assistant","content":"Chanel黑白拼色中筒袜，柔软棉质针织材质，饰以标志性双C徽标与几何图腾设计，中性简约风格，适合现代都市休闲穿搭，彰显法式精致与时尚品味。","refusal":null,"annotations":[]},"logprobs":null,"finish_reason":"stop"}],"usage":{"prompt_tokens":1303,"completion_tokens":65,"total_tokens":1368,"prompt_tokens_details":{"cached_tokens":0,"audio_tokens":0},"completion_tokens_details":{"reasoning_tokens":0,"audio_tokens":0,"accepted_prediction_tokens":0,"rejected_prediction_tokens":0},"latency_checkpoint":{"service_ttft_ms":687,"user_visible_ttft_ms":537,"total_duration_ms":1959,"pre_inference_ms":149,"service_tbt_ms":22,"service_ttlt_ms":2101,"engine_ttft_ms":405,"engine_ttlt_ms":1819,"engine_tbt_ms":22}},"service_tier":"default","system_fingerprint":"fp_fd471178c5"}</t>
        </is>
      </c>
      <c r="X6" t="inlineStr">
        <is>
          <t>Chanel黑白拼色中筒袜，柔软棉质针织材质，饰以标志性双C徽标与几何图腾设计，中性简约风格，适合现代都市休闲穿搭，彰显法式精致与时尚品味。</t>
        </is>
      </c>
    </row>
    <row r="7" ht="25.5" customHeight="1">
      <c r="A7">
        <v>1654975475</v>
      </c>
      <c r="B7">
        <v>7627419344</v>
      </c>
      <c r="C7" s="2" t="str">
        <f>=HYPERLINK("https://weidian.com/item.html?itemID=7627419344", "https://weidian.com/item.html?itemID=7627419344")</f>
        <v>https://weidian.com/item.html?itemID=7627419344</v>
      </c>
      <c r="D7"/>
      <c r="E7" s="2" t="str">
        <f>=HYPERLINK("https://si.geilicdn.com/pcitem2014204438-6ab40000019ae7d510f10a210139_1074_942.jpg?w=640&amp;h=640", "https://si.geilicdn.com/pcitem2014204438-6ab40000019ae7d510f10a210139_1074_942.jpg?w=640&amp;h=640")</f>
        <v>https://si.geilicdn.com/pcitem2014204438-6ab40000019ae7d510f10a210139_1074_942.jpg?w=640&amp;h=640</v>
      </c>
      <c r="F7" t="inlineStr">
        <is>
          <t>Socks &amp; Hosiery</t>
        </is>
      </c>
      <c r="G7" t="inlineStr">
        <is>
          <t>Adidas</t>
        </is>
      </c>
      <c r="H7">
        <v>120</v>
      </c>
      <c r="I7">
        <v>17.391304347826</v>
      </c>
      <c r="J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didas Golden Gray Trefoil Low-Cut Cotton Sports Socks","refusal":null,"role":"assistant"}}],"created":1778142912,"id":"chatcmpl-DcoUKOQ1JFxSDQ4p0nSNOMtPXqD7K","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70,"engine_ttft_ms":939,"engine_ttlt_ms":1854,"pre_inference_ms":197,"service_tbt_ms":71,"service_ttft_ms":1422,"service_ttlt_ms":2336,"total_duration_ms":2148,"user_visible_ttft_ms":1225},"prompt_tokens":893,"prompt_tokens_details":{"audio_tokens":0,"cached_tokens":0},"total_tokens":906}}</t>
        </is>
      </c>
      <c r="K7" t="inlineStr">
        <is>
          <t>Adidas Golden Gray Trefoil Low-Cut Cotton Sports Socks</t>
        </is>
      </c>
      <c r="L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didas Golden Gray Low-Cut Socks, made from soft cotton blend, breathable and non-slip, featuring the classic Trefoil logo, invisible design for sports or casual wear, unisex style with vibrant fashion touch.","refusal":null,"role":"assistant"}}],"created":1778142081,"id":"chatcmpl-DcoGvwUKnBYeYFbJ3G9uIT7Bxctw1","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44,"completion_tokens_details":{"accepted_prediction_tokens":0,"audio_tokens":0,"reasoning_tokens":0,"rejected_prediction_tokens":0},"latency_checkpoint":{"engine_tbt_ms":21,"engine_ttft_ms":375,"engine_ttlt_ms":1316,"pre_inference_ms":313,"service_tbt_ms":22,"service_ttft_ms":808,"service_ttlt_ms":1749,"total_duration_ms":1445,"user_visible_ttft_ms":495},"prompt_tokens":903,"prompt_tokens_details":{"audio_tokens":0,"cached_tokens":0},"total_tokens":947}}</t>
        </is>
      </c>
      <c r="M7" t="inlineStr">
        <is>
          <t>{"alt-svc":"h3=\":443\"; ma=2592000","apim-request-id":"452f42dd-43c6-4587-9c16-8282b3ad6c95","azureml-model-session":"d20260428165144-a78ba574","connection":"close","content-length":"1670","content-type":"application/json","date":"Thu, 07 May 2026 08:21:22 GMT","server":"Caddy","skip-error-remapping":"true","strict-transport-security":"max-age=31536000; includeSubDomains; preload","x-accel-buffering":"no","x-content-type-options":"nosniff","x-ms-client-request-id":"Not-Set","x-ms-is-spilled-over":"false","x-ms-rai-invoked":"true","x-ms-region":"East US","x-new-api-version":"v1.0.0-rc.4","x-oneapi-request-id":"202605070821205242723778268d9d6SfJhr2XW","x-ratelimit-abusepenalty-active":"False","x-ratelimit-key":"gpt-5-chat-global","x-ratelimit-limit-requests":"1000","x-ratelimit-limit-tokens":"1000000","x-ratelimit-remaining-requests":"999","x-ratelimit-remaining-tokens":"998335","x-ratelimit-renewalperiod-requests":"60","x-ratelimit-renewalperiod-tokens":"60","x-ratelimit-reset-requests":"0","x-ratelimit-reset-tokens":"0","x-request-id":"0179c9a1-5ad8-4793-80c3-7ce8f4504666","x-shellapi-request-id":"2026050716212046687031230319983"}</t>
        </is>
      </c>
      <c r="N7" t="inlineStr">
        <is>
          <t>Adidas Golden Gray Low-Cut Socks, made from soft cotton blend, breathable and non-slip, featuring the classic Trefoil logo, invisible design for sports or casual wear, unisex style with vibrant fashion touch.</t>
        </is>
      </c>
      <c r="O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didas, Socks &amp; Hosiery, kakobuy, kakebuy2026, kekobuysheet, kakobuysheet2026, 2026kakobuy, kakobuyspreadsheeet, kakobuylink, kakebuylist, Kakobuy MEGA Spreadsheet, kakobuysheetfind, kakobuysheetfind2026, 2026kakobuysheetfind, kakobuysheet2026","refusal":null,"role":"assistant"}}],"created":1778143468,"id":"chatcmpl-DcodI6KxNPqMkgyK9IIE4GG6SKtR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24,"engine_ttft_ms":332,"engine_ttlt_ms":2588,"pre_inference_ms":125,"service_tbt_ms":24,"service_ttft_ms":591,"service_ttlt_ms":2846,"total_duration_ms":2729,"user_visible_ttft_ms":466},"prompt_tokens":786,"prompt_tokens_details":{"audio_tokens":0,"cached_tokens":0},"total_tokens":880}}</t>
        </is>
      </c>
      <c r="P7" t="inlineStr">
        <is>
          <t>Adidas, Socks &amp; Hosiery, kakobuy, kakebuy2026, kekobuysheet, kakobuysheet2026, 2026kakobuy, kakobuyspreadsheeet, kakobuylink, kakebuylist, Kakobuy MEGA Spreadsheet, kakobuysheetfind, kakobuysheetfind2026, 2026kakobuysheetfind, kakobuysheet2026</t>
        </is>
      </c>
      <c r="Q7" t="inlineStr">
        <is>
          <t>ADIDAS, Unisex, Breathable, Anti-Slip</t>
        </is>
      </c>
      <c r="R7" t="inlineStr">
        <is>
          <t>recvhju1Cr0g52</t>
        </is>
      </c>
      <c r="S7" t="inlineStr">
        <is>
          <t>adidas-golden-gray-trefoil-cotton-socks-recvhju1cr0g52</t>
        </is>
      </c>
      <c r="T7"/>
      <c r="U7"/>
      <c r="V7"/>
      <c r="W7" t="inlineStr">
        <is>
          <t>{"id":"chatcmpl-DcnlEHiyGqQo9y9cSCKlrz3inLfJx","object":"chat.completion","created":1778140116,"model":"gpt-5-chat-latest","choices":[{"index":0,"message":{"role":"assistant","content":"Adidas：黄金灰拼色短袜，采用柔软棉质混纺材质，透气舒适不易滑落，饰以经典三叶草Logo，低帮隐形设计，运动休闲风格，男女皆宜，展现时尚活力穿搭品味。","refusal":null,"annotations":[]},"logprobs":null,"finish_reason":"stop"}],"usage":{"prompt_tokens":1301,"completion_tokens":67,"total_tokens":1368,"prompt_tokens_details":{"cached_tokens":0,"audio_tokens":0},"completion_tokens_details":{"reasoning_tokens":0,"audio_tokens":0,"accepted_prediction_tokens":0,"rejected_prediction_tokens":0},"latency_checkpoint":{"service_ttft_ms":848,"user_visible_ttft_ms":639,"total_duration_ms":8874,"pre_inference_ms":208,"service_tbt_ms":123,"service_ttlt_ms":9053,"engine_ttft_ms":530,"engine_ttlt_ms":8734,"engine_tbt_ms":122}},"service_tier":"default","system_fingerprint":"fp_fd471178c5"}</t>
        </is>
      </c>
      <c r="X7" t="inlineStr">
        <is>
          <t>Adidas：黄金灰拼色短袜，采用柔软棉质混纺材质，透气舒适不易滑落，饰以经典三叶草Logo，低帮隐形设计，运动休闲风格，男女皆宜，展现时尚活力穿搭品味。</t>
        </is>
      </c>
    </row>
    <row r="8" ht="25.5" customHeight="1">
      <c r="A8">
        <v>1654975475</v>
      </c>
      <c r="B8">
        <v>7624341573</v>
      </c>
      <c r="C8" s="2" t="str">
        <f>=HYPERLINK("https://weidian.com/item.html?itemID=7624341573", "https://weidian.com/item.html?itemID=7624341573")</f>
        <v>https://weidian.com/item.html?itemID=7624341573</v>
      </c>
      <c r="D8"/>
      <c r="E8" s="2" t="str">
        <f>=HYPERLINK("https://si.geilicdn.com/pcitem2014204438-09c30000019ae7b8e70d0a20e672_1080_1080.jpg?w=640&amp;h=640", "https://si.geilicdn.com/pcitem2014204438-09c30000019ae7b8e70d0a20e672_1080_1080.jpg?w=640&amp;h=640")</f>
        <v>https://si.geilicdn.com/pcitem2014204438-09c30000019ae7b8e70d0a20e672_1080_1080.jpg?w=640&amp;h=640</v>
      </c>
      <c r="F8" t="inlineStr">
        <is>
          <t>Socks &amp; Hosiery</t>
        </is>
      </c>
      <c r="G8" t="inlineStr">
        <is>
          <t>Chanel</t>
        </is>
      </c>
      <c r="H8">
        <v>120</v>
      </c>
      <c r="I8">
        <v>17.39</v>
      </c>
      <c r="J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Classic Black White Cotton Mid-Calf Socks Unisex","refusal":null,"role":"assistant"}}],"created":1778142972,"id":"chatcmpl-DcoVIuQ5saylTCf8wtm5VddY04DA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59,"engine_ttft_ms":1442,"engine_ttlt_ms":2206,"pre_inference_ms":114,"service_tbt_ms":59,"service_ttft_ms":2560,"service_ttlt_ms":3322,"total_duration_ms":3216,"user_visible_ttft_ms":2446},"prompt_tokens":875,"prompt_tokens_details":{"audio_tokens":0,"cached_tokens":0},"total_tokens":888}}</t>
        </is>
      </c>
      <c r="K8" t="inlineStr">
        <is>
          <t>Chanel Classic Black White Cotton Mid-Calf Socks Unisex</t>
        </is>
      </c>
      <c r="L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Classic Black &amp; White Cotton Mid-Calf Socks with Iconic Double C Embroidery, Unisex Style, Soft, Elegant, and Perfect for Everyday Luxury Fashion.","refusal":null,"role":"assistant"}}],"created":1778142212,"id":"chatcmpl-DcoJ2qZoaCElz4Oiz6ia7XDambbG4","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35,"completion_tokens_details":{"accepted_prediction_tokens":0,"audio_tokens":0,"reasoning_tokens":0,"rejected_prediction_tokens":0},"latency_checkpoint":{"engine_tbt_ms":96,"engine_ttft_ms":1635,"engine_ttlt_ms":5012,"pre_inference_ms":175,"service_tbt_ms":97,"service_ttft_ms":2251,"service_ttlt_ms":5628,"total_duration_ms":5463,"user_visible_ttft_ms":2077},"prompt_tokens":898,"prompt_tokens_details":{"audio_tokens":0,"cached_tokens":0},"total_tokens":933}}</t>
        </is>
      </c>
      <c r="M8" t="inlineStr">
        <is>
          <t>{"alt-svc":"h3=\":443\"; ma=2592000","apim-request-id":"a4446a54-1916-45e7-b90d-bc8a7787750b","azureml-model-session":"d20260501050840-f4f9d8ac","connection":"close","content-length":"1623","content-type":"application/json","date":"Thu, 07 May 2026 08:23:38 GMT","server":"Caddy","skip-error-remapping":"true","strict-transport-security":"max-age=31536000; includeSubDomains; preload","x-accel-buffering":"no","x-content-type-options":"nosniff","x-ms-client-request-id":"Not-Set","x-ms-is-spilled-over":"false","x-ms-rai-invoked":"true","x-ms-region":"Australia East","x-new-api-version":"v1.0.0-rc.4","x-oneapi-request-id":"202605070823317774583408268d9d6myaU93ty","x-ratelimit-abusepenalty-active":"False","x-ratelimit-key":"gpt-5-chat-global","x-ratelimit-limit-requests":"1000","x-ratelimit-limit-tokens":"1000000","x-ratelimit-remaining-requests":"999","x-ratelimit-remaining-tokens":"998340","x-ratelimit-renewalperiod-requests":"60","x-ratelimit-renewalperiod-tokens":"60","x-ratelimit-reset-requests":"0","x-ratelimit-reset-tokens":"0","x-request-id":"52ce218e-00ac-4678-9bfb-8f6e6618efeb","x-shellapi-request-id":"2026050716233172348779987830905"}</t>
        </is>
      </c>
      <c r="N8" t="inlineStr">
        <is>
          <t>Chanel Classic Black &amp; White Cotton Mid-Calf Socks with Iconic Double C Embroidery, Unisex Style, Soft, Elegant, and Perfect for Everyday Luxury Fashion.</t>
        </is>
      </c>
      <c r="O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Socks &amp; Hosiery, kakobuy, kakebuy2026, kekobuysheet, kakobuysheet2026, 2026kakobuy, kakobuyspreadsheeet, kakobuylink, kakebuylist, Kakobuy MEGA Spreadsheet, kakobuysheetfind, kakobuysheetfind2026, 2026kakobuysheetfind, kakobuysheet2026","refusal":null,"role":"assistant"}}],"created":1778143499,"id":"chatcmpl-DcodnNSOfWARQxMlOwiSIGVbxbxu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106,"engine_ttft_ms":782,"engine_ttlt_ms":10724,"pre_inference_ms":154,"service_tbt_ms":106,"service_ttft_ms":1389,"service_ttlt_ms":11330,"total_duration_ms":11186,"user_visible_ttft_ms":1235},"prompt_tokens":786,"prompt_tokens_details":{"audio_tokens":0,"cached_tokens":0},"total_tokens":880}}</t>
        </is>
      </c>
      <c r="P8" t="inlineStr">
        <is>
          <t>Chanel, Socks &amp; Hosiery, kakobuy, kakebuy2026, kekobuysheet, kakobuysheet2026, 2026kakobuy, kakobuyspreadsheeet, kakobuylink, kakebuylist, Kakobuy MEGA Spreadsheet, kakobuysheetfind, kakobuysheetfind2026, 2026kakobuysheetfind, kakobuysheet2026</t>
        </is>
      </c>
      <c r="Q8" t="inlineStr">
        <is>
          <t>Chanel, Black, White, Unisex, Elegant, Fashion</t>
        </is>
      </c>
      <c r="R8" t="inlineStr">
        <is>
          <t>recvhju1CrJt4H</t>
        </is>
      </c>
      <c r="S8" t="inlineStr">
        <is>
          <t>chanel-classic-black-white-cotton-mid-calf-socks-recvhju1crjt4h</t>
        </is>
      </c>
      <c r="T8"/>
      <c r="U8"/>
      <c r="V8"/>
      <c r="W8" t="inlineStr">
        <is>
          <t>{"id":"chatcmpl-Dcnkhr5k0bL5kcwGMrKC4STDCv67l","object":"chat.completion","created":1778140083,"model":"gpt-5-chat-latest","choices":[{"index":0,"message":{"role":"assistant","content":"Chanel：经典黑白系列中筒袜，采用柔软棉质面料，饰以标志性双C徽标刺绣，简约优雅设计，适合男女通用，彰显法式高定时尚格调。","refusal":null,"annotations":[]},"logprobs":null,"finish_reason":"stop"}],"usage":{"prompt_tokens":1309,"completion_tokens":58,"total_tokens":1367,"prompt_tokens_details":{"cached_tokens":1280,"audio_tokens":0},"completion_tokens_details":{"reasoning_tokens":0,"audio_tokens":0,"accepted_prediction_tokens":0,"rejected_prediction_tokens":0},"latency_checkpoint":{"service_ttft_ms":594,"user_visible_ttft_ms":480,"total_duration_ms":2161,"pre_inference_ms":114,"service_tbt_ms":29,"service_ttlt_ms":2269,"engine_ttft_ms":350,"engine_ttlt_ms":2025,"engine_tbt_ms":29}},"service_tier":"default","system_fingerprint":"fp_fd471178c5"}</t>
        </is>
      </c>
      <c r="X8" t="inlineStr">
        <is>
          <t>Chanel：经典黑白系列中筒袜，采用柔软棉质面料，饰以标志性双C徽标刺绣，简约优雅设计，适合男女通用，彰显法式高定时尚格调。</t>
        </is>
      </c>
    </row>
    <row r="9" ht="25.5" customHeight="1">
      <c r="A9">
        <v>1654975475</v>
      </c>
      <c r="B9">
        <v>7624416371</v>
      </c>
      <c r="C9" s="2" t="str">
        <f>=HYPERLINK("https://weidian.com/item.html?itemID=7624416371", "https://weidian.com/item.html?itemID=7624416371")</f>
        <v>https://weidian.com/item.html?itemID=7624416371</v>
      </c>
      <c r="D9"/>
      <c r="E9" s="2" t="str">
        <f>=HYPERLINK("https://si.geilicdn.com/pcitem2014204438-69d70000019ae7b5a1230a2304aa_1080_1080.jpg?w=640&amp;h=640", "https://si.geilicdn.com/pcitem2014204438-69d70000019ae7b5a1230a2304aa_1080_1080.jpg?w=640&amp;h=640")</f>
        <v>https://si.geilicdn.com/pcitem2014204438-69d70000019ae7b5a1230a2304aa_1080_1080.jpg?w=640&amp;h=640</v>
      </c>
      <c r="F9" t="inlineStr">
        <is>
          <t>Socks &amp; Hosiery</t>
        </is>
      </c>
      <c r="G9" t="inlineStr">
        <is>
          <t>Miu Miu</t>
        </is>
      </c>
      <c r="H9">
        <v>120</v>
      </c>
      <c r="I9">
        <v>17.39</v>
      </c>
      <c r="J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iu Miu Black Mid Calf Lace Trim Socks","refusal":null,"role":"assistant"}}],"created":1778143046,"id":"chatcmpl-DcoWU5NVWfnP3IMAXduRkJGOVq7dy","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23,"engine_ttft_ms":835,"engine_ttlt_ms":1111,"pre_inference_ms":154,"service_tbt_ms":23,"service_ttft_ms":1752,"service_ttlt_ms":2016,"total_duration_ms":1868,"user_visible_ttft_ms":1598},"prompt_tokens":889,"prompt_tokens_details":{"audio_tokens":0,"cached_tokens":0},"total_tokens":901}}</t>
        </is>
      </c>
      <c r="K9" t="inlineStr">
        <is>
          <t>Miu Miu Black Mid Calf Lace Trim Socks</t>
        </is>
      </c>
      <c r="L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Classic Black Mid-Calf Socks, soft ribbed cotton with polka-dot lace trim, vintage sweet style for elegant everyday wear, perfect for women and men, versatile fashion design.","refusal":null,"role":"assistant"}}],"created":1778142091,"id":"chatcmpl-DcoH5E3ja7CzQCPsxlqZrmHTVk7n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19,"engine_ttft_ms":836,"engine_ttlt_ms":1599,"pre_inference_ms":154,"service_tbt_ms":19,"service_ttft_ms":1760,"service_ttlt_ms":2521,"total_duration_ms":2373,"user_visible_ttft_ms":1606},"prompt_tokens":898,"prompt_tokens_details":{"audio_tokens":0,"cached_tokens":0},"total_tokens":939}}</t>
        </is>
      </c>
      <c r="M9" t="inlineStr">
        <is>
          <t>{"alt-svc":"h3=\":443\"; ma=2592000","apim-request-id":"5eeffd6e-2cdd-4ed7-b914-39ad6b907796","azureml-model-session":"d20260428165144-a78ba574","connection":"close","content-length":"1646","content-type":"application/json","date":"Thu, 07 May 2026 08:21:33 GMT","skip-error-remapping":"true","strict-transport-security":"max-age=31536000; includeSubDomains; preload","via":"1.1 Caddy","x-accel-buffering":"no","x-content-type-options":"nosniff","x-ms-client-request-id":"Not-Set","x-ms-is-spilled-over":"false","x-ms-rai-invoked":"true","x-ms-region":"Korea Central","x-new-api-version":"v1.0.0-rc.4","x-oneapi-request-id":"202605070821289978078568268d9d6AsrLUL0e","x-ratelimit-abusepenalty-active":"False","x-ratelimit-key":"gpt-5-chat-global","x-ratelimit-limit-requests":"1000","x-ratelimit-limit-tokens":"1000000","x-ratelimit-remaining-requests":"999","x-ratelimit-remaining-tokens":"998340","x-ratelimit-renewalperiod-requests":"60","x-ratelimit-renewalperiod-tokens":"60","x-ratelimit-reset-requests":"0","x-ratelimit-reset-tokens":"0","x-request-id":"8a3e8e73-7abe-4ad5-8643-6416137675bc","x-shellapi-request-id":"2026050716212894525147388009140"}</t>
        </is>
      </c>
      <c r="N9" t="inlineStr">
        <is>
          <t>Miu Miu Classic Black Mid-Calf Socks, soft ribbed cotton with polka-dot lace trim, vintage sweet style for elegant everyday wear, perfect for women and men, versatile fashion design.</t>
        </is>
      </c>
      <c r="O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iu Miu, Socks &amp; Hosiery, kakobuy, kakebuy2026, kekobuysheet, kakobuysheet2026, 2026kakobuy, kakobuyspreadsheeet, kakobuylink, kakebuylist, Kakobuy MEGA Spreadsheet, kakobuysheetfind, kakobuysheetfind2026, 2026kakobuysheetfind, kakobuysheet2026","refusal":null,"role":"assistant"}}],"created":1778143340,"id":"chatcmpl-DcobEjlbCtQcDIeBb6WpKibnLsG3r","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96,"completion_tokens_details":{"accepted_prediction_tokens":0,"audio_tokens":0,"reasoning_tokens":0,"rejected_prediction_tokens":0},"latency_checkpoint":{"engine_tbt_ms":97,"engine_ttft_ms":1099,"engine_ttlt_ms":10368,"pre_inference_ms":150,"service_tbt_ms":97,"service_ttft_ms":1805,"service_ttlt_ms":11079,"total_duration_ms":10938,"user_visible_ttft_ms":1654},"prompt_tokens":788,"prompt_tokens_details":{"audio_tokens":0,"cached_tokens":0},"total_tokens":884}}</t>
        </is>
      </c>
      <c r="P9" t="inlineStr">
        <is>
          <t>Miu Miu, Socks &amp; Hosiery, kakobuy, kakebuy2026, kekobuysheet, kakobuysheet2026, 2026kakobuy, kakobuyspreadsheeet, kakobuylink, kakebuylist, Kakobuy MEGA Spreadsheet, kakobuysheetfind, kakobuysheetfind2026, 2026kakobuysheetfind, kakobuysheet2026</t>
        </is>
      </c>
      <c r="Q9" t="inlineStr">
        <is>
          <t>Black, Vintage, Sweet, Unisex, Fashion</t>
        </is>
      </c>
      <c r="R9" t="inlineStr">
        <is>
          <t>recvhju1CrPcGI</t>
        </is>
      </c>
      <c r="S9" t="inlineStr">
        <is>
          <t>miu-miu-black-mid-calf-lace-trim-socks-recvhju1crpcgi</t>
        </is>
      </c>
      <c r="T9"/>
      <c r="U9"/>
      <c r="V9"/>
      <c r="W9" t="inlineStr">
        <is>
          <t>{"id":"chatcmpl-Dcnucuvvo3mN4L60A0S4QqEGo1kdr","object":"chat.completion","created":1778140698,"model":"gpt-5-chat-latest","choices":[{"index":0,"message":{"role":"assistant","content":"Miu Miu：经典系列黑色中筒袜，柔软棉质罗纹面料搭配波点花边设计，甜美复古风格，彰显少女感与优雅气质，男女皆可日常百搭。","refusal":null,"annotations":[]},"logprobs":null,"finish_reason":"stop"}],"usage":{"prompt_tokens":1311,"completion_tokens":57,"total_tokens":1368,"prompt_tokens_details":{"cached_tokens":1280,"audio_tokens":0},"completion_tokens_details":{"reasoning_tokens":0,"audio_tokens":0,"accepted_prediction_tokens":0,"rejected_prediction_tokens":0},"latency_checkpoint":{"service_ttft_ms":695,"user_visible_ttft_ms":548,"total_duration_ms":8348,"pre_inference_ms":148,"service_tbt_ms":137,"service_ttlt_ms":8490,"engine_ttft_ms":482,"engine_ttlt_ms":8277,"engine_tbt_ms":137}},"service_tier":"default","system_fingerprint":"fp_fd471178c5"}</t>
        </is>
      </c>
      <c r="X9" t="inlineStr">
        <is>
          <t>Miu Miu：经典系列黑色中筒袜，柔软棉质罗纹面料搭配波点花边设计，甜美复古风格，彰显少女感与优雅气质，男女皆可日常百搭。</t>
        </is>
      </c>
    </row>
    <row r="10" ht="25.5" customHeight="1">
      <c r="A10">
        <v>1654975475</v>
      </c>
      <c r="B10">
        <v>7624110767</v>
      </c>
      <c r="C10" s="2" t="str">
        <f>=HYPERLINK("https://weidian.com/item.html?itemID=7624110767", "https://weidian.com/item.html?itemID=7624110767")</f>
        <v>https://weidian.com/item.html?itemID=7624110767</v>
      </c>
      <c r="D10"/>
      <c r="E10" s="2" t="str">
        <f>=HYPERLINK("https://si.geilicdn.com/pcitem902014207253-43e10000019ae7519b3f0a210139_1440_1919.jpg?w=640&amp;h=640", "https://si.geilicdn.com/pcitem902014207253-43e10000019ae7519b3f0a210139_1440_1919.jpg?w=640&amp;h=640")</f>
        <v>https://si.geilicdn.com/pcitem902014207253-43e10000019ae7519b3f0a210139_1440_1919.jpg?w=640&amp;h=640</v>
      </c>
      <c r="F10" t="inlineStr">
        <is>
          <t>Glasses</t>
        </is>
      </c>
      <c r="G10" t="inlineStr">
        <is>
          <t>Alo</t>
        </is>
      </c>
      <c r="H10">
        <v>350</v>
      </c>
      <c r="I10">
        <v>50.72</v>
      </c>
      <c r="J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lassesAlo Black Square Polarized UV400 Sunglasses","refusal":null,"role":"assistant"}}],"created":1778142843,"id":"chatcmpl-DcoTDjBVWUTpCWroX9pAyE0QVTM3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56,"engine_ttft_ms":625,"engine_ttlt_ms":1349,"pre_inference_ms":173,"service_tbt_ms":56,"service_ttft_ms":885,"service_ttlt_ms":1608,"total_duration_ms":1443,"user_visible_ttft_ms":712},"prompt_tokens":882,"prompt_tokens_details":{"audio_tokens":0,"cached_tokens":0},"total_tokens":895}}</t>
        </is>
      </c>
      <c r="K10" t="inlineStr">
        <is>
          <t>GlassesAlo Black Square Polarized UV400 Sunglasses</t>
        </is>
      </c>
      <c r="L1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lassesAloAlo black square polarized sunglasses feature lightweight polymer frames, UV protection, anti-glare lenses, and a sleek urban sporty design for men and women, perfect for daily wear.","refusal":null,"role":"assistant"}}],"created":1778142332,"id":"chatcmpl-DcoKyYYBh4rihCdyttbCuepnsth6R","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72,"engine_ttft_ms":395,"engine_ttlt_ms":3264,"pre_inference_ms":199,"service_tbt_ms":72,"service_ttft_ms":699,"service_ttlt_ms":3566,"total_duration_ms":3376,"user_visible_ttft_ms":500},"prompt_tokens":914,"prompt_tokens_details":{"audio_tokens":0,"cached_tokens":0},"total_tokens":954}}</t>
        </is>
      </c>
      <c r="M10" t="inlineStr">
        <is>
          <t>{"alt-svc":"h3=\":443\"; ma=2592000","apim-request-id":"afe218dd-7ce2-4314-8a5c-77789e9a7f06","azureml-model-session":"d20260501050840-f4f9d8ac","connection":"close","content-length":"1654","content-type":"application/json","date":"Thu, 07 May 2026 08:25:35 GMT","server":"Caddy","skip-error-remapping":"true","strict-transport-security":"max-age=31536000; includeSubDomains; preload","x-accel-buffering":"no","x-content-type-options":"nosniff","x-ms-client-request-id":"Not-Set","x-ms-is-spilled-over":"false","x-ms-rai-invoked":"true","x-ms-region":"East US","x-new-api-version":"v1.0.0-rc.4","x-oneapi-request-id":"202605070825291398343658268d9d6BFiCMUIh","x-ratelimit-abusepenalty-active":"False","x-ratelimit-key":"gpt-5-chat-global","x-ratelimit-limit-requests":"1000","x-ratelimit-limit-tokens":"1000000","x-ratelimit-remaining-requests":"999","x-ratelimit-remaining-tokens":"998324","x-ratelimit-renewalperiod-requests":"60","x-ratelimit-renewalperiod-tokens":"60","x-ratelimit-reset-requests":"0","x-ratelimit-reset-tokens":"0","x-request-id":"4d1129fe-c7bd-469c-b487-a32663627f51","x-shellapi-request-id":"202605071625298794179973489812"}</t>
        </is>
      </c>
      <c r="N10" t="inlineStr">
        <is>
          <t>GlassesAloAlo black square polarized sunglasses feature lightweight polymer frames, UV protection, anti-glare lenses, and a sleek urban sporty design for men and women, perfect for daily wear.</t>
        </is>
      </c>
      <c r="O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Glasses,kakobuy,kakebuy2026,kekobuysheet,kakobuysheet2026,2026kakobuy,kakobuyspreadsheeet,kakobuylink,kakebuylist,Kakobuy MEGA Spreadsheet,kakobuysheetfind,kakobuysheetfind2026,2026kakobuysheetfind,kakobuysheet2026","refusal":null,"role":"assistant"}}],"created":1778143646,"id":"chatcmpl-DcogAR6aQVX7t4luw80AP2GQAA9M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16,"engine_ttft_ms":942,"engine_ttlt_ms":2378,"pre_inference_ms":148,"service_tbt_ms":16,"service_ttft_ms":1749,"service_ttlt_ms":3184,"total_duration_ms":3044,"user_visible_ttft_ms":1601},"prompt_tokens":783,"prompt_tokens_details":{"audio_tokens":0,"cached_tokens":0},"total_tokens":871}}</t>
        </is>
      </c>
      <c r="P10" t="inlineStr">
        <is>
          <t>Alo,Glasses,kakobuy,kakebuy2026,kekobuysheet,kakobuysheet2026,2026kakobuy,kakobuyspreadsheeet,kakobuylink,kakebuylist,Kakobuy MEGA Spreadsheet,kakobuysheetfind,kakobuysheetfind2026,2026kakobuysheetfind,kakobuysheet2026</t>
        </is>
      </c>
      <c r="Q10"/>
      <c r="R10" t="inlineStr">
        <is>
          <t>recvhju1CrhxXM</t>
        </is>
      </c>
      <c r="S10" t="inlineStr">
        <is>
          <t>glassesalo-black-square-polarized-uv400-recvhju1crhxxm</t>
        </is>
      </c>
      <c r="T10"/>
      <c r="U10"/>
      <c r="V10"/>
      <c r="W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黑色方框偏光太阳镜，选用轻质高分子材质打造，镜框线条利落硬朗，镜片防紫外线高效防眩光，展现极简都市运动风格，男女皆宜，适合日常通勤与休闲穿搭，突显现代时尚态度。","refusal":null,"role":"assistant"}}],"created":1778140336,"id":"chatcmpl-Dcnomscxwfcf47O4p3mB5YU1MQxV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79,"completion_tokens_details":{"accepted_prediction_tokens":0,"audio_tokens":0,"reasoning_tokens":0,"rejected_prediction_tokens":0},"latency_checkpoint":{"engine_tbt_ms":123,"engine_ttft_ms":2551,"engine_ttlt_ms":12271,"pre_inference_ms":132,"service_tbt_ms":123,"service_ttft_ms":3689,"service_ttlt_ms":13409,"total_duration_ms":13289,"user_visible_ttft_ms":3557},"prompt_tokens":1302,"prompt_tokens_details":{"audio_tokens":0,"cached_tokens":0},"total_tokens":1381}}</t>
        </is>
      </c>
      <c r="X10" t="inlineStr">
        <is>
          <t>Alo：黑色方框偏光太阳镜，选用轻质高分子材质打造，镜框线条利落硬朗，镜片防紫外线高效防眩光，展现极简都市运动风格，男女皆宜，适合日常通勤与休闲穿搭，突显现代时尚态度。</t>
        </is>
      </c>
    </row>
    <row r="11" ht="25.5" customHeight="1">
      <c r="A11">
        <v>1654975475</v>
      </c>
      <c r="B11">
        <v>7624171673</v>
      </c>
      <c r="C11" s="2" t="str">
        <f>=HYPERLINK("https://weidian.com/item.html?itemID=7624171673", "https://weidian.com/item.html?itemID=7624171673")</f>
        <v>https://weidian.com/item.html?itemID=7624171673</v>
      </c>
      <c r="D11"/>
      <c r="E11" s="2" t="str">
        <f>=HYPERLINK("https://si.geilicdn.com/pcitem902014207253-60ed0000019ae74b9abd0a239646_1440_1920.jpg?w=640&amp;h=640", "https://si.geilicdn.com/pcitem902014207253-60ed0000019ae74b9abd0a239646_1440_1920.jpg?w=640&amp;h=640")</f>
        <v>https://si.geilicdn.com/pcitem902014207253-60ed0000019ae74b9abd0a239646_1440_1920.jpg?w=640&amp;h=640</v>
      </c>
      <c r="F11" t="inlineStr">
        <is>
          <t>Glasses</t>
        </is>
      </c>
      <c r="G11" t="inlineStr">
        <is>
          <t>Gucci</t>
        </is>
      </c>
      <c r="H11">
        <v>370</v>
      </c>
      <c r="I11">
        <v>53.62</v>
      </c>
      <c r="J1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Retro Brown Square Metal Gradient Sunglasses","refusal":null,"role":"assistant"}}],"created":1778142928,"id":"chatcmpl-DcoUa9a52rjs3Z5KWfwKYNAIFT6m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122,"engine_ttft_ms":1522,"engine_ttlt_ms":2742,"pre_inference_ms":166,"service_tbt_ms":129,"service_ttft_ms":2799,"service_ttlt_ms":4063,"total_duration_ms":3922,"user_visible_ttft_ms":2632},"prompt_tokens":872,"prompt_tokens_details":{"audio_tokens":0,"cached_tokens":0},"total_tokens":882}}</t>
        </is>
      </c>
      <c r="K11" t="inlineStr">
        <is>
          <t>Gucci Retro Brown Square Metal Gradient Sunglasses</t>
        </is>
      </c>
      <c r="L1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Retro Brown Square Sunglasses – lightweight metal frame with gradient lenses, unisex design for men and women, blending Italian luxury and urban elegance in one timeless accessory.","refusal":null,"role":"assistant"}}],"created":1778142071,"id":"chatcmpl-DcoGlG0c3e7jZUVZvVpyiJvD6n7B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35,"completion_tokens_details":{"accepted_prediction_tokens":0,"audio_tokens":0,"reasoning_tokens":0,"rejected_prediction_tokens":0},"latency_checkpoint":{"engine_tbt_ms":17,"engine_ttft_ms":343,"engine_ttlt_ms":923,"pre_inference_ms":116,"service_tbt_ms":17,"service_ttft_ms":1115,"service_ttlt_ms":1694,"total_duration_ms":1585,"user_visible_ttft_ms":998},"prompt_tokens":900,"prompt_tokens_details":{"audio_tokens":0,"cached_tokens":0},"total_tokens":935}}</t>
        </is>
      </c>
      <c r="M11" t="inlineStr">
        <is>
          <t>{"alt-svc":"h3=\":443\"; ma=2592000","apim-request-id":"49138d43-1eea-4c9f-9da8-106c383336fb","azureml-model-session":"d20260428205641-55ca9797","connection":"close","content-length":"1650","content-type":"application/json","date":"Thu, 07 May 2026 08:21:11 GMT","server":"Caddy","skip-error-remapping":"true","strict-transport-security":"max-age=31536000; includeSubDomains; preload","x-accel-buffering":"no","x-content-type-options":"nosniff","x-ms-client-request-id":"Not-Set","x-ms-is-spilled-over":"false","x-ms-rai-invoked":"true","x-ms-region":"Switzerland West","x-new-api-version":"v1.0.0-rc.4","x-oneapi-request-id":"20260507082110745407878268d9d69sO4ZnyD","x-ratelimit-abusepenalty-active":"False","x-ratelimit-key":"gpt-5-chat-global","x-ratelimit-limit-requests":"1000","x-ratelimit-limit-tokens":"1000000","x-ratelimit-remaining-requests":"999","x-ratelimit-remaining-tokens":"998338","x-ratelimit-renewalperiod-requests":"60","x-ratelimit-renewalperiod-tokens":"60","x-ratelimit-reset-requests":"0","x-ratelimit-reset-tokens":"0","x-request-id":"3b82b713-c93b-461b-8d0d-be884591a57d","x-shellapi-request-id":"2026050716210984316265213964434"}</t>
        </is>
      </c>
      <c r="N11" t="inlineStr">
        <is>
          <t>Gucci Retro Brown Square Sunglasses – lightweight metal frame with gradient lenses, unisex design for men and women, blending Italian luxury and urban elegance in one timeless accessory.</t>
        </is>
      </c>
      <c r="O1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Glasses,kakobuy,kakebuy2026,kekobuysheet,kakobuysheet2026,2026kakobuy,kakobuyspreadsheeet,kakobuylink,kakebuylist,Kakobuy MEGA Spreadsheet,kakobuysheetfind,kakobuysheetfind2026,2026kakobuysheetfind,kakobuysheet2026","refusal":null,"role":"assistant"}}],"created":1778143712,"id":"chatcmpl-DcohERHrN3eRycCXEiv42ZwM1sVj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74,"engine_ttft_ms":1332,"engine_ttlt_ms":7818,"pre_inference_ms":134,"service_tbt_ms":74,"service_ttft_ms":2311,"service_ttlt_ms":8796,"total_duration_ms":8670,"user_visible_ttft_ms":2176},"prompt_tokens":783,"prompt_tokens_details":{"audio_tokens":0,"cached_tokens":0},"total_tokens":871}}</t>
        </is>
      </c>
      <c r="P11" t="inlineStr">
        <is>
          <t>Gucci,Glasses,kakobuy,kakebuy2026,kekobuysheet,kakobuysheet2026,2026kakobuy,kakobuyspreadsheeet,kakobuylink,kakebuylist,Kakobuy MEGA Spreadsheet,kakobuysheetfind,kakobuysheetfind2026,2026kakobuysheetfind,kakobuysheet2026</t>
        </is>
      </c>
      <c r="Q11" t="inlineStr">
        <is>
          <t>Retro, Brown, Gradient, Unisex, Lightweight</t>
        </is>
      </c>
      <c r="R11" t="inlineStr">
        <is>
          <t>recvhju1CrRmD3</t>
        </is>
      </c>
      <c r="S11" t="inlineStr">
        <is>
          <t>gucci-retro-brown-square-metal-gradient-sunglasses-recvhju1crrmd3</t>
        </is>
      </c>
      <c r="T11"/>
      <c r="U11"/>
      <c r="V11"/>
      <c r="W1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ucci：复古棕色方框太阳眼镜，轻盈金属镜架搭配渐变镜片设计，展现意式奢华美学。中性款式，适合男女佩戴，时尚与实用兼具，彰显都市优雅格调。","refusal":null,"role":"assistant"}}],"created":1778140215,"id":"chatcmpl-Dcnmp2GNycQg6xFTzpMPCVI2bwO3X","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66,"completion_tokens_details":{"accepted_prediction_tokens":0,"audio_tokens":0,"reasoning_tokens":0,"rejected_prediction_tokens":0},"latency_checkpoint":{"engine_tbt_ms":165,"engine_ttft_ms":1075,"engine_ttlt_ms":11944,"pre_inference_ms":186,"service_tbt_ms":165,"service_ttft_ms":1505,"service_ttlt_ms":12373,"total_duration_ms":12196,"user_visible_ttft_ms":1320},"prompt_tokens":1300,"prompt_tokens_details":{"audio_tokens":0,"cached_tokens":0},"total_tokens":1366}}</t>
        </is>
      </c>
      <c r="X11" t="inlineStr">
        <is>
          <t>Gucci：复古棕色方框太阳眼镜，轻盈金属镜架搭配渐变镜片设计，展现意式奢华美学。中性款式，适合男女佩戴，时尚与实用兼具，彰显都市优雅格调。</t>
        </is>
      </c>
    </row>
    <row r="12" ht="25.5" customHeight="1">
      <c r="A12">
        <v>1654975475</v>
      </c>
      <c r="B12">
        <v>7627145754</v>
      </c>
      <c r="C12" s="2" t="str">
        <f>=HYPERLINK("https://weidian.com/item.html?itemID=7627145754", "https://weidian.com/item.html?itemID=7627145754")</f>
        <v>https://weidian.com/item.html?itemID=7627145754</v>
      </c>
      <c r="D12"/>
      <c r="E12" s="2" t="str">
        <f>=HYPERLINK("https://si.geilicdn.com/pcitem902014207253-74750000019ae749d6a00a8133cc_1440_1920.jpg?w=640&amp;h=640", "https://si.geilicdn.com/pcitem902014207253-74750000019ae749d6a00a8133cc_1440_1920.jpg?w=640&amp;h=640")</f>
        <v>https://si.geilicdn.com/pcitem902014207253-74750000019ae749d6a00a8133cc_1440_1920.jpg?w=640&amp;h=640</v>
      </c>
      <c r="F12" t="inlineStr">
        <is>
          <t>Accessories</t>
        </is>
      </c>
      <c r="G12" t="inlineStr">
        <is>
          <t>Issey Miyake</t>
        </is>
      </c>
      <c r="H12">
        <v>410</v>
      </c>
      <c r="I12">
        <v>59.42</v>
      </c>
      <c r="J1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Issey Miyake Bao Bao Gold Geometric Waist Bag","refusal":null,"role":"assistant"}}],"created":1778143021,"id":"chatcmpl-DcoW54NfDI01BUN2KDnSio88yLzH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16,"engine_ttft_ms":387,"engine_ttlt_ms":574,"pre_inference_ms":126,"service_tbt_ms":16,"service_ttft_ms":1322,"service_ttlt_ms":1508,"total_duration_ms":1390,"user_visible_ttft_ms":1196},"prompt_tokens":883,"prompt_tokens_details":{"audio_tokens":0,"cached_tokens":0},"total_tokens":895}}</t>
        </is>
      </c>
      <c r="K12" t="inlineStr">
        <is>
          <t>Issey Miyake Bao Bao Gold Geometric Waist Bag</t>
        </is>
      </c>
      <c r="L1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Issey Miyake BAO BAO gold geometric waist bag, made of glossy PVC with 3D triangle design, lightweight, waterproof, unisex, blending futuristic aesthetics and functional modern style.","refusal":null,"role":"assistant"}}],"created":1778142147,"id":"chatcmpl-DcoHzBahmCATrkpLPs0c706XOsaK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71,"engine_ttft_ms":1609,"engine_ttlt_ms":4438,"pre_inference_ms":157,"service_tbt_ms":71,"service_ttft_ms":2239,"service_ttlt_ms":5068,"total_duration_ms":4925,"user_visible_ttft_ms":2082},"prompt_tokens":899,"prompt_tokens_details":{"audio_tokens":0,"cached_tokens":0},"total_tokens":939}}</t>
        </is>
      </c>
      <c r="M12" t="inlineStr">
        <is>
          <t>{"alt-svc":"h3=\":443\"; ma=2592000","apim-request-id":"fe7af45f-c042-4e6a-8521-3500b4409fb3","azureml-model-session":"d20260501050840-08dc6769","connection":"close","content-length":"1648","content-type":"application/json","date":"Thu, 07 May 2026 08:22:32 GMT","skip-error-remapping":"true","strict-transport-security":"max-age=31536000; includeSubDomains; preload","via":"1.1 Caddy","x-accel-buffering":"no","x-content-type-options":"nosniff","x-ms-client-request-id":"Not-Set","x-ms-is-spilled-over":"false","x-ms-rai-invoked":"true","x-ms-region":"Australia East","x-new-api-version":"v1.0.0-rc.4","x-oneapi-request-id":"202605070822264702532908268d9d6IoX673eS","x-ratelimit-abusepenalty-active":"False","x-ratelimit-key":"gpt-5-chat-global","x-ratelimit-limit-requests":"1000","x-ratelimit-limit-tokens":"1000000","x-ratelimit-remaining-requests":"999","x-ratelimit-remaining-tokens":"998339","x-ratelimit-renewalperiod-requests":"60","x-ratelimit-renewalperiod-tokens":"60","x-ratelimit-reset-requests":"0","x-ratelimit-reset-tokens":"0","x-request-id":"6ea3cd3a-2424-4ca7-99d3-831176bfbace","x-shellapi-request-id":"2026050716222641208227160047534"}</t>
        </is>
      </c>
      <c r="N12" t="inlineStr">
        <is>
          <t>Issey Miyake BAO BAO gold geometric waist bag, made of glossy PVC with 3D triangle design, lightweight, waterproof, unisex, blending futuristic aesthetics and functional modern style.</t>
        </is>
      </c>
      <c r="O1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Issey Miyake, Accessories, kakobuy, kakebuy2026, kekobuysheet, kakobuysheet2026, 2026kakobuy, kakobuyspreadsheeet, kakobuylink, kakebuylist, Kakobuy MEGA Spreadsheet, kakobuysheetfind, kakobuysheetfind2026, 2026kakobuysheetfind, kakobuysheet2026","refusal":null,"role":"assistant"}}],"created":1778143591,"id":"chatcmpl-DcofH4twGMh7LQNC8sU0LePhkS2io","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93,"completion_tokens_details":{"accepted_prediction_tokens":0,"audio_tokens":0,"reasoning_tokens":0,"rejected_prediction_tokens":0},"latency_checkpoint":{"engine_tbt_ms":71,"engine_ttft_ms":315,"engine_ttlt_ms":6956,"pre_inference_ms":198,"service_tbt_ms":72,"service_ttft_ms":594,"service_ttlt_ms":7234,"total_duration_ms":7047,"user_visible_ttft_ms":397},"prompt_tokens":784,"prompt_tokens_details":{"audio_tokens":0,"cached_tokens":0},"total_tokens":877}}</t>
        </is>
      </c>
      <c r="P12" t="inlineStr">
        <is>
          <t>Issey Miyake, Accessories, kakobuy, kakebuy2026, kekobuysheet, kakobuysheet2026, 2026kakobuy, kakobuyspreadsheeet, kakobuylink, kakebuylist, Kakobuy MEGA Spreadsheet, kakobuysheetfind, kakobuysheetfind2026, 2026kakobuysheetfind, kakobuysheet2026</t>
        </is>
      </c>
      <c r="Q12" t="inlineStr">
        <is>
          <t>Gold, Geometric, Lightweight, Waterproof, Unisex</t>
        </is>
      </c>
      <c r="R12" t="inlineStr">
        <is>
          <t>recvhju1CrP24k</t>
        </is>
      </c>
      <c r="S12" t="inlineStr">
        <is>
          <t>issey-miyake-bao-bao-gold-geometric-waist-bag-recvhju1crp24k</t>
        </is>
      </c>
      <c r="T12"/>
      <c r="U12"/>
      <c r="V12"/>
      <c r="W12" t="inlineStr">
        <is>
          <t>{"id":"chatcmpl-Dcnq3E8fhGnTAk91ooK0m0huOPBfB","object":"chat.completion","created":1778140415,"model":"gpt-5-chat-latest","choices":[{"index":0,"message":{"role":"assistant","content":"Issey Miyake：BAO BAO系列金色几何拼接腰包，采用光感PVC材质与立体三角设计，现代未来风格，轻盈防水实用，男女皆宜，展现先锋美学与功能平衡的时尚单品。","refusal":null,"annotations":[]},"logprobs":null,"finish_reason":"stop"}],"usage":{"prompt_tokens":1303,"completion_tokens":64,"total_tokens":1367,"prompt_tokens_details":{"cached_tokens":0,"audio_tokens":0},"completion_tokens_details":{"reasoning_tokens":0,"audio_tokens":0,"accepted_prediction_tokens":0,"rejected_prediction_tokens":0},"latency_checkpoint":{"service_ttft_ms":1868,"user_visible_ttft_ms":1694,"total_duration_ms":9260,"pre_inference_ms":174,"service_tbt_ms":118,"service_ttlt_ms":9421,"engine_ttft_ms":1154,"engine_ttlt_ms":8708,"engine_tbt_ms":118}},"service_tier":"default","system_fingerprint":"fp_fd471178c5"}</t>
        </is>
      </c>
      <c r="X12" t="inlineStr">
        <is>
          <t>Issey Miyake：BAO BAO系列金色几何拼接腰包，采用光感PVC材质与立体三角设计，现代未来风格，轻盈防水实用，男女皆宜，展现先锋美学与功能平衡的时尚单品。</t>
        </is>
      </c>
    </row>
    <row r="13" ht="25.5" customHeight="1">
      <c r="A13">
        <v>1654975475</v>
      </c>
      <c r="B13">
        <v>7626898274</v>
      </c>
      <c r="C13" s="2" t="str">
        <f>=HYPERLINK("https://weidian.com/item.html?itemID=7626898274", "https://weidian.com/item.html?itemID=7626898274")</f>
        <v>https://weidian.com/item.html?itemID=7626898274</v>
      </c>
      <c r="D13"/>
      <c r="E13" s="2" t="str">
        <f>=HYPERLINK("https://si.geilicdn.com/pcitem2014204438-018f0000019ae4a2008a0a2315ef_800_800.jpg?w=640&amp;h=640", "https://si.geilicdn.com/pcitem2014204438-018f0000019ae4a2008a0a2315ef_800_800.jpg?w=640&amp;h=640")</f>
        <v>https://si.geilicdn.com/pcitem2014204438-018f0000019ae4a2008a0a2315ef_800_800.jpg?w=640&amp;h=640</v>
      </c>
      <c r="F13" t="inlineStr">
        <is>
          <t>Accessories</t>
        </is>
      </c>
      <c r="G13" t="inlineStr">
        <is>
          <t>The North Face</t>
        </is>
      </c>
      <c r="H13">
        <v>250</v>
      </c>
      <c r="I13">
        <v>36.23</v>
      </c>
      <c r="J1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Black Waterproof Nylon Crossbody Bag","refusal":null,"role":"assistant"}}],"created":1778143035,"id":"chatcmpl-DcoWJQVpOjuzvics0XHTa2RmvKpQ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66,"engine_ttft_ms":1078,"engine_ttlt_ms":1736,"pre_inference_ms":227,"service_tbt_ms":67,"service_ttft_ms":2378,"service_ttlt_ms":3034,"total_duration_ms":2818,"user_visible_ttft_ms":2151},"prompt_tokens":884,"prompt_tokens_details":{"audio_tokens":0,"cached_tokens":0},"total_tokens":894}}</t>
        </is>
      </c>
      <c r="K13" t="inlineStr">
        <is>
          <t>The North Face Black Waterproof Nylon Crossbody Bag</t>
        </is>
      </c>
      <c r="L1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Black Crossbody Travel Bag, made of waterproof nylon, lightweight and durable. Features a cylindrical design, adjustable strap, and white logo. Perfect for commute, gym, or short trips.","refusal":null,"role":"assistant"}}],"created":1778142004,"id":"chatcmpl-DcoFgNjFxneVprqRTrSOGkqYN06x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76,"engine_ttft_ms":306,"engine_ttlt_ms":3423,"pre_inference_ms":140,"service_tbt_ms":76,"service_ttft_ms":515,"service_ttlt_ms":3632,"total_duration_ms":3499,"user_visible_ttft_ms":375},"prompt_tokens":912,"prompt_tokens_details":{"audio_tokens":0,"cached_tokens":0},"total_tokens":953}}</t>
        </is>
      </c>
      <c r="M13" t="inlineStr">
        <is>
          <t>{"alt-svc":"h3=\":443\"; ma=2592000","apim-request-id":"340c7229-5e9f-4259-87f0-286f0ac43e14","azureml-model-session":"d20260501060506-201eb233","connection":"close","content-length":"1662","content-type":"application/json","date":"Thu, 07 May 2026 08:20:07 GMT","server":"Caddy","skip-error-remapping":"true","strict-transport-security":"max-age=31536000; includeSubDomains; preload","x-accel-buffering":"no","x-content-type-options":"nosniff","x-ms-client-request-id":"Not-Set","x-ms-is-spilled-over":"false","x-ms-rai-invoked":"true","x-ms-region":"East US 2","x-new-api-version":"v1.0.0-rc.4","x-oneapi-request-id":"202605070820012349417088268d9d6yNAWhFo1","x-ratelimit-abusepenalty-active":"False","x-ratelimit-key":"gpt-5-chat-global","x-ratelimit-limit-requests":"1000","x-ratelimit-limit-tokens":"1000000","x-ratelimit-remaining-requests":"999","x-ratelimit-remaining-tokens":"998326","x-ratelimit-renewalperiod-requests":"60","x-ratelimit-renewalperiod-tokens":"60","x-ratelimit-reset-requests":"0","x-ratelimit-reset-tokens":"0","x-request-id":"d3e3a357-299c-4ee8-86ce-d71122704ade","x-shellapi-request-id":"2026050716200117715537025008331"}</t>
        </is>
      </c>
      <c r="N13" t="inlineStr">
        <is>
          <t>The North Face Black Crossbody Travel Bag, made of waterproof nylon, lightweight and durable. Features a cylindrical design, adjustable strap, and white logo. Perfect for commute, gym, or short trips.</t>
        </is>
      </c>
      <c r="O1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Accessories, kakobuy, kakebuy2026, kekobuysheet, kakobuysheet2026, 2026kakobuy, kakobuyspreadsheeet, kakobuylink, kakebuylist, Kakobuy MEGA Spreadsheet, kakobuysheetfind, kakobuysheetfind2026, 2026kakobuysheetfind, kakobuysheet2026","refusal":null,"role":"assistant"}}],"created":1778143676,"id":"chatcmpl-DcogednFBGF2VSkA9aOtUcnEKxinJ","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76,"engine_ttft_ms":258,"engine_ttlt_ms":7215,"pre_inference_ms":196,"service_tbt_ms":76,"service_ttft_ms":545,"service_ttlt_ms":7483,"total_duration_ms":7295,"user_visible_ttft_ms":349},"prompt_tokens":783,"prompt_tokens_details":{"audio_tokens":0,"cached_tokens":0},"total_tokens":875}}</t>
        </is>
      </c>
      <c r="P13" t="inlineStr">
        <is>
          <t>The North Face, Accessories, kakobuy, kakebuy2026, kekobuysheet, kakobuysheet2026, 2026kakobuy, kakobuyspreadsheeet, kakobuylink, kakebuylist, Kakobuy MEGA Spreadsheet, kakobuysheetfind, kakobuysheetfind2026, 2026kakobuysheetfind, kakobuysheet2026</t>
        </is>
      </c>
      <c r="Q13"/>
      <c r="R13" t="inlineStr">
        <is>
          <t>recvhju1Cr42r3</t>
        </is>
      </c>
      <c r="S13" t="inlineStr">
        <is>
          <t>the-north-face-black-waterproof-nylon-crossbody-recvhju1cr42r3</t>
        </is>
      </c>
      <c r="T13"/>
      <c r="U13"/>
      <c r="V13"/>
      <c r="W13" t="inlineStr">
        <is>
          <t>{"id":"chatcmpl-DcnjsPQsls2JkH3RkNX2YzsdIy4ft","object":"chat.completion","created":1778140032,"model":"gpt-5-chat-latest","choices":[{"index":0,"message":{"role":"assistant","content":"The North Face 黑色休闲旅行斜挎包，采用防水尼龙面料，轻盈耐磨。简约圆筒造型配可调节肩带，正面印白色品牌Logo，兼具都市机能与户外风格。男女皆宜，适合通勤、健身及短途出行。","refusal":null,"annotations":[]},"logprobs":null,"finish_reason":"stop"}],"usage":{"prompt_tokens":1301,"completion_tokens":78,"total_tokens":1379,"prompt_tokens_details":{"cached_tokens":0,"audio_tokens":0},"completion_tokens_details":{"reasoning_tokens":0,"audio_tokens":0,"accepted_prediction_tokens":0,"rejected_prediction_tokens":0},"latency_checkpoint":{"service_ttft_ms":1391,"user_visible_ttft_ms":1273,"total_duration_ms":14104,"pre_inference_ms":119,"service_tbt_ms":165,"service_ttlt_ms":14213,"engine_ttft_ms":1034,"engine_ttlt_ms":13857,"engine_tbt_ms":164}},"service_tier":"default","system_fingerprint":"fp_fd471178c5"}</t>
        </is>
      </c>
      <c r="X13" t="inlineStr">
        <is>
          <t>The North Face 黑色休闲旅行斜挎包，采用防水尼龙面料，轻盈耐磨。简约圆筒造型配可调节肩带，正面印白色品牌Logo，兼具都市机能与户外风格。男女皆宜，适合通勤、健身及短途出行。</t>
        </is>
      </c>
    </row>
    <row r="14" ht="25.5" customHeight="1">
      <c r="A14">
        <v>1654975475</v>
      </c>
      <c r="B14">
        <v>7626886688</v>
      </c>
      <c r="C14" s="2" t="str">
        <f>=HYPERLINK("https://weidian.com/item.html?itemID=7626886688", "https://weidian.com/item.html?itemID=7626886688")</f>
        <v>https://weidian.com/item.html?itemID=7626886688</v>
      </c>
      <c r="D14"/>
      <c r="E14" s="2" t="str">
        <f>=HYPERLINK("https://si.geilicdn.com/pcitem2014204438-78d10000019ae49cc2ef0a23057e_1440_1920.jpg?w=640&amp;h=640", "https://si.geilicdn.com/pcitem2014204438-78d10000019ae49cc2ef0a23057e_1440_1920.jpg?w=640&amp;h=640")</f>
        <v>https://si.geilicdn.com/pcitem2014204438-78d10000019ae49cc2ef0a23057e_1440_1920.jpg?w=640&amp;h=640</v>
      </c>
      <c r="F14" t="inlineStr">
        <is>
          <t>Accessories</t>
        </is>
      </c>
      <c r="G14" t="inlineStr">
        <is>
          <t>Issey Miyake</t>
        </is>
      </c>
      <c r="H14">
        <v>370</v>
      </c>
      <c r="I14">
        <v>53.62</v>
      </c>
      <c r="J1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Issey Miyake BaoBao Purple Grey Geometric Backpack","refusal":null,"role":"assistant"}}],"created":1778143032,"id":"chatcmpl-DcoWGBuFmegX7CXqpV6c2aFzx6iRI","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17,"engine_ttft_ms":412,"engine_ttlt_ms":621,"pre_inference_ms":188,"service_tbt_ms":18,"service_ttft_ms":715,"service_ttlt_ms":919,"total_duration_ms":738,"user_visible_ttft_ms":526},"prompt_tokens":885,"prompt_tokens_details":{"audio_tokens":0,"cached_tokens":0},"total_tokens":897}}</t>
        </is>
      </c>
      <c r="K14" t="inlineStr">
        <is>
          <t>Issey Miyake BaoBao Purple Grey Geometric Backpack</t>
        </is>
      </c>
      <c r="L1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Issey Miyake BAOBAO Backpack in Purple-Grey geometric design, eco-friendly high-tensile material, futuristic shine, lightweight, durable, and practical for modern unisex urban style.","refusal":null,"role":"assistant"}}],"created":1778142119,"id":"chatcmpl-DcoHXvXl0j1ygvsRBRJIufF999Iou","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17,"engine_ttft_ms":389,"engine_ttlt_ms":1096,"pre_inference_ms":165,"service_tbt_ms":17,"service_ttft_ms":827,"service_ttlt_ms":1533,"total_duration_ms":1376,"user_visible_ttft_ms":662},"prompt_tokens":906,"prompt_tokens_details":{"audio_tokens":0,"cached_tokens":0},"total_tokens":947}}</t>
        </is>
      </c>
      <c r="M14" t="inlineStr">
        <is>
          <t>{"alt-svc":"h3=\":443\"; ma=2592000","apim-request-id":"deb841c4-7c15-49c8-8bf5-e3dd362be063","azureml-model-session":"d20260428165144-a78ba574","connection":"close","content-length":"1644","content-type":"application/json","date":"Thu, 07 May 2026 08:22:01 GMT","server":"Caddy","skip-error-remapping":"true","strict-transport-security":"max-age=31536000; includeSubDomains; preload","x-accel-buffering":"no","x-content-type-options":"nosniff","x-ms-client-request-id":"Not-Set","x-ms-is-spilled-over":"false","x-ms-rai-invoked":"true","x-ms-region":"East US","x-new-api-version":"v1.0.0-rc.4","x-oneapi-request-id":"202605070821579164701508268d9d6kZFthfOw","x-ratelimit-abusepenalty-active":"False","x-ratelimit-key":"gpt-5-chat-global","x-ratelimit-limit-requests":"1000","x-ratelimit-limit-tokens":"1000000","x-ratelimit-remaining-requests":"999","x-ratelimit-remaining-tokens":"998332","x-ratelimit-renewalperiod-requests":"60","x-ratelimit-renewalperiod-tokens":"60","x-ratelimit-reset-requests":"0","x-ratelimit-reset-tokens":"0","x-request-id":"d5841391-1076-4ac2-906e-01a9b7c609f6","x-shellapi-request-id":"2026050716215786442811463598502"}</t>
        </is>
      </c>
      <c r="N14" t="inlineStr">
        <is>
          <t>Issey Miyake BAOBAO Backpack in Purple-Grey geometric design, eco-friendly high-tensile material, futuristic shine, lightweight, durable, and practical for modern unisex urban style.</t>
        </is>
      </c>
      <c r="O1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Issey Miyake, Backpack, kakobuy, kakebuy2026, kekobuysheet, kakobuysheet2026, 2026kakobuy, kakobuyspreadsheet, kakobuylink, kakebuylist, Kakobuy MEGA Spreadsheet, kakobuysheetfind, kakobuysheetfind2026, 2026kakobuysheetfind, kakobuysheet2026","refusal":null,"role":"assistant"}}],"created":1778143533,"id":"chatcmpl-DcoeL2fnP1d6uKvwTUpcj4WXnQNM4","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91,"completion_tokens_details":{"accepted_prediction_tokens":0,"audio_tokens":0,"reasoning_tokens":0,"rejected_prediction_tokens":0},"latency_checkpoint":{"engine_tbt_ms":20,"engine_ttft_ms":527,"engine_ttlt_ms":2375,"pre_inference_ms":203,"service_tbt_ms":20,"service_ttft_ms":918,"service_ttlt_ms":2765,"total_duration_ms":2572,"user_visible_ttft_ms":715},"prompt_tokens":784,"prompt_tokens_details":{"audio_tokens":0,"cached_tokens":0},"total_tokens":875}}</t>
        </is>
      </c>
      <c r="P14" t="inlineStr">
        <is>
          <t>Issey Miyake, Backpack, kakobuy, kakebuy2026, kekobuysheet, kakobuysheet2026, 2026kakobuy, kakobuyspreadsheet, kakobuylink, kakebuylist, Kakobuy MEGA Spreadsheet, kakobuysheetfind, kakobuysheetfind2026, 2026kakobuysheetfind, kakobuysheet2026</t>
        </is>
      </c>
      <c r="Q14" t="inlineStr">
        <is>
          <t>Backpack, Purple, Grey, Geometric, Lightweight, Unisex</t>
        </is>
      </c>
      <c r="R14" t="inlineStr">
        <is>
          <t>recvhju1Cr0QNS</t>
        </is>
      </c>
      <c r="S14" t="inlineStr">
        <is>
          <t>issey-miyake-baobao-purple-grey-geometric-backpack-recvhju1cr0qns</t>
        </is>
      </c>
      <c r="T14"/>
      <c r="U14"/>
      <c r="V14"/>
      <c r="W14" t="inlineStr">
        <is>
          <t>{"id":"chatcmpl-Dcno5Jq29DJIx4Toh2gPubEIoSmEk","object":"chat.completion","created":1778140293,"model":"gpt-5-chat-latest","choices":[{"index":0,"message":{"role":"assistant","content":"Issey Miyake：BAOBAO系列紫灰几何拼接双肩包，采用高韧性环保材质打造，折射立体光泽感，前卫未来主义设计，轻盈耐用兼具实用收纳功能，男女皆宜，展现现代都市时尚美学。","refusal":null,"annotations":[]},"logprobs":null,"finish_reason":"stop"}],"usage":{"prompt_tokens":1305,"completion_tokens":70,"total_tokens":1375,"prompt_tokens_details":{"cached_tokens":0,"audio_tokens":0},"completion_tokens_details":{"reasoning_tokens":0,"audio_tokens":0,"accepted_prediction_tokens":0,"rejected_prediction_tokens":0},"latency_checkpoint":{"service_ttft_ms":1477,"user_visible_ttft_ms":1311,"total_duration_ms":9792,"pre_inference_ms":165,"service_tbt_ms":121,"service_ttlt_ms":9947,"engine_ttft_ms":1078,"engine_ttlt_ms":9548,"engine_tbt_ms":121}},"service_tier":"default","system_fingerprint":"fp_fd471178c5"}</t>
        </is>
      </c>
      <c r="X14" t="inlineStr">
        <is>
          <t>Issey Miyake：BAOBAO系列紫灰几何拼接双肩包，采用高韧性环保材质打造，折射立体光泽感，前卫未来主义设计，轻盈耐用兼具实用收纳功能，男女皆宜，展现现代都市时尚美学。</t>
        </is>
      </c>
    </row>
    <row r="15" ht="25.5" customHeight="1">
      <c r="A15">
        <v>1654975475</v>
      </c>
      <c r="B15">
        <v>7626799400</v>
      </c>
      <c r="C15" s="2" t="str">
        <f>=HYPERLINK("https://weidian.com/item.html?itemID=7626799400", "https://weidian.com/item.html?itemID=7626799400")</f>
        <v>https://weidian.com/item.html?itemID=7626799400</v>
      </c>
      <c r="D15"/>
      <c r="E15" s="2" t="str">
        <f>=HYPERLINK("https://si.geilicdn.com/pcitem2014204438-6ec90000019ae49229ac0a2301b4_1440_1919.jpg?w=640&amp;h=640", "https://si.geilicdn.com/pcitem2014204438-6ec90000019ae49229ac0a2301b4_1440_1919.jpg?w=640&amp;h=640")</f>
        <v>https://si.geilicdn.com/pcitem2014204438-6ec90000019ae49229ac0a2301b4_1440_1919.jpg?w=640&amp;h=640</v>
      </c>
      <c r="F15" t="inlineStr">
        <is>
          <t>Accessories</t>
        </is>
      </c>
      <c r="G15" t="inlineStr">
        <is>
          <t>The North Face</t>
        </is>
      </c>
      <c r="H15">
        <v>310</v>
      </c>
      <c r="I15">
        <v>44.93</v>
      </c>
      <c r="J1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Black Waterproof Sling Bag","refusal":null,"role":"assistant"}}],"created":1778142817,"id":"chatcmpl-DcoSntiGjrp99NpGLzf6Z6dAGP4i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completion_tokens_details":{"accepted_prediction_tokens":0,"audio_tokens":0,"reasoning_tokens":0,"rejected_prediction_tokens":0},"latency_checkpoint":{"engine_tbt_ms":97,"engine_ttft_ms":1528,"engine_ttlt_ms":2301,"pre_inference_ms":142,"service_tbt_ms":118,"service_ttft_ms":2683,"service_ttlt_ms":3437,"total_duration_ms":3486,"user_visible_ttft_ms":2541},"prompt_tokens":864,"prompt_tokens_details":{"audio_tokens":0,"cached_tokens":0},"total_tokens":872}}</t>
        </is>
      </c>
      <c r="K15" t="inlineStr">
        <is>
          <t>The North Face Black Waterproof Sling Bag</t>
        </is>
      </c>
      <c r="L1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Sling Bag – durable waterproof crossbody backpack for travel, hiking, and daily use; stylish black design with multiple pockets for organized storage.","refusal":null,"role":"assistant"}}],"created":1778142164,"id":"chatcmpl-DcoIGmazRXYcBzGmYd0LhzKqyQr5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31,"completion_tokens_details":{"accepted_prediction_tokens":0,"audio_tokens":0,"reasoning_tokens":0,"rejected_prediction_tokens":0},"latency_checkpoint":{"engine_tbt_ms":75,"engine_ttft_ms":710,"engine_ttlt_ms":3043,"pre_inference_ms":199,"service_tbt_ms":75,"service_ttft_ms":1159,"service_ttlt_ms":3475,"total_duration_ms":3284,"user_visible_ttft_ms":960},"prompt_tokens":837,"prompt_tokens_details":{"audio_tokens":0,"cached_tokens":0},"total_tokens":868}}</t>
        </is>
      </c>
      <c r="M15" t="inlineStr">
        <is>
          <t>{"alt-svc":"h3=\":443\"; ma=2592000","apim-request-id":"6af75fe8-94c9-44f7-9ec3-1d8399754c25","azureml-model-session":"d20260501041445-2c187743","connection":"close","content-length":"1630","content-type":"application/json","date":"Thu, 07 May 2026 08:22:46 GMT","skip-error-remapping":"true","strict-transport-security":"max-age=31536000; includeSubDomains; preload","via":"1.1 Caddy","x-accel-buffering":"no","x-content-type-options":"nosniff","x-ms-client-request-id":"Not-Set","x-ms-is-spilled-over":"false","x-ms-rai-invoked":"true","x-ms-region":"Switzerland West","x-new-api-version":"v1.0.0-rc.4","x-oneapi-request-id":"202605070822432514525718268d9d6RpzKsL09","x-ratelimit-abusepenalty-active":"False","x-ratelimit-key":"gpt-5-chat-global","x-ratelimit-limit-requests":"1000","x-ratelimit-limit-tokens":"1000000","x-ratelimit-remaining-requests":"998","x-ratelimit-remaining-tokens":"995707","x-ratelimit-renewalperiod-requests":"60","x-ratelimit-renewalperiod-tokens":"60","x-ratelimit-reset-requests":"0","x-ratelimit-reset-tokens":"0","x-request-id":"da376005-acd0-43cf-ae4f-1bd91aa97107","x-shellapi-request-id":"2026050716224319957609909699641"}</t>
        </is>
      </c>
      <c r="N15" t="inlineStr">
        <is>
          <t>The North Face Sling Bag – durable waterproof crossbody backpack for travel, hiking, and daily use; stylish black design with multiple pockets for organized storage.</t>
        </is>
      </c>
      <c r="O1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Accessories, kakobuy, kakebuy2026, kekobuysheet, kakobuysheet2026, 2026kakobuy, kakobuyspreadsheeet, kakobuylink, kakebuylist, Kakobuy MEGA Spreadsheet, kakobuysheetfind, kakobuysheetfind2026, 2026kakobuysheetfind, kakobuysheet2026","refusal":null,"role":"assistant"}}],"created":1778143565,"id":"chatcmpl-DcoerVB7Re9i0czkJXo5P0O6aQF2o","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91,"engine_ttft_ms":762,"engine_ttlt_ms":9094,"pre_inference_ms":175,"service_tbt_ms":91,"service_ttft_ms":1645,"service_ttlt_ms":9972,"total_duration_ms":9808,"user_visible_ttft_ms":1470},"prompt_tokens":783,"prompt_tokens_details":{"audio_tokens":0,"cached_tokens":0},"total_tokens":875}}</t>
        </is>
      </c>
      <c r="P15" t="inlineStr">
        <is>
          <t>The North Face, Accessories, kakobuy, kakebuy2026, kekobuysheet, kakobuysheet2026, 2026kakobuy, kakobuyspreadsheeet, kakobuylink, kakebuylist, Kakobuy MEGA Spreadsheet, kakobuysheetfind, kakobuysheetfind2026, 2026kakobuysheetfind, kakobuysheet2026</t>
        </is>
      </c>
      <c r="Q15" t="inlineStr">
        <is>
          <t>Backpack, Waterproof Shoes, Black, Outdoor, Unisex, All Seasons</t>
        </is>
      </c>
      <c r="R15" t="inlineStr">
        <is>
          <t>recvhju1CrYPW2</t>
        </is>
      </c>
      <c r="S15" t="inlineStr">
        <is>
          <t>the-north-face-black-waterproof-sling-recvhju1crypw2</t>
        </is>
      </c>
      <c r="T15"/>
      <c r="U15"/>
      <c r="V15"/>
      <c r="W15"/>
      <c r="X15"/>
    </row>
    <row r="16" ht="25.5" customHeight="1">
      <c r="A16">
        <v>1654975475</v>
      </c>
      <c r="B16">
        <v>7626852124</v>
      </c>
      <c r="C16" s="2" t="str">
        <f>=HYPERLINK("https://weidian.com/item.html?itemID=7626852124", "https://weidian.com/item.html?itemID=7626852124")</f>
        <v>https://weidian.com/item.html?itemID=7626852124</v>
      </c>
      <c r="D16"/>
      <c r="E16" s="2" t="str">
        <f>=HYPERLINK("https://si.geilicdn.com/pcitem2014204438-450e0000019ae48a05d30a20e2c5_1080_1615.jpg?w=640&amp;h=640", "https://si.geilicdn.com/pcitem2014204438-450e0000019ae48a05d30a20e2c5_1080_1615.jpg?w=640&amp;h=640")</f>
        <v>https://si.geilicdn.com/pcitem2014204438-450e0000019ae48a05d30a20e2c5_1080_1615.jpg?w=640&amp;h=640</v>
      </c>
      <c r="F16" t="inlineStr">
        <is>
          <t>Accessories</t>
        </is>
      </c>
      <c r="G16" t="inlineStr">
        <is>
          <t>Arc Teryx</t>
        </is>
      </c>
      <c r="H16">
        <v>256</v>
      </c>
      <c r="I16">
        <v>37.1</v>
      </c>
      <c r="J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Lago Cream Waterproof Nylon Crossbody Bag","refusal":null,"role":"assistant"}}],"created":1778142836,"id":"chatcmpl-DcoT6zytMcvmWQsHsr6zwCjeqFhg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17,"engine_ttft_ms":858,"engine_ttlt_ms":1060,"pre_inference_ms":131,"service_tbt_ms":17,"service_ttft_ms":1330,"service_ttlt_ms":1531,"total_duration_ms":1406,"user_visible_ttft_ms":1199},"prompt_tokens":877,"prompt_tokens_details":{"audio_tokens":0,"cached_tokens":0},"total_tokens":889}}</t>
        </is>
      </c>
      <c r="K16" t="inlineStr">
        <is>
          <t>Arc'teryx Lago Cream Waterproof Nylon Crossbody Bag</t>
        </is>
      </c>
      <c r="L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Lago Cream White Lightweight Waterproof Crossbody Bag, made of high-strength nylon with durable zippers and yellow trim. Minimalist style for urban commuting and outdoor adventures.","refusal":null,"role":"assistant"}}],"created":1778142049,"id":"chatcmpl-DcoGPTJ8QE3Fe12M283qlmpGZeQy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72,"engine_ttft_ms":1205,"engine_ttlt_ms":3861,"pre_inference_ms":142,"service_tbt_ms":72,"service_ttft_ms":1724,"service_ttlt_ms":4380,"total_duration_ms":4246,"user_visible_ttft_ms":1582},"prompt_tokens":923,"prompt_tokens_details":{"audio_tokens":0,"cached_tokens":0},"total_tokens":960}}</t>
        </is>
      </c>
      <c r="M16" t="inlineStr">
        <is>
          <t>{"alt-svc":"h3=\":443\"; ma=2592000","apim-request-id":"21bd27a0-760e-46b1-bb56-2f52603e378e","azureml-model-session":"d20260501060506-201eb233","connection":"close","content-length":"1656","content-type":"application/json","date":"Thu, 07 May 2026 08:20:52 GMT","skip-error-remapping":"true","strict-transport-security":"max-age=31536000; includeSubDomains; preload","via":"1.1 Caddy","x-accel-buffering":"no","x-content-type-options":"nosniff","x-ms-client-request-id":"Not-Set","x-ms-is-spilled-over":"false","x-ms-rai-invoked":"true","x-ms-region":"Japan East","x-new-api-version":"v1.0.0-rc.4","x-oneapi-request-id":"202605070820475008712248268d9d6iS7T4AQp","x-ratelimit-abusepenalty-active":"False","x-ratelimit-key":"gpt-5-chat-global","x-ratelimit-limit-requests":"1000","x-ratelimit-limit-tokens":"1000000","x-ratelimit-remaining-requests":"998","x-ratelimit-remaining-tokens":"996616","x-ratelimit-renewalperiod-requests":"60","x-ratelimit-renewalperiod-tokens":"60","x-ratelimit-reset-requests":"0","x-ratelimit-reset-tokens":"0","x-request-id":"8cca4ed3-1953-4501-ac71-701d2ab5182f","x-shellapi-request-id":"2026050716204744116554970558196"}</t>
        </is>
      </c>
      <c r="N16" t="inlineStr">
        <is>
          <t>Arc'teryx Lago Cream White Lightweight Waterproof Crossbody Bag, made of high-strength nylon with durable zippers and yellow trim. Minimalist style for urban commuting and outdoor adventures.</t>
        </is>
      </c>
      <c r="O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 Teryx,Accessories,kakobuy,kakebuy2026,kekobuysheet,kakobuysheet2026,2026kakobuy,kakobuyspreadsheeet,kakobuylink,kakebuylist,Kakobuy MEGA Spreadsheet,kakobuysheetfind,kakobuysheetfind2026,2026kakobuysheetfind,kakobuysheet2026","refusal":null,"role":"assistant"}}],"created":1778143571,"id":"chatcmpl-DcoexnOkVyfYD4ZTqi6TUZfADb4J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17,"engine_ttft_ms":1245,"engine_ttlt_ms":2799,"pre_inference_ms":127,"service_tbt_ms":18,"service_ttft_ms":1707,"service_ttlt_ms":3260,"total_duration_ms":3139,"user_visible_ttft_ms":1580},"prompt_tokens":784,"prompt_tokens_details":{"audio_tokens":0,"cached_tokens":0},"total_tokens":873}}</t>
        </is>
      </c>
      <c r="P16" t="inlineStr">
        <is>
          <t>Arc Teryx,Accessories,kakobuy,kakebuy2026,kekobuysheet,kakobuysheet2026,2026kakobuy,kakobuyspreadsheeet,kakobuylink,kakebuylist,Kakobuy MEGA Spreadsheet,kakobuysheetfind,kakobuysheetfind2026,2026kakobuysheetfind,kakobuysheet2026</t>
        </is>
      </c>
      <c r="Q16" t="inlineStr">
        <is>
          <t>Cream, White, Yellow, Nylon, Minimalist, Waterproof</t>
        </is>
      </c>
      <c r="R16" t="inlineStr">
        <is>
          <t>recvhju1CrdvVC</t>
        </is>
      </c>
      <c r="S16" t="inlineStr">
        <is>
          <t>arcteryx-lago-cream-waterproof-nylon-crossbody-recvhju1crdvvc</t>
        </is>
      </c>
      <c r="T16"/>
      <c r="U16"/>
      <c r="V16"/>
      <c r="W16" t="inlineStr">
        <is>
          <t>{"id":"chatcmpl-DcnrwKxKlnDzVkVIizv1oVnTIubSg","object":"chat.completion","created":1778140532,"model":"gpt-5-chat-latest","choices":[{"index":0,"message":{"role":"assistant","content":"Arc’teryx：Lago系列奶油白轻量防水斜挎包，采用高强度尼龙面料与耐磨拉链设计，亮黄色饰边彰显山系活力。极简功能风格，适合男女通勤及户外探险，兼具收纳与时尚属性，展现品牌精工与现代都市格调。","refusal":null,"annotations":[]},"logprobs":null,"finish_reason":"stop"}],"usage":{"prompt_tokens":1309,"completion_tokens":85,"total_tokens":1394,"prompt_tokens_details":{"cached_tokens":1280,"audio_tokens":0},"completion_tokens_details":{"reasoning_tokens":0,"audio_tokens":0,"accepted_prediction_tokens":0,"rejected_prediction_tokens":0},"latency_checkpoint":{"service_ttft_ms":1720,"user_visible_ttft_ms":1535,"total_duration_ms":3318,"pre_inference_ms":185,"service_tbt_ms":21,"service_ttlt_ms":3496,"engine_ttft_ms":784,"engine_ttlt_ms":2560,"engine_tbt_ms":21}},"service_tier":"default","system_fingerprint":"fp_fd471178c5"}</t>
        </is>
      </c>
      <c r="X16" t="inlineStr">
        <is>
          <t>Arc’teryx：Lago系列奶油白轻量防水斜挎包，采用高强度尼龙面料与耐磨拉链设计，亮黄色饰边彰显山系活力。极简功能风格，适合男女通勤及户外探险，兼具收纳与时尚属性，展现品牌精工与现代都市格调。</t>
        </is>
      </c>
    </row>
    <row r="17" ht="25.5" customHeight="1">
      <c r="A17">
        <v>1654975475</v>
      </c>
      <c r="B17">
        <v>7623857855</v>
      </c>
      <c r="C17" s="2" t="str">
        <f>=HYPERLINK("https://weidian.com/item.html?itemID=7623857855", "https://weidian.com/item.html?itemID=7623857855")</f>
        <v>https://weidian.com/item.html?itemID=7623857855</v>
      </c>
      <c r="D17"/>
      <c r="E17" s="2" t="str">
        <f>=HYPERLINK("https://si.geilicdn.com/pcitem2014204438-32060000019ae482d3270a231316_1440_1919.jpg?w=640&amp;h=640", "https://si.geilicdn.com/pcitem2014204438-32060000019ae482d3270a231316_1440_1919.jpg?w=640&amp;h=640")</f>
        <v>https://si.geilicdn.com/pcitem2014204438-32060000019ae482d3270a231316_1440_1919.jpg?w=640&amp;h=640</v>
      </c>
      <c r="F17" t="inlineStr">
        <is>
          <t>Accessories</t>
        </is>
      </c>
      <c r="G17" t="inlineStr">
        <is>
          <t>Bellroy</t>
        </is>
      </c>
      <c r="H17">
        <v>320</v>
      </c>
      <c r="I17">
        <v>46.38</v>
      </c>
      <c r="J1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ellroy Lite Black Waterproof Nylon Travel Backpack","refusal":null,"role":"assistant"}}],"created":1778143050,"id":"chatcmpl-DcoWYAD107uRE6Wt7osoMn1YNaKI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49,"engine_ttft_ms":1334,"engine_ttlt_ms":1775,"pre_inference_ms":135,"service_tbt_ms":60,"service_ttft_ms":1913,"service_ttlt_ms":2376,"total_duration_ms":2321,"user_visible_ttft_ms":1778},"prompt_tokens":863,"prompt_tokens_details":{"audio_tokens":0,"cached_tokens":0},"total_tokens":872}}</t>
        </is>
      </c>
      <c r="K17" t="inlineStr">
        <is>
          <t>Bellroy Lite Black Waterproof Nylon Travel Backpack</t>
        </is>
      </c>
      <c r="L1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ellroy Lite Series Black Waterproof Nylon Backpack – minimalist urban commuter design, lightweight, durable, unisex, stylish and functional for daily travel or work.","refusal":null,"role":"assistant"}}],"created":1778142289,"id":"chatcmpl-DcoKHJrLmw6tuc08F4QHkhpF6B9U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31,"completion_tokens_details":{"accepted_prediction_tokens":0,"audio_tokens":0,"reasoning_tokens":0,"rejected_prediction_tokens":0},"latency_checkpoint":{"engine_tbt_ms":83,"engine_ttft_ms":1375,"engine_ttlt_ms":3935,"pre_inference_ms":131,"service_tbt_ms":83,"service_ttft_ms":1919,"service_ttlt_ms":4479,"total_duration_ms":4355,"user_visible_ttft_ms":1787},"prompt_tokens":873,"prompt_tokens_details":{"audio_tokens":0,"cached_tokens":0},"total_tokens":904}}</t>
        </is>
      </c>
      <c r="M17" t="inlineStr">
        <is>
          <t>{"alt-svc":"h3=\":443\"; ma=2592000","apim-request-id":"d39e248a-c045-4d7c-b39f-d689f18476b9","azureml-model-session":"d20260501041445-2c187743","connection":"close","content-length":"1633","content-type":"application/json","date":"Thu, 07 May 2026 08:24:52 GMT","skip-error-remapping":"true","strict-transport-security":"max-age=31536000; includeSubDomains; preload","via":"1.1 Caddy","x-accel-buffering":"no","x-content-type-options":"nosniff","x-ms-client-request-id":"Not-Set","x-ms-is-spilled-over":"false","x-ms-rai-invoked":"true","x-ms-region":"Korea Central","x-new-api-version":"v1.0.0-rc.4","x-oneapi-request-id":"202605070824481087430088268d9d6Gh0rW5r8","x-ratelimit-abusepenalty-active":"False","x-ratelimit-key":"gpt-5-chat-global","x-ratelimit-limit-requests":"1000","x-ratelimit-limit-tokens":"1000000","x-ratelimit-remaining-requests":"999","x-ratelimit-remaining-tokens":"998365","x-ratelimit-renewalperiod-requests":"60","x-ratelimit-renewalperiod-tokens":"60","x-ratelimit-reset-requests":"0","x-ratelimit-reset-tokens":"0","x-request-id":"324f2ad0-e788-47e0-8bcb-2d11adabdbce","x-shellapi-request-id":"202605071624484746573028107544"}</t>
        </is>
      </c>
      <c r="N17" t="inlineStr">
        <is>
          <t>Bellroy Lite Series Black Waterproof Nylon Backpack – minimalist urban commuter design, lightweight, durable, unisex, stylish and functional for daily travel or work.</t>
        </is>
      </c>
      <c r="O1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ellroy,Backpack,kakobuy,kakebuy2026,kekobuysheet,kakobuysheet2026,2026kakobuy,kakobuyspreadsheeet,kakobuylink,kakebuylist,Kakobuy MEGA Spreadsheet,kakobuysheetfind,kakobuysheetfind2026,2026kakobuysheetfind,kakobuysheet2026","refusal":null,"role":"assistant"}}],"created":1778143443,"id":"chatcmpl-Dcoctc4T0ahdWtIPF3BnjZX7ogM7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101,"engine_ttft_ms":1818,"engine_ttlt_ms":10698,"pre_inference_ms":118,"service_tbt_ms":101,"service_ttft_ms":2923,"service_ttlt_ms":11804,"total_duration_ms":11707,"user_visible_ttft_ms":2805},"prompt_tokens":782,"prompt_tokens_details":{"audio_tokens":0,"cached_tokens":0},"total_tokens":870}}</t>
        </is>
      </c>
      <c r="P17" t="inlineStr">
        <is>
          <t>Bellroy,Backpack,kakobuy,kakebuy2026,kekobuysheet,kakobuysheet2026,2026kakobuy,kakobuyspreadsheeet,kakobuylink,kakebuylist,Kakobuy MEGA Spreadsheet,kakobuysheetfind,kakobuysheetfind2026,2026kakobuysheetfind,kakobuysheet2026</t>
        </is>
      </c>
      <c r="Q17" t="inlineStr">
        <is>
          <t>Backpack, Black, Waterproof, Nylon, Minimalist, Unisex</t>
        </is>
      </c>
      <c r="R17" t="inlineStr">
        <is>
          <t>recvhju1CrJvSe</t>
        </is>
      </c>
      <c r="S17" t="inlineStr">
        <is>
          <t>bellroy-lite-black-waterproof-nylon-travel-backpack-recvhju1crjvse</t>
        </is>
      </c>
      <c r="T17"/>
      <c r="U17"/>
      <c r="V17"/>
      <c r="W17" t="inlineStr">
        <is>
          <t>{"id":"chatcmpl-Dcntfjl7VAxydM7GBtOcQr99BH8uN","object":"chat.completion","created":1778140639,"model":"gpt-5-chat-latest","choices":[{"index":0,"message":{"role":"assistant","content":"Bellroy：Lite系列黑色防水尼龙双肩背包，极简城市通勤设计，轻盈耐用，男女皆宜，兼具时尚与实用功能。","refusal":null,"annotations":[]},"logprobs":null,"finish_reason":"stop"}],"usage":{"prompt_tokens":1295,"completion_tokens":42,"total_tokens":1337,"prompt_tokens_details":{"cached_tokens":0,"audio_tokens":0},"completion_tokens_details":{"reasoning_tokens":0,"audio_tokens":0,"accepted_prediction_tokens":0,"rejected_prediction_tokens":0},"latency_checkpoint":{"service_ttft_ms":1240,"user_visible_ttft_ms":1020,"total_duration_ms":7191,"pre_inference_ms":219,"service_tbt_ms":147,"service_ttlt_ms":7399,"engine_ttft_ms":816,"engine_ttlt_ms":6980,"engine_tbt_ms":147}},"service_tier":"default","system_fingerprint":"fp_fd471178c5"}</t>
        </is>
      </c>
      <c r="X17" t="inlineStr">
        <is>
          <t>Bellroy：Lite系列黑色防水尼龙双肩背包，极简城市通勤设计，轻盈耐用，男女皆宜，兼具时尚与实用功能。</t>
        </is>
      </c>
    </row>
    <row r="18" ht="25.5" customHeight="1">
      <c r="A18">
        <v>1654975475</v>
      </c>
      <c r="B18">
        <v>7623927691</v>
      </c>
      <c r="C18" s="2" t="str">
        <f>=HYPERLINK("https://weidian.com/item.html?itemID=7623927691", "https://weidian.com/item.html?itemID=7623927691")</f>
        <v>https://weidian.com/item.html?itemID=7623927691</v>
      </c>
      <c r="D18"/>
      <c r="E18" s="2" t="str">
        <f>=HYPERLINK("https://si.geilicdn.com/pcitem2014204438-67350000019ae45fea9e0a23041a_1240_1920.jpg?w=640&amp;h=640", "https://si.geilicdn.com/pcitem2014204438-67350000019ae45fea9e0a23041a_1240_1920.jpg?w=640&amp;h=640")</f>
        <v>https://si.geilicdn.com/pcitem2014204438-67350000019ae45fea9e0a23041a_1240_1920.jpg?w=640&amp;h=640</v>
      </c>
      <c r="F18" t="inlineStr">
        <is>
          <t>Accessories</t>
        </is>
      </c>
      <c r="G18" t="inlineStr">
        <is>
          <t>The North Face</t>
        </is>
      </c>
      <c r="H18">
        <v>360</v>
      </c>
      <c r="I18">
        <v>52.17</v>
      </c>
      <c r="J18"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filtered"}},"content_filter_results":{"protected_material_code":{"detected":false,"filtered":false},"protected_material_text":{"detected":false,"filtered":false}},"finish_reason":"stop","index":0,"logprobs":null,"message":{"annotations":[],"content":"The North Face Grey Green Travel Backpack","refusal":null,"role":"assistant"}}],"created":1778142814,"id":"chatcmpl-DcoSklgsJCjBEnibD8zh80cYXpsAy","model":"gpt-5-chat-2025-10-03","object":"chat.completion","prompt_filter_results":[{"prompt_index":0,"content_filter_results":{"jailbreak":{"detected":false,"filtered":false}}}],"service_tier":"default","system_fingerprint":"fp_fd471178c5","usage":{"completion_tokens":8,"completion_tokens_details":{"accepted_prediction_tokens":0,"audio_tokens":0,"reasoning_tokens":0,"rejected_prediction_tokens":0},"latency_checkpoint":{"engine_tbt_ms":21,"engine_ttft_ms":734,"engine_ttlt_ms":899,"pre_inference_ms":209,"service_tbt_ms":21,"service_ttft_ms":1231,"service_ttlt_ms":1395,"total_duration_ms":1192,"user_visible_ttft_ms":1022},"prompt_tokens":872,"prompt_tokens_details":{"audio_tokens":0,"cached_tokens":0},"total_tokens":880}}</t>
        </is>
      </c>
      <c r="K18" t="inlineStr">
        <is>
          <t>The North Face Grey Green Travel Backpack</t>
        </is>
      </c>
      <c r="L1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grey-green backpack with durable water-resistant fabric, ergonomic straps, breathable back panel, multiple compartments, laptop sleeve, unisex design for travel and urban commuting.","refusal":null,"role":"assistant"}}],"created":1778142280,"id":"chatcmpl-DcoK8QnYJm1tA85t7V9pzZfJlnmz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35,"completion_tokens_details":{"accepted_prediction_tokens":0,"audio_tokens":0,"reasoning_tokens":0,"rejected_prediction_tokens":0},"latency_checkpoint":{"engine_tbt_ms":81,"engine_ttft_ms":789,"engine_ttlt_ms":3640,"pre_inference_ms":143,"service_tbt_ms":82,"service_ttft_ms":1143,"service_ttlt_ms":3993,"total_duration_ms":3858,"user_visible_ttft_ms":999},"prompt_tokens":953,"prompt_tokens_details":{"audio_tokens":0,"cached_tokens":0},"total_tokens":988}}</t>
        </is>
      </c>
      <c r="M18" t="inlineStr">
        <is>
          <t>{"alt-svc":"h3=\":443\"; ma=2592000","apim-request-id":"0cb77114-a8d2-4f51-9ae2-17f2f0c19197","azureml-model-session":"d20260501041445-2c187743","connection":"close","content-length":"1659","content-type":"application/json","date":"Thu, 07 May 2026 08:24:43 GMT","server":"Caddy","skip-error-remapping":"true","strict-transport-security":"max-age=31536000; includeSubDomains; preload","x-accel-buffering":"no","x-content-type-options":"nosniff","x-ms-client-request-id":"Not-Set","x-ms-is-spilled-over":"false","x-ms-rai-invoked":"true","x-ms-region":"UK South","x-new-api-version":"v1.0.0-rc.4","x-oneapi-request-id":"202605070824398901966738268d9d6YsLNiASo","x-ratelimit-abusepenalty-active":"False","x-ratelimit-key":"gpt-5-chat-global","x-ratelimit-limit-requests":"1000","x-ratelimit-limit-tokens":"1000000","x-ratelimit-remaining-requests":"999","x-ratelimit-remaining-tokens":"998285","x-ratelimit-renewalperiod-requests":"60","x-ratelimit-renewalperiod-tokens":"60","x-ratelimit-reset-requests":"0","x-ratelimit-reset-tokens":"0","x-request-id":"78d85447-9304-4ba6-bea5-82d4e6548166","x-shellapi-request-id":"2026050716243983813651422678504"}</t>
        </is>
      </c>
      <c r="N18" t="inlineStr">
        <is>
          <t>The North Face grey-green backpack with durable water-resistant fabric, ergonomic straps, breathable back panel, multiple compartments, laptop sleeve, unisex design for travel and urban commuting.</t>
        </is>
      </c>
      <c r="O18"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filtered"}},"content_filter_results":{"protected_material_code":{"detected":false,"filtered":false},"protected_material_text":{"detected":false,"filtered":false}},"finish_reason":"stop","index":0,"logprobs":null,"message":{"annotations":[],"content":"The North Face,Backpack,kakobuy,kakebuy2026,kekobuysheet,kakobuysheet2026,2026kakobuy,kakobuyspreadsheeet,kakobuylink,kakebuylist,Kakobuy MEGA Spreadsheet,kakobuysheetfind,kakobuysheetfind2026,2026kakobuysheetfind,kakobuysheet2026","refusal":null,"role":"assistant"}}],"created":1778143339,"id":"chatcmpl-DcobDHDHuuYeTayXR3QYBqOXW3HN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63,"engine_ttft_ms":1444,"engine_ttlt_ms":7075,"pre_inference_ms":166,"service_tbt_ms":63,"service_ttft_ms":2465,"service_ttlt_ms":8091,"total_duration_ms":7933,"user_visible_ttft_ms":2300},"prompt_tokens":783,"prompt_tokens_details":{"audio_tokens":0,"cached_tokens":0},"total_tokens":872}}</t>
        </is>
      </c>
      <c r="P18" t="inlineStr">
        <is>
          <t>The North Face,Backpack,kakobuy,kakebuy2026,kekobuysheet,kakobuysheet2026,2026kakobuy,kakobuyspreadsheeet,kakobuylink,kakebuylist,Kakobuy MEGA Spreadsheet,kakobuysheetfind,kakobuysheetfind2026,2026kakobuysheetfind,kakobuysheet2026</t>
        </is>
      </c>
      <c r="Q18" t="inlineStr">
        <is>
          <t>Backpack, Grey Green, Waterproof, Unisex, Breathable</t>
        </is>
      </c>
      <c r="R18" t="inlineStr">
        <is>
          <t>recvhju1CrFTfu</t>
        </is>
      </c>
      <c r="S18" t="inlineStr">
        <is>
          <t>the-north-face-grey-green-travel-backpack-recvhju1crftfu</t>
        </is>
      </c>
      <c r="T18"/>
      <c r="U18"/>
      <c r="V18"/>
      <c r="W1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灰绿色多功能登山双肩背包，采用耐磨防泼水面料，轻盈坚固。正面白色品牌标识简约醒目，辅以“NEVER STOP EXPLORING”标语，凸显户外探索精神。人体工学肩带设计，背部透气缓压系统，提供舒适支撑。多层收纳结构，轻松容纳笔电与日用品，适合男女通用，兼具都市通勤与户外旅行风格。","refusal":null,"role":"assistant"}}],"created":1778140349,"id":"chatcmpl-DcnozFM6gfJ4lJh01mVLaS6UZqf7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119,"completion_tokens_details":{"accepted_prediction_tokens":0,"audio_tokens":0,"reasoning_tokens":0,"rejected_prediction_tokens":0},"latency_checkpoint":{"engine_tbt_ms":109,"engine_ttft_ms":1065,"engine_ttlt_ms":14009,"pre_inference_ms":165,"service_tbt_ms":109,"service_ttft_ms":1677,"service_ttlt_ms":14621,"total_duration_ms":14465,"user_visible_ttft_ms":1512},"prompt_tokens":1301,"prompt_tokens_details":{"audio_tokens":0,"cached_tokens":0},"total_tokens":1420}}</t>
        </is>
      </c>
      <c r="X18" t="inlineStr">
        <is>
          <t>The North Face 灰绿色多功能登山双肩背包，采用耐磨防泼水面料，轻盈坚固。正面白色品牌标识简约醒目，辅以“NEVER STOP EXPLORING”标语，凸显户外探索精神。人体工学肩带设计，背部透气缓压系统，提供舒适支撑。多层收纳结构，轻松容纳笔电与日用品，适合男女通用，兼具都市通勤与户外旅行风格。</t>
        </is>
      </c>
    </row>
    <row r="19" ht="25.5" customHeight="1">
      <c r="A19">
        <v>1654975475</v>
      </c>
      <c r="B19">
        <v>7620514246</v>
      </c>
      <c r="C19" s="2" t="str">
        <f>=HYPERLINK("https://weidian.com/item.html?itemID=7620514246", "https://weidian.com/item.html?itemID=7620514246")</f>
        <v>https://weidian.com/item.html?itemID=7620514246</v>
      </c>
      <c r="D19"/>
      <c r="E19" s="2" t="str">
        <f>=HYPERLINK("https://si.geilicdn.com/pcitem2014204438-336d0000019ac49d92c70a20e273_1440_1921.jpg?w=640&amp;h=640", "https://si.geilicdn.com/pcitem2014204438-336d0000019ac49d92c70a20e273_1440_1921.jpg?w=640&amp;h=640")</f>
        <v>https://si.geilicdn.com/pcitem2014204438-336d0000019ac49d92c70a20e273_1440_1921.jpg?w=640&amp;h=640</v>
      </c>
      <c r="F19" t="inlineStr">
        <is>
          <t>Electronic</t>
        </is>
      </c>
      <c r="G19" t="inlineStr">
        <is>
          <t>Marshall</t>
        </is>
      </c>
      <c r="H19">
        <v>87</v>
      </c>
      <c r="I19">
        <v>12.61</v>
      </c>
      <c r="J1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arshall Major IV Black Bluetooth Headphones","refusal":null,"role":"assistant"}}],"created":1778143013,"id":"chatcmpl-DcoVxda4GmHcX0C195zfeS9SieyC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completion_tokens_details":{"accepted_prediction_tokens":0,"audio_tokens":0,"reasoning_tokens":0,"rejected_prediction_tokens":0},"latency_checkpoint":{"engine_tbt_ms":16,"engine_ttft_ms":1024,"engine_ttlt_ms":1156,"pre_inference_ms":136,"service_tbt_ms":19,"service_ttft_ms":1500,"service_ttlt_ms":1643,"total_duration_ms":1517,"user_visible_ttft_ms":1364},"prompt_tokens":874,"prompt_tokens_details":{"audio_tokens":0,"cached_tokens":0},"total_tokens":882}}</t>
        </is>
      </c>
      <c r="K19" t="inlineStr">
        <is>
          <t>Marshall Major IV Black Bluetooth Headphones</t>
        </is>
      </c>
      <c r="L1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arshall Major IV Black Bluetooth Headphones – Vintage rock style with leather headband, soft ear cushions, fast charging, long battery life, classic British sound and timeless design for everyone.","refusal":null,"role":"assistant"}}],"created":1778142223,"id":"chatcmpl-DcoJDFoU5n527BqGqJK6YWOIRFmh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22,"engine_ttft_ms":354,"engine_ttlt_ms":1151,"pre_inference_ms":306,"service_tbt_ms":22,"service_ttft_ms":805,"service_ttlt_ms":1602,"total_duration_ms":1305,"user_visible_ttft_ms":499},"prompt_tokens":896,"prompt_tokens_details":{"audio_tokens":0,"cached_tokens":0},"total_tokens":933}}</t>
        </is>
      </c>
      <c r="M19" t="inlineStr">
        <is>
          <t>{"alt-svc":"h3=\":443\"; ma=2592000","apim-request-id":"8a305d6c-e624-425f-bf5d-d0e6ae5354da","azureml-model-session":"d20260428165144-a78ba574","connection":"close","content-length":"1661","content-type":"application/json","date":"Thu, 07 May 2026 08:23:44 GMT","skip-error-remapping":"true","strict-transport-security":"max-age=31536000; includeSubDomains; preload","via":"1.1 Caddy","x-accel-buffering":"no","x-content-type-options":"nosniff","x-ms-client-request-id":"Not-Set","x-ms-is-spilled-over":"false","x-ms-rai-invoked":"true","x-ms-region":"East US 2","x-new-api-version":"v1.0.0-rc.4","x-oneapi-request-id":"20260507082342370698008268d9d6dxDse7D0","x-ratelimit-abusepenalty-active":"False","x-ratelimit-key":"gpt-5-chat-global","x-ratelimit-limit-requests":"1000","x-ratelimit-limit-tokens":"1000000","x-ratelimit-remaining-requests":"999","x-ratelimit-remaining-tokens":"998342","x-ratelimit-renewalperiod-requests":"60","x-ratelimit-renewalperiod-tokens":"60","x-ratelimit-reset-requests":"0","x-ratelimit-reset-tokens":"0","x-request-id":"d5398581-ec08-4be3-9d84-1701ab31bec9","x-shellapi-request-id":"2026050716234198495222802092703"}</t>
        </is>
      </c>
      <c r="N19" t="inlineStr">
        <is>
          <t>Marshall Major IV Black Bluetooth Headphones – Vintage rock style with leather headband, soft ear cushions, fast charging, long battery life, classic British sound and timeless design for everyone.</t>
        </is>
      </c>
      <c r="O19"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Marshall,Headphones,kakobuy,kakebuy2026,kekobuysheet,kakobuysheet2026,2026kakobuy,kakobuyspreadsheeet,kakobuylink,kakebuylist,Kakobuy MEGA Spreadsheet,kakobuysheetfind,kakobuysheetfind2026,2026kakobuysheetfind,kakobuysheet2026","refusal":null,"role":"assistant"}}],"created":1778143604,"id":"chatcmpl-DcofUIzNhqrsgZehVp4uZjnzlcbQK","model":"gpt-5-chat-2025-10-03","object":"chat.completion","prompt_filter_results":[{"prompt_index":0,"content_filter_results":{"jailbreak":{"detected":false,"filtered":false}}}],"service_tier":"default","system_fingerprint":"fp_fd471178c5","usage":{"completion_tokens":87,"completion_tokens_details":{"accepted_prediction_tokens":0,"audio_tokens":0,"reasoning_tokens":0,"rejected_prediction_tokens":0},"latency_checkpoint":{"engine_tbt_ms":21,"engine_ttft_ms":846,"engine_ttlt_ms":2671,"pre_inference_ms":145,"service_tbt_ms":21,"service_ttft_ms":1275,"service_ttlt_ms":3100,"total_duration_ms":2961,"user_visible_ttft_ms":1130},"prompt_tokens":781,"prompt_tokens_details":{"audio_tokens":0,"cached_tokens":0},"total_tokens":868}}</t>
        </is>
      </c>
      <c r="P19" t="inlineStr">
        <is>
          <t>Marshall,Headphones,kakobuy,kakebuy2026,kekobuysheet,kakobuysheet2026,2026kakobuy,kakobuyspreadsheeet,kakobuylink,kakebuylist,Kakobuy MEGA Spreadsheet,kakobuysheetfind,kakobuysheetfind2026,2026kakobuysheetfind,kakobuysheet2026</t>
        </is>
      </c>
      <c r="Q19" t="inlineStr">
        <is>
          <t>Marshall, Vintage, Leather, Unisex</t>
        </is>
      </c>
      <c r="R19" t="inlineStr">
        <is>
          <t>recvhju1CraoQk</t>
        </is>
      </c>
      <c r="S19" t="inlineStr">
        <is>
          <t>marshall-major-iv-black-bluetooth-headphones-recvhju1craoqk</t>
        </is>
      </c>
      <c r="T19"/>
      <c r="U19"/>
      <c r="V19"/>
      <c r="W19" t="inlineStr">
        <is>
          <t>{"id":"chatcmpl-DcnvCMKNzd84hEhvmX0UIuTQHgYlh","object":"chat.completion","created":1778140734,"model":"gpt-5-chat-latest","choices":[{"index":0,"message":{"role":"assistant","content":"Marshall：Major IV黑色无线蓝牙耳机，复古摇滚设计搭配皮质头梁与柔软耳垫，支持快充与长续航功能，融合英伦音响美学，男女皆宜，传承经典音质与潮流格调。","refusal":null,"annotations":[]},"logprobs":null,"finish_reason":"stop"}],"usage":{"prompt_tokens":1299,"completion_tokens":63,"total_tokens":1362,"prompt_tokens_details":{"cached_tokens":0,"audio_tokens":0},"completion_tokens_details":{"reasoning_tokens":0,"audio_tokens":0,"accepted_prediction_tokens":0,"rejected_prediction_tokens":0},"latency_checkpoint":{"service_ttft_ms":779,"user_visible_ttft_ms":615,"total_duration_ms":2611,"pre_inference_ms":163,"service_tbt_ms":32,"service_ttlt_ms":2767,"engine_ttft_ms":477,"engine_ttlt_ms":2466,"engine_tbt_ms":32}},"service_tier":"default","system_fingerprint":"fp_fd471178c5"}</t>
        </is>
      </c>
      <c r="X19" t="inlineStr">
        <is>
          <t>Marshall：Major IV黑色无线蓝牙耳机，复古摇滚设计搭配皮质头梁与柔软耳垫，支持快充与长续航功能，融合英伦音响美学，男女皆宜，传承经典音质与潮流格调。</t>
        </is>
      </c>
    </row>
    <row r="20" ht="25.5" customHeight="1">
      <c r="A20">
        <v>1654975475</v>
      </c>
      <c r="B20">
        <v>7624572355</v>
      </c>
      <c r="C20" s="2" t="str">
        <f>=HYPERLINK("https://weidian.com/item.html?itemID=7624572355", "https://weidian.com/item.html?itemID=7624572355")</f>
        <v>https://weidian.com/item.html?itemID=7624572355</v>
      </c>
      <c r="D20"/>
      <c r="E20" s="2" t="str">
        <f>=HYPERLINK("https://si.geilicdn.com/pcitem2014204438-15ef0000019ae7dddbb10a2102c5_1440_1440.jpg?w=640&amp;h=640", "https://si.geilicdn.com/pcitem2014204438-15ef0000019ae7dddbb10a2102c5_1440_1440.jpg?w=640&amp;h=640")</f>
        <v>https://si.geilicdn.com/pcitem2014204438-15ef0000019ae7dddbb10a2102c5_1440_1440.jpg?w=640&amp;h=640</v>
      </c>
      <c r="F20" t="inlineStr">
        <is>
          <t>Socks &amp; Hosiery</t>
        </is>
      </c>
      <c r="G20" t="inlineStr">
        <is>
          <t>Dior</t>
        </is>
      </c>
      <c r="H20">
        <v>120</v>
      </c>
      <c r="I20">
        <v>17.39</v>
      </c>
      <c r="J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Beige Cotton Blend Unisex Short Socks","refusal":null,"role":"assistant"}}],"created":1778143010,"id":"chatcmpl-DcoVuSBEYDwqUs3qMmIGQJ53xpY9m","model":"gpt-5-chat-2025-10-03","object":"chat.completion","prompt_filter_results":[{"prompt_index":0,"content_filter_results":{"jailbreak":{"detected":false,"filtered":false}}}],"service_tier":"default","system_fingerprint":"fp_fd471178c5","usage":{"completion_tokens":10,"completion_tokens_details":{"accepted_prediction_tokens":0,"audio_tokens":0,"reasoning_tokens":0,"rejected_prediction_tokens":0},"latency_checkpoint":{"engine_tbt_ms":16,"engine_ttft_ms":723,"engine_ttlt_ms":880,"pre_inference_ms":199,"service_tbt_ms":16,"service_ttft_ms":1589,"service_ttlt_ms":1745,"total_duration_ms":1552,"user_visible_ttft_ms":1391},"prompt_tokens":877,"prompt_tokens_details":{"audio_tokens":0,"cached_tokens":0},"total_tokens":887}}</t>
        </is>
      </c>
      <c r="K20" t="inlineStr">
        <is>
          <t>Dior Beige Cotton Blend Unisex Short Socks</t>
        </is>
      </c>
      <c r="L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Beige Cotton Blend Short Socks, featuring woven Dior logo, soft breathable fabric, elegant and unisex design for both casual and business wear, showcasing refined French luxury style.","refusal":null,"role":"assistant"}}],"created":1778142223,"id":"chatcmpl-DcoJDLYHbPuQ6RoS7tlAqPFTnUKS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26,"engine_ttft_ms":829,"engine_ttlt_ms":1775,"pre_inference_ms":114,"service_tbt_ms":27,"service_ttft_ms":1701,"service_ttlt_ms":2646,"total_duration_ms":2543,"user_visible_ttft_ms":1587},"prompt_tokens":928,"prompt_tokens_details":{"audio_tokens":0,"cached_tokens":0},"total_tokens":964}}</t>
        </is>
      </c>
      <c r="M20" t="inlineStr">
        <is>
          <t>{"alt-svc":"h3=\":443\"; ma=2592000","apim-request-id":"729d0294-a0bb-4041-8f28-936a4752fee0","azureml-model-session":"d20260428165144-a78ba574","connection":"close","content-length":"1652","content-type":"application/json","date":"Thu, 07 May 2026 08:23:46 GMT","skip-error-remapping":"true","strict-transport-security":"max-age=31536000; includeSubDomains; preload","via":"1.1 Caddy","x-accel-buffering":"no","x-content-type-options":"nosniff","x-ms-client-request-id":"Not-Set","x-ms-is-spilled-over":"false","x-ms-rai-invoked":"true","x-ms-region":"Switzerland North","x-new-api-version":"v1.0.0-rc.4","x-oneapi-request-id":"202605070823425074128988268d9d6GTddtv9J","x-ratelimit-abusepenalty-active":"False","x-ratelimit-key":"gpt-5-chat-global","x-ratelimit-limit-requests":"1000","x-ratelimit-limit-tokens":"1000000","x-ratelimit-remaining-requests":"999","x-ratelimit-remaining-tokens":"996484","x-ratelimit-renewalperiod-requests":"60","x-ratelimit-renewalperiod-tokens":"60","x-ratelimit-reset-requests":"0","x-ratelimit-reset-tokens":"0","x-request-id":"62720842-7dbc-470c-a48f-7fb88f5efe53","x-shellapi-request-id":"2026050716234245503551990021708"}</t>
        </is>
      </c>
      <c r="N20" t="inlineStr">
        <is>
          <t>Dior Beige Cotton Blend Short Socks, featuring woven Dior logo, soft breathable fabric, elegant and unisex design for both casual and business wear, showcasing refined French luxury style.</t>
        </is>
      </c>
      <c r="O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Socks &amp; Hosiery, kakobuy, kakebuy2026, kekobuysheet, kakobuysheet2026, 2026kakobuy, kakobuyspreadsheeet, kakobuylink, kakebuylist, Kakobuy MEGA Spreadsheet, kakobuysheetfind, kakobuysheetfind2026, 2026kakobuysheetfind, kakobuysheet2026","refusal":null,"role":"assistant"}}],"created":1778143506,"id":"chatcmpl-DcoduL9siNtwowLJbENREjHnprzp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17,"engine_ttft_ms":710,"engine_ttlt_ms":2332,"pre_inference_ms":146,"service_tbt_ms":17,"service_ttft_ms":1517,"service_ttlt_ms":3138,"total_duration_ms":2999,"user_visible_ttft_ms":1371},"prompt_tokens":786,"prompt_tokens_details":{"audio_tokens":0,"cached_tokens":0},"total_tokens":880}}</t>
        </is>
      </c>
      <c r="P20" t="inlineStr">
        <is>
          <t>Dior, Socks &amp; Hosiery, kakobuy, kakebuy2026, kekobuysheet, kakobuysheet2026, 2026kakobuy, kakobuyspreadsheeet, kakobuylink, kakebuylist, Kakobuy MEGA Spreadsheet, kakobuysheetfind, kakobuysheetfind2026, 2026kakobuysheetfind, kakobuysheet2026</t>
        </is>
      </c>
      <c r="Q20" t="inlineStr">
        <is>
          <t>Dior, Beige, Unisex, Business, Elegant</t>
        </is>
      </c>
      <c r="R20" t="inlineStr">
        <is>
          <t>recvhju1CrFLVW</t>
        </is>
      </c>
      <c r="S20" t="inlineStr">
        <is>
          <t>dior-beige-cotton-blend-unisex-short-socks-recvhju1crflvw</t>
        </is>
      </c>
      <c r="T20"/>
      <c r="U20"/>
      <c r="V20"/>
      <c r="W20" t="inlineStr">
        <is>
          <t>{"id":"chatcmpl-Dcnjl1XTgBKyczHjrBI948XXodhyS","object":"chat.completion","created":1778140025,"model":"gpt-5-chat-latest","choices":[{"index":0,"message":{"role":"assistant","content":"Dior：米色简约短袜，甄选柔软棉质混纺面料，织入品牌标识Dior字样，质感细腻贴合脚型，设计典雅低调，展现法式高级格调。男女皆宜，休闲与商务穿搭皆轻松驾驭，舒适透气，彰显奢华品味。","refusal":null,"annotations":[]},"logprobs":null,"finish_reason":"stop"}],"usage":{"prompt_tokens":1307,"completion_tokens":89,"total_tokens":1396,"prompt_tokens_details":{"cached_tokens":0,"audio_tokens":0},"completion_tokens_details":{"reasoning_tokens":0,"audio_tokens":0,"accepted_prediction_tokens":0,"rejected_prediction_tokens":0},"latency_checkpoint":{"service_ttft_ms":619,"user_visible_ttft_ms":475,"total_duration_ms":3677,"pre_inference_ms":144,"service_tbt_ms":36,"service_ttlt_ms":3809,"engine_ttft_ms":346,"engine_ttlt_ms":3541,"engine_tbt_ms":36}},"service_tier":"default","system_fingerprint":"fp_fd471178c5"}</t>
        </is>
      </c>
      <c r="X20" t="inlineStr">
        <is>
          <t>Dior：米色简约短袜，甄选柔软棉质混纺面料，织入品牌标识Dior字样，质感细腻贴合脚型，设计典雅低调，展现法式高级格调。男女皆宜，休闲与商务穿搭皆轻松驾驭，舒适透气，彰显奢华品味。</t>
        </is>
      </c>
    </row>
    <row r="21" ht="25.5" customHeight="1">
      <c r="A21">
        <v>1654975475</v>
      </c>
      <c r="B21">
        <v>7624384903</v>
      </c>
      <c r="C21" s="2" t="str">
        <f>=HYPERLINK("https://weidian.com/item.html?itemID=7624384903", "https://weidian.com/item.html?itemID=7624384903")</f>
        <v>https://weidian.com/item.html?itemID=7624384903</v>
      </c>
      <c r="D21"/>
      <c r="E21" s="2" t="str">
        <f>=HYPERLINK("https://si.geilicdn.com/pcitem2014204438-0a380000019ae7ba67450a20e672_1080_1080.jpg?w=640&amp;h=640", "https://si.geilicdn.com/pcitem2014204438-0a380000019ae7ba67450a20e672_1080_1080.jpg?w=640&amp;h=640")</f>
        <v>https://si.geilicdn.com/pcitem2014204438-0a380000019ae7ba67450a20e672_1080_1080.jpg?w=640&amp;h=640</v>
      </c>
      <c r="F21" t="inlineStr">
        <is>
          <t>Socks &amp; Hosiery</t>
        </is>
      </c>
      <c r="G21" t="inlineStr">
        <is>
          <t>Miu Miu</t>
        </is>
      </c>
      <c r="H21">
        <v>136</v>
      </c>
      <c r="I21">
        <v>19.71</v>
      </c>
      <c r="J2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Classic Black White Cotton Mid-Calf Socks","refusal":null,"role":"assistant"}}],"created":1778143047,"id":"chatcmpl-DcoWVHmD4AdYSda01lmchOy0x9x9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17,"engine_ttft_ms":840,"engine_ttlt_ms":1057,"pre_inference_ms":114,"service_tbt_ms":17,"service_ttft_ms":1751,"service_ttlt_ms":1966,"total_duration_ms":1860,"user_visible_ttft_ms":1636},"prompt_tokens":883,"prompt_tokens_details":{"audio_tokens":0,"cached_tokens":0},"total_tokens":896}}</t>
        </is>
      </c>
      <c r="K21" t="inlineStr">
        <is>
          <t>Miu Miu Classic Black White Cotton Mid-Calf Socks</t>
        </is>
      </c>
      <c r="L2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Classic Black &amp; White Mid-Calf Socks, crafted from soft cotton with logo embroidery, minimalist unisex design, breathable comfort and modern luxury style for everyday fashion elegance.","refusal":null,"role":"assistant"}}],"created":1778142062,"id":"chatcmpl-DcoGcblZ6kMvlGwlWupDaNMpuT2I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54,"engine_ttft_ms":498,"engine_ttlt_ms":2563,"pre_inference_ms":136,"service_tbt_ms":54,"service_ttft_ms":933,"service_ttlt_ms":2973,"total_duration_ms":2862,"user_visible_ttft_ms":797},"prompt_tokens":902,"prompt_tokens_details":{"audio_tokens":0,"cached_tokens":0},"total_tokens":940}}</t>
        </is>
      </c>
      <c r="M21" t="inlineStr">
        <is>
          <t>{"alt-svc":"h3=\":443\"; ma=2592000","apim-request-id":"0d40a375-ef00-4988-9994-587eecc57aee","azureml-model-session":"d20260501041445-2c187743","connection":"close","content-length":"1659","content-type":"application/json","date":"Thu, 07 May 2026 08:21:04 GMT","server":"Caddy","skip-error-remapping":"true","strict-transport-security":"max-age=31536000; includeSubDomains; preload","x-accel-buffering":"no","x-content-type-options":"nosniff","x-ms-client-request-id":"Not-Set","x-ms-is-spilled-over":"false","x-ms-rai-invoked":"true","x-ms-region":"UK South","x-new-api-version":"v1.0.0-rc.4","x-oneapi-request-id":"202605070821017394334098268d9d6V7XElyKx","x-ratelimit-abusepenalty-active":"False","x-ratelimit-key":"gpt-5-chat-global","x-ratelimit-limit-requests":"1000","x-ratelimit-limit-tokens":"1000000","x-ratelimit-remaining-requests":"999","x-ratelimit-remaining-tokens":"997079","x-ratelimit-renewalperiod-requests":"60","x-ratelimit-renewalperiod-tokens":"60","x-ratelimit-reset-requests":"0","x-ratelimit-reset-tokens":"0","x-request-id":"175d96b3-e261-4a21-84ce-c27defccdb38","x-shellapi-request-id":"2026050716210144252534888316001"}</t>
        </is>
      </c>
      <c r="N21" t="inlineStr">
        <is>
          <t>Miu Miu Classic Black &amp; White Mid-Calf Socks, crafted from soft cotton with logo embroidery, minimalist unisex design, breathable comfort and modern luxury style for everyday fashion elegance.</t>
        </is>
      </c>
      <c r="O2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Socks &amp; Hosiery, kakobuy, kakebuy2026, kekobuysheet, kakobuysheet2026, 2026kakobuy, kakobuyspreadsheeet, kakobuylink, kakebuylist, Kakobuy MEGA Spreadsheet, kakobuysheetfind, kakobuysheetfind2026, 2026kakobuysheetfind, kakobuysheet2026","refusal":null,"role":"assistant"}}],"created":1778143659,"id":"chatcmpl-DcogN0mcKsnHQK20F4zSweQz0SYN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96,"completion_tokens_details":{"accepted_prediction_tokens":0,"audio_tokens":0,"reasoning_tokens":0,"rejected_prediction_tokens":0},"latency_checkpoint":{"engine_tbt_ms":79,"engine_ttft_ms":1663,"engine_ttlt_ms":9274,"pre_inference_ms":114,"service_tbt_ms":79,"service_ttft_ms":2649,"service_ttlt_ms":10256,"total_duration_ms":10150,"user_visible_ttft_ms":2534},"prompt_tokens":788,"prompt_tokens_details":{"audio_tokens":0,"cached_tokens":0},"total_tokens":884}}</t>
        </is>
      </c>
      <c r="P21" t="inlineStr">
        <is>
          <t>Miu Miu, Socks &amp; Hosiery, kakobuy, kakebuy2026, kekobuysheet, kakobuysheet2026, 2026kakobuy, kakobuyspreadsheeet, kakobuylink, kakebuylist, Kakobuy MEGA Spreadsheet, kakobuysheetfind, kakobuysheetfind2026, 2026kakobuysheetfind, kakobuysheet2026</t>
        </is>
      </c>
      <c r="Q21"/>
      <c r="R21" t="inlineStr">
        <is>
          <t>recvhju1CrMKnn</t>
        </is>
      </c>
      <c r="S21" t="inlineStr">
        <is>
          <t>miu-miu-black-white-cotton-mid-calf-socks-recvhju1crmknn</t>
        </is>
      </c>
      <c r="T21"/>
      <c r="U21"/>
      <c r="V21"/>
      <c r="W21" t="inlineStr">
        <is>
          <t>{"id":"chatcmpl-DcnnHbtYmRfDnBhEmkqjrXYg3ULpz","object":"chat.completion","created":1778140243,"model":"gpt-5-chat-latest","choices":[{"index":0,"message":{"role":"assistant","content":"Miu Miu：经典黑白中筒袜系列，柔软棉质面料搭配织标刺绣细节，极简设计展现现代奢华格调，男女皆宜，舒适透气，彰显轻奢时尚品味。","refusal":null,"annotations":[]},"logprobs":null,"finish_reason":"stop"}],"usage":{"prompt_tokens":1307,"completion_tokens":63,"total_tokens":1370,"prompt_tokens_details":{"cached_tokens":0,"audio_tokens":0},"completion_tokens_details":{"reasoning_tokens":0,"audio_tokens":0,"accepted_prediction_tokens":0,"rejected_prediction_tokens":0},"latency_checkpoint":{"service_ttft_ms":730,"user_visible_ttft_ms":558,"total_duration_ms":1824,"pre_inference_ms":172,"service_tbt_ms":20,"service_ttlt_ms":1992,"engine_ttft_ms":424,"engine_ttlt_ms":1671,"engine_tbt_ms":20}},"service_tier":"default","system_fingerprint":"fp_fd471178c5"}</t>
        </is>
      </c>
      <c r="X21" t="inlineStr">
        <is>
          <t>Miu Miu：经典黑白中筒袜系列，柔软棉质面料搭配织标刺绣细节，极简设计展现现代奢华格调，男女皆宜，舒适透气，彰显轻奢时尚品味。</t>
        </is>
      </c>
    </row>
    <row r="22" ht="25.5" customHeight="1">
      <c r="A22">
        <v>1654975475</v>
      </c>
      <c r="B22">
        <v>7624408481</v>
      </c>
      <c r="C22" s="2" t="str">
        <f>=HYPERLINK("https://weidian.com/item.html?itemID=7624408481", "https://weidian.com/item.html?itemID=7624408481")</f>
        <v>https://weidian.com/item.html?itemID=7624408481</v>
      </c>
      <c r="D22"/>
      <c r="E22" s="2" t="str">
        <f>=HYPERLINK("https://si.geilicdn.com/pcitem2014204438-13080000019ae7b6b76c0a23037f_1080_1080.jpg?w=640&amp;h=640", "https://si.geilicdn.com/pcitem2014204438-13080000019ae7b6b76c0a23037f_1080_1080.jpg?w=640&amp;h=640")</f>
        <v>https://si.geilicdn.com/pcitem2014204438-13080000019ae7b6b76c0a23037f_1080_1080.jpg?w=640&amp;h=640</v>
      </c>
      <c r="F22" t="inlineStr">
        <is>
          <t>Socks &amp; Hosiery</t>
        </is>
      </c>
      <c r="G22" t="inlineStr">
        <is>
          <t>Balenciaga</t>
        </is>
      </c>
      <c r="H22">
        <v>120</v>
      </c>
      <c r="I22">
        <v>17.39</v>
      </c>
      <c r="J2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lenciaga Striped Mid-Calf Sports Socks Unisex","refusal":null,"role":"assistant"}}],"created":1778143060,"id":"chatcmpl-DcoWi3vAamh0M4f9RWsrdxOzWHLIS","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17,"engine_ttft_ms":856,"engine_ttlt_ms":1071,"pre_inference_ms":165,"service_tbt_ms":17,"service_ttft_ms":1809,"service_ttlt_ms":2024,"total_duration_ms":1866,"user_visible_ttft_ms":1645},"prompt_tokens":886,"prompt_tokens_details":{"audio_tokens":0,"cached_tokens":0},"total_tokens":899}}</t>
        </is>
      </c>
      <c r="K22" t="inlineStr">
        <is>
          <t>Balenciaga Striped Mid-Calf Sports Socks Unisex</t>
        </is>
      </c>
      <c r="L2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lenciaga classic striped mid-calf sports socks, crafted from flexible cotton blend, feature 3D logo and contrast lettering, unisex, breathable, comfortable, showcasing modern streetwear style.","refusal":null,"role":"assistant"}}],"created":1778142179,"id":"chatcmpl-DcoIViWfAKjy6pxzafOW5LN7lO5LD","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100,"engine_ttft_ms":966,"engine_ttlt_ms":4982,"pre_inference_ms":178,"service_tbt_ms":101,"service_ttft_ms":1413,"service_ttlt_ms":5429,"total_duration_ms":5259,"user_visible_ttft_ms":1235},"prompt_tokens":910,"prompt_tokens_details":{"audio_tokens":0,"cached_tokens":0},"total_tokens":950}}</t>
        </is>
      </c>
      <c r="M22" t="inlineStr">
        <is>
          <t>{"alt-svc":"h3=\":443\"; ma=2592000","apim-request-id":"1b1e1ae8-1438-4a53-a10b-67b07dab4c71","azureml-model-session":"d20260501050840-08dc6769","connection":"close","content-length":"1660","content-type":"application/json","date":"Thu, 07 May 2026 08:23:04 GMT","skip-error-remapping":"true","strict-transport-security":"max-age=31536000; includeSubDomains; preload","via":"1.1 Caddy","x-accel-buffering":"no","x-content-type-options":"nosniff","x-ms-client-request-id":"Not-Set","x-ms-is-spilled-over":"false","x-ms-rai-invoked":"true","x-ms-region":"Sweden Central","x-new-api-version":"v1.0.0-rc.4","x-oneapi-request-id":"202605070822584695647318268d9d6IkSm0CmO","x-ratelimit-abusepenalty-active":"False","x-ratelimit-key":"gpt-5-chat-global","x-ratelimit-limit-requests":"1000","x-ratelimit-limit-tokens":"1000000","x-ratelimit-remaining-requests":"999","x-ratelimit-remaining-tokens":"998328","x-ratelimit-renewalperiod-requests":"60","x-ratelimit-renewalperiod-tokens":"60","x-ratelimit-reset-requests":"0","x-ratelimit-reset-tokens":"0","x-request-id":"68053db8-3a4e-499d-be92-951bc2db92ed","x-shellapi-request-id":"2026050716225840293328421258322"}</t>
        </is>
      </c>
      <c r="N22" t="inlineStr">
        <is>
          <t>Balenciaga classic striped mid-calf sports socks, crafted from flexible cotton blend, feature 3D logo and contrast lettering, unisex, breathable, comfortable, showcasing modern streetwear style.</t>
        </is>
      </c>
      <c r="O22"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filtered"}},"content_filter_results":{"protected_material_code":{"detected":false,"filtered":false},"protected_material_text":{"detected":false,"filtered":false}},"finish_reason":"stop","index":0,"logprobs":null,"message":{"annotations":[],"content":"Balenciaga,Socks &amp; Hosiery,kakobuy,kakebuy2026,kekobuysheet,kakobuysheet2026,2026kakobuy,kakobuyspreadsheeet,kakobuylink,kakebuylist,Kakobuy MEGA Spreadsheet,kakobuysheetfind,kakobuysheetfind2026,2026kakobuysheetfind,kakobuysheet2026","refusal":null,"role":"assistant"}}],"created":1778143506,"id":"chatcmpl-Dcodujk8n4DfF8WCwGoALY11jaNJB","model":"gpt-5-chat-2025-10-03","object":"chat.completion","prompt_filter_results":[{"prompt_index":0,"content_filter_results":{"jailbreak":{"detected":false,"filtered":false}}}],"service_tier":"default","system_fingerprint":"fp_fd471178c5","usage":{"completion_tokens":91,"completion_tokens_details":{"accepted_prediction_tokens":0,"audio_tokens":0,"reasoning_tokens":0,"rejected_prediction_tokens":0},"latency_checkpoint":{"engine_tbt_ms":17,"engine_ttft_ms":787,"engine_ttlt_ms":2364,"pre_inference_ms":147,"service_tbt_ms":17,"service_ttft_ms":1216,"service_ttlt_ms":2793,"total_duration_ms":2653,"user_visible_ttft_ms":1069},"prompt_tokens":787,"prompt_tokens_details":{"audio_tokens":0,"cached_tokens":0},"total_tokens":878}}</t>
        </is>
      </c>
      <c r="P22" t="inlineStr">
        <is>
          <t>Balenciaga,Socks &amp; Hosiery,kakobuy,kakebuy2026,kekobuysheet,kakobuysheet2026,2026kakobuy,kakobuyspreadsheeet,kakobuylink,kakebuylist,Kakobuy MEGA Spreadsheet,kakobuysheetfind,kakobuysheetfind2026,2026kakobuysheetfind,kakobuysheet2026</t>
        </is>
      </c>
      <c r="Q22" t="inlineStr">
        <is>
          <t>Balenciaga, Unisex, Breathable, Comfort, Streetwear, Modern</t>
        </is>
      </c>
      <c r="R22" t="inlineStr">
        <is>
          <t>recvhju1CrqtKP</t>
        </is>
      </c>
      <c r="S22" t="inlineStr">
        <is>
          <t>balenciaga-striped-mid-calf-sports-socks-recvhju1crqtkp</t>
        </is>
      </c>
      <c r="T22"/>
      <c r="U22"/>
      <c r="V22"/>
      <c r="W22" t="inlineStr">
        <is>
          <t>{"id":"chatcmpl-DcnmJbXCU9gQJkMYKjSzoim9GzrOE","object":"chat.completion","created":1778140183,"model":"gpt-5-chat-latest","choices":[{"index":0,"message":{"role":"assistant","content":"Balenciaga：经典白色条纹运动中筒袜，以柔韧棉质混纺材质打造，饰有品牌立体织标与撞色字母图腾，展现简约街头风格，男女皆宜，舒适透气，彰显现代休闲美学。","refusal":null,"annotations":[]},"logprobs":null,"finish_reason":"stop"}],"usage":{"prompt_tokens":1309,"completion_tokens":70,"total_tokens":1379,"prompt_tokens_details":{"cached_tokens":1280,"audio_tokens":0},"completion_tokens_details":{"reasoning_tokens":0,"audio_tokens":0,"accepted_prediction_tokens":0,"rejected_prediction_tokens":0},"latency_checkpoint":{"service_ttft_ms":607,"user_visible_ttft_ms":462,"total_duration_ms":2141,"pre_inference_ms":145,"service_tbt_ms":24,"service_ttlt_ms":2279,"engine_ttft_ms":335,"engine_ttlt_ms":2007,"engine_tbt_ms":24}},"service_tier":"default","system_fingerprint":"fp_fd471178c5"}</t>
        </is>
      </c>
      <c r="X22" t="inlineStr">
        <is>
          <t>Balenciaga：经典白色条纹运动中筒袜，以柔韧棉质混纺材质打造，饰有品牌立体织标与撞色字母图腾，展现简约街头风格，男女皆宜，舒适透气，彰显现代休闲美学。</t>
        </is>
      </c>
    </row>
    <row r="23" ht="25.5" customHeight="1">
      <c r="A23">
        <v>1654975475</v>
      </c>
      <c r="B23">
        <v>7626814750</v>
      </c>
      <c r="C23" s="2" t="str">
        <f>=HYPERLINK("https://weidian.com/item.html?itemID=7626814750", "https://weidian.com/item.html?itemID=7626814750")</f>
        <v>https://weidian.com/item.html?itemID=7626814750</v>
      </c>
      <c r="D23"/>
      <c r="E23" s="2" t="str">
        <f>=HYPERLINK("https://si.geilicdn.com/pcitem902014207253-49e30000019ae7495f500a2304aa_1290_1707.jpg?w=640&amp;h=640", "https://si.geilicdn.com/pcitem902014207253-49e30000019ae7495f500a2304aa_1290_1707.jpg?w=640&amp;h=640")</f>
        <v>https://si.geilicdn.com/pcitem902014207253-49e30000019ae7495f500a2304aa_1290_1707.jpg?w=640&amp;h=640</v>
      </c>
      <c r="F23" t="inlineStr">
        <is>
          <t>Accessories</t>
        </is>
      </c>
      <c r="G23" t="inlineStr">
        <is>
          <t>Tory Burch</t>
        </is>
      </c>
      <c r="H23">
        <v>390</v>
      </c>
      <c r="I23">
        <v>56.52</v>
      </c>
      <c r="J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ry Burch Black Nylon Leather Accent Travel Backpack","refusal":null,"role":"assistant"}}],"created":1778142944,"id":"chatcmpl-DcoUqCIy2igf71UJ9lJWsWk6D3F9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49,"engine_ttft_ms":762,"engine_ttlt_ms":1299,"pre_inference_ms":175,"service_tbt_ms":50,"service_ttft_ms":1176,"service_ttlt_ms":1712,"total_duration_ms":1549,"user_visible_ttft_ms":1001},"prompt_tokens":875,"prompt_tokens_details":{"audio_tokens":0,"cached_tokens":0},"total_tokens":886}}</t>
        </is>
      </c>
      <c r="K23" t="inlineStr">
        <is>
          <t>Tory Burch Black Nylon Leather Accent Travel Backpack</t>
        </is>
      </c>
      <c r="L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ry Burch Black Nylon Backpack with leather accents and metal buckles, sleek and durable design for urban style, perfect for daily commute or travel, unisex and lightweight.","refusal":null,"role":"assistant"}}],"created":1778141975,"id":"chatcmpl-DcoFDRFwdLIhnc77DtHTlILls5hS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22,"engine_ttft_ms":432,"engine_ttlt_ms":1210,"pre_inference_ms":173,"service_tbt_ms":22,"service_ttft_ms":741,"service_ttlt_ms":1519,"total_duration_ms":1354,"user_visible_ttft_ms":568},"prompt_tokens":904,"prompt_tokens_details":{"audio_tokens":0,"cached_tokens":0},"total_tokens":940}}</t>
        </is>
      </c>
      <c r="M23" t="inlineStr">
        <is>
          <t>{"alt-svc":"h3=\":443\"; ma=2592000","apim-request-id":"7c6d3df1-c926-4423-ad34-a29ecd15c8d8","azureml-model-session":"d20260428205641-55ca9797","connection":"close","content-length":"1636","content-type":"application/json","date":"Thu, 07 May 2026 08:19:36 GMT","server":"Caddy","skip-error-remapping":"true","strict-transport-security":"max-age=31536000; includeSubDomains; preload","x-accel-buffering":"no","x-content-type-options":"nosniff","x-ms-client-request-id":"Not-Set","x-ms-is-spilled-over":"false","x-ms-rai-invoked":"true","x-ms-region":"East US 2","x-new-api-version":"v1.0.0-rc.4","x-oneapi-request-id":"202605070819347315148478268d9d6QFDISeHh","x-ratelimit-abusepenalty-active":"False","x-ratelimit-key":"gpt-5-chat-global","x-ratelimit-limit-requests":"1000","x-ratelimit-limit-tokens":"1000000","x-ratelimit-remaining-requests":"999","x-ratelimit-remaining-tokens":"998334","x-ratelimit-renewalperiod-requests":"60","x-ratelimit-renewalperiod-tokens":"60","x-ratelimit-reset-requests":"0","x-ratelimit-reset-tokens":"0","x-request-id":"4530ddce-7203-4519-96fb-32d034e1fa98","x-shellapi-request-id":"2026050716193467597791515177196"}</t>
        </is>
      </c>
      <c r="N23" t="inlineStr">
        <is>
          <t>Tory Burch Black Nylon Backpack with leather accents and metal buckles, sleek and durable design for urban style, perfect for daily commute or travel, unisex and lightweight.</t>
        </is>
      </c>
      <c r="O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ry Burch, Accessories, kakobuy, kakebuy2026, kekobuysheet, kakobuysheet2026, 2026kakobuy, kakobuyspreadsheeet, kakobuylink, kakebuylist, Kakobuy MEGA Spreadsheet, kakobuysheetfind, kakobuysheetfind2026, 2026kakobuysheetfind, kakobuysheet2026","refusal":null,"role":"assistant"}}],"created":1778143409,"id":"chatcmpl-DcocLICD968wK76l9FbntzVYzFI4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93,"completion_tokens_details":{"accepted_prediction_tokens":0,"audio_tokens":0,"reasoning_tokens":0,"rejected_prediction_tokens":0},"latency_checkpoint":{"engine_tbt_ms":117,"engine_ttft_ms":868,"engine_ttlt_ms":11740,"pre_inference_ms":173,"service_tbt_ms":117,"service_ttft_ms":1464,"service_ttlt_ms":12335,"total_duration_ms":12171,"user_visible_ttft_ms":1291},"prompt_tokens":784,"prompt_tokens_details":{"audio_tokens":0,"cached_tokens":0},"total_tokens":877}}</t>
        </is>
      </c>
      <c r="P23" t="inlineStr">
        <is>
          <t>Tory Burch, Accessories, kakobuy, kakebuy2026, kekobuysheet, kakobuysheet2026, 2026kakobuy, kakobuyspreadsheeet, kakobuylink, kakebuylist, Kakobuy MEGA Spreadsheet, kakobuysheetfind, kakobuysheetfind2026, 2026kakobuysheetfind, kakobuysheet2026</t>
        </is>
      </c>
      <c r="Q23" t="inlineStr">
        <is>
          <t>Backpack, Nylon, Black, Unisex, Lightweight, Streetwear</t>
        </is>
      </c>
      <c r="R23" t="inlineStr">
        <is>
          <t>recvhju1Cr0dOe</t>
        </is>
      </c>
      <c r="S23" t="inlineStr">
        <is>
          <t>tory-burch-black-nylon-leather-accent-travel-backpack-recvhju1cr0doe</t>
        </is>
      </c>
      <c r="T23"/>
      <c r="U23"/>
      <c r="V23"/>
      <c r="W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ry Burch：黑色尼龙双肩背包，搭配皮革细节与金属扣饰，简约实用设计展现都市摩登风格，轻盈耐磨，兼具时尚与功能性，男女皆宜，完美适配日常通勤与旅行需求。","refusal":null,"role":"assistant"}}],"created":1778140317,"id":"chatcmpl-DcnoTFeoUeAaiY6vJHQ1Bqn4nRZD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69,"completion_tokens_details":{"accepted_prediction_tokens":0,"audio_tokens":0,"reasoning_tokens":0,"rejected_prediction_tokens":0},"latency_checkpoint":{"engine_tbt_ms":172,"engine_ttft_ms":1146,"engine_ttlt_ms":12993,"pre_inference_ms":242,"service_tbt_ms":172,"service_ttft_ms":1492,"service_ttlt_ms":13338,"total_duration_ms":13104,"user_visible_ttft_ms":1250},"prompt_tokens":1303,"prompt_tokens_details":{"audio_tokens":0,"cached_tokens":0},"total_tokens":1372}}</t>
        </is>
      </c>
      <c r="X23" t="inlineStr">
        <is>
          <t>Tory Burch：黑色尼龙双肩背包，搭配皮革细节与金属扣饰，简约实用设计展现都市摩登风格，轻盈耐磨，兼具时尚与功能性，男女皆宜，完美适配日常通勤与旅行需求。</t>
        </is>
      </c>
    </row>
    <row r="24" ht="25.5" customHeight="1">
      <c r="A24">
        <v>1654975475</v>
      </c>
      <c r="B24">
        <v>7627090556</v>
      </c>
      <c r="C24" s="2" t="str">
        <f>=HYPERLINK("https://weidian.com/item.html?itemID=7627090556", "https://weidian.com/item.html?itemID=7627090556")</f>
        <v>https://weidian.com/item.html?itemID=7627090556</v>
      </c>
      <c r="D24"/>
      <c r="E24" s="2" t="str">
        <f>=HYPERLINK("https://si.geilicdn.com/pcitem902014207253-6e250000019ae7495e520a81347d_1074_1074.jpg?w=640&amp;h=640", "https://si.geilicdn.com/pcitem902014207253-6e250000019ae7495e520a81347d_1074_1074.jpg?w=640&amp;h=640")</f>
        <v>https://si.geilicdn.com/pcitem902014207253-6e250000019ae7495e520a81347d_1074_1074.jpg?w=640&amp;h=640</v>
      </c>
      <c r="F24" t="inlineStr">
        <is>
          <t>Accessories</t>
        </is>
      </c>
      <c r="G24" t="inlineStr">
        <is>
          <t>TUMI</t>
        </is>
      </c>
      <c r="H24">
        <v>490</v>
      </c>
      <c r="I24">
        <v>71.01</v>
      </c>
      <c r="J2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UMI Black Nylon Gold Zipper Travel Backpack","refusal":null,"role":"assistant"}}],"created":1778143054,"id":"chatcmpl-DcoWct7lQrIbUYjmxGL0UjTMznhT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17,"engine_ttft_ms":927,"engine_ttlt_ms":1118,"pre_inference_ms":143,"service_tbt_ms":18,"service_ttft_ms":1384,"service_ttlt_ms":1574,"total_duration_ms":1440,"user_visible_ttft_ms":1242},"prompt_tokens":877,"prompt_tokens_details":{"audio_tokens":0,"cached_tokens":0},"total_tokens":888}}</t>
        </is>
      </c>
      <c r="K24" t="inlineStr">
        <is>
          <t>TUMI Black Nylon Gold Zipper Travel Backpack</t>
        </is>
      </c>
      <c r="L2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UMI Black Nylon Multi-Functional Backpack with Gold Zippers, sleek urban design for men and women, lightweight and water-resistant, perfect for business and travel, showcasing modern elegance.","refusal":null,"role":"assistant"}}],"created":1778142135,"id":"chatcmpl-DcoHnECxAK3WUJMg8Mljfuq7E3sGi","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91,"engine_ttft_ms":1039,"engine_ttlt_ms":4513,"pre_inference_ms":142,"service_tbt_ms":92,"service_ttft_ms":1326,"service_ttlt_ms":4798,"total_duration_ms":4667,"user_visible_ttft_ms":1184},"prompt_tokens":894,"prompt_tokens_details":{"audio_tokens":0,"cached_tokens":0},"total_tokens":932}}</t>
        </is>
      </c>
      <c r="M24" t="inlineStr">
        <is>
          <t>{"alt-svc":"h3=\":443\"; ma=2592000","apim-request-id":"126b2b10-e333-4c29-8110-5fe555815cea","azureml-model-session":"d20260501041445-2c187743","connection":"close","content-length":"1658","content-type":"application/json","date":"Thu, 07 May 2026 08:22:19 GMT","server":"Caddy","skip-error-remapping":"true","strict-transport-security":"max-age=31536000; includeSubDomains; preload","x-accel-buffering":"no","x-content-type-options":"nosniff","x-ms-client-request-id":"Not-Set","x-ms-is-spilled-over":"false","x-ms-rai-invoked":"true","x-ms-region":"Sweden Central","x-new-api-version":"v1.0.0-rc.4","x-oneapi-request-id":"20260507082214984077778268d9d6p4s1zRbV","x-ratelimit-abusepenalty-active":"False","x-ratelimit-key":"gpt-5-chat-global","x-ratelimit-limit-requests":"1000","x-ratelimit-limit-tokens":"1000000","x-ratelimit-remaining-requests":"999","x-ratelimit-remaining-tokens":"996945","x-ratelimit-renewalperiod-requests":"60","x-ratelimit-renewalperiod-tokens":"60","x-ratelimit-reset-requests":"0","x-ratelimit-reset-tokens":"0","x-request-id":"9b4ef2ec-cac8-4f6a-b305-67098ae8c678","x-shellapi-request-id":"2026050716221373388326822706850"}</t>
        </is>
      </c>
      <c r="N24" t="inlineStr">
        <is>
          <t>TUMI Black Nylon Multi-Functional Backpack with Gold Zippers, sleek urban design for men and women, lightweight and water-resistant, perfect for business and travel, showcasing modern elegance.</t>
        </is>
      </c>
      <c r="O2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UMI,Backpack,kakobuy,kakebuy2026,kekobuysheet,kakobuysheet2026,2026kakobuy,kakobuyspreadsheeet,kakobuylink,kakebuylist,Kakobuy MEGA Spreadsheet,kakobuysheetfind,kakobuysheetfind2026,2026kakobuysheetfind,kakobuysheet2026","refusal":null,"role":"assistant"}}],"created":1778143557,"id":"chatcmpl-DcoejX2jxSXvLgByPiNHaFC9UKNt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77,"engine_ttft_ms":817,"engine_ttlt_ms":7651,"pre_inference_ms":109,"service_tbt_ms":77,"service_ttft_ms":1194,"service_ttlt_ms":8026,"total_duration_ms":7928,"user_visible_ttft_ms":1085},"prompt_tokens":783,"prompt_tokens_details":{"audio_tokens":0,"cached_tokens":0},"total_tokens":872}}</t>
        </is>
      </c>
      <c r="P24" t="inlineStr">
        <is>
          <t>TUMI,Backpack,kakobuy,kakebuy2026,kekobuysheet,kakobuysheet2026,2026kakobuy,kakobuyspreadsheeet,kakobuylink,kakebuylist,Kakobuy MEGA Spreadsheet,kakobuysheetfind,kakobuysheetfind2026,2026kakobuysheetfind,kakobuysheet2026</t>
        </is>
      </c>
      <c r="Q24" t="inlineStr">
        <is>
          <t>Backpack, Black, Nylon, Unisex, Waterproof, Modern</t>
        </is>
      </c>
      <c r="R24" t="inlineStr">
        <is>
          <t>recvhju1Crawef</t>
        </is>
      </c>
      <c r="S24" t="inlineStr">
        <is>
          <t>tumi-black-nylon-gold-zipper-travel-backpack-recvhju1crawef</t>
        </is>
      </c>
      <c r="T24"/>
      <c r="U24"/>
      <c r="V24"/>
      <c r="W24" t="inlineStr">
        <is>
          <t>{"id":"chatcmpl-DcnlOSHVmJjitiFQaZ0dxdyEbRivo","object":"chat.completion","created":1778140126,"model":"gpt-5-chat-latest","choices":[{"index":0,"message":{"role":"assistant","content":"TUMI 黑色尼龙多功能背包，金色拉链细节彰显奢华质感，简约都市设计，男女通用款，适合商务与休闲出行，轻盈防水材质，展现现代优雅风格。","refusal":null,"annotations":[]},"logprobs":null,"finish_reason":"stop"}],"usage":{"prompt_tokens":1301,"completion_tokens":61,"total_tokens":1362,"prompt_tokens_details":{"cached_tokens":0,"audio_tokens":0},"completion_tokens_details":{"reasoning_tokens":0,"audio_tokens":0,"accepted_prediction_tokens":0,"rejected_prediction_tokens":0},"latency_checkpoint":{"service_ttft_ms":1843,"user_visible_ttft_ms":1702,"total_duration_ms":3856,"pre_inference_ms":142,"service_tbt_ms":35,"service_ttlt_ms":3991,"engine_ttft_ms":962,"engine_ttlt_ms":3110,"engine_tbt_ms":35}},"service_tier":"default","system_fingerprint":"fp_fd471178c5"}</t>
        </is>
      </c>
      <c r="X24" t="inlineStr">
        <is>
          <t>TUMI 黑色尼龙多功能背包，金色拉链细节彰显奢华质感，简约都市设计，男女通用款，适合商务与休闲出行，轻盈防水材质，展现现代优雅风格。</t>
        </is>
      </c>
    </row>
    <row r="25" ht="25.5" customHeight="1">
      <c r="A25">
        <v>1654975475</v>
      </c>
      <c r="B25">
        <v>7626811274</v>
      </c>
      <c r="C25" s="2" t="str">
        <f>=HYPERLINK("https://weidian.com/item.html?itemID=7626811274", "https://weidian.com/item.html?itemID=7626811274")</f>
        <v>https://weidian.com/item.html?itemID=7626811274</v>
      </c>
      <c r="D25"/>
      <c r="E25" s="2" t="str">
        <f>=HYPERLINK("https://si.geilicdn.com/pcitem2014204438-437c0000019ae4988ac90a210139_1440_1920.jpg?w=640&amp;h=640", "https://si.geilicdn.com/pcitem2014204438-437c0000019ae4988ac90a210139_1440_1920.jpg?w=640&amp;h=640")</f>
        <v>https://si.geilicdn.com/pcitem2014204438-437c0000019ae4988ac90a210139_1440_1920.jpg?w=640&amp;h=640</v>
      </c>
      <c r="F25" t="inlineStr">
        <is>
          <t>Accessories</t>
        </is>
      </c>
      <c r="G25" t="inlineStr">
        <is>
          <t>On Running</t>
        </is>
      </c>
      <c r="H25">
        <v>360</v>
      </c>
      <c r="I25">
        <v>52.17</v>
      </c>
      <c r="J2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n Running Black Waterproof Nylon Travel Sports Bag","refusal":null,"role":"assistant"}}],"created":1778143049,"id":"chatcmpl-DcoWXKfccgVSVfnRhC1b8VJgVb7m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52,"engine_ttft_ms":1020,"engine_ttlt_ms":1491,"pre_inference_ms":114,"service_tbt_ms":53,"service_ttft_ms":1356,"service_ttlt_ms":1827,"total_duration_ms":1720,"user_visible_ttft_ms":1242},"prompt_tokens":875,"prompt_tokens_details":{"audio_tokens":0,"cached_tokens":0},"total_tokens":884}}</t>
        </is>
      </c>
      <c r="K25" t="inlineStr">
        <is>
          <t>On Running Black Waterproof Nylon Travel Sports Bag</t>
        </is>
      </c>
      <c r="L2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n Running black lightweight travel sports bag with waterproof nylon, sleek minimalist design, logo detail, wide strap and multi-compartment storage for urban commute or outdoor use, unisex style.","refusal":null,"role":"assistant"}}],"created":1778142304,"id":"chatcmpl-DcoKWIEUWCHWMlYPNNb3G6qMXlil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47,"engine_ttft_ms":775,"engine_ttlt_ms":2501,"pre_inference_ms":157,"service_tbt_ms":47,"service_ttft_ms":1197,"service_ttlt_ms":2923,"total_duration_ms":2785,"user_visible_ttft_ms":1040},"prompt_tokens":911,"prompt_tokens_details":{"audio_tokens":0,"cached_tokens":0},"total_tokens":948}}</t>
        </is>
      </c>
      <c r="M25" t="inlineStr">
        <is>
          <t>{"alt-svc":"h3=\":443\"; ma=2592000","apim-request-id":"ac4fc85a-b304-4f8d-af41-61103a4170df","azureml-model-session":"d20260501050840-08dc6769","connection":"close","content-length":"1660","content-type":"application/json","date":"Thu, 07 May 2026 08:25:06 GMT","skip-error-remapping":"true","strict-transport-security":"max-age=31536000; includeSubDomains; preload","via":"1.1 Caddy","x-accel-buffering":"no","x-content-type-options":"nosniff","x-ms-client-request-id":"Not-Set","x-ms-is-spilled-over":"false","x-ms-rai-invoked":"true","x-ms-region":"Switzerland North","x-new-api-version":"v1.0.0-rc.4","x-oneapi-request-id":"202605070825032702896178268d9d6d3ctfDjX","x-ratelimit-abusepenalty-active":"False","x-ratelimit-key":"gpt-5-chat-global","x-ratelimit-limit-requests":"1000","x-ratelimit-limit-tokens":"1000000","x-ratelimit-remaining-requests":"999","x-ratelimit-remaining-tokens":"998327","x-ratelimit-renewalperiod-requests":"60","x-ratelimit-renewalperiod-tokens":"60","x-ratelimit-reset-requests":"0","x-ratelimit-reset-tokens":"0","x-request-id":"b93f3283-3d49-4b66-977b-84726c484900","x-shellapi-request-id":"2026050716250321907636907855220"}</t>
        </is>
      </c>
      <c r="N25" t="inlineStr">
        <is>
          <t>On Running black lightweight travel sports bag with waterproof nylon, sleek minimalist design, logo detail, wide strap and multi-compartment storage for urban commute or outdoor use, unisex style.</t>
        </is>
      </c>
      <c r="O2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n Running, Bag, kakobuy, kakebuy2026, kekobuysheet, kakobuysheet2026, 2026kakobuy, kakobuyspreadsheeet, kakobuylink, kakebuylist, Kakobuy MEGA Spreadsheet, kakobuysheetfind, kakobuysheetfind2026, 2026kakobuysheetfind, kakobuysheet2026","refusal":null,"role":"assistant"}}],"created":1778143395,"id":"chatcmpl-Dcoc7PzwY8UcdSDxKqKKGdkME4TF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91,"completion_tokens_details":{"accepted_prediction_tokens":0,"audio_tokens":0,"reasoning_tokens":0,"rejected_prediction_tokens":0},"latency_checkpoint":{"engine_tbt_ms":19,"engine_ttft_ms":1011,"engine_ttlt_ms":2743,"pre_inference_ms":133,"service_tbt_ms":19,"service_ttft_ms":1924,"service_ttlt_ms":3655,"total_duration_ms":3529,"user_visible_ttft_ms":1791},"prompt_tokens":782,"prompt_tokens_details":{"audio_tokens":0,"cached_tokens":0},"total_tokens":873}}</t>
        </is>
      </c>
      <c r="P25" t="inlineStr">
        <is>
          <t>On Running, Bag, kakobuy, kakebuy2026, kekobuysheet, kakobuysheet2026, 2026kakobuy, kakobuyspreadsheeet, kakobuylink, kakebuylist, Kakobuy MEGA Spreadsheet, kakobuysheetfind, kakobuysheetfind2026, 2026kakobuysheetfind, kakobuysheet2026</t>
        </is>
      </c>
      <c r="Q25" t="inlineStr">
        <is>
          <t>Black, Lightweight, Waterproof, Nylon, Minimalist, Unisex</t>
        </is>
      </c>
      <c r="R25" t="inlineStr">
        <is>
          <t>recvhju1CrcTT0</t>
        </is>
      </c>
      <c r="S25" t="inlineStr">
        <is>
          <t>on-running-black-waterproof-nylon-travel-sports-bag-recvhju1crcTT0</t>
        </is>
      </c>
      <c r="T25"/>
      <c r="U25"/>
      <c r="V25"/>
      <c r="W2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On Running 黑色轻量运动旅行包，采用防水尼龙面料与简约流线设计，品牌标志点缀彰显高识别度。宽肩带与多隔层结构便于收纳，兼具都市通勤与户外运动功能，男女通用，展现现代极简风格与实用美学。","refusal":null,"role":"assistant"}}],"created":1778140190,"id":"chatcmpl-DcnmQmXKRqQ0irpRaMeVLzPBBbN0L","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79,"completion_tokens_details":{"accepted_prediction_tokens":0,"audio_tokens":0,"reasoning_tokens":0,"rejected_prediction_tokens":0},"latency_checkpoint":{"engine_tbt_ms":23,"engine_ttft_ms":980,"engine_ttlt_ms":2763,"pre_inference_ms":153,"service_tbt_ms":23,"service_ttft_ms":1459,"service_ttlt_ms":3242,"total_duration_ms":3097,"user_visible_ttft_ms":1306},"prompt_tokens":1297,"prompt_tokens_details":{"audio_tokens":0,"cached_tokens":0},"total_tokens":1376}}</t>
        </is>
      </c>
      <c r="X25" t="inlineStr">
        <is>
          <t>On Running 黑色轻量运动旅行包，采用防水尼龙面料与简约流线设计，品牌标志点缀彰显高识别度。宽肩带与多隔层结构便于收纳，兼具都市通勤与户外运动功能，男女通用，展现现代极简风格与实用美学。</t>
        </is>
      </c>
    </row>
    <row r="26" ht="25.5" customHeight="1">
      <c r="A26">
        <v>1654975475</v>
      </c>
      <c r="B26">
        <v>7626913730</v>
      </c>
      <c r="C26" s="2" t="str">
        <f>=HYPERLINK("https://weidian.com/item.html?itemID=7626913730", "https://weidian.com/item.html?itemID=7626913730")</f>
        <v>https://weidian.com/item.html?itemID=7626913730</v>
      </c>
      <c r="D26"/>
      <c r="E26" s="2" t="str">
        <f>=HYPERLINK("https://si.geilicdn.com/pcitem2014204438-74c30000019ae494809f0a8133cc_1276_1276.jpg?w=640&amp;h=640", "https://si.geilicdn.com/pcitem2014204438-74c30000019ae494809f0a8133cc_1276_1276.jpg?w=640&amp;h=640")</f>
        <v>https://si.geilicdn.com/pcitem2014204438-74c30000019ae494809f0a8133cc_1276_1276.jpg?w=640&amp;h=640</v>
      </c>
      <c r="F26" t="inlineStr">
        <is>
          <t>Accessories</t>
        </is>
      </c>
      <c r="G26" t="inlineStr">
        <is>
          <t>lululemon</t>
        </is>
      </c>
      <c r="H26">
        <v>310</v>
      </c>
      <c r="I26">
        <v>44.93</v>
      </c>
      <c r="J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Black Waterproof Nylon Backpack for Travel Gym","refusal":null,"role":"assistant"}}],"created":1778142811,"id":"chatcmpl-DcoShtr94EJLgsj9mc4qU6Dwd8XD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56,"engine_ttft_ms":943,"engine_ttlt_ms":1616,"pre_inference_ms":159,"service_tbt_ms":57,"service_ttft_ms":1542,"service_ttlt_ms":2214,"total_duration_ms":2065,"user_visible_ttft_ms":1383},"prompt_tokens":878,"prompt_tokens_details":{"audio_tokens":0,"cached_tokens":0},"total_tokens":890}}</t>
        </is>
      </c>
      <c r="K26" t="inlineStr">
        <is>
          <t>Lululemon Black Waterproof Nylon Backpack for Travel Gym</t>
        </is>
      </c>
      <c r="L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black waterproof nylon backpack with silver metal buckles, lightweight and durable, unisex minimalist design perfect for city life, travel, gym, hiking, and outdoor adventures.","refusal":null,"role":"assistant"}}],"created":1778142327,"id":"chatcmpl-DcoKtPZSBNzsL9oYBlVmGUOimkPH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68,"engine_ttft_ms":1456,"engine_ttlt_ms":4050,"pre_inference_ms":141,"service_tbt_ms":69,"service_ttft_ms":2108,"service_ttlt_ms":4701,"total_duration_ms":4579,"user_visible_ttft_ms":1967},"prompt_tokens":891,"prompt_tokens_details":{"audio_tokens":0,"cached_tokens":0},"total_tokens":929}}</t>
        </is>
      </c>
      <c r="M26" t="inlineStr">
        <is>
          <t>{"alt-svc":"h3=\":443\"; ma=2592000","apim-request-id":"682012f0-c82e-4e6d-b305-7c418e1602b3","azureml-model-session":"d20260501041445-2c187743","connection":"close","content-length":"1651","content-type":"application/json","date":"Thu, 07 May 2026 08:25:31 GMT","server":"Caddy","skip-error-remapping":"true","strict-transport-security":"max-age=31536000; includeSubDomains; preload","x-accel-buffering":"no","x-content-type-options":"nosniff","x-ms-client-request-id":"Not-Set","x-ms-is-spilled-over":"false","x-ms-rai-invoked":"true","x-ms-region":"Australia East","x-new-api-version":"v1.0.0-rc.4","x-oneapi-request-id":"202605070825264244330678268d9d6375vU9ws","x-ratelimit-abusepenalty-active":"False","x-ratelimit-key":"gpt-5-chat-global","x-ratelimit-limit-requests":"1000","x-ratelimit-limit-tokens":"1000000","x-ratelimit-remaining-requests":"999","x-ratelimit-remaining-tokens":"998347","x-ratelimit-renewalperiod-requests":"60","x-ratelimit-renewalperiod-tokens":"60","x-ratelimit-reset-requests":"0","x-ratelimit-reset-tokens":"0","x-request-id":"4d1890a9-092a-4304-a6b9-d262e04fc5e4","x-shellapi-request-id":"2026050716252636422462448517622"}</t>
        </is>
      </c>
      <c r="N26" t="inlineStr">
        <is>
          <t>Lululemon black waterproof nylon backpack with silver metal buckles, lightweight and durable, unisex minimalist design perfect for city life, travel, gym, hiking, and outdoor adventures.</t>
        </is>
      </c>
      <c r="O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Backpack,kakobuy,kakebuy2026,kekobuysheet,kakobuysheet2026,2026kakobuy,kakobuyspreadsheeet,kakobuylink,kakebuylist,Kakobuy MEGA Spreadsheet,kakobuysheetfind,kakobuysheetfind2026,2026kakobuysheetfind,kakobuysheet2026","refusal":null,"role":"assistant"}}],"created":1778143731,"id":"chatcmpl-DcohXTy2QpwXUzEBmxuS64EypXKH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71,"engine_ttft_ms":383,"engine_ttlt_ms":6781,"pre_inference_ms":230,"service_tbt_ms":71,"service_ttft_ms":665,"service_ttlt_ms":7096,"total_duration_ms":6869,"user_visible_ttft_ms":435},"prompt_tokens":783,"prompt_tokens_details":{"audio_tokens":0,"cached_tokens":0},"total_tokens":873}}</t>
        </is>
      </c>
      <c r="P26" t="inlineStr">
        <is>
          <t>Lululemon,Backpack,kakobuy,kakebuy2026,kekobuysheet,kakobuysheet2026,2026kakobuy,kakobuyspreadsheeet,kakobuylink,kakebuylist,Kakobuy MEGA Spreadsheet,kakobuysheetfind,kakobuysheetfind2026,2026kakobuysheetfind,kakobuysheet2026</t>
        </is>
      </c>
      <c r="Q26" t="inlineStr">
        <is>
          <t>Backpack, Waterproof, Nylon, Lightweight, Unisex, Minimalist</t>
        </is>
      </c>
      <c r="R26" t="inlineStr">
        <is>
          <t>recvhju1Crrvvn</t>
        </is>
      </c>
      <c r="S26" t="inlineStr">
        <is>
          <t>lululemon-black-waterproof-nylon-backpack-recvhju1crrvvn</t>
        </is>
      </c>
      <c r="T26"/>
      <c r="U26"/>
      <c r="V26"/>
      <c r="W26" t="inlineStr">
        <is>
          <t>{"id":"chatcmpl-DcnqhMAcHIgNNNmYKQUbKjRcyUExQ","object":"chat.completion","created":1778140455,"model":"gpt-5-chat-latest","choices":[{"index":0,"message":{"role":"assistant","content":"Lululemon黑色运动休闲背包，采用防水尼龙材质，配银色金属扣设计，简约实用风格，男女皆宜，轻盈耐磨，适合都市与户外多场景携带。","refusal":null,"annotations":[]},"logprobs":null,"finish_reason":"stop"}],"usage":{"prompt_tokens":1301,"completion_tokens":57,"total_tokens":1358,"prompt_tokens_details":{"cached_tokens":0,"audio_tokens":0},"completion_tokens_details":{"reasoning_tokens":0,"audio_tokens":0,"accepted_prediction_tokens":0,"rejected_prediction_tokens":0},"latency_checkpoint":{"service_ttft_ms":1864,"user_visible_ttft_ms":1701,"total_duration_ms":2952,"pre_inference_ms":164,"service_tbt_ms":22,"service_ttlt_ms":3109,"engine_ttft_ms":966,"engine_ttlt_ms":2212,"engine_tbt_ms":22}},"service_tier":"default","system_fingerprint":"fp_fd471178c5"}</t>
        </is>
      </c>
      <c r="X26" t="inlineStr">
        <is>
          <t>Lululemon黑色运动休闲背包，采用防水尼龙材质，配银色金属扣设计，简约实用风格，男女皆宜，轻盈耐磨，适合都市与户外多场景携带。</t>
        </is>
      </c>
    </row>
    <row r="27" ht="25.5" customHeight="1">
      <c r="A27">
        <v>1654975475</v>
      </c>
      <c r="B27">
        <v>7623900693</v>
      </c>
      <c r="C27" s="2" t="str">
        <f>=HYPERLINK("https://weidian.com/item.html?itemID=7623900693", "https://weidian.com/item.html?itemID=7623900693")</f>
        <v>https://weidian.com/item.html?itemID=7623900693</v>
      </c>
      <c r="D27"/>
      <c r="E27" s="2" t="str">
        <f>=HYPERLINK("https://si.geilicdn.com/pcitem2014204438-679c0000019ae48e55f90a8134f0_1074_1074.jpg?w=640&amp;h=640", "https://si.geilicdn.com/pcitem2014204438-679c0000019ae48e55f90a8134f0_1074_1074.jpg?w=640&amp;h=640")</f>
        <v>https://si.geilicdn.com/pcitem2014204438-679c0000019ae48e55f90a8134f0_1074_1074.jpg?w=640&amp;h=640</v>
      </c>
      <c r="F27" t="inlineStr">
        <is>
          <t>Accessories</t>
        </is>
      </c>
      <c r="G27" t="inlineStr">
        <is>
          <t>Topologie</t>
        </is>
      </c>
      <c r="H27">
        <v>290</v>
      </c>
      <c r="I27">
        <v>42.03</v>
      </c>
      <c r="J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pologie Black Nylon Crossbody Bag Waterproof","refusal":null,"role":"assistant"}}],"created":1778143052,"id":"chatcmpl-DcoWayqGX5TQt7lt0lZFHlTzxTdz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20,"engine_ttft_ms":909,"engine_ttlt_ms":1087,"pre_inference_ms":149,"service_tbt_ms":21,"service_ttft_ms":1871,"service_ttlt_ms":2048,"total_duration_ms":1906,"user_visible_ttft_ms":1722},"prompt_tokens":865,"prompt_tokens_details":{"audio_tokens":0,"cached_tokens":0},"total_tokens":874}}</t>
        </is>
      </c>
      <c r="K27" t="inlineStr">
        <is>
          <t>Topologie Black Nylon Crossbody Bag Waterproof</t>
        </is>
      </c>
      <c r="L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pologie Black Lightweight Nylon Crossbody Bag, water-resistant fabric with climbing rope strap, minimalist urban design, unisex, stylish and functional for everyday adventures.","refusal":null,"role":"assistant"}}],"created":1778142273,"id":"chatcmpl-DcoK1BbAUVPljGPW0ZUBdV6c7hGn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32,"completion_tokens_details":{"accepted_prediction_tokens":0,"audio_tokens":0,"reasoning_tokens":0,"rejected_prediction_tokens":0},"latency_checkpoint":{"engine_tbt_ms":110,"engine_ttft_ms":998,"engine_ttlt_ms":4515,"pre_inference_ms":118,"service_tbt_ms":110,"service_ttft_ms":1349,"service_ttlt_ms":4882,"total_duration_ms":4766,"user_visible_ttft_ms":1231},"prompt_tokens":884,"prompt_tokens_details":{"audio_tokens":0,"cached_tokens":0},"total_tokens":916}}</t>
        </is>
      </c>
      <c r="M27" t="inlineStr">
        <is>
          <t>{"alt-svc":"h3=\":443\"; ma=2592000","apim-request-id":"028ec9f7-86c8-400d-a748-91a4e6ecf5af","azureml-model-session":"d20260501041445-2c187743","connection":"close","content-length":"1644","content-type":"application/json","date":"Thu, 07 May 2026 08:24:37 GMT","server":"Caddy","skip-error-remapping":"true","strict-transport-security":"max-age=31536000; includeSubDomains; preload","x-accel-buffering":"no","x-content-type-options":"nosniff","x-ms-client-request-id":"Not-Set","x-ms-is-spilled-over":"false","x-ms-rai-invoked":"true","x-ms-region":"Switzerland North","x-new-api-version":"v1.0.0-rc.4","x-oneapi-request-id":"202605070824324274673888268d9d65nB53f4n","x-ratelimit-abusepenalty-active":"False","x-ratelimit-key":"gpt-5-chat-global","x-ratelimit-limit-requests":"1000","x-ratelimit-limit-tokens":"1000000","x-ratelimit-remaining-requests":"999","x-ratelimit-remaining-tokens":"998354","x-ratelimit-renewalperiod-requests":"60","x-ratelimit-renewalperiod-tokens":"60","x-ratelimit-reset-requests":"0","x-ratelimit-reset-tokens":"0","x-request-id":"47c25af4-e086-4e2e-b721-4ca8b00acd63","x-shellapi-request-id":"2026050716243237679451676719441"}</t>
        </is>
      </c>
      <c r="N27" t="inlineStr">
        <is>
          <t>Topologie Black Lightweight Nylon Crossbody Bag, water-resistant fabric with climbing rope strap, minimalist urban design, unisex, stylish and functional for everyday adventures.</t>
        </is>
      </c>
      <c r="O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pologie,bag,kakobuy,kakebuy2026,kekobuysheet,kakobuysheet2026,2026kakobuy,kakobuyspreadsheeet,kakobuylink,kakebuylist,Kakobuy MEGA Spreadsheet,kakobuysheetfind,kakobuysheetfind2026,2026kakobuysheetfind,kakobuysheet2026","refusal":null,"role":"assistant"}}],"created":1778143358,"id":"chatcmpl-DcobWQb0UkEQOMS73hGBHh83E1d30","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87,"completion_tokens_details":{"accepted_prediction_tokens":0,"audio_tokens":0,"reasoning_tokens":0,"rejected_prediction_tokens":0},"latency_checkpoint":{"engine_tbt_ms":29,"engine_ttft_ms":672,"engine_ttlt_ms":3171,"pre_inference_ms":116,"service_tbt_ms":29,"service_ttft_ms":1055,"service_ttlt_ms":3553,"total_duration_ms":3443,"user_visible_ttft_ms":939},"prompt_tokens":782,"prompt_tokens_details":{"audio_tokens":0,"cached_tokens":0},"total_tokens":869}}</t>
        </is>
      </c>
      <c r="P27" t="inlineStr">
        <is>
          <t>Topologie,bag,kakobuy,kakebuy2026,kekobuysheet,kakobuysheet2026,2026kakobuy,kakobuyspreadsheeet,kakobuylink,kakebuylist,Kakobuy MEGA Spreadsheet,kakobuysheetfind,kakobuysheetfind2026,2026kakobuysheetfind,kakobuysheet2026</t>
        </is>
      </c>
      <c r="Q27" t="inlineStr">
        <is>
          <t>Nylon, Waterproof, Minimalist, Unisex, Style, Function</t>
        </is>
      </c>
      <c r="R27" t="inlineStr">
        <is>
          <t>recvhju1Crr9g9</t>
        </is>
      </c>
      <c r="S27" t="inlineStr">
        <is>
          <t>topologie-black-nylon-crossbody-bag-recvhju1crr9g9</t>
        </is>
      </c>
      <c r="T27"/>
      <c r="U27"/>
      <c r="V27"/>
      <c r="W27" t="inlineStr">
        <is>
          <t>{"id":"chatcmpl-Dcnn1QyYldQkk8UUJ25DuNN27ubYz","object":"chat.completion","created":1778140227,"model":"gpt-5-chat-latest","choices":[{"index":0,"message":{"role":"assistant","content":"Topologie 黑色轻量尼龙斜挎包，防泼水面料搭配登山绳肩带设计，极简都市风格，男女皆宜，兼具时尚与实用。","refusal":null,"annotations":[]},"logprobs":null,"finish_reason":"stop"}],"usage":{"prompt_tokens":1303,"completion_tokens":49,"total_tokens":1352,"prompt_tokens_details":{"cached_tokens":0,"audio_tokens":0},"completion_tokens_details":{"reasoning_tokens":0,"audio_tokens":0,"accepted_prediction_tokens":0,"rejected_prediction_tokens":0},"latency_checkpoint":{"service_ttft_ms":628,"user_visible_ttft_ms":472,"total_duration_ms":1579,"pre_inference_ms":156,"service_tbt_ms":23,"service_ttlt_ms":1727,"engine_ttft_ms":341,"engine_ttlt_ms":1441,"engine_tbt_ms":22}},"service_tier":"default","system_fingerprint":"fp_fd471178c5"}</t>
        </is>
      </c>
      <c r="X27" t="inlineStr">
        <is>
          <t>Topologie 黑色轻量尼龙斜挎包，防泼水面料搭配登山绳肩带设计，极简都市风格，男女皆宜，兼具时尚与实用。</t>
        </is>
      </c>
    </row>
    <row r="28" ht="25.5" customHeight="1">
      <c r="A28">
        <v>1654975475</v>
      </c>
      <c r="B28">
        <v>7623898711</v>
      </c>
      <c r="C28" s="2" t="str">
        <f>=HYPERLINK("https://weidian.com/item.html?itemID=7623898711", "https://weidian.com/item.html?itemID=7623898711")</f>
        <v>https://weidian.com/item.html?itemID=7623898711</v>
      </c>
      <c r="D28"/>
      <c r="E28" s="2" t="str">
        <f>=HYPERLINK("https://si.geilicdn.com/pcitem2014204438-6d9c0000019ae48de2490a210256_1440_1920.jpg?w=640&amp;h=640", "https://si.geilicdn.com/pcitem2014204438-6d9c0000019ae48de2490a210256_1440_1920.jpg?w=640&amp;h=640")</f>
        <v>https://si.geilicdn.com/pcitem2014204438-6d9c0000019ae48de2490a210256_1440_1920.jpg?w=640&amp;h=640</v>
      </c>
      <c r="F28" t="inlineStr">
        <is>
          <t>Accessories</t>
        </is>
      </c>
      <c r="G28" t="inlineStr">
        <is>
          <t>lululemon</t>
        </is>
      </c>
      <c r="H28">
        <v>340</v>
      </c>
      <c r="I28">
        <v>49.2898550724637</v>
      </c>
      <c r="J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Space Silver Waterproof Nylon Backpack","refusal":null,"role":"assistant"}}],"created":1778142877,"id":"chatcmpl-DcoTl7TIqFipp6NVULf5V0Xo2ZJm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15,"engine_ttft_ms":161,"engine_ttlt_ms":310,"pre_inference_ms":127,"service_tbt_ms":16,"service_ttft_ms":462,"service_ttlt_ms":610,"total_duration_ms":491,"user_visible_ttft_ms":335},"prompt_tokens":874,"prompt_tokens_details":{"audio_tokens":0,"cached_tokens":0},"total_tokens":884}}</t>
        </is>
      </c>
      <c r="K28" t="inlineStr">
        <is>
          <t>Lululemon Space Silver Waterproof Nylon Backpack</t>
        </is>
      </c>
      <c r="L2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 Space Silver Lightweight Backpack, waterproof nylon with smooth durable texture, sleek curved design, hidden organizer, unisex minimalist style for commute, gym, or travel.","refusal":null,"role":"assistant"}}],"created":1778142170,"id":"chatcmpl-DcoIMg5QDlPEd6Bg5k0chPR92HOti","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170,"engine_ttft_ms":408,"engine_ttlt_ms":6527,"pre_inference_ms":175,"service_tbt_ms":170,"service_ttft_ms":654,"service_ttlt_ms":6773,"total_duration_ms":6609,"user_visible_ttft_ms":479},"prompt_tokens":924,"prompt_tokens_details":{"audio_tokens":0,"cached_tokens":0},"total_tokens":960}}</t>
        </is>
      </c>
      <c r="M28" t="inlineStr">
        <is>
          <t>{"alt-svc":"h3=\":443\"; ma=2592000","apim-request-id":"8e8525c7-50a7-4284-b901-b289eef444f1","azureml-model-session":"d20260501041445-2c187743","connection":"close","content-length":"1646","content-type":"application/json","date":"Thu, 07 May 2026 08:22:56 GMT","server":"Caddy","skip-error-remapping":"true","strict-transport-security":"max-age=31536000; includeSubDomains; preload","x-accel-buffering":"no","x-content-type-options":"nosniff","x-ms-client-request-id":"Not-Set","x-ms-is-spilled-over":"false","x-ms-rai-invoked":"true","x-ms-region":"East US","x-new-api-version":"v1.0.0-rc.4","x-oneapi-request-id":"202605070822493092404858268d9d6I9XPY6My","x-ratelimit-abusepenalty-active":"False","x-ratelimit-key":"gpt-5-chat-global","x-ratelimit-limit-requests":"1000","x-ratelimit-limit-tokens":"1000000","x-ratelimit-remaining-requests":"999","x-ratelimit-remaining-tokens":"998314","x-ratelimit-renewalperiod-requests":"60","x-ratelimit-renewalperiod-tokens":"60","x-ratelimit-reset-requests":"0","x-ratelimit-reset-tokens":"0","x-request-id":"fea71ae4-a6f0-460d-806b-7df1dd2eee14","x-shellapi-request-id":"2026050716224925047479438931886"}</t>
        </is>
      </c>
      <c r="N28" t="inlineStr">
        <is>
          <t>Lululemon Space Silver Lightweight Backpack, waterproof nylon with smooth durable texture, sleek curved design, hidden organizer, unisex minimalist style for commute, gym, or travel.</t>
        </is>
      </c>
      <c r="O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accessories, kakobuy, kakebuy2026, kekobuysheet, kakobuysheet2026, 2026kakobuy, kakobuyspreadsheeet, kakobuylink, kakebuylist, Kakobuy MEGA Spreadsheet, kakobuysheetfind, kakobuysheetfind2026, 2026kakobuysheetfind, kakobuysheet2026","refusal":null,"role":"assistant"}}],"created":1778143660,"id":"chatcmpl-DcogOwvKyi5jgvN4bw4fuSg1wwhT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79,"engine_ttft_ms":1197,"engine_ttlt_ms":8421,"pre_inference_ms":126,"service_tbt_ms":79,"service_ttft_ms":1541,"service_ttlt_ms":8765,"total_duration_ms":8650,"user_visible_ttft_ms":1415},"prompt_tokens":783,"prompt_tokens_details":{"audio_tokens":0,"cached_tokens":0},"total_tokens":875}}</t>
        </is>
      </c>
      <c r="P28" t="inlineStr">
        <is>
          <t>lululemon, accessories, kakobuy, kakebuy2026, kekobuysheet, kakobuysheet2026, 2026kakobuy, kakobuyspreadsheeet, kakobuylink, kakebuylist, Kakobuy MEGA Spreadsheet, kakobuysheetfind, kakobuysheetfind2026, 2026kakobuysheetfind, kakobuysheet2026</t>
        </is>
      </c>
      <c r="Q28" t="inlineStr">
        <is>
          <t>Backpack, Nylon, Waterproof, Lightweight, Unisex, Minimalist</t>
        </is>
      </c>
      <c r="R28" t="inlineStr">
        <is>
          <t>recvhju1CrreJ8</t>
        </is>
      </c>
      <c r="S28" t="inlineStr">
        <is>
          <t>lululemon-space-silver-waterproof-nylon-backpack-recvhju1crrej8</t>
        </is>
      </c>
      <c r="T28"/>
      <c r="U28"/>
      <c r="V28"/>
      <c r="W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太空银轻量双肩背包，采用防水尼龙面料与极简弧线设计，质感顺滑耐磨；立体前袋与隐藏式收纳结构兼具实用与美感；中性简约风格，男女皆宜，通勤、健身与旅行皆可轻松驾驭，展现现代都市功能美学。","refusal":null,"role":"assistant"}}],"created":1778140160,"id":"chatcmpl-DcnlwUMQ58XEUTglg2jLYwvNSygZ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121,"engine_ttft_ms":601,"engine_ttlt_ms":11383,"pre_inference_ms":153,"service_tbt_ms":121,"service_ttft_ms":862,"service_ttlt_ms":11645,"total_duration_ms":11498,"user_visible_ttft_ms":709},"prompt_tokens":1303,"prompt_tokens_details":{"audio_tokens":0,"cached_tokens":0},"total_tokens":1392}}</t>
        </is>
      </c>
      <c r="X28" t="inlineStr">
        <is>
          <t>Lululemon 太空银轻量双肩背包，采用防水尼龙面料与极简弧线设计，质感顺滑耐磨；立体前袋与隐藏式收纳结构兼具实用与美感；中性简约风格，男女皆宜，通勤、健身与旅行皆可轻松驾驭，展现现代都市功能美学。</t>
        </is>
      </c>
    </row>
    <row r="29" ht="25.5" customHeight="1">
      <c r="A29">
        <v>1654975475</v>
      </c>
      <c r="B29">
        <v>7626870712</v>
      </c>
      <c r="C29" s="2" t="str">
        <f>=HYPERLINK("https://weidian.com/item.html?itemID=7626870712", "https://weidian.com/item.html?itemID=7626870712")</f>
        <v>https://weidian.com/item.html?itemID=7626870712</v>
      </c>
      <c r="D29"/>
      <c r="E29" s="2" t="str">
        <f>=HYPERLINK("https://si.geilicdn.com/pcitem2014204438-6b690000019ae4877aed0a20e284_906_1220.jpg?w=640&amp;h=640", "https://si.geilicdn.com/pcitem2014204438-6b690000019ae4877aed0a20e284_906_1220.jpg?w=640&amp;h=640")</f>
        <v>https://si.geilicdn.com/pcitem2014204438-6b690000019ae4877aed0a20e284_906_1220.jpg?w=640&amp;h=640</v>
      </c>
      <c r="F29" t="inlineStr">
        <is>
          <t>Accessories</t>
        </is>
      </c>
      <c r="G29" t="inlineStr">
        <is>
          <t>lululemon</t>
        </is>
      </c>
      <c r="H29">
        <v>290</v>
      </c>
      <c r="I29">
        <v>42.03</v>
      </c>
      <c r="J2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Quilted Black Nylon Tote Bag","refusal":null,"role":"assistant"}}],"created":1778142922,"id":"chatcmpl-DcoUU3G5WKFoK9slZaavQoZS1xF0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20,"engine_ttft_ms":1119,"engine_ttlt_ms":1342,"pre_inference_ms":318,"service_tbt_ms":21,"service_ttft_ms":1820,"service_ttlt_ms":2043,"total_duration_ms":1730,"user_visible_ttft_ms":1502},"prompt_tokens":882,"prompt_tokens_details":{"audio_tokens":0,"cached_tokens":0},"total_tokens":893}}</t>
        </is>
      </c>
      <c r="K29" t="inlineStr">
        <is>
          <t>Lululemon Quilted Black Nylon Tote Bag</t>
        </is>
      </c>
      <c r="L2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Quilted Black Nylon Tote Bag – lightweight, water-resistant, and stylish. Features soft handles, spacious capacity, and modern sporty design for daily commute, gym, or travel.","refusal":null,"role":"assistant"}}],"created":1778142103,"id":"chatcmpl-DcoHHol9UbwXKNJniSJ81p1Pk8ws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68,"engine_ttft_ms":721,"engine_ttlt_ms":3447,"pre_inference_ms":345,"service_tbt_ms":69,"service_ttft_ms":1301,"service_ttlt_ms":4032,"total_duration_ms":3700,"user_visible_ttft_ms":956},"prompt_tokens":923,"prompt_tokens_details":{"audio_tokens":0,"cached_tokens":0},"total_tokens":963}}</t>
        </is>
      </c>
      <c r="M29" t="inlineStr">
        <is>
          <t>{"alt-svc":"h3=\":443\"; ma=2592000","apim-request-id":"3f101be2-a317-4990-b710-8f3fd0c352c6","azureml-model-session":"d20260501041445-2c187743","connection":"close","content-length":"1650","content-type":"application/json","date":"Thu, 07 May 2026 08:21:46 GMT","server":"Caddy","skip-error-remapping":"true","strict-transport-security":"max-age=31536000; includeSubDomains; preload","x-accel-buffering":"no","x-content-type-options":"nosniff","x-ms-client-request-id":"Not-Set","x-ms-is-spilled-over":"false","x-ms-rai-invoked":"true","x-ms-region":"Switzerland North","x-new-api-version":"v1.0.0-rc.4","x-oneapi-request-id":"202605070821416227951318268d9d61wEo8kOX","x-ratelimit-abusepenalty-active":"False","x-ratelimit-key":"gpt-5-chat-global","x-ratelimit-limit-requests":"1000","x-ratelimit-limit-tokens":"1000000","x-ratelimit-remaining-requests":"999","x-ratelimit-remaining-tokens":"998315","x-ratelimit-renewalperiod-requests":"60","x-ratelimit-renewalperiod-tokens":"60","x-ratelimit-reset-requests":"0","x-ratelimit-reset-tokens":"0","x-request-id":"93689c0c-0305-4b0d-8ab5-cd2ebba0c2a2","x-shellapi-request-id":"2026050716214156484672808920996"}</t>
        </is>
      </c>
      <c r="N29" t="inlineStr">
        <is>
          <t>Lululemon Quilted Black Nylon Tote Bag – lightweight, water-resistant, and stylish. Features soft handles, spacious capacity, and modern sporty design for daily commute, gym, or travel.</t>
        </is>
      </c>
      <c r="O2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Accessories,kakobuy,kakebuy2026,kekobuysheet,kakobuysheet2026,2026kakobuy,kakobuyspreadsheeet,kakobuylink,kakebuylist,Kakobuy MEGA Spreadsheet,kakobuysheetfind,kakobuysheetfind2026,2026kakobuysheetfind,kakobuysheet2026","refusal":null,"role":"assistant"}}],"created":1778143726,"id":"chatcmpl-DcohSSM7gXy7tGz6KFQ6ldVXgOlFJ","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83,"engine_ttft_ms":227,"engine_ttlt_ms":7656,"pre_inference_ms":369,"service_tbt_ms":84,"service_ttft_ms":673,"service_ttlt_ms":8101,"total_duration_ms":7744,"user_visible_ttft_ms":304},"prompt_tokens":783,"prompt_tokens_details":{"audio_tokens":0,"cached_tokens":0},"total_tokens":872}}</t>
        </is>
      </c>
      <c r="P29" t="inlineStr">
        <is>
          <t>Lululemon,Accessories,kakobuy,kakebuy2026,kekobuysheet,kakobuysheet2026,2026kakobuy,kakobuyspreadsheeet,kakobuylink,kakebuylist,Kakobuy MEGA Spreadsheet,kakobuysheetfind,kakobuysheetfind2026,2026kakobuysheetfind,kakobuysheet2026</t>
        </is>
      </c>
      <c r="Q29"/>
      <c r="R29" t="inlineStr">
        <is>
          <t>recvhju1CriZEZ</t>
        </is>
      </c>
      <c r="S29" t="inlineStr">
        <is>
          <t>lululemon-quilted-black-nylon-tote-recvhju1crizez</t>
        </is>
      </c>
      <c r="T29"/>
      <c r="U29"/>
      <c r="V29"/>
      <c r="W29" t="inlineStr">
        <is>
          <t>{"id":"chatcmpl-Dcnk6WVOwbAfisESzd6XUYBsYzmmn","object":"chat.completion","created":1778140046,"model":"gpt-5-chat-latest","choices":[{"index":0,"message":{"role":"assistant","content":"Lululemon 黑色绗缝羽绒托特包，轻盈防水尼龙材质，立体方格设计彰显简约运动美学，柔软手提与宽大容量兼具实用与时尚，适合都市女性日常通勤与健身出行，融合现代功能与舒适质感，展现Lululemon精致生活理念。","refusal":null,"annotations":[]},"logprobs":null,"finish_reason":"stop"}],"usage":{"prompt_tokens":1299,"completion_tokens":90,"total_tokens":1389,"prompt_tokens_details":{"cached_tokens":0,"audio_tokens":0},"completion_tokens_details":{"reasoning_tokens":0,"audio_tokens":0,"accepted_prediction_tokens":0,"rejected_prediction_tokens":0},"latency_checkpoint":{"service_ttft_ms":1592,"user_visible_ttft_ms":1412,"total_duration_ms":11502,"pre_inference_ms":180,"service_tbt_ms":112,"service_ttlt_ms":11673,"engine_ttft_ms":1140,"engine_ttlt_ms":11221,"engine_tbt_ms":112}},"service_tier":"default","system_fingerprint":"fp_fd471178c5"}</t>
        </is>
      </c>
      <c r="X29" t="inlineStr">
        <is>
          <t>Lululemon 黑色绗缝羽绒托特包，轻盈防水尼龙材质，立体方格设计彰显简约运动美学，柔软手提与宽大容量兼具实用与时尚，适合都市女性日常通勤与健身出行，融合现代功能与舒适质感，展现Lululemon精致生活理念。</t>
        </is>
      </c>
    </row>
    <row r="30" ht="25.5" customHeight="1">
      <c r="A30">
        <v>1654975475</v>
      </c>
      <c r="B30">
        <v>7626870414</v>
      </c>
      <c r="C30" s="2" t="str">
        <f>=HYPERLINK("https://weidian.com/item.html?itemID=7626870414", "https://weidian.com/item.html?itemID=7626870414")</f>
        <v>https://weidian.com/item.html?itemID=7626870414</v>
      </c>
      <c r="D30"/>
      <c r="E30" s="2" t="str">
        <f>=HYPERLINK("https://si.geilicdn.com/pcitem2014204438-5b970000019ae46052ef0a23047e_1080_810.jpg?w=640&amp;h=640", "https://si.geilicdn.com/pcitem2014204438-5b970000019ae46052ef0a23047e_1080_810.jpg?w=640&amp;h=640")</f>
        <v>https://si.geilicdn.com/pcitem2014204438-5b970000019ae46052ef0a23047e_1080_810.jpg?w=640&amp;h=640</v>
      </c>
      <c r="F30" t="inlineStr">
        <is>
          <t>Accessories</t>
        </is>
      </c>
      <c r="G30" t="inlineStr">
        <is>
          <t>The North Face</t>
        </is>
      </c>
      <c r="H30">
        <v>360</v>
      </c>
      <c r="I30">
        <v>52.17</v>
      </c>
      <c r="J3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Beige Waterproof Outdoor Travel Backpack","refusal":null,"role":"assistant"}}],"created":1778142860,"id":"chatcmpl-DcoTUDb7kf5nMZefSMa4A5Hl0tmb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166,"engine_ttft_ms":924,"engine_ttlt_ms":2414,"pre_inference_ms":136,"service_tbt_ms":166,"service_ttft_ms":1417,"service_ttlt_ms":2906,"total_duration_ms":2778,"user_visible_ttft_ms":1282},"prompt_tokens":588,"prompt_tokens_details":{"audio_tokens":0,"cached_tokens":0},"total_tokens":597}}</t>
        </is>
      </c>
      <c r="K30" t="inlineStr">
        <is>
          <t>The North Face Beige Waterproof Outdoor Travel Backpack</t>
        </is>
      </c>
      <c r="L3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beige multifunctional outdoor backpack, made of durable waterproof nylon, lightweight and comfortable, ideal for daily commuting or travel, showcasing modern urban adventure style.","refusal":null,"role":"assistant"}}],"created":1778141970,"id":"chatcmpl-DcoF8TTwt9TO1uRLxTyVTz0kjYPy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33,"completion_tokens_details":{"accepted_prediction_tokens":0,"audio_tokens":0,"reasoning_tokens":0,"rejected_prediction_tokens":0},"latency_checkpoint":{"engine_tbt_ms":20,"engine_ttft_ms":274,"engine_ttlt_ms":924,"pre_inference_ms":173,"service_tbt_ms":20,"service_ttft_ms":585,"service_ttlt_ms":1236,"total_duration_ms":1070,"user_visible_ttft_ms":412},"prompt_tokens":605,"prompt_tokens_details":{"audio_tokens":0,"cached_tokens":0},"total_tokens":638}}</t>
        </is>
      </c>
      <c r="M30" t="inlineStr">
        <is>
          <t>{"alt-svc":"h3=\":443\"; ma=2592000","apim-request-id":"86e4f75e-1226-4a9f-9848-5cffc990b61b","azureml-model-session":"d20260428165144-a78ba574","connection":"close","content-length":"1656","content-type":"application/json","date":"Thu, 07 May 2026 08:19:31 GMT","skip-error-remapping":"true","strict-transport-security":"max-age=31536000; includeSubDomains; preload","via":"1.1 Caddy","x-accel-buffering":"no","x-content-type-options":"nosniff","x-ms-client-request-id":"Not-Set","x-ms-is-spilled-over":"false","x-ms-rai-invoked":"true","x-ms-region":"East US 2","x-new-api-version":"v1.0.0-rc.4","x-oneapi-request-id":"202605070819298612149248268d9d6HWBPdr3T","x-ratelimit-abusepenalty-active":"False","x-ratelimit-key":"gpt-5-chat-global","x-ratelimit-limit-requests":"1000","x-ratelimit-limit-tokens":"1000000","x-ratelimit-remaining-requests":"999","x-ratelimit-remaining-tokens":"998631","x-ratelimit-renewalperiod-requests":"60","x-ratelimit-renewalperiod-tokens":"60","x-ratelimit-reset-requests":"0","x-ratelimit-reset-tokens":"0","x-request-id":"be7312b2-bdbb-4f85-aa41-ee09d7a07243","x-shellapi-request-id":"2026050716192947131660138565839"}</t>
        </is>
      </c>
      <c r="N30" t="inlineStr">
        <is>
          <t>The North Face beige multifunctional outdoor backpack, made of durable waterproof nylon, lightweight and comfortable, ideal for daily commuting or travel, showcasing modern urban adventure style.</t>
        </is>
      </c>
      <c r="O3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Backpack, kakobuy, kakebuy2026, kekobuysheet, kakobuysheet2026, 2026kakobuy, kakobuyspreadsheeet, kakobuylink, kakebuylist, Kakobuy MEGA Spreadsheet, kakobuysheetfind, kakobuysheetfind2026, 2026kakobuysheetfind, kakobuysheet2026","refusal":null,"role":"assistant"}}],"created":1778143515,"id":"chatcmpl-Dcoe3gH8vhCvkTGaRrEDFla0ZI6e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86,"engine_ttft_ms":868,"engine_ttlt_ms":8815,"pre_inference_ms":103,"service_tbt_ms":86,"service_ttft_ms":1195,"service_ttlt_ms":9141,"total_duration_ms":9047,"user_visible_ttft_ms":1092},"prompt_tokens":503,"prompt_tokens_details":{"audio_tokens":0,"cached_tokens":0},"total_tokens":595}}</t>
        </is>
      </c>
      <c r="P30" t="inlineStr">
        <is>
          <t>The North Face, Backpack, kakobuy, kakebuy2026, kekobuysheet, kakobuysheet2026, 2026kakobuy, kakobuyspreadsheeet, kakobuylink, kakebuylist, Kakobuy MEGA Spreadsheet, kakobuysheetfind, kakobuysheetfind2026, 2026kakobuysheetfind, kakobuysheet2026</t>
        </is>
      </c>
      <c r="Q30" t="inlineStr">
        <is>
          <t>Backpack, Nylon, Waterproof, Lightweight, Outdoor, Beige</t>
        </is>
      </c>
      <c r="R30" t="inlineStr">
        <is>
          <t>recvhju1Cr7FcZ</t>
        </is>
      </c>
      <c r="S30" t="inlineStr">
        <is>
          <t>the-north-face-beige-waterproof-outdoor-backpack-recvhju1cr7fcz</t>
        </is>
      </c>
      <c r="T30"/>
      <c r="U30"/>
      <c r="V30"/>
      <c r="W30" t="inlineStr">
        <is>
          <t>{"id":"chatcmpl-Dcnt2RWb3cULADvpuQIkdiElv56Ok","object":"chat.completion","created":1778140600,"model":"gpt-5-chat-latest","choices":[{"index":0,"message":{"role":"assistant","content":"The North Face 米色多功能户外背包，采用耐磨防水尼龙面料，简约实用设计，轻盈舒适，适合男女日常通勤与旅行，彰显都市探险风格。","refusal":null,"annotations":[]},"logprobs":null,"finish_reason":"stop"}],"usage":{"prompt_tokens":1019,"completion_tokens":52,"total_tokens":1071,"prompt_tokens_details":{"cached_tokens":0,"audio_tokens":0},"completion_tokens_details":{"reasoning_tokens":0,"audio_tokens":0,"accepted_prediction_tokens":0,"rejected_prediction_tokens":0},"latency_checkpoint":{"service_ttft_ms":536,"user_visible_ttft_ms":403,"total_duration_ms":2481,"pre_inference_ms":134,"service_tbt_ms":40,"service_ttlt_ms":2601,"engine_ttft_ms":274,"engine_ttlt_ms":2340,"engine_tbt_ms":40}},"service_tier":"default","system_fingerprint":"fp_fd471178c5"}</t>
        </is>
      </c>
      <c r="X30" t="inlineStr">
        <is>
          <t>The North Face 米色多功能户外背包，采用耐磨防水尼龙面料，简约实用设计，轻盈舒适，适合男女日常通勤与旅行，彰显都市探险风格。</t>
        </is>
      </c>
    </row>
    <row r="31" ht="25.5" customHeight="1">
      <c r="A31">
        <v>1654975475</v>
      </c>
      <c r="B31">
        <v>7624503451</v>
      </c>
      <c r="C31" s="2" t="str">
        <f>=HYPERLINK("https://weidian.com/item.html?itemID=7624503451", "https://weidian.com/item.html?itemID=7624503451")</f>
        <v>https://weidian.com/item.html?itemID=7624503451</v>
      </c>
      <c r="D31"/>
      <c r="E31" s="2" t="str">
        <f>=HYPERLINK("https://si.geilicdn.com/pcitem2014204438-441b0000019ae7e21c260a2103bd_1074_864.jpg?w=640&amp;h=640", "https://si.geilicdn.com/pcitem2014204438-441b0000019ae7e21c260a2103bd_1074_864.jpg?w=640&amp;h=640")</f>
        <v>https://si.geilicdn.com/pcitem2014204438-441b0000019ae7e21c260a2103bd_1074_864.jpg?w=640&amp;h=640</v>
      </c>
      <c r="F31" t="inlineStr">
        <is>
          <t>Socks &amp; Hosiery</t>
        </is>
      </c>
      <c r="G31" t="inlineStr">
        <is>
          <t>Langsha</t>
        </is>
      </c>
      <c r="H31">
        <v>130</v>
      </c>
      <c r="I31">
        <v>18.84</v>
      </c>
      <c r="J3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angsha New Year Red White Cotton Mid Tube Socks","refusal":null,"role":"assistant"}}],"created":1778143021,"id":"chatcmpl-DcoW5NyCoChnZU0n30VBjYj9dZVg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111,"engine_ttft_ms":753,"engine_ttlt_ms":1977,"pre_inference_ms":111,"service_tbt_ms":112,"service_ttft_ms":1281,"service_ttlt_ms":2505,"total_duration_ms":2402,"user_visible_ttft_ms":1171},"prompt_tokens":883,"prompt_tokens_details":{"audio_tokens":0,"cached_tokens":0},"total_tokens":894}}</t>
        </is>
      </c>
      <c r="K31" t="inlineStr">
        <is>
          <t>Langsha New Year Red White Cotton Mid Tube Socks</t>
        </is>
      </c>
      <c r="L3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angsha New Year Red &amp; White Gift Box Mid-Tube Socks, soft cotton, breathable comfort, unisex festive style, striped design, warm and cheerful, fashion essential for daily wear.","refusal":null,"role":"assistant"}}],"created":1778142132,"id":"chatcmpl-DcoHkqnIhRpjwTTraI0xEbUUi0EY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22,"engine_ttft_ms":948,"engine_ttlt_ms":1812,"pre_inference_ms":134,"service_tbt_ms":22,"service_ttft_ms":1435,"service_ttlt_ms":2298,"total_duration_ms":2172,"user_visible_ttft_ms":1301},"prompt_tokens":898,"prompt_tokens_details":{"audio_tokens":0,"cached_tokens":0},"total_tokens":937}}</t>
        </is>
      </c>
      <c r="M31" t="inlineStr">
        <is>
          <t>{"alt-svc":"h3=\":443\"; ma=2592000","apim-request-id":"aa71f0ad-9177-4282-b231-9c8105edad0d","azureml-model-session":"d20260428165144-a78ba574","connection":"close","content-length":"1646","content-type":"application/json","date":"Thu, 07 May 2026 08:22:14 GMT","skip-error-remapping":"true","strict-transport-security":"max-age=31536000; includeSubDomains; preload","via":"1.1 Caddy","x-accel-buffering":"no","x-content-type-options":"nosniff","x-ms-client-request-id":"Not-Set","x-ms-is-spilled-over":"false","x-ms-rai-invoked":"true","x-ms-region":"Australia East","x-new-api-version":"v1.0.0-rc.4","x-oneapi-request-id":"20260507082211194038728268d9d65YuBaYGS","x-ratelimit-abusepenalty-active":"False","x-ratelimit-key":"gpt-5-chat-global","x-ratelimit-limit-requests":"1000","x-ratelimit-limit-tokens":"1000000","x-ratelimit-remaining-requests":"999","x-ratelimit-remaining-tokens":"998340","x-ratelimit-renewalperiod-requests":"60","x-ratelimit-renewalperiod-tokens":"60","x-ratelimit-reset-requests":"0","x-ratelimit-reset-tokens":"0","x-request-id":"032ac3ca-41fe-4cef-8fad-b29ad8578899","x-shellapi-request-id":"2026050716221096750310220479462"}</t>
        </is>
      </c>
      <c r="N31" t="inlineStr">
        <is>
          <t>Langsha New Year Red &amp; White Gift Box Mid-Tube Socks, soft cotton, breathable comfort, unisex festive style, striped design, warm and cheerful, fashion essential for daily wear.</t>
        </is>
      </c>
      <c r="O3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angsha, Socks &amp; Hosiery, kakobuy, kakebuy2026, kekobuysheet, kakobuysheet2026, 2026kakobuy, kakobuyspreadsheeet, kakobuylink, kakebuylist, Kakobuy MEGA Spreadsheet, kakobuysheetfind, kakobuysheetfind2026, 2026kakobuysheetfind, kakobuysheet2026","refusal":null,"role":"assistant"}}],"created":1778143749,"id":"chatcmpl-DcohpUSoEk2LnP2u7zqEvhV3Goog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18,"engine_ttft_ms":337,"engine_ttlt_ms":2033,"pre_inference_ms":283,"service_tbt_ms":18,"service_ttft_ms":758,"service_ttlt_ms":2454,"total_duration_ms":2177,"user_visible_ttft_ms":475},"prompt_tokens":786,"prompt_tokens_details":{"audio_tokens":0,"cached_tokens":0},"total_tokens":880}}</t>
        </is>
      </c>
      <c r="P31" t="inlineStr">
        <is>
          <t>Langsha, Socks &amp; Hosiery, kakobuy, kakebuy2026, kekobuysheet, kakobuysheet2026, 2026kakobuy, kakobuyspreadsheeet, kakobuylink, kakebuylist, Kakobuy MEGA Spreadsheet, kakobuysheetfind, kakobuysheetfind2026, 2026kakobuysheetfind, kakobuysheet2026</t>
        </is>
      </c>
      <c r="Q31" t="inlineStr">
        <is>
          <t>Unisex, Breathable, Comfort, Red, White</t>
        </is>
      </c>
      <c r="R31" t="inlineStr">
        <is>
          <t>recvhju1CrItD7</t>
        </is>
      </c>
      <c r="S31" t="inlineStr">
        <is>
          <t>langsha-red-white-cotton-mid-tube-socks-recvhju1critd7</t>
        </is>
      </c>
      <c r="T31"/>
      <c r="U31"/>
      <c r="V31"/>
      <c r="W3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angsha：新年限定红白礼盒款中筒袜，柔软棉质材质，撞色条纹设计，舒适透气，男女皆宜，节日风格彰显温暖与喜庆，时尚百搭日常必备。","refusal":null,"role":"assistant"}}],"created":1778140306,"id":"chatcmpl-DcnoIXLIujFsS9JTiE0BsiddqSwo5","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61,"completion_tokens_details":{"accepted_prediction_tokens":0,"audio_tokens":0,"reasoning_tokens":0,"rejected_prediction_tokens":0},"latency_checkpoint":{"engine_tbt_ms":117,"engine_ttft_ms":484,"engine_ttlt_ms":7601,"pre_inference_ms":227,"service_tbt_ms":117,"service_ttft_ms":783,"service_ttlt_ms":7901,"total_duration_ms":7687,"user_visible_ttft_ms":555},"prompt_tokens":1303,"prompt_tokens_details":{"audio_tokens":0,"cached_tokens":0},"total_tokens":1364}}</t>
        </is>
      </c>
      <c r="X31" t="inlineStr">
        <is>
          <t>Langsha：新年限定红白礼盒款中筒袜，柔软棉质材质，撞色条纹设计，舒适透气，男女皆宜，节日风格彰显温暖与喜庆，时尚百搭日常必备。</t>
        </is>
      </c>
    </row>
    <row r="32" ht="25.5" customHeight="1">
      <c r="A32">
        <v>1654975475</v>
      </c>
      <c r="B32">
        <v>7627504194</v>
      </c>
      <c r="C32" s="2" t="str">
        <f>=HYPERLINK("https://weidian.com/item.html?itemID=7627504194", "https://weidian.com/item.html?itemID=7627504194")</f>
        <v>https://weidian.com/item.html?itemID=7627504194</v>
      </c>
      <c r="D32"/>
      <c r="E32" s="2" t="str">
        <f>=HYPERLINK("https://si.geilicdn.com/pcitem2014204438-4eef0000019ae7cfe4260a21146b_3731_2844.jpg?w=640&amp;h=640", "https://si.geilicdn.com/pcitem2014204438-4eef0000019ae7cfe4260a21146b_3731_2844.jpg?w=640&amp;h=640")</f>
        <v>https://si.geilicdn.com/pcitem2014204438-4eef0000019ae7cfe4260a21146b_3731_2844.jpg?w=640&amp;h=640</v>
      </c>
      <c r="F32" t="inlineStr">
        <is>
          <t>Socks &amp; Hosiery</t>
        </is>
      </c>
      <c r="G32" t="inlineStr">
        <is>
          <t>Ralph Lauren</t>
        </is>
      </c>
      <c r="H32">
        <v>120</v>
      </c>
      <c r="I32">
        <v>17.39</v>
      </c>
      <c r="J3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Polo Black White Mid-Calf Sports Socks","refusal":null,"role":"assistant"}}],"created":1778143085,"id":"chatcmpl-DcoX7TsA4eRJtw9x0UghhWgFbbzr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77,"engine_ttft_ms":577,"engine_ttlt_ms":1496,"pre_inference_ms":132,"service_tbt_ms":78,"service_ttft_ms":920,"service_ttlt_ms":1838,"total_duration_ms":1719,"user_visible_ttft_ms":788},"prompt_tokens":604,"prompt_tokens_details":{"audio_tokens":0,"cached_tokens":0},"total_tokens":616}}</t>
        </is>
      </c>
      <c r="K32" t="inlineStr">
        <is>
          <t>Ralph Lauren Polo Black White Mid-Calf Sports Socks</t>
        </is>
      </c>
      <c r="L3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Black &amp; White Mid-Calf Sports Socks, soft breathable cotton blend, iconic Polo logo, stylish unisex design for daily wear and athletic comfort, timeless American casual elegance.","refusal":null,"role":"assistant"}}],"created":1778141977,"id":"chatcmpl-DcoFF40bRhOB6HsIwkayVkXw8MlE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20,"engine_ttft_ms":767,"engine_ttlt_ms":1554,"pre_inference_ms":141,"service_tbt_ms":20,"service_ttft_ms":1208,"service_ttlt_ms":1994,"total_duration_ms":1861,"user_visible_ttft_ms":1067},"prompt_tokens":633,"prompt_tokens_details":{"audio_tokens":0,"cached_tokens":0},"total_tokens":672}}</t>
        </is>
      </c>
      <c r="M32" t="inlineStr">
        <is>
          <t>{"alt-svc":"h3=\":443\"; ma=2592000","apim-request-id":"4bcf65c9-b56c-45b1-ae1b-ccaa3bea6618","azureml-model-session":"d20260429094557-48622491","connection":"close","content-length":"1668","content-type":"application/json","date":"Thu, 07 May 2026 08:19:39 GMT","server":"Caddy","skip-error-remapping":"true","strict-transport-security":"max-age=31536000; includeSubDomains; preload","x-accel-buffering":"no","x-content-type-options":"nosniff","x-ms-client-request-id":"Not-Set","x-ms-is-spilled-over":"false","x-ms-rai-invoked":"true","x-ms-region":"Switzerland North","x-new-api-version":"v1.0.0-rc.4","x-oneapi-request-id":"202605070819369566888138268d9d6nAQnjSww","x-ratelimit-abusepenalty-active":"False","x-ratelimit-key":"gpt-5-chat-global","x-ratelimit-limit-requests":"1000","x-ratelimit-limit-tokens":"1000000","x-ratelimit-remaining-requests":"999","x-ratelimit-remaining-tokens":"998603","x-ratelimit-renewalperiod-requests":"60","x-ratelimit-renewalperiod-tokens":"60","x-ratelimit-reset-requests":"0","x-ratelimit-reset-tokens":"0","x-request-id":"dffaac56-bd7c-4d1c-8fc4-df8ec123c205","x-shellapi-request-id":"2026050716193690099044642214198"}</t>
        </is>
      </c>
      <c r="N32" t="inlineStr">
        <is>
          <t>Ralph Lauren Classic Black &amp; White Mid-Calf Sports Socks, soft breathable cotton blend, iconic Polo logo, stylish unisex design for daily wear and athletic comfort, timeless American casual elegance.</t>
        </is>
      </c>
      <c r="O3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Socks &amp; Hosiery, kakobuy, kakebuy2026, kekobuysheet, kakobuysheet2026, 2026kakobuy, kakobuyspreadsheeet, kakobuylink, kakebuylist, Kakobuy MEGA Spreadsheet, kakobuysheetfind, kakobuysheetfind2026, 2026kakobuysheetfind, kakobuysheet2026","refusal":null,"role":"assistant"}}],"created":1778143577,"id":"chatcmpl-Dcof3NidDWNJtIMKfePjR1keo4bJ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95,"completion_tokens_details":{"accepted_prediction_tokens":0,"audio_tokens":0,"reasoning_tokens":0,"rejected_prediction_tokens":0},"latency_checkpoint":{"engine_tbt_ms":23,"engine_ttft_ms":150,"engine_ttlt_ms":2380,"pre_inference_ms":95,"service_tbt_ms":24,"service_ttft_ms":411,"service_ttlt_ms":2641,"total_duration_ms":2553,"user_visible_ttft_ms":316},"prompt_tokens":507,"prompt_tokens_details":{"audio_tokens":0,"cached_tokens":0},"total_tokens":602}}</t>
        </is>
      </c>
      <c r="P32" t="inlineStr">
        <is>
          <t>Ralph Lauren, Socks &amp; Hosiery, kakobuy, kakebuy2026, kekobuysheet, kakobuysheet2026, 2026kakobuy, kakobuyspreadsheeet, kakobuylink, kakebuylist, Kakobuy MEGA Spreadsheet, kakobuysheetfind, kakobuysheetfind2026, 2026kakobuysheetfind, kakobuysheet2026</t>
        </is>
      </c>
      <c r="Q32" t="inlineStr">
        <is>
          <t>Black, White, Unisex, Breathable</t>
        </is>
      </c>
      <c r="R32" t="inlineStr">
        <is>
          <t>recvhju1CrsRZR</t>
        </is>
      </c>
      <c r="S32" t="inlineStr">
        <is>
          <t>ralph-lauren-polo-black-white-mid-calf-sports-socks-recvhju1crsrzr</t>
        </is>
      </c>
      <c r="T32"/>
      <c r="U32"/>
      <c r="V32"/>
      <c r="W32" t="inlineStr">
        <is>
          <t>{"id":"chatcmpl-DcnnNbfNogDDOcyBV4kmcFXJysfG7","object":"chat.completion","created":1778140249,"model":"gpt-5-chat-latest","choices":[{"index":0,"message":{"role":"assistant","content":"Ralph Lauren：经典黑白中筒运动袜，采用优质棉质混纺面料，柔软透气，织入标志性马球骑士徽标，简约百搭风格，男女皆宜，展现美式休闲雅致品味，适合日常与运动穿搭。","refusal":null,"annotations":[]},"logprobs":null,"finish_reason":"stop"}],"usage":{"prompt_tokens":1027,"completion_tokens":74,"total_tokens":1101,"prompt_tokens_details":{"cached_tokens":0,"audio_tokens":0},"completion_tokens_details":{"reasoning_tokens":0,"audio_tokens":0,"accepted_prediction_tokens":0,"rejected_prediction_tokens":0},"latency_checkpoint":{"service_ttft_ms":1599,"user_visible_ttft_ms":1482,"total_duration_ms":16177,"pre_inference_ms":117,"service_tbt_ms":199,"service_ttlt_ms":16282,"engine_ttft_ms":922,"engine_ttlt_ms":15611,"engine_tbt_ms":198}},"service_tier":"default","system_fingerprint":"fp_fd471178c5"}</t>
        </is>
      </c>
      <c r="X32" t="inlineStr">
        <is>
          <t>Ralph Lauren：经典黑白中筒运动袜，采用优质棉质混纺面料，柔软透气，织入标志性马球骑士徽标，简约百搭风格，男女皆宜，展现美式休闲雅致品味，适合日常与运动穿搭。</t>
        </is>
      </c>
    </row>
    <row r="33" ht="25.5" customHeight="1">
      <c r="A33">
        <v>1654975475</v>
      </c>
      <c r="B33">
        <v>7627357162</v>
      </c>
      <c r="C33" s="2" t="str">
        <f>=HYPERLINK("https://weidian.com/item.html?itemID=7627357162", "https://weidian.com/item.html?itemID=7627357162")</f>
        <v>https://weidian.com/item.html?itemID=7627357162</v>
      </c>
      <c r="D33"/>
      <c r="E33" s="2" t="str">
        <f>=HYPERLINK("https://si.geilicdn.com/pcitem2014204438-02a30000019ae7be1cdd0a239646_1080_1080.jpg?w=640&amp;h=640", "https://si.geilicdn.com/pcitem2014204438-02a30000019ae7be1cdd0a239646_1080_1080.jpg?w=640&amp;h=640")</f>
        <v>https://si.geilicdn.com/pcitem2014204438-02a30000019ae7be1cdd0a239646_1080_1080.jpg?w=640&amp;h=640</v>
      </c>
      <c r="F33" t="inlineStr">
        <is>
          <t>Socks &amp; Hosiery</t>
        </is>
      </c>
      <c r="G33" t="inlineStr">
        <is>
          <t>Miu Miu</t>
        </is>
      </c>
      <c r="H33">
        <v>136</v>
      </c>
      <c r="I33">
        <v>19.71</v>
      </c>
      <c r="J3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Classic Black White Mid-Calf Cotton Socks","refusal":null,"role":"assistant"}}],"created":1778142900,"id":"chatcmpl-DcoU8svp4oALPeHZNKJIlecWpAIr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14,"engine_ttft_ms":826,"engine_ttlt_ms":1002,"pre_inference_ms":103,"service_tbt_ms":14,"service_ttft_ms":1232,"service_ttlt_ms":1408,"total_duration_ms":1311,"user_visible_ttft_ms":1128},"prompt_tokens":883,"prompt_tokens_details":{"audio_tokens":0,"cached_tokens":0},"total_tokens":896}}</t>
        </is>
      </c>
      <c r="K33" t="inlineStr">
        <is>
          <t>Miu Miu Classic Black White Mid-Calf Cotton Socks</t>
        </is>
      </c>
      <c r="L3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iu Miu Classic Black &amp; White Mid-Calf Socks, soft cotton blend, minimalist logo embroidery, comfortable fit for men and women, perfect for daily wear and modern fashion style.","refusal":null,"role":"assistant"}}],"created":1778142064,"id":"chatcmpl-DcoGek2NJgJmyOIqM8ho2XSv8Zu5J","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20,"engine_ttft_ms":825,"engine_ttlt_ms":1570,"pre_inference_ms":167,"service_tbt_ms":20,"service_ttft_ms":1767,"service_ttlt_ms":2510,"total_duration_ms":2352,"user_visible_ttft_ms":1600},"prompt_tokens":904,"prompt_tokens_details":{"audio_tokens":0,"cached_tokens":0},"total_tokens":942}}</t>
        </is>
      </c>
      <c r="M33" t="inlineStr">
        <is>
          <t>{"alt-svc":"h3=\":443\"; ma=2592000","apim-request-id":"de4b1a0e-e87f-47b6-9a9f-2334a8efd6d1","azureml-model-session":"d20260428165144-a78ba574","connection":"close","content-length":"1645","content-type":"application/json","date":"Thu, 07 May 2026 08:21:06 GMT","server":"Caddy","skip-error-remapping":"true","strict-transport-security":"max-age=31536000; includeSubDomains; preload","x-accel-buffering":"no","x-content-type-options":"nosniff","x-ms-client-request-id":"Not-Set","x-ms-is-spilled-over":"false","x-ms-rai-invoked":"true","x-ms-region":"Sweden Central","x-new-api-version":"v1.0.0-rc.4","x-oneapi-request-id":"202605070821034110287418268d9d6Ib2T3eLP","x-ratelimit-abusepenalty-active":"False","x-ratelimit-key":"gpt-5-chat-global","x-ratelimit-limit-requests":"1000","x-ratelimit-limit-tokens":"1000000","x-ratelimit-remaining-requests":"999","x-ratelimit-remaining-tokens":"998077","x-ratelimit-renewalperiod-requests":"60","x-ratelimit-renewalperiod-tokens":"60","x-ratelimit-reset-requests":"0","x-ratelimit-reset-tokens":"0","x-request-id":"e73f5b7a-13a0-4e11-ba70-d388e1d7c6ae","x-shellapi-request-id":"2026050716210335089466172309711"}</t>
        </is>
      </c>
      <c r="N33" t="inlineStr">
        <is>
          <t>Miu Miu Classic Black &amp; White Mid-Calf Socks, soft cotton blend, minimalist logo embroidery, comfortable fit for men and women, perfect for daily wear and modern fashion style.</t>
        </is>
      </c>
      <c r="O3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Socks &amp; Hosiery, kakobuy, kakebuy2026, kekobuysheet, kakobuysheet2026, 2026kakobuy, kakobuyspreadsheeet, kakobuylink, kakebuylist, Kakobuy MEGA Spreadsheet, kakobuysheetfind, kakobuysheetfind2026, 2026kakobuysheetfind, kakobuysheet2026","refusal":null,"role":"assistant"}}],"created":1778143685,"id":"chatcmpl-DcognmTP83kTJNSmIBEiiJrne1S3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96,"completion_tokens_details":{"accepted_prediction_tokens":0,"audio_tokens":0,"reasoning_tokens":0,"rejected_prediction_tokens":0},"latency_checkpoint":{"engine_tbt_ms":82,"engine_ttft_ms":1498,"engine_ttlt_ms":9346,"pre_inference_ms":115,"service_tbt_ms":82,"service_ttft_ms":2630,"service_ttlt_ms":10477,"total_duration_ms":10372,"user_visible_ttft_ms":2515},"prompt_tokens":788,"prompt_tokens_details":{"audio_tokens":0,"cached_tokens":0},"total_tokens":884}}</t>
        </is>
      </c>
      <c r="P33" t="inlineStr">
        <is>
          <t>Miu Miu, Socks &amp; Hosiery, kakobuy, kakebuy2026, kekobuysheet, kakobuysheet2026, 2026kakobuy, kakobuyspreadsheeet, kakobuylink, kakebuylist, Kakobuy MEGA Spreadsheet, kakobuysheetfind, kakobuysheetfind2026, 2026kakobuysheetfind, kakobuysheet2026</t>
        </is>
      </c>
      <c r="Q33" t="inlineStr">
        <is>
          <t>Black, White, Minimalist, Men's And Women's, Modern</t>
        </is>
      </c>
      <c r="R33" t="inlineStr">
        <is>
          <t>recvhju1CrhNtT</t>
        </is>
      </c>
      <c r="S33" t="inlineStr">
        <is>
          <t>miu-miu-classic-black-white-mid-calf-cotton-socks-recvhju1crhntt</t>
        </is>
      </c>
      <c r="T33"/>
      <c r="U33"/>
      <c r="V33"/>
      <c r="W3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经典黑白系列中筒袜，柔软棉质混纺面料，简约logo刺绣设计，舒适贴合脚型，彰显极简摩登风格，男女皆宜，适合日常与时尚穿搭。","refusal":null,"role":"assistant"}}],"created":1778140159,"id":"chatcmpl-DcnlvXQGLTtIAg1L59r2khV6QmZg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64,"completion_tokens_details":{"accepted_prediction_tokens":0,"audio_tokens":0,"reasoning_tokens":0,"rejected_prediction_tokens":0},"latency_checkpoint":{"engine_tbt_ms":31,"engine_ttft_ms":862,"engine_ttlt_ms":2827,"pre_inference_ms":131,"service_tbt_ms":31,"service_ttft_ms":1750,"service_ttlt_ms":3714,"total_duration_ms":3591,"user_visible_ttft_ms":1619},"prompt_tokens":1309,"prompt_tokens_details":{"audio_tokens":0,"cached_tokens":0},"total_tokens":1373}}</t>
        </is>
      </c>
      <c r="X33" t="inlineStr">
        <is>
          <t>Miu Miu：经典黑白系列中筒袜，柔软棉质混纺面料，简约logo刺绣设计，舒适贴合脚型，彰显极简摩登风格，男女皆宜，适合日常与时尚穿搭。</t>
        </is>
      </c>
    </row>
    <row r="34" ht="25.5" customHeight="1">
      <c r="A34">
        <v>1654975475</v>
      </c>
      <c r="B34">
        <v>7627398522</v>
      </c>
      <c r="C34" s="2" t="str">
        <f>=HYPERLINK("https://weidian.com/item.html?itemID=7627398522", "https://weidian.com/item.html?itemID=7627398522")</f>
        <v>https://weidian.com/item.html?itemID=7627398522</v>
      </c>
      <c r="D34"/>
      <c r="E34" s="2" t="str">
        <f>=HYPERLINK("https://si.geilicdn.com/pcitem2014204438-190c0000019ae7b8600b0a23111a_1080_1080.jpg?w=640&amp;h=640", "https://si.geilicdn.com/pcitem2014204438-190c0000019ae7b8600b0a23111a_1080_1080.jpg?w=640&amp;h=640")</f>
        <v>https://si.geilicdn.com/pcitem2014204438-190c0000019ae7b8600b0a23111a_1080_1080.jpg?w=640&amp;h=640</v>
      </c>
      <c r="F34" t="inlineStr">
        <is>
          <t>Socks &amp; Hosiery</t>
        </is>
      </c>
      <c r="G34" t="inlineStr">
        <is>
          <t>Chanel</t>
        </is>
      </c>
      <c r="H34">
        <v>120</v>
      </c>
      <c r="I34">
        <v>17.39</v>
      </c>
      <c r="J3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Orange Logo Mid-Calf Cotton Unisex Socks","refusal":null,"role":"assistant"}}],"created":1778142889,"id":"chatcmpl-DcoTxTxDKyBOGEAlnYuSqLvmpy19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14,"engine_ttft_ms":381,"engine_ttlt_ms":554,"pre_inference_ms":161,"service_tbt_ms":15,"service_ttft_ms":693,"service_ttlt_ms":874,"total_duration_ms":716,"user_visible_ttft_ms":532},"prompt_tokens":873,"prompt_tokens_details":{"audio_tokens":0,"cached_tokens":0},"total_tokens":885}}</t>
        </is>
      </c>
      <c r="K34" t="inlineStr">
        <is>
          <t>Chanel Orange Logo Mid-Calf Cotton Unisex Socks</t>
        </is>
      </c>
      <c r="L3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Orange Classic Logo Mid-Calf Socks crafted from smooth knit cotton, featuring chic contrast colors for modern elegance. Unisex designer fashion accessory for everyday casual style.","refusal":null,"role":"assistant"}}],"created":1778142042,"id":"chatcmpl-DcoGISrLqeZaP0yC548SnPxg0z9w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34,"completion_tokens_details":{"accepted_prediction_tokens":0,"audio_tokens":0,"reasoning_tokens":0,"rejected_prediction_tokens":0},"latency_checkpoint":{"engine_tbt_ms":27,"engine_ttft_ms":928,"engine_ttlt_ms":1830,"pre_inference_ms":135,"service_tbt_ms":27,"service_ttft_ms":1736,"service_ttlt_ms":2639,"total_duration_ms":2511,"user_visible_ttft_ms":1602},"prompt_tokens":884,"prompt_tokens_details":{"audio_tokens":0,"cached_tokens":0},"total_tokens":918}}</t>
        </is>
      </c>
      <c r="M34" t="inlineStr">
        <is>
          <t>{"alt-svc":"h3=\":443\"; ma=2592000","apim-request-id":"60ade1e6-79db-40d1-b51a-974b68113594","azureml-model-session":"d20260428205641-55ca9797","connection":"close","content-length":"1651","content-type":"application/json","date":"Thu, 07 May 2026 08:20:45 GMT","server":"Caddy","skip-error-remapping":"true","strict-transport-security":"max-age=31536000; includeSubDomains; preload","x-accel-buffering":"no","x-content-type-options":"nosniff","x-ms-client-request-id":"Not-Set","x-ms-is-spilled-over":"false","x-ms-rai-invoked":"true","x-ms-region":"UK South","x-new-api-version":"v1.0.0-rc.4","x-oneapi-request-id":"202605070820414004621088268d9d60bL10TPO","x-ratelimit-abusepenalty-active":"False","x-ratelimit-key":"gpt-5-chat-global","x-ratelimit-limit-requests":"1000","x-ratelimit-limit-tokens":"1000000","x-ratelimit-remaining-requests":"999","x-ratelimit-remaining-tokens":"998354","x-ratelimit-renewalperiod-requests":"60","x-ratelimit-renewalperiod-tokens":"60","x-ratelimit-reset-requests":"0","x-ratelimit-reset-tokens":"0","x-request-id":"f3828220-f038-479a-8a6a-70f6baf6875f","x-shellapi-request-id":"2026050716204134855939574528072"}</t>
        </is>
      </c>
      <c r="N34" t="inlineStr">
        <is>
          <t>Chanel Orange Classic Logo Mid-Calf Socks crafted from smooth knit cotton, featuring chic contrast colors for modern elegance. Unisex designer fashion accessory for everyday casual style.</t>
        </is>
      </c>
      <c r="O3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Socks &amp; Hosiery,kakobuy,kakebuy2026,kekobuysheet,kakobuysheet2026,2026kakobuy,kakobuyspreadsheeet,kakobuylink,kakebuylist,Kakobuy MEGA Spreadsheet,kakobuysheetfind,kakobuysheetfind2026,2026kakobuysheetfind,kakobuysheet2026","refusal":null,"role":"assistant"}}],"created":1778143422,"id":"chatcmpl-DcocYA4PypYXHOHhk04YYcDJFDlY1","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26,"engine_ttft_ms":832,"engine_ttlt_ms":3204,"pre_inference_ms":111,"service_tbt_ms":26,"service_ttft_ms":1230,"service_ttlt_ms":3601,"total_duration_ms":3497,"user_visible_ttft_ms":1120},"prompt_tokens":786,"prompt_tokens_details":{"audio_tokens":0,"cached_tokens":0},"total_tokens":876}}</t>
        </is>
      </c>
      <c r="P34" t="inlineStr">
        <is>
          <t>Chanel,Socks &amp; Hosiery,kakobuy,kakebuy2026,kekobuysheet,kakobuysheet2026,2026kakobuy,kakobuyspreadsheeet,kakobuylink,kakebuylist,Kakobuy MEGA Spreadsheet,kakobuysheetfind,kakobuysheetfind2026,2026kakobuysheetfind,kakobuysheet2026</t>
        </is>
      </c>
      <c r="Q34" t="inlineStr">
        <is>
          <t>Chanel, Orange, Classic, Unisex, Knit</t>
        </is>
      </c>
      <c r="R34" t="inlineStr">
        <is>
          <t>recvhju1CrN58m</t>
        </is>
      </c>
      <c r="S34" t="inlineStr">
        <is>
          <t>chanel-orange-logo-mid-calf-cotton-unisex-socks-recvhju1crn58m</t>
        </is>
      </c>
      <c r="T34"/>
      <c r="U34"/>
      <c r="V34"/>
      <c r="W34" t="inlineStr">
        <is>
          <t>{"id":"chatcmpl-Dcnu1Ekbjw8miYxRfVZXhwuWeVyK2","object":"chat.completion","created":1778140661,"model":"gpt-5-chat-latest","choices":[{"index":0,"message":{"role":"assistant","content":"Chanel：橙色经典Logo中筒袜，甄选柔滑针织棉质，撞色设计彰显摩登优雅，男女通用休闲时尚配饰。","refusal":null,"annotations":[]},"logprobs":null,"finish_reason":"stop"}],"usage":{"prompt_tokens":1307,"completion_tokens":45,"total_tokens":1352,"prompt_tokens_details":{"cached_tokens":0,"audio_tokens":0},"completion_tokens_details":{"reasoning_tokens":0,"audio_tokens":0,"accepted_prediction_tokens":0,"rejected_prediction_tokens":0},"latency_checkpoint":{"service_ttft_ms":838,"user_visible_ttft_ms":575,"total_duration_ms":2379,"pre_inference_ms":263,"service_tbt_ms":40,"service_ttlt_ms":2635,"engine_ttft_ms":399,"engine_ttlt_ms":2198,"engine_tbt_ms":40}},"service_tier":"default","system_fingerprint":"fp_fd471178c5"}</t>
        </is>
      </c>
      <c r="X34" t="inlineStr">
        <is>
          <t>Chanel：橙色经典Logo中筒袜，甄选柔滑针织棉质，撞色设计彰显摩登优雅，男女通用休闲时尚配饰。</t>
        </is>
      </c>
    </row>
    <row r="35" ht="25.5" customHeight="1">
      <c r="A35">
        <v>1654975475</v>
      </c>
      <c r="B35">
        <v>7624449625</v>
      </c>
      <c r="C35" s="2" t="str">
        <f>=HYPERLINK("https://weidian.com/item.html?itemID=7624449625", "https://weidian.com/item.html?itemID=7624449625")</f>
        <v>https://weidian.com/item.html?itemID=7624449625</v>
      </c>
      <c r="D35"/>
      <c r="E35" s="2" t="str">
        <f>=HYPERLINK("https://si.geilicdn.com/pcitem2014204438-04320000019ae7b4a0710a20e7c7_1080_1080.jpg?w=640&amp;h=640", "https://si.geilicdn.com/pcitem2014204438-04320000019ae7b4a0710a20e7c7_1080_1080.jpg?w=640&amp;h=640")</f>
        <v>https://si.geilicdn.com/pcitem2014204438-04320000019ae7b4a0710a20e7c7_1080_1080.jpg?w=640&amp;h=640</v>
      </c>
      <c r="F35" t="inlineStr">
        <is>
          <t>Socks &amp; Hosiery</t>
        </is>
      </c>
      <c r="G35" t="inlineStr">
        <is>
          <t xml:space="preserve"> Louis Vuitton</t>
        </is>
      </c>
      <c r="H35">
        <v>120</v>
      </c>
      <c r="I35">
        <v>17.39</v>
      </c>
      <c r="J3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ouis Vuitton Monogram Jacquard Cotton Mid-Calf Socks","refusal":null,"role":"assistant"}}],"created":1778142841,"id":"chatcmpl-DcoTB5Hz48QKkrt34HZplrmgLHpzj","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17,"engine_ttft_ms":325,"engine_ttlt_ms":545,"pre_inference_ms":149,"service_tbt_ms":17,"service_ttft_ms":737,"service_ttlt_ms":956,"total_duration_ms":815,"user_visible_ttft_ms":588},"prompt_tokens":881,"prompt_tokens_details":{"audio_tokens":0,"cached_tokens":0},"total_tokens":894}}</t>
        </is>
      </c>
      <c r="K35" t="inlineStr">
        <is>
          <t>Louis Vuitton Monogram Jacquard Cotton Mid-Calf Socks</t>
        </is>
      </c>
      <c r="L3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Monogram Jacquard Mid-Calf Socks, off-white tone, soft cotton blend, embossed LV motif, classic French elegance, unisex luxury comfort for daily stylish wear.","refusal":null,"role":"assistant"}}],"created":1778142231,"id":"chatcmpl-DcoJLXzYR7ygPBApc39H993HuvpR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113,"engine_ttft_ms":816,"engine_ttlt_ms":5127,"pre_inference_ms":114,"service_tbt_ms":114,"service_ttft_ms":1150,"service_ttlt_ms":5461,"total_duration_ms":5355,"user_visible_ttft_ms":1036},"prompt_tokens":902,"prompt_tokens_details":{"audio_tokens":0,"cached_tokens":0},"total_tokens":940}}</t>
        </is>
      </c>
      <c r="M35" t="inlineStr">
        <is>
          <t>{"alt-svc":"h3=\":443\"; ma=2592000","apim-request-id":"d8d35746-7603-43f5-bdf2-3d7c7bce79cb","azureml-model-session":"d20260501041445-2c187743","connection":"close","content-length":"1638","content-type":"application/json","date":"Thu, 07 May 2026 08:23:55 GMT","server":"Caddy","skip-error-remapping":"true","strict-transport-security":"max-age=31536000; includeSubDomains; preload","x-accel-buffering":"no","x-content-type-options":"nosniff","x-ms-client-request-id":"Not-Set","x-ms-is-spilled-over":"false","x-ms-rai-invoked":"true","x-ms-region":"Switzerland West","x-new-api-version":"v1.0.0-rc.4","x-oneapi-request-id":"202605070823507279106448268d9d6BG6BXy11","x-ratelimit-abusepenalty-active":"False","x-ratelimit-key":"gpt-5-chat-global","x-ratelimit-limit-requests":"1000","x-ratelimit-limit-tokens":"1000000","x-ratelimit-remaining-requests":"999","x-ratelimit-remaining-tokens":"998336","x-ratelimit-renewalperiod-requests":"60","x-ratelimit-renewalperiod-tokens":"60","x-ratelimit-reset-requests":"0","x-ratelimit-reset-tokens":"0","x-request-id":"5984c85e-373f-422e-8d2f-5ec9a5df2098","x-shellapi-request-id":"2026050716235067571500135565546"}</t>
        </is>
      </c>
      <c r="N35" t="inlineStr">
        <is>
          <t>Louis Vuitton Monogram Jacquard Mid-Calf Socks, off-white tone, soft cotton blend, embossed LV motif, classic French elegance, unisex luxury comfort for daily stylish wear.</t>
        </is>
      </c>
      <c r="O3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ouis Vuitton, Socks &amp; Hosiery, kakobuy, kakebuy2026, kekobuysheet, kakobuysheet2026, 2026kakobuy, kakobuyspreadsheeet, kakobuylink, kakebuylist, Kakobuy MEGA Spreadsheet, kakobuysheetfind, kakobuysheetfind2026, 2026kakobuysheetfind, kakobuysheet2026","refusal":null,"role":"assistant"}}],"created":1778143590,"id":"chatcmpl-DcofGaXjFYJluYp16zr3Qbk6FMIgn","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71,"engine_ttft_ms":347,"engine_ttlt_ms":7020,"pre_inference_ms":221,"service_tbt_ms":71,"service_ttft_ms":620,"service_ttlt_ms":7292,"total_duration_ms":7079,"user_visible_ttft_ms":399},"prompt_tokens":786,"prompt_tokens_details":{"audio_tokens":0,"cached_tokens":0},"total_tokens":880}}</t>
        </is>
      </c>
      <c r="P35" t="inlineStr">
        <is>
          <t>Louis Vuitton, Socks &amp; Hosiery, kakobuy, kakebuy2026, kekobuysheet, kakobuysheet2026, 2026kakobuy, kakobuyspreadsheeet, kakobuylink, kakebuylist, Kakobuy MEGA Spreadsheet, kakobuysheetfind, kakobuysheetfind2026, 2026kakobuysheetfind, kakobuysheet2026</t>
        </is>
      </c>
      <c r="Q35" t="inlineStr">
        <is>
          <t>LV, Unisex, Classic, Elegant, White</t>
        </is>
      </c>
      <c r="R35" t="inlineStr">
        <is>
          <t>recvhju1CrOuFY</t>
        </is>
      </c>
      <c r="S35" t="inlineStr">
        <is>
          <t>louis-vuitton-monogram-jacquard-cotton-mid-calf-socks-recvhju1croury</t>
        </is>
      </c>
      <c r="T35"/>
      <c r="U35"/>
      <c r="V35"/>
      <c r="W35" t="inlineStr">
        <is>
          <t>{"id":"chatcmpl-Dcnnx414mm280RKR5jGkTZm9DGvZd","object":"chat.completion","created":1778140285,"model":"gpt-5-chat-latest","choices":[{"index":0,"message":{"role":"assistant","content":"Louis Vuitton：经典Monogram提花中筒袜，米白色系，柔软棉质混纺面料，凸纹LV图腾设计，简约奢华风格，男女皆宜，展现法式优雅与舒适穿搭体验。","refusal":null,"annotations":[]},"logprobs":null,"finish_reason":"stop"}],"usage":{"prompt_tokens":1309,"completion_tokens":62,"total_tokens":1371,"prompt_tokens_details":{"cached_tokens":0,"audio_tokens":0},"completion_tokens_details":{"reasoning_tokens":0,"audio_tokens":0,"accepted_prediction_tokens":0,"rejected_prediction_tokens":0},"latency_checkpoint":{"service_ttft_ms":1648,"user_visible_ttft_ms":1482,"total_duration_ms":9179,"pre_inference_ms":167,"service_tbt_ms":124,"service_ttlt_ms":9338,"engine_ttft_ms":921,"engine_ttlt_ms":8611,"engine_tbt_ms":124}},"service_tier":"default","system_fingerprint":"fp_fd471178c5"}</t>
        </is>
      </c>
      <c r="X35" t="inlineStr">
        <is>
          <t>Louis Vuitton：经典Monogram提花中筒袜，米白色系，柔软棉质混纺面料，凸纹LV图腾设计，简约奢华风格，男女皆宜，展现法式优雅与舒适穿搭体验。</t>
        </is>
      </c>
    </row>
    <row r="36" ht="25.5" customHeight="1">
      <c r="A36">
        <v>1654975475</v>
      </c>
      <c r="B36">
        <v>7627322986</v>
      </c>
      <c r="C36" s="2" t="str">
        <f>=HYPERLINK("https://weidian.com/item.html?itemID=7627322986", "https://weidian.com/item.html?itemID=7627322986")</f>
        <v>https://weidian.com/item.html?itemID=7627322986</v>
      </c>
      <c r="D36"/>
      <c r="E36" s="2" t="str">
        <f>=HYPERLINK("https://si.geilicdn.com/pcitem2014204438-01b60000019ae7b1a6aa0a239846_1080_1080.jpg?w=640&amp;h=640", "https://si.geilicdn.com/pcitem2014204438-01b60000019ae7b1a6aa0a239846_1080_1080.jpg?w=640&amp;h=640")</f>
        <v>https://si.geilicdn.com/pcitem2014204438-01b60000019ae7b1a6aa0a239846_1080_1080.jpg?w=640&amp;h=640</v>
      </c>
      <c r="F36" t="inlineStr">
        <is>
          <t>Socks &amp; Hosiery</t>
        </is>
      </c>
      <c r="G36" t="inlineStr">
        <is>
          <t>Celine</t>
        </is>
      </c>
      <c r="H36">
        <v>120</v>
      </c>
      <c r="I36">
        <v>17.39</v>
      </c>
      <c r="J3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 Brown Logo Cotton Mid-Calf Unisex Socks","refusal":null,"role":"assistant"}}],"created":1778142864,"id":"chatcmpl-DcoTY6RcHpzIvCrw7ibCozqoLsK5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18,"engine_ttft_ms":335,"engine_ttlt_ms":550,"pre_inference_ms":134,"service_tbt_ms":19,"service_ttft_ms":594,"service_ttlt_ms":809,"total_duration_ms":683,"user_visible_ttft_ms":461},"prompt_tokens":891,"prompt_tokens_details":{"audio_tokens":0,"cached_tokens":0},"total_tokens":903}}</t>
        </is>
      </c>
      <c r="K36" t="inlineStr">
        <is>
          <t>CELINE Brown Logo Cotton Mid-Calf Unisex Socks</t>
        </is>
      </c>
      <c r="L3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 Brown Classic Logo Mid-Calf Socks, crafted from soft cotton blend for comfort and breathability. Minimalist contrast design with embroidered logo, unisex and perfect for daily, street, or retro styles.","refusal":null,"role":"assistant"}}],"created":1778142030,"id":"chatcmpl-DcoG6I0OZjpofRTGpfJWUynPUGvE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43,"completion_tokens_details":{"accepted_prediction_tokens":0,"audio_tokens":0,"reasoning_tokens":0,"rejected_prediction_tokens":0},"latency_checkpoint":{"engine_tbt_ms":86,"engine_ttft_ms":1299,"engine_ttlt_ms":5005,"pre_inference_ms":112,"service_tbt_ms":86,"service_ttft_ms":1848,"service_ttlt_ms":5553,"total_duration_ms":5449,"user_visible_ttft_ms":1736},"prompt_tokens":926,"prompt_tokens_details":{"audio_tokens":0,"cached_tokens":0},"total_tokens":969}}</t>
        </is>
      </c>
      <c r="M36" t="inlineStr">
        <is>
          <t>{"alt-svc":"h3=\":443\"; ma=2592000","apim-request-id":"f7658171-6be7-4908-af9b-08cc3f3ee982","azureml-model-session":"d20260501041445-2c187743","connection":"close","content-length":"1673","content-type":"application/json","date":"Thu, 07 May 2026 08:20:35 GMT","server":"Caddy","skip-error-remapping":"true","strict-transport-security":"max-age=31536000; includeSubDomains; preload","x-accel-buffering":"no","x-content-type-options":"nosniff","x-ms-client-request-id":"Not-Set","x-ms-is-spilled-over":"false","x-ms-rai-invoked":"true","x-ms-region":"Australia East","x-new-api-version":"v1.0.0-rc.4","x-oneapi-request-id":"202605070820298389886308268d9d6AmEVHylm","x-ratelimit-abusepenalty-active":"False","x-ratelimit-key":"gpt-5-chat-global","x-ratelimit-limit-requests":"1000","x-ratelimit-limit-tokens":"1000000","x-ratelimit-remaining-requests":"999","x-ratelimit-remaining-tokens":"998312","x-ratelimit-renewalperiod-requests":"60","x-ratelimit-renewalperiod-tokens":"60","x-ratelimit-reset-requests":"0","x-ratelimit-reset-tokens":"0","x-request-id":"91159fa9-9baa-4825-926e-af32024d335d","x-shellapi-request-id":"2026050716202961290491948466484"}</t>
        </is>
      </c>
      <c r="N36" t="inlineStr">
        <is>
          <t>CELINE Brown Classic Logo Mid-Calf Socks, crafted from soft cotton blend for comfort and breathability. Minimalist contrast design with embroidered logo, unisex and perfect for daily, street, or retro styles.</t>
        </is>
      </c>
      <c r="O3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eline,Socks &amp; Hosiery,kakobuy,kakebuy2026,kekobuysheet,kakobuysheet2026,2026kakobuy,kakobuyspreadsheeet,kakobuylink,kakebuylist,Kakobuy MEGA Spreadsheet,kakobuysheetfind,kakobuysheetfind2026,2026kakobuysheetfind,kakobuysheet2026","refusal":null,"role":"assistant"}}],"created":1778143349,"id":"chatcmpl-DcobNXCpBD4UOZsnMdrn6TAKAWri5","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17,"engine_ttft_ms":800,"engine_ttlt_ms":2344,"pre_inference_ms":181,"service_tbt_ms":17,"service_ttft_ms":1315,"service_ttlt_ms":2858,"total_duration_ms":2685,"user_visible_ttft_ms":1134},"prompt_tokens":786,"prompt_tokens_details":{"audio_tokens":0,"cached_tokens":0},"total_tokens":876}}</t>
        </is>
      </c>
      <c r="P36" t="inlineStr">
        <is>
          <t>Celine,Socks &amp; Hosiery,kakobuy,kakebuy2026,kekobuysheet,kakobuysheet2026,2026kakobuy,kakobuyspreadsheeet,kakobuylink,kakebuylist,Kakobuy MEGA Spreadsheet,kakobuysheetfind,kakobuysheetfind2026,2026kakobuysheetfind,kakobuysheet2026</t>
        </is>
      </c>
      <c r="Q36" t="inlineStr">
        <is>
          <t>Celine, Brown, Minimalist, Unisex, Street, Retro</t>
        </is>
      </c>
      <c r="R36" t="inlineStr">
        <is>
          <t>recvhju1CrnniZ</t>
        </is>
      </c>
      <c r="S36" t="inlineStr">
        <is>
          <t>celine-brown-logo-cotton-mid-calf-unisex-socks-recvhju1crnniz</t>
        </is>
      </c>
      <c r="T36"/>
      <c r="U36"/>
      <c r="V36"/>
      <c r="W36" t="inlineStr">
        <is>
          <t>{"id":"chatcmpl-DcnkrtPzNVTvQfsGPWl5SlnpIn9m4","object":"chat.completion","created":1778140093,"model":"gpt-5-chat-latest","choices":[{"index":0,"message":{"role":"assistant","content":"Celine：棕色经典Logo中筒袜，甄选柔软棉质混纺面料，舒适透气贴合足型。简约撞色设计搭配品牌字母刺绣，彰显法式极简美学。男女皆宜的时尚百搭款，适合日常穿搭、街头休闲与复古造型。","refusal":null,"annotations":[]},"logprobs":null,"finish_reason":"stop"}],"usage":{"prompt_tokens":1307,"completion_tokens":87,"total_tokens":1394,"prompt_tokens_details":{"cached_tokens":1280,"audio_tokens":0},"completion_tokens_details":{"reasoning_tokens":0,"audio_tokens":0,"accepted_prediction_tokens":0,"rejected_prediction_tokens":0},"latency_checkpoint":{"service_ttft_ms":966,"user_visible_ttft_ms":738,"total_duration_ms":11805,"pre_inference_ms":228,"service_tbt_ms":127,"service_ttlt_ms":12022,"engine_ttft_ms":682,"engine_ttlt_ms":11736,"engine_tbt_ms":127}},"service_tier":"default","system_fingerprint":"fp_fd471178c5"}</t>
        </is>
      </c>
      <c r="X36" t="inlineStr">
        <is>
          <t>Celine：棕色经典Logo中筒袜，甄选柔软棉质混纺面料，舒适透气贴合足型。简约撞色设计搭配品牌字母刺绣，彰显法式极简美学。男女皆宜的时尚百搭款，适合日常穿搭、街头休闲与复古造型。</t>
        </is>
      </c>
    </row>
    <row r="37" ht="25.5" customHeight="1">
      <c r="A37">
        <v>1654975475</v>
      </c>
      <c r="B37">
        <v>7627126356</v>
      </c>
      <c r="C37" s="2" t="str">
        <f>=HYPERLINK("https://weidian.com/item.html?itemID=7627126356", "https://weidian.com/item.html?itemID=7627126356")</f>
        <v>https://weidian.com/item.html?itemID=7627126356</v>
      </c>
      <c r="D37"/>
      <c r="E37" s="2" t="str">
        <f>=HYPERLINK("https://si.geilicdn.com/pcitem902014207253-713e0000019ae7529c3f0a81347d_1080_1440.jpg?w=640&amp;h=640", "https://si.geilicdn.com/pcitem902014207253-713e0000019ae7529c3f0a81347d_1080_1440.jpg?w=640&amp;h=640")</f>
        <v>https://si.geilicdn.com/pcitem902014207253-713e0000019ae7529c3f0a81347d_1080_1440.jpg?w=640&amp;h=640</v>
      </c>
      <c r="F37" t="inlineStr">
        <is>
          <t>Glasses</t>
        </is>
      </c>
      <c r="G37" t="inlineStr">
        <is>
          <t>Chanel</t>
        </is>
      </c>
      <c r="H37">
        <v>360</v>
      </c>
      <c r="I37">
        <v>52.17</v>
      </c>
      <c r="J3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nel Black White Square Sunglasses Retro Unisex UV Protection","refusal":null,"role":"assistant"}}],"created":1778143003,"id":"chatcmpl-DcoVnMsYEcy6AUxlprf1XPyEKHYuG","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76,"engine_ttft_ms":413,"engine_ttlt_ms":1405,"pre_inference_ms":189,"service_tbt_ms":78,"service_ttft_ms":750,"service_ttlt_ms":1726,"total_duration_ms":1568,"user_visible_ttft_ms":561},"prompt_tokens":880,"prompt_tokens_details":{"audio_tokens":0,"cached_tokens":0},"total_tokens":893}}</t>
        </is>
      </c>
      <c r="K37" t="inlineStr">
        <is>
          <t>Chanel Black White Square Sunglasses Retro Unisex UV Protection</t>
        </is>
      </c>
      <c r="L3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Black &amp; White Square Sunglasses – crafted from glossy acetate with signature double C logo, UV-protective lenses merge style and function, unisex retro chic elevates timeless luxury.","refusal":null,"role":"assistant"}}],"created":1778142323,"id":"chatcmpl-DcoKpGZYzvMVlvSqIQTagBleKw5S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20,"engine_ttft_ms":885,"engine_ttlt_ms":1672,"pre_inference_ms":135,"service_tbt_ms":21,"service_ttft_ms":1357,"service_ttlt_ms":2142,"total_duration_ms":2022,"user_visible_ttft_ms":1222},"prompt_tokens":913,"prompt_tokens_details":{"audio_tokens":0,"cached_tokens":0},"total_tokens":952}}</t>
        </is>
      </c>
      <c r="M37" t="inlineStr">
        <is>
          <t>{"alt-svc":"h3=\":443\"; ma=2592000","apim-request-id":"7b5ed03b-bded-4a9a-a6ae-b579f58223ff","azureml-model-session":"d20260428205641-55ca9797","connection":"close","content-length":"1660","content-type":"application/json","date":"Thu, 07 May 2026 08:25:25 GMT","skip-error-remapping":"true","strict-transport-security":"max-age=31536000; includeSubDomains; preload","via":"1.1 Caddy","x-accel-buffering":"no","x-content-type-options":"nosniff","x-ms-client-request-id":"Not-Set","x-ms-is-spilled-over":"false","x-ms-rai-invoked":"true","x-ms-region":"Korea Central","x-new-api-version":"v1.0.0-rc.4","x-oneapi-request-id":"202605070825222597300778268d9d6VVqHJjSY","x-ratelimit-abusepenalty-active":"False","x-ratelimit-key":"gpt-5-chat-global","x-ratelimit-limit-requests":"1000","x-ratelimit-limit-tokens":"1000000","x-ratelimit-remaining-requests":"999","x-ratelimit-remaining-tokens":"998325","x-ratelimit-renewalperiod-requests":"60","x-ratelimit-renewalperiod-tokens":"60","x-ratelimit-reset-requests":"0","x-ratelimit-reset-tokens":"0","x-request-id":"e7511f0a-14e6-4292-a54c-559d7115f19d","x-shellapi-request-id":"2026050716252220572523610404910"}</t>
        </is>
      </c>
      <c r="N37" t="inlineStr">
        <is>
          <t>Chanel Black &amp; White Square Sunglasses – crafted from glossy acetate with signature double C logo, UV-protective lenses merge style and function, unisex retro chic elevates timeless luxury.</t>
        </is>
      </c>
      <c r="O3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Glasses,kakobuy,kakebuy2026,kekobuysheet,kakobuysheet2026,2026kakobuy,kakobuyspreadsheeet,kakobuylink,kakebuylist,Kakobuy MEGA Spreadsheet,kakobuysheetfind,kakobuysheetfind2026,2026kakobuysheetfind,kakobuysheet2026","refusal":null,"role":"assistant"}}],"created":1778143306,"id":"chatcmpl-Dcoag0bTaoK9hVzEWNA19mFfSg0F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21,"engine_ttft_ms":762,"engine_ttlt_ms":2582,"pre_inference_ms":161,"service_tbt_ms":21,"service_ttft_ms":1214,"service_ttlt_ms":3033,"total_duration_ms":2881,"user_visible_ttft_ms":1053},"prompt_tokens":783,"prompt_tokens_details":{"audio_tokens":0,"cached_tokens":0},"total_tokens":871}}</t>
        </is>
      </c>
      <c r="P37" t="inlineStr">
        <is>
          <t>Chanel,Glasses,kakobuy,kakebuy2026,kekobuysheet,kakobuysheet2026,2026kakobuy,kakobuyspreadsheeet,kakobuylink,kakebuylist,Kakobuy MEGA Spreadsheet,kakobuysheetfind,kakobuysheetfind2026,2026kakobuysheetfind,kakobuysheet2026</t>
        </is>
      </c>
      <c r="Q37" t="inlineStr">
        <is>
          <t>Chanel, Acetate Fiber, Retro, Unisex, Anti-Ultraviolet</t>
        </is>
      </c>
      <c r="R37" t="inlineStr">
        <is>
          <t>recvhju1CrzeFZ</t>
        </is>
      </c>
      <c r="S37" t="inlineStr">
        <is>
          <t>chanel-black-white-square-sunglasses-retro-unisex-uv-protection-recvhju1crze</t>
        </is>
      </c>
      <c r="T37"/>
      <c r="U37"/>
      <c r="V37"/>
      <c r="W37" t="inlineStr">
        <is>
          <t>{"id":"chatcmpl-DcnqaHSmJhxDZ32jeLoUY0JJSViyD","object":"chat.completion","created":1778140448,"model":"gpt-5-chat-latest","choices":[{"index":0,"message":{"role":"assistant","content":"Chanel：黑白拼色系列方框太阳镜，镜框以高光醋酸纤维打造，饰有经典双C标志，展现极简高级设计美学。防紫外线镜片兼具实用与时尚，男女皆宜，复古优雅风格诠释品牌恒久魅力。","refusal":null,"annotations":[]},"logprobs":null,"finish_reason":"stop"}],"usage":{"prompt_tokens":1304,"completion_tokens":77,"total_tokens":1381,"prompt_tokens_details":{"cached_tokens":1280,"audio_tokens":0},"completion_tokens_details":{"reasoning_tokens":0,"audio_tokens":0,"accepted_prediction_tokens":0,"rejected_prediction_tokens":0},"latency_checkpoint":{"service_ttft_ms":670,"user_visible_ttft_ms":433,"total_duration_ms":2010,"pre_inference_ms":238,"service_tbt_ms":20,"service_ttlt_ms":2239,"engine_ttft_ms":300,"engine_ttlt_ms":1869,"engine_tbt_ms":20}},"service_tier":"default","system_fingerprint":"fp_fd471178c5"}</t>
        </is>
      </c>
      <c r="X37" t="inlineStr">
        <is>
          <t>Chanel：黑白拼色系列方框太阳镜，镜框以高光醋酸纤维打造，饰有经典双C标志，展现极简高级设计美学。防紫外线镜片兼具实用与时尚，男女皆宜，复古优雅风格诠释品牌恒久魅力。</t>
        </is>
      </c>
    </row>
    <row r="38" ht="25.5" customHeight="1">
      <c r="A38">
        <v>1654975475</v>
      </c>
      <c r="B38">
        <v>7626752956</v>
      </c>
      <c r="C38" s="2" t="str">
        <f>=HYPERLINK("https://weidian.com/item.html?itemID=7626752956", "https://weidian.com/item.html?itemID=7626752956")</f>
        <v>https://weidian.com/item.html?itemID=7626752956</v>
      </c>
      <c r="D38"/>
      <c r="E38" s="2" t="str">
        <f>=HYPERLINK("https://si.geilicdn.com/pcitem902014207253-696b0000019ae74b9da20a20e672_1920_1440.jpg?w=640&amp;h=640", "https://si.geilicdn.com/pcitem902014207253-696b0000019ae74b9da20a20e672_1920_1440.jpg?w=640&amp;h=640")</f>
        <v>https://si.geilicdn.com/pcitem902014207253-696b0000019ae74b9da20a20e672_1920_1440.jpg?w=640&amp;h=640</v>
      </c>
      <c r="F38" t="inlineStr">
        <is>
          <t>Accessories</t>
        </is>
      </c>
      <c r="G38" t="inlineStr">
        <is>
          <t>Mont Bell</t>
        </is>
      </c>
      <c r="H38">
        <v>250</v>
      </c>
      <c r="I38">
        <v>36.23</v>
      </c>
      <c r="J3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ontbell Lago Light Purple Nylon Shoulder Bag","refusal":null,"role":"assistant"}}],"created":1778142820,"id":"chatcmpl-DcoSqvcLzu9gPqSfG0anq14YVTVK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17,"engine_ttft_ms":788,"engine_ttlt_ms":939,"pre_inference_ms":109,"service_tbt_ms":18,"service_ttft_ms":1195,"service_ttlt_ms":1346,"total_duration_ms":1243,"user_visible_ttft_ms":1086},"prompt_tokens":595,"prompt_tokens_details":{"audio_tokens":0,"cached_tokens":0},"total_tokens":604}}</t>
        </is>
      </c>
      <c r="K38" t="inlineStr">
        <is>
          <t>Montbell Lago Light Purple Nylon Shoulder Bag</t>
        </is>
      </c>
      <c r="L3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ontbell Lago Series Light Purple Nylon Shoulder Bag – Water‑resistant, durable, minimalist urban design for men and women, perfect for daily commuting or outdoor adventures with functional style.","refusal":null,"role":"assistant"}}],"created":1778142314,"id":"chatcmpl-DcoKgeHbz4wkeQV7AKDnXddil9hbM","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25,"engine_ttft_ms":795,"engine_ttlt_ms":1721,"pre_inference_ms":143,"service_tbt_ms":25,"service_ttft_ms":1263,"service_ttlt_ms":2188,"total_duration_ms":2054,"user_visible_ttft_ms":1120},"prompt_tokens":611,"prompt_tokens_details":{"audio_tokens":0,"cached_tokens":0},"total_tokens":648}}</t>
        </is>
      </c>
      <c r="M38" t="inlineStr">
        <is>
          <t>{"alt-svc":"h3=\":443\"; ma=2592000","apim-request-id":"dfc93bec-42ef-424d-ad18-cea7a7722997","azureml-model-session":"d20260428165144-a78ba574","connection":"close","content-length":"1664","content-type":"application/json","date":"Thu, 07 May 2026 08:25:16 GMT","server":"Caddy","skip-error-remapping":"true","strict-transport-security":"max-age=31536000; includeSubDomains; preload","x-accel-buffering":"no","x-content-type-options":"nosniff","x-ms-client-request-id":"Not-Set","x-ms-is-spilled-over":"false","x-ms-rai-invoked":"true","x-ms-region":"Sweden Central","x-new-api-version":"v1.0.0-rc.4","x-oneapi-request-id":"202605070825142613965698268d9d6ckKCdXDi","x-ratelimit-abusepenalty-active":"False","x-ratelimit-key":"gpt-5-chat-global","x-ratelimit-limit-requests":"1000","x-ratelimit-limit-tokens":"1000000","x-ratelimit-remaining-requests":"999","x-ratelimit-remaining-tokens":"998625","x-ratelimit-renewalperiod-requests":"60","x-ratelimit-renewalperiod-tokens":"60","x-ratelimit-reset-requests":"0","x-ratelimit-reset-tokens":"0","x-request-id":"754b2a79-2ed2-4fa9-a365-4a9b041caf58","x-shellapi-request-id":"2026050716251420920268529604570"}</t>
        </is>
      </c>
      <c r="N38" t="inlineStr">
        <is>
          <t>Montbell Lago Series Light Purple Nylon Shoulder Bag – Water‑resistant, durable, minimalist urban design for men and women, perfect for daily commuting or outdoor adventures with functional style.</t>
        </is>
      </c>
      <c r="O3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ont Bell, Accessories, kakobuy, kakebuy2026, kekobuysheet, kakobuysheet2026, 2026kakobuy, kakobuyspreadsheeet, kakobuylink, kakebuylist, Kakobuy MEGA Spreadsheet, kakobuysheetfind, kakobuysheetfind2026, 2026kakobuysheetfind, kakobuysheet2026","refusal":null,"role":"assistant"}}],"created":1778143387,"id":"chatcmpl-Dcobz5gdxkVs8JkUTLfVWq5bLA4Z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91,"completion_tokens_details":{"accepted_prediction_tokens":0,"audio_tokens":0,"reasoning_tokens":0,"rejected_prediction_tokens":0},"latency_checkpoint":{"engine_tbt_ms":76,"engine_ttft_ms":1014,"engine_ttlt_ms":7913,"pre_inference_ms":119,"service_tbt_ms":76,"service_ttft_ms":1489,"service_ttlt_ms":8387,"total_duration_ms":8277,"user_visible_ttft_ms":1370},"prompt_tokens":502,"prompt_tokens_details":{"audio_tokens":0,"cached_tokens":0},"total_tokens":593}}</t>
        </is>
      </c>
      <c r="P38" t="inlineStr">
        <is>
          <t>Mont Bell, Accessories, kakobuy, kakebuy2026, kekobuysheet, kakobuysheet2026, 2026kakobuy, kakobuyspreadsheeet, kakobuylink, kakebuylist, Kakobuy MEGA Spreadsheet, kakobuysheetfind, kakobuysheetfind2026, 2026kakobuysheetfind, kakobuysheet2026</t>
        </is>
      </c>
      <c r="Q38" t="inlineStr">
        <is>
          <t>Nylon, Waterproof, Minimalist, Unisex, Outdoor</t>
        </is>
      </c>
      <c r="R38" t="inlineStr">
        <is>
          <t>recvhju1CreaWu</t>
        </is>
      </c>
      <c r="S38" t="inlineStr">
        <is>
          <t>montbell-lago-light-purple-nylon-shoulder-bag-recvhju1creawu</t>
        </is>
      </c>
      <c r="T38"/>
      <c r="U38"/>
      <c r="V38"/>
      <c r="W38" t="inlineStr">
        <is>
          <t>{"id":"chatcmpl-Dcnkw5sW8klOUaDvWXHipMTN9AGPG","object":"chat.completion","created":1778140098,"model":"gpt-5-chat-latest","choices":[{"index":0,"message":{"role":"assistant","content":"Mont Bell：Lago系列淡紫色轻量尼龙单肩包，防泼水耐磨设计，简约都市风格，男女皆宜，适合日常通勤与户外出行，兼具功能性与时尚感。","refusal":null,"annotations":[]},"logprobs":null,"finish_reason":"stop"}],"usage":{"prompt_tokens":1021,"completion_tokens":57,"total_tokens":1078,"prompt_tokens_details":{"cached_tokens":0,"audio_tokens":0},"completion_tokens_details":{"reasoning_tokens":0,"audio_tokens":0,"accepted_prediction_tokens":0,"rejected_prediction_tokens":0},"latency_checkpoint":{"service_ttft_ms":1889,"user_visible_ttft_ms":1727,"total_duration_ms":8915,"pre_inference_ms":161,"service_tbt_ms":126,"service_ttlt_ms":9065,"engine_ttft_ms":1146,"engine_ttlt_ms":8323,"engine_tbt_ms":126}},"service_tier":"default","system_fingerprint":"fp_fd471178c5"}</t>
        </is>
      </c>
      <c r="X38" t="inlineStr">
        <is>
          <t>Mont Bell：Lago系列淡紫色轻量尼龙单肩包，防泼水耐磨设计，简约都市风格，男女皆宜，适合日常通勤与户外出行，兼具功能性与时尚感。</t>
        </is>
      </c>
    </row>
    <row r="39" ht="25.5" customHeight="1">
      <c r="A39">
        <v>1654975475</v>
      </c>
      <c r="B39">
        <v>7623826009</v>
      </c>
      <c r="C39" s="2" t="str">
        <f>=HYPERLINK("https://weidian.com/item.html?itemID=7623826009", "https://weidian.com/item.html?itemID=7623826009")</f>
        <v>https://weidian.com/item.html?itemID=7623826009</v>
      </c>
      <c r="D39"/>
      <c r="E39" s="2" t="str">
        <f>=HYPERLINK("https://si.geilicdn.com/pcitem2014204438-7eca0000019ae49b0fcb0a2315ef_1440_1920.jpg?w=640&amp;h=640", "https://si.geilicdn.com/pcitem2014204438-7eca0000019ae49b0fcb0a2315ef_1440_1920.jpg?w=640&amp;h=640")</f>
        <v>https://si.geilicdn.com/pcitem2014204438-7eca0000019ae49b0fcb0a2315ef_1440_1920.jpg?w=640&amp;h=640</v>
      </c>
      <c r="F39" t="inlineStr">
        <is>
          <t>Accessories</t>
        </is>
      </c>
      <c r="G39" t="inlineStr">
        <is>
          <t>lululemon</t>
        </is>
      </c>
      <c r="H39">
        <v>296</v>
      </c>
      <c r="I39">
        <v>42.9</v>
      </c>
      <c r="J39"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filtered"}},"content_filter_results":{"protected_material_code":{"detected":false,"filtered":false},"protected_material_text":{"detected":false,"filtered":false}},"finish_reason":"stop","index":0,"logprobs":null,"message":{"annotations":[],"content":"Lululemon Brown Pink Nylon Crossbody Bag for Travel","refusal":null,"role":"assistant"}}],"created":1778143068,"id":"chatcmpl-DcoWqgMXkTSMWXAWyaCnA0ogpQHrU","model":"gpt-5-chat-2025-10-03","object":"chat.completion","prompt_filter_results":[{"prompt_index":0,"content_filter_results":{"jailbreak":{"detected":false,"filtered":false}}}],"service_tier":"default","system_fingerprint":"fp_fd471178c5","usage":{"completion_tokens":13,"completion_tokens_details":{"accepted_prediction_tokens":0,"audio_tokens":0,"reasoning_tokens":0,"rejected_prediction_tokens":0},"latency_checkpoint":{"engine_tbt_ms":57,"engine_ttft_ms":1250,"engine_ttlt_ms":1985,"pre_inference_ms":145,"service_tbt_ms":57,"service_ttft_ms":1766,"service_ttlt_ms":2501,"total_duration_ms":2366,"user_visible_ttft_ms":1621},"prompt_tokens":890,"prompt_tokens_details":{"audio_tokens":0,"cached_tokens":0},"total_tokens":903}}</t>
        </is>
      </c>
      <c r="K39" t="inlineStr">
        <is>
          <t>Lululemon Brown Pink Nylon Crossbody Bag for Travel</t>
        </is>
      </c>
      <c r="L39"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filtered"}},"content_filter_results":{"protected_material_code":{"detected":false,"filtered":false},"protected_material_text":{"detected":false,"filtered":false}},"finish_reason":"stop","index":0,"logprobs":null,"message":{"annotations":[],"content":"Lululemon brown and pink crossbody bag, made from lightweight water-repellent nylon, features a soft, full shape with adjustable strap, unisex sporty design, ideal for city travel and modern lifestyle.","refusal":null,"role":"assistant"}}],"created":1778142262,"id":"chatcmpl-DcoJqW6e1MWd9icnf2ARCind3cQh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44,"completion_tokens_details":{"accepted_prediction_tokens":0,"audio_tokens":0,"reasoning_tokens":0,"rejected_prediction_tokens":0},"latency_checkpoint":{"engine_tbt_ms":104,"engine_ttft_ms":1230,"engine_ttlt_ms":5816,"pre_inference_ms":142,"service_tbt_ms":104,"service_ttft_ms":1735,"service_ttlt_ms":6320,"total_duration_ms":6190,"user_visible_ttft_ms":1593},"prompt_tokens":907,"prompt_tokens_details":{"audio_tokens":0,"cached_tokens":0},"total_tokens":951}}</t>
        </is>
      </c>
      <c r="M39" t="inlineStr">
        <is>
          <t>{"alt-svc":"h3=\":443\"; ma=2592000","apim-request-id":"9a527cc7-cd5d-4f86-8694-fe198e6a9270","azureml-model-session":"d20260501041445-2c187743","connection":"close","content-length":"1589","content-type":"application/json","date":"Thu, 07 May 2026 08:24:28 GMT","skip-error-remapping":"true","strict-transport-security":"max-age=31536000; includeSubDomains; preload","via":"1.1 Caddy","x-accel-buffering":"no","x-content-type-options":"nosniff","x-ms-client-request-id":"Not-Set","x-ms-is-spilled-over":"false","x-ms-rai-invoked":"true","x-ms-region":"Japan East","x-new-api-version":"v1.0.0-rc.4","x-oneapi-request-id":"202605070824203937067888268d9d6ZgypJddV","x-ratelimit-abusepenalty-active":"False","x-ratelimit-key":"gpt-5-chat-global","x-ratelimit-limit-requests":"1000","x-ratelimit-limit-tokens":"1000000","x-ratelimit-remaining-requests":"999","x-ratelimit-remaining-tokens":"998331","x-ratelimit-renewalperiod-requests":"60","x-ratelimit-renewalperiod-tokens":"60","x-ratelimit-reset-requests":"0","x-ratelimit-reset-tokens":"0","x-request-id":"00216047-5342-4a31-a059-077a5dac3fbb","x-shellapi-request-id":"2026050716242033350056560364477"}</t>
        </is>
      </c>
      <c r="N39" t="inlineStr">
        <is>
          <t>Lululemon brown and pink crossbody bag, made from lightweight water-repellent nylon, features a soft, full shape with adjustable strap, unisex sporty design, ideal for city travel and modern lifestyle.</t>
        </is>
      </c>
      <c r="O3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bag,kakobuy,kakebuy2026,kekobuysheet,kakobuysheet2026,2026kakobuy,kakobuyspreadsheeet,kakobuylink,kakebuylist,Kakobuy MEGA Spreadsheet,kakobuysheetfind,kakobuysheetfind2026,2026kakobuysheetfind,kakobuysheet2026","refusal":null,"role":"assistant"}}],"created":1778143343,"id":"chatcmpl-DcobH3VD7CXTf7MqnQg4Qb1jQY23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21,"engine_ttft_ms":408,"engine_ttlt_ms":2257,"pre_inference_ms":161,"service_tbt_ms":23,"service_ttft_ms":714,"service_ttlt_ms":2665,"total_duration_ms":2543,"user_visible_ttft_ms":553},"prompt_tokens":783,"prompt_tokens_details":{"audio_tokens":0,"cached_tokens":0},"total_tokens":871}}</t>
        </is>
      </c>
      <c r="P39" t="inlineStr">
        <is>
          <t>lululemon,bag,kakobuy,kakebuy2026,kekobuysheet,kakobuysheet2026,2026kakobuy,kakobuyspreadsheeet,kakobuylink,kakebuylist,Kakobuy MEGA Spreadsheet,kakobuysheetfind,kakobuysheetfind2026,2026kakobuysheetfind,kakobuysheet2026</t>
        </is>
      </c>
      <c r="Q39" t="inlineStr">
        <is>
          <t>Brown, Pink, Nylon, Unisex, Sporty, Lightweight</t>
        </is>
      </c>
      <c r="R39" t="inlineStr">
        <is>
          <t>recvhju1Crm17l</t>
        </is>
      </c>
      <c r="S39" t="inlineStr">
        <is>
          <t>lululemon-brown-pink-nylon-crossbody-bag-recvhju1crm17l</t>
        </is>
      </c>
      <c r="T39"/>
      <c r="U39"/>
      <c r="V39"/>
      <c r="W39" t="inlineStr">
        <is>
          <t>{"id":"chatcmpl-Dcnx8o0Xgzss3Utx7zndP6G1XMaGD","object":"chat.completion","created":1778140854,"model":"gpt-5-chat-latest","choices":[{"index":0,"message":{"role":"assistant","content":"Lululemon 棕粉撞色斜挎包，轻盈防泼水尼龙面料，柔软饱满造型搭配可调节织带，简约运动风格，男女皆宜，都市出行便携之选，彰显现代设计美学与功能平衡。","refusal":null,"annotations":[]},"logprobs":null,"finish_reason":"stop"}],"usage":{"prompt_tokens":1305,"completion_tokens":71,"total_tokens":1376,"prompt_tokens_details":{"cached_tokens":0,"audio_tokens":0},"completion_tokens_details":{"reasoning_tokens":0,"audio_tokens":0,"accepted_prediction_tokens":0,"rejected_prediction_tokens":0},"latency_checkpoint":{"service_ttft_ms":767,"user_visible_ttft_ms":598,"total_duration_ms":2229,"pre_inference_ms":169,"service_tbt_ms":23,"service_ttlt_ms":2388,"engine_ttft_ms":451,"engine_ttlt_ms":2074,"engine_tbt_ms":23}},"service_tier":"default","system_fingerprint":"fp_fd471178c5"}</t>
        </is>
      </c>
      <c r="X39" t="inlineStr">
        <is>
          <t>Lululemon 棕粉撞色斜挎包，轻盈防泼水尼龙面料，柔软饱满造型搭配可调节织带，简约运动风格，男女皆宜，都市出行便携之选，彰显现代设计美学与功能平衡。</t>
        </is>
      </c>
    </row>
    <row r="40" ht="25.5" customHeight="1">
      <c r="A40">
        <v>1654975475</v>
      </c>
      <c r="B40">
        <v>7626892480</v>
      </c>
      <c r="C40" s="2" t="str">
        <f>=HYPERLINK("https://weidian.com/item.html?itemID=7626892480", "https://weidian.com/item.html?itemID=7626892480")</f>
        <v>https://weidian.com/item.html?itemID=7626892480</v>
      </c>
      <c r="D40"/>
      <c r="E40" s="2" t="str">
        <f>=HYPERLINK("https://si.geilicdn.com/pcitem2014204438-66370000019ae4980dd60a20e7c7_1080_1440.jpg?w=640&amp;h=640", "https://si.geilicdn.com/pcitem2014204438-66370000019ae4980dd60a20e7c7_1080_1440.jpg?w=640&amp;h=640")</f>
        <v>https://si.geilicdn.com/pcitem2014204438-66370000019ae4980dd60a20e7c7_1080_1440.jpg?w=640&amp;h=640</v>
      </c>
      <c r="F40" t="inlineStr">
        <is>
          <t>Accessories</t>
        </is>
      </c>
      <c r="G40" t="inlineStr">
        <is>
          <t>The North Face</t>
        </is>
      </c>
      <c r="H40">
        <v>300</v>
      </c>
      <c r="I40">
        <v>43.48</v>
      </c>
      <c r="J4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Stream 35 Off White Backpack","refusal":null,"role":"assistant"}}],"created":1778143078,"id":"chatcmpl-DcoX0XYKQqcFdCzJXVqyrzvJAPjL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23,"engine_ttft_ms":860,"engine_ttlt_ms":1092,"pre_inference_ms":128,"service_tbt_ms":24,"service_ttft_ms":1282,"service_ttlt_ms":1513,"total_duration_ms":1392,"user_visible_ttft_ms":1154},"prompt_tokens":874,"prompt_tokens_details":{"audio_tokens":0,"cached_tokens":0},"total_tokens":884}}</t>
        </is>
      </c>
      <c r="K40" t="inlineStr">
        <is>
          <t>The North Face Stream 35 Off White Backpack</t>
        </is>
      </c>
      <c r="L4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off-white STREAM 35 backpack crafted from water-resistant, durable nylon with a sleek minimalist design, multi-pocket storage, and adjustable straps for urban or outdoor use.","refusal":null,"role":"assistant"}}],"created":1778142041,"id":"chatcmpl-DcoGHQ1ufvwcpnubEHoQ6WYtbjkq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82,"engine_ttft_ms":1589,"engine_ttlt_ms":4543,"pre_inference_ms":161,"service_tbt_ms":82,"service_ttft_ms":2798,"service_ttlt_ms":5739,"total_duration_ms":5585,"user_visible_ttft_ms":2636},"prompt_tokens":921,"prompt_tokens_details":{"audio_tokens":0,"cached_tokens":0},"total_tokens":957}}</t>
        </is>
      </c>
      <c r="M40" t="inlineStr">
        <is>
          <t>{"alt-svc":"h3=\":443\"; ma=2592000","apim-request-id":"002bf425-6c53-45da-bd23-b6bdea59a64a","azureml-model-session":"d20260501060506-201eb233","connection":"close","content-length":"1654","content-type":"application/json","date":"Thu, 07 May 2026 08:20:47 GMT","server":"Caddy","skip-error-remapping":"true","strict-transport-security":"max-age=31536000; includeSubDomains; preload","x-accel-buffering":"no","x-content-type-options":"nosniff","x-ms-client-request-id":"Not-Set","x-ms-is-spilled-over":"false","x-ms-rai-invoked":"true","x-ms-region":"Australia East","x-new-api-version":"v1.0.0-rc.4","x-oneapi-request-id":"202605070820398584167488268d9d6YQxMSgC9","x-ratelimit-abusepenalty-active":"False","x-ratelimit-key":"gpt-5-chat-global","x-ratelimit-limit-requests":"1000","x-ratelimit-limit-tokens":"1000000","x-ratelimit-remaining-requests":"999","x-ratelimit-remaining-tokens":"998317","x-ratelimit-renewalperiod-requests":"60","x-ratelimit-renewalperiod-tokens":"60","x-ratelimit-reset-requests":"0","x-ratelimit-reset-tokens":"0","x-request-id":"40fb16d8-6058-4b86-8b73-84a64c2421cc","x-shellapi-request-id":"2026050716203980696945995786512"}</t>
        </is>
      </c>
      <c r="N40" t="inlineStr">
        <is>
          <t>The North Face off-white STREAM 35 backpack crafted from water-resistant, durable nylon with a sleek minimalist design, multi-pocket storage, and adjustable straps for urban or outdoor use.</t>
        </is>
      </c>
      <c r="O4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Backpack, kakobuy, kakebuy2026, kekobuysheet, kakobuysheet2026, 2026kakobuy, kakobuyspreadsheeet, kakobuylink, kakebuylist, Kakobuy MEGA Spreadsheet, kakobuysheetfind, kakobuysheetfind2026, 2026kakobuysheetfind, kakobuysheet2026","refusal":null,"role":"assistant"}}],"created":1778143750,"id":"chatcmpl-DcohqkIzxhDetMjYYM501ndmu9CK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15,"engine_ttft_ms":762,"engine_ttlt_ms":2147,"pre_inference_ms":146,"service_tbt_ms":15,"service_ttft_ms":1187,"service_ttlt_ms":2572,"total_duration_ms":2434,"user_visible_ttft_ms":1041},"prompt_tokens":783,"prompt_tokens_details":{"audio_tokens":0,"cached_tokens":0},"total_tokens":875}}</t>
        </is>
      </c>
      <c r="P40" t="inlineStr">
        <is>
          <t>The North Face, Backpack, kakobuy, kakebuy2026, kekobuysheet, kakobuysheet2026, 2026kakobuy, kakobuyspreadsheeet, kakobuylink, kakebuylist, Kakobuy MEGA Spreadsheet, kakobuysheetfind, kakobuysheetfind2026, 2026kakobuysheetfind, kakobuysheet2026</t>
        </is>
      </c>
      <c r="Q40" t="inlineStr">
        <is>
          <t>Backpack, Nylon, Waterproof, Minimalist, Outdoor, Unisex</t>
        </is>
      </c>
      <c r="R40" t="inlineStr">
        <is>
          <t>recvhju1CrJKdr</t>
        </is>
      </c>
      <c r="S40" t="inlineStr">
        <is>
          <t>the-north-face-stream-35-off-white-recvhju1crjkdr</t>
        </is>
      </c>
      <c r="T40"/>
      <c r="U40"/>
      <c r="V40"/>
      <c r="W40" t="inlineStr">
        <is>
          <t>{"id":"chatcmpl-DcnvedesqewTuHQ8gTpApkWXl4f9j","object":"chat.completion","created":1778140762,"model":"gpt-5-chat-latest","choices":[{"index":0,"message":{"role":"assistant","content":"The North Face 米白色 STREAM 35 双肩背包，选用耐磨防泼水尼龙面料打造，轻盈坚固。简约流线型设计结合品牌标志印花，配多功能收纳隔层与可调肩带，男女通用款，都市通勤与户外探索皆适用，彰显极简实用主义美学。","refusal":null,"annotations":[]},"logprobs":null,"finish_reason":"stop"}],"usage":{"prompt_tokens":1303,"completion_tokens":86,"total_tokens":1389,"prompt_tokens_details":{"cached_tokens":1280,"audio_tokens":0},"completion_tokens_details":{"reasoning_tokens":0,"audio_tokens":0,"accepted_prediction_tokens":0,"rejected_prediction_tokens":0},"latency_checkpoint":{"service_ttft_ms":679,"user_visible_ttft_ms":521,"total_duration_ms":2327,"pre_inference_ms":158,"service_tbt_ms":21,"service_ttlt_ms":2477,"engine_ttft_ms":367,"engine_ttlt_ms":2177,"engine_tbt_ms":21}},"service_tier":"default","system_fingerprint":"fp_fd471178c5"}</t>
        </is>
      </c>
      <c r="X40" t="inlineStr">
        <is>
          <t>The North Face 米白色 STREAM 35 双肩背包，选用耐磨防泼水尼龙面料打造，轻盈坚固。简约流线型设计结合品牌标志印花，配多功能收纳隔层与可调肩带，男女通用款，都市通勤与户外探索皆适用，彰显极简实用主义美学。</t>
        </is>
      </c>
    </row>
    <row r="41" ht="25.5" customHeight="1">
      <c r="A41">
        <v>1654975475</v>
      </c>
      <c r="B41">
        <v>7626871730</v>
      </c>
      <c r="C41" s="2" t="str">
        <f>=HYPERLINK("https://weidian.com/item.html?itemID=7626871730", "https://weidian.com/item.html?itemID=7626871730")</f>
        <v>https://weidian.com/item.html?itemID=7626871730</v>
      </c>
      <c r="D41"/>
      <c r="E41" s="2" t="str">
        <f>=HYPERLINK("https://si.geilicdn.com/pcitem2014204438-51860000019ae46161a30a239846_1074_1074.jpg?w=640&amp;h=640", "https://si.geilicdn.com/pcitem2014204438-51860000019ae46161a30a239846_1074_1074.jpg?w=640&amp;h=640")</f>
        <v>https://si.geilicdn.com/pcitem2014204438-51860000019ae46161a30a239846_1074_1074.jpg?w=640&amp;h=640</v>
      </c>
      <c r="F41" t="inlineStr">
        <is>
          <t>Accessories</t>
        </is>
      </c>
      <c r="G41" t="inlineStr">
        <is>
          <t>lululemon</t>
        </is>
      </c>
      <c r="H41">
        <v>260</v>
      </c>
      <c r="I41">
        <v>37.68</v>
      </c>
      <c r="J4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Beige Nylon Foldable Tote Bag Waterproof Unisex","refusal":null,"role":"assistant"}}],"created":1778142996,"id":"chatcmpl-DcoVgQCfrNkvnyxOa64WNokOj0LU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14,"completion_tokens_details":{"accepted_prediction_tokens":0,"audio_tokens":0,"reasoning_tokens":0,"rejected_prediction_tokens":0},"latency_checkpoint":{"engine_tbt_ms":64,"engine_ttft_ms":1483,"engine_ttlt_ms":2375,"pre_inference_ms":182,"service_tbt_ms":64,"service_ttft_ms":2027,"service_ttlt_ms":2918,"total_duration_ms":2745,"user_visible_ttft_ms":1845},"prompt_tokens":880,"prompt_tokens_details":{"audio_tokens":0,"cached_tokens":0},"total_tokens":894}}</t>
        </is>
      </c>
      <c r="K41" t="inlineStr">
        <is>
          <t>Lululemon Beige Nylon Foldable Tote Bag Waterproof Unisex</t>
        </is>
      </c>
      <c r="L4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Beige Nylon Foldable Tote Bag with Navy Leather Flap and Handles, Lightweight Waterproof Design for Urban Commute, Unisex Style Perfect for Daily Travel and Casual Outfits.","refusal":null,"role":"assistant"}}],"created":1778142298,"id":"chatcmpl-DcoKQhVNImUNLkaa8ldygdbT0ptt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20,"engine_ttft_ms":857,"engine_ttlt_ms":1623,"pre_inference_ms":186,"service_tbt_ms":20,"service_ttft_ms":1705,"service_ttlt_ms":2471,"total_duration_ms":2293,"user_visible_ttft_ms":1519},"prompt_tokens":900,"prompt_tokens_details":{"audio_tokens":0,"cached_tokens":0},"total_tokens":939}}</t>
        </is>
      </c>
      <c r="M41" t="inlineStr">
        <is>
          <t>{"alt-svc":"h3=\":443\"; ma=2592000","apim-request-id":"8ae1f1cd-549b-448d-90c6-70f682c06de7","azureml-model-session":"d20260428165144-a78ba574","connection":"close","content-length":"1646","content-type":"application/json","date":"Thu, 07 May 2026 08:25:00 GMT","skip-error-remapping":"true","strict-transport-security":"max-age=31536000; includeSubDomains; preload","via":"1.1 Caddy","x-accel-buffering":"no","x-content-type-options":"nosniff","x-ms-client-request-id":"Not-Set","x-ms-is-spilled-over":"false","x-ms-rai-invoked":"true","x-ms-region":"UK South","x-new-api-version":"v1.0.0-rc.4","x-oneapi-request-id":"202605070824572327162828268d9d6a6Lr0dzM","x-ratelimit-abusepenalty-active":"False","x-ratelimit-key":"gpt-5-chat-global","x-ratelimit-limit-requests":"1000","x-ratelimit-limit-tokens":"1000000","x-ratelimit-remaining-requests":"999","x-ratelimit-remaining-tokens":"998338","x-ratelimit-renewalperiod-requests":"60","x-ratelimit-renewalperiod-tokens":"60","x-ratelimit-reset-requests":"0","x-ratelimit-reset-tokens":"0","x-request-id":"e6219164-2b1c-4af6-b659-102ddd1e5661","x-shellapi-request-id":"2026050716245715964511940349334"}</t>
        </is>
      </c>
      <c r="N41" t="inlineStr">
        <is>
          <t>Lululemon Beige Nylon Foldable Tote Bag with Navy Leather Flap and Handles, Lightweight Waterproof Design for Urban Commute, Unisex Style Perfect for Daily Travel and Casual Outfits.</t>
        </is>
      </c>
      <c r="O4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Accessories,kakobuy,kakebuy2026,kekobuysheet,kakobuysheet2026,2026kakobuy,kakobuyspreadsheeet,kakobuylink,kakebuylist,Kakobuy MEGA Spreadsheet,kakobuysheetfind,kakobuysheetfind2026,2026kakobuysheetfind,kakobuysheet2026","refusal":null,"role":"assistant"}}],"created":1778143412,"id":"chatcmpl-DcocOud88mUjNSo7j0yQl6CRXiYp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22,"engine_ttft_ms":975,"engine_ttlt_ms":2917,"pre_inference_ms":131,"service_tbt_ms":22,"service_ttft_ms":1858,"service_ttlt_ms":3800,"total_duration_ms":3677,"user_visible_ttft_ms":1727},"prompt_tokens":783,"prompt_tokens_details":{"audio_tokens":0,"cached_tokens":0},"total_tokens":872}}</t>
        </is>
      </c>
      <c r="P41" t="inlineStr">
        <is>
          <t>Lululemon,Accessories,kakobuy,kakebuy2026,kekobuysheet,kakobuysheet2026,2026kakobuy,kakobuyspreadsheeet,kakobuylink,kakebuylist,Kakobuy MEGA Spreadsheet,kakobuysheetfind,kakobuysheetfind2026,2026kakobuysheetfind,kakobuysheet2026</t>
        </is>
      </c>
      <c r="Q41" t="inlineStr">
        <is>
          <t>Beige, Navy, Nylon, Leather, Lightweight, Waterproof</t>
        </is>
      </c>
      <c r="R41" t="inlineStr">
        <is>
          <t>recvhju1CrWlrH</t>
        </is>
      </c>
      <c r="S41" t="inlineStr">
        <is>
          <t>lululemon-beige-nylon-foldable-tote-recvhju1crwlrH</t>
        </is>
      </c>
      <c r="T41"/>
      <c r="U41"/>
      <c r="V41"/>
      <c r="W41" t="inlineStr">
        <is>
          <t>{"id":"chatcmpl-DcnpdEUMCEbOtw4jVbE3Reuavt0cl","object":"chat.completion","created":1778140389,"model":"gpt-5-chat-latest","choices":[{"index":0,"message":{"role":"assistant","content":"Other 米色尼龙可折叠托特包，拼接深蓝皮革翻盖与手挽设计，轻盈防水面料兼具实用与时尚气质，简约都市通勤风格，男女皆宜，适合日常出行与休闲搭配。","refusal":null,"annotations":[]},"logprobs":null,"finish_reason":"stop"}],"usage":{"prompt_tokens":1297,"completion_tokens":68,"total_tokens":1365,"prompt_tokens_details":{"cached_tokens":0,"audio_tokens":0},"completion_tokens_details":{"reasoning_tokens":0,"audio_tokens":0,"accepted_prediction_tokens":0,"rejected_prediction_tokens":0},"latency_checkpoint":{"service_ttft_ms":1392,"user_visible_ttft_ms":1226,"total_duration_ms":10832,"pre_inference_ms":165,"service_tbt_ms":141,"service_ttlt_ms":10984,"engine_ttft_ms":984,"engine_ttlt_ms":10577,"engine_tbt_ms":141}},"service_tier":"default","system_fingerprint":"fp_fd471178c5"}</t>
        </is>
      </c>
      <c r="X41" t="inlineStr">
        <is>
          <t>Other 米色尼龙可折叠托特包，拼接深蓝皮革翻盖与手挽设计，轻盈防水面料兼具实用与时尚气质，简约都市通勤风格，男女皆宜，适合日常出行与休闲搭配。</t>
        </is>
      </c>
    </row>
    <row r="42" ht="25.5" customHeight="1">
      <c r="A42">
        <v>1654975475</v>
      </c>
      <c r="B42">
        <v>7694311141</v>
      </c>
      <c r="C42" s="2" t="str">
        <f>=HYPERLINK("https://weidian.com/item.html?itemID=7694311141", "https://weidian.com/item.html?itemID=7694311141")</f>
        <v>https://weidian.com/item.html?itemID=7694311141</v>
      </c>
      <c r="D42"/>
      <c r="E42" s="2" t="str">
        <f>=HYPERLINK("https://si.geilicdn.com/open1654975475-252808396-59790000019c7a73d4b10a231226_790_1820.jpg?w=640&amp;h=640", "https://si.geilicdn.com/open1654975475-252808396-59790000019c7a73d4b10a231226_790_1820.jpg?w=640&amp;h=640")</f>
        <v>https://si.geilicdn.com/open1654975475-252808396-59790000019c7a73d4b10a231226_790_1820.jpg?w=640&amp;h=640</v>
      </c>
      <c r="F42" t="inlineStr">
        <is>
          <t>Toys</t>
        </is>
      </c>
      <c r="G42" t="inlineStr">
        <is>
          <t>Other</t>
        </is>
      </c>
      <c r="H42">
        <v>114</v>
      </c>
      <c r="I42">
        <v>16.52</v>
      </c>
      <c r="J4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ANH FIRING Stunt Water Bullet RC Battle Car","refusal":null,"role":"assistant"}}],"created":1778142851,"id":"chatcmpl-DcoTLWJu73qKMWjT8LL3mnzsKR3Vq","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20,"engine_ttft_ms":514,"engine_ttlt_ms":775,"pre_inference_ms":237,"service_tbt_ms":20,"service_ttft_ms":1065,"service_ttlt_ms":1313,"total_duration_ms":1084,"user_visible_ttft_ms":828},"prompt_tokens":1171,"prompt_tokens_details":{"audio_tokens":0,"cached_tokens":0},"total_tokens":1184}}</t>
        </is>
      </c>
      <c r="K42" t="inlineStr">
        <is>
          <t>TANH FIRING Stunt Water Bullet RC Battle Car</t>
        </is>
      </c>
      <c r="L4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ANH FIRING Multirole Stunt Water Bullet RC Car, Cool Black-Blue Design, Dual Control, Mist Light Effects, Powerful Electric Drive, Durable ABS, Futuristic Battle Toy for Boys and Girls.","refusal":null,"role":"assistant"}}],"created":1778142074,"id":"chatcmpl-DcoGoOz502Z7rnxEfcZenXNgKsOi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45,"completion_tokens_details":{"accepted_prediction_tokens":0,"audio_tokens":0,"reasoning_tokens":0,"rejected_prediction_tokens":0},"latency_checkpoint":{"engine_tbt_ms":19,"engine_ttft_ms":895,"engine_ttlt_ms":1771,"pre_inference_ms":162,"service_tbt_ms":20,"service_ttft_ms":1351,"service_ttlt_ms":2227,"total_duration_ms":2073,"user_visible_ttft_ms":1189},"prompt_tokens":1188,"prompt_tokens_details":{"audio_tokens":0,"cached_tokens":0},"total_tokens":1233}}</t>
        </is>
      </c>
      <c r="M42" t="inlineStr">
        <is>
          <t>{"alt-svc":"h3=\":443\"; ma=2592000","apim-request-id":"aa1fc2cb-4148-4215-8832-78eb35b5c4c6","azureml-model-session":"d20260428165144-a78ba574","connection":"close","content-length":"1652","content-type":"application/json","date":"Thu, 07 May 2026 08:21:16 GMT","server":"Caddy","skip-error-remapping":"true","strict-transport-security":"max-age=31536000; includeSubDomains; preload","x-accel-buffering":"no","x-content-type-options":"nosniff","x-ms-client-request-id":"Not-Set","x-ms-is-spilled-over":"false","x-ms-rai-invoked":"true","x-ms-region":"Switzerland West","x-new-api-version":"v1.0.0-rc.4","x-oneapi-request-id":"202605070821135923966108268d9d6Fqx6m4Mt","x-ratelimit-abusepenalty-active":"False","x-ratelimit-key":"gpt-5-chat-global","x-ratelimit-limit-requests":"1000","x-ratelimit-limit-tokens":"1000000","x-ratelimit-remaining-requests":"999","x-ratelimit-remaining-tokens":"998049","x-ratelimit-renewalperiod-requests":"60","x-ratelimit-renewalperiod-tokens":"60","x-ratelimit-reset-requests":"0","x-ratelimit-reset-tokens":"0","x-request-id":"c3981750-be26-4718-a628-cb1ba82a1681","x-shellapi-request-id":"2026050716211353801394260817306"}</t>
        </is>
      </c>
      <c r="N42" t="inlineStr">
        <is>
          <t>TANH FIRING Multirole Stunt Water Bullet RC Car, Cool Black-Blue Design, Dual Control, Mist Light Effects, Powerful Electric Drive, Durable ABS, Futuristic Battle Toy for Boys and Girls.</t>
        </is>
      </c>
      <c r="O4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anh Firing,Water Bullet RC Car,kakobuy,kakebuy2026,kekobuysheet,kakobuysheet2026,2026kakobuy,kakobuyspreadsheeet,kakobuylink,kakebuylist,Kakobuy MEGA Spreadsheet,kakobuysheetfind,kakobuysheetfind2026,2026kakobuysheetfind,kakobuysheet2026","refusal":null,"role":"assistant"}}],"created":1778143709,"id":"chatcmpl-DcohBY17wTotPahVnNDX3OEp0oF3B","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106,"engine_ttft_ms":305,"engine_ttlt_ms":10022,"pre_inference_ms":211,"service_tbt_ms":106,"service_ttft_ms":654,"service_ttlt_ms":10373,"total_duration_ms":10168,"user_visible_ttft_ms":443},"prompt_tokens":1062,"prompt_tokens_details":{"audio_tokens":0,"cached_tokens":0},"total_tokens":1154}}</t>
        </is>
      </c>
      <c r="P42" t="inlineStr">
        <is>
          <t>Tanh Firing,Water Bullet RC Car,kakobuy,kakebuy2026,kekobuysheet,kakobuysheet2026,2026kakobuy,kakobuyspreadsheeet,kakobuylink,kakebuylist,Kakobuy MEGA Spreadsheet,kakobuysheetfind,kakobuysheetfind2026,2026kakobuysheetfind,kakobuysheet2026</t>
        </is>
      </c>
      <c r="Q42"/>
      <c r="R42" t="inlineStr">
        <is>
          <t>recvhju1CrYeAM</t>
        </is>
      </c>
      <c r="S42" t="inlineStr">
        <is>
          <t>tanh-firing-stunt-water-bullet-rc-battle-car-recvhju1cryeam</t>
        </is>
      </c>
      <c r="T42"/>
      <c r="U42"/>
      <c r="V42"/>
      <c r="W42" t="inlineStr">
        <is>
          <t>{"id":"chatcmpl-DcnmKlHl7Fy6JRUGOGwzX1VJcZKoZ","object":"chat.completion","created":1778140184,"model":"gpt-5-chat-latest","choices":[{"index":0,"message":{"role":"assistant","content":"多轮特技炫光水弹遥控车，酷黑蓝配色，强劲电动驱动与喷雾光效，双重遥控设计，质感耐摔ABS材质，动感机甲风格，适合男女孩，未来科技感十足的儿童娱乐战车玩具。","refusal":null,"annotations":[]},"logprobs":null,"finish_reason":"stop"}],"usage":{"prompt_tokens":1582,"completion_tokens":73,"total_tokens":1655,"prompt_tokens_details":{"cached_tokens":0,"audio_tokens":0},"completion_tokens_details":{"reasoning_tokens":0,"audio_tokens":0,"accepted_prediction_tokens":0,"rejected_prediction_tokens":0},"latency_checkpoint":{"service_ttft_ms":2046,"user_visible_ttft_ms":1762,"total_duration_ms":3422,"pre_inference_ms":284,"service_tbt_ms":23,"service_ttlt_ms":3695,"engine_ttft_ms":998,"engine_ttlt_ms":2648,"engine_tbt_ms":23}},"service_tier":"default","system_fingerprint":"fp_fd471178c5"}</t>
        </is>
      </c>
      <c r="X42" t="inlineStr">
        <is>
          <t>多轮特技炫光水弹遥控车，酷黑蓝配色，强劲电动驱动与喷雾光效，双重遥控设计，质感耐摔ABS材质，动感机甲风格，适合男女孩，未来科技感十足的儿童娱乐战车玩具。</t>
        </is>
      </c>
    </row>
    <row r="43" ht="25.5" customHeight="1">
      <c r="A43">
        <v>1654975475</v>
      </c>
      <c r="B43">
        <v>7624334033</v>
      </c>
      <c r="C43" s="2" t="str">
        <f>=HYPERLINK("https://weidian.com/item.html?itemID=7624334033", "https://weidian.com/item.html?itemID=7624334033")</f>
        <v>https://weidian.com/item.html?itemID=7624334033</v>
      </c>
      <c r="D43"/>
      <c r="E43" s="2" t="str">
        <f>=HYPERLINK("https://si.geilicdn.com/pcitem2014204438-176f0000019ae7e6e5b30a20e672_1080_1080.jpg?w=640&amp;h=640", "https://si.geilicdn.com/pcitem2014204438-176f0000019ae7e6e5b30a20e672_1080_1080.jpg?w=640&amp;h=640")</f>
        <v>https://si.geilicdn.com/pcitem2014204438-176f0000019ae7e6e5b30a20e672_1080_1080.jpg?w=640&amp;h=640</v>
      </c>
      <c r="F43" t="inlineStr">
        <is>
          <t>Socks &amp; Hosiery</t>
        </is>
      </c>
      <c r="G43" t="inlineStr">
        <is>
          <t>Gucci</t>
        </is>
      </c>
      <c r="H43">
        <v>120</v>
      </c>
      <c r="I43">
        <v>17.39</v>
      </c>
      <c r="J4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Classic Gray Cotton Mid Calf Socks Unisex Retro Style","refusal":null,"role":"assistant"}}],"created":1778142935,"id":"chatcmpl-DcoUhstWSAj9gPWsz2c0oSay9e3G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14,"completion_tokens_details":{"accepted_prediction_tokens":0,"audio_tokens":0,"reasoning_tokens":0,"rejected_prediction_tokens":0},"latency_checkpoint":{"engine_tbt_ms":110,"engine_ttft_ms":569,"engine_ttlt_ms":2110,"pre_inference_ms":248,"service_tbt_ms":107,"service_ttft_ms":965,"service_ttlt_ms":2454,"total_duration_ms":2215,"user_visible_ttft_ms":716},"prompt_tokens":879,"prompt_tokens_details":{"audio_tokens":0,"cached_tokens":0},"total_tokens":893}}</t>
        </is>
      </c>
      <c r="K43" t="inlineStr">
        <is>
          <t>Gucci Classic Gray Cotton Mid Calf Socks Unisex Retro Style</t>
        </is>
      </c>
      <c r="L4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Classic Collection gray mid-calf socks, soft cotton blend, featuring signature green-red web and double G embroidery, unisex retro casual design with Italian elegance and modern style.","refusal":null,"role":"assistant"}}],"created":1778142209,"id":"chatcmpl-DcoIzgztVvtK4fYqBNqn1jlq05eq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18,"engine_ttft_ms":328,"engine_ttlt_ms":1001,"pre_inference_ms":159,"service_tbt_ms":18,"service_ttft_ms":757,"service_ttlt_ms":1429,"total_duration_ms":1278,"user_visible_ttft_ms":598},"prompt_tokens":906,"prompt_tokens_details":{"audio_tokens":0,"cached_tokens":0},"total_tokens":943}}</t>
        </is>
      </c>
      <c r="M43" t="inlineStr">
        <is>
          <t>{"alt-svc":"h3=\":443\"; ma=2592000","apim-request-id":"8503f903-521d-458e-bb11-b0cc0f8be088","azureml-model-session":"d20260428165144-a78ba574","connection":"close","content-length":"1652","content-type":"application/json","date":"Thu, 07 May 2026 08:23:30 GMT","server":"Caddy","skip-error-remapping":"true","strict-transport-security":"max-age=31536000; includeSubDomains; preload","x-accel-buffering":"no","x-content-type-options":"nosniff","x-ms-client-request-id":"Not-Set","x-ms-is-spilled-over":"false","x-ms-rai-invoked":"true","x-ms-region":"East US 2","x-new-api-version":"v1.0.0-rc.4","x-oneapi-request-id":"202605070823281216867888268d9d65pEJTk0k","x-ratelimit-abusepenalty-active":"False","x-ratelimit-key":"gpt-5-chat-global","x-ratelimit-limit-requests":"1000","x-ratelimit-limit-tokens":"1000000","x-ratelimit-remaining-requests":"999","x-ratelimit-remaining-tokens":"998332","x-ratelimit-renewalperiod-requests":"60","x-ratelimit-renewalperiod-tokens":"60","x-ratelimit-reset-requests":"0","x-ratelimit-reset-tokens":"0","x-request-id":"2c8f3bb5-f90e-4b70-899f-7823019b3975","x-shellapi-request-id":"2026050716232792265488460349879"}</t>
        </is>
      </c>
      <c r="N43" t="inlineStr">
        <is>
          <t>Gucci Classic Collection gray mid-calf socks, soft cotton blend, featuring signature green-red web and double G embroidery, unisex retro casual design with Italian elegance and modern style.</t>
        </is>
      </c>
      <c r="O4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Socks &amp; Hosiery, kakobuy, kakebuy2026, kekobuysheet, kakobuysheet2026, 2026kakobuy, kakobuyspreadsheeet, kakobuylink, kakebuylist, Kakobuy MEGA Spreadsheet, kakobuysheetfind, kakobuysheetfind2026, 2026kakobuysheetfind, kakobuysheet2026","refusal":null,"role":"assistant"}}],"created":1778143380,"id":"chatcmpl-DcobsdjvLfGU4SnoQ1rP2jQcdhNb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24,"engine_ttft_ms":1083,"engine_ttlt_ms":3316,"pre_inference_ms":157,"service_tbt_ms":24,"service_ttft_ms":1607,"service_ttlt_ms":3840,"total_duration_ms":3689,"user_visible_ttft_ms":1450},"prompt_tokens":786,"prompt_tokens_details":{"audio_tokens":0,"cached_tokens":0},"total_tokens":880}}</t>
        </is>
      </c>
      <c r="P43" t="inlineStr">
        <is>
          <t>Gucci, Socks &amp; Hosiery, kakobuy, kakebuy2026, kekobuysheet, kakobuysheet2026, 2026kakobuy, kakobuyspreadsheeet, kakobuylink, kakebuylist, Kakobuy MEGA Spreadsheet, kakobuysheetfind, kakobuysheetfind2026, 2026kakobuysheetfind, kakobuysheet2026</t>
        </is>
      </c>
      <c r="Q43" t="inlineStr">
        <is>
          <t>Unisex, Retro, Gray</t>
        </is>
      </c>
      <c r="R43" t="inlineStr">
        <is>
          <t>recvhju1Crf3Bk</t>
        </is>
      </c>
      <c r="S43" t="inlineStr">
        <is>
          <t>gucci-classic-gray-cotton-mid-calf-socks-unisex-retro-recvhju1crf3bk</t>
        </is>
      </c>
      <c r="T43"/>
      <c r="U43"/>
      <c r="V43"/>
      <c r="W43" t="inlineStr">
        <is>
          <t>{"id":"chatcmpl-DcnnHoxrc5VUxDQXDsQVEc9TvJjiZ","object":"chat.completion","created":1778140243,"model":"gpt-5-chat-latest","choices":[{"index":0,"message":{"role":"assistant","content":"Gucci：经典系列灰色中筒袜，柔软棉质混纺面料，饰以标志性绿红织带与双G刺绣图腾，休闲复古风格，男女通用款，展现意式优雅与潮流格调。","refusal":null,"annotations":[]},"logprobs":null,"finish_reason":"stop"}],"usage":{"prompt_tokens":1309,"completion_tokens":66,"total_tokens":1375,"prompt_tokens_details":{"cached_tokens":1280,"audio_tokens":0},"completion_tokens_details":{"reasoning_tokens":0,"audio_tokens":0,"accepted_prediction_tokens":0,"rejected_prediction_tokens":0},"latency_checkpoint":{"service_ttft_ms":2226,"user_visible_ttft_ms":2059,"total_duration_ms":9897,"pre_inference_ms":167,"service_tbt_ms":119,"service_ttlt_ms":10056,"engine_ttft_ms":1523,"engine_ttlt_ms":9353,"engine_tbt_ms":119}},"service_tier":"default","system_fingerprint":"fp_fd471178c5"}</t>
        </is>
      </c>
      <c r="X43" t="inlineStr">
        <is>
          <t>Gucci：经典系列灰色中筒袜，柔软棉质混纺面料，饰以标志性绿红织带与双G刺绣图腾，休闲复古风格，男女通用款，展现意式优雅与潮流格调。</t>
        </is>
      </c>
    </row>
    <row r="44" ht="25.5" customHeight="1">
      <c r="A44">
        <v>1654975475</v>
      </c>
      <c r="B44">
        <v>7627489474</v>
      </c>
      <c r="C44" s="2" t="str">
        <f>=HYPERLINK("https://weidian.com/item.html?itemID=7627489474", "https://weidian.com/item.html?itemID=7627489474")</f>
        <v>https://weidian.com/item.html?itemID=7627489474</v>
      </c>
      <c r="D44"/>
      <c r="E44" s="2" t="str">
        <f>=HYPERLINK("https://si.geilicdn.com/pcitem2014204438-21220000019ae7e4aa320a23038e_1074_1054.jpg?w=640&amp;h=640", "https://si.geilicdn.com/pcitem2014204438-21220000019ae7e4aa320a23038e_1074_1054.jpg?w=640&amp;h=640")</f>
        <v>https://si.geilicdn.com/pcitem2014204438-21220000019ae7e4aa320a23038e_1074_1054.jpg?w=640&amp;h=640</v>
      </c>
      <c r="F44" t="inlineStr">
        <is>
          <t>Socks &amp; Hosiery</t>
        </is>
      </c>
      <c r="G44" t="inlineStr">
        <is>
          <t>Gucci</t>
        </is>
      </c>
      <c r="H44">
        <v>130</v>
      </c>
      <c r="I44">
        <v>18.84</v>
      </c>
      <c r="J4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Green Stripe Cotton Ribbed Luxury Socks","refusal":null,"role":"assistant"}}],"created":1778142843,"id":"chatcmpl-DcoTDmGnXWAHgMBMz3BaGKWGOtT0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19,"engine_ttft_ms":817,"engine_ttlt_ms":1005,"pre_inference_ms":135,"service_tbt_ms":20,"service_ttft_ms":1677,"service_ttlt_ms":1864,"total_duration_ms":1737,"user_visible_ttft_ms":1542},"prompt_tokens":885,"prompt_tokens_details":{"audio_tokens":0,"cached_tokens":0},"total_tokens":895}}</t>
        </is>
      </c>
      <c r="K44" t="inlineStr">
        <is>
          <t>Gucci Green Stripe Cotton Ribbed Luxury Socks</t>
        </is>
      </c>
      <c r="L4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Green Stripe Cotton Socks made from premium long-staple cotton, breathable and comfortable with ribbed design, gold logo embroidery, vintage casual style for men and women, luxury fashion touch.","refusal":null,"role":"assistant"}}],"created":1778141981,"id":"chatcmpl-DcoFJPc7bEF8OCXvwfGbpk0vDXtk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22,"engine_ttft_ms":746,"engine_ttlt_ms":1614,"pre_inference_ms":106,"service_tbt_ms":22,"service_ttft_ms":1147,"service_ttlt_ms":2014,"total_duration_ms":1915,"user_visible_ttft_ms":1041},"prompt_tokens":903,"prompt_tokens_details":{"audio_tokens":0,"cached_tokens":0},"total_tokens":943}}</t>
        </is>
      </c>
      <c r="M44" t="inlineStr">
        <is>
          <t>{"alt-svc":"h3=\":443\"; ma=2592000","apim-request-id":"6371a512-4adf-4285-82ee-9a75d411a074","azureml-model-session":"d20260428165144-a78ba574","connection":"close","content-length":"1664","content-type":"application/json","date":"Thu, 07 May 2026 08:19:42 GMT","server":"Caddy","skip-error-remapping":"true","strict-transport-security":"max-age=31536000; includeSubDomains; preload","x-accel-buffering":"no","x-content-type-options":"nosniff","x-ms-client-request-id":"Not-Set","x-ms-is-spilled-over":"false","x-ms-rai-invoked":"true","x-ms-region":"Switzerland West","x-new-api-version":"v1.0.0-rc.4","x-oneapi-request-id":"202605070819395649144808268d9d6sRAIJOcP","x-ratelimit-abusepenalty-active":"False","x-ratelimit-key":"gpt-5-chat-global","x-ratelimit-limit-requests":"1000","x-ratelimit-limit-tokens":"1000000","x-ratelimit-remaining-requests":"999","x-ratelimit-remaining-tokens":"998335","x-ratelimit-renewalperiod-requests":"60","x-ratelimit-renewalperiod-tokens":"60","x-ratelimit-reset-requests":"0","x-ratelimit-reset-tokens":"0","x-request-id":"54680497-4ffa-4e33-9ba5-8795948ae6a4","x-shellapi-request-id":"2026050716193949885026164901875"}</t>
        </is>
      </c>
      <c r="N44" t="inlineStr">
        <is>
          <t>Gucci Green Stripe Cotton Socks made from premium long-staple cotton, breathable and comfortable with ribbed design, gold logo embroidery, vintage casual style for men and women, luxury fashion touch.</t>
        </is>
      </c>
      <c r="O4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Socks &amp; Hosiery, kakobuy, kakebuy2026, kekobuysheet, kakobuysheet2026, 2026kakobuy, kakobuyspreadsheeet, kakobuylink, kakebuylist, Kakobuy MEGA Spreadsheet, kakobuysheetfind, kakobuysheetfind2026, 2026kakobuysheetfind, kakobuysheet2026","refusal":null,"role":"assistant"}}],"created":1778143671,"id":"chatcmpl-DcogZfZTEuXWxEgAKhSrUiKlKQiX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76,"engine_ttft_ms":1278,"engine_ttlt_ms":8469,"pre_inference_ms":128,"service_tbt_ms":77,"service_ttft_ms":1847,"service_ttlt_ms":9038,"total_duration_ms":8918,"user_visible_ttft_ms":1719},"prompt_tokens":786,"prompt_tokens_details":{"audio_tokens":0,"cached_tokens":0},"total_tokens":880}}</t>
        </is>
      </c>
      <c r="P44" t="inlineStr">
        <is>
          <t>Gucci, Socks &amp; Hosiery, kakobuy, kakebuy2026, kekobuysheet, kakobuysheet2026, 2026kakobuy, kakobuyspreadsheeet, kakobuylink, kakebuylist, Kakobuy MEGA Spreadsheet, kakobuysheetfind, kakobuysheetfind2026, 2026kakobuysheetfind, kakobuysheet2026</t>
        </is>
      </c>
      <c r="Q44" t="inlineStr">
        <is>
          <t>Green, Vintage, Breathable, Unisex</t>
        </is>
      </c>
      <c r="R44" t="inlineStr">
        <is>
          <t>recvhju1Crx7bf</t>
        </is>
      </c>
      <c r="S44" t="inlineStr">
        <is>
          <t>gucci-green-stripe-cotton-ribbed-socks-recvhju1crx7bf</t>
        </is>
      </c>
      <c r="T44"/>
      <c r="U44"/>
      <c r="V44"/>
      <c r="W4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绿条纹运动棉袜，采用优质长绒棉材质，透气舒适，罗纹设计贴合脚型，搭配金色品牌刺绣标识，复古休闲风格，男女皆宜，彰显高端时尚品味。","refusal":null,"role":"assistant"}}],"created":1778140321,"id":"chatcmpl-DcnoXfUThtbOsp8NV1ul3K2lCc2e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66,"completion_tokens_details":{"accepted_prediction_tokens":0,"audio_tokens":0,"reasoning_tokens":0,"rejected_prediction_tokens":0},"latency_checkpoint":{"engine_tbt_ms":24,"engine_ttft_ms":853,"engine_ttlt_ms":2408,"pre_inference_ms":136,"service_tbt_ms":24,"service_ttft_ms":1801,"service_ttlt_ms":3354,"total_duration_ms":3225,"user_visible_ttft_ms":1665},"prompt_tokens":1303,"prompt_tokens_details":{"audio_tokens":0,"cached_tokens":1280},"total_tokens":1369}}</t>
        </is>
      </c>
      <c r="X44" t="inlineStr">
        <is>
          <t>Gucci绿条纹运动棉袜，采用优质长绒棉材质，透气舒适，罗纹设计贴合脚型，搭配金色品牌刺绣标识，复古休闲风格，男女皆宜，彰显高端时尚品味。</t>
        </is>
      </c>
    </row>
    <row r="45" ht="25.5" customHeight="1">
      <c r="A45">
        <v>1654975475</v>
      </c>
      <c r="B45">
        <v>7627580074</v>
      </c>
      <c r="C45" s="2" t="str">
        <f>=HYPERLINK("https://weidian.com/item.html?itemID=7627580074", "https://weidian.com/item.html?itemID=7627580074")</f>
        <v>https://weidian.com/item.html?itemID=7627580074</v>
      </c>
      <c r="D45"/>
      <c r="E45" s="2" t="str">
        <f>=HYPERLINK("https://si.geilicdn.com/pcitem2014204438-0cae0000019ae7e3884c0a231177_1074_1074.jpg?w=640&amp;h=640", "https://si.geilicdn.com/pcitem2014204438-0cae0000019ae7e3884c0a231177_1074_1074.jpg?w=640&amp;h=640")</f>
        <v>https://si.geilicdn.com/pcitem2014204438-0cae0000019ae7e3884c0a231177_1074_1074.jpg?w=640&amp;h=640</v>
      </c>
      <c r="F45" t="inlineStr">
        <is>
          <t>Socks &amp; Hosiery</t>
        </is>
      </c>
      <c r="G45" t="inlineStr">
        <is>
          <t>Chanel</t>
        </is>
      </c>
      <c r="H45">
        <v>130</v>
      </c>
      <c r="I45">
        <v>18.84</v>
      </c>
      <c r="J4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Beige Knit Mid-Calf Cotton Socks","refusal":null,"role":"assistant"}}],"created":1778142867,"id":"chatcmpl-DcoTbfVoJOHoQJ2VFqEQAocws4c8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14,"engine_ttft_ms":341,"engine_ttlt_ms":484,"pre_inference_ms":149,"service_tbt_ms":15,"service_ttft_ms":631,"service_ttlt_ms":773,"total_duration_ms":631,"user_visible_ttft_ms":482},"prompt_tokens":875,"prompt_tokens_details":{"audio_tokens":0,"cached_tokens":0},"total_tokens":885}}</t>
        </is>
      </c>
      <c r="K45" t="inlineStr">
        <is>
          <t>Chanel Beige Knit Mid-Calf Cotton Socks</t>
        </is>
      </c>
      <c r="L4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nel Classic Beige Knit Mid-Calf Socks with Black Double C Logo, soft breathable cotton, minimalist French elegance, unisex, versatile for daily wear and effortless style.","refusal":null,"role":"assistant"}}],"created":1778142068,"id":"chatcmpl-DcoGiNMH8VCuv0VSZkfJJPhY5IDMR","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35,"completion_tokens_details":{"accepted_prediction_tokens":0,"audio_tokens":0,"reasoning_tokens":0,"rejected_prediction_tokens":0},"latency_checkpoint":{"engine_tbt_ms":18,"engine_ttft_ms":379,"engine_ttlt_ms":998,"pre_inference_ms":161,"service_tbt_ms":18,"service_ttft_ms":839,"service_ttlt_ms":1461,"total_duration_ms":1304,"user_visible_ttft_ms":678},"prompt_tokens":901,"prompt_tokens_details":{"audio_tokens":0,"cached_tokens":0},"total_tokens":936}}</t>
        </is>
      </c>
      <c r="M45" t="inlineStr">
        <is>
          <t>{"alt-svc":"h3=\":443\"; ma=2592000","apim-request-id":"eaa54527-96d3-40ae-bf16-23db4d717393","azureml-model-session":"d20260428165144-a78ba574","connection":"close","content-length":"1634","content-type":"application/json","date":"Thu, 07 May 2026 08:21:09 GMT","server":"Caddy","skip-error-remapping":"true","strict-transport-security":"max-age=31536000; includeSubDomains; preload","x-accel-buffering":"no","x-content-type-options":"nosniff","x-ms-client-request-id":"Not-Set","x-ms-is-spilled-over":"false","x-ms-rai-invoked":"true","x-ms-region":"East US","x-new-api-version":"v1.0.0-rc.4","x-oneapi-request-id":"202605070821076437349068268d9d6V6Y9I00r","x-ratelimit-abusepenalty-active":"False","x-ratelimit-key":"gpt-5-chat-global","x-ratelimit-limit-requests":"1000","x-ratelimit-limit-tokens":"1000000","x-ratelimit-remaining-requests":"999","x-ratelimit-remaining-tokens":"998337","x-ratelimit-renewalperiod-requests":"60","x-ratelimit-renewalperiod-tokens":"60","x-ratelimit-reset-requests":"0","x-ratelimit-reset-tokens":"0","x-request-id":"851e2e3e-20d8-4c8d-a2ea-a6ba76368e06","x-shellapi-request-id":"2026050716210758911662934142646"}</t>
        </is>
      </c>
      <c r="N45" t="inlineStr">
        <is>
          <t>Chanel Classic Beige Knit Mid-Calf Socks with Black Double C Logo, soft breathable cotton, minimalist French elegance, unisex, versatile for daily wear and effortless style.</t>
        </is>
      </c>
      <c r="O4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Socks &amp; Hosiery, kakobuy, kakebuy2026, kekobuysheet, kakobuysheet2026, 2026kakobuy, kakobuyspreadsheeet, kakobuylink, kakebuylist, Kakobuy MEGA Spreadsheet, kakobuysheetfind, kakobuysheetfind2026, 2026kakobuysheetfind, kakobuysheet2026","refusal":null,"role":"assistant"}}],"created":1778143310,"id":"chatcmpl-DcoakjWCF7fGVSd8cgcWwrIVQceo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21,"engine_ttft_ms":332,"engine_ttlt_ms":2260,"pre_inference_ms":154,"service_tbt_ms":21,"service_ttft_ms":613,"service_ttlt_ms":2541,"total_duration_ms":2394,"user_visible_ttft_ms":459},"prompt_tokens":786,"prompt_tokens_details":{"audio_tokens":0,"cached_tokens":0},"total_tokens":880}}</t>
        </is>
      </c>
      <c r="P45" t="inlineStr">
        <is>
          <t>Chanel, Socks &amp; Hosiery, kakobuy, kakebuy2026, kekobuysheet, kakobuysheet2026, 2026kakobuy, kakobuyspreadsheeet, kakobuylink, kakebuylist, Kakobuy MEGA Spreadsheet, kakobuysheetfind, kakobuysheetfind2026, 2026kakobuysheetfind, kakobuysheet2026</t>
        </is>
      </c>
      <c r="Q45" t="inlineStr">
        <is>
          <t>Chanel, Beige, Knit, Breathable, Minimalist, Unisex</t>
        </is>
      </c>
      <c r="R45" t="inlineStr">
        <is>
          <t>recvhju1CrCZ9i</t>
        </is>
      </c>
      <c r="S45" t="inlineStr">
        <is>
          <t>chanel-beige-knit-mid-calf-cotton-socks-recvhju1crcz9i</t>
        </is>
      </c>
      <c r="T45"/>
      <c r="U45"/>
      <c r="V45"/>
      <c r="W45" t="inlineStr">
        <is>
          <t>{"id":"chatcmpl-DcntT8RliJDYf96YnHTW2DyVrTSYQ","object":"chat.completion","created":1778140627,"model":"gpt-5-chat-latest","choices":[{"index":0,"message":{"role":"assistant","content":"Chanel：经典米白色中筒针织袜，柔软棉质搭配黑色双C标识刺绣，简约优雅设计，体现法式时尚精致格调，舒适透气，男女皆宜，日常百搭。","refusal":null,"annotations":[]},"logprobs":null,"finish_reason":"stop"}],"usage":{"prompt_tokens":1307,"completion_tokens":62,"total_tokens":1369,"prompt_tokens_details":{"cached_tokens":1280,"audio_tokens":0},"completion_tokens_details":{"reasoning_tokens":0,"audio_tokens":0,"accepted_prediction_tokens":0,"rejected_prediction_tokens":0},"latency_checkpoint":{"service_ttft_ms":672,"user_visible_ttft_ms":488,"total_duration_ms":1583,"pre_inference_ms":184,"service_tbt_ms":18,"service_ttlt_ms":1757,"engine_ttft_ms":338,"engine_ttlt_ms":1423,"engine_tbt_ms":18}},"service_tier":"default","system_fingerprint":"fp_fd471178c5"}</t>
        </is>
      </c>
      <c r="X45" t="inlineStr">
        <is>
          <t>Chanel：经典米白色中筒针织袜，柔软棉质搭配黑色双C标识刺绣，简约优雅设计，体现法式时尚精致格调，舒适透气，男女皆宜，日常百搭。</t>
        </is>
      </c>
    </row>
    <row r="46" ht="25.5" customHeight="1">
      <c r="A46">
        <v>1654975475</v>
      </c>
      <c r="B46">
        <v>7627544458</v>
      </c>
      <c r="C46" s="2" t="str">
        <f>=HYPERLINK("https://weidian.com/item.html?itemID=7627544458", "https://weidian.com/item.html?itemID=7627544458")</f>
        <v>https://weidian.com/item.html?itemID=7627544458</v>
      </c>
      <c r="D46"/>
      <c r="E46" s="2" t="str">
        <f>=HYPERLINK("https://si.geilicdn.com/pcitem2014204438-1f950000019ae7df82920a23038e_1080_1080.jpg?w=640&amp;h=640", "https://si.geilicdn.com/pcitem2014204438-1f950000019ae7df82920a23038e_1080_1080.jpg?w=640&amp;h=640")</f>
        <v>https://si.geilicdn.com/pcitem2014204438-1f950000019ae7df82920a23038e_1080_1080.jpg?w=640&amp;h=640</v>
      </c>
      <c r="F46" t="inlineStr">
        <is>
          <t>Socks &amp; Hosiery</t>
        </is>
      </c>
      <c r="G46" t="inlineStr">
        <is>
          <t>Miu Miu</t>
        </is>
      </c>
      <c r="H46">
        <v>120</v>
      </c>
      <c r="I46">
        <v>17.39</v>
      </c>
      <c r="J4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iu Miu Striped Cotton Ankle Socks Black White","refusal":null,"role":"assistant"}}],"created":1778143079,"id":"chatcmpl-DcoX1GdLAxNtebtzrQYsZttjTqflJ","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22,"engine_ttft_ms":327,"engine_ttlt_ms":612,"pre_inference_ms":151,"service_tbt_ms":22,"service_ttft_ms":751,"service_ttlt_ms":1035,"total_duration_ms":892,"user_visible_ttft_ms":600},"prompt_tokens":885,"prompt_tokens_details":{"audio_tokens":0,"cached_tokens":0},"total_tokens":898}}</t>
        </is>
      </c>
      <c r="K46" t="inlineStr">
        <is>
          <t>Miu Miu Striped Cotton Ankle Socks Black White</t>
        </is>
      </c>
      <c r="L4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black and white striped ankle socks, soft cotton-blend fabric, breathable and non-slip, stylish logo design, unisex urban casual look, perfect for everyday versatile wear.","refusal":null,"role":"assistant"}}],"created":1778142061,"id":"chatcmpl-DcoGbkHh5iewVrFopNMPDElno2364","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71,"engine_ttft_ms":529,"engine_ttlt_ms":3303,"pre_inference_ms":272,"service_tbt_ms":71,"service_ttft_ms":1761,"service_ttlt_ms":4530,"total_duration_ms":4269,"user_visible_ttft_ms":1489},"prompt_tokens":902,"prompt_tokens_details":{"audio_tokens":0,"cached_tokens":0},"total_tokens":941}}</t>
        </is>
      </c>
      <c r="M46" t="inlineStr">
        <is>
          <t>{"alt-svc":"h3=\":443\"; ma=2592000","apim-request-id":"d58b256e-5d57-470b-b54f-7edefc99e756","azureml-model-session":"d20260501050840-08dc6769","connection":"close","content-length":"1643","content-type":"application/json","date":"Thu, 07 May 2026 08:21:04 GMT","skip-error-remapping":"true","strict-transport-security":"max-age=31536000; includeSubDomains; preload","via":"1.1 Caddy","x-accel-buffering":"no","x-content-type-options":"nosniff","x-ms-client-request-id":"Not-Set","x-ms-is-spilled-over":"false","x-ms-rai-invoked":"true","x-ms-region":"Japan East","x-new-api-version":"v1.0.0-rc.4","x-oneapi-request-id":"202605070820593776869268268d9d6goynRlNB","x-ratelimit-abusepenalty-active":"False","x-ratelimit-key":"gpt-5-chat-global","x-ratelimit-limit-requests":"1000","x-ratelimit-limit-tokens":"1000000","x-ratelimit-remaining-requests":"999","x-ratelimit-remaining-tokens":"998336","x-ratelimit-renewalperiod-requests":"60","x-ratelimit-renewalperiod-tokens":"60","x-ratelimit-reset-requests":"0","x-ratelimit-reset-tokens":"0","x-request-id":"05e06311-392f-40a2-8c6a-7d3cb739b57c","x-shellapi-request-id":"2026050716205864840801583446618"}</t>
        </is>
      </c>
      <c r="N46" t="inlineStr">
        <is>
          <t>Miu Miu black and white striped ankle socks, soft cotton-blend fabric, breathable and non-slip, stylish logo design, unisex urban casual look, perfect for everyday versatile wear.</t>
        </is>
      </c>
      <c r="O4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Socks &amp; Hosiery, kakobuy, kakebuy2026, kekobuysheet, kakobuysheet2026, 2026kakobuy, kakobuyspreadsheeet, kakobuylink, kakebuylist, Kakobuy MEGA Spreadsheet, kakobuysheetfind, kakobuysheetfind2026, 2026kakobuysheetfind, kakobuysheet2026","refusal":null,"role":"assistant"}}],"created":1778143296,"id":"chatcmpl-DcoaWHcxQP11w3rqWEnvyRDVK4Pj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96,"completion_tokens_details":{"accepted_prediction_tokens":0,"audio_tokens":0,"reasoning_tokens":0,"rejected_prediction_tokens":0},"latency_checkpoint":{"engine_tbt_ms":30,"engine_ttft_ms":324,"engine_ttlt_ms":3168,"pre_inference_ms":240,"service_tbt_ms":30,"service_ttft_ms":737,"service_ttlt_ms":3581,"total_duration_ms":3351,"user_visible_ttft_ms":497},"prompt_tokens":788,"prompt_tokens_details":{"audio_tokens":0,"cached_tokens":0},"total_tokens":884}}</t>
        </is>
      </c>
      <c r="P46" t="inlineStr">
        <is>
          <t>Miu Miu, Socks &amp; Hosiery, kakobuy, kakebuy2026, kekobuysheet, kakobuysheet2026, 2026kakobuy, kakobuyspreadsheeet, kakobuylink, kakebuylist, Kakobuy MEGA Spreadsheet, kakobuysheetfind, kakobuysheetfind2026, 2026kakobuysheetfind, kakobuysheet2026</t>
        </is>
      </c>
      <c r="Q46"/>
      <c r="R46" t="inlineStr">
        <is>
          <t>recvhju1CrU3v3</t>
        </is>
      </c>
      <c r="S46" t="inlineStr">
        <is>
          <t>miu-miu-striped-cotton-ankle-socks-black-white-recvhju1cru3v3</t>
        </is>
      </c>
      <c r="T46"/>
      <c r="U46"/>
      <c r="V46"/>
      <c r="W46" t="inlineStr">
        <is>
          <t>{"id":"chatcmpl-Dcno8DStf5dpVFhfMMd7mPlyYERR7","object":"chat.completion","created":1778140296,"model":"gpt-5-chat-latest","choices":[{"index":0,"message":{"role":"assistant","content":"Miu Miu：黑白撞色条纹短袜，柔软棉质混纺面料，透气舒适不易滑落，简约Logo设计凸显时尚格调，男女皆宜的都市休闲风格，百搭日常穿搭。","refusal":null,"annotations":[]},"logprobs":null,"finish_reason":"stop"}],"usage":{"prompt_tokens":1307,"completion_tokens":63,"total_tokens":1370,"prompt_tokens_details":{"cached_tokens":1280,"audio_tokens":0},"completion_tokens_details":{"reasoning_tokens":0,"audio_tokens":0,"accepted_prediction_tokens":0,"rejected_prediction_tokens":0},"latency_checkpoint":{"service_ttft_ms":432,"user_visible_ttft_ms":289,"total_duration_ms":6955,"pre_inference_ms":143,"service_tbt_ms":106,"service_ttlt_ms":7089,"engine_ttft_ms":224,"engine_ttlt_ms":6883,"engine_tbt_ms":106}},"service_tier":"default","system_fingerprint":"fp_fd471178c5"}</t>
        </is>
      </c>
      <c r="X46" t="inlineStr">
        <is>
          <t>Miu Miu：黑白撞色条纹短袜，柔软棉质混纺面料，透气舒适不易滑落，简约Logo设计凸显时尚格调，男女皆宜的都市休闲风格，百搭日常穿搭。</t>
        </is>
      </c>
    </row>
    <row r="47" ht="25.5" customHeight="1">
      <c r="A47">
        <v>1654975475</v>
      </c>
      <c r="B47">
        <v>7627516988</v>
      </c>
      <c r="C47" s="2" t="str">
        <f>=HYPERLINK("https://weidian.com/item.html?itemID=7627516988", "https://weidian.com/item.html?itemID=7627516988")</f>
        <v>https://weidian.com/item.html?itemID=7627516988</v>
      </c>
      <c r="D47"/>
      <c r="E47" s="2" t="str">
        <f>=HYPERLINK("https://si.geilicdn.com/pcitem2014204438-0f240000019ae7defe260a239846_1074_1074.jpg?w=640&amp;h=640", "https://si.geilicdn.com/pcitem2014204438-0f240000019ae7defe260a239846_1074_1074.jpg?w=640&amp;h=640")</f>
        <v>https://si.geilicdn.com/pcitem2014204438-0f240000019ae7defe260a239846_1074_1074.jpg?w=640&amp;h=640</v>
      </c>
      <c r="F47" t="inlineStr">
        <is>
          <t>Socks &amp; Hosiery</t>
        </is>
      </c>
      <c r="G47" t="inlineStr">
        <is>
          <t>Dior</t>
        </is>
      </c>
      <c r="H47">
        <v>120</v>
      </c>
      <c r="I47">
        <v>17.391304347826</v>
      </c>
      <c r="J4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Classic Black White Mid Sports Socks Unisex","refusal":null,"role":"assistant"}}],"created":1778142998,"id":"chatcmpl-DcoViyFDzxHkP9IPIqC09QPdekOO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87,"engine_ttft_ms":1479,"engine_ttlt_ms":2431,"pre_inference_ms":272,"service_tbt_ms":87,"service_ttft_ms":2235,"service_ttlt_ms":3179,"total_duration_ms":2923,"user_visible_ttft_ms":1963},"prompt_tokens":881,"prompt_tokens_details":{"audio_tokens":0,"cached_tokens":0},"total_tokens":892}}</t>
        </is>
      </c>
      <c r="K47" t="inlineStr">
        <is>
          <t>Dior Classic Black White Mid Sports Socks Unisex</t>
        </is>
      </c>
      <c r="L4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Classic Black &amp; White Mid-Length Sports Socks, soft cotton blend, breathable and moisture-wicking, stylish logo band, modern minimalist design, unisex for street and casual wear.","refusal":null,"role":"assistant"}}],"created":1778142313,"id":"chatcmpl-DcoKffOhdSuajREMz8QOlmrOboNd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21,"engine_ttft_ms":869,"engine_ttlt_ms":1656,"pre_inference_ms":207,"service_tbt_ms":21,"service_ttft_ms":1408,"service_ttlt_ms":2194,"total_duration_ms":1993,"user_visible_ttft_ms":1201},"prompt_tokens":902,"prompt_tokens_details":{"audio_tokens":0,"cached_tokens":0},"total_tokens":940}}</t>
        </is>
      </c>
      <c r="M47" t="inlineStr">
        <is>
          <t>{"alt-svc":"h3=\":443\"; ma=2592000","apim-request-id":"8e49ff79-57cc-496b-9e44-27aa910030d3","azureml-model-session":"d20260428165144-a78ba574","connection":"close","content-length":"1652","content-type":"application/json","date":"Thu, 07 May 2026 08:25:14 GMT","server":"Caddy","skip-error-remapping":"true","strict-transport-security":"max-age=31536000; includeSubDomains; preload","x-accel-buffering":"no","x-content-type-options":"nosniff","x-ms-client-request-id":"Not-Set","x-ms-is-spilled-over":"false","x-ms-rai-invoked":"true","x-ms-region":"Korea Central","x-new-api-version":"v1.0.0-rc.4","x-oneapi-request-id":"202605070825119521160118268d9d6PJ2AqQ1Q","x-ratelimit-abusepenalty-active":"False","x-ratelimit-key":"gpt-5-chat-global","x-ratelimit-limit-requests":"1000","x-ratelimit-limit-tokens":"1000000","x-ratelimit-remaining-requests":"999","x-ratelimit-remaining-tokens":"998336","x-ratelimit-renewalperiod-requests":"60","x-ratelimit-renewalperiod-tokens":"60","x-ratelimit-reset-requests":"0","x-ratelimit-reset-tokens":"0","x-request-id":"aa825841-e60c-45f3-9225-6a86f8d3e3bc","x-shellapi-request-id":"2026050716251110578812632008080"}</t>
        </is>
      </c>
      <c r="N47" t="inlineStr">
        <is>
          <t>Dior Classic Black &amp; White Mid-Length Sports Socks, soft cotton blend, breathable and moisture-wicking, stylish logo band, modern minimalist design, unisex for street and casual wear.</t>
        </is>
      </c>
      <c r="O4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Socks &amp; Hosiery,kakobuy,kakebuy2026,kekobuysheet,kakobuysheet2026,2026kakobuy,kakobuyspreadsheeet,kakobuylink,kakebuylist,Kakobuy MEGA Spreadsheet,kakobuysheetfind,kakobuysheetfind2026,2026kakobuysheetfind,kakobuysheet2026","refusal":null,"role":"assistant"}}],"created":1778143537,"id":"chatcmpl-DcoePgSMlG0keQxZ19hIfczAHrAs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21,"engine_ttft_ms":939,"engine_ttlt_ms":2845,"pre_inference_ms":210,"service_tbt_ms":21,"service_ttft_ms":1512,"service_ttlt_ms":3416,"total_duration_ms":3214,"user_visible_ttft_ms":1302},"prompt_tokens":786,"prompt_tokens_details":{"audio_tokens":0,"cached_tokens":0},"total_tokens":876}}</t>
        </is>
      </c>
      <c r="P47" t="inlineStr">
        <is>
          <t>Dior,Socks &amp; Hosiery,kakobuy,kakebuy2026,kekobuysheet,kakobuysheet2026,2026kakobuy,kakobuyspreadsheeet,kakobuylink,kakebuylist,Kakobuy MEGA Spreadsheet,kakobuysheetfind,kakobuysheetfind2026,2026kakobuysheetfind,kakobuysheet2026</t>
        </is>
      </c>
      <c r="Q47" t="inlineStr">
        <is>
          <t>Dior, Black, White, Breathable, Moisture Wicking, Unisex</t>
        </is>
      </c>
      <c r="R47" t="inlineStr">
        <is>
          <t>recvhju1CrY2d5</t>
        </is>
      </c>
      <c r="S47" t="inlineStr">
        <is>
          <t>dior-classic-black-white-mid-sports-socks-recvhju1cry2d5</t>
        </is>
      </c>
      <c r="T47"/>
      <c r="U47"/>
      <c r="V47"/>
      <c r="W47" t="inlineStr">
        <is>
          <t>{"id":"chatcmpl-Dcnw0aiP32Fj03xIVxOI4IQXVBNdi","object":"chat.completion","created":1778140784,"model":"gpt-5-chat-latest","choices":[{"index":0,"message":{"role":"assistant","content":"Dior：经典黑白中筒运动袜，柔软棉混纺材质，透气吸汗舒适贴脚，醒目Logo织带设计，简约摩登风格，男女皆宜，日常出街与休闲穿搭尽显时尚格调。","refusal":null,"annotations":[]},"logprobs":null,"finish_reason":"stop"}],"usage":{"prompt_tokens":1301,"completion_tokens":66,"total_tokens":1367,"prompt_tokens_details":{"cached_tokens":0,"audio_tokens":0},"completion_tokens_details":{"reasoning_tokens":0,"audio_tokens":0,"accepted_prediction_tokens":0,"rejected_prediction_tokens":0},"latency_checkpoint":{"service_ttft_ms":704,"user_visible_ttft_ms":452,"total_duration_ms":12560,"pre_inference_ms":253,"service_tbt_ms":183,"service_ttlt_ms":12806,"engine_ttft_ms":378,"engine_ttlt_ms":12480,"engine_tbt_ms":183}},"service_tier":"default","system_fingerprint":"fp_fd471178c5"}</t>
        </is>
      </c>
      <c r="X47" t="inlineStr">
        <is>
          <t>Dior：经典黑白中筒运动袜，柔软棉混纺材质，透气吸汗舒适贴脚，醒目Logo织带设计，简约摩登风格，男女皆宜，日常出街与休闲穿搭尽显时尚格调。</t>
        </is>
      </c>
    </row>
    <row r="48" ht="25.5" customHeight="1">
      <c r="A48">
        <v>1654975475</v>
      </c>
      <c r="B48">
        <v>7627524656</v>
      </c>
      <c r="C48" s="2" t="str">
        <f>=HYPERLINK("https://weidian.com/item.html?itemID=7627524656", "https://weidian.com/item.html?itemID=7627524656")</f>
        <v>https://weidian.com/item.html?itemID=7627524656</v>
      </c>
      <c r="D48"/>
      <c r="E48" s="2" t="str">
        <f>=HYPERLINK("https://si.geilicdn.com/pcitem2014204438-23b90000019ae7da02cd0a23041a_1080_1080.jpg?w=640&amp;h=640", "https://si.geilicdn.com/pcitem2014204438-23b90000019ae7da02cd0a23041a_1080_1080.jpg?w=640&amp;h=640")</f>
        <v>https://si.geilicdn.com/pcitem2014204438-23b90000019ae7da02cd0a23041a_1080_1080.jpg?w=640&amp;h=640</v>
      </c>
      <c r="F48" t="inlineStr">
        <is>
          <t>Socks &amp; Hosiery</t>
        </is>
      </c>
      <c r="G48" t="inlineStr">
        <is>
          <t>Chanel</t>
        </is>
      </c>
      <c r="H48">
        <v>120</v>
      </c>
      <c r="I48">
        <v>17.39</v>
      </c>
      <c r="J48"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filtered"}},"content_filter_results":{"protected_material_code":{"detected":false,"filtered":false},"protected_material_text":{"detected":false,"filtered":false}},"finish_reason":"stop","index":0,"logprobs":null,"message":{"annotations":[],"content":"Chanel Classic Black White Invisible Cotton Socks","refusal":null,"role":"assistant"}}],"created":1778143062,"id":"chatcmpl-DcoWkdPdbbTVWNQQRugk4gTAvJ1S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15,"engine_ttft_ms":719,"engine_ttlt_ms":855,"pre_inference_ms":153,"service_tbt_ms":16,"service_ttft_ms":1541,"service_ttlt_ms":1677,"total_duration_ms":1531,"user_visible_ttft_ms":1388},"prompt_tokens":869,"prompt_tokens_details":{"audio_tokens":0,"cached_tokens":0},"total_tokens":878}}</t>
        </is>
      </c>
      <c r="K48" t="inlineStr">
        <is>
          <t>Chanel Classic Black White Invisible Cotton Socks</t>
        </is>
      </c>
      <c r="L4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Classic Black &amp; White Low-Cut Invisible Socks, soft cotton fabric with signature embroidered logo, unisex minimalist design for daily comfort and elegant wear.","refusal":null,"role":"assistant"}}],"created":1778142188,"id":"chatcmpl-DcoIeUHCnrn35EBLpVAXX7OtkoyA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32,"completion_tokens_details":{"accepted_prediction_tokens":0,"audio_tokens":0,"reasoning_tokens":0,"rejected_prediction_tokens":0},"latency_checkpoint":{"engine_tbt_ms":75,"engine_ttft_ms":788,"engine_ttlt_ms":3190,"pre_inference_ms":118,"service_tbt_ms":75,"service_ttft_ms":1320,"service_ttlt_ms":3721,"total_duration_ms":3612,"user_visible_ttft_ms":1203},"prompt_tokens":892,"prompt_tokens_details":{"audio_tokens":0,"cached_tokens":0},"total_tokens":924}}</t>
        </is>
      </c>
      <c r="M48" t="inlineStr">
        <is>
          <t>{"alt-svc":"h3=\":443\"; ma=2592000","apim-request-id":"73a8e8fb-0c26-403a-a01f-0b8646e22834","azureml-model-session":"d20260501041445-2c187743","connection":"close","content-length":"1635","content-type":"application/json","date":"Thu, 07 May 2026 08:23:11 GMT","skip-error-remapping":"true","strict-transport-security":"max-age=31536000; includeSubDomains; preload","via":"1.1 Caddy","x-accel-buffering":"no","x-content-type-options":"nosniff","x-ms-client-request-id":"Not-Set","x-ms-is-spilled-over":"false","x-ms-rai-invoked":"true","x-ms-region":"UK South","x-new-api-version":"v1.0.0-rc.4","x-oneapi-request-id":"202605070823074979259528268d9d6iabEH1Ds","x-ratelimit-abusepenalty-active":"False","x-ratelimit-key":"gpt-5-chat-global","x-ratelimit-limit-requests":"1000","x-ratelimit-limit-tokens":"1000000","x-ratelimit-remaining-requests":"999","x-ratelimit-remaining-tokens":"996579","x-ratelimit-renewalperiod-requests":"60","x-ratelimit-renewalperiod-tokens":"60","x-ratelimit-reset-requests":"0","x-ratelimit-reset-tokens":"0","x-request-id":"c29bfc3f-f8bc-4406-abf7-4152b34ff188","x-shellapi-request-id":"2026050716230676574622904748151"}</t>
        </is>
      </c>
      <c r="N48" t="inlineStr">
        <is>
          <t>Chanel Classic Black &amp; White Low-Cut Invisible Socks, soft cotton fabric with signature embroidered logo, unisex minimalist design for daily comfort and elegant wear.</t>
        </is>
      </c>
      <c r="O4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Socks &amp; Hosiery, kakobuy, kakebuy2026, kekobuysheet, kakobuysheet2026, 2026kakobuy, kakobuyspreadsheeet, kakobuylink, kakebuylist, Kakobuy MEGA Spreadsheet, kakobuysheetfind, kakobuysheetfind2026, 2026kakobuysheetfind, kakobuysheet2026","refusal":null,"role":"assistant"}}],"created":1778143597,"id":"chatcmpl-DcofNI9TIq2cBIICOH70TRd2aJS50","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16,"engine_ttft_ms":782,"engine_ttlt_ms":2278,"pre_inference_ms":114,"service_tbt_ms":16,"service_ttft_ms":1209,"service_ttlt_ms":2692,"total_duration_ms":2584,"user_visible_ttft_ms":1095},"prompt_tokens":786,"prompt_tokens_details":{"audio_tokens":0,"cached_tokens":0},"total_tokens":880}}</t>
        </is>
      </c>
      <c r="P48" t="inlineStr">
        <is>
          <t>Chanel, Socks &amp; Hosiery, kakobuy, kakebuy2026, kekobuysheet, kakobuysheet2026, 2026kakobuy, kakobuyspreadsheeet, kakobuylink, kakebuylist, Kakobuy MEGA Spreadsheet, kakobuysheetfind, kakobuysheetfind2026, 2026kakobuysheetfind, kakobuysheet2026</t>
        </is>
      </c>
      <c r="Q48" t="inlineStr">
        <is>
          <t>Chanel, Black, White, Unisex, Minimalist</t>
        </is>
      </c>
      <c r="R48" t="inlineStr">
        <is>
          <t>recvhju1CrwfUM</t>
        </is>
      </c>
      <c r="S48" t="inlineStr">
        <is>
          <t>chanel-classic-black-white-cotton-socks-recvhju1crw fum</t>
        </is>
      </c>
      <c r="T48"/>
      <c r="U48"/>
      <c r="V48"/>
      <c r="W48" t="inlineStr">
        <is>
          <t>{"id":"chatcmpl-Dcnw0B7nJmEX7yk3ymaeKxvmmQ31j","object":"chat.completion","created":1778140784,"model":"gpt-5-chat-latest","choices":[{"index":0,"message":{"role":"assistant","content":"Chanel: 经典黑白系列低帮隐形袜，柔软棉质面料，配以品牌标志刺绣图腾，简约优雅风格，男女皆宜，日常舒适穿搭必备。","refusal":null,"annotations":[]},"logprobs":null,"finish_reason":"stop"}],"usage":{"prompt_tokens":1305,"completion_tokens":54,"total_tokens":1359,"prompt_tokens_details":{"cached_tokens":1280,"audio_tokens":0},"completion_tokens_details":{"reasoning_tokens":0,"audio_tokens":0,"accepted_prediction_tokens":0,"rejected_prediction_tokens":0},"latency_checkpoint":{"service_ttft_ms":563,"user_visible_ttft_ms":425,"total_duration_ms":1512,"pre_inference_ms":137,"service_tbt_ms":20,"service_ttlt_ms":1640,"engine_ttft_ms":292,"engine_ttlt_ms":1370,"engine_tbt_ms":20}},"service_tier":"default","system_fingerprint":"fp_fd471178c5"}</t>
        </is>
      </c>
      <c r="X48" t="inlineStr">
        <is>
          <t>Chanel: 经典黑白系列低帮隐形袜，柔软棉质面料，配以品牌标志刺绣图腾，简约优雅风格，男女皆宜，日常舒适穿搭必备。</t>
        </is>
      </c>
    </row>
    <row r="49" ht="25.5" customHeight="1">
      <c r="A49">
        <v>1654975475</v>
      </c>
      <c r="B49">
        <v>7627546318</v>
      </c>
      <c r="C49" s="2" t="str">
        <f>=HYPERLINK("https://weidian.com/item.html?itemID=7627546318", "https://weidian.com/item.html?itemID=7627546318")</f>
        <v>https://weidian.com/item.html?itemID=7627546318</v>
      </c>
      <c r="D49"/>
      <c r="E49" s="2" t="str">
        <f>=HYPERLINK("https://si.geilicdn.com/pcitem2014204438-1dd70000019ae7d9a9040a23038e_1080_1080.jpg?w=640&amp;h=640", "https://si.geilicdn.com/pcitem2014204438-1dd70000019ae7d9a9040a23038e_1080_1080.jpg?w=640&amp;h=640")</f>
        <v>https://si.geilicdn.com/pcitem2014204438-1dd70000019ae7d9a9040a23038e_1080_1080.jpg?w=640&amp;h=640</v>
      </c>
      <c r="F49" t="inlineStr">
        <is>
          <t>Socks &amp; Hosiery</t>
        </is>
      </c>
      <c r="G49" t="inlineStr">
        <is>
          <t>Chanel</t>
        </is>
      </c>
      <c r="H49">
        <v>120</v>
      </c>
      <c r="I49">
        <v>17.391304347826</v>
      </c>
      <c r="J4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Classic Black White Unisex Invisible Cotton Socks","refusal":null,"role":"assistant"}}],"created":1778142944,"id":"chatcmpl-DcoUq7yFz3Kgois4Mk1Sv67N0oq3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109,"engine_ttft_ms":1055,"engine_ttlt_ms":2256,"pre_inference_ms":114,"service_tbt_ms":110,"service_ttft_ms":1406,"service_ttlt_ms":2606,"total_duration_ms":2501,"user_visible_ttft_ms":1291},"prompt_tokens":879,"prompt_tokens_details":{"audio_tokens":0,"cached_tokens":0},"total_tokens":890}}</t>
        </is>
      </c>
      <c r="K49" t="inlineStr">
        <is>
          <t>Chanel Classic Black White Unisex Invisible Cotton Socks</t>
        </is>
      </c>
      <c r="L4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Classic Black &amp; White Invisible Socks, crafted from soft cotton blend, breathable and stretchy for all-day comfort; minimalist unisex design exudes French elegance for modern casual wear.","refusal":null,"role":"assistant"}}],"created":1778142343,"id":"chatcmpl-DcoL946Or7n4y8YlMxG8kM7IrFJs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76,"engine_ttft_ms":828,"engine_ttlt_ms":3657,"pre_inference_ms":147,"service_tbt_ms":77,"service_ttft_ms":1213,"service_ttlt_ms":4041,"total_duration_ms":3902,"user_visible_ttft_ms":1066},"prompt_tokens":897,"prompt_tokens_details":{"audio_tokens":0,"cached_tokens":0},"total_tokens":934}}</t>
        </is>
      </c>
      <c r="M49" t="inlineStr">
        <is>
          <t>{"alt-svc":"h3=\":443\"; ma=2592000","apim-request-id":"f3a1752d-ff93-4c15-b718-5632e51cdff5","azureml-model-session":"d20260501041445-2c187743","connection":"close","content-length":"1663","content-type":"application/json","date":"Thu, 07 May 2026 08:25:46 GMT","server":"Caddy","skip-error-remapping":"true","strict-transport-security":"max-age=31536000; includeSubDomains; preload","x-accel-buffering":"no","x-content-type-options":"nosniff","x-ms-client-request-id":"Not-Set","x-ms-is-spilled-over":"false","x-ms-rai-invoked":"true","x-ms-region":"Switzerland North","x-new-api-version":"v1.0.0-rc.4","x-oneapi-request-id":"202605070825423703890248268d9d6v420ICWi","x-ratelimit-abusepenalty-active":"False","x-ratelimit-key":"gpt-5-chat-global","x-ratelimit-limit-requests":"1000","x-ratelimit-limit-tokens":"1000000","x-ratelimit-remaining-requests":"999","x-ratelimit-remaining-tokens":"998341","x-ratelimit-renewalperiod-requests":"60","x-ratelimit-renewalperiod-tokens":"60","x-ratelimit-reset-requests":"0","x-ratelimit-reset-tokens":"0","x-request-id":"7da704d6-846e-4082-b317-1b2ede8e1d27","x-shellapi-request-id":"2026050716254231809122870598137"}</t>
        </is>
      </c>
      <c r="N49" t="inlineStr">
        <is>
          <t>Chanel Classic Black &amp; White Invisible Socks, crafted from soft cotton blend, breathable and stretchy for all-day comfort; minimalist unisex design exudes French elegance for modern casual wear.</t>
        </is>
      </c>
      <c r="O4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nel, Socks &amp; Hosiery, kakobuy, kakebuy2026, kekobuysheet, kakobuysheet2026, 2026kakobuy, kakobuyspreadsheeet, kakobuylink, kakebuylist, Kakobuy MEGA Spreadsheet, kakobuysheetfind, kakobuysheetfind2026, 2026kakobuysheetfind, kakobuysheet2026","refusal":null,"role":"assistant"}}],"created":1778143574,"id":"chatcmpl-Dcof0i7IdMTPOTXi4AWKc5mcdeYPm","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22,"engine_ttft_ms":451,"engine_ttlt_ms":2516,"pre_inference_ms":155,"service_tbt_ms":22,"service_ttft_ms":908,"service_ttlt_ms":2972,"total_duration_ms":2824,"user_visible_ttft_ms":753},"prompt_tokens":786,"prompt_tokens_details":{"audio_tokens":0,"cached_tokens":0},"total_tokens":880}}</t>
        </is>
      </c>
      <c r="P49" t="inlineStr">
        <is>
          <t>Chanel, Socks &amp; Hosiery, kakobuy, kakebuy2026, kekobuysheet, kakobuysheet2026, 2026kakobuy, kakobuyspreadsheeet, kakobuylink, kakebuylist, Kakobuy MEGA Spreadsheet, kakobuysheetfind, kakobuysheetfind2026, 2026kakobuysheetfind, kakobuysheet2026</t>
        </is>
      </c>
      <c r="Q49" t="inlineStr">
        <is>
          <t>Chanel, Black, White, Minimalist, Unisex, All Seasons</t>
        </is>
      </c>
      <c r="R49" t="inlineStr">
        <is>
          <t>recvhju1CrGTg2</t>
        </is>
      </c>
      <c r="S49" t="inlineStr">
        <is>
          <t>chanel-classic-black-white-invisible-cotton-socks-recvhju1crgtg2</t>
        </is>
      </c>
      <c r="T49"/>
      <c r="U49"/>
      <c r="V49"/>
      <c r="W49" t="inlineStr">
        <is>
          <t>{"id":"chatcmpl-Dcns66xaK6vMqbiWoAFZHnupo2GmB","object":"chat.completion","created":1778140542,"model":"gpt-5-chat-latest","choices":[{"index":0,"message":{"role":"assistant","content":"Chanel：经典黑白撞色隐形船袜，甄选柔软棉质混纺面料，弹力贴合舒适透气，中性简约设计彰显法式优雅，适合现代都市男女休闲穿搭。","refusal":null,"annotations":[]},"logprobs":null,"finish_reason":"stop"}],"usage":{"prompt_tokens":1307,"completion_tokens":58,"total_tokens":1365,"prompt_tokens_details":{"cached_tokens":0,"audio_tokens":0},"completion_tokens_details":{"reasoning_tokens":0,"audio_tokens":0,"accepted_prediction_tokens":0,"rejected_prediction_tokens":0},"latency_checkpoint":{"service_ttft_ms":960,"user_visible_ttft_ms":837,"total_duration_ms":9212,"pre_inference_ms":123,"service_tbt_ms":144,"service_ttlt_ms":9317,"engine_ttft_ms":724,"engine_ttlt_ms":9071,"engine_tbt_ms":144}},"service_tier":"default","system_fingerprint":"fp_fd471178c5"}</t>
        </is>
      </c>
      <c r="X49" t="inlineStr">
        <is>
          <t>Chanel：经典黑白撞色隐形船袜，甄选柔软棉质混纺面料，弹力贴合舒适透气，中性简约设计彰显法式优雅，适合现代都市男女休闲穿搭。</t>
        </is>
      </c>
    </row>
    <row r="50" ht="25.5" customHeight="1">
      <c r="A50">
        <v>1654975475</v>
      </c>
      <c r="B50">
        <v>7627541944</v>
      </c>
      <c r="C50" s="2" t="str">
        <f>=HYPERLINK("https://weidian.com/item.html?itemID=7627541944", "https://weidian.com/item.html?itemID=7627541944")</f>
        <v>https://weidian.com/item.html?itemID=7627541944</v>
      </c>
      <c r="D50"/>
      <c r="E50" s="2" t="str">
        <f>=HYPERLINK("https://si.geilicdn.com/pcitem2014204438-4f510000019ae7d11dc90a21146b_1074_1074.jpg?w=640&amp;h=640", "https://si.geilicdn.com/pcitem2014204438-4f510000019ae7d11dc90a21146b_1074_1074.jpg?w=640&amp;h=640")</f>
        <v>https://si.geilicdn.com/pcitem2014204438-4f510000019ae7d11dc90a21146b_1074_1074.jpg?w=640&amp;h=640</v>
      </c>
      <c r="F50" t="inlineStr">
        <is>
          <t>Socks &amp; Hosiery</t>
        </is>
      </c>
      <c r="G50" t="inlineStr">
        <is>
          <t>Miu Miu</t>
        </is>
      </c>
      <c r="H50">
        <v>120</v>
      </c>
      <c r="I50">
        <v>17.39</v>
      </c>
      <c r="J5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Polka Dot Cotton Mid-Calf Women Socks","refusal":null,"role":"assistant"}}],"created":1778142821,"id":"chatcmpl-DcoSrAMTsjksFl8LX03FPrSpY7IT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14,"completion_tokens_details":{"accepted_prediction_tokens":0,"audio_tokens":0,"reasoning_tokens":0,"rejected_prediction_tokens":0},"latency_checkpoint":{"engine_tbt_ms":15,"engine_ttft_ms":1055,"engine_ttlt_ms":1269,"pre_inference_ms":112,"service_tbt_ms":16,"service_ttft_ms":2006,"service_ttlt_ms":2219,"total_duration_ms":2114,"user_visible_ttft_ms":1895},"prompt_tokens":893,"prompt_tokens_details":{"audio_tokens":0,"cached_tokens":0},"total_tokens":907}}</t>
        </is>
      </c>
      <c r="K50" t="inlineStr">
        <is>
          <t>Miu Miu Polka Dot Cotton Mid-Calf Women Socks</t>
        </is>
      </c>
      <c r="L5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Polka Dot Mid-Calf Socks for Women, crafted from soft cotton-blend with stretch, feature a chic logo design, breathable comfort, and a playful retro style for daily fashion wear.","refusal":null,"role":"assistant"}}],"created":1778142174,"id":"chatcmpl-DcoIQUVhiiK5w9wy7plQ2D7jOV7C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43,"completion_tokens_details":{"accepted_prediction_tokens":0,"audio_tokens":0,"reasoning_tokens":0,"rejected_prediction_tokens":0},"latency_checkpoint":{"engine_tbt_ms":149,"engine_ttft_ms":748,"engine_ttlt_ms":7139,"pre_inference_ms":134,"service_tbt_ms":149,"service_ttft_ms":1077,"service_ttlt_ms":7467,"total_duration_ms":7342,"user_visible_ttft_ms":943},"prompt_tokens":901,"prompt_tokens_details":{"audio_tokens":0,"cached_tokens":0},"total_tokens":944}}</t>
        </is>
      </c>
      <c r="M50" t="inlineStr">
        <is>
          <t>{"alt-svc":"h3=\":443\"; ma=2592000","apim-request-id":"611990db-2f9f-4651-9552-2af9f7b18bdf","azureml-model-session":"d20260501050840-08dc6769","connection":"close","content-length":"1651","content-type":"application/json","date":"Thu, 07 May 2026 08:23:01 GMT","skip-error-remapping":"true","strict-transport-security":"max-age=31536000; includeSubDomains; preload","via":"1.1 Caddy","x-accel-buffering":"no","x-content-type-options":"nosniff","x-ms-client-request-id":"Not-Set","x-ms-is-spilled-over":"false","x-ms-rai-invoked":"true","x-ms-region":"UK South","x-new-api-version":"v1.0.0-rc.4","x-oneapi-request-id":"202605070822532857620858268d9d6FDtdZaNG","x-ratelimit-abusepenalty-active":"False","x-ratelimit-key":"gpt-5-chat-global","x-ratelimit-limit-requests":"1000","x-ratelimit-limit-tokens":"1000000","x-ratelimit-remaining-requests":"999","x-ratelimit-remaining-tokens":"998337","x-ratelimit-renewalperiod-requests":"60","x-ratelimit-renewalperiod-tokens":"60","x-ratelimit-reset-requests":"0","x-ratelimit-reset-tokens":"0","x-request-id":"2d46800b-0bb0-4f27-81f5-eccf9c749675","x-shellapi-request-id":"2026050716225323477803474096234"}</t>
        </is>
      </c>
      <c r="N50" t="inlineStr">
        <is>
          <t>Miu Miu Polka Dot Mid-Calf Socks for Women, crafted from soft cotton-blend with stretch, feature a chic logo design, breathable comfort, and a playful retro style for daily fashion wear.</t>
        </is>
      </c>
      <c r="O5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Socks &amp; Hosiery, kakobuy, kakebuy2026, kekobuysheet, kakobuysheet2026, 2026kakobuy, kakobuyspreadsheeet, kakobuylink, kakebuylist, Kakobuy MEGA Spreadsheet, kakobuysheetfind, kakobuysheetfind2026, 2026kakobuysheetfind, kakobuysheet2026","refusal":null,"role":"assistant"}}],"created":1778143626,"id":"chatcmpl-DcofqUI8GQlkuf7ovcraoSj5tgLd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96,"completion_tokens_details":{"accepted_prediction_tokens":0,"audio_tokens":0,"reasoning_tokens":0,"rejected_prediction_tokens":0},"latency_checkpoint":{"engine_tbt_ms":61,"engine_ttft_ms":1016,"engine_ttlt_ms":6868,"pre_inference_ms":115,"service_tbt_ms":61,"service_ttft_ms":1617,"service_ttlt_ms":7468,"total_duration_ms":7363,"user_visible_ttft_ms":1502},"prompt_tokens":788,"prompt_tokens_details":{"audio_tokens":0,"cached_tokens":0},"total_tokens":884}}</t>
        </is>
      </c>
      <c r="P50" t="inlineStr">
        <is>
          <t>Miu Miu, Socks &amp; Hosiery, kakobuy, kakebuy2026, kekobuysheet, kakobuysheet2026, 2026kakobuy, kakobuyspreadsheeet, kakobuylink, kakebuylist, Kakobuy MEGA Spreadsheet, kakobuysheetfind, kakobuysheetfind2026, 2026kakobuysheetfind, kakobuysheet2026</t>
        </is>
      </c>
      <c r="Q50" t="inlineStr">
        <is>
          <t>Women, Retro, Stretch, Breathable, Fashion</t>
        </is>
      </c>
      <c r="R50" t="inlineStr">
        <is>
          <t>recvhju1CriULR</t>
        </is>
      </c>
      <c r="S50" t="inlineStr">
        <is>
          <t>miu-miu-polka-dot-cotton-mid-calf-socks-recvhju1criulr</t>
        </is>
      </c>
      <c r="T50"/>
      <c r="U50"/>
      <c r="V50"/>
      <c r="W50" t="inlineStr">
        <is>
          <t>{"id":"chatcmpl-Dcnu82TR1NcWbbGfwGrkK7xNXs5KB","object":"chat.completion","created":1778140668,"model":"gpt-5-chat-latest","choices":[{"index":0,"message":{"role":"assistant","content":"Miu Miu：黑白波点系列女士中筒袜，柔软棉质与弹力纤维混纺，简约Logo设计彰显俏丽复古风格，轻盈透气，日常休闲与时尚兼具。","refusal":null,"annotations":[]},"logprobs":null,"finish_reason":"stop"}],"usage":{"prompt_tokens":1309,"completion_tokens":61,"total_tokens":1370,"prompt_tokens_details":{"cached_tokens":0,"audio_tokens":0},"completion_tokens_details":{"reasoning_tokens":0,"audio_tokens":0,"accepted_prediction_tokens":0,"rejected_prediction_tokens":0},"latency_checkpoint":{"service_ttft_ms":719,"user_visible_ttft_ms":595,"total_duration_ms":1900,"pre_inference_ms":125,"service_tbt_ms":21,"service_ttlt_ms":2018,"engine_ttft_ms":445,"engine_ttlt_ms":1744,"engine_tbt_ms":21}},"service_tier":"default","system_fingerprint":"fp_fd471178c5"}</t>
        </is>
      </c>
      <c r="X50" t="inlineStr">
        <is>
          <t>Miu Miu：黑白波点系列女士中筒袜，柔软棉质与弹力纤维混纺，简约Logo设计彰显俏丽复古风格，轻盈透气，日常休闲与时尚兼具。</t>
        </is>
      </c>
    </row>
    <row r="51" ht="25.5" customHeight="1">
      <c r="A51">
        <v>1654975475</v>
      </c>
      <c r="B51">
        <v>7627307962</v>
      </c>
      <c r="C51" s="2" t="str">
        <f>=HYPERLINK("https://weidian.com/item.html?itemID=7627307962", "https://weidian.com/item.html?itemID=7627307962")</f>
        <v>https://weidian.com/item.html?itemID=7627307962</v>
      </c>
      <c r="D51"/>
      <c r="E51" s="2" t="str">
        <f>=HYPERLINK("https://si.geilicdn.com/pcitem2014204438-09450000019ae7c63e730a20e7c7_1074_932.jpg?w=640&amp;h=640", "https://si.geilicdn.com/pcitem2014204438-09450000019ae7c63e730a20e7c7_1074_932.jpg?w=640&amp;h=640")</f>
        <v>https://si.geilicdn.com/pcitem2014204438-09450000019ae7c63e730a20e7c7_1074_932.jpg?w=640&amp;h=640</v>
      </c>
      <c r="F51" t="inlineStr">
        <is>
          <t>Socks &amp; Hosiery</t>
        </is>
      </c>
      <c r="G51" t="inlineStr">
        <is>
          <t>Alo</t>
        </is>
      </c>
      <c r="H51">
        <v>136</v>
      </c>
      <c r="I51">
        <v>19.71</v>
      </c>
      <c r="J5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Multicolor Mid-Calf Cotton Sport Socks Unisex","refusal":null,"role":"assistant"}}],"created":1778142961,"id":"chatcmpl-DcoV72JAO0afVQLjKObw5PAKJQqj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40,"engine_ttft_ms":348,"engine_ttlt_ms":871,"pre_inference_ms":183,"service_tbt_ms":46,"service_ttft_ms":677,"service_ttlt_ms":1265,"total_duration_ms":1088,"user_visible_ttft_ms":493},"prompt_tokens":889,"prompt_tokens_details":{"audio_tokens":0,"cached_tokens":0},"total_tokens":902}}</t>
        </is>
      </c>
      <c r="K51" t="inlineStr">
        <is>
          <t>Alo Multicolor Mid-Calf Cotton Sport Socks Unisex</t>
        </is>
      </c>
      <c r="L5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Multicolor Mid-Calf Sport Socks, soft high-stretch cotton knit, breathable and sweat-absorbent, minimalist logo style, unisex design for timeless casual wear and modern athletic look.","refusal":null,"role":"assistant"}}],"created":1778142000,"id":"chatcmpl-DcoFc2Wl6vyt18zoL27ZP14KsnA2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42,"completion_tokens_details":{"accepted_prediction_tokens":0,"audio_tokens":0,"reasoning_tokens":0,"rejected_prediction_tokens":0},"latency_checkpoint":{"engine_tbt_ms":19,"engine_ttft_ms":918,"engine_ttlt_ms":1697,"pre_inference_ms":122,"service_tbt_ms":19,"service_ttft_ms":1846,"service_ttlt_ms":2624,"total_duration_ms":2509,"user_visible_ttft_ms":1724},"prompt_tokens":895,"prompt_tokens_details":{"audio_tokens":0,"cached_tokens":0},"total_tokens":937}}</t>
        </is>
      </c>
      <c r="M51" t="inlineStr">
        <is>
          <t>{"alt-svc":"h3=\":443\"; ma=2592000","apim-request-id":"3765b696-eae0-4926-9b30-8b4228dd49e3","azureml-model-session":"d20260428165144-a78ba574","connection":"close","content-length":"1651","content-type":"application/json","date":"Thu, 07 May 2026 08:20:02 GMT","skip-error-remapping":"true","strict-transport-security":"max-age=31536000; includeSubDomains; preload","via":"1.1 Caddy","x-accel-buffering":"no","x-content-type-options":"nosniff","x-ms-client-request-id":"Not-Set","x-ms-is-spilled-over":"false","x-ms-rai-invoked":"true","x-ms-region":"Korea Central","x-new-api-version":"v1.0.0-rc.4","x-oneapi-request-id":"202605070819595557415578268d9d6c1ajEXGO","x-ratelimit-abusepenalty-active":"False","x-ratelimit-key":"gpt-5-chat-global","x-ratelimit-limit-requests":"1000","x-ratelimit-limit-tokens":"1000000","x-ratelimit-remaining-requests":"999","x-ratelimit-remaining-tokens":"998343","x-ratelimit-renewalperiod-requests":"60","x-ratelimit-renewalperiod-tokens":"60","x-ratelimit-reset-requests":"0","x-ratelimit-reset-tokens":"0","x-request-id":"b6be842e-ed4a-4460-88b3-157b90979194","x-shellapi-request-id":"2026050716195950390969725316065"}</t>
        </is>
      </c>
      <c r="N51" t="inlineStr">
        <is>
          <t>Alo Multicolor Mid-Calf Sport Socks, soft high-stretch cotton knit, breathable and sweat-absorbent, minimalist logo style, unisex design for timeless casual wear and modern athletic look.</t>
        </is>
      </c>
      <c r="O51"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filtered"}},"content_filter_results":{"protected_material_code":{"detected":false,"filtered":false},"protected_material_text":{"detected":false,"filtered":false}},"finish_reason":"stop","index":0,"logprobs":null,"message":{"annotations":[],"content":"Alo,Socks &amp; Hosiery,kakobuy,kakebuy2026,kekobuysheet,kakobuysheet2026,2026kakobuy,kakobuyspreadsheeet,kakobuylink,kakebuylist,Kakobuy MEGA Spreadsheet,kakobuysheetfind,kakobuysheetfind2026,2026kakobuysheetfind,kakobuysheet2026","refusal":null,"role":"assistant"}}],"created":1778143747,"id":"chatcmpl-DcohnyIYXn4aWt7dA0OLBQTzCj4Q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147,"engine_ttft_ms":1174,"engine_ttlt_ms":14387,"pre_inference_ms":121,"service_tbt_ms":147,"service_ttft_ms":1675,"service_ttlt_ms":14886,"total_duration_ms":14778,"user_visible_ttft_ms":1554},"prompt_tokens":786,"prompt_tokens_details":{"audio_tokens":0,"cached_tokens":0},"total_tokens":876}}</t>
        </is>
      </c>
      <c r="P51" t="inlineStr">
        <is>
          <t>Alo,Socks &amp; Hosiery,kakobuy,kakebuy2026,kekobuysheet,kakobuysheet2026,2026kakobuy,kakobuyspreadsheeet,kakobuylink,kakebuylist,Kakobuy MEGA Spreadsheet,kakobuysheetfind,kakobuysheetfind2026,2026kakobuysheetfind,kakobuysheet2026</t>
        </is>
      </c>
      <c r="Q51" t="inlineStr">
        <is>
          <t>Unisex, Athletic, Knit, Breathable</t>
        </is>
      </c>
      <c r="R51" t="inlineStr">
        <is>
          <t>recvhju1CriEJw</t>
        </is>
      </c>
      <c r="S51" t="inlineStr">
        <is>
          <t>alo-multicolor-mid-calf-cotton-sport-socks-unisex-recvhju1criejw</t>
        </is>
      </c>
      <c r="T51"/>
      <c r="U51"/>
      <c r="V51"/>
      <c r="W5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多色运动中筒袜系列，采用柔软高弹针织棉材质，透气吸汗设计，极简Logo点缀彰显现代运动风格，男女皆宜，百搭休闲年代感十足。","refusal":null,"role":"assistant"}}],"created":1778140367,"id":"chatcmpl-DcnpHe1UtCoXEOLOHy1Qlnzz9WWo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57,"completion_tokens_details":{"accepted_prediction_tokens":0,"audio_tokens":0,"reasoning_tokens":0,"rejected_prediction_tokens":0},"latency_checkpoint":{"engine_tbt_ms":29,"engine_ttft_ms":667,"engine_ttlt_ms":2340,"pre_inference_ms":130,"service_tbt_ms":29,"service_ttft_ms":1449,"service_ttlt_ms":3122,"total_duration_ms":2998,"user_visible_ttft_ms":1319},"prompt_tokens":1305,"prompt_tokens_details":{"audio_tokens":0,"cached_tokens":1280},"total_tokens":1362}}</t>
        </is>
      </c>
      <c r="X51" t="inlineStr">
        <is>
          <t>Alo：多色运动中筒袜系列，采用柔软高弹针织棉材质，透气吸汗设计，极简Logo点缀彰显现代运动风格，男女皆宜，百搭休闲年代感十足。</t>
        </is>
      </c>
    </row>
    <row r="52" ht="25.5" customHeight="1">
      <c r="A52">
        <v>1654975475</v>
      </c>
      <c r="B52">
        <v>7624420765</v>
      </c>
      <c r="C52" s="2" t="str">
        <f>=HYPERLINK("https://weidian.com/item.html?itemID=7624420765", "https://weidian.com/item.html?itemID=7624420765")</f>
        <v>https://weidian.com/item.html?itemID=7624420765</v>
      </c>
      <c r="D52"/>
      <c r="E52" s="2" t="str">
        <f>=HYPERLINK("https://si.geilicdn.com/pcitem2014204438-17f10000019ae7bd19ce0a23057e_1080_1080.jpg?w=640&amp;h=640", "https://si.geilicdn.com/pcitem2014204438-17f10000019ae7bd19ce0a23057e_1080_1080.jpg?w=640&amp;h=640")</f>
        <v>https://si.geilicdn.com/pcitem2014204438-17f10000019ae7bd19ce0a23057e_1080_1080.jpg?w=640&amp;h=640</v>
      </c>
      <c r="F52" t="inlineStr">
        <is>
          <t>Socks &amp; Hosiery</t>
        </is>
      </c>
      <c r="G52" t="inlineStr">
        <is>
          <t>Air Jordan</t>
        </is>
      </c>
      <c r="H52">
        <v>136</v>
      </c>
      <c r="I52">
        <v>19.71</v>
      </c>
      <c r="J5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ir Jordan Mid Crew Basketball Socks Unisex","refusal":null,"role":"assistant"}}],"created":1778142986,"id":"chatcmpl-DcoVWJu7iNAk9N3tHlubmh7KjAm69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22,"engine_ttft_ms":306,"engine_ttlt_ms":500,"pre_inference_ms":155,"service_tbt_ms":22,"service_ttft_ms":596,"service_ttlt_ms":790,"total_duration_ms":641,"user_visible_ttft_ms":441},"prompt_tokens":899,"prompt_tokens_details":{"audio_tokens":0,"cached_tokens":0},"total_tokens":908}}</t>
        </is>
      </c>
      <c r="K52" t="inlineStr">
        <is>
          <t>Air Jordan Mid Crew Basketball Socks Unisex</t>
        </is>
      </c>
      <c r="L5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ir Jordan Mid Crew Basketball Socks—classic black, white, gray design. Soft cotton blend, breathable and sweat-absorbent, Jumpman logo, ribbed cuffs, unisex fit, perfect for sports and street style.","refusal":null,"role":"assistant"}}],"created":1778142128,"id":"chatcmpl-DcoHg7Nn2deNdWIs7KRORVufMv1j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47,"completion_tokens_details":{"accepted_prediction_tokens":0,"audio_tokens":0,"reasoning_tokens":0,"rejected_prediction_tokens":0},"latency_checkpoint":{"engine_tbt_ms":88,"engine_ttft_ms":1761,"engine_ttlt_ms":5907,"pre_inference_ms":112,"service_tbt_ms":88,"service_ttft_ms":2096,"service_ttlt_ms":6238,"total_duration_ms":6133,"user_visible_ttft_ms":1984},"prompt_tokens":917,"prompt_tokens_details":{"audio_tokens":0,"cached_tokens":0},"total_tokens":964}}</t>
        </is>
      </c>
      <c r="M52" t="inlineStr">
        <is>
          <t>{"alt-svc":"h3=\":443\"; ma=2592000","apim-request-id":"a3f259f7-32eb-4037-a522-73e8909944a0","azureml-model-session":"d20260501041445-2c187743","connection":"close","content-length":"1666","content-type":"application/json","date":"Thu, 07 May 2026 08:22:13 GMT","skip-error-remapping":"true","strict-transport-security":"max-age=31536000; includeSubDomains; preload","via":"1.1 Caddy","x-accel-buffering":"no","x-content-type-options":"nosniff","x-ms-client-request-id":"Not-Set","x-ms-is-spilled-over":"false","x-ms-rai-invoked":"true","x-ms-region":"Switzerland West","x-new-api-version":"v1.0.0-rc.4","x-oneapi-request-id":"202605070822074273542388268d9d6E2d8WKME","x-ratelimit-abusepenalty-active":"False","x-ratelimit-key":"gpt-5-chat-global","x-ratelimit-limit-requests":"1000","x-ratelimit-limit-tokens":"1000000","x-ratelimit-remaining-requests":"999","x-ratelimit-remaining-tokens":"998321","x-ratelimit-renewalperiod-requests":"60","x-ratelimit-renewalperiod-tokens":"60","x-ratelimit-reset-requests":"0","x-ratelimit-reset-tokens":"0","x-request-id":"cfaf9a25-2ca0-40b7-83ca-4ee4011afef3","x-shellapi-request-id":"2026050716220737407447015282381"}</t>
        </is>
      </c>
      <c r="N52" t="inlineStr">
        <is>
          <t>Air Jordan Mid Crew Basketball Socks—classic black, white, gray design. Soft cotton blend, breathable and sweat-absorbent, Jumpman logo, ribbed cuffs, unisex fit, perfect for sports and street style.</t>
        </is>
      </c>
      <c r="O5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ir Jordan, Socks &amp; Hosiery, kakobuy, kakebuy2026, kekobuysheet, kakobuysheet2026, 2026kakobuy, kakobuyspreadsheeet, kakobuylink, kakebuylist, Kakobuy MEGA Spreadsheet, kakobuysheetfind, kakobuysheetfind2026, 2026kakobuysheetfind, kakobuysheet2026","refusal":null,"role":"assistant"}}],"created":1778143548,"id":"chatcmpl-DcoeakImq8a1e9uJdp8qPzwZy8dG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87,"engine_ttft_ms":1206,"engine_ttlt_ms":9406,"pre_inference_ms":108,"service_tbt_ms":87,"service_ttft_ms":2344,"service_ttlt_ms":10544,"total_duration_ms":10449,"user_visible_ttft_ms":2236},"prompt_tokens":786,"prompt_tokens_details":{"audio_tokens":0,"cached_tokens":0},"total_tokens":880}}</t>
        </is>
      </c>
      <c r="P52" t="inlineStr">
        <is>
          <t>Air Jordan, Socks &amp; Hosiery, kakobuy, kakebuy2026, kekobuysheet, kakobuysheet2026, 2026kakobuy, kakobuyspreadsheeet, kakobuylink, kakebuylist, Kakobuy MEGA Spreadsheet, kakobuysheetfind, kakobuysheetfind2026, 2026kakobuysheetfind, kakobuysheet2026</t>
        </is>
      </c>
      <c r="Q52" t="inlineStr">
        <is>
          <t>AIR JORDAN, Black, White, Grey, Unisex, Streetwear</t>
        </is>
      </c>
      <c r="R52" t="inlineStr">
        <is>
          <t>recvhju1Cr75Fv</t>
        </is>
      </c>
      <c r="S52" t="inlineStr">
        <is>
          <t>air-jordan-mid-crew-basketball-socks-recvhju1cr75fv</t>
        </is>
      </c>
      <c r="T52"/>
      <c r="U52"/>
      <c r="V52"/>
      <c r="W52" t="inlineStr">
        <is>
          <t>{"id":"chatcmpl-DcnnBM0nJ4Sxv3rIeJuZh5HbVJEOv","object":"chat.completion","created":1778140237,"model":"gpt-5-chat-latest","choices":[{"index":0,"message":{"role":"assistant","content":"Air Jordan：中筒篮球运动袜，经典黑白灰三色设计，柔软棉质混纺面料，透气吸汗提升舒适度，织入跳人标志彰显品牌运动基因，弹性罗纹袜口稳固贴合，男女通穿款，兼具街头潮流与专业运动性能。","refusal":null,"annotations":[]},"logprobs":null,"finish_reason":"stop"}],"usage":{"prompt_tokens":1305,"completion_tokens":79,"total_tokens":1384,"prompt_tokens_details":{"cached_tokens":1280,"audio_tokens":0},"completion_tokens_details":{"reasoning_tokens":0,"audio_tokens":0,"accepted_prediction_tokens":0,"rejected_prediction_tokens":0},"latency_checkpoint":{"service_ttft_ms":1439,"user_visible_ttft_ms":1274,"total_duration_ms":8998,"pre_inference_ms":165,"service_tbt_ms":98,"service_ttlt_ms":9155,"engine_ttft_ms":715,"engine_ttlt_ms":8407,"engine_tbt_ms":97}},"service_tier":"default","system_fingerprint":"fp_fd471178c5"}</t>
        </is>
      </c>
      <c r="X52" t="inlineStr">
        <is>
          <t>Air Jordan：中筒篮球运动袜，经典黑白灰三色设计，柔软棉质混纺面料，透气吸汗提升舒适度，织入跳人标志彰显品牌运动基因，弹性罗纹袜口稳固贴合，男女通穿款，兼具街头潮流与专业运动性能。</t>
        </is>
      </c>
    </row>
    <row r="53" ht="25.5" customHeight="1">
      <c r="A53">
        <v>1654975475</v>
      </c>
      <c r="B53">
        <v>7627366932</v>
      </c>
      <c r="C53" s="2" t="str">
        <f>=HYPERLINK("https://weidian.com/item.html?itemID=7627366932", "https://weidian.com/item.html?itemID=7627366932")</f>
        <v>https://weidian.com/item.html?itemID=7627366932</v>
      </c>
      <c r="D53"/>
      <c r="E53" s="2" t="str">
        <f>=HYPERLINK("https://si.geilicdn.com/pcitem2014204438-6a290000019ae7bc9d930a20e2c5_1080_1080.jpg?w=640&amp;h=640", "https://si.geilicdn.com/pcitem2014204438-6a290000019ae7bc9d930a20e2c5_1080_1080.jpg?w=640&amp;h=640")</f>
        <v>https://si.geilicdn.com/pcitem2014204438-6a290000019ae7bc9d930a20e2c5_1080_1080.jpg?w=640&amp;h=640</v>
      </c>
      <c r="F53" t="inlineStr">
        <is>
          <t>Socks &amp; Hosiery</t>
        </is>
      </c>
      <c r="G53" t="inlineStr">
        <is>
          <t xml:space="preserve"> Louis Vuitton</t>
        </is>
      </c>
      <c r="H53">
        <v>136</v>
      </c>
      <c r="I53">
        <v>19.71</v>
      </c>
      <c r="J5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Black White Mid Calf Cotton Socks","refusal":null,"role":"assistant"}}],"created":1778142870,"id":"chatcmpl-DcoTeHURq09Ua6BAzyCohaMwWPPn7","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25,"engine_ttft_ms":742,"engine_ttlt_ms":991,"pre_inference_ms":139,"service_tbt_ms":26,"service_ttft_ms":1167,"service_ttlt_ms":1414,"total_duration_ms":1284,"user_visible_ttft_ms":1028},"prompt_tokens":879,"prompt_tokens_details":{"audio_tokens":0,"cached_tokens":0},"total_tokens":889}}</t>
        </is>
      </c>
      <c r="K53" t="inlineStr">
        <is>
          <t>Louis Vuitton Black White Mid Calf Cotton Socks</t>
        </is>
      </c>
      <c r="L5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ouis Vuitton classic black and white mid-calf socks made of soft elastic cotton, featuring signature LV logo and stripe design, blending French elegance and sporty style for both men and women.","refusal":null,"role":"assistant"}}],"created":1778142239,"id":"chatcmpl-DcoJTraUn3u16Xl1iM3qJ3gMlNh2V","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88,"engine_ttft_ms":979,"engine_ttlt_ms":4238,"pre_inference_ms":187,"service_tbt_ms":88,"service_ttft_ms":1450,"service_ttlt_ms":4692,"total_duration_ms":4513,"user_visible_ttft_ms":1262},"prompt_tokens":914,"prompt_tokens_details":{"audio_tokens":0,"cached_tokens":0},"total_tokens":951}}</t>
        </is>
      </c>
      <c r="M53" t="inlineStr">
        <is>
          <t>{"alt-svc":"h3=\":443\"; ma=2592000","apim-request-id":"cceb6267-481a-4000-8fec-2696e9af52ef","azureml-model-session":"d20260501041445-2c187743","connection":"close","content-length":"1658","content-type":"application/json","date":"Thu, 07 May 2026 08:24:03 GMT","server":"Caddy","skip-error-remapping":"true","strict-transport-security":"max-age=31536000; includeSubDomains; preload","x-accel-buffering":"no","x-content-type-options":"nosniff","x-ms-client-request-id":"Not-Set","x-ms-is-spilled-over":"false","x-ms-rai-invoked":"true","x-ms-region":"Sweden Central","x-new-api-version":"v1.0.0-rc.4","x-oneapi-request-id":"202605070823582904381158268d9d6oATiQaCb","x-ratelimit-abusepenalty-active":"False","x-ratelimit-key":"gpt-5-chat-global","x-ratelimit-limit-requests":"1000","x-ratelimit-limit-tokens":"1000000","x-ratelimit-remaining-requests":"999","x-ratelimit-remaining-tokens":"998324","x-ratelimit-renewalperiod-requests":"60","x-ratelimit-renewalperiod-tokens":"60","x-ratelimit-reset-requests":"0","x-ratelimit-reset-tokens":"0","x-request-id":"b61cd12b-d7d3-40f4-9369-784f3e172a46","x-shellapi-request-id":"2026050716235822942127885347707"}</t>
        </is>
      </c>
      <c r="N53" t="inlineStr">
        <is>
          <t>Louis Vuitton classic black and white mid-calf socks made of soft elastic cotton, featuring signature LV logo and stripe design, blending French elegance and sporty style for both men and women.</t>
        </is>
      </c>
      <c r="O5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Socks &amp; Hosiery, kakobuy, kakebuy2026, kekobuysheet, kakobuysheet2026, 2026kakobuy, kakobuyspreadsheeet, kakobuylink, kakebuylist, Kakobuy MEGA Spreadsheet, kakobuysheetfind, kakobuysheetfind2026, 2026kakobuysheetfind, kakobuysheet2026","refusal":null,"role":"assistant"}}],"created":1778143306,"id":"chatcmpl-DcoagyOzC5m8KdBuYGouT2bFz3P0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119,"engine_ttft_ms":1085,"engine_ttlt_ms":12305,"pre_inference_ms":146,"service_tbt_ms":119,"service_ttft_ms":1658,"service_ttlt_ms":12877,"total_duration_ms":12737,"user_visible_ttft_ms":1512},"prompt_tokens":786,"prompt_tokens_details":{"audio_tokens":0,"cached_tokens":0},"total_tokens":880}}</t>
        </is>
      </c>
      <c r="P53" t="inlineStr">
        <is>
          <t>Louis Vuitton, Socks &amp; Hosiery, kakobuy, kakebuy2026, kekobuysheet, kakobuysheet2026, 2026kakobuy, kakobuyspreadsheeet, kakobuylink, kakebuylist, Kakobuy MEGA Spreadsheet, kakobuysheetfind, kakobuysheetfind2026, 2026kakobuysheetfind, kakobuysheet2026</t>
        </is>
      </c>
      <c r="Q53" t="inlineStr">
        <is>
          <t>LV, Black, White, Elegant, Sporty, Men's And Women's</t>
        </is>
      </c>
      <c r="R53" t="inlineStr">
        <is>
          <t>recvhju1CruXqP</t>
        </is>
      </c>
      <c r="S53" t="inlineStr">
        <is>
          <t>louis-vuitton-black-white-mid-calf-cotton-socks-recvhju1cruxqp</t>
        </is>
      </c>
      <c r="T53"/>
      <c r="U53"/>
      <c r="V53"/>
      <c r="W53" t="inlineStr">
        <is>
          <t>{"id":"chatcmpl-DcnphdqW0tqWOyYMOCgs8H8kd0E6V","object":"chat.completion","created":1778140393,"model":"gpt-5-chat-latest","choices":[{"index":0,"message":{"role":"assistant","content":"Louis Vuitton 黑白配色经典中筒袜，甄选柔韧棉质纱线，饰以标志性LV字母图腾与条纹设计，融合法式优雅与简约运动风格，舒适贴合脚型，男女性皆宜，彰显品牌高级休闲美学。","refusal":null,"annotations":[]},"logprobs":null,"finish_reason":"stop"}],"usage":{"prompt_tokens":1309,"completion_tokens":74,"total_tokens":1383,"prompt_tokens_details":{"cached_tokens":1280,"audio_tokens":0},"completion_tokens_details":{"reasoning_tokens":0,"audio_tokens":0,"accepted_prediction_tokens":0,"rejected_prediction_tokens":0},"latency_checkpoint":{"service_ttft_ms":676,"user_visible_ttft_ms":538,"total_duration_ms":2329,"pre_inference_ms":137,"service_tbt_ms":24,"service_ttlt_ms":2457,"engine_ttft_ms":391,"engine_ttlt_ms":2173,"engine_tbt_ms":24}},"service_tier":"default","system_fingerprint":"fp_fd471178c5"}</t>
        </is>
      </c>
      <c r="X53" t="inlineStr">
        <is>
          <t>Louis Vuitton 黑白配色经典中筒袜，甄选柔韧棉质纱线，饰以标志性LV字母图腾与条纹设计，融合法式优雅与简约运动风格，舒适贴合脚型，男女性皆宜，彰显品牌高级休闲美学。</t>
        </is>
      </c>
    </row>
    <row r="54" ht="25.5" customHeight="1">
      <c r="A54">
        <v>1654975475</v>
      </c>
      <c r="B54">
        <v>7624396627</v>
      </c>
      <c r="C54" s="2" t="str">
        <f>=HYPERLINK("https://weidian.com/item.html?itemID=7624396627", "https://weidian.com/item.html?itemID=7624396627")</f>
        <v>https://weidian.com/item.html?itemID=7624396627</v>
      </c>
      <c r="D54"/>
      <c r="E54" s="2" t="str">
        <f>=HYPERLINK("https://si.geilicdn.com/pcitem2014204438-7f570000019ae7b7d2a30a20e273_1080_1080.jpg?w=640&amp;h=640", "https://si.geilicdn.com/pcitem2014204438-7f570000019ae7b7d2a30a20e273_1080_1080.jpg?w=640&amp;h=640")</f>
        <v>https://si.geilicdn.com/pcitem2014204438-7f570000019ae7b7d2a30a20e273_1080_1080.jpg?w=640&amp;h=640</v>
      </c>
      <c r="F54" t="inlineStr">
        <is>
          <t>Socks &amp; Hosiery</t>
        </is>
      </c>
      <c r="G54" t="inlineStr">
        <is>
          <t>Alo</t>
        </is>
      </c>
      <c r="H54">
        <v>120</v>
      </c>
      <c r="I54">
        <v>17.39</v>
      </c>
      <c r="J5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lo Classic Black White Striped Crew Socks Unisex Fashion","refusal":null,"role":"assistant"}}],"created":1778143093,"id":"chatcmpl-DcoXFAUYomocsTggclIWnxjHoylZ1","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60,"engine_ttft_ms":762,"engine_ttlt_ms":1540,"pre_inference_ms":202,"service_tbt_ms":60,"service_ttft_ms":1564,"service_ttlt_ms":2340,"total_duration_ms":2147,"user_visible_ttft_ms":1363},"prompt_tokens":891,"prompt_tokens_details":{"audio_tokens":0,"cached_tokens":0},"total_tokens":904}}</t>
        </is>
      </c>
      <c r="K54" t="inlineStr">
        <is>
          <t>Alo Classic Black White Striped Crew Socks Unisex Fashion</t>
        </is>
      </c>
      <c r="L5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lo Classic Black &amp; White Striped Crew Socks, soft cotton, moisture-wicking and breathable for all-day comfort. Retro street style with woven logo tag, unisex design, perfect for everyday sporty fashion.","refusal":null,"role":"assistant"}}],"created":1778142297,"id":"chatcmpl-DcoKPSRjnxhQv2nEnYTEzZIbxCmTv","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43,"completion_tokens_details":{"accepted_prediction_tokens":0,"audio_tokens":0,"reasoning_tokens":0,"rejected_prediction_tokens":0},"latency_checkpoint":{"engine_tbt_ms":86,"engine_ttft_ms":819,"engine_ttlt_ms":4516,"pre_inference_ms":180,"service_tbt_ms":86,"service_ttft_ms":1566,"service_ttlt_ms":5261,"total_duration_ms":5093,"user_visible_ttft_ms":1387},"prompt_tokens":902,"prompt_tokens_details":{"audio_tokens":0,"cached_tokens":0},"total_tokens":945}}</t>
        </is>
      </c>
      <c r="M54" t="inlineStr">
        <is>
          <t>{"alt-svc":"h3=\":443\"; ma=2592000","apim-request-id":"2a132dd0-4672-48d7-9915-19f4d4fd6e86","azureml-model-session":"d20260501050840-08dc6769","connection":"close","content-length":"1672","content-type":"application/json","date":"Thu, 07 May 2026 08:25:02 GMT","skip-error-remapping":"true","strict-transport-security":"max-age=31536000; includeSubDomains; preload","via":"1.1 Caddy","x-accel-buffering":"no","x-content-type-options":"nosniff","x-ms-client-request-id":"Not-Set","x-ms-is-spilled-over":"false","x-ms-rai-invoked":"true","x-ms-region":"Sweden Central","x-new-api-version":"v1.0.0-rc.4","x-oneapi-request-id":"202605070824569170445458268d9d6dWvMyHeG","x-ratelimit-abusepenalty-active":"False","x-ratelimit-key":"gpt-5-chat-global","x-ratelimit-limit-requests":"1000","x-ratelimit-limit-tokens":"1000000","x-ratelimit-remaining-requests":"999","x-ratelimit-remaining-tokens":"998336","x-ratelimit-renewalperiod-requests":"60","x-ratelimit-renewalperiod-tokens":"60","x-ratelimit-reset-requests":"0","x-ratelimit-reset-tokens":"0","x-request-id":"1917aeee-c178-491a-98d4-17f98d42f49d","x-shellapi-request-id":"2026050716245638612791460480774"}</t>
        </is>
      </c>
      <c r="N54" t="inlineStr">
        <is>
          <t>Alo Classic Black &amp; White Striped Crew Socks, soft cotton, moisture-wicking and breathable for all-day comfort. Retro street style with woven logo tag, unisex design, perfect for everyday sporty fashion.</t>
        </is>
      </c>
      <c r="O5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Socks &amp; Hosiery,kakobuy,kakebuy2026,kekobuysheet,kakobuysheet2026,2026kakobuy,kakobuyspreadsheeet,kakobuylink,kakebuylist,Kakobuy MEGA Spreadsheet,kakobuysheetfind,kakobuysheetfind2026,2026kakobuysheetfind,kakobuysheet2026","refusal":null,"role":"assistant"}}],"created":1778143698,"id":"chatcmpl-Dcoh0VnWBaRnzGEehsigqhaF4tR9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17,"engine_ttft_ms":769,"engine_ttlt_ms":2320,"pre_inference_ms":118,"service_tbt_ms":17,"service_ttft_ms":1179,"service_ttlt_ms":2730,"total_duration_ms":2620,"user_visible_ttft_ms":1061},"prompt_tokens":786,"prompt_tokens_details":{"audio_tokens":0,"cached_tokens":0},"total_tokens":876}}</t>
        </is>
      </c>
      <c r="P54" t="inlineStr">
        <is>
          <t>Alo,Socks &amp; Hosiery,kakobuy,kakebuy2026,kekobuysheet,kakobuysheet2026,2026kakobuy,kakobuyspreadsheeet,kakobuylink,kakebuylist,Kakobuy MEGA Spreadsheet,kakobuysheetfind,kakobuysheetfind2026,2026kakobuysheetfind,kakobuysheet2026</t>
        </is>
      </c>
      <c r="Q54" t="inlineStr">
        <is>
          <t>Black, White, Retro, Street, Unisex, Breathable</t>
        </is>
      </c>
      <c r="R54" t="inlineStr">
        <is>
          <t>recvhju1Cr5MtN</t>
        </is>
      </c>
      <c r="S54" t="inlineStr">
        <is>
          <t>alo-classic-black-white-striped-crew-socks-recvhju1cr5mtn</t>
        </is>
      </c>
      <c r="T54"/>
      <c r="U54"/>
      <c r="V54"/>
      <c r="W54" t="inlineStr">
        <is>
          <t>{"id":"chatcmpl-DcnlmScMaGpwh1GzXoJSZevkbd41M","object":"chat.completion","created":1778140150,"model":"gpt-5-chat-latest","choices":[{"index":0,"message":{"role":"assistant","content":"Alo：经典黑白条纹中筒运动袜，柔软棉质材质，吸湿透气舒适贴合。简约Logo织标设计，复古街头风格，男女通用百搭单品，展现时尚运动态度。","refusal":null,"annotations":[]},"logprobs":null,"finish_reason":"stop"}],"usage":{"prompt_tokens":1309,"completion_tokens":62,"total_tokens":1371,"prompt_tokens_details":{"cached_tokens":1280,"audio_tokens":0},"completion_tokens_details":{"reasoning_tokens":0,"audio_tokens":0,"accepted_prediction_tokens":0,"rejected_prediction_tokens":0},"latency_checkpoint":{"service_ttft_ms":1939,"user_visible_ttft_ms":1698,"total_duration_ms":10963,"pre_inference_ms":241,"service_tbt_ms":149,"service_ttlt_ms":11194,"engine_ttft_ms":1419,"engine_ttlt_ms":10675,"engine_tbt_ms":149}},"service_tier":"default","system_fingerprint":"fp_fd471178c5"}</t>
        </is>
      </c>
      <c r="X54" t="inlineStr">
        <is>
          <t>Alo：经典黑白条纹中筒运动袜，柔软棉质材质，吸湿透气舒适贴合。简约Logo织标设计，复古街头风格，男女通用百搭单品，展现时尚运动态度。</t>
        </is>
      </c>
    </row>
    <row r="55" ht="25.5" customHeight="1">
      <c r="A55">
        <v>1654975475</v>
      </c>
      <c r="B55">
        <v>7624333881</v>
      </c>
      <c r="C55" s="2" t="str">
        <f>=HYPERLINK("https://weidian.com/item.html?itemID=7624333881", "https://weidian.com/item.html?itemID=7624333881")</f>
        <v>https://weidian.com/item.html?itemID=7624333881</v>
      </c>
      <c r="D55"/>
      <c r="E55" s="2" t="str">
        <f>=HYPERLINK("https://si.geilicdn.com/pcitem2014204438-14ab0000019ae7b62cae0a8133cc_1080_1080.jpg?w=640&amp;h=640", "https://si.geilicdn.com/pcitem2014204438-14ab0000019ae7b62cae0a8133cc_1080_1080.jpg?w=640&amp;h=640")</f>
        <v>https://si.geilicdn.com/pcitem2014204438-14ab0000019ae7b62cae0a8133cc_1080_1080.jpg?w=640&amp;h=640</v>
      </c>
      <c r="F55" t="inlineStr">
        <is>
          <t>Socks &amp; Hosiery</t>
        </is>
      </c>
      <c r="G55" t="inlineStr">
        <is>
          <t>Adidas</t>
        </is>
      </c>
      <c r="H55">
        <v>120</v>
      </c>
      <c r="I55">
        <v>17.39</v>
      </c>
      <c r="J5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didas Classic Trefoil Striped Cotton Crew Socks","refusal":null,"role":"assistant"}}],"created":1778143055,"id":"chatcmpl-DcoWd7jssIMHmdwRGfgGgBXyAW9R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18,"engine_ttft_ms":806,"engine_ttlt_ms":1008,"pre_inference_ms":118,"service_tbt_ms":19,"service_ttft_ms":1231,"service_ttlt_ms":1432,"total_duration_ms":1319,"user_visible_ttft_ms":1112},"prompt_tokens":885,"prompt_tokens_details":{"audio_tokens":0,"cached_tokens":0},"total_tokens":896}}</t>
        </is>
      </c>
      <c r="K55" t="inlineStr">
        <is>
          <t>Adidas Classic Trefoil Striped Cotton Crew Socks</t>
        </is>
      </c>
      <c r="L5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didas Classic Trefoil Crew Socks feature soft cotton-blend fabric, breathable comfort, retro striped design, and logo style. Unisex fit for daily wear, workouts, or casual street fashion.","refusal":null,"role":"assistant"}}],"created":1778142250,"id":"chatcmpl-DcoJey0ZnLUFHgAUNFdxNw2YCusf0","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85,"engine_ttft_ms":877,"engine_ttlt_ms":4284,"pre_inference_ms":110,"service_tbt_ms":85,"service_ttft_ms":1202,"service_ttlt_ms":4610,"total_duration_ms":4509,"user_visible_ttft_ms":1092},"prompt_tokens":903,"prompt_tokens_details":{"audio_tokens":0,"cached_tokens":0},"total_tokens":943}}</t>
        </is>
      </c>
      <c r="M55" t="inlineStr">
        <is>
          <t>{"alt-svc":"h3=\":443\"; ma=2592000","apim-request-id":"831148c4-5b3a-47d7-b44d-6289d6f2c1a5","azureml-model-session":"d20260501050840-f4f9d8ac","connection":"close","content-length":"1652","content-type":"application/json","date":"Thu, 07 May 2026 08:24:14 GMT","server":"Caddy","skip-error-remapping":"true","strict-transport-security":"max-age=31536000; includeSubDomains; preload","x-accel-buffering":"no","x-content-type-options":"nosniff","x-ms-client-request-id":"Not-Set","x-ms-is-spilled-over":"false","x-ms-rai-invoked":"true","x-ms-region":"Switzerland West","x-new-api-version":"v1.0.0-rc.4","x-oneapi-request-id":"202605070824089133509748268d9d6bT6gPHpB","x-ratelimit-abusepenalty-active":"False","x-ratelimit-key":"gpt-5-chat-global","x-ratelimit-limit-requests":"1000","x-ratelimit-limit-tokens":"1000000","x-ratelimit-remaining-requests":"999","x-ratelimit-remaining-tokens":"997559","x-ratelimit-renewalperiod-requests":"60","x-ratelimit-renewalperiod-tokens":"60","x-ratelimit-reset-requests":"0","x-ratelimit-reset-tokens":"0","x-request-id":"68333dca-edc6-426a-bf88-fdad67dec1a9","x-shellapi-request-id":"2026050716240886230137377909570"}</t>
        </is>
      </c>
      <c r="N55" t="inlineStr">
        <is>
          <t>Adidas Classic Trefoil Crew Socks feature soft cotton-blend fabric, breathable comfort, retro striped design, and logo style. Unisex fit for daily wear, workouts, or casual street fashion.</t>
        </is>
      </c>
      <c r="O5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didas,Socks &amp; Hosiery,kakobuy,kakebuy2026,kekobuysheet,kakobuysheet2026,2026kakobuy,kakobuyspreadsheeet,kakobuylink,kakebuylist,Kakobuy MEGA Spreadsheet,kakobuysheetfind,kakobuysheetfind2026,2026kakobuysheetfind,kakobuysheet2026","refusal":null,"role":"assistant"}}],"created":1778143477,"id":"chatcmpl-DcodRPAYPzXuJRDI5Eahx5zFC19x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101,"engine_ttft_ms":667,"engine_ttlt_ms":9724,"pre_inference_ms":124,"service_tbt_ms":101,"service_ttft_ms":982,"service_ttlt_ms":10040,"total_duration_ms":9924,"user_visible_ttft_ms":859},"prompt_tokens":786,"prompt_tokens_details":{"audio_tokens":0,"cached_tokens":0},"total_tokens":876}}</t>
        </is>
      </c>
      <c r="P55" t="inlineStr">
        <is>
          <t>Adidas,Socks &amp; Hosiery,kakobuy,kakebuy2026,kekobuysheet,kakobuysheet2026,2026kakobuy,kakobuyspreadsheeet,kakobuylink,kakebuylist,Kakobuy MEGA Spreadsheet,kakobuysheetfind,kakobuysheetfind2026,2026kakobuysheetfind,kakobuysheet2026</t>
        </is>
      </c>
      <c r="Q55" t="inlineStr">
        <is>
          <t>ADIDAS, Retro, Unisex, Breathable, Streetwear</t>
        </is>
      </c>
      <c r="R55" t="inlineStr">
        <is>
          <t>recvhju1Cr1LHo</t>
        </is>
      </c>
      <c r="S55" t="inlineStr">
        <is>
          <t>adidas-classic-trefoil-striped-cotton-crew-socks-recvhju1cr1lho</t>
        </is>
      </c>
      <c r="T55"/>
      <c r="U55"/>
      <c r="V55"/>
      <c r="W5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didas：经典三叶草系列黑色中筒运动袜，棉质混纺面料柔软透气，撞色条纹与徽标设计彰显复古街头风格，男女通用，舒适贴合日常休闲或训练穿搭。","refusal":null,"role":"assistant"}}],"created":1778140347,"id":"chatcmpl-DcnoxYTi5vsECPfiLx0NhPCgXBFr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64,"completion_tokens_details":{"accepted_prediction_tokens":0,"audio_tokens":0,"reasoning_tokens":0,"rejected_prediction_tokens":0},"latency_checkpoint":{"engine_tbt_ms":89,"engine_ttft_ms":1384,"engine_ttlt_ms":7090,"pre_inference_ms":111,"service_tbt_ms":89,"service_ttft_ms":2495,"service_ttlt_ms":8200,"total_duration_ms":8101,"user_visible_ttft_ms":2383},"prompt_tokens":1307,"prompt_tokens_details":{"audio_tokens":0,"cached_tokens":0},"total_tokens":1371}}</t>
        </is>
      </c>
      <c r="X55" t="inlineStr">
        <is>
          <t>Adidas：经典三叶草系列黑色中筒运动袜，棉质混纺面料柔软透气，撞色条纹与徽标设计彰显复古街头风格，男女通用，舒适贴合日常休闲或训练穿搭。</t>
        </is>
      </c>
    </row>
    <row r="56" ht="25.5" customHeight="1">
      <c r="A56">
        <v>1654975475</v>
      </c>
      <c r="B56">
        <v>7627110460</v>
      </c>
      <c r="C56" s="2" t="str">
        <f>=HYPERLINK("https://weidian.com/item.html?itemID=7627110460", "https://weidian.com/item.html?itemID=7627110460")</f>
        <v>https://weidian.com/item.html?itemID=7627110460</v>
      </c>
      <c r="D56"/>
      <c r="E56" s="2" t="str">
        <f>=HYPERLINK("https://si.geilicdn.com/pcitem902014207253-62f50000019ae74a62520a239846_1280_1707.jpg?w=640&amp;h=640", "https://si.geilicdn.com/pcitem902014207253-62f50000019ae74a62520a239846_1280_1707.jpg?w=640&amp;h=640")</f>
        <v>https://si.geilicdn.com/pcitem902014207253-62f50000019ae74a62520a239846_1280_1707.jpg?w=640&amp;h=640</v>
      </c>
      <c r="F56" t="inlineStr">
        <is>
          <t>Accessories</t>
        </is>
      </c>
      <c r="G56" t="inlineStr">
        <is>
          <t>Cotopaxi</t>
        </is>
      </c>
      <c r="H56">
        <v>590</v>
      </c>
      <c r="I56">
        <v>85.51</v>
      </c>
      <c r="J5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topaxi Lago Olive Green Travel Backpack","refusal":null,"role":"assistant"}}],"created":1778143023,"id":"chatcmpl-DcoW7V0IPuDqBKwgSaAiAU3noSSN3","model":"gpt-5-chat-2025-10-03","object":"chat.completion","prompt_filter_results":[{"prompt_index":0,"content_filter_results":{"jailbreak":{"detected":false,"filtered":false}}}],"service_tier":"default","system_fingerprint":"fp_fd471178c5","usage":{"completion_tokens":9,"completion_tokens_details":{"accepted_prediction_tokens":0,"audio_tokens":0,"reasoning_tokens":0,"rejected_prediction_tokens":0},"latency_checkpoint":{"engine_tbt_ms":24,"engine_ttft_ms":856,"engine_ttlt_ms":1070,"pre_inference_ms":144,"service_tbt_ms":24,"service_ttft_ms":1276,"service_ttlt_ms":1490,"total_duration_ms":1352,"user_visible_ttft_ms":1132},"prompt_tokens":874,"prompt_tokens_details":{"audio_tokens":0,"cached_tokens":0},"total_tokens":883}}</t>
        </is>
      </c>
      <c r="K56" t="inlineStr">
        <is>
          <t>Cotopaxi Lago Olive Green Travel Backpack</t>
        </is>
      </c>
      <c r="L5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topaxi Lago Olive Green Water-Resistant Nylon Backpack, lightweight and durable with colorful zippers, perfect for urban commuting or travel adventures, unisex retro outdoor style.","refusal":null,"role":"assistant"}}],"created":1778142194,"id":"chatcmpl-DcoIkC6n5wE2dPeXqi5PhzXwyREl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25,"engine_ttft_ms":970,"engine_ttlt_ms":1877,"pre_inference_ms":132,"service_tbt_ms":25,"service_ttft_ms":1908,"service_ttlt_ms":2814,"total_duration_ms":2689,"user_visible_ttft_ms":1776},"prompt_tokens":905,"prompt_tokens_details":{"audio_tokens":0,"cached_tokens":0},"total_tokens":941}}</t>
        </is>
      </c>
      <c r="M56" t="inlineStr">
        <is>
          <t>{"alt-svc":"h3=\":443\"; ma=2592000","apim-request-id":"7a9fee91-1687-4977-a217-9c84c59b852c","azureml-model-session":"d20260428165144-a78ba574","connection":"close","content-length":"1646","content-type":"application/json","date":"Thu, 07 May 2026 08:23:17 GMT","skip-error-remapping":"true","strict-transport-security":"max-age=31536000; includeSubDomains; preload","via":"1.1 Caddy","x-accel-buffering":"no","x-content-type-options":"nosniff","x-ms-client-request-id":"Not-Set","x-ms-is-spilled-over":"false","x-ms-rai-invoked":"true","x-ms-region":"Korea Central","x-new-api-version":"v1.0.0-rc.4","x-oneapi-request-id":"202605070823135434578158268d9d6ic92LEIL","x-ratelimit-abusepenalty-active":"False","x-ratelimit-key":"gpt-5-chat-global","x-ratelimit-limit-requests":"1000","x-ratelimit-limit-tokens":"1000000","x-ratelimit-remaining-requests":"999","x-ratelimit-remaining-tokens":"998333","x-ratelimit-renewalperiod-requests":"60","x-ratelimit-renewalperiod-tokens":"60","x-ratelimit-reset-requests":"0","x-ratelimit-reset-tokens":"0","x-request-id":"15de6924-5315-47eb-bc17-1425be7e4dfb","x-shellapi-request-id":"2026050716231345157719274946224"}</t>
        </is>
      </c>
      <c r="N56" t="inlineStr">
        <is>
          <t>Cotopaxi Lago Olive Green Water-Resistant Nylon Backpack, lightweight and durable with colorful zippers, perfect for urban commuting or travel adventures, unisex retro outdoor style.</t>
        </is>
      </c>
      <c r="O5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topaxi,Backpacks,kakobuy,kakebuy2026,kekobuysheet,kakobuysheet2026,2026kakobuy,kakobuyspreadsheeet,kakobuylink,kakebuylist,Kakobuy MEGA Spreadsheet,kakobuysheetfind,kakobuysheetfind2026,2026kakobuysheetfind,kakobuysheet2026","refusal":null,"role":"assistant"}}],"created":1778143302,"id":"chatcmpl-DcoacWtPXFH62u1urKWY88yCYjLv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24,"engine_ttft_ms":369,"engine_ttlt_ms":2504,"pre_inference_ms":151,"service_tbt_ms":24,"service_ttft_ms":802,"service_ttlt_ms":2926,"total_duration_ms":2781,"user_visible_ttft_ms":650},"prompt_tokens":783,"prompt_tokens_details":{"audio_tokens":0,"cached_tokens":0},"total_tokens":872}}</t>
        </is>
      </c>
      <c r="P56" t="inlineStr">
        <is>
          <t>Cotopaxi,Backpacks,kakobuy,kakebuy2026,kekobuysheet,kakobuysheet2026,2026kakobuy,kakobuyspreadsheeet,kakobuylink,kakebuylist,Kakobuy MEGA Spreadsheet,kakobuysheetfind,kakobuysheetfind2026,2026kakobuysheetfind,kakobuysheet2026</t>
        </is>
      </c>
      <c r="Q56" t="inlineStr">
        <is>
          <t>Backpack, Waterproof Shoes, Nylon, Lightweight, Unisex, Outdoor</t>
        </is>
      </c>
      <c r="R56" t="inlineStr">
        <is>
          <t>recvhju1Cr0bIv</t>
        </is>
      </c>
      <c r="S56" t="inlineStr">
        <is>
          <t>cotopaxi-lago-olive-green-backpack-recvhju1cr0biv</t>
        </is>
      </c>
      <c r="T56"/>
      <c r="U56"/>
      <c r="V56"/>
      <c r="W56" t="inlineStr">
        <is>
          <t>{"id":"chatcmpl-DcnwGt11RXAdggKQHxpVdlAcyC9mE","object":"chat.completion","created":1778140800,"model":"gpt-5-chat-latest","choices":[{"index":0,"message":{"role":"assistant","content":"Cotopaxi：Lago系列橄榄绿色防泼水尼龙双肩背包，轻盈耐磨设计，撞色拉链点缀活力户外风，男女皆宜，适合都市通勤与旅行探险，展现复古与功能并重的现代休闲格调。","refusal":null,"annotations":[]},"logprobs":null,"finish_reason":"stop"}],"usage":{"prompt_tokens":1299,"completion_tokens":72,"total_tokens":1371,"prompt_tokens_details":{"cached_tokens":0,"audio_tokens":0},"completion_tokens_details":{"reasoning_tokens":0,"audio_tokens":0,"accepted_prediction_tokens":0,"rejected_prediction_tokens":0},"latency_checkpoint":{"service_ttft_ms":771,"user_visible_ttft_ms":591,"total_duration_ms":8102,"pre_inference_ms":180,"service_tbt_ms":104,"service_ttlt_ms":8267,"engine_ttft_ms":527,"engine_ttlt_ms":8024,"engine_tbt_ms":104}},"service_tier":"default","system_fingerprint":"fp_fd471178c5"}</t>
        </is>
      </c>
      <c r="X56" t="inlineStr">
        <is>
          <t>Cotopaxi：Lago系列橄榄绿色防泼水尼龙双肩背包，轻盈耐磨设计，撞色拉链点缀活力户外风，男女皆宜，适合都市通勤与旅行探险，展现复古与功能并重的现代休闲格调。</t>
        </is>
      </c>
    </row>
    <row r="57" ht="25.5" customHeight="1">
      <c r="A57">
        <v>1654975475</v>
      </c>
      <c r="B57">
        <v>7623767235</v>
      </c>
      <c r="C57" s="2" t="str">
        <f>=HYPERLINK("https://weidian.com/item.html?itemID=7623767235", "https://weidian.com/item.html?itemID=7623767235")</f>
        <v>https://weidian.com/item.html?itemID=7623767235</v>
      </c>
      <c r="D57"/>
      <c r="E57" s="2" t="str">
        <f>=HYPERLINK("https://si.geilicdn.com/pcitem2014204438-77c70000019ae4a0b8580a23037f_1440_1919.jpg?w=640&amp;h=640", "https://si.geilicdn.com/pcitem2014204438-77c70000019ae4a0b8580a23037f_1440_1919.jpg?w=640&amp;h=640")</f>
        <v>https://si.geilicdn.com/pcitem2014204438-77c70000019ae4a0b8580a23037f_1440_1919.jpg?w=640&amp;h=640</v>
      </c>
      <c r="F57" t="inlineStr">
        <is>
          <t>Accessories</t>
        </is>
      </c>
      <c r="G57" t="inlineStr">
        <is>
          <t>FILA</t>
        </is>
      </c>
      <c r="H57">
        <v>320</v>
      </c>
      <c r="I57">
        <v>46.38</v>
      </c>
      <c r="J5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FILA Off White Nylon Waterproof Backpack Urban Style","refusal":null,"role":"assistant"}}],"created":1778143040,"id":"chatcmpl-DcoWOcZczayQQ3PrN1jAtVNwjAhbs","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62,"engine_ttft_ms":409,"engine_ttlt_ms":1034,"pre_inference_ms":195,"service_tbt_ms":63,"service_ttft_ms":762,"service_ttlt_ms":1386,"total_duration_ms":1201,"user_visible_ttft_ms":567},"prompt_tokens":876,"prompt_tokens_details":{"audio_tokens":0,"cached_tokens":0},"total_tokens":886}}</t>
        </is>
      </c>
      <c r="K57" t="inlineStr">
        <is>
          <t>FILA Off White Nylon Waterproof Backpack Urban Style</t>
        </is>
      </c>
      <c r="L5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FILA Off-White Nylon Backpack, lightweight and waterproof with minimalist urban design, black webbing straps, flap closure, unisex style for commute, travel, and casual fashion versatility.","refusal":null,"role":"assistant"}}],"created":1778142337,"id":"chatcmpl-DcoL3WJSigiquf48CJvyfw7ZTrOve","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61,"engine_ttft_ms":884,"engine_ttlt_ms":3190,"pre_inference_ms":212,"service_tbt_ms":61,"service_ttft_ms":1666,"service_ttlt_ms":3971,"total_duration_ms":3769,"user_visible_ttft_ms":1454},"prompt_tokens":908,"prompt_tokens_details":{"audio_tokens":0,"cached_tokens":0},"total_tokens":946}}</t>
        </is>
      </c>
      <c r="M57" t="inlineStr">
        <is>
          <t>{"alt-svc":"h3=\":443\"; ma=2592000","apim-request-id":"af51bb4f-cd08-401c-bbd7-879708318fd9","azureml-model-session":"d20260501050840-08dc6769","connection":"close","content-length":"1653","content-type":"application/json","date":"Thu, 07 May 2026 08:25:40 GMT","server":"Caddy","skip-error-remapping":"true","strict-transport-security":"max-age=31536000; includeSubDomains; preload","x-accel-buffering":"no","x-content-type-options":"nosniff","x-ms-client-request-id":"Not-Set","x-ms-is-spilled-over":"false","x-ms-rai-invoked":"true","x-ms-region":"Sweden Central","x-new-api-version":"v1.0.0-rc.4","x-oneapi-request-id":"20260507082536994107868268d9d6MMGml3sp","x-ratelimit-abusepenalty-active":"False","x-ratelimit-key":"gpt-5-chat-global","x-ratelimit-limit-requests":"1000","x-ratelimit-limit-tokens":"1000000","x-ratelimit-remaining-requests":"999","x-ratelimit-remaining-tokens":"998330","x-ratelimit-renewalperiod-requests":"60","x-ratelimit-renewalperiod-tokens":"60","x-ratelimit-reset-requests":"0","x-ratelimit-reset-tokens":"0","x-request-id":"a276b715-2277-4f33-8c51-99029dbcb5ce","x-shellapi-request-id":"202605071625363623311236238256"}</t>
        </is>
      </c>
      <c r="N57" t="inlineStr">
        <is>
          <t>FILA Off-White Nylon Backpack, lightweight and waterproof with minimalist urban design, black webbing straps, flap closure, unisex style for commute, travel, and casual fashion versatility.</t>
        </is>
      </c>
      <c r="O5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FILA, Backpack, kakobuy, kakebuy2026, kekobuysheet, kakobuysheet2026, 2026kakobuy, kakobuyspreadsheeet, kakobuylink, kakebuylist, Kakobuy MEGA Spreadsheet, kakobuysheetfind, kakobuysheetfind2026, 2026kakobuysheetfind, kakobuysheet2026","refusal":null,"role":"assistant"}}],"created":1778143355,"id":"chatcmpl-DcobTMlvMPo7p8oH6NeAmYALyKbLh","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91,"completion_tokens_details":{"accepted_prediction_tokens":0,"audio_tokens":0,"reasoning_tokens":0,"rejected_prediction_tokens":0},"latency_checkpoint":{"engine_tbt_ms":70,"engine_ttft_ms":683,"engine_ttlt_ms":7008,"pre_inference_ms":185,"service_tbt_ms":70,"service_ttft_ms":920,"service_ttlt_ms":7244,"total_duration_ms":7070,"user_visible_ttft_ms":735},"prompt_tokens":782,"prompt_tokens_details":{"audio_tokens":0,"cached_tokens":0},"total_tokens":873}}</t>
        </is>
      </c>
      <c r="P57" t="inlineStr">
        <is>
          <t>FILA, Backpack, kakobuy, kakebuy2026, kekobuysheet, kakobuysheet2026, 2026kakobuy, kakobuyspreadsheeet, kakobuylink, kakebuylist, Kakobuy MEGA Spreadsheet, kakobuysheetfind, kakobuysheetfind2026, 2026kakobuysheetfind, kakobuysheet2026</t>
        </is>
      </c>
      <c r="Q57" t="inlineStr">
        <is>
          <t>FILA, Off-White, Backpack, Nylon, Lightweight, Waterproof</t>
        </is>
      </c>
      <c r="R57" t="inlineStr">
        <is>
          <t>recvhju1CryZKy</t>
        </is>
      </c>
      <c r="S57" t="inlineStr">
        <is>
          <t>fila-off-white-nylon-waterproof-backpack-urban-recvhju1cryzky</t>
        </is>
      </c>
      <c r="T57"/>
      <c r="U57"/>
      <c r="V57"/>
      <c r="W5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FILA 米白色休闲双肩背包，采用轻盈防水尼龙面料，极简都市设计，配黑色织带与翻盖结构，兼具收纳与时尚质感。男女通用款，适合通勤、旅行与日常休闲场景，彰显现代运动美学。","refusal":null,"role":"assistant"}}],"created":1778140321,"id":"chatcmpl-DcnoXS9rvhE1ad38xlRdxC9EldSFu","model":"gpt-5-chat-2025-10-03","object":"chat.completion","prompt_filter_results":[{"prompt_index":0,"content_filter_results":{"jailbreak":{"detected":false,"filtered":false}}}],"service_tier":"default","system_fingerprint":"fp_fd471178c5","usage":{"completion_tokens":74,"completion_tokens_details":{"accepted_prediction_tokens":0,"audio_tokens":0,"reasoning_tokens":0,"rejected_prediction_tokens":0},"latency_checkpoint":{"engine_tbt_ms":23,"engine_ttft_ms":893,"engine_ttlt_ms":2575,"pre_inference_ms":238,"service_tbt_ms":23,"service_ttft_ms":1807,"service_ttlt_ms":3490,"total_duration_ms":3260,"user_visible_ttft_ms":1569},"prompt_tokens":1303,"prompt_tokens_details":{"audio_tokens":0,"cached_tokens":0},"total_tokens":1377}}</t>
        </is>
      </c>
      <c r="X57" t="inlineStr">
        <is>
          <t>FILA 米白色休闲双肩背包，采用轻盈防水尼龙面料，极简都市设计，配黑色织带与翻盖结构，兼具收纳与时尚质感。男女通用款，适合通勤、旅行与日常休闲场景，彰显现代运动美学。</t>
        </is>
      </c>
    </row>
    <row r="58" ht="25.5" customHeight="1">
      <c r="A58">
        <v>1654975475</v>
      </c>
      <c r="B58">
        <v>7626833124</v>
      </c>
      <c r="C58" s="2" t="str">
        <f>=HYPERLINK("https://weidian.com/item.html?itemID=7626833124", "https://weidian.com/item.html?itemID=7626833124")</f>
        <v>https://weidian.com/item.html?itemID=7626833124</v>
      </c>
      <c r="D58"/>
      <c r="E58" s="2" t="str">
        <f>=HYPERLINK("https://si.geilicdn.com/pcitem2014204438-796e0000019ae49a823a0a2303ee_1440_1920.jpg?w=640&amp;h=640", "https://si.geilicdn.com/pcitem2014204438-796e0000019ae49a823a0a2303ee_1440_1920.jpg?w=640&amp;h=640")</f>
        <v>https://si.geilicdn.com/pcitem2014204438-796e0000019ae49a823a0a2303ee_1440_1920.jpg?w=640&amp;h=640</v>
      </c>
      <c r="F58" t="inlineStr">
        <is>
          <t>Accessories</t>
        </is>
      </c>
      <c r="G58" t="inlineStr">
        <is>
          <t>lululemon</t>
        </is>
      </c>
      <c r="H58">
        <v>296</v>
      </c>
      <c r="I58">
        <v>42.9</v>
      </c>
      <c r="J5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 Light Gray Nylon Crossbody Bag Unisex","refusal":null,"role":"assistant"}}],"created":1778142975,"id":"chatcmpl-DcoVL8VSyEizb5pPUgSK08Z5ENdpk","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16,"engine_ttft_ms":951,"engine_ttlt_ms":1164,"pre_inference_ms":171,"service_tbt_ms":17,"service_ttft_ms":1871,"service_ttlt_ms":2083,"total_duration_ms":1921,"user_visible_ttft_ms":1700},"prompt_tokens":882,"prompt_tokens_details":{"audio_tokens":0,"cached_tokens":0},"total_tokens":895}}</t>
        </is>
      </c>
      <c r="K58" t="inlineStr">
        <is>
          <t>Lululemon Light Gray Nylon Crossbody Bag Unisex</t>
        </is>
      </c>
      <c r="L5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Light Gray Urban Minimalist Crossbody Bag, made of water-resistant nylon, lightweight and durable. Features curved flap design with logo badge, unisex for daily commute or gym.","refusal":null,"role":"assistant"}}],"created":1778142012,"id":"chatcmpl-DcoFo1nq11NnlCRlEbTKPaMg3MBY1","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119,"engine_ttft_ms":1401,"engine_ttlt_ms":6148,"pre_inference_ms":132,"service_tbt_ms":119,"service_ttft_ms":1732,"service_ttlt_ms":6473,"total_duration_ms":6350,"user_visible_ttft_ms":1601},"prompt_tokens":920,"prompt_tokens_details":{"audio_tokens":0,"cached_tokens":0},"total_tokens":960}}</t>
        </is>
      </c>
      <c r="M58" t="inlineStr">
        <is>
          <t>{"alt-svc":"h3=\":443\"; ma=2592000","apim-request-id":"fcab1781-b529-4c93-9521-d05d674eff62","azureml-model-session":"d20260501041445-2c187743","connection":"close","content-length":"1653","content-type":"application/json","date":"Thu, 07 May 2026 08:20:18 GMT","skip-error-remapping":"true","strict-transport-security":"max-age=31536000; includeSubDomains; preload","via":"1.1 Caddy","x-accel-buffering":"no","x-content-type-options":"nosniff","x-ms-client-request-id":"Not-Set","x-ms-is-spilled-over":"false","x-ms-rai-invoked":"true","x-ms-region":"UK South","x-new-api-version":"v1.0.0-rc.4","x-oneapi-request-id":"202605070820114182556308268d9d6EarttDk1","x-ratelimit-abusepenalty-active":"False","x-ratelimit-key":"gpt-5-chat-global","x-ratelimit-limit-requests":"1000","x-ratelimit-limit-tokens":"1000000","x-ratelimit-remaining-requests":"999","x-ratelimit-remaining-tokens":"998318","x-ratelimit-renewalperiod-requests":"60","x-ratelimit-renewalperiod-tokens":"60","x-ratelimit-reset-requests":"0","x-ratelimit-reset-tokens":"0","x-request-id":"402776d5-249e-4f4d-aafe-c16aad73d62c","x-shellapi-request-id":"2026050716201136689359487227868"}</t>
        </is>
      </c>
      <c r="N58" t="inlineStr">
        <is>
          <t>Lululemon Light Gray Urban Minimalist Crossbody Bag, made of water-resistant nylon, lightweight and durable. Features curved flap design with logo badge, unisex for daily commute or gym.</t>
        </is>
      </c>
      <c r="O5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Accessories,kakobuy,kakebuy2026,kekobuysheet,kakobuysheet2026,2026kakobuy,kakobuyspreadsheeet,kakobuylink,kakebuylist,Kakobuy MEGA Spreadsheet,kakobuysheetfind,kakobuysheetfind2026,2026kakobuysheetfind,kakobuysheet2026","refusal":null,"role":"assistant"}}],"created":1778143304,"id":"chatcmpl-DcoaeOhCwQAJZmetSC1fsDX7ckRO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78,"engine_ttft_ms":943,"engine_ttlt_ms":7911,"pre_inference_ms":154,"service_tbt_ms":78,"service_ttft_ms":1539,"service_ttlt_ms":8506,"total_duration_ms":8361,"user_visible_ttft_ms":1385},"prompt_tokens":783,"prompt_tokens_details":{"audio_tokens":0,"cached_tokens":0},"total_tokens":872}}</t>
        </is>
      </c>
      <c r="P58" t="inlineStr">
        <is>
          <t>Lululemon,Accessories,kakobuy,kakebuy2026,kekobuysheet,kakobuysheet2026,2026kakobuy,kakobuyspreadsheeet,kakobuylink,kakebuylist,Kakobuy MEGA Spreadsheet,kakobuysheetfind,kakobuysheetfind2026,2026kakobuysheetfind,kakobuysheet2026</t>
        </is>
      </c>
      <c r="Q58" t="inlineStr">
        <is>
          <t>Minimalist, Nylon, Waterproof, Lightweight, Unisex</t>
        </is>
      </c>
      <c r="R58" t="inlineStr">
        <is>
          <t>recvhju1CrfIXq</t>
        </is>
      </c>
      <c r="S58" t="inlineStr">
        <is>
          <t>lululemon-light-gray-nylon-crossbody-recvhju1crfixq</t>
        </is>
      </c>
      <c r="T58"/>
      <c r="U58"/>
      <c r="V58"/>
      <c r="W58" t="inlineStr">
        <is>
          <t>{"id":"chatcmpl-Dcnu3aFB7GNw75bX1vonaGCqBVzCt","object":"chat.completion","created":1778140663,"model":"gpt-5-chat-latest","choices":[{"index":0,"message":{"role":"assistant","content":"Lululemon：浅灰色都市极简风斜挎包，选用防泼水尼龙面料，轻盈耐磨，弧形翻盖设计配合品牌标志徽章，体现优雅与实用并存。男女通用百搭款，适合日常通勤与健身出行，彰显现代休闲格调。","refusal":null,"annotations":[]},"logprobs":null,"finish_reason":"stop"}],"usage":{"prompt_tokens":1303,"completion_tokens":85,"total_tokens":1388,"prompt_tokens_details":{"cached_tokens":0,"audio_tokens":0},"completion_tokens_details":{"reasoning_tokens":0,"audio_tokens":0,"accepted_prediction_tokens":0,"rejected_prediction_tokens":0},"latency_checkpoint":{"service_ttft_ms":917,"user_visible_ttft_ms":760,"total_duration_ms":9788,"pre_inference_ms":157,"service_tbt_ms":106,"service_ttlt_ms":9935,"engine_ttft_ms":708,"engine_ttlt_ms":9725,"engine_tbt_ms":106}},"service_tier":"default","system_fingerprint":"fp_fd471178c5"}</t>
        </is>
      </c>
      <c r="X58" t="inlineStr">
        <is>
          <t>Lululemon：浅灰色都市极简风斜挎包，选用防泼水尼龙面料，轻盈耐磨，弧形翻盖设计配合品牌标志徽章，体现优雅与实用并存。男女通用百搭款，适合日常通勤与健身出行，彰显现代休闲格调。</t>
        </is>
      </c>
    </row>
    <row r="59" ht="25.5" customHeight="1">
      <c r="A59">
        <v>1654975475</v>
      </c>
      <c r="B59">
        <v>7623941675</v>
      </c>
      <c r="C59" s="2" t="str">
        <f>=HYPERLINK("https://weidian.com/item.html?itemID=7623941675", "https://weidian.com/item.html?itemID=7623941675")</f>
        <v>https://weidian.com/item.html?itemID=7623941675</v>
      </c>
      <c r="D59"/>
      <c r="E59" s="2" t="str">
        <f>=HYPERLINK("https://si.geilicdn.com/pcitem2014204438-71130000019ae496f3640a20e284_1440_1919.jpg?w=640&amp;h=640", "https://si.geilicdn.com/pcitem2014204438-71130000019ae496f3640a20e284_1440_1919.jpg?w=640&amp;h=640")</f>
        <v>https://si.geilicdn.com/pcitem2014204438-71130000019ae496f3640a20e284_1440_1919.jpg?w=640&amp;h=640</v>
      </c>
      <c r="F59" t="inlineStr">
        <is>
          <t>Accessories</t>
        </is>
      </c>
      <c r="G59" t="inlineStr">
        <is>
          <t>lululemon</t>
        </is>
      </c>
      <c r="H59">
        <v>300</v>
      </c>
      <c r="I59">
        <v>43.48</v>
      </c>
      <c r="J5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Black Waterproof Nylon Outdoor Sports Backpack","refusal":null,"role":"assistant"}}],"created":1778142896,"id":"chatcmpl-DcoU4MPwl7tSnBM33VDHjrcknTCz6","model":"gpt-5-chat-2025-10-03","object":"chat.completion","prompt_filter_results":[{"prompt_index":0,"content_filter_results":{"jailbreak":{"detected":false,"filtered":false}}}],"service_tier":"default","system_fingerprint":"fp_fd471178c5","usage":{"completion_tokens":11,"completion_tokens_details":{"accepted_prediction_tokens":0,"audio_tokens":0,"reasoning_tokens":0,"rejected_prediction_tokens":0},"latency_checkpoint":{"engine_tbt_ms":134,"engine_ttft_ms":1512,"engine_ttlt_ms":2981,"pre_inference_ms":161,"service_tbt_ms":134,"service_ttft_ms":2049,"service_ttlt_ms":3515,"total_duration_ms":3362,"user_visible_ttft_ms":1888},"prompt_tokens":874,"prompt_tokens_details":{"audio_tokens":0,"cached_tokens":0},"total_tokens":885}}</t>
        </is>
      </c>
      <c r="K59" t="inlineStr">
        <is>
          <t>Lululemon Black Waterproof Nylon Outdoor Sports Backpack</t>
        </is>
      </c>
      <c r="L5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Black Outdoor Sports Backpack, lightweight waterproof nylon design with adjustable straps and multi-pocket system, unisex for city adventures or hiking, showcasing modern minimalist athletic style.","refusal":null,"role":"assistant"}}],"created":1778142324,"id":"chatcmpl-DcoKqCP3fTNGCwqoVnTw2d2pnmVI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19,"engine_ttft_ms":1098,"engine_ttlt_ms":1768,"pre_inference_ms":166,"service_tbt_ms":19,"service_ttft_ms":1627,"service_ttlt_ms":2296,"total_duration_ms":2138,"user_visible_ttft_ms":1460},"prompt_tokens":898,"prompt_tokens_details":{"audio_tokens":0,"cached_tokens":0},"total_tokens":934}}</t>
        </is>
      </c>
      <c r="M59" t="inlineStr">
        <is>
          <t>{"alt-svc":"h3=\":443\"; ma=2592000","apim-request-id":"465d5a19-4593-46fe-ae04-f82a2f767ac2","azureml-model-session":"d20260428165144-a78ba574","connection":"close","content-length":"1672","content-type":"application/json","date":"Thu, 07 May 2026 08:25:27 GMT","skip-error-remapping":"true","strict-transport-security":"max-age=31536000; includeSubDomains; preload","via":"1.1 Caddy","x-accel-buffering":"no","x-content-type-options":"nosniff","x-ms-client-request-id":"Not-Set","x-ms-is-spilled-over":"false","x-ms-rai-invoked":"true","x-ms-region":"Australia East","x-new-api-version":"v1.0.0-rc.4","x-oneapi-request-id":"202605070825234465748928268d9d6Fgu62iCf","x-ratelimit-abusepenalty-active":"False","x-ratelimit-key":"gpt-5-chat-global","x-ratelimit-limit-requests":"1000","x-ratelimit-limit-tokens":"1000000","x-ratelimit-remaining-requests":"999","x-ratelimit-remaining-tokens":"998340","x-ratelimit-renewalperiod-requests":"60","x-ratelimit-renewalperiod-tokens":"60","x-ratelimit-reset-requests":"0","x-ratelimit-reset-tokens":"0","x-request-id":"6219df70-6de8-4a0c-b5d7-22ce913c83a5","x-shellapi-request-id":"2026050716252339318582766893718"}</t>
        </is>
      </c>
      <c r="N59" t="inlineStr">
        <is>
          <t>Lululemon Black Outdoor Sports Backpack, lightweight waterproof nylon design with adjustable straps and multi-pocket system, unisex for city adventures or hiking, showcasing modern minimalist athletic style.</t>
        </is>
      </c>
      <c r="O5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backpack,kakobuy,kakebuy2026,kekobuysheet,kakobuysheet2026,2026kakobuy,kakobuyspreadsheeet,kakobuylink,kakebuylist,Kakobuy MEGA Spreadsheet,kakobuysheetfind,kakobuysheetfind2026,2026kakobuysheetfind,kakobuysheet2026","refusal":null,"role":"assistant"}}],"created":1778143686,"id":"chatcmpl-Dcogo2oj5wxD3PkfxnMh0E5YobF6q","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22,"engine_ttft_ms":988,"engine_ttlt_ms":2954,"pre_inference_ms":177,"service_tbt_ms":22,"service_ttft_ms":1901,"service_ttlt_ms":3867,"total_duration_ms":3698,"user_visible_ttft_ms":1724},"prompt_tokens":783,"prompt_tokens_details":{"audio_tokens":0,"cached_tokens":0},"total_tokens":872}}</t>
        </is>
      </c>
      <c r="P59" t="inlineStr">
        <is>
          <t>lululemon,backpack,kakobuy,kakebuy2026,kekobuysheet,kakobuysheet2026,2026kakobuy,kakobuyspreadsheeet,kakobuylink,kakebuylist,Kakobuy MEGA Spreadsheet,kakobuysheetfind,kakobuysheetfind2026,2026kakobuysheetfind,kakobuysheet2026</t>
        </is>
      </c>
      <c r="Q59" t="inlineStr">
        <is>
          <t>Backpack, Black, Outdoor, Unisex, Lightweight, Waterproof</t>
        </is>
      </c>
      <c r="R59" t="inlineStr">
        <is>
          <t>recvhju1Crqy3t</t>
        </is>
      </c>
      <c r="S59" t="inlineStr">
        <is>
          <t>lululemon-black-waterproof-nylon-outdoor-sports-backpack-recvhju1crqy3t</t>
        </is>
      </c>
      <c r="T59"/>
      <c r="U59"/>
      <c r="V59"/>
      <c r="W59" t="inlineStr">
        <is>
          <t>{"id":"chatcmpl-DcnrgA80meSOSUPCrzwQmGJbM7wVk","object":"chat.completion","created":1778140516,"model":"gpt-5-chat-latest","choices":[{"index":0,"message":{"role":"assistant","content":"Lululemon黑色户外运动背包，轻盈防水尼龙材质，简约流线设计，配可调节肩带与多功能收纳系统，男女通用款，都市休闲与徒步旅行皆宜，彰显现代极简运动美学。","refusal":null,"annotations":[]},"logprobs":null,"finish_reason":"stop"}],"usage":{"prompt_tokens":1299,"completion_tokens":65,"total_tokens":1364,"prompt_tokens_details":{"cached_tokens":0,"audio_tokens":0},"completion_tokens_details":{"reasoning_tokens":0,"audio_tokens":0,"accepted_prediction_tokens":0,"rejected_prediction_tokens":0},"latency_checkpoint":{"service_ttft_ms":792,"user_visible_ttft_ms":632,"total_duration_ms":2399,"pre_inference_ms":160,"service_tbt_ms":27,"service_ttlt_ms":2551,"engine_ttft_ms":496,"engine_ttlt_ms":2256,"engine_tbt_ms":27}},"service_tier":"default","system_fingerprint":"fp_fd471178c5"}</t>
        </is>
      </c>
      <c r="X59" t="inlineStr">
        <is>
          <t>Lululemon黑色户外运动背包，轻盈防水尼龙材质，简约流线设计，配可调节肩带与多功能收纳系统，男女通用款，都市休闲与徒步旅行皆宜，彰显现代极简运动美学。</t>
        </is>
      </c>
    </row>
    <row r="60" ht="25.5" customHeight="1">
      <c r="A60">
        <v>1654975475</v>
      </c>
      <c r="B60">
        <v>7627592014</v>
      </c>
      <c r="C60" s="2" t="str">
        <f>=HYPERLINK("https://weidian.com/item.html?itemID=7627592014", "https://weidian.com/item.html?itemID=7627592014")</f>
        <v>https://weidian.com/item.html?itemID=7627592014</v>
      </c>
      <c r="D60"/>
      <c r="E60" s="2" t="str">
        <f>=HYPERLINK("https://si.geilicdn.com/pcitem2014204438-1d600000019ae7e5d97f0a20e284_1080_1080.jpg?w=640&amp;h=640", "https://si.geilicdn.com/pcitem2014204438-1d600000019ae7e5d97f0a20e284_1080_1080.jpg?w=640&amp;h=640")</f>
        <v>https://si.geilicdn.com/pcitem2014204438-1d600000019ae7e5d97f0a20e284_1080_1080.jpg?w=640&amp;h=640</v>
      </c>
      <c r="F60" t="inlineStr">
        <is>
          <t>Socks &amp; Hosiery</t>
        </is>
      </c>
      <c r="G60" t="inlineStr">
        <is>
          <t>Dior</t>
        </is>
      </c>
      <c r="H60">
        <v>120</v>
      </c>
      <c r="I60">
        <v>17.39</v>
      </c>
      <c r="J6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Classic Black White Mid-Calf Cotton Socks","refusal":null,"role":"assistant"}}],"created":1778143115,"id":"chatcmpl-DcoXbVAVm8EETsrLuboiH6wSvIBM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15,"engine_ttft_ms":1021,"engine_ttlt_ms":1185,"pre_inference_ms":196,"service_tbt_ms":16,"service_ttft_ms":2067,"service_ttlt_ms":2231,"total_duration_ms":2043,"user_visible_ttft_ms":1871},"prompt_tokens":887,"prompt_tokens_details":{"audio_tokens":0,"cached_tokens":0},"total_tokens":898}}</t>
        </is>
      </c>
      <c r="K60" t="inlineStr">
        <is>
          <t>Dior Classic Black White Mid-Calf Cotton Socks</t>
        </is>
      </c>
      <c r="L6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Classic Black &amp; White Mid-Calf Socks, crafted from soft elastic cotton blend, breathable and stylish with ribbed cuffs, signature Dior logo embroidery, unisex luxury essential for modern French elegance.","refusal":null,"role":"assistant"}}],"created":1778142298,"id":"chatcmpl-DcoKQ7WCHcRaYUQ4PpxD0Y8XOfcY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68,"engine_ttft_ms":1340,"engine_ttlt_ms":4147,"pre_inference_ms":141,"service_tbt_ms":69,"service_ttft_ms":1834,"service_ttlt_ms":4639,"total_duration_ms":4523,"user_visible_ttft_ms":1692},"prompt_tokens":921,"prompt_tokens_details":{"audio_tokens":0,"cached_tokens":0},"total_tokens":962}}</t>
        </is>
      </c>
      <c r="M60" t="inlineStr">
        <is>
          <t>{"alt-svc":"h3=\":443\"; ma=2592000","apim-request-id":"4f56af6e-a70d-46a5-a27a-19427d7ed3f3","azureml-model-session":"d20260501041445-2c187743","connection":"close","content-length":"1678","content-type":"application/json","date":"Thu, 07 May 2026 08:25:02 GMT","server":"Caddy","skip-error-remapping":"true","strict-transport-security":"max-age=31536000; includeSubDomains; preload","x-accel-buffering":"no","x-content-type-options":"nosniff","x-ms-client-request-id":"Not-Set","x-ms-is-spilled-over":"false","x-ms-rai-invoked":"true","x-ms-region":"Japan East","x-new-api-version":"v1.0.0-rc.4","x-oneapi-request-id":"202605070824571798239768268d9d6GMaOoXGm","x-ratelimit-abusepenalty-active":"False","x-ratelimit-key":"gpt-5-chat-global","x-ratelimit-limit-requests":"1000","x-ratelimit-limit-tokens":"1000000","x-ratelimit-remaining-requests":"999","x-ratelimit-remaining-tokens":"998317","x-ratelimit-renewalperiod-requests":"60","x-ratelimit-renewalperiod-tokens":"60","x-ratelimit-reset-requests":"0","x-ratelimit-reset-tokens":"0","x-request-id":"2c0b2300-77c4-46ca-942e-01ed2d88297c","x-shellapi-request-id":"2026050716245695318477457621540"}</t>
        </is>
      </c>
      <c r="N60" t="inlineStr">
        <is>
          <t>Dior Classic Black &amp; White Mid-Calf Socks, crafted from soft elastic cotton blend, breathable and stylish with ribbed cuffs, signature Dior logo embroidery, unisex luxury essential for modern French elegance.</t>
        </is>
      </c>
      <c r="O6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Socks &amp; Hosiery, kakobuy, kakebuy2026, kekobuysheet, kakobuysheet2026, 2026kakobuy, kakobuyspreadsheeet, kakobuylink, kakebuylist, Kakobuy MEGA Spreadsheet, kakobuysheetfind, kakobuysheetfind2026, 2026kakobuysheetfind, kakobuysheet2026","refusal":null,"role":"assistant"}}],"created":1778143549,"id":"chatcmpl-DcoebiuQ3IxGKIhYO7nc4cAuQX8g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94,"engine_ttft_ms":516,"engine_ttlt_ms":9346,"pre_inference_ms":165,"service_tbt_ms":94,"service_ttft_ms":741,"service_ttlt_ms":9570,"total_duration_ms":9414,"user_visible_ttft_ms":576},"prompt_tokens":786,"prompt_tokens_details":{"audio_tokens":0,"cached_tokens":0},"total_tokens":880}}</t>
        </is>
      </c>
      <c r="P60" t="inlineStr">
        <is>
          <t>Dior, Socks &amp; Hosiery, kakobuy, kakebuy2026, kekobuysheet, kakobuysheet2026, 2026kakobuy, kakobuyspreadsheeet, kakobuylink, kakebuylist, Kakobuy MEGA Spreadsheet, kakobuysheetfind, kakobuysheetfind2026, 2026kakobuysheetfind, kakobuysheet2026</t>
        </is>
      </c>
      <c r="Q60" t="inlineStr">
        <is>
          <t>Dior, Black, White, Unisex, Elastic, Breathable</t>
        </is>
      </c>
      <c r="R60" t="inlineStr">
        <is>
          <t>recvhju1CrBGdi</t>
        </is>
      </c>
      <c r="S60" t="inlineStr">
        <is>
          <t>dior-black-white-mid-calf-cotton-socks-recvhju1crbgdi</t>
        </is>
      </c>
      <c r="T60"/>
      <c r="U60"/>
      <c r="V60"/>
      <c r="W60" t="inlineStr">
        <is>
          <t>{"id":"chatcmpl-DcnpopdD81PolN82TDrEdBkrlXtb8","object":"chat.completion","created":1778140400,"model":"gpt-5-chat-latest","choices":[{"index":0,"message":{"role":"assistant","content":"Dior：黑白经典中筒袜，采用高弹棉质混纺面料，透气舒适，罗纹织口设计稳固贴合，饰以标志性Dior Logo刺绣，极简摩登风格，男女皆宜，轻奢日常穿搭首选，展现法式优雅格调。","refusal":null,"annotations":[]},"logprobs":null,"finish_reason":"stop"}],"usage":{"prompt_tokens":1309,"completion_tokens":81,"total_tokens":1390,"prompt_tokens_details":{"cached_tokens":0,"audio_tokens":0},"completion_tokens_details":{"reasoning_tokens":0,"audio_tokens":0,"accepted_prediction_tokens":0,"rejected_prediction_tokens":0},"latency_checkpoint":{"service_ttft_ms":1422,"user_visible_ttft_ms":1249,"total_duration_ms":11560,"pre_inference_ms":173,"service_tbt_ms":127,"service_ttlt_ms":11726,"engine_ttft_ms":1006,"engine_ttlt_ms":11308,"engine_tbt_ms":127}},"service_tier":"default","system_fingerprint":"fp_fd471178c5"}</t>
        </is>
      </c>
      <c r="X60" t="inlineStr">
        <is>
          <t>Dior：黑白经典中筒袜，采用高弹棉质混纺面料，透气舒适，罗纹织口设计稳固贴合，饰以标志性Dior Logo刺绣，极简摩登风格，男女皆宜，轻奢日常穿搭首选，展现法式优雅格调。</t>
        </is>
      </c>
    </row>
    <row r="61" ht="25.5" customHeight="1">
      <c r="A61">
        <v>1654975475</v>
      </c>
      <c r="B61">
        <v>7627300184</v>
      </c>
      <c r="C61" s="2" t="str">
        <f>=HYPERLINK("https://weidian.com/item.html?itemID=7627300184", "https://weidian.com/item.html?itemID=7627300184")</f>
        <v>https://weidian.com/item.html?itemID=7627300184</v>
      </c>
      <c r="D61"/>
      <c r="E61" s="2" t="str">
        <f>=HYPERLINK("https://si.geilicdn.com/pcitem2014204438-11a80000019ae7d3511c0a20e672_1536_1940.jpg?w=640&amp;h=640", "https://si.geilicdn.com/pcitem2014204438-11a80000019ae7d3511c0a20e672_1536_1940.jpg?w=640&amp;h=640")</f>
        <v>https://si.geilicdn.com/pcitem2014204438-11a80000019ae7d3511c0a20e672_1536_1940.jpg?w=640&amp;h=640</v>
      </c>
      <c r="F61" t="inlineStr">
        <is>
          <t>Socks &amp; Hosiery</t>
        </is>
      </c>
      <c r="G61" t="inlineStr">
        <is>
          <t>Nike</t>
        </is>
      </c>
      <c r="H61">
        <v>120</v>
      </c>
      <c r="I61">
        <v>17.39</v>
      </c>
      <c r="J6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Nike Off-White Multicolor Cotton Logo Sports Socks","refusal":null,"role":"assistant"}}],"created":1778142912,"id":"chatcmpl-DcoUK9S2un6QEDR9hxVBizDcgc8m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109,"engine_ttft_ms":389,"engine_ttlt_ms":1589,"pre_inference_ms":154,"service_tbt_ms":110,"service_ttft_ms":639,"service_ttlt_ms":1838,"total_duration_ms":1697,"user_visible_ttft_ms":485},"prompt_tokens":884,"prompt_tokens_details":{"audio_tokens":0,"cached_tokens":0},"total_tokens":895}}</t>
        </is>
      </c>
      <c r="K61" t="inlineStr">
        <is>
          <t>Nike Off-White Multicolor Cotton Logo Sports Socks</t>
        </is>
      </c>
      <c r="L6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Nike Off-White Multicolor Logo Cotton Socks—soft, breathable, unisex, comfy for sports or daily wear. Minimalist style with contrast Swoosh embroidery for a trendy athletic look.","refusal":null,"role":"assistant"}}],"created":1778142330,"id":"chatcmpl-DcoKw1UraiFJu6y5MgnCgcIrLRtH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81,"engine_ttft_ms":903,"engine_ttlt_ms":4137,"pre_inference_ms":143,"service_tbt_ms":81,"service_ttft_ms":1288,"service_ttlt_ms":4521,"total_duration_ms":4389,"user_visible_ttft_ms":1145},"prompt_tokens":917,"prompt_tokens_details":{"audio_tokens":0,"cached_tokens":0},"total_tokens":957}}</t>
        </is>
      </c>
      <c r="M61" t="inlineStr">
        <is>
          <t>{"alt-svc":"h3=\":443\"; ma=2592000","apim-request-id":"5da124a2-eaa6-414a-9b6c-44f88f569338","azureml-model-session":"d20260501041445-2c187743","connection":"close","content-length":"1644","content-type":"application/json","date":"Thu, 07 May 2026 08:25:34 GMT","skip-error-remapping":"true","strict-transport-security":"max-age=31536000; includeSubDomains; preload","via":"1.1 Caddy","x-accel-buffering":"no","x-content-type-options":"nosniff","x-ms-client-request-id":"Not-Set","x-ms-is-spilled-over":"false","x-ms-rai-invoked":"true","x-ms-region":"Switzerland North","x-new-api-version":"v1.0.0-rc.4","x-oneapi-request-id":"202605070825295693871178268d9d6EsP5YksD","x-ratelimit-abusepenalty-active":"False","x-ratelimit-key":"gpt-5-chat-global","x-ratelimit-limit-requests":"1000","x-ratelimit-limit-tokens":"1000000","x-ratelimit-remaining-requests":"999","x-ratelimit-remaining-tokens":"998321","x-ratelimit-renewalperiod-requests":"60","x-ratelimit-renewalperiod-tokens":"60","x-ratelimit-reset-requests":"0","x-ratelimit-reset-tokens":"0","x-request-id":"25856231-f2d7-46b1-a6b0-bb26e6c7fe33","x-shellapi-request-id":"2026050716252950760614930971056"}</t>
        </is>
      </c>
      <c r="N61" t="inlineStr">
        <is>
          <t>Nike Off-White Multicolor Logo Cotton Socks—soft, breathable, unisex, comfy for sports or daily wear. Minimalist style with contrast Swoosh embroidery for a trendy athletic look.</t>
        </is>
      </c>
      <c r="O6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Nike, Socks &amp; Hosiery, kakobuy, kakebuy2026, kekobuysheet, kakobuysheet2026, 2026kakobuy, kakobuyspreadsheeet, kakobuylink, kakebuylist, Kakobuy MEGA Spreadsheet, kakobuysheetfind, kakobuysheetfind2026, 2026kakobuysheetfind, kakobuysheet2026","refusal":null,"role":"assistant"}}],"created":1778143631,"id":"chatcmpl-DcofvnVxm9Ym5bcleLBUX5xkIYyw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93,"completion_tokens_details":{"accepted_prediction_tokens":0,"audio_tokens":0,"reasoning_tokens":0,"rejected_prediction_tokens":0},"latency_checkpoint":{"engine_tbt_ms":23,"engine_ttft_ms":867,"engine_ttlt_ms":3048,"pre_inference_ms":111,"service_tbt_ms":23,"service_ttft_ms":1350,"service_ttlt_ms":3483,"total_duration_ms":3378,"user_visible_ttft_ms":1239},"prompt_tokens":785,"prompt_tokens_details":{"audio_tokens":0,"cached_tokens":0},"total_tokens":878}}</t>
        </is>
      </c>
      <c r="P61" t="inlineStr">
        <is>
          <t>Nike, Socks &amp; Hosiery, kakobuy, kakebuy2026, kekobuysheet, kakobuysheet2026, 2026kakobuy, kakobuyspreadsheeet, kakobuylink, kakebuylist, Kakobuy MEGA Spreadsheet, kakobuysheetfind, kakobuysheetfind2026, 2026kakobuysheetfind, kakobuysheet2026</t>
        </is>
      </c>
      <c r="Q61" t="inlineStr">
        <is>
          <t>Nike, Off-White, Unisex, Minimalist, Athletic</t>
        </is>
      </c>
      <c r="R61" t="inlineStr">
        <is>
          <t>recvhju1CrddyW</t>
        </is>
      </c>
      <c r="S61" t="inlineStr">
        <is>
          <t>nike-off-white-multicolor-cotton-logo-sports-socks-recvhju1crddyw</t>
        </is>
      </c>
      <c r="T61"/>
      <c r="U61"/>
      <c r="V61"/>
      <c r="W61" t="inlineStr">
        <is>
          <t>{"id":"chatcmpl-Dcnv2ImyuRL6hMOezJROUAuihHwcE","object":"chat.completion","created":1778140724,"model":"gpt-5-chat-latest","choices":[{"index":0,"message":{"role":"assistant","content":"Nike：米白色多彩Logo短袜，采用柔软混纺棉质面料，透气舒适，简约休闲设计结合撞色Swoosh刺绣，展现轻潮运动风格，男女皆宜，适合日常穿搭与健身运动场景，彰显品牌典型活力美学。","refusal":null,"annotations":[]},"logprobs":null,"finish_reason":"stop"}],"usage":{"prompt_tokens":1305,"completion_tokens":79,"total_tokens":1384,"prompt_tokens_details":{"cached_tokens":0,"audio_tokens":0},"completion_tokens_details":{"reasoning_tokens":0,"audio_tokens":0,"accepted_prediction_tokens":0,"rejected_prediction_tokens":0},"latency_checkpoint":{"service_ttft_ms":784,"user_visible_ttft_ms":611,"total_duration_ms":16365,"pre_inference_ms":173,"service_tbt_ms":199,"service_ttlt_ms":16529,"engine_ttft_ms":549,"engine_ttlt_ms":16295,"engine_tbt_ms":199}},"service_tier":"default","system_fingerprint":"fp_fd471178c5"}</t>
        </is>
      </c>
      <c r="X61" t="inlineStr">
        <is>
          <t>Nike：米白色多彩Logo短袜，采用柔软混纺棉质面料，透气舒适，简约休闲设计结合撞色Swoosh刺绣，展现轻潮运动风格，男女皆宜，适合日常穿搭与健身运动场景，彰显品牌典型活力美学。</t>
        </is>
      </c>
    </row>
    <row r="62" ht="25.5" customHeight="1">
      <c r="A62">
        <v>1654975475</v>
      </c>
      <c r="B62">
        <v>7627430682</v>
      </c>
      <c r="C62" s="2" t="str">
        <f>=HYPERLINK("https://weidian.com/item.html?itemID=7627430682", "https://weidian.com/item.html?itemID=7627430682")</f>
        <v>https://weidian.com/item.html?itemID=7627430682</v>
      </c>
      <c r="D62"/>
      <c r="E62" s="2" t="str">
        <f>=HYPERLINK("https://si.geilicdn.com/pcitem2014204438-6bbe0000019ae7c213560a20e2c5_2721_3407.jpg?w=640&amp;h=640", "https://si.geilicdn.com/pcitem2014204438-6bbe0000019ae7c213560a20e2c5_2721_3407.jpg?w=640&amp;h=640")</f>
        <v>https://si.geilicdn.com/pcitem2014204438-6bbe0000019ae7c213560a20e2c5_2721_3407.jpg?w=640&amp;h=640</v>
      </c>
      <c r="F62" t="inlineStr">
        <is>
          <t>Socks &amp; Hosiery</t>
        </is>
      </c>
      <c r="G62" t="inlineStr">
        <is>
          <t>Alo</t>
        </is>
      </c>
      <c r="H62">
        <v>136</v>
      </c>
      <c r="I62">
        <v>19.71</v>
      </c>
      <c r="J6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Classic White Cotton Sports Socks for Men Women","refusal":null,"role":"assistant"}}],"created":1778142870,"id":"chatcmpl-DcoTe3CpqdAfU2W5k4GeoWGGrqSq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60,"engine_ttft_ms":344,"engine_ttlt_ms":1001,"pre_inference_ms":117,"service_tbt_ms":60,"service_ttft_ms":510,"service_ttlt_ms":1166,"total_duration_ms":1057,"user_visible_ttft_ms":393},"prompt_tokens":879,"prompt_tokens_details":{"audio_tokens":0,"cached_tokens":0},"total_tokens":890}}</t>
        </is>
      </c>
      <c r="K62" t="inlineStr">
        <is>
          <t>Alo Classic White Cotton Sports Socks for Men Women</t>
        </is>
      </c>
      <c r="L6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Classic White Sports Socks—soft breathable cotton blend with minimalist stripe design and logo, snug fit for men and women, perfect for casual wear or workouts, modern athletic style.","refusal":null,"role":"assistant"}}],"created":1778142108,"id":"chatcmpl-DcoHMvLZ1nnkPuaejs3I6b2UCdOS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19,"engine_ttft_ms":892,"engine_ttlt_ms":1606,"pre_inference_ms":136,"service_tbt_ms":20,"service_ttft_ms":1396,"service_ttlt_ms":2114,"total_duration_ms":1985,"user_visible_ttft_ms":1261},"prompt_tokens":903,"prompt_tokens_details":{"audio_tokens":0,"cached_tokens":0},"total_tokens":940}}</t>
        </is>
      </c>
      <c r="M62" t="inlineStr">
        <is>
          <t>{"alt-svc":"h3=\":443\"; ma=2592000","apim-request-id":"b0653ad6-c9c5-44d8-a8f1-65d1ce5700a3","azureml-model-session":"d20260428165144-a78ba574","connection":"close","content-length":"1653","content-type":"application/json","date":"Thu, 07 May 2026 08:21:49 GMT","skip-error-remapping":"true","strict-transport-security":"max-age=31536000; includeSubDomains; preload","via":"1.1 Caddy","x-accel-buffering":"no","x-content-type-options":"nosniff","x-ms-client-request-id":"Not-Set","x-ms-is-spilled-over":"false","x-ms-rai-invoked":"true","x-ms-region":"Australia East","x-new-api-version":"v1.0.0-rc.4","x-oneapi-request-id":"202605070821464257242178268d9d64d8fcxVe","x-ratelimit-abusepenalty-active":"False","x-ratelimit-key":"gpt-5-chat-global","x-ratelimit-limit-requests":"1000","x-ratelimit-limit-tokens":"1000000","x-ratelimit-remaining-requests":"999","x-ratelimit-remaining-tokens":"998335","x-ratelimit-renewalperiod-requests":"60","x-ratelimit-renewalperiod-tokens":"60","x-ratelimit-reset-requests":"0","x-ratelimit-reset-tokens":"0","x-request-id":"a66b2352-570b-4dfc-9ac2-2699cb3ea32f","x-shellapi-request-id":"2026050716214637356723616034707"}</t>
        </is>
      </c>
      <c r="N62" t="inlineStr">
        <is>
          <t>Alo Classic White Sports Socks—soft breathable cotton blend with minimalist stripe design and logo, snug fit for men and women, perfect for casual wear or workouts, modern athletic style.</t>
        </is>
      </c>
      <c r="O6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Socks &amp; Hosiery, kakobuy, kakebuy2026, kekobuysheet, kakobuysheet2026, 2026kakobuy, kakobuyspreadsheeet, kakobuylink, kakebuylist, Kakobuy MEGA Spreadsheet, kakobuysheetfind, kakobuysheetfind2026, 2026kakobuysheetfind, kakobuysheet2026","refusal":null,"role":"assistant"}}],"created":1778143308,"id":"chatcmpl-Dcoai22zu5eOirhw2GA2Ae15JoVy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20,"engine_ttft_ms":857,"engine_ttlt_ms":2765,"pre_inference_ms":118,"service_tbt_ms":21,"service_ttft_ms":1297,"service_ttlt_ms":3215,"total_duration_ms":3135,"user_visible_ttft_ms":1180},"prompt_tokens":786,"prompt_tokens_details":{"audio_tokens":0,"cached_tokens":0},"total_tokens":880}}</t>
        </is>
      </c>
      <c r="P62" t="inlineStr">
        <is>
          <t>Alo, Socks &amp; Hosiery, kakobuy, kakebuy2026, kekobuysheet, kakobuysheet2026, 2026kakobuy, kakobuyspreadsheeet, kakobuylink, kakebuylist, Kakobuy MEGA Spreadsheet, kakobuysheetfind, kakobuysheetfind2026, 2026kakobuysheetfind, kakobuysheet2026</t>
        </is>
      </c>
      <c r="Q62" t="inlineStr">
        <is>
          <t>White, Minimalist, Athletic, Breathable, Men's And Women's</t>
        </is>
      </c>
      <c r="R62" t="inlineStr">
        <is>
          <t>recvhju1CrpIcl</t>
        </is>
      </c>
      <c r="S62" t="inlineStr">
        <is>
          <t>alo-classic-white-cotton-sports-socks-recvhju1crpic</t>
        </is>
      </c>
      <c r="T62"/>
      <c r="U62"/>
      <c r="V62"/>
      <c r="W62" t="inlineStr">
        <is>
          <t>{"id":"chatcmpl-DcnwPmYzZGLk1rfOmQH3oI4BtfDjJ","object":"chat.completion","created":1778140809,"model":"gpt-5-chat-latest","choices":[{"index":0,"message":{"role":"assistant","content":"Alo：经典白色运动短袜，采用柔软透气棉混纺材质，简约条纹设计与品牌标识结合，舒适贴合脚型，适合男女日常休闲与健身穿搭，展现极简现代运动风格。","refusal":null,"annotations":[]},"logprobs":null,"finish_reason":"stop"}],"usage":{"prompt_tokens":1307,"completion_tokens":64,"total_tokens":1371,"prompt_tokens_details":{"cached_tokens":1280,"audio_tokens":0},"completion_tokens_details":{"reasoning_tokens":0,"audio_tokens":0,"accepted_prediction_tokens":0,"rejected_prediction_tokens":0},"latency_checkpoint":{"service_ttft_ms":610,"user_visible_ttft_ms":477,"total_duration_ms":1792,"pre_inference_ms":133,"service_tbt_ms":21,"service_ttlt_ms":1917,"engine_ttft_ms":336,"engine_ttlt_ms":1644,"engine_tbt_ms":20}},"service_tier":"default","system_fingerprint":"fp_fd471178c5"}</t>
        </is>
      </c>
      <c r="X62" t="inlineStr">
        <is>
          <t>Alo：经典白色运动短袜，采用柔软透气棉混纺材质，简约条纹设计与品牌标识结合，舒适贴合脚型，适合男女日常休闲与健身穿搭，展现极简现代运动风格。</t>
        </is>
      </c>
    </row>
    <row r="63" ht="25.5" customHeight="1">
      <c r="A63">
        <v>1654975475</v>
      </c>
      <c r="B63">
        <v>7624426159</v>
      </c>
      <c r="C63" s="2" t="str">
        <f>=HYPERLINK("https://weidian.com/item.html?itemID=7624426159", "https://weidian.com/item.html?itemID=7624426159")</f>
        <v>https://weidian.com/item.html?itemID=7624426159</v>
      </c>
      <c r="D63"/>
      <c r="E63" s="2" t="str">
        <f>=HYPERLINK("https://si.geilicdn.com/pcitem2014204438-10560000019ae7b74bf50a207569_1080_1080.jpg?w=640&amp;h=640", "https://si.geilicdn.com/pcitem2014204438-10560000019ae7b74bf50a207569_1080_1080.jpg?w=640&amp;h=640")</f>
        <v>https://si.geilicdn.com/pcitem2014204438-10560000019ae7b74bf50a207569_1080_1080.jpg?w=640&amp;h=640</v>
      </c>
      <c r="F63" t="inlineStr">
        <is>
          <t>Socks &amp; Hosiery</t>
        </is>
      </c>
      <c r="G63" t="inlineStr">
        <is>
          <t>Alo</t>
        </is>
      </c>
      <c r="H63">
        <v>120</v>
      </c>
      <c r="I63">
        <v>17.39</v>
      </c>
      <c r="J6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Black White Contrast Cotton Crew Sports Socks","refusal":null,"role":"assistant"}}],"created":1778142966,"id":"chatcmpl-DcoVCIv8D2E45IMpm2D4TtRLVLes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93,"engine_ttft_ms":608,"engine_ttlt_ms":1535,"pre_inference_ms":155,"service_tbt_ms":94,"service_ttft_ms":1196,"service_ttlt_ms":2127,"total_duration_ms":1981,"user_visible_ttft_ms":1041},"prompt_tokens":883,"prompt_tokens_details":{"audio_tokens":0,"cached_tokens":0},"total_tokens":893}}</t>
        </is>
      </c>
      <c r="K63" t="inlineStr">
        <is>
          <t>Alo Black White Contrast Cotton Crew Sports Socks</t>
        </is>
      </c>
      <c r="L63"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filtered"}},"content_filter_results":{"protected_material_code":{"detected":false,"filtered":false},"protected_material_text":{"detected":false,"filtered":false}},"finish_reason":"stop","index":0,"logprobs":null,"message":{"annotations":[],"content":"Alo Black &amp; White Contrast Crew Sports Socks made from soft stretch cotton for breathability and comfort. Minimal logo style embodies Alo’s classic yoga aesthetic. Unisex for daily wear and workouts.","refusal":null,"role":"assistant"}}],"created":1778142120,"id":"chatcmpl-DcoHYRMURvXbsT9ATKunK54YCBiA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21,"engine_ttft_ms":726,"engine_ttlt_ms":1530,"pre_inference_ms":178,"service_tbt_ms":21,"service_ttft_ms":1200,"service_ttlt_ms":2003,"total_duration_ms":1832,"user_visible_ttft_ms":1022},"prompt_tokens":905,"prompt_tokens_details":{"audio_tokens":0,"cached_tokens":0},"total_tokens":944}}</t>
        </is>
      </c>
      <c r="M63" t="inlineStr">
        <is>
          <t>{"alt-svc":"h3=\":443\"; ma=2592000","apim-request-id":"67634d58-6410-4159-9632-d88c32dce332","azureml-model-session":"d20260429094557-48622491","connection":"close","content-length":"1591","content-type":"application/json","date":"Thu, 07 May 2026 08:22:02 GMT","skip-error-remapping":"true","strict-transport-security":"max-age=31536000; includeSubDomains; preload","via":"1.1 Caddy","x-accel-buffering":"no","x-content-type-options":"nosniff","x-ms-client-request-id":"Not-Set","x-ms-is-spilled-over":"false","x-ms-rai-invoked":"true","x-ms-region":"Japan East","x-new-api-version":"v1.0.0-rc.4","x-oneapi-request-id":"202605070821593047723768268d9d6ZjX7ZFcT","x-ratelimit-abusepenalty-active":"False","x-ratelimit-key":"gpt-5-chat-global","x-ratelimit-limit-requests":"1000","x-ratelimit-limit-tokens":"1000000","x-ratelimit-remaining-requests":"999","x-ratelimit-remaining-tokens":"998333","x-ratelimit-renewalperiod-requests":"60","x-ratelimit-renewalperiod-tokens":"60","x-ratelimit-reset-requests":"0","x-ratelimit-reset-tokens":"0","x-request-id":"d9281c30-d392-4d1c-85ed-6072a4912849","x-shellapi-request-id":"2026050716215925322591858236976"}</t>
        </is>
      </c>
      <c r="N63" t="inlineStr">
        <is>
          <t>Alo Black &amp; White Contrast Crew Sports Socks made from soft stretch cotton for breathability and comfort. Minimal logo style embodies Alo’s classic yoga aesthetic. Unisex for daily wear and workouts.</t>
        </is>
      </c>
      <c r="O6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Socks &amp; Hosiery, kakobuy, kakebuy2026, kekobuysheet, kakobuysheet2026, 2026kakobuy, kakobuyspreadsheeet, kakobuylink, kakebuylist, Kakobuy MEGA Spreadsheet, kakobuysheetfind, kakobuysheetfind2026, 2026kakobuysheetfind, kakobuysheet2026","refusal":null,"role":"assistant"}}],"created":1778143453,"id":"chatcmpl-Dcod3MMnRnjjOAbCFPPbN7TZ29oN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23,"engine_ttft_ms":341,"engine_ttlt_ms":2533,"pre_inference_ms":285,"service_tbt_ms":23,"service_ttft_ms":779,"service_ttlt_ms":2970,"total_duration_ms":2693,"user_visible_ttft_ms":494},"prompt_tokens":786,"prompt_tokens_details":{"audio_tokens":0,"cached_tokens":0},"total_tokens":880}}</t>
        </is>
      </c>
      <c r="P63" t="inlineStr">
        <is>
          <t>Alo, Socks &amp; Hosiery, kakobuy, kakebuy2026, kekobuysheet, kakobuysheet2026, 2026kakobuy, kakobuyspreadsheeet, kakobuylink, kakebuylist, Kakobuy MEGA Spreadsheet, kakobuysheetfind, kakobuysheetfind2026, 2026kakobuysheetfind, kakobuysheet2026</t>
        </is>
      </c>
      <c r="Q63" t="inlineStr">
        <is>
          <t>Black, White, Unisex, Breathable, Comfort</t>
        </is>
      </c>
      <c r="R63" t="inlineStr">
        <is>
          <t>recvhju1CrO7oA</t>
        </is>
      </c>
      <c r="S63" t="inlineStr">
        <is>
          <t>alo-black-white-contrast-cotton-crew-sports-socks-recvhju1cr07oa</t>
        </is>
      </c>
      <c r="T63"/>
      <c r="U63"/>
      <c r="V63"/>
      <c r="W63" t="inlineStr">
        <is>
          <t>{"id":"chatcmpl-DcnrFR32eJHGRecL5geqJSLHbj8gt","object":"chat.completion","created":1778140489,"model":"gpt-5-chat-latest","choices":[{"index":0,"message":{"role":"assistant","content":"Alo：黑白撞色中筒运动袜，精选柔韧针织棉材质，透气吸汗舒适不勒脚。极简LOGO设计，展现品牌经典瑜伽美学风格，男女皆宜，休闲运动与日常穿搭皆可。","refusal":null,"annotations":[]},"logprobs":null,"finish_reason":"stop"}],"usage":{"prompt_tokens":1301,"completion_tokens":69,"total_tokens":1370,"prompt_tokens_details":{"cached_tokens":0,"audio_tokens":0},"completion_tokens_details":{"reasoning_tokens":0,"audio_tokens":0,"accepted_prediction_tokens":0,"rejected_prediction_tokens":0},"latency_checkpoint":{"service_ttft_ms":1677,"user_visible_ttft_ms":1525,"total_duration_ms":3125,"pre_inference_ms":152,"service_tbt_ms":23,"service_ttlt_ms":3270,"engine_ttft_ms":794,"engine_ttlt_ms":2387,"engine_tbt_ms":23}},"service_tier":"default","system_fingerprint":"fp_fd471178c5"}</t>
        </is>
      </c>
      <c r="X63" t="inlineStr">
        <is>
          <t>Alo：黑白撞色中筒运动袜，精选柔韧针织棉材质，透气吸汗舒适不勒脚。极简LOGO设计，展现品牌经典瑜伽美学风格，男女皆宜，休闲运动与日常穿搭皆可。</t>
        </is>
      </c>
    </row>
    <row r="64" ht="25.5" customHeight="1">
      <c r="A64">
        <v>1654975475</v>
      </c>
      <c r="B64">
        <v>7627120326</v>
      </c>
      <c r="C64" s="2" t="str">
        <f>=HYPERLINK("https://weidian.com/item.html?itemID=7627120326", "https://weidian.com/item.html?itemID=7627120326")</f>
        <v>https://weidian.com/item.html?itemID=7627120326</v>
      </c>
      <c r="D64"/>
      <c r="E64" s="2" t="str">
        <f>=HYPERLINK("https://si.geilicdn.com/pcitem902014207253-6f200000019ae74c51470a81347d_1440_1920.jpg?w=640&amp;h=640", "https://si.geilicdn.com/pcitem902014207253-6f200000019ae74c51470a81347d_1440_1920.jpg?w=640&amp;h=640")</f>
        <v>https://si.geilicdn.com/pcitem902014207253-6f200000019ae74c51470a81347d_1440_1920.jpg?w=640&amp;h=640</v>
      </c>
      <c r="F64" t="inlineStr">
        <is>
          <t>Accessories</t>
        </is>
      </c>
      <c r="G64" t="inlineStr">
        <is>
          <t>Ralph Lauren</t>
        </is>
      </c>
      <c r="H64">
        <v>320</v>
      </c>
      <c r="I64">
        <v>46.38</v>
      </c>
      <c r="J6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Polo Brown Canvas Travel Bag","refusal":null,"role":"assistant"}}],"created":1778143012,"id":"chatcmpl-DcoVwW8OpLvmCqcdF65knitc8ABRQ","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115,"engine_ttft_ms":328,"engine_ttlt_ms":1366,"pre_inference_ms":208,"service_tbt_ms":116,"service_ttft_ms":658,"service_ttlt_ms":1696,"total_duration_ms":1496,"user_visible_ttft_ms":450},"prompt_tokens":872,"prompt_tokens_details":{"audio_tokens":0,"cached_tokens":0},"total_tokens":881}}</t>
        </is>
      </c>
      <c r="K64" t="inlineStr">
        <is>
          <t>Ralph Lauren Polo Brown Canvas Travel Bag</t>
        </is>
      </c>
      <c r="L6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Polo caramel brown canvas travel bag, durable nylon with contrast leather trim, blue embroidered logo, stylish unisex design perfect for city trips and weekend getaways.","refusal":null,"role":"assistant"}}],"created":1778142092,"id":"chatcmpl-DcoH6lMlfYLlgFWSCYbLCZHcsYwK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35,"completion_tokens_details":{"accepted_prediction_tokens":0,"audio_tokens":0,"reasoning_tokens":0,"rejected_prediction_tokens":0},"latency_checkpoint":{"engine_tbt_ms":16,"engine_ttft_ms":959,"engine_ttlt_ms":1508,"pre_inference_ms":116,"service_tbt_ms":16,"service_ttft_ms":1835,"service_ttlt_ms":2384,"total_duration_ms":2276,"user_visible_ttft_ms":1720},"prompt_tokens":913,"prompt_tokens_details":{"audio_tokens":0,"cached_tokens":0},"total_tokens":948}}</t>
        </is>
      </c>
      <c r="M64" t="inlineStr">
        <is>
          <t>{"alt-svc":"h3=\":443\"; ma=2592000","apim-request-id":"ad6af219-93ec-45ad-9418-189681e38c42","azureml-model-session":"d20260428205641-55ca9797","connection":"close","content-length":"1646","content-type":"application/json","date":"Thu, 07 May 2026 08:21:34 GMT","server":"Caddy","skip-error-remapping":"true","strict-transport-security":"max-age=31536000; includeSubDomains; preload","x-accel-buffering":"no","x-content-type-options":"nosniff","x-ms-client-request-id":"Not-Set","x-ms-is-spilled-over":"false","x-ms-rai-invoked":"true","x-ms-region":"Korea Central","x-new-api-version":"v1.0.0-rc.4","x-oneapi-request-id":"202605070821306030025908268d9d68PWO7uCu","x-ratelimit-abusepenalty-active":"False","x-ratelimit-key":"gpt-5-chat-global","x-ratelimit-limit-requests":"1000","x-ratelimit-limit-tokens":"1000000","x-ratelimit-remaining-requests":"999","x-ratelimit-remaining-tokens":"996184","x-ratelimit-renewalperiod-requests":"60","x-ratelimit-renewalperiod-tokens":"60","x-ratelimit-reset-requests":"0","x-ratelimit-reset-tokens":"0","x-request-id":"64121369-13e7-4364-a964-70631187b490","x-shellapi-request-id":"2026050716213054969803885194267"}</t>
        </is>
      </c>
      <c r="N64" t="inlineStr">
        <is>
          <t>Ralph Lauren Polo caramel brown canvas travel bag, durable nylon with contrast leather trim, blue embroidered logo, stylish unisex design perfect for city trips and weekend getaways.</t>
        </is>
      </c>
      <c r="O6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Lauren,Bags,kakobuy,kakebuy2026,kekobuysheet,kakobuysheet2026,2026kakobuy,kakobuyspreadsheeet,kakobuylink,kakebuylist,Kakobuy MEGA Spreadsheet,kakobuysheetfind,kakobuysheetfind2026,2026kakobuysheetfind,kakobuysheet2026","refusal":null,"role":"assistant"}}],"created":1778143409,"id":"chatcmpl-DcocLgtindDDUncgBkYtMnPUsEVm5","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96,"engine_ttft_ms":903,"engine_ttlt_ms":9372,"pre_inference_ms":143,"service_tbt_ms":97,"service_ttft_ms":1274,"service_ttlt_ms":9737,"total_duration_ms":9665,"user_visible_ttft_ms":1131},"prompt_tokens":783,"prompt_tokens_details":{"audio_tokens":0,"cached_tokens":0},"total_tokens":871}}</t>
        </is>
      </c>
      <c r="P64" t="inlineStr">
        <is>
          <t>Ralph Lauren,Bags,kakobuy,kakebuy2026,kekobuysheet,kakobuysheet2026,2026kakobuy,kakobuyspreadsheeet,kakobuylink,kakebuylist,Kakobuy MEGA Spreadsheet,kakobuysheetfind,kakobuysheetfind2026,2026kakobuysheetfind,kakobuysheet2026</t>
        </is>
      </c>
      <c r="Q64" t="inlineStr">
        <is>
          <t>Unisex, Brown, Canvas, Nylon, Leather</t>
        </is>
      </c>
      <c r="R64" t="inlineStr">
        <is>
          <t>recvhju1CrMFWj</t>
        </is>
      </c>
      <c r="S64" t="inlineStr">
        <is>
          <t>ralph-lauren-polo-brown-canvas-travel-bag-recvhju1crmfwj</t>
        </is>
      </c>
      <c r="T64"/>
      <c r="U64"/>
      <c r="V64"/>
      <c r="W64" t="inlineStr">
        <is>
          <t>{"id":"chatcmpl-DcnlGNG0ixyytzUA0IVPRQWNPqgBO","object":"chat.completion","created":1778140118,"model":"gpt-5-chat-latest","choices":[{"index":0,"message":{"role":"assistant","content":"Ralph Lauren：Polo系列焦糖棕帆布旅行包，耐磨尼龙材质搭配对比色皮革饰边，简约美式设计，蓝色骑士刺绣标志彰显品牌格调，男女皆宜，兼具时尚与实用功能，适合都市出行与周末度假。","refusal":null,"annotations":[]},"logprobs":null,"finish_reason":"stop"}],"usage":{"prompt_tokens":1301,"completion_tokens":79,"total_tokens":1380,"prompt_tokens_details":{"cached_tokens":1280,"audio_tokens":0},"completion_tokens_details":{"reasoning_tokens":0,"audio_tokens":0,"accepted_prediction_tokens":0,"rejected_prediction_tokens":0},"latency_checkpoint":{"service_ttft_ms":742,"user_visible_ttft_ms":586,"total_duration_ms":11855,"pre_inference_ms":156,"service_tbt_ms":143,"service_ttlt_ms":12003,"engine_ttft_ms":518,"engine_ttlt_ms":11780,"engine_tbt_ms":143}},"service_tier":"default","system_fingerprint":"fp_fd471178c5"}</t>
        </is>
      </c>
      <c r="X64" t="inlineStr">
        <is>
          <t>Ralph Lauren：Polo系列焦糖棕帆布旅行包，耐磨尼龙材质搭配对比色皮革饰边，简约美式设计，蓝色骑士刺绣标志彰显品牌格调，男女皆宜，兼具时尚与实用功能，适合都市出行与周末度假。</t>
        </is>
      </c>
    </row>
    <row r="65" ht="25.5" customHeight="1">
      <c r="A65">
        <v>1654975475</v>
      </c>
      <c r="B65">
        <v>7627122262</v>
      </c>
      <c r="C65" s="2" t="str">
        <f>=HYPERLINK("https://weidian.com/item.html?itemID=7627122262", "https://weidian.com/item.html?itemID=7627122262")</f>
        <v>https://weidian.com/item.html?itemID=7627122262</v>
      </c>
      <c r="D65"/>
      <c r="E65" s="2" t="str">
        <f>=HYPERLINK("https://si.geilicdn.com/pcitem902014207253-413c0000019ae7495e650a210139_1442_1922.jpg?w=640&amp;h=640", "https://si.geilicdn.com/pcitem902014207253-413c0000019ae7495e650a210139_1442_1922.jpg?w=640&amp;h=640")</f>
        <v>https://si.geilicdn.com/pcitem902014207253-413c0000019ae7495e650a210139_1442_1922.jpg?w=640&amp;h=640</v>
      </c>
      <c r="F65" t="inlineStr">
        <is>
          <t>Accessories</t>
        </is>
      </c>
      <c r="G65" t="inlineStr">
        <is>
          <t>lululemon</t>
        </is>
      </c>
      <c r="H65">
        <v>340</v>
      </c>
      <c r="I65">
        <v>49.2898550724637</v>
      </c>
      <c r="J6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 Black Nylon Gym Travel Bag Waterproof Durable","refusal":null,"role":"assistant"}}],"created":1778142819,"id":"chatcmpl-DcoSpb4uPaVUeS0Vi96atxcYxXC78","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99,"engine_ttft_ms":272,"engine_ttlt_ms":1464,"pre_inference_ms":159,"service_tbt_ms":100,"service_ttft_ms":591,"service_ttlt_ms":1782,"total_duration_ms":1634,"user_visible_ttft_ms":433},"prompt_tokens":880,"prompt_tokens_details":{"audio_tokens":0,"cached_tokens":0},"total_tokens":892}}</t>
        </is>
      </c>
      <c r="K65" t="inlineStr">
        <is>
          <t>Lululemon Black Nylon Gym Travel Bag Waterproof Durable</t>
        </is>
      </c>
      <c r="L6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Classic Black Lightweight Nylon Gym Travel Bag – Waterproof, Durable, Minimalist Design with Adjustable Shoulder Strap and Storage Pouch, Unisex for Daily Commute &amp; Fitness Trips.","refusal":null,"role":"assistant"}}],"created":1778142158,"id":"chatcmpl-DcoIAbbYLVHgeCDgonWDSkEu1xaP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31,"engine_ttft_ms":639,"engine_ttlt_ms":1852,"pre_inference_ms":129,"service_tbt_ms":31,"service_ttft_ms":924,"service_ttlt_ms":2134,"total_duration_ms":2014,"user_visible_ttft_ms":796},"prompt_tokens":891,"prompt_tokens_details":{"audio_tokens":0,"cached_tokens":0},"total_tokens":930}}</t>
        </is>
      </c>
      <c r="M65" t="inlineStr">
        <is>
          <t>{"alt-svc":"h3=\":443\"; ma=2592000","apim-request-id":"dc3ccb0a-e01f-495b-9671-09350788c015","azureml-model-session":"d20260428165144-a78ba574","connection":"close","content-length":"1658","content-type":"application/json","date":"Thu, 07 May 2026 08:22:39 GMT","skip-error-remapping":"true","strict-transport-security":"max-age=31536000; includeSubDomains; preload","via":"1.1 Caddy","x-accel-buffering":"no","x-content-type-options":"nosniff","x-ms-client-request-id":"Not-Set","x-ms-is-spilled-over":"false","x-ms-rai-invoked":"true","x-ms-region":"Switzerland West","x-new-api-version":"v1.0.0-rc.4","x-oneapi-request-id":"202605070822375384822568268d9d6xS0pWyKm","x-ratelimit-abusepenalty-active":"False","x-ratelimit-key":"gpt-5-chat-global","x-ratelimit-limit-requests":"1000","x-ratelimit-limit-tokens":"1000000","x-ratelimit-remaining-requests":"999","x-ratelimit-remaining-tokens":"998347","x-ratelimit-renewalperiod-requests":"60","x-ratelimit-renewalperiod-tokens":"60","x-ratelimit-reset-requests":"0","x-ratelimit-reset-tokens":"0","x-request-id":"31684b3a-c1ac-4eed-95c4-7cb2b5ba60b1","x-shellapi-request-id":"2026050716223748685546600133733"}</t>
        </is>
      </c>
      <c r="N65" t="inlineStr">
        <is>
          <t>Lululemon Classic Black Lightweight Nylon Gym Travel Bag – Waterproof, Durable, Minimalist Design with Adjustable Shoulder Strap and Storage Pouch, Unisex for Daily Commute &amp; Fitness Trips.</t>
        </is>
      </c>
      <c r="O6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bag,kakobuy,kakebuy2026,kekobuysheet,kakobuysheet2026,2026kakobuy,kakobuyspreadsheeet,kakobuylink,kakebuylist,Kakobuy MEGA Spreadsheet,kakobuysheetfind,kakobuysheetfind2026,2026kakobuysheetfind,kakobuysheet2026","refusal":null,"role":"assistant"}}],"created":1778143394,"id":"chatcmpl-Dcoc6Lnezb200PGzXcF0ezcjQni4g","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17,"engine_ttft_ms":405,"engine_ttlt_ms":1914,"pre_inference_ms":183,"service_tbt_ms":17,"service_ttft_ms":734,"service_ttlt_ms":2242,"total_duration_ms":2066,"user_visible_ttft_ms":551},"prompt_tokens":783,"prompt_tokens_details":{"audio_tokens":0,"cached_tokens":0},"total_tokens":871}}</t>
        </is>
      </c>
      <c r="P65" t="inlineStr">
        <is>
          <t>lululemon,bag,kakobuy,kakebuy2026,kekobuysheet,kakobuysheet2026,2026kakobuy,kakobuyspreadsheeet,kakobuylink,kakebuylist,Kakobuy MEGA Spreadsheet,kakobuysheetfind,kakobuysheetfind2026,2026kakobuysheetfind,kakobuysheet2026</t>
        </is>
      </c>
      <c r="Q65" t="inlineStr">
        <is>
          <t>Black, Lightweight, Waterproof, Minimalist, Unisex</t>
        </is>
      </c>
      <c r="R65" t="inlineStr">
        <is>
          <t>recvhju1Cri5Ya</t>
        </is>
      </c>
      <c r="S65" t="inlineStr">
        <is>
          <t>lululemon-black-nylon-gym-travel-bag-recvhju1cri5ya</t>
        </is>
      </c>
      <c r="T65"/>
      <c r="U65"/>
      <c r="V65"/>
      <c r="W6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经典黑色多功能轻量尼龙健身旅行包，防水耐磨设计，简约运动风格，配可调肩带与收纳袋，男女皆宜，适合日常通勤与健身出行。","refusal":null,"role":"assistant"}}],"created":1778140337,"id":"chatcmpl-DcnoneGPyiSPT9iqFE3zrROYNuGdN","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58,"completion_tokens_details":{"accepted_prediction_tokens":0,"audio_tokens":0,"reasoning_tokens":0,"rejected_prediction_tokens":0},"latency_checkpoint":{"engine_tbt_ms":143,"engine_ttft_ms":1449,"engine_ttlt_ms":9768,"pre_inference_ms":153,"service_tbt_ms":144,"service_ttft_ms":1834,"service_ttlt_ms":10170,"total_duration_ms":10026,"user_visible_ttft_ms":1681},"prompt_tokens":1299,"prompt_tokens_details":{"audio_tokens":0,"cached_tokens":0},"total_tokens":1357}}</t>
        </is>
      </c>
      <c r="X65" t="inlineStr">
        <is>
          <t>Lululemon：经典黑色多功能轻量尼龙健身旅行包，防水耐磨设计，简约运动风格，配可调肩带与收纳袋，男女皆宜，适合日常通勤与健身出行。</t>
        </is>
      </c>
    </row>
    <row r="66" ht="25.5" customHeight="1">
      <c r="A66">
        <v>1654975475</v>
      </c>
      <c r="B66">
        <v>7626790054</v>
      </c>
      <c r="C66" s="2" t="str">
        <f>=HYPERLINK("https://weidian.com/item.html?itemID=7626790054", "https://weidian.com/item.html?itemID=7626790054")</f>
        <v>https://weidian.com/item.html?itemID=7626790054</v>
      </c>
      <c r="D66"/>
      <c r="E66" s="2" t="str">
        <f>=HYPERLINK("https://si.geilicdn.com/pcitem2014204438-70e00000019ae48d56db0a23038e_1440_1919.jpg?w=640&amp;h=640", "https://si.geilicdn.com/pcitem2014204438-70e00000019ae48d56db0a23038e_1440_1919.jpg?w=640&amp;h=640")</f>
        <v>https://si.geilicdn.com/pcitem2014204438-70e00000019ae48d56db0a23038e_1440_1919.jpg?w=640&amp;h=640</v>
      </c>
      <c r="F66" t="inlineStr">
        <is>
          <t>Accessories</t>
        </is>
      </c>
      <c r="G66" t="inlineStr">
        <is>
          <t>Ralph Lauren</t>
        </is>
      </c>
      <c r="H66">
        <v>320</v>
      </c>
      <c r="I66">
        <v>46.38</v>
      </c>
      <c r="J6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Vintage Navy Corduroy Unisex Backpack","refusal":null,"role":"assistant"}}],"created":1778142815,"id":"chatcmpl-DcoSlwfYcfOdzMpHI72jsZw5Cg4w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65,"engine_ttft_ms":1480,"engine_ttlt_ms":2258,"pre_inference_ms":131,"service_tbt_ms":66,"service_ttft_ms":2043,"service_ttlt_ms":2821,"total_duration_ms":2701,"user_visible_ttft_ms":1912},"prompt_tokens":876,"prompt_tokens_details":{"audio_tokens":0,"cached_tokens":0},"total_tokens":888}}</t>
        </is>
      </c>
      <c r="K66" t="inlineStr">
        <is>
          <t>Ralph Lauren Vintage Navy Corduroy Unisex Backpack</t>
        </is>
      </c>
      <c r="L6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vintage navy corduroy backpack with iconic polo logo embroidery, soft texture, minimalist unisex design, large capacity, perfect for daily use, showcasing timeless American elegance.","refusal":null,"role":"assistant"}}],"created":1778142220,"id":"chatcmpl-DcoJAdGngsFb8NhT9la2pZFCobUA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98,"engine_ttft_ms":961,"engine_ttlt_ms":4588,"pre_inference_ms":136,"service_tbt_ms":98,"service_ttft_ms":1510,"service_ttlt_ms":5135,"total_duration_ms":5008,"user_visible_ttft_ms":1374},"prompt_tokens":896,"prompt_tokens_details":{"audio_tokens":0,"cached_tokens":0},"total_tokens":933}}</t>
        </is>
      </c>
      <c r="M66" t="inlineStr">
        <is>
          <t>{"alt-svc":"h3=\":443\"; ma=2592000","apim-request-id":"4d5973d0-3597-4f5c-8a2e-21066e02b073","azureml-model-session":"d20260501041445-2c187743","connection":"close","content-length":"1659","content-type":"application/json","date":"Thu, 07 May 2026 08:23:45 GMT","skip-error-remapping":"true","strict-transport-security":"max-age=31536000; includeSubDomains; preload","via":"1.1 Caddy","x-accel-buffering":"no","x-content-type-options":"nosniff","x-ms-client-request-id":"Not-Set","x-ms-is-spilled-over":"false","x-ms-rai-invoked":"true","x-ms-region":"UK South","x-new-api-version":"v1.0.0-rc.4","x-oneapi-request-id":"202605070823393716444108268d9d6XhronD21","x-ratelimit-abusepenalty-active":"False","x-ratelimit-key":"gpt-5-chat-global","x-ratelimit-limit-requests":"1000","x-ratelimit-limit-tokens":"1000000","x-ratelimit-remaining-requests":"998","x-ratelimit-remaining-tokens":"996551","x-ratelimit-renewalperiod-requests":"60","x-ratelimit-renewalperiod-tokens":"60","x-ratelimit-reset-requests":"0","x-ratelimit-reset-tokens":"0","x-request-id":"14369c47-cbf0-4cd9-8974-eae0471dd684","x-shellapi-request-id":"2026050716233932048666441998571"}</t>
        </is>
      </c>
      <c r="N66" t="inlineStr">
        <is>
          <t>Ralph Lauren vintage navy corduroy backpack with iconic polo logo embroidery, soft texture, minimalist unisex design, large capacity, perfect for daily use, showcasing timeless American elegance.</t>
        </is>
      </c>
      <c r="O6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Backpack, kakobuy, kakebuy2026, kekobuysheet, kakobuysheet2026, 2026kakobuy, kakobuyspreadsheeet, kakobuylink, kakebuylist, Kakobuy MEGA Spreadsheet, kakobuysheetfind, kakobuysheetfind2026, 2026kakobuysheetfind, kakobuysheet2026","refusal":null,"role":"assistant"}}],"created":1778143702,"id":"chatcmpl-Dcoh4JaiN2sP4F3aPEzPM2fzuYWR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69,"engine_ttft_ms":689,"engine_ttlt_ms":7072,"pre_inference_ms":141,"service_tbt_ms":69,"service_ttft_ms":1268,"service_ttlt_ms":7650,"total_duration_ms":7518,"user_visible_ttft_ms":1128},"prompt_tokens":783,"prompt_tokens_details":{"audio_tokens":0,"cached_tokens":0},"total_tokens":875}}</t>
        </is>
      </c>
      <c r="P66" t="inlineStr">
        <is>
          <t>Ralph Lauren, Backpack, kakobuy, kakebuy2026, kekobuysheet, kakobuysheet2026, 2026kakobuy, kakobuyspreadsheeet, kakobuylink, kakebuylist, Kakobuy MEGA Spreadsheet, kakobuysheetfind, kakobuysheetfind2026, 2026kakobuysheetfind, kakobuysheet2026</t>
        </is>
      </c>
      <c r="Q66" t="inlineStr">
        <is>
          <t>Backpack, Navy, Minimalist, Unisex, Vintage</t>
        </is>
      </c>
      <c r="R66" t="inlineStr">
        <is>
          <t>recvhju1CrrEc1</t>
        </is>
      </c>
      <c r="S66" t="inlineStr">
        <is>
          <t>ralph-lauren-vintage-navy-corduroy-backpack-recvhju1crrec1</t>
        </is>
      </c>
      <c r="T66"/>
      <c r="U66"/>
      <c r="V66"/>
      <c r="W66" t="inlineStr">
        <is>
          <t>{"id":"chatcmpl-DcnjrwJE4QExB6PmVX25FCOFYBBET","object":"chat.completion","created":1778140031,"model":"gpt-5-chat-latest","choices":[{"index":0,"message":{"role":"assistant","content":"Ralph Lauren：复古海军蓝灯芯绒双肩包，经典马球徽标刺绣，质感柔软细腻，简约休闲风格，男女通用，实用大容量设计，彰显美式优雅格调。","refusal":null,"annotations":[]},"logprobs":null,"finish_reason":"stop"}],"usage":{"prompt_tokens":1303,"completion_tokens":61,"total_tokens":1364,"prompt_tokens_details":{"cached_tokens":0,"audio_tokens":0},"completion_tokens_details":{"reasoning_tokens":0,"audio_tokens":0,"accepted_prediction_tokens":0,"rejected_prediction_tokens":0},"latency_checkpoint":{"service_ttft_ms":1368,"user_visible_ttft_ms":1204,"total_duration_ms":2298,"pre_inference_ms":164,"service_tbt_ms":18,"service_ttlt_ms":2456,"engine_ttft_ms":890,"engine_ttlt_ms":1978,"engine_tbt_ms":18}},"service_tier":"default","system_fingerprint":"fp_fd471178c5"}</t>
        </is>
      </c>
      <c r="X66" t="inlineStr">
        <is>
          <t>Ralph Lauren：复古海军蓝灯芯绒双肩包，经典马球徽标刺绣，质感柔软细腻，简约休闲风格，男女通用，实用大容量设计，彰显美式优雅格调。</t>
        </is>
      </c>
    </row>
    <row r="67" ht="25.5" customHeight="1">
      <c r="A67">
        <v>1654975475</v>
      </c>
      <c r="B67">
        <v>7626890488</v>
      </c>
      <c r="C67" s="2" t="str">
        <f>=HYPERLINK("https://weidian.com/item.html?itemID=7626890488", "https://weidian.com/item.html?itemID=7626890488")</f>
        <v>https://weidian.com/item.html?itemID=7626890488</v>
      </c>
      <c r="D67"/>
      <c r="E67" s="2" t="str">
        <f>=HYPERLINK("https://si.geilicdn.com/pcitem2014204438-72d20000019ae48876200a2303ee_1024_1365.jpg?w=640&amp;h=640", "https://si.geilicdn.com/pcitem2014204438-72d20000019ae48876200a2303ee_1024_1365.jpg?w=640&amp;h=640")</f>
        <v>https://si.geilicdn.com/pcitem2014204438-72d20000019ae48876200a2303ee_1024_1365.jpg?w=640&amp;h=640</v>
      </c>
      <c r="F67" t="inlineStr">
        <is>
          <t>Accessories</t>
        </is>
      </c>
      <c r="G67" t="inlineStr">
        <is>
          <t>Arc Teryx</t>
        </is>
      </c>
      <c r="H67">
        <v>460</v>
      </c>
      <c r="I67">
        <v>66.67</v>
      </c>
      <c r="J6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Gray Green Waterproof Nylon Hiking Backpack","refusal":null,"role":"assistant"}}],"created":1778142934,"id":"chatcmpl-DcoUgirTYDf7g6EJFybKTS1nltSF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17,"engine_ttft_ms":906,"engine_ttlt_ms":1089,"pre_inference_ms":145,"service_tbt_ms":17,"service_ttft_ms":1899,"service_ttlt_ms":2083,"total_duration_ms":1944,"user_visible_ttft_ms":1754},"prompt_tokens":871,"prompt_tokens_details":{"audio_tokens":0,"cached_tokens":0},"total_tokens":882}}</t>
        </is>
      </c>
      <c r="K67" t="inlineStr">
        <is>
          <t>Arc'teryx Gray Green Waterproof Nylon Hiking Backpack</t>
        </is>
      </c>
      <c r="L6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dark gray and neon green waterproof nylon hiking backpack with ergonomic carrying system, durable lightweight design, multi-compartment storage for outdoor adventure or city commute.","refusal":null,"role":"assistant"}}],"created":1778142212,"id":"chatcmpl-DcoJ2JOxTxQcz7pbEoguhcrXE6bb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34,"completion_tokens_details":{"accepted_prediction_tokens":0,"audio_tokens":0,"reasoning_tokens":0,"rejected_prediction_tokens":0},"latency_checkpoint":{"engine_tbt_ms":21,"engine_ttft_ms":931,"engine_ttlt_ms":1646,"pre_inference_ms":142,"service_tbt_ms":21,"service_ttft_ms":1435,"service_ttlt_ms":2149,"total_duration_ms":2014,"user_visible_ttft_ms":1293},"prompt_tokens":928,"prompt_tokens_details":{"audio_tokens":0,"cached_tokens":0},"total_tokens":962}}</t>
        </is>
      </c>
      <c r="M67" t="inlineStr">
        <is>
          <t>{"alt-svc":"h3=\":443\"; ma=2592000","apim-request-id":"1621d7c7-d278-4c17-81de-2e4d1b8149a9","azureml-model-session":"d20260428205641-55ca9797","connection":"close","content-length":"1656","content-type":"application/json","date":"Thu, 07 May 2026 08:23:33 GMT","server":"Caddy","skip-error-remapping":"true","strict-transport-security":"max-age=31536000; includeSubDomains; preload","x-accel-buffering":"no","x-content-type-options":"nosniff","x-ms-client-request-id":"Not-Set","x-ms-is-spilled-over":"false","x-ms-rai-invoked":"true","x-ms-region":"Australia East","x-new-api-version":"v1.0.0-rc.4","x-oneapi-request-id":"202605070823308248994068268d9d6cbnYFOgG","x-ratelimit-abusepenalty-active":"False","x-ratelimit-key":"gpt-5-chat-global","x-ratelimit-limit-requests":"1000","x-ratelimit-limit-tokens":"1000000","x-ratelimit-remaining-requests":"999","x-ratelimit-remaining-tokens":"998310","x-ratelimit-renewalperiod-requests":"60","x-ratelimit-renewalperiod-tokens":"60","x-ratelimit-reset-requests":"0","x-ratelimit-reset-tokens":"0","x-request-id":"e51c8de2-3cce-41b5-a07a-bb535e46fbb1","x-shellapi-request-id":"2026050716233077327208418912015"}</t>
        </is>
      </c>
      <c r="N67" t="inlineStr">
        <is>
          <t>Arc'teryx dark gray and neon green waterproof nylon hiking backpack with ergonomic carrying system, durable lightweight design, multi-compartment storage for outdoor adventure or city commute.</t>
        </is>
      </c>
      <c r="O6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 Teryx,Backpack,kakobuy,kakebuy2026,kekobuysheet,kakobuysheet2026,2026kakobuy,kakobuyspreadsheeet,kakobuylink,kakebuylist,Kakobuy MEGA Spreadsheet,kakobuysheetfind,kakobuysheetfind2026,2026kakobuysheetfind,kakobuysheet2026","refusal":null,"role":"assistant"}}],"created":1778143686,"id":"chatcmpl-Dcogow7S9hRJHjWeEyJNTvEFVjua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20,"engine_ttft_ms":801,"engine_ttlt_ms":2638,"pre_inference_ms":130,"service_tbt_ms":20,"service_ttft_ms":1238,"service_ttlt_ms":3076,"total_duration_ms":2952,"user_visible_ttft_ms":1108},"prompt_tokens":784,"prompt_tokens_details":{"audio_tokens":0,"cached_tokens":0},"total_tokens":874}}</t>
        </is>
      </c>
      <c r="P67" t="inlineStr">
        <is>
          <t>Arc Teryx,Backpack,kakobuy,kakebuy2026,kekobuysheet,kakobuysheet2026,2026kakobuy,kakobuyspreadsheeet,kakobuylink,kakebuylist,Kakobuy MEGA Spreadsheet,kakobuysheetfind,kakobuysheetfind2026,2026kakobuysheetfind,kakobuysheet2026</t>
        </is>
      </c>
      <c r="Q67" t="inlineStr">
        <is>
          <t>Backpack, Hiking Shoes, Waterproof Shoes, Nylon, Dark Grey, Outdoor</t>
        </is>
      </c>
      <c r="R67" t="inlineStr">
        <is>
          <t>recvhju1Cry7kF</t>
        </is>
      </c>
      <c r="S67" t="inlineStr">
        <is>
          <t>arcteryx-gray-green-waterproof-nylon-hiking-backpack-recvhju1cry7kf</t>
        </is>
      </c>
      <c r="T67"/>
      <c r="U67"/>
      <c r="V67"/>
      <c r="W67" t="inlineStr">
        <is>
          <t>{"id":"chatcmpl-DcnwzZUobyi1cfNuGJP4fIVwnEO4R","object":"chat.completion","created":1778140845,"model":"gpt-5-chat-latest","choices":[{"index":0,"message":{"role":"assistant","content":"Arc'teryx 深灰荧光绿登山背包，采用防水耐磨尼龙材质，轻盈坚固。符合人体工学的背负系统与多功能分隔设计，兼具户外运动与城市通勤实用性。简约流线造型融合科技户外风格，彰显品牌高性能与时尚感，男女皆宜，适合现代探险族群。","refusal":null,"annotations":[]},"logprobs":null,"finish_reason":"stop"}],"usage":{"prompt_tokens":1301,"completion_tokens":94,"total_tokens":1395,"prompt_tokens_details":{"cached_tokens":0,"audio_tokens":0},"completion_tokens_details":{"reasoning_tokens":0,"audio_tokens":0,"accepted_prediction_tokens":0,"rejected_prediction_tokens":0},"latency_checkpoint":{"service_ttft_ms":712,"user_visible_ttft_ms":562,"total_duration_ms":2880,"pre_inference_ms":150,"service_tbt_ms":25,"service_ttlt_ms":3019,"engine_ttft_ms":422,"engine_ttlt_ms":2729,"engine_tbt_ms":25}},"service_tier":"default","system_fingerprint":"fp_fd471178c5"}</t>
        </is>
      </c>
      <c r="X67" t="inlineStr">
        <is>
          <t>Arc'teryx 深灰荧光绿登山背包，采用防水耐磨尼龙材质，轻盈坚固。符合人体工学的背负系统与多功能分隔设计，兼具户外运动与城市通勤实用性。简约流线造型融合科技户外风格，彰显品牌高性能与时尚感，男女皆宜，适合现代探险族群。</t>
        </is>
      </c>
    </row>
    <row r="68" ht="25.5" customHeight="1">
      <c r="A68">
        <v>1654975475</v>
      </c>
      <c r="B68">
        <v>7623803333</v>
      </c>
      <c r="C68" s="2" t="str">
        <f>=HYPERLINK("https://weidian.com/item.html?itemID=7623803333", "https://weidian.com/item.html?itemID=7623803333")</f>
        <v>https://weidian.com/item.html?itemID=7623803333</v>
      </c>
      <c r="D68"/>
      <c r="E68" s="2" t="str">
        <f>=HYPERLINK("https://si.geilicdn.com/pcitem2014204438-5daa0000019ae460eac90a81347d_1080_1440.jpg?w=640&amp;h=640", "https://si.geilicdn.com/pcitem2014204438-5daa0000019ae460eac90a81347d_1080_1440.jpg?w=640&amp;h=640")</f>
        <v>https://si.geilicdn.com/pcitem2014204438-5daa0000019ae460eac90a81347d_1080_1440.jpg?w=640&amp;h=640</v>
      </c>
      <c r="F68" t="inlineStr">
        <is>
          <t>Accessories</t>
        </is>
      </c>
      <c r="G68" t="inlineStr">
        <is>
          <t xml:space="preserve"> Longchamp</t>
        </is>
      </c>
      <c r="H68">
        <v>260</v>
      </c>
      <c r="I68">
        <v>37.68</v>
      </c>
      <c r="J6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ngchamp Le Pliage Black Nylon Leather Tote Bag","refusal":null,"role":"assistant"}}],"created":1778143006,"id":"chatcmpl-DcoVqcl2dUNBMnNyF0bDJNdpqovZ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19,"engine_ttft_ms":383,"engine_ttlt_ms":610,"pre_inference_ms":237,"service_tbt_ms":20,"service_ttft_ms":774,"service_ttlt_ms":1000,"total_duration_ms":775,"user_visible_ttft_ms":537},"prompt_tokens":881,"prompt_tokens_details":{"audio_tokens":0,"cached_tokens":0},"total_tokens":893}}</t>
        </is>
      </c>
      <c r="K68" t="inlineStr">
        <is>
          <t>Longchamp Le Pliage Black Nylon Leather Tote Bag</t>
        </is>
      </c>
      <c r="L6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ngchamp Le Pliage black nylon leather-trim tote crossbody bag, lightweight waterproof foldable design, chic urban style with metal snap, versatile and elegant for daily work or casual travel.","refusal":null,"role":"assistant"}}],"created":1778142164,"id":"chatcmpl-DcoIGJRITmkTJCAMUe5JXbKMruyg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91,"engine_ttft_ms":1246,"engine_ttlt_ms":4905,"pre_inference_ms":136,"service_tbt_ms":92,"service_ttft_ms":1795,"service_ttlt_ms":5447,"total_duration_ms":5323,"user_visible_ttft_ms":1659},"prompt_tokens":907,"prompt_tokens_details":{"audio_tokens":0,"cached_tokens":0},"total_tokens":947}}</t>
        </is>
      </c>
      <c r="M68" t="inlineStr">
        <is>
          <t>{"alt-svc":"h3=\":443\"; ma=2592000","apim-request-id":"480c8324-e63f-490a-a9ed-6d75bfba3701","azureml-model-session":"d20260501041445-2c187743","connection":"close","content-length":"1658","content-type":"application/json","date":"Thu, 07 May 2026 08:22:50 GMT","server":"Caddy","skip-error-remapping":"true","strict-transport-security":"max-age=31536000; includeSubDomains; preload","x-accel-buffering":"no","x-content-type-options":"nosniff","x-ms-client-request-id":"Not-Set","x-ms-is-spilled-over":"false","x-ms-rai-invoked":"true","x-ms-region":"Korea Central","x-new-api-version":"v1.0.0-rc.4","x-oneapi-request-id":"202605070822434489557168268d9d6TemXiM7s","x-ratelimit-abusepenalty-active":"False","x-ratelimit-key":"gpt-5-chat-global","x-ratelimit-limit-requests":"1000","x-ratelimit-limit-tokens":"1000000","x-ratelimit-remaining-requests":"999","x-ratelimit-remaining-tokens":"998331","x-ratelimit-renewalperiod-requests":"60","x-ratelimit-renewalperiod-tokens":"60","x-ratelimit-reset-requests":"0","x-ratelimit-reset-tokens":"0","x-request-id":"c03dc087-2b40-46f2-b352-fb4efc1e8a96","x-shellapi-request-id":"2026050716224339646631875095895"}</t>
        </is>
      </c>
      <c r="N68" t="inlineStr">
        <is>
          <t>Longchamp Le Pliage black nylon leather-trim tote crossbody bag, lightweight waterproof foldable design, chic urban style with metal snap, versatile and elegant for daily work or casual travel.</t>
        </is>
      </c>
      <c r="O6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ngchamp,Accessories,kakobuy,kakebuy2026,kekobuysheet,kakobuysheet2026,2026kakobuy,kakobuyspreadsheeet,kakobuylink,kakebuylist,Kakobuy MEGA Spreadsheet,kakobuysheetfind,kakobuysheetfind2026,2026kakobuysheetfind,kakobuysheet2026","refusal":null,"role":"assistant"}}],"created":1778143739,"id":"chatcmpl-DcohfQ5dsj5gvUNvxOxJpLgi6k27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87,"completion_tokens_details":{"accepted_prediction_tokens":0,"audio_tokens":0,"reasoning_tokens":0,"rejected_prediction_tokens":0},"latency_checkpoint":{"engine_tbt_ms":118,"engine_ttft_ms":1498,"engine_ttlt_ms":11746,"pre_inference_ms":164,"service_tbt_ms":118,"service_ttft_ms":2097,"service_ttlt_ms":12345,"total_duration_ms":12189,"user_visible_ttft_ms":1933},"prompt_tokens":782,"prompt_tokens_details":{"audio_tokens":0,"cached_tokens":0},"total_tokens":869}}</t>
        </is>
      </c>
      <c r="P68" t="inlineStr">
        <is>
          <t>Longchamp,Accessories,kakobuy,kakebuy2026,kekobuysheet,kakobuysheet2026,2026kakobuy,kakobuyspreadsheeet,kakobuylink,kakebuylist,Kakobuy MEGA Spreadsheet,kakobuysheetfind,kakobuysheetfind2026,2026kakobuysheetfind,kakobuysheet2026</t>
        </is>
      </c>
      <c r="Q68" t="inlineStr">
        <is>
          <t>Black, Nylon, Leather, Lightweight, Waterproof, Foldable</t>
        </is>
      </c>
      <c r="R68" t="inlineStr">
        <is>
          <t>recvhju1CrER5r</t>
        </is>
      </c>
      <c r="S68" t="inlineStr">
        <is>
          <t>longchamp-le-pliage-black-nylon-leather-tote-recvhju1crer5r</t>
        </is>
      </c>
      <c r="T68"/>
      <c r="U68"/>
      <c r="V68"/>
      <c r="W68" t="inlineStr">
        <is>
          <t>{"id":"chatcmpl-Dcnshtn6rdqTo0XXcaQXRQCACPTrI","object":"chat.completion","created":1778140579,"model":"gpt-5-chat-latest","choices":[{"index":0,"message":{"role":"assistant","content":"Longchamp：Le Pliage系列黑色尼龙配皮手提斜挎包，轻盈防水材质搭配可折叠设计，简约都市风格，金属扣饰点缀精致质感，百搭实用，适合现代女性日常通勤与休闲出行。","refusal":null,"annotations":[]},"logprobs":null,"finish_reason":"stop"}],"usage":{"prompt_tokens":1299,"completion_tokens":74,"total_tokens":1373,"prompt_tokens_details":{"cached_tokens":0,"audio_tokens":0},"completion_tokens_details":{"reasoning_tokens":0,"audio_tokens":0,"accepted_prediction_tokens":0,"rejected_prediction_tokens":0},"latency_checkpoint":{"service_ttft_ms":1079,"user_visible_ttft_ms":900,"total_duration_ms":12137,"pre_inference_ms":179,"service_tbt_ms":152,"service_ttlt_ms":12308,"engine_ttft_ms":800,"engine_ttlt_ms":12045,"engine_tbt_ms":152}},"service_tier":"default","system_fingerprint":"fp_fd471178c5"}</t>
        </is>
      </c>
      <c r="X68" t="inlineStr">
        <is>
          <t>Longchamp：Le Pliage系列黑色尼龙配皮手提斜挎包，轻盈防水材质搭配可折叠设计，简约都市风格，金属扣饰点缀精致质感，百搭实用，适合现代女性日常通勤与休闲出行。</t>
        </is>
      </c>
    </row>
    <row r="69" ht="25.5" customHeight="1">
      <c r="A69">
        <v>1654975475</v>
      </c>
      <c r="B69">
        <v>7627539210</v>
      </c>
      <c r="C69" s="2" t="str">
        <f>=HYPERLINK("https://weidian.com/item.html?itemID=7627539210", "https://weidian.com/item.html?itemID=7627539210")</f>
        <v>https://weidian.com/item.html?itemID=7627539210</v>
      </c>
      <c r="D69"/>
      <c r="E69" s="2" t="str">
        <f>=HYPERLINK("https://si.geilicdn.com/pcitem2014204438-1cf00000019ae7eb2b170a23047e_1080_1080.jpg?w=640&amp;h=640", "https://si.geilicdn.com/pcitem2014204438-1cf00000019ae7eb2b170a23047e_1080_1080.jpg?w=640&amp;h=640")</f>
        <v>https://si.geilicdn.com/pcitem2014204438-1cf00000019ae7eb2b170a23047e_1080_1080.jpg?w=640&amp;h=640</v>
      </c>
      <c r="F69" t="inlineStr">
        <is>
          <t>Socks &amp; Hosiery</t>
        </is>
      </c>
      <c r="G69" t="inlineStr">
        <is>
          <t>Prada</t>
        </is>
      </c>
      <c r="H69">
        <v>120</v>
      </c>
      <c r="I69">
        <v>17.39</v>
      </c>
      <c r="J6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rada Blue White Cotton Mid-Calf Logo Socks","refusal":null,"role":"assistant"}}],"created":1778143099,"id":"chatcmpl-DcoXLvGzkjxJNRcAr7Ze4XoX42Ml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14,"engine_ttft_ms":952,"engine_ttlt_ms":1106,"pre_inference_ms":107,"service_tbt_ms":15,"service_ttft_ms":1368,"service_ttlt_ms":1520,"total_duration_ms":1420,"user_visible_ttft_ms":1260},"prompt_tokens":875,"prompt_tokens_details":{"audio_tokens":0,"cached_tokens":0},"total_tokens":886}}</t>
        </is>
      </c>
      <c r="K69" t="inlineStr">
        <is>
          <t>Prada Blue White Cotton Mid-Calf Logo Socks</t>
        </is>
      </c>
      <c r="L6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rada Classic Blue &amp; White Mid-Calf Socks, soft cotton blend with signature triangle logo and contrast stripes, unisex sporty yet stylish design for a modern casual look.","refusal":null,"role":"assistant"}}],"created":1778142005,"id":"chatcmpl-DcoFh5RjpO8ZYLwEC4K2xq8MZ3MM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35,"completion_tokens_details":{"accepted_prediction_tokens":0,"audio_tokens":0,"reasoning_tokens":0,"rejected_prediction_tokens":0},"latency_checkpoint":{"engine_tbt_ms":58,"engine_ttft_ms":1548,"engine_ttlt_ms":3581,"pre_inference_ms":157,"service_tbt_ms":58,"service_ttft_ms":2151,"service_ttlt_ms":4184,"total_duration_ms":4036,"user_visible_ttft_ms":1995},"prompt_tokens":903,"prompt_tokens_details":{"audio_tokens":0,"cached_tokens":0},"total_tokens":938}}</t>
        </is>
      </c>
      <c r="M69" t="inlineStr">
        <is>
          <t>{"alt-svc":"h3=\":443\"; ma=2592000","apim-request-id":"96345d2f-67d1-4e39-bd00-e1e0ca223acc","azureml-model-session":"d20260501060506-201eb233","connection":"close","content-length":"1640","content-type":"application/json","date":"Thu, 07 May 2026 08:20:09 GMT","skip-error-remapping":"true","strict-transport-security":"max-age=31536000; includeSubDomains; preload","via":"1.1 Caddy","x-accel-buffering":"no","x-content-type-options":"nosniff","x-ms-client-request-id":"Not-Set","x-ms-is-spilled-over":"false","x-ms-rai-invoked":"true","x-ms-region":"Australia East","x-new-api-version":"v1.0.0-rc.4","x-oneapi-request-id":"202605070820043007132348268d9d6k9w08L7K","x-ratelimit-abusepenalty-active":"False","x-ratelimit-key":"gpt-5-chat-global","x-ratelimit-limit-requests":"1000","x-ratelimit-limit-tokens":"1000000","x-ratelimit-remaining-requests":"999","x-ratelimit-remaining-tokens":"998335","x-ratelimit-renewalperiod-requests":"60","x-ratelimit-renewalperiod-tokens":"60","x-ratelimit-reset-requests":"0","x-ratelimit-reset-tokens":"0","x-request-id":"469b8d67-cbdc-41d7-a174-e4a8bbb85524","x-shellapi-request-id":"2026050716200421421921174485126"}</t>
        </is>
      </c>
      <c r="N69" t="inlineStr">
        <is>
          <t>Prada Classic Blue &amp; White Mid-Calf Socks, soft cotton blend with signature triangle logo and contrast stripes, unisex sporty yet stylish design for a modern casual look.</t>
        </is>
      </c>
      <c r="O6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rada,Socks &amp; Hosiery,kakobuy,kakebuy2026,kekobuysheet,kakobuysheet2026,2026kakobuy,kakobuyspreadsheeet,kakobuylink,kakebuylist,Kakobuy MEGA Spreadsheet,kakobuysheetfind,kakobuysheetfind2026,2026kakobuysheetfind,kakobuysheet2026","refusal":null,"role":"assistant"}}],"created":1778143468,"id":"chatcmpl-DcodI9RVJd3yzKruAXwnDFhCi9hI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21,"engine_ttft_ms":917,"engine_ttlt_ms":2779,"pre_inference_ms":135,"service_tbt_ms":21,"service_ttft_ms":1731,"service_ttlt_ms":3592,"total_duration_ms":3464,"user_visible_ttft_ms":1596},"prompt_tokens":786,"prompt_tokens_details":{"audio_tokens":0,"cached_tokens":0},"total_tokens":876}}</t>
        </is>
      </c>
      <c r="P69" t="inlineStr">
        <is>
          <t>Prada,Socks &amp; Hosiery,kakobuy,kakebuy2026,kekobuysheet,kakobuysheet2026,2026kakobuy,kakobuyspreadsheeet,kakobuylink,kakebuylist,Kakobuy MEGA Spreadsheet,kakobuysheetfind,kakobuysheetfind2026,2026kakobuysheetfind,kakobuysheet2026</t>
        </is>
      </c>
      <c r="Q69" t="inlineStr">
        <is>
          <t>Blue, White, Unisex, Sporty</t>
        </is>
      </c>
      <c r="R69" t="inlineStr">
        <is>
          <t>recvhju1Cr3sgu</t>
        </is>
      </c>
      <c r="S69" t="inlineStr">
        <is>
          <t>prada-blue-white-cotton-mid-calf-logo-socks-recvhju1cr3sgu</t>
        </is>
      </c>
      <c r="T69"/>
      <c r="U69"/>
      <c r="V69"/>
      <c r="W69" t="inlineStr">
        <is>
          <t>{"id":"chatcmpl-Dcnkxtxe2psfsUAj8uknuwoHuAlQX","object":"chat.completion","created":1778140099,"model":"gpt-5-chat-latest","choices":[{"index":0,"message":{"role":"assistant","content":"Prada：经典系列蓝白撞色中筒袜，柔软棉质混纺材质，点缀标志性三角LOGO与配色条纹设计，兼具运动与时尚感，男女皆宜，展现现代摩登休闲风格。","refusal":null,"annotations":[]},"logprobs":null,"finish_reason":"stop"}],"usage":{"prompt_tokens":1305,"completion_tokens":65,"total_tokens":1370,"prompt_tokens_details":{"cached_tokens":0,"audio_tokens":0},"completion_tokens_details":{"reasoning_tokens":0,"audio_tokens":0,"accepted_prediction_tokens":0,"rejected_prediction_tokens":0},"latency_checkpoint":{"service_ttft_ms":745,"user_visible_ttft_ms":629,"total_duration_ms":8803,"pre_inference_ms":116,"service_tbt_ms":126,"service_ttlt_ms":8909,"engine_ttft_ms":566,"engine_ttlt_ms":8731,"engine_tbt_ms":126}},"service_tier":"default","system_fingerprint":"fp_fd471178c5"}</t>
        </is>
      </c>
      <c r="X69" t="inlineStr">
        <is>
          <t>Prada：经典系列蓝白撞色中筒袜，柔软棉质混纺材质，点缀标志性三角LOGO与配色条纹设计，兼具运动与时尚感，男女皆宜，展现现代摩登休闲风格。</t>
        </is>
      </c>
    </row>
    <row r="70" ht="25.5" customHeight="1">
      <c r="A70">
        <v>1654975475</v>
      </c>
      <c r="B70">
        <v>7627574416</v>
      </c>
      <c r="C70" s="2" t="str">
        <f>=HYPERLINK("https://weidian.com/item.html?itemID=7627574416", "https://weidian.com/item.html?itemID=7627574416")</f>
        <v>https://weidian.com/item.html?itemID=7627574416</v>
      </c>
      <c r="D70"/>
      <c r="E70" s="2" t="str">
        <f>=HYPERLINK("https://si.geilicdn.com/pcitem2014204438-1df70000019ae7e9a4300a81347d_1074_1074.jpg?w=640&amp;h=640", "https://si.geilicdn.com/pcitem2014204438-1df70000019ae7e9a4300a81347d_1074_1074.jpg?w=640&amp;h=640")</f>
        <v>https://si.geilicdn.com/pcitem2014204438-1df70000019ae7e9a4300a81347d_1074_1074.jpg?w=640&amp;h=640</v>
      </c>
      <c r="F70" t="inlineStr">
        <is>
          <t>Socks &amp; Hosiery</t>
        </is>
      </c>
      <c r="G70" t="inlineStr">
        <is>
          <t xml:space="preserve"> Louis Vuitton</t>
        </is>
      </c>
      <c r="H70">
        <v>120</v>
      </c>
      <c r="I70">
        <v>17.39</v>
      </c>
      <c r="J7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ouis Vuitton Monogram Cotton Unisex Mid-Calf Socks","refusal":null,"role":"assistant"}}],"created":1778142822,"id":"chatcmpl-DcoSs2MdCNsYFPGjO9nZ87phWzUtx","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79,"engine_ttft_ms":858,"engine_ttlt_ms":1803,"pre_inference_ms":140,"service_tbt_ms":81,"service_ttft_ms":1531,"service_ttlt_ms":2475,"total_duration_ms":2364,"user_visible_ttft_ms":1391},"prompt_tokens":881,"prompt_tokens_details":{"audio_tokens":0,"cached_tokens":0},"total_tokens":893}}</t>
        </is>
      </c>
      <c r="K70" t="inlineStr">
        <is>
          <t>Louis Vuitton Monogram Cotton Unisex Mid-Calf Socks</t>
        </is>
      </c>
      <c r="L7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Monogram Mid-Calf Socks, crafted from premium cotton blend for breathable comfort, featuring iconic LV logo and floral motif, unisex retro chic, embodying timeless French elegance.","refusal":null,"role":"assistant"}}],"created":1778142033,"id":"chatcmpl-DcoG9X3bA4waxm3rWhDwt473XRop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23,"engine_ttft_ms":956,"engine_ttlt_ms":1841,"pre_inference_ms":115,"service_tbt_ms":23,"service_ttft_ms":1408,"service_ttlt_ms":2293,"total_duration_ms":2185,"user_visible_ttft_ms":1293},"prompt_tokens":925,"prompt_tokens_details":{"audio_tokens":0,"cached_tokens":0},"total_tokens":963}}</t>
        </is>
      </c>
      <c r="M70" t="inlineStr">
        <is>
          <t>{"alt-svc":"h3=\":443\"; ma=2592000","apim-request-id":"4d8f3fc1-de22-4574-9eac-06981b709dd7","azureml-model-session":"d20260428165144-a78ba574","connection":"close","content-length":"1658","content-type":"application/json","date":"Thu, 07 May 2026 08:20:35 GMT","server":"Caddy","skip-error-remapping":"true","strict-transport-security":"max-age=31536000; includeSubDomains; preload","x-accel-buffering":"no","x-content-type-options":"nosniff","x-ms-client-request-id":"Not-Set","x-ms-is-spilled-over":"false","x-ms-rai-invoked":"true","x-ms-region":"Switzerland North","x-new-api-version":"v1.0.0-rc.4","x-oneapi-request-id":"20260507082032897695578268d9d6U2Tb7umH","x-ratelimit-abusepenalty-active":"False","x-ratelimit-key":"gpt-5-chat-global","x-ratelimit-limit-requests":"1000","x-ratelimit-limit-tokens":"1000000","x-ratelimit-remaining-requests":"999","x-ratelimit-remaining-tokens":"998313","x-ratelimit-renewalperiod-requests":"60","x-ratelimit-renewalperiod-tokens":"60","x-ratelimit-reset-requests":"0","x-ratelimit-reset-tokens":"0","x-request-id":"86a2076a-1d2f-48bb-a6c1-868e6b649998","x-shellapi-request-id":"2026050716203149560424997177164"}</t>
        </is>
      </c>
      <c r="N70" t="inlineStr">
        <is>
          <t>Louis Vuitton Monogram Mid-Calf Socks, crafted from premium cotton blend for breathable comfort, featuring iconic LV logo and floral motif, unisex retro chic, embodying timeless French elegance.</t>
        </is>
      </c>
      <c r="O7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ouis Vuitton, Socks &amp; Hosiery, kakobuy, kakebuy2026, kekobuysheet, kakobuysheet2026, 2026kakobuy, kakobuyspreadsheeet, kakobuylink, kakebuylist, Kakobuy MEGA Spreadsheet, kakobuysheetfind, kakobuysheetfind2026, 2026kakobuysheetfind, kakobuysheet2026","refusal":null,"role":"assistant"}}],"created":1778143383,"id":"chatcmpl-Dcobvoztr5UGOvFY6nEfke1kVyije","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19,"engine_ttft_ms":200,"engine_ttlt_ms":1956,"pre_inference_ms":186,"service_tbt_ms":19,"service_ttft_ms":502,"service_ttlt_ms":2258,"total_duration_ms":2079,"user_visible_ttft_ms":316},"prompt_tokens":786,"prompt_tokens_details":{"audio_tokens":0,"cached_tokens":0},"total_tokens":880}}</t>
        </is>
      </c>
      <c r="P70" t="inlineStr">
        <is>
          <t>Louis Vuitton, Socks &amp; Hosiery, kakobuy, kakebuy2026, kekobuysheet, kakobuysheet2026, 2026kakobuy, kakobuyspreadsheeet, kakobuylink, kakebuylist, Kakobuy MEGA Spreadsheet, kakobuysheetfind, kakobuysheetfind2026, 2026kakobuysheetfind, kakobuysheet2026</t>
        </is>
      </c>
      <c r="Q70" t="inlineStr">
        <is>
          <t>LV, Unisex, Retro, Elegant, Breathable</t>
        </is>
      </c>
      <c r="R70" t="inlineStr">
        <is>
          <t>recvhju1CrtG9F</t>
        </is>
      </c>
      <c r="S70" t="inlineStr">
        <is>
          <t>louis-vuitton-monogram-cotton-mid-calf-socks-recvhju1crtg9f</t>
        </is>
      </c>
      <c r="T70"/>
      <c r="U70"/>
      <c r="V70"/>
      <c r="W70" t="inlineStr">
        <is>
          <t>{"id":"chatcmpl-Dcnr6J8zakTMuwnPiBPHWjeOFpcwI","object":"chat.completion","created":1778140480,"model":"gpt-5-chat-latest","choices":[{"index":0,"message":{"role":"assistant","content":"Louis Vuitton：经典Monogram系列咖色中筒袜，甄选优质棉质混纺面料，舒适透气；织入标志性LV字母与花卉图腾，彰显品牌奢华格调；中性设计，适合男女日常穿搭，复古摩登风格演绎法式优雅品味。","refusal":null,"annotations":[]},"logprobs":null,"finish_reason":"stop"}],"usage":{"prompt_tokens":1307,"completion_tokens":86,"total_tokens":1393,"prompt_tokens_details":{"cached_tokens":0,"audio_tokens":0},"completion_tokens_details":{"reasoning_tokens":0,"audio_tokens":0,"accepted_prediction_tokens":0,"rejected_prediction_tokens":0},"latency_checkpoint":{"service_ttft_ms":694,"user_visible_ttft_ms":540,"total_duration_ms":9021,"pre_inference_ms":154,"service_tbt_ms":99,"service_ttlt_ms":9166,"engine_ttft_ms":461,"engine_ttlt_ms":8939,"engine_tbt_ms":99}},"service_tier":"default","system_fingerprint":"fp_fd471178c5"}</t>
        </is>
      </c>
      <c r="X70" t="inlineStr">
        <is>
          <t>Louis Vuitton：经典Monogram系列咖色中筒袜，甄选优质棉质混纺面料，舒适透气；织入标志性LV字母与花卉图腾，彰显品牌奢华格调；中性设计，适合男女日常穿搭，复古摩登风格演绎法式优雅品味。</t>
        </is>
      </c>
    </row>
    <row r="71" ht="25.5" customHeight="1">
      <c r="A71">
        <v>1654975475</v>
      </c>
      <c r="B71">
        <v>7627601612</v>
      </c>
      <c r="C71" s="2" t="str">
        <f>=HYPERLINK("https://weidian.com/item.html?itemID=7627601612", "https://weidian.com/item.html?itemID=7627601612")</f>
        <v>https://weidian.com/item.html?itemID=7627601612</v>
      </c>
      <c r="D71"/>
      <c r="E71" s="2" t="str">
        <f>=HYPERLINK("https://si.geilicdn.com/pcitem2014204438-65ca0000019ae7e2a1d70a811411_1086_854.jpg?w=640&amp;h=640", "https://si.geilicdn.com/pcitem2014204438-65ca0000019ae7e2a1d70a811411_1086_854.jpg?w=640&amp;h=640")</f>
        <v>https://si.geilicdn.com/pcitem2014204438-65ca0000019ae7e2a1d70a811411_1086_854.jpg?w=640&amp;h=640</v>
      </c>
      <c r="F71" t="inlineStr">
        <is>
          <t>Socks &amp; Hosiery</t>
        </is>
      </c>
      <c r="G71" t="inlineStr">
        <is>
          <t>Langsha</t>
        </is>
      </c>
      <c r="H71">
        <v>130</v>
      </c>
      <c r="I71">
        <v>18.84</v>
      </c>
      <c r="J7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angsha Red Lucky Mid-Calf Socks for New Year","refusal":null,"role":"assistant"}}],"created":1778143083,"id":"chatcmpl-DcoX527viImQaxqrWoRcMDdXOVGU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23,"engine_ttft_ms":778,"engine_ttlt_ms":1055,"pre_inference_ms":105,"service_tbt_ms":24,"service_ttft_ms":1181,"service_ttlt_ms":1458,"total_duration_ms":1360,"user_visible_ttft_ms":1076},"prompt_tokens":613,"prompt_tokens_details":{"audio_tokens":0,"cached_tokens":0},"total_tokens":625}}</t>
        </is>
      </c>
      <c r="K71" t="inlineStr">
        <is>
          <t>Langsha Red Lucky Mid-Calf Socks for New Year</t>
        </is>
      </c>
      <c r="L7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angsha New Year Red Mid-Calf Socks – Bright Chinese Red with color-contrast toe, soft breathable cotton, ribbed fit stays up, festive lucky charm design for men and women, adds holiday style energy.","refusal":null,"role":"assistant"}}],"created":1778142188,"id":"chatcmpl-DcoIe1h270ndh5tt72QTgzHoKBOVO","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44,"completion_tokens_details":{"accepted_prediction_tokens":0,"audio_tokens":0,"reasoning_tokens":0,"rejected_prediction_tokens":0},"latency_checkpoint":{"engine_tbt_ms":103,"engine_ttft_ms":899,"engine_ttlt_ms":5429,"pre_inference_ms":229,"service_tbt_ms":103,"service_ttft_ms":1737,"service_ttlt_ms":6267,"total_duration_ms":6047,"user_visible_ttft_ms":1508},"prompt_tokens":633,"prompt_tokens_details":{"audio_tokens":0,"cached_tokens":0},"total_tokens":677}}</t>
        </is>
      </c>
      <c r="M71" t="inlineStr">
        <is>
          <t>{"alt-svc":"h3=\":443\"; ma=2592000","apim-request-id":"5e465ba0-5320-4d5f-94b5-d2f07d7a9c36","azureml-model-session":"d20260501041445-2c187743","connection":"close","content-length":"1667","content-type":"application/json","date":"Thu, 07 May 2026 08:23:14 GMT","skip-error-remapping":"true","strict-transport-security":"max-age=31536000; includeSubDomains; preload","via":"1.1 Caddy","x-accel-buffering":"no","x-content-type-options":"nosniff","x-ms-client-request-id":"Not-Set","x-ms-is-spilled-over":"false","x-ms-rai-invoked":"true","x-ms-region":"Sweden Central","x-new-api-version":"v1.0.0-rc.4","x-oneapi-request-id":"202605070823075630580948268d9d61MiX03el","x-ratelimit-abusepenalty-active":"False","x-ratelimit-key":"gpt-5-chat-global","x-ratelimit-limit-requests":"1000","x-ratelimit-limit-tokens":"1000000","x-ratelimit-remaining-requests":"999","x-ratelimit-remaining-tokens":"998603","x-ratelimit-renewalperiod-requests":"60","x-ratelimit-renewalperiod-tokens":"60","x-ratelimit-reset-requests":"0","x-ratelimit-reset-tokens":"0","x-request-id":"dc5fa451-c745-4d50-b4b8-973d46ebcb31","x-shellapi-request-id":"2026050716230741164384441185126"}</t>
        </is>
      </c>
      <c r="N71" t="inlineStr">
        <is>
          <t>Langsha New Year Red Mid-Calf Socks – Bright Chinese Red with color-contrast toe, soft breathable cotton, ribbed fit stays up, festive lucky charm design for men and women, adds holiday style energy.</t>
        </is>
      </c>
      <c r="O7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angsha, Socks &amp; Hosiery, kakobuy, kakebuy2026, kekobuysheet, kakobuysheet2026, 2026kakobuy, kakobuyspreadsheeet, kakobuylink, kakebuylist, Kakobuy MEGA Spreadsheet, kakobuysheetfind, kakobuysheetfind2026, 2026kakobuysheetfind, kakobuysheet2026","refusal":null,"role":"assistant"}}],"created":1778143459,"id":"chatcmpl-Dcod9Cbpo2uGH6MNTKhU8PVAvyck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99,"engine_ttft_ms":856,"engine_ttlt_ms":10174,"pre_inference_ms":96,"service_tbt_ms":99,"service_ttft_ms":1168,"service_ttlt_ms":10486,"total_duration_ms":10397,"user_visible_ttft_ms":1072},"prompt_tokens":506,"prompt_tokens_details":{"audio_tokens":0,"cached_tokens":0},"total_tokens":600}}</t>
        </is>
      </c>
      <c r="P71" t="inlineStr">
        <is>
          <t>Langsha, Socks &amp; Hosiery, kakobuy, kakebuy2026, kekobuysheet, kakobuysheet2026, 2026kakobuy, kakobuyspreadsheeet, kakobuylink, kakebuylist, Kakobuy MEGA Spreadsheet, kakobuysheetfind, kakobuysheetfind2026, 2026kakobuysheetfind, kakobuysheet2026</t>
        </is>
      </c>
      <c r="Q71" t="inlineStr">
        <is>
          <t>Women, Men, Red, All Seasons</t>
        </is>
      </c>
      <c r="R71" t="inlineStr">
        <is>
          <t>recvhju1CruzNp</t>
        </is>
      </c>
      <c r="S71" t="inlineStr">
        <is>
          <t>langsha-red-lucky-mid-calf-socks-recvhju1cruz</t>
        </is>
      </c>
      <c r="T71"/>
      <c r="U71"/>
      <c r="V71"/>
      <c r="W71" t="inlineStr">
        <is>
          <t>{"id":"chatcmpl-DcnnoUqziYrll7SH9vSUlLS6GJo2I","object":"chat.completion","created":1778140276,"model":"gpt-5-chat-latest","choices":[{"index":0,"message":{"role":"assistant","content":"Langsha：新年红系列中筒袜，亮丽中国红配以撞色脚尖设计，柔软棉质透气吸汗，罗纹织法贴合脚型不易滑落，融合节日福运元素与潮流休闲风格，男女皆宜，点亮新年穿搭活力。","refusal":null,"annotations":[]},"logprobs":null,"finish_reason":"stop"}],"usage":{"prompt_tokens":1025,"completion_tokens":75,"total_tokens":1100,"prompt_tokens_details":{"cached_tokens":0,"audio_tokens":0},"completion_tokens_details":{"reasoning_tokens":0,"audio_tokens":0,"accepted_prediction_tokens":0,"rejected_prediction_tokens":0},"latency_checkpoint":{"service_ttft_ms":766,"user_visible_ttft_ms":657,"total_duration_ms":10897,"pre_inference_ms":110,"service_tbt_ms":137,"service_ttlt_ms":10998,"engine_ttft_ms":607,"engine_ttlt_ms":10829,"engine_tbt_ms":136}},"service_tier":"default","system_fingerprint":"fp_fd471178c5"}</t>
        </is>
      </c>
      <c r="X71" t="inlineStr">
        <is>
          <t>Langsha：新年红系列中筒袜，亮丽中国红配以撞色脚尖设计，柔软棉质透气吸汗，罗纹织法贴合脚型不易滑落，融合节日福运元素与潮流休闲风格，男女皆宜，点亮新年穿搭活力。</t>
        </is>
      </c>
    </row>
    <row r="72" ht="25.5" customHeight="1">
      <c r="A72">
        <v>1654975475</v>
      </c>
      <c r="B72">
        <v>7627455174</v>
      </c>
      <c r="C72" s="2" t="str">
        <f>=HYPERLINK("https://weidian.com/item.html?itemID=7627455174", "https://weidian.com/item.html?itemID=7627455174")</f>
        <v>https://weidian.com/item.html?itemID=7627455174</v>
      </c>
      <c r="D72"/>
      <c r="E72" s="2" t="str">
        <f>=HYPERLINK("https://si.geilicdn.com/pcitem2014204438-08780000019ae7d1ab1c0a239646_1224_1224.jpg?w=640&amp;h=640", "https://si.geilicdn.com/pcitem2014204438-08780000019ae7d1ab1c0a239646_1224_1224.jpg?w=640&amp;h=640")</f>
        <v>https://si.geilicdn.com/pcitem2014204438-08780000019ae7d1ab1c0a239646_1224_1224.jpg?w=640&amp;h=640</v>
      </c>
      <c r="F72" t="inlineStr">
        <is>
          <t>Socks &amp; Hosiery</t>
        </is>
      </c>
      <c r="G72" t="inlineStr">
        <is>
          <t>Celine</t>
        </is>
      </c>
      <c r="H72">
        <v>120</v>
      </c>
      <c r="I72">
        <v>17.39</v>
      </c>
      <c r="J7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 Classic Black White Low Cut Invisible Socks","refusal":null,"role":"assistant"}}],"created":1778142840,"id":"chatcmpl-DcoTAnnb5ilhaLoqLt5p4rse8o4f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57,"engine_ttft_ms":363,"engine_ttlt_ms":936,"pre_inference_ms":144,"service_tbt_ms":59,"service_ttft_ms":581,"service_ttlt_ms":1154,"total_duration_ms":1029,"user_visible_ttft_ms":437},"prompt_tokens":885,"prompt_tokens_details":{"audio_tokens":0,"cached_tokens":0},"total_tokens":895}}</t>
        </is>
      </c>
      <c r="K72" t="inlineStr">
        <is>
          <t>CELINE Classic Black White Low Cut Invisible Socks</t>
        </is>
      </c>
      <c r="L7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ELINE Classic Black &amp; White Low-Cut Invisible Socks, soft cotton blend, breathable fit, iconic logo and motif, unisex style for casual or business wear, embodying refined French elegance.","refusal":null,"role":"assistant"}}],"created":1778142161,"id":"chatcmpl-DcoIDKetAiprV2qOjKxhfkigag65T","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17,"engine_ttft_ms":728,"engine_ttlt_ms":1427,"pre_inference_ms":187,"service_tbt_ms":18,"service_ttft_ms":1623,"service_ttlt_ms":2320,"total_duration_ms":2140,"user_visible_ttft_ms":1436},"prompt_tokens":922,"prompt_tokens_details":{"audio_tokens":0,"cached_tokens":0},"total_tokens":962}}</t>
        </is>
      </c>
      <c r="M72" t="inlineStr">
        <is>
          <t>{"alt-svc":"h3=\":443\"; ma=2592000","apim-request-id":"b5f161d0-6281-4189-a115-9cec5058b6cc","azureml-model-session":"d20260428165144-a78ba574","connection":"close","content-length":"1657","content-type":"application/json","date":"Thu, 07 May 2026 08:22:42 GMT","server":"Caddy","skip-error-remapping":"true","strict-transport-security":"max-age=31536000; includeSubDomains; preload","x-accel-buffering":"no","x-content-type-options":"nosniff","x-ms-client-request-id":"Not-Set","x-ms-is-spilled-over":"false","x-ms-rai-invoked":"true","x-ms-region":"Sweden Central","x-new-api-version":"v1.0.0-rc.4","x-oneapi-request-id":"202605070822406391093918268d9d63ftoU2xE","x-ratelimit-abusepenalty-active":"False","x-ratelimit-key":"gpt-5-chat-global","x-ratelimit-limit-requests":"1000","x-ratelimit-limit-tokens":"1000000","x-ratelimit-remaining-requests":"999","x-ratelimit-remaining-tokens":"998316","x-ratelimit-renewalperiod-requests":"60","x-ratelimit-renewalperiod-tokens":"60","x-ratelimit-reset-requests":"0","x-ratelimit-reset-tokens":"0","x-request-id":"6bf03a89-66ef-4637-85ee-4e5d144d4d73","x-shellapi-request-id":"2026050716224058068976067857317"}</t>
        </is>
      </c>
      <c r="N72" t="inlineStr">
        <is>
          <t>CELINE Classic Black &amp; White Low-Cut Invisible Socks, soft cotton blend, breathable fit, iconic logo and motif, unisex style for casual or business wear, embodying refined French elegance.</t>
        </is>
      </c>
      <c r="O7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 Socks &amp; Hosiery, kakobuy, kakebuy2026, kekobuysheet, kakobuysheet2026, 2026kakobuy, kakobuyspreadsheeet, kakobuylink, kakebuylist, Kakobuy MEGA Spreadsheet, kakobuysheetfind, kakobuysheetfind2026, 2026kakobuysheetfind, kakobuysheet2026","refusal":null,"role":"assistant"}}],"created":1778143643,"id":"chatcmpl-Dcog7kNL7HSVGLIv7IO5bwkyv3o60","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22,"engine_ttft_ms":942,"engine_ttlt_ms":3017,"pre_inference_ms":193,"service_tbt_ms":22,"service_ttft_ms":1990,"service_ttlt_ms":4065,"total_duration_ms":3878,"user_visible_ttft_ms":1797},"prompt_tokens":786,"prompt_tokens_details":{"audio_tokens":0,"cached_tokens":0},"total_tokens":880}}</t>
        </is>
      </c>
      <c r="P72" t="inlineStr">
        <is>
          <t>Celine, Socks &amp; Hosiery, kakobuy, kakebuy2026, kekobuysheet, kakobuysheet2026, 2026kakobuy, kakobuyspreadsheeet, kakobuylink, kakebuylist, Kakobuy MEGA Spreadsheet, kakobuysheetfind, kakobuysheetfind2026, 2026kakobuysheetfind, kakobuysheet2026</t>
        </is>
      </c>
      <c r="Q72" t="inlineStr">
        <is>
          <t>Celine, Black, White, Unisex, Breathable</t>
        </is>
      </c>
      <c r="R72" t="inlineStr">
        <is>
          <t>recvhju1CrLp66</t>
        </is>
      </c>
      <c r="S72" t="inlineStr">
        <is>
          <t>celine-classic-black-white-low-cut-invisible-socks-recvhju1crlp66</t>
        </is>
      </c>
      <c r="T72"/>
      <c r="U72"/>
      <c r="V72"/>
      <c r="W72" t="inlineStr">
        <is>
          <t>{"id":"chatcmpl-DcnsnR5QAy8ikvFln25LOOkI5aXOl","object":"chat.completion","created":1778140585,"model":"gpt-5-chat-latest","choices":[{"index":0,"message":{"role":"assistant","content":"Celine：经典黑白系列低帮隐形船袜，甄选柔软棉质混纺面料，贴合脚型透气舒适。品牌标志性字母与花纹图腾设计彰显简约法式美学，男女皆宜，适合休闲与商务穿搭，展现低调奢华时尚格调。","refusal":null,"annotations":[]},"logprobs":null,"finish_reason":"stop"}],"usage":{"prompt_tokens":1305,"completion_tokens":84,"total_tokens":1389,"prompt_tokens_details":{"cached_tokens":0,"audio_tokens":0},"completion_tokens_details":{"reasoning_tokens":0,"audio_tokens":0,"accepted_prediction_tokens":0,"rejected_prediction_tokens":0},"latency_checkpoint":{"service_ttft_ms":813,"user_visible_ttft_ms":658,"total_duration_ms":2551,"pre_inference_ms":155,"service_tbt_ms":23,"service_ttlt_ms":2699,"engine_ttft_ms":390,"engine_ttlt_ms":2276,"engine_tbt_ms":22}},"service_tier":"default","system_fingerprint":"fp_fd471178c5"}</t>
        </is>
      </c>
      <c r="X72" t="inlineStr">
        <is>
          <t>Celine：经典黑白系列低帮隐形船袜，甄选柔软棉质混纺面料，贴合脚型透气舒适。品牌标志性字母与花纹图腾设计彰显简约法式美学，男女皆宜，适合休闲与商务穿搭，展现低调奢华时尚格调。</t>
        </is>
      </c>
    </row>
    <row r="73" ht="25.5" customHeight="1">
      <c r="A73">
        <v>1654975475</v>
      </c>
      <c r="B73">
        <v>7627474212</v>
      </c>
      <c r="C73" s="2" t="str">
        <f>=HYPERLINK("https://weidian.com/item.html?itemID=7627474212", "https://weidian.com/item.html?itemID=7627474212")</f>
        <v>https://weidian.com/item.html?itemID=7627474212</v>
      </c>
      <c r="D73"/>
      <c r="E73" s="2" t="str">
        <f>=HYPERLINK("https://si.geilicdn.com/pcitem2014204438-198a0000019ae7cb7fad0a23038e_1086_916.jpg?w=640&amp;h=640", "https://si.geilicdn.com/pcitem2014204438-198a0000019ae7cb7fad0a23038e_1086_916.jpg?w=640&amp;h=640")</f>
        <v>https://si.geilicdn.com/pcitem2014204438-198a0000019ae7cb7fad0a23038e_1086_916.jpg?w=640&amp;h=640</v>
      </c>
      <c r="F73" t="inlineStr">
        <is>
          <t>Socks &amp; Hosiery</t>
        </is>
      </c>
      <c r="G73" t="inlineStr">
        <is>
          <t>Hermes</t>
        </is>
      </c>
      <c r="H73">
        <v>120</v>
      </c>
      <c r="I73">
        <v>17.39</v>
      </c>
      <c r="J7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ermes Classic Carriage Cotton Mid-Calf Socks Unisex","refusal":null,"role":"assistant"}}],"created":1778142815,"id":"chatcmpl-DcoSlcc5li8WVtmXtnLI9BvGX5P3A","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16,"engine_ttft_ms":851,"engine_ttlt_ms":1054,"pre_inference_ms":144,"service_tbt_ms":17,"service_ttft_ms":1339,"service_ttlt_ms":1542,"total_duration_ms":1410,"user_visible_ttft_ms":1195},"prompt_tokens":887,"prompt_tokens_details":{"audio_tokens":0,"cached_tokens":0},"total_tokens":900}}</t>
        </is>
      </c>
      <c r="K73" t="inlineStr">
        <is>
          <t>Hermes Classic Carriage Cotton Mid-Calf Socks Unisex</t>
        </is>
      </c>
      <c r="L7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ermes Classic Carriage Logo Mid-Calf Socks, made from premium combed cotton blend, soft, breathable, elastic, with delicate embroidered logo, unisex, perfect for casual or business wear.","refusal":null,"role":"assistant"}}],"created":1778142127,"id":"chatcmpl-DcoHfRwaXyUwKpEAdra3vsrPQlXwv","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101,"engine_ttft_ms":1518,"engine_ttlt_ms":5678,"pre_inference_ms":176,"service_tbt_ms":102,"service_ttft_ms":2282,"service_ttlt_ms":6440,"total_duration_ms":6276,"user_visible_ttft_ms":2106},"prompt_tokens":913,"prompt_tokens_details":{"audio_tokens":0,"cached_tokens":0},"total_tokens":954}}</t>
        </is>
      </c>
      <c r="M73" t="inlineStr">
        <is>
          <t>{"alt-svc":"h3=\":443\"; ma=2592000","apim-request-id":"a386140f-d9bd-4710-a6aa-650e642391ec","azureml-model-session":"d20260501041445-2c187743","connection":"close","content-length":"1654","content-type":"application/json","date":"Thu, 07 May 2026 08:22:13 GMT","skip-error-remapping":"true","strict-transport-security":"max-age=31536000; includeSubDomains; preload","via":"1.1 Caddy","x-accel-buffering":"no","x-content-type-options":"nosniff","x-ms-client-request-id":"Not-Set","x-ms-is-spilled-over":"false","x-ms-rai-invoked":"true","x-ms-region":"Sweden Central","x-new-api-version":"v1.0.0-rc.4","x-oneapi-request-id":"202605070822066847412268268d9d6PuQZ36VS","x-ratelimit-abusepenalty-active":"False","x-ratelimit-key":"gpt-5-chat-global","x-ratelimit-limit-requests":"1000","x-ratelimit-limit-tokens":"1000000","x-ratelimit-remaining-requests":"999","x-ratelimit-remaining-tokens":"998325","x-ratelimit-renewalperiod-requests":"60","x-ratelimit-renewalperiod-tokens":"60","x-ratelimit-reset-requests":"0","x-ratelimit-reset-tokens":"0","x-request-id":"6a160be7-37c2-4140-b9fb-db0968ef4f85","x-shellapi-request-id":"2026050716220657629421144552599"}</t>
        </is>
      </c>
      <c r="N73" t="inlineStr">
        <is>
          <t>Hermes Classic Carriage Logo Mid-Calf Socks, made from premium combed cotton blend, soft, breathable, elastic, with delicate embroidered logo, unisex, perfect for casual or business wear.</t>
        </is>
      </c>
      <c r="O7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Socks &amp; Hosiery,kakobuy,kakebuy2026,kekobuysheet,kakobuysheet2026,2026kakobuy,kakobuyspreadsheeet,kakobuylink,kakebuylist,Kakobuy MEGA Spreadsheet,kakobuysheetfind,kakobuysheetfind2026,2026kakobuysheetfind,kakobuysheet2026","refusal":null,"role":"assistant"}}],"created":1778143591,"id":"chatcmpl-DcofHvjkR5oZqvyO69eMoMckDfR7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79,"engine_ttft_ms":807,"engine_ttlt_ms":7907,"pre_inference_ms":132,"service_tbt_ms":79,"service_ttft_ms":1133,"service_ttlt_ms":8232,"total_duration_ms":8108,"user_visible_ttft_ms":1001},"prompt_tokens":786,"prompt_tokens_details":{"audio_tokens":0,"cached_tokens":0},"total_tokens":876}}</t>
        </is>
      </c>
      <c r="P73" t="inlineStr">
        <is>
          <t>Hermes,Socks &amp; Hosiery,kakobuy,kakebuy2026,kekobuysheet,kakobuysheet2026,2026kakobuy,kakobuyspreadsheeet,kakobuylink,kakebuylist,Kakobuy MEGA Spreadsheet,kakobuysheetfind,kakobuysheetfind2026,2026kakobuysheetfind,kakobuysheet2026</t>
        </is>
      </c>
      <c r="Q73" t="inlineStr">
        <is>
          <t>Unisex, Business, Breathable, Elasticity</t>
        </is>
      </c>
      <c r="R73" t="inlineStr">
        <is>
          <t>recvhju1Crk738</t>
        </is>
      </c>
      <c r="S73" t="inlineStr">
        <is>
          <t>hermes-classic-carriage-cotton-mid-calf-socks-recvhju1crk738</t>
        </is>
      </c>
      <c r="T73"/>
      <c r="U73"/>
      <c r="V73"/>
      <c r="W73" t="inlineStr">
        <is>
          <t>{"id":"chatcmpl-Dcnrk7yS5zNMn9QhmlaGkBXuUNVnB","object":"chat.completion","created":1778140520,"model":"gpt-5-chat-latest","choices":[{"index":0,"message":{"role":"assistant","content":"Hermes：经典马车徽标黑色中筒袜，采用优质精梳棉混纺面料，柔软透气，富有弹性，搭配细腻刺绣Logo设计，彰显奢华法式格调，男女皆宜，日常休闲与商务穿搭皆宜。","refusal":null,"annotations":[]},"logprobs":null,"finish_reason":"stop"}],"usage":{"prompt_tokens":1303,"completion_tokens":76,"total_tokens":1379,"prompt_tokens_details":{"cached_tokens":0,"audio_tokens":0},"completion_tokens_details":{"reasoning_tokens":0,"audio_tokens":0,"accepted_prediction_tokens":0,"rejected_prediction_tokens":0},"latency_checkpoint":{"service_ttft_ms":900,"user_visible_ttft_ms":683,"total_duration_ms":9579,"pre_inference_ms":217,"service_tbt_ms":117,"service_ttlt_ms":9788,"engine_ttft_ms":570,"engine_ttlt_ms":9458,"engine_tbt_ms":117}},"service_tier":"default","system_fingerprint":"fp_fd471178c5"}</t>
        </is>
      </c>
      <c r="X73" t="inlineStr">
        <is>
          <t>Hermes：经典马车徽标黑色中筒袜，采用优质精梳棉混纺面料，柔软透气，富有弹性，搭配细腻刺绣Logo设计，彰显奢华法式格调，男女皆宜，日常休闲与商务穿搭皆宜。</t>
        </is>
      </c>
    </row>
    <row r="74" ht="25.5" customHeight="1">
      <c r="A74">
        <v>1654975475</v>
      </c>
      <c r="B74">
        <v>7624431333</v>
      </c>
      <c r="C74" s="2" t="str">
        <f>=HYPERLINK("https://weidian.com/item.html?itemID=7624431333", "https://weidian.com/item.html?itemID=7624431333")</f>
        <v>https://weidian.com/item.html?itemID=7624431333</v>
      </c>
      <c r="D74"/>
      <c r="E74" s="2" t="str">
        <f>=HYPERLINK("https://si.geilicdn.com/pcitem2014204438-4c340000019ae7c6e2f10a21146b_2994_3608.jpg?w=640&amp;h=640", "https://si.geilicdn.com/pcitem2014204438-4c340000019ae7c6e2f10a21146b_2994_3608.jpg?w=640&amp;h=640")</f>
        <v>https://si.geilicdn.com/pcitem2014204438-4c340000019ae7c6e2f10a21146b_2994_3608.jpg?w=640&amp;h=640</v>
      </c>
      <c r="F74" t="inlineStr">
        <is>
          <t>Socks &amp; Hosiery</t>
        </is>
      </c>
      <c r="G74" t="inlineStr">
        <is>
          <t>Alo</t>
        </is>
      </c>
      <c r="H74">
        <v>136</v>
      </c>
      <c r="I74">
        <v>19.71</v>
      </c>
      <c r="J7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lo Classic Sport Dark Gray Cotton Crew Socks","refusal":null,"role":"assistant"}}],"created":1778142912,"id":"chatcmpl-DcoUKCOUNlxFJoCw9NYfAPsRxpo0K","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11,"engine_ttft_ms":394,"engine_ttlt_ms":507,"pre_inference_ms":228,"service_tbt_ms":12,"service_ttft_ms":927,"service_ttlt_ms":1039,"total_duration_ms":818,"user_visible_ttft_ms":700},"prompt_tokens":893,"prompt_tokens_details":{"audio_tokens":0,"cached_tokens":0},"total_tokens":903}}</t>
        </is>
      </c>
      <c r="K74" t="inlineStr">
        <is>
          <t>Alo Classic Sport Dark Gray Cotton Crew Socks</t>
        </is>
      </c>
      <c r="L7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Classic Sport Series Dark Gray Crew Socks, soft cotton blend, breathable, sweat-absorbing, keeps shape, ribbed stretch fit, white logo detail, unisex, ideal for daily wear or workouts.","refusal":null,"role":"assistant"}}],"created":1778142146,"id":"chatcmpl-DcoHyTR04TdxZDCG5nBnUh0qCqAk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44,"completion_tokens_details":{"accepted_prediction_tokens":0,"audio_tokens":0,"reasoning_tokens":0,"rejected_prediction_tokens":0},"latency_checkpoint":{"engine_tbt_ms":79,"engine_ttft_ms":1857,"engine_ttlt_ms":5346,"pre_inference_ms":168,"service_tbt_ms":79,"service_ttft_ms":2482,"service_ttlt_ms":5971,"total_duration_ms":5811,"user_visible_ttft_ms":2314},"prompt_tokens":936,"prompt_tokens_details":{"audio_tokens":0,"cached_tokens":0},"total_tokens":980}}</t>
        </is>
      </c>
      <c r="M74" t="inlineStr">
        <is>
          <t>{"alt-svc":"h3=\":443\"; ma=2592000","apim-request-id":"16f51529-81c5-438d-b49c-7f7c62661f41","azureml-model-session":"d20260501041445-2c187743","connection":"close","content-length":"1653","content-type":"application/json","date":"Thu, 07 May 2026 08:22:32 GMT","server":"Caddy","skip-error-remapping":"true","strict-transport-security":"max-age=31536000; includeSubDomains; preload","x-accel-buffering":"no","x-content-type-options":"nosniff","x-ms-client-request-id":"Not-Set","x-ms-is-spilled-over":"false","x-ms-rai-invoked":"true","x-ms-region":"Australia East","x-new-api-version":"v1.0.0-rc.4","x-oneapi-request-id":"202605070822249145260588268d9d6dHuVFiwR","x-ratelimit-abusepenalty-active":"False","x-ratelimit-key":"gpt-5-chat-global","x-ratelimit-limit-requests":"1000","x-ratelimit-limit-tokens":"1000000","x-ratelimit-remaining-requests":"998","x-ratelimit-remaining-tokens":"997829","x-ratelimit-renewalperiod-requests":"60","x-ratelimit-renewalperiod-tokens":"60","x-ratelimit-reset-requests":"0","x-ratelimit-reset-tokens":"0","x-request-id":"d4678271-fc46-457f-a671-385d22d71ea6","x-shellapi-request-id":"2026050716222486251341157816730"}</t>
        </is>
      </c>
      <c r="N74" t="inlineStr">
        <is>
          <t>Alo Classic Sport Series Dark Gray Crew Socks, soft cotton blend, breathable, sweat-absorbing, keeps shape, ribbed stretch fit, white logo detail, unisex, ideal for daily wear or workouts.</t>
        </is>
      </c>
      <c r="O7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Socks &amp; Hosiery, kakobuy, kakebuy2026, kekobuysheet, kakobuysheet2026, 2026kakobuy, kakobuyspreadsheeet, kakobuylink, kakebuylist, Kakobuy MEGA Spreadsheet, kakobuysheetfind, kakobuysheetfind2026, 2026kakobuysheetfind, kakobuysheet2026","refusal":null,"role":"assistant"}}],"created":1778143515,"id":"chatcmpl-Dcoe3zf62IlptCxzBFpjN5f8IshU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21,"engine_ttft_ms":383,"engine_ttlt_ms":2343,"pre_inference_ms":163,"service_tbt_ms":21,"service_ttft_ms":687,"service_ttlt_ms":2646,"total_duration_ms":2492,"user_visible_ttft_ms":525},"prompt_tokens":786,"prompt_tokens_details":{"audio_tokens":0,"cached_tokens":0},"total_tokens":880}}</t>
        </is>
      </c>
      <c r="P74" t="inlineStr">
        <is>
          <t>Alo, Socks &amp; Hosiery, kakobuy, kakebuy2026, kekobuysheet, kakobuysheet2026, 2026kakobuy, kakobuyspreadsheeet, kakobuylink, kakebuylist, Kakobuy MEGA Spreadsheet, kakobuysheetfind, kakobuysheetfind2026, 2026kakobuysheetfind, kakobuysheet2026</t>
        </is>
      </c>
      <c r="Q74" t="inlineStr">
        <is>
          <t>Grey, Breathable, Unisex, All Seasons, Casual Footwear</t>
        </is>
      </c>
      <c r="R74" t="inlineStr">
        <is>
          <t>recvhju1CrgKr8</t>
        </is>
      </c>
      <c r="S74" t="inlineStr">
        <is>
          <t>alo-classic-sport-dark-gray-cotton-crew-socks-recvhju1crgkr8</t>
        </is>
      </c>
      <c r="T74"/>
      <c r="U74"/>
      <c r="V74"/>
      <c r="W74" t="inlineStr">
        <is>
          <t>{"id":"chatcmpl-DcnnsSMRXvV8vqQ43lPM21dOwgrGW","object":"chat.completion","created":1778140280,"model":"gpt-5-chat-latest","choices":[{"index":0,"message":{"role":"assistant","content":"Alo：经典运动系列深灰中筒袜，柔软棉质混纺面料，透气吸汗不易变形，罗纹弹力设计稳固贴合。简约白色logo点缀彰显极简美学，男女通用百搭休闲风格，适合日常与健身穿搭，展现舒适与质感并存的现代运动格调。","refusal":null,"annotations":[]},"logprobs":null,"finish_reason":"stop"}],"usage":{"prompt_tokens":1309,"completion_tokens":94,"total_tokens":1403,"prompt_tokens_details":{"cached_tokens":0,"audio_tokens":0},"completion_tokens_details":{"reasoning_tokens":0,"audio_tokens":0,"accepted_prediction_tokens":0,"rejected_prediction_tokens":0},"latency_checkpoint":{"service_ttft_ms":1422,"user_visible_ttft_ms":1280,"total_duration_ms":14796,"pre_inference_ms":142,"service_tbt_ms":144,"service_ttlt_ms":14931,"engine_ttft_ms":1046,"engine_ttlt_ms":14555,"engine_tbt_ms":144}},"service_tier":"default","system_fingerprint":"fp_fd471178c5"}</t>
        </is>
      </c>
      <c r="X74" t="inlineStr">
        <is>
          <t>Alo：经典运动系列深灰中筒袜，柔软棉质混纺面料，透气吸汗不易变形，罗纹弹力设计稳固贴合。简约白色logo点缀彰显极简美学，男女通用百搭休闲风格，适合日常与健身穿搭，展现舒适与质感并存的现代运动格调。</t>
        </is>
      </c>
    </row>
    <row r="75" ht="25.5" customHeight="1">
      <c r="A75">
        <v>1654975475</v>
      </c>
      <c r="B75">
        <v>7624327925</v>
      </c>
      <c r="C75" s="2" t="str">
        <f>=HYPERLINK("https://weidian.com/item.html?itemID=7624327925", "https://weidian.com/item.html?itemID=7624327925")</f>
        <v>https://weidian.com/item.html?itemID=7624327925</v>
      </c>
      <c r="D75"/>
      <c r="E75" s="2" t="str">
        <f>=HYPERLINK("https://si.geilicdn.com/pcitem2014204438-15b00000019ae7b98f200a8133cc_3024_3024.jpg?w=640&amp;h=640", "https://si.geilicdn.com/pcitem2014204438-15b00000019ae7b98f200a8133cc_3024_3024.jpg?w=640&amp;h=640")</f>
        <v>https://si.geilicdn.com/pcitem2014204438-15b00000019ae7b98f200a8133cc_3024_3024.jpg?w=640&amp;h=640</v>
      </c>
      <c r="F75" t="inlineStr">
        <is>
          <t>Socks &amp; Hosiery</t>
        </is>
      </c>
      <c r="G75" t="inlineStr">
        <is>
          <t>Dior</t>
        </is>
      </c>
      <c r="H75">
        <v>136</v>
      </c>
      <c r="I75">
        <v>19.71</v>
      </c>
      <c r="J7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Classic Navy Logo Jacquard Cotton Mid-Calf Socks","refusal":null,"role":"assistant"}}],"created":1778143097,"id":"chatcmpl-DcoXJDrZ98wN1Z9HNkB51iefHno5B","model":"gpt-5-chat-2025-10-03","object":"chat.completion","prompt_filter_results":[{"prompt_index":0,"content_filter_results":{"jailbreak":{"detected":false,"filtered":false}}}],"service_tier":"default","system_fingerprint":"fp_fd471178c5","usage":{"completion_tokens":14,"completion_tokens_details":{"accepted_prediction_tokens":0,"audio_tokens":0,"reasoning_tokens":0,"rejected_prediction_tokens":0},"latency_checkpoint":{"engine_tbt_ms":53,"engine_ttft_ms":1058,"engine_ttlt_ms":1795,"pre_inference_ms":201,"service_tbt_ms":58,"service_ttft_ms":1635,"service_ttlt_ms":2434,"total_duration_ms":2246,"user_visible_ttft_ms":1434},"prompt_tokens":891,"prompt_tokens_details":{"audio_tokens":0,"cached_tokens":0},"total_tokens":905}}</t>
        </is>
      </c>
      <c r="K75" t="inlineStr">
        <is>
          <t>Dior Classic Navy Logo Jacquard Cotton Mid-Calf Socks</t>
        </is>
      </c>
      <c r="L7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Dior Classic Navy Logo Jacquard Mid-Calf Socks made of soft, breathable high-stretch cotton, featuring iconic CD pattern for a touch of French elegance and casual style, perfect for men and women.","refusal":null,"role":"assistant"}}],"created":1778142280,"id":"chatcmpl-DcoK8tCBBEFuuN9viqicKmrvghR6x","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43,"completion_tokens_details":{"accepted_prediction_tokens":0,"audio_tokens":0,"reasoning_tokens":0,"rejected_prediction_tokens":0},"latency_checkpoint":{"engine_tbt_ms":88,"engine_ttft_ms":955,"engine_ttlt_ms":4731,"pre_inference_ms":170,"service_tbt_ms":88,"service_ttft_ms":1670,"service_ttlt_ms":5446,"total_duration_ms":5284,"user_visible_ttft_ms":1500},"prompt_tokens":906,"prompt_tokens_details":{"audio_tokens":0,"cached_tokens":0},"total_tokens":949}}</t>
        </is>
      </c>
      <c r="M75" t="inlineStr">
        <is>
          <t>{"alt-svc":"h3=\":443\"; ma=2592000","apim-request-id":"b5e0a0bf-701d-416b-b8a1-9edd582d704c","azureml-model-session":"d20260501041445-2c187743","connection":"close","content-length":"1660","content-type":"application/json","date":"Thu, 07 May 2026 08:24:45 GMT","skip-error-remapping":"true","strict-transport-security":"max-age=31536000; includeSubDomains; preload","via":"1.1 Caddy","x-accel-buffering":"no","x-content-type-options":"nosniff","x-ms-client-request-id":"Not-Set","x-ms-is-spilled-over":"false","x-ms-rai-invoked":"true","x-ms-region":"Sweden Central","x-new-api-version":"v1.0.0-rc.4","x-oneapi-request-id":"202605070824395252461478268d9d62yRtlHxl","x-ratelimit-abusepenalty-active":"False","x-ratelimit-key":"gpt-5-chat-global","x-ratelimit-limit-requests":"1000","x-ratelimit-limit-tokens":"1000000","x-ratelimit-remaining-requests":"999","x-ratelimit-remaining-tokens":"998332","x-ratelimit-renewalperiod-requests":"60","x-ratelimit-renewalperiod-tokens":"60","x-ratelimit-reset-requests":"0","x-ratelimit-reset-tokens":"0","x-request-id":"a0b6c8dd-fd54-4730-bffa-036e21280d0c","x-shellapi-request-id":"2026050716243947004559725322085"}</t>
        </is>
      </c>
      <c r="N75" t="inlineStr">
        <is>
          <t>Dior Classic Navy Logo Jacquard Mid-Calf Socks made of soft, breathable high-stretch cotton, featuring iconic CD pattern for a touch of French elegance and casual style, perfect for men and women.</t>
        </is>
      </c>
      <c r="O75"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filtered"}},"content_filter_results":{"protected_material_code":{"detected":false,"filtered":false},"protected_material_text":{"detected":false,"filtered":false}},"finish_reason":"stop","index":0,"logprobs":null,"message":{"annotations":[],"content":"Dior, Socks &amp; Hosiery, kakobuy, kakebuy2026, kekobuysheet, kakobuysheet2026, 2026kakobuy, kakobuyspreadsheeet, kakobuylink, kakebuylist, Kakobuy MEGA Spreadsheet, kakobuysheetfind, kakobuysheetfind2026, 2026kakobuysheetfind, kakobuysheet2026","refusal":null,"role":"assistant"}}],"created":1778143377,"id":"chatcmpl-DcobpHFpI1UhP7v0jK9YHe1pzfi9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19,"engine_ttft_ms":709,"engine_ttlt_ms":2489,"pre_inference_ms":146,"service_tbt_ms":19,"service_ttft_ms":1507,"service_ttlt_ms":3287,"total_duration_ms":3148,"user_visible_ttft_ms":1361},"prompt_tokens":786,"prompt_tokens_details":{"audio_tokens":0,"cached_tokens":0},"total_tokens":880}}</t>
        </is>
      </c>
      <c r="P75" t="inlineStr">
        <is>
          <t>Dior, Socks &amp; Hosiery, kakobuy, kakebuy2026, kekobuysheet, kakobuysheet2026, 2026kakobuy, kakobuyspreadsheeet, kakobuylink, kakebuylist, Kakobuy MEGA Spreadsheet, kakobuysheetfind, kakobuysheetfind2026, 2026kakobuysheetfind, kakobuysheet2026</t>
        </is>
      </c>
      <c r="Q75" t="inlineStr">
        <is>
          <t>Dior, Navy, Elegant, Men's And Women's</t>
        </is>
      </c>
      <c r="R75" t="inlineStr">
        <is>
          <t>recvhju1CrItIg</t>
        </is>
      </c>
      <c r="S75" t="inlineStr">
        <is>
          <t>dior-navy-logo-jacquard-cotton-mid-calf-socks-recvhju1crItIg</t>
        </is>
      </c>
      <c r="T75"/>
      <c r="U75"/>
      <c r="V75"/>
      <c r="W75" t="inlineStr">
        <is>
          <t>{"id":"chatcmpl-DcnuthF7Cfd8MaTzThBLlfIyI9HYZ","object":"chat.completion","created":1778140715,"model":"gpt-5-chat-latest","choices":[{"index":0,"message":{"role":"assistant","content":"Dior: 经典海军蓝Logo提花中筒袜，甄选高弹棉质面料，柔软透气，饰以标志性CD字母图腾，展现法式优雅与休闲格调，男女皆宜，适合都市时尚穿搭。","refusal":null,"annotations":[]},"logprobs":null,"finish_reason":"stop"}],"usage":{"prompt_tokens":1305,"completion_tokens":68,"total_tokens":1373,"prompt_tokens_details":{"cached_tokens":1280,"audio_tokens":0},"completion_tokens_details":{"reasoning_tokens":0,"audio_tokens":0,"accepted_prediction_tokens":0,"rejected_prediction_tokens":0},"latency_checkpoint":{"service_ttft_ms":634,"user_visible_ttft_ms":519,"total_duration_ms":2533,"pre_inference_ms":115,"service_tbt_ms":30,"service_ttlt_ms":2641,"engine_ttft_ms":390,"engine_ttlt_ms":2398,"engine_tbt_ms":30}},"service_tier":"default","system_fingerprint":"fp_fd471178c5"}</t>
        </is>
      </c>
      <c r="X75" t="inlineStr">
        <is>
          <t>Dior: 经典海军蓝Logo提花中筒袜，甄选高弹棉质面料，柔软透气，饰以标志性CD字母图腾，展现法式优雅与休闲格调，男女皆宜，适合都市时尚穿搭。</t>
        </is>
      </c>
    </row>
    <row r="76" ht="25.5" customHeight="1">
      <c r="A76">
        <v>1654975475</v>
      </c>
      <c r="B76">
        <v>7627116402</v>
      </c>
      <c r="C76" s="2" t="str">
        <f>=HYPERLINK("https://weidian.com/item.html?itemID=7627116402", "https://weidian.com/item.html?itemID=7627116402")</f>
        <v>https://weidian.com/item.html?itemID=7627116402</v>
      </c>
      <c r="D76"/>
      <c r="E76" s="2" t="str">
        <f>=HYPERLINK("https://si.geilicdn.com/pcitem902014207253-70570000019ae74d514a0a20e284_1440_1920.jpg?w=640&amp;h=640", "https://si.geilicdn.com/pcitem902014207253-70570000019ae74d514a0a20e284_1440_1920.jpg?w=640&amp;h=640")</f>
        <v>https://si.geilicdn.com/pcitem902014207253-70570000019ae74d514a0a20e284_1440_1920.jpg?w=640&amp;h=640</v>
      </c>
      <c r="F76" t="inlineStr">
        <is>
          <t>Accessories</t>
        </is>
      </c>
      <c r="G76" t="inlineStr">
        <is>
          <t>Mizuno</t>
        </is>
      </c>
      <c r="H76">
        <v>310</v>
      </c>
      <c r="I76">
        <v>44.93</v>
      </c>
      <c r="J7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zuno Orange Ripstop Nylon Travel Backpack","refusal":null,"role":"assistant"}}],"created":1778142989,"id":"chatcmpl-DcoVZjiO7nWslLgM93g2D6vxhGKJ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19,"engine_ttft_ms":892,"engine_ttlt_ms":1086,"pre_inference_ms":127,"service_tbt_ms":20,"service_ttft_ms":1178,"service_ttlt_ms":1371,"total_duration_ms":1252,"user_visible_ttft_ms":1051},"prompt_tokens":880,"prompt_tokens_details":{"audio_tokens":0,"cached_tokens":0},"total_tokens":890}}</t>
        </is>
      </c>
      <c r="K76" t="inlineStr">
        <is>
          <t>Mizuno Orange Ripstop Nylon Travel Backpack</t>
        </is>
      </c>
      <c r="L7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izuno Orange Sports Backpack made of lightweight ripstop nylon with padded straps and multi-layer storage, offering urban functionality and minimalist design for men and women, ideal for travel and outdoor use.","refusal":null,"role":"assistant"}}],"created":1778142243,"id":"chatcmpl-DcoJXiWHLlmN5d4pN6xTI4LqAZ9Nv","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81,"engine_ttft_ms":833,"engine_ttlt_ms":3984,"pre_inference_ms":182,"service_tbt_ms":81,"service_ttft_ms":1595,"service_ttlt_ms":4746,"total_duration_ms":4579,"user_visible_ttft_ms":1413},"prompt_tokens":905,"prompt_tokens_details":{"audio_tokens":0,"cached_tokens":0},"total_tokens":944}}</t>
        </is>
      </c>
      <c r="M76" t="inlineStr">
        <is>
          <t>{"alt-svc":"h3=\":443\"; ma=2592000","apim-request-id":"582a8495-4a40-4156-b3c6-dc8edf010cd9","azureml-model-session":"d20260501041445-2c187743","connection":"close","content-length":"1675","content-type":"application/json","date":"Thu, 07 May 2026 08:24:08 GMT","server":"Caddy","skip-error-remapping":"true","strict-transport-security":"max-age=31536000; includeSubDomains; preload","x-accel-buffering":"no","x-content-type-options":"nosniff","x-ms-client-request-id":"Not-Set","x-ms-is-spilled-over":"false","x-ms-rai-invoked":"true","x-ms-region":"Sweden Central","x-new-api-version":"v1.0.0-rc.4","x-oneapi-request-id":"20260507082402680888328268d9d6UvHMQiGl","x-ratelimit-abusepenalty-active":"False","x-ratelimit-key":"gpt-5-chat-global","x-ratelimit-limit-requests":"1000","x-ratelimit-limit-tokens":"1000000","x-ratelimit-remaining-requests":"999","x-ratelimit-remaining-tokens":"998333","x-ratelimit-renewalperiod-requests":"60","x-ratelimit-renewalperiod-tokens":"60","x-ratelimit-reset-requests":"0","x-ratelimit-reset-tokens":"0","x-request-id":"4063f021-e6e2-4475-a705-d48768001c1b","x-shellapi-request-id":"202605071624021759808411245189"}</t>
        </is>
      </c>
      <c r="N76" t="inlineStr">
        <is>
          <t>Mizuno Orange Sports Backpack made of lightweight ripstop nylon with padded straps and multi-layer storage, offering urban functionality and minimalist design for men and women, ideal for travel and outdoor use.</t>
        </is>
      </c>
      <c r="O7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zuno,Backpacks,kakobuy,kakebuy2026,kekobuysheet,kakobuysheet2026,2026kakobuy,kakobuyspreadsheeet,kakobuylink,kakebuylist,Kakobuy MEGA Spreadsheet,kakobuysheetfind,kakobuysheetfind2026,2026kakobuysheetfind,kakobuysheet2026","refusal":null,"role":"assistant"}}],"created":1778143488,"id":"chatcmpl-DcodcBbgN6U1oZhrViGW68tOtjdI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113,"engine_ttft_ms":917,"engine_ttlt_ms":10953,"pre_inference_ms":189,"service_tbt_ms":113,"service_ttft_ms":1306,"service_ttlt_ms":11341,"total_duration_ms":11164,"user_visible_ttft_ms":1117},"prompt_tokens":783,"prompt_tokens_details":{"audio_tokens":0,"cached_tokens":0},"total_tokens":872}}</t>
        </is>
      </c>
      <c r="P76" t="inlineStr">
        <is>
          <t>Mizuno,Backpacks,kakobuy,kakebuy2026,kekobuysheet,kakobuysheet2026,2026kakobuy,kakobuyspreadsheeet,kakobuylink,kakebuylist,Kakobuy MEGA Spreadsheet,kakobuysheetfind,kakobuysheetfind2026,2026kakobuysheetfind,kakobuysheet2026</t>
        </is>
      </c>
      <c r="Q76" t="inlineStr">
        <is>
          <t>Backpack, Orange, Lightweight, Unisex, Outdoor, Minimalist</t>
        </is>
      </c>
      <c r="R76" t="inlineStr">
        <is>
          <t>recvhju1CrLOY8</t>
        </is>
      </c>
      <c r="S76" t="inlineStr">
        <is>
          <t>mizuno-orange-ripstop-nylon-travel-backpack-recvhju1crloy8</t>
        </is>
      </c>
      <c r="T76"/>
      <c r="U76"/>
      <c r="V76"/>
      <c r="W76" t="inlineStr">
        <is>
          <t>{"id":"chatcmpl-DcntwhA9x51jKGAZI7XjaDjP6d0Vy","object":"chat.completion","created":1778140656,"model":"gpt-5-chat-latest","choices":[{"index":0,"message":{"role":"assistant","content":"Mizuno橙色运动背包，采用轻盈防撕裂尼龙材质，配以加厚肩带与多层收纳设计，展现都市机能风格；男女通用款，适合休闲出行与户外运动，彰显品牌高性能与简约美学。","refusal":null,"annotations":[]},"logprobs":null,"finish_reason":"stop"}],"usage":{"prompt_tokens":1301,"completion_tokens":71,"total_tokens":1372,"prompt_tokens_details":{"cached_tokens":1280,"audio_tokens":0},"completion_tokens_details":{"reasoning_tokens":0,"audio_tokens":0,"accepted_prediction_tokens":0,"rejected_prediction_tokens":0},"latency_checkpoint":{"service_ttft_ms":911,"user_visible_ttft_ms":746,"total_duration_ms":2336,"pre_inference_ms":166,"service_tbt_ms":22,"service_ttlt_ms":2495,"engine_ttft_ms":438,"engine_ttlt_ms":2022,"engine_tbt_ms":22}},"service_tier":"default","system_fingerprint":"fp_fd471178c5"}</t>
        </is>
      </c>
      <c r="X76" t="inlineStr">
        <is>
          <t>Mizuno橙色运动背包，采用轻盈防撕裂尼龙材质，配以加厚肩带与多层收纳设计，展现都市机能风格；男女通用款，适合休闲出行与户外运动，彰显品牌高性能与简约美学。</t>
        </is>
      </c>
    </row>
    <row r="77" ht="25.5" customHeight="1">
      <c r="A77">
        <v>1654975475</v>
      </c>
      <c r="B77">
        <v>7624087027</v>
      </c>
      <c r="C77" s="2" t="str">
        <f>=HYPERLINK("https://weidian.com/item.html?itemID=7624087027", "https://weidian.com/item.html?itemID=7624087027")</f>
        <v>https://weidian.com/item.html?itemID=7624087027</v>
      </c>
      <c r="D77"/>
      <c r="E77" s="2" t="str">
        <f>=HYPERLINK("https://si.geilicdn.com/pcitem902014207253-41110000019ae748f2040a210139_1440_1919.jpg?w=640&amp;h=640", "https://si.geilicdn.com/pcitem902014207253-41110000019ae748f2040a210139_1440_1919.jpg?w=640&amp;h=640")</f>
        <v>https://si.geilicdn.com/pcitem902014207253-41110000019ae748f2040a210139_1440_1919.jpg?w=640&amp;h=640</v>
      </c>
      <c r="F77" t="inlineStr">
        <is>
          <t>Accessories</t>
        </is>
      </c>
      <c r="G77" t="inlineStr">
        <is>
          <t>Helly Hansen</t>
        </is>
      </c>
      <c r="H77">
        <v>360</v>
      </c>
      <c r="I77">
        <v>52.17</v>
      </c>
      <c r="J7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lly Hansen Black Waterproof Nylon Backpack","refusal":null,"role":"assistant"}}],"created":1778143077,"id":"chatcmpl-DcoWzmBtqAsvXulvWsJ4FheK9v3V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completion_tokens_details":{"accepted_prediction_tokens":0,"audio_tokens":0,"reasoning_tokens":0,"rejected_prediction_tokens":0},"latency_checkpoint":{"engine_tbt_ms":15,"engine_ttft_ms":833,"engine_ttlt_ms":953,"pre_inference_ms":144,"service_tbt_ms":22,"service_ttft_ms":1274,"service_ttlt_ms":1335,"total_duration_ms":1194,"user_visible_ttft_ms":1130},"prompt_tokens":880,"prompt_tokens_details":{"audio_tokens":0,"cached_tokens":0},"total_tokens":888}}</t>
        </is>
      </c>
      <c r="K77" t="inlineStr">
        <is>
          <t>Helly Hansen Black Waterproof Nylon Backpack</t>
        </is>
      </c>
      <c r="L7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lly Hansen black waterproof lightweight backpack made of durable nylon, featuring sleek design, gray HH logo, multi-compartment storage, ideal for urban commuting and outdoor activities, unisex Scandinavian style.","refusal":null,"role":"assistant"}}],"created":1778142218,"id":"chatcmpl-DcoJ8yv4JJrFNouCh1XMHF2Dtiyj5","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22,"engine_ttft_ms":383,"engine_ttlt_ms":1224,"pre_inference_ms":167,"service_tbt_ms":22,"service_ttft_ms":681,"service_ttlt_ms":1526,"total_duration_ms":1362,"user_visible_ttft_ms":514},"prompt_tokens":902,"prompt_tokens_details":{"audio_tokens":0,"cached_tokens":0},"total_tokens":941}}</t>
        </is>
      </c>
      <c r="M77" t="inlineStr">
        <is>
          <t>{"alt-svc":"h3=\":443\"; ma=2592000","apim-request-id":"97900d65-9c74-42c2-93a6-dae784985c14","azureml-model-session":"d20260428174121-807d9cc5","connection":"close","content-length":"1677","content-type":"application/json","date":"Thu, 07 May 2026 08:23:39 GMT","skip-error-remapping":"true","strict-transport-security":"max-age=31536000; includeSubDomains; preload","via":"1.1 Caddy","x-accel-buffering":"no","x-content-type-options":"nosniff","x-ms-client-request-id":"Not-Set","x-ms-is-spilled-over":"false","x-ms-rai-invoked":"true","x-ms-region":"East US 2","x-new-api-version":"v1.0.0-rc.4","x-oneapi-request-id":"202605070823377544515118268d9d6wU6V0GaU","x-ratelimit-abusepenalty-active":"False","x-ratelimit-key":"gpt-5-chat-global","x-ratelimit-limit-requests":"1000","x-ratelimit-limit-tokens":"1000000","x-ratelimit-remaining-requests":"999","x-ratelimit-remaining-tokens":"998336","x-ratelimit-renewalperiod-requests":"60","x-ratelimit-renewalperiod-tokens":"60","x-ratelimit-reset-requests":"0","x-ratelimit-reset-tokens":"0","x-request-id":"0c1c9cc7-c82a-4003-9e24-181ee9d3f1b6","x-shellapi-request-id":"2026050716233770327863668923190"}</t>
        </is>
      </c>
      <c r="N77" t="inlineStr">
        <is>
          <t>Helly Hansen black waterproof lightweight backpack made of durable nylon, featuring sleek design, gray HH logo, multi-compartment storage, ideal for urban commuting and outdoor activities, unisex Scandinavian style.</t>
        </is>
      </c>
      <c r="O7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lly Hansen,Backpack,kakobuy,kakebuy2026,kekobuysheet,kakobuysheet2026,2026kakobuy,kakobuyspreadsheeet,kakobuylink,kakebuylist,Kakobuy MEGA Spreadsheet,kakobuysheetfind,kakobuysheetfind2026,2026kakobuysheetfind,kakobuysheet2026","refusal":null,"role":"assistant"}}],"created":1778143613,"id":"chatcmpl-DcofdPt9EXQoqOHk0AnsjzgLUILI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67,"engine_ttft_ms":340,"engine_ttlt_ms":6326,"pre_inference_ms":171,"service_tbt_ms":72,"service_ttft_ms":611,"service_ttlt_ms":6596,"total_duration_ms":6815,"user_visible_ttft_ms":440},"prompt_tokens":783,"prompt_tokens_details":{"audio_tokens":0,"cached_tokens":0},"total_tokens":872}}</t>
        </is>
      </c>
      <c r="P77" t="inlineStr">
        <is>
          <t>Helly Hansen,Backpack,kakobuy,kakebuy2026,kekobuysheet,kakobuysheet2026,2026kakobuy,kakobuyspreadsheeet,kakobuylink,kakebuylist,Kakobuy MEGA Spreadsheet,kakobuysheetfind,kakobuysheetfind2026,2026kakobuysheetfind,kakobuysheet2026</t>
        </is>
      </c>
      <c r="Q77" t="inlineStr">
        <is>
          <t>Backpack, Black, Waterproof, Lightweight, Nylon, Unisex</t>
        </is>
      </c>
      <c r="R77" t="inlineStr">
        <is>
          <t>recvhju1CrfIS1</t>
        </is>
      </c>
      <c r="S77" t="inlineStr">
        <is>
          <t>helly-hansen-black-waterproof-nylon-backpack-recvhju1crfis1</t>
        </is>
      </c>
      <c r="T77"/>
      <c r="U77"/>
      <c r="V77"/>
      <c r="W77" t="inlineStr">
        <is>
          <t>{"id":"chatcmpl-DcntfZZ3OXpW3BSeqWanEpPvFiGWx","object":"chat.completion","created":1778140639,"model":"gpt-5-chat-latest","choices":[{"index":0,"message":{"role":"assistant","content":"Helly Hansen黑色防水轻盈背包，采用耐磨尼龙材质，简约流线设计，正面印灰色HH标识，多层收纳空间结构合理，适合都市通勤与户外运动，男女皆宜，展现斯堪的纳维亚功能美学。","refusal":null,"annotations":[]},"logprobs":null,"finish_reason":"stop"}],"usage":{"prompt_tokens":1297,"completion_tokens":71,"total_tokens":1368,"prompt_tokens_details":{"cached_tokens":1280,"audio_tokens":0},"completion_tokens_details":{"reasoning_tokens":0,"audio_tokens":0,"accepted_prediction_tokens":0,"rejected_prediction_tokens":0},"latency_checkpoint":{"service_ttft_ms":757,"user_visible_ttft_ms":578,"total_duration_ms":2701,"pre_inference_ms":178,"service_tbt_ms":30,"service_ttlt_ms":2871,"engine_ttft_ms":431,"engine_ttlt_ms":2550,"engine_tbt_ms":30}},"service_tier":"default","system_fingerprint":"fp_fd471178c5"}</t>
        </is>
      </c>
      <c r="X77" t="inlineStr">
        <is>
          <t>Helly Hansen黑色防水轻盈背包，采用耐磨尼龙材质，简约流线设计，正面印灰色HH标识，多层收纳空间结构合理，适合都市通勤与户外运动，男女皆宜，展现斯堪的纳维亚功能美学。</t>
        </is>
      </c>
    </row>
    <row r="78" ht="25.5" customHeight="1">
      <c r="A78">
        <v>1654975475</v>
      </c>
      <c r="B78">
        <v>7626923628</v>
      </c>
      <c r="C78" s="2" t="str">
        <f>=HYPERLINK("https://weidian.com/item.html?itemID=7626923628", "https://weidian.com/item.html?itemID=7626923628")</f>
        <v>https://weidian.com/item.html?itemID=7626923628</v>
      </c>
      <c r="D78"/>
      <c r="E78" s="2" t="str">
        <f>=HYPERLINK("https://si.geilicdn.com/pcitem2014204438-4aac0000019ae499218e0a20e2c5_1440_1920.jpg?w=640&amp;h=640", "https://si.geilicdn.com/pcitem2014204438-4aac0000019ae499218e0a20e2c5_1440_1920.jpg?w=640&amp;h=640")</f>
        <v>https://si.geilicdn.com/pcitem2014204438-4aac0000019ae499218e0a20e2c5_1440_1920.jpg?w=640&amp;h=640</v>
      </c>
      <c r="F78" t="inlineStr">
        <is>
          <t>Accessories</t>
        </is>
      </c>
      <c r="G78" t="inlineStr">
        <is>
          <t>On Running</t>
        </is>
      </c>
      <c r="H78">
        <v>360</v>
      </c>
      <c r="I78">
        <v>52.17</v>
      </c>
      <c r="J7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n Running Orange Lightweight Travel Sports Bag","refusal":null,"role":"assistant"}}],"created":1778142895,"id":"chatcmpl-DcoU3VY4Sp1kR0EG5za6l18JuegO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completion_tokens_details":{"accepted_prediction_tokens":0,"audio_tokens":0,"reasoning_tokens":0,"rejected_prediction_tokens":0},"latency_checkpoint":{"engine_tbt_ms":79,"engine_ttft_ms":791,"engine_ttlt_ms":1425,"pre_inference_ms":162,"service_tbt_ms":80,"service_ttft_ms":1174,"service_ttlt_ms":1807,"total_duration_ms":1654,"user_visible_ttft_ms":1012},"prompt_tokens":879,"prompt_tokens_details":{"audio_tokens":0,"cached_tokens":0},"total_tokens":887}}</t>
        </is>
      </c>
      <c r="K78" t="inlineStr">
        <is>
          <t>On Running Orange Lightweight Travel Sports Bag</t>
        </is>
      </c>
      <c r="L7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n Running Orange Multifunctional Travel Sports Bag, lightweight ripstop nylon, dual carry shoulder and hand design, minimalist logo, unisex urban outdoor style, stylish and practical for daily adventures.","refusal":null,"role":"assistant"}}],"created":1778141974,"id":"chatcmpl-DcoFCePDBuVfjjztkCWTsU8oFkS0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21,"engine_ttft_ms":886,"engine_ttlt_ms":1718,"pre_inference_ms":130,"service_tbt_ms":22,"service_ttft_ms":1494,"service_ttlt_ms":2324,"total_duration_ms":2205,"user_visible_ttft_ms":1364},"prompt_tokens":908,"prompt_tokens_details":{"audio_tokens":0,"cached_tokens":0},"total_tokens":947}}</t>
        </is>
      </c>
      <c r="M78" t="inlineStr">
        <is>
          <t>{"alt-svc":"h3=\":443\"; ma=2592000","apim-request-id":"1c39c10d-f07f-4420-9110-ad6f3aa9b562","azureml-model-session":"d20260429094557-48622491","connection":"close","content-length":"1669","content-type":"application/json","date":"Thu, 07 May 2026 08:19:36 GMT","skip-error-remapping":"true","strict-transport-security":"max-age=31536000; includeSubDomains; preload","via":"1.1 Caddy","x-accel-buffering":"no","x-content-type-options":"nosniff","x-ms-client-request-id":"Not-Set","x-ms-is-spilled-over":"false","x-ms-rai-invoked":"true","x-ms-region":"Korea Central","x-new-api-version":"v1.0.0-rc.4","x-oneapi-request-id":"202605070819326559908718268d9d6r1O10nMz","x-ratelimit-abusepenalty-active":"False","x-ratelimit-key":"gpt-5-chat-global","x-ratelimit-limit-requests":"1000","x-ratelimit-limit-tokens":"1000000","x-ratelimit-remaining-requests":"999","x-ratelimit-remaining-tokens":"998330","x-ratelimit-renewalperiod-requests":"60","x-ratelimit-renewalperiod-tokens":"60","x-ratelimit-reset-requests":"0","x-ratelimit-reset-tokens":"0","x-request-id":"d9dc5650-b474-4266-8821-859686bdbbfc","x-shellapi-request-id":"2026050716193260238793404428439"}</t>
        </is>
      </c>
      <c r="N78" t="inlineStr">
        <is>
          <t>On Running Orange Multifunctional Travel Sports Bag, lightweight ripstop nylon, dual carry shoulder and hand design, minimalist logo, unisex urban outdoor style, stylish and practical for daily adventures.</t>
        </is>
      </c>
      <c r="O7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n Running,Accessories,kakobuy,kakebuy2026,kekobuysheet,kakobuysheet2026,2026kakobuy,kakobuyspreadsheeet,kakobuylink,kakebuylist,Kakobuy MEGA Spreadsheet,kakobuysheetfind,kakobuysheetfind2026,2026kakobuysheetfind,kakobuysheet2026","refusal":null,"role":"assistant"}}],"created":1778143606,"id":"chatcmpl-DcofWX5xERogCnGmUyrawzPJoPLb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87,"completion_tokens_details":{"accepted_prediction_tokens":0,"audio_tokens":0,"reasoning_tokens":0,"rejected_prediction_tokens":0},"latency_checkpoint":{"engine_tbt_ms":18,"engine_ttft_ms":1000,"engine_ttlt_ms":2577,"pre_inference_ms":131,"service_tbt_ms":18,"service_ttft_ms":1875,"service_ttlt_ms":3451,"total_duration_ms":3327,"user_visible_ttft_ms":1745},"prompt_tokens":782,"prompt_tokens_details":{"audio_tokens":0,"cached_tokens":0},"total_tokens":869}}</t>
        </is>
      </c>
      <c r="P78" t="inlineStr">
        <is>
          <t>On Running,Accessories,kakobuy,kakebuy2026,kekobuysheet,kakobuysheet2026,2026kakobuy,kakobuyspreadsheeet,kakobuylink,kakebuylist,Kakobuy MEGA Spreadsheet,kakobuysheetfind,kakobuysheetfind2026,2026kakobuysheetfind,kakobuysheet2026</t>
        </is>
      </c>
      <c r="Q78" t="inlineStr">
        <is>
          <t>Unisex, Outdoor, Lightweight, Nylon, Minimalist, Streetwear</t>
        </is>
      </c>
      <c r="R78" t="inlineStr">
        <is>
          <t>recvhju1Cr58z1</t>
        </is>
      </c>
      <c r="S78" t="inlineStr">
        <is>
          <t>on-running-orange-lightweight-travel-sports-bag-recvhju1cr58z1</t>
        </is>
      </c>
      <c r="T78"/>
      <c r="U78"/>
      <c r="V78"/>
      <c r="W78" t="inlineStr">
        <is>
          <t>{"id":"chatcmpl-DcnuuRShIvYGK1nAPuQYdwqq3GjuF","object":"chat.completion","created":1778140716,"model":"gpt-5-chat-latest","choices":[{"index":0,"message":{"role":"assistant","content":"On Running：橙色多功能运动旅行包，轻质防撕裂尼龙面料，双肩与手提两用设计，极简LOGO点缀彰显现代运动美学，适合男女通用，融合都市出行与户外探旅风格，兼具实用与时尚。","refusal":null,"annotations":[]},"logprobs":null,"finish_reason":"stop"}],"usage":{"prompt_tokens":1303,"completion_tokens":73,"total_tokens":1376,"prompt_tokens_details":{"cached_tokens":1280,"audio_tokens":0},"completion_tokens_details":{"reasoning_tokens":0,"audio_tokens":0,"accepted_prediction_tokens":0,"rejected_prediction_tokens":0},"latency_checkpoint":{"service_ttft_ms":632,"user_visible_ttft_ms":474,"total_duration_ms":9634,"pre_inference_ms":157,"service_tbt_ms":125,"service_ttlt_ms":9752,"engine_ttft_ms":375,"engine_ttlt_ms":9497,"engine_tbt_ms":125}},"service_tier":"default","system_fingerprint":"fp_fd471178c5"}</t>
        </is>
      </c>
      <c r="X78" t="inlineStr">
        <is>
          <t>On Running：橙色多功能运动旅行包，轻质防撕裂尼龙面料，双肩与手提两用设计，极简LOGO点缀彰显现代运动美学，适合男女通用，融合都市出行与户外探旅风格，兼具实用与时尚。</t>
        </is>
      </c>
    </row>
    <row r="79" ht="25.5" customHeight="1">
      <c r="A79">
        <v>1654975475</v>
      </c>
      <c r="B79">
        <v>7623914465</v>
      </c>
      <c r="C79" s="2" t="str">
        <f>=HYPERLINK("https://weidian.com/item.html?itemID=7623914465", "https://weidian.com/item.html?itemID=7623914465")</f>
        <v>https://weidian.com/item.html?itemID=7623914465</v>
      </c>
      <c r="D79"/>
      <c r="E79" s="2" t="str">
        <f>=HYPERLINK("https://si.geilicdn.com/pcitem2014204438-6fce0000019ae494f44c0a2301b4_1280_1280.jpg?w=640&amp;h=640", "https://si.geilicdn.com/pcitem2014204438-6fce0000019ae494f44c0a2301b4_1280_1280.jpg?w=640&amp;h=640")</f>
        <v>https://si.geilicdn.com/pcitem2014204438-6fce0000019ae494f44c0a2301b4_1280_1280.jpg?w=640&amp;h=640</v>
      </c>
      <c r="F79" t="inlineStr">
        <is>
          <t>Accessories</t>
        </is>
      </c>
      <c r="G79" t="inlineStr">
        <is>
          <t>lululemon</t>
        </is>
      </c>
      <c r="H79">
        <v>310</v>
      </c>
      <c r="I79">
        <v>44.93</v>
      </c>
      <c r="J7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Off White Waterproof Nylon Functional Backpack","refusal":null,"role":"assistant"}}],"created":1778142887,"id":"chatcmpl-DcoTvtLXfzToDjDp3yjMSqFCwZkr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85,"engine_ttft_ms":343,"engine_ttlt_ms":1276,"pre_inference_ms":170,"service_tbt_ms":86,"service_ttft_ms":574,"service_ttlt_ms":1506,"total_duration_ms":1348,"user_visible_ttft_ms":403},"prompt_tokens":882,"prompt_tokens_details":{"audio_tokens":0,"cached_tokens":0},"total_tokens":893}}</t>
        </is>
      </c>
      <c r="K79" t="inlineStr">
        <is>
          <t>Lululemon Off White Waterproof Nylon Functional Backpack</t>
        </is>
      </c>
      <c r="L7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Off-White Functional Backpack made of high-density waterproof nylon, adjustable straps and metal buckles, lightweight, durable, unisex, perfect for daily commute and urban casual style.","refusal":null,"role":"assistant"}}],"created":1778142167,"id":"chatcmpl-DcoIJy74uFMNKTYjYF1qfFyeuVH0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17,"engine_ttft_ms":922,"engine_ttlt_ms":1592,"pre_inference_ms":118,"service_tbt_ms":17,"service_ttft_ms":1345,"service_ttlt_ms":2016,"total_duration_ms":1904,"user_visible_ttft_ms":1227},"prompt_tokens":910,"prompt_tokens_details":{"audio_tokens":0,"cached_tokens":0},"total_tokens":950}}</t>
        </is>
      </c>
      <c r="M79" t="inlineStr">
        <is>
          <t>{"alt-svc":"h3=\":443\"; ma=2592000","apim-request-id":"13001acd-d92b-471d-a4d1-6beee92a2468","azureml-model-session":"d20260429094557-48622491","connection":"close","content-length":"1659","content-type":"application/json","date":"Thu, 07 May 2026 08:22:49 GMT","skip-error-remapping":"true","strict-transport-security":"max-age=31536000; includeSubDomains; preload","via":"1.1 Caddy","x-accel-buffering":"no","x-content-type-options":"nosniff","x-ms-client-request-id":"Not-Set","x-ms-is-spilled-over":"false","x-ms-rai-invoked":"true","x-ms-region":"Switzerland North","x-new-api-version":"v1.0.0-rc.4","x-oneapi-request-id":"202605070822468360817788268d9d6vDZyhTPp","x-ratelimit-abusepenalty-active":"False","x-ratelimit-key":"gpt-5-chat-global","x-ratelimit-limit-requests":"1000","x-ratelimit-limit-tokens":"1000000","x-ratelimit-remaining-requests":"999","x-ratelimit-remaining-tokens":"998328","x-ratelimit-renewalperiod-requests":"60","x-ratelimit-renewalperiod-tokens":"60","x-ratelimit-reset-requests":"0","x-ratelimit-reset-tokens":"0","x-request-id":"555d1102-2446-4a1a-a3cc-fa2db165c97a","x-shellapi-request-id":"2026050716224678463383219619997"}</t>
        </is>
      </c>
      <c r="N79" t="inlineStr">
        <is>
          <t>Lululemon Off-White Functional Backpack made of high-density waterproof nylon, adjustable straps and metal buckles, lightweight, durable, unisex, perfect for daily commute and urban casual style.</t>
        </is>
      </c>
      <c r="O7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Accessories,kakobuy,kakebuy2026,kekobuysheet,kakobuysheet2026,2026kakobuy,kakobuyspreadsheeet,kakobuylink,kakebuylist,Kakobuy MEGA Spreadsheet,kakobuysheetfind,kakobuysheetfind2026,2026kakobuysheetfind,kakobuysheet2026","refusal":null,"role":"assistant"}}],"created":1778143712,"id":"chatcmpl-DcohExyhthrHMb6pB3Qz7yOmnTCi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17,"engine_ttft_ms":945,"engine_ttlt_ms":2499,"pre_inference_ms":114,"service_tbt_ms":18,"service_ttft_ms":1378,"service_ttlt_ms":2932,"total_duration_ms":2825,"user_visible_ttft_ms":1264},"prompt_tokens":783,"prompt_tokens_details":{"audio_tokens":0,"cached_tokens":0},"total_tokens":872}}</t>
        </is>
      </c>
      <c r="P79" t="inlineStr">
        <is>
          <t>Lululemon,Accessories,kakobuy,kakebuy2026,kekobuysheet,kakobuysheet2026,2026kakobuy,kakobuyspreadsheeet,kakobuylink,kakebuylist,Kakobuy MEGA Spreadsheet,kakobuysheetfind,kakobuysheetfind2026,2026kakobuysheetfind,kakobuysheet2026</t>
        </is>
      </c>
      <c r="Q79" t="inlineStr">
        <is>
          <t>Backpack, Waterproof, Nylon, Lightweight, Unisex</t>
        </is>
      </c>
      <c r="R79" t="inlineStr">
        <is>
          <t>recvhju1CrKjl3</t>
        </is>
      </c>
      <c r="S79" t="inlineStr">
        <is>
          <t>lululemon-off-white-waterproof-nylon-backpack-recvhju1crkjl3</t>
        </is>
      </c>
      <c r="T79"/>
      <c r="U79"/>
      <c r="V79"/>
      <c r="W79" t="inlineStr">
        <is>
          <t>{"id":"chatcmpl-DcnrTMjyHHlnd8P9p64fKJt9NtHjC","object":"chat.completion","created":1778140503,"model":"gpt-5-chat-latest","choices":[{"index":0,"message":{"role":"assistant","content":"Lululemon：米白色功能背包，采用高密度防水尼龙面料，搭配可调节肩带与金属扣设计，简约实用风格，男女通用，融合都市运动与时尚元素，轻盈耐磨，适合日常通勤与休闲出行。","refusal":null,"annotations":[]},"logprobs":null,"finish_reason":"stop"}],"usage":{"prompt_tokens":1307,"completion_tokens":73,"total_tokens":1380,"prompt_tokens_details":{"cached_tokens":0,"audio_tokens":0},"completion_tokens_details":{"reasoning_tokens":0,"audio_tokens":0,"accepted_prediction_tokens":0,"rejected_prediction_tokens":0},"latency_checkpoint":{"service_ttft_ms":1376,"user_visible_ttft_ms":1189,"total_duration_ms":9909,"pre_inference_ms":188,"service_tbt_ms":119,"service_ttlt_ms":10087,"engine_ttft_ms":902,"engine_ttlt_ms":9626,"engine_tbt_ms":120}},"service_tier":"default","system_fingerprint":"fp_fd471178c5"}</t>
        </is>
      </c>
      <c r="X79" t="inlineStr">
        <is>
          <t>Lululemon：米白色功能背包，采用高密度防水尼龙面料，搭配可调节肩带与金属扣设计，简约实用风格，男女通用，融合都市运动与时尚元素，轻盈耐磨，适合日常通勤与休闲出行。</t>
        </is>
      </c>
    </row>
    <row r="80" ht="25.5" customHeight="1">
      <c r="A80">
        <v>1654975475</v>
      </c>
      <c r="B80">
        <v>7694323117</v>
      </c>
      <c r="C80" s="2" t="str">
        <f>=HYPERLINK("https://weidian.com/item.html?itemID=7694323117", "https://weidian.com/item.html?itemID=7694323117")</f>
        <v>https://weidian.com/item.html?itemID=7694323117</v>
      </c>
      <c r="D80"/>
      <c r="E80" s="2" t="str">
        <f>=HYPERLINK("https://si.geilicdn.com/open1654975475-252808396-60550000019c7a7469320a22d249_790_1196.jpg?w=640&amp;h=640", "https://si.geilicdn.com/open1654975475-252808396-60550000019c7a7469320a22d249_790_1196.jpg?w=640&amp;h=640")</f>
        <v>https://si.geilicdn.com/open1654975475-252808396-60550000019c7a7469320a22d249_790_1196.jpg?w=640&amp;h=640</v>
      </c>
      <c r="F80" t="inlineStr">
        <is>
          <t>Toys</t>
        </is>
      </c>
      <c r="G80" t="inlineStr">
        <is>
          <t>Other</t>
        </is>
      </c>
      <c r="H80">
        <v>200</v>
      </c>
      <c r="I80">
        <v>28.99</v>
      </c>
      <c r="J8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Other Cyber Pickup 8-Wheel Waterproof RC Truck","refusal":null,"role":"assistant"}}],"created":1778142893,"id":"chatcmpl-DcoU13VwIJwIkoHmQKQY566iati7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75,"engine_ttft_ms":422,"engine_ttlt_ms":1400,"pre_inference_ms":212,"service_tbt_ms":76,"service_ttft_ms":728,"service_ttlt_ms":1705,"total_duration_ms":1502,"user_visible_ttft_ms":516},"prompt_tokens":877,"prompt_tokens_details":{"audio_tokens":0,"cached_tokens":0},"total_tokens":890}}</t>
        </is>
      </c>
      <c r="K80" t="inlineStr">
        <is>
          <t>ToysOther Cyber Pickup 8-Wheel Waterproof RC Truck</t>
        </is>
      </c>
      <c r="L8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ysOther Cyber Pickup Truck, silver 8-wheel waterproof RC off-road vehicle with dual-drive power, durable ABS material, futuristic design and LED lights for land and water racing fun.","refusal":null,"role":"assistant"}}],"created":1778142013,"id":"chatcmpl-DcoFpiURFswzbjk2z4bOfsveNFrZ4","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27,"engine_ttft_ms":994,"engine_ttlt_ms":2005,"pre_inference_ms":193,"service_tbt_ms":27,"service_ttft_ms":1976,"service_ttlt_ms":2983,"total_duration_ms":2801,"user_visible_ttft_ms":1783},"prompt_tokens":919,"prompt_tokens_details":{"audio_tokens":0,"cached_tokens":0},"total_tokens":957}}</t>
        </is>
      </c>
      <c r="M80" t="inlineStr">
        <is>
          <t>{"alt-svc":"h3=\":443\"; ma=2592000","apim-request-id":"374ebdf1-1676-490f-a600-db53c3e58eb0","azureml-model-session":"d20260429094557-48622491","connection":"close","content-length":"1648","content-type":"application/json","date":"Thu, 07 May 2026 08:20:15 GMT","server":"Caddy","skip-error-remapping":"true","strict-transport-security":"max-age=31536000; includeSubDomains; preload","x-accel-buffering":"no","x-content-type-options":"nosniff","x-ms-client-request-id":"Not-Set","x-ms-is-spilled-over":"false","x-ms-rai-invoked":"true","x-ms-region":"Sweden Central","x-new-api-version":"v1.0.0-rc.4","x-oneapi-request-id":"202605070820122456247078268d9d6GzmjFRCN","x-ratelimit-abusepenalty-active":"False","x-ratelimit-key":"gpt-5-chat-global","x-ratelimit-limit-requests":"1000","x-ratelimit-limit-tokens":"1000000","x-ratelimit-remaining-requests":"999","x-ratelimit-remaining-tokens":"998319","x-ratelimit-renewalperiod-requests":"60","x-ratelimit-renewalperiod-tokens":"60","x-ratelimit-reset-requests":"0","x-ratelimit-reset-tokens":"0","x-request-id":"f5715f1e-cc60-45b1-8575-c0055634775d","x-shellapi-request-id":"2026050716201218597349655766850"}</t>
        </is>
      </c>
      <c r="N80" t="inlineStr">
        <is>
          <t>ToysOther Cyber Pickup Truck, silver 8-wheel waterproof RC off-road vehicle with dual-drive power, durable ABS material, futuristic design and LED lights for land and water racing fun.</t>
        </is>
      </c>
      <c r="O8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aibo,Pickup Truck,kakobuy,kakebuy2026,kekobuysheet,kakobuysheet2026,2026kakobuy,kakobuyspreadsheeet,kakobuylink,kakebuylist,Kakobuy MEGA Spreadsheet,kakobuysheetfind,kakobuysheetfind2026,2026kakobuysheetfind,kakobuysheet2026","refusal":null,"role":"assistant"}}],"created":1778143455,"id":"chatcmpl-Dcod5jZ3ioi8u8sS2RlGhZ65qYea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22,"engine_ttft_ms":913,"engine_ttlt_ms":2840,"pre_inference_ms":149,"service_tbt_ms":22,"service_ttft_ms":1370,"service_ttlt_ms":3296,"total_duration_ms":3154,"user_visible_ttft_ms":1221},"prompt_tokens":782,"prompt_tokens_details":{"audio_tokens":0,"cached_tokens":0},"total_tokens":870}}</t>
        </is>
      </c>
      <c r="P80" t="inlineStr">
        <is>
          <t>Saibo,Pickup Truck,kakobuy,kakebuy2026,kekobuysheet,kakobuysheet2026,2026kakobuy,kakobuyspreadsheeet,kakobuylink,kakebuylist,Kakobuy MEGA Spreadsheet,kakobuysheetfind,kakobuysheetfind2026,2026kakobuysheetfind,kakobuysheet2026</t>
        </is>
      </c>
      <c r="Q80"/>
      <c r="R80" t="inlineStr">
        <is>
          <t>recvhju1CrN2HK</t>
        </is>
      </c>
      <c r="S80" t="inlineStr">
        <is>
          <t>cyber-pickup-8-wheel-rc-truck-recvhju1crn2hk</t>
        </is>
      </c>
      <c r="T80"/>
      <c r="U80"/>
      <c r="V80"/>
      <c r="W80" t="inlineStr">
        <is>
          <t>{"id":"chatcmpl-DcnqrMX1NvUFSLU6ljbMdHRdl8Rpm","object":"chat.completion","created":1778140465,"model":"gpt-5-chat-latest","choices":[{"index":0,"message":{"role":"assistant","content":"赛博皮卡银色八轮越野遥控车，采用高强度ABS环保材质，具备防水与双驱动设计，可在陆地与水面自由穿行。未来科技感造型搭配酷炫灯效，彰显赛博风格与机械力量，适合儿童及成人娱乐收藏，展现速度与激情的潮玩体验。","refusal":null,"annotations":[]},"logprobs":null,"finish_reason":"stop"}],"usage":{"prompt_tokens":1300,"completion_tokens":85,"total_tokens":1385,"prompt_tokens_details":{"cached_tokens":0,"audio_tokens":0},"completion_tokens_details":{"reasoning_tokens":0,"audio_tokens":0,"accepted_prediction_tokens":0,"rejected_prediction_tokens":0},"latency_checkpoint":{"service_ttft_ms":834,"user_visible_ttft_ms":594,"total_duration_ms":2479,"pre_inference_ms":240,"service_tbt_ms":22,"service_ttlt_ms":2714,"engine_ttft_ms":427,"engine_ttlt_ms":2305,"engine_tbt_ms":22}},"service_tier":"default","system_fingerprint":"fp_fd471178c5"}</t>
        </is>
      </c>
      <c r="X80" t="inlineStr">
        <is>
          <t>赛博皮卡银色八轮越野遥控车，采用高强度ABS环保材质，具备防水与双驱动设计，可在陆地与水面自由穿行。未来科技感造型搭配酷炫灯效，彰显赛博风格与机械力量，适合儿童及成人娱乐收藏，展现速度与激情的潮玩体验。</t>
        </is>
      </c>
    </row>
    <row r="81" ht="25.5" customHeight="1">
      <c r="A81">
        <v>1654975475</v>
      </c>
      <c r="B81">
        <v>7624334025</v>
      </c>
      <c r="C81" s="2" t="str">
        <f>=HYPERLINK("https://weidian.com/item.html?itemID=7624334025", "https://weidian.com/item.html?itemID=7624334025")</f>
        <v>https://weidian.com/item.html?itemID=7624334025</v>
      </c>
      <c r="D81"/>
      <c r="E81" s="2" t="str">
        <f>=HYPERLINK("https://si.geilicdn.com/pcitem2014204438-75cb0000019ae7de725d0a2304aa_1080_1080.jpg?w=640&amp;h=640", "https://si.geilicdn.com/pcitem2014204438-75cb0000019ae7de725d0a2304aa_1080_1080.jpg?w=640&amp;h=640")</f>
        <v>https://si.geilicdn.com/pcitem2014204438-75cb0000019ae7de725d0a2304aa_1080_1080.jpg?w=640&amp;h=640</v>
      </c>
      <c r="F81" t="inlineStr">
        <is>
          <t>Socks &amp; Hosiery</t>
        </is>
      </c>
      <c r="G81" t="inlineStr">
        <is>
          <t>Versace</t>
        </is>
      </c>
      <c r="H81">
        <v>120</v>
      </c>
      <c r="I81">
        <v>17.39</v>
      </c>
      <c r="J8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Versace Black Gold Unisex Medusa Cotton Knit Socks","refusal":null,"role":"assistant"}}],"created":1778142844,"id":"chatcmpl-DcoTE1GxfUGMBB5Ze9ILi6wlDNIJ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87,"engine_ttft_ms":1984,"engine_ttlt_ms":3024,"pre_inference_ms":448,"service_tbt_ms":87,"service_ttft_ms":3478,"service_ttlt_ms":4517,"total_duration_ms":4078,"user_visible_ttft_ms":3030},"prompt_tokens":879,"prompt_tokens_details":{"audio_tokens":0,"cached_tokens":0},"total_tokens":891}}</t>
        </is>
      </c>
      <c r="K81" t="inlineStr">
        <is>
          <t>Versace Black Gold Unisex Medusa Cotton Knit Socks</t>
        </is>
      </c>
      <c r="L8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Versace Black &amp; Gold Unisex Knit Socks inspired by Medusa motif, made from soft cotton blend, breathable and comfortable; classic Greek geometric design for luxury casual and fashion wear.","refusal":null,"role":"assistant"}}],"created":1778142001,"id":"chatcmpl-DcoFdIcP8YCVZvlaLpCwaAEoe2ao5","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77,"engine_ttft_ms":727,"engine_ttlt_ms":3561,"pre_inference_ms":210,"service_tbt_ms":77,"service_ttft_ms":1123,"service_ttlt_ms":3956,"total_duration_ms":3754,"user_visible_ttft_ms":914},"prompt_tokens":912,"prompt_tokens_details":{"audio_tokens":0,"cached_tokens":0},"total_tokens":949}}</t>
        </is>
      </c>
      <c r="M81" t="inlineStr">
        <is>
          <t>{"alt-svc":"h3=\":443\"; ma=2592000","apim-request-id":"d60185cf-fc78-4306-80dd-b0c25f7a7a1f","azureml-model-session":"d20260501060506-201eb233","connection":"close","content-length":"1656","content-type":"application/json","date":"Thu, 07 May 2026 08:20:04 GMT","skip-error-remapping":"true","strict-transport-security":"max-age=31536000; includeSubDomains; preload","via":"1.1 Caddy","x-accel-buffering":"no","x-content-type-options":"nosniff","x-ms-client-request-id":"Not-Set","x-ms-is-spilled-over":"false","x-ms-rai-invoked":"true","x-ms-region":"UK South","x-new-api-version":"v1.0.0-rc.4","x-oneapi-request-id":"202605070820008669532558268d9d6CRrBP6Fs","x-ratelimit-abusepenalty-active":"False","x-ratelimit-key":"gpt-5-chat-global","x-ratelimit-limit-requests":"1000","x-ratelimit-limit-tokens":"1000000","x-ratelimit-remaining-requests":"999","x-ratelimit-remaining-tokens":"997643","x-ratelimit-renewalperiod-requests":"60","x-ratelimit-renewalperiod-tokens":"60","x-ratelimit-reset-requests":"0","x-ratelimit-reset-tokens":"0","x-request-id":"764b9815-38e7-438d-8a13-6d49d5c0c931","x-shellapi-request-id":"2026050716200081580559018439774"}</t>
        </is>
      </c>
      <c r="N81" t="inlineStr">
        <is>
          <t>Versace Black &amp; Gold Unisex Knit Socks inspired by Medusa motif, made from soft cotton blend, breathable and comfortable; classic Greek geometric design for luxury casual and fashion wear.</t>
        </is>
      </c>
      <c r="O8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Versace, Socks &amp; Hosiery, kakobuy, kakebuy2026, kekobuysheet, kakobuysheet2026, 2026kakobuy, kakobuyspreadsheeet, kakobuylink, kakebuylist, Kakobuy MEGA Spreadsheet, kakobuysheetfind, kakobuysheetfind2026, 2026kakobuysheetfind, kakobuysheet2026","refusal":null,"role":"assistant"}}],"created":1778143317,"id":"chatcmpl-DcoarG4Sm0xO6p4Fz8Xj6dBXa7aB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20,"engine_ttft_ms":867,"engine_ttlt_ms":2766,"pre_inference_ms":259,"service_tbt_ms":20,"service_ttft_ms":1799,"service_ttlt_ms":3698,"total_duration_ms":3445,"user_visible_ttft_ms":1540},"prompt_tokens":786,"prompt_tokens_details":{"audio_tokens":0,"cached_tokens":0},"total_tokens":880}}</t>
        </is>
      </c>
      <c r="P81" t="inlineStr">
        <is>
          <t>Versace, Socks &amp; Hosiery, kakobuy, kakebuy2026, kekobuysheet, kakobuysheet2026, 2026kakobuy, kakobuyspreadsheeet, kakobuylink, kakebuylist, Kakobuy MEGA Spreadsheet, kakobuysheetfind, kakobuysheetfind2026, 2026kakobuysheetfind, kakobuysheet2026</t>
        </is>
      </c>
      <c r="Q81" t="inlineStr">
        <is>
          <t>Unisex, Black Gold, Knit, Breathable, Classic, Geometric</t>
        </is>
      </c>
      <c r="R81" t="inlineStr">
        <is>
          <t>recvhju1Cr6EzF</t>
        </is>
      </c>
      <c r="S81" t="inlineStr">
        <is>
          <t>versace-medusa-cotton-knit-socks-recvhju1cr6ezf</t>
        </is>
      </c>
      <c r="T81"/>
      <c r="U81"/>
      <c r="V81"/>
      <c r="W8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Versace：黑金系列中性针织袜，以奢华美杜莎图腾为设计灵感，精选柔软棉质混纺面料，舒适透气；复古希腊几何边纹彰显经典格调，时尚百搭，适合男女休闲与潮流穿搭。","refusal":null,"role":"assistant"}}],"created":1778140306,"id":"chatcmpl-DcnoIWCg8wufsuIKbo1HjcyeNaBE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74,"completion_tokens_details":{"accepted_prediction_tokens":0,"audio_tokens":0,"reasoning_tokens":0,"rejected_prediction_tokens":0},"latency_checkpoint":{"engine_tbt_ms":20,"engine_ttft_ms":904,"engine_ttlt_ms":2412,"pre_inference_ms":214,"service_tbt_ms":20,"service_ttft_ms":1831,"service_ttlt_ms":3339,"total_duration_ms":3132,"user_visible_ttft_ms":1617},"prompt_tokens":1305,"prompt_tokens_details":{"audio_tokens":0,"cached_tokens":0},"total_tokens":1379}}</t>
        </is>
      </c>
      <c r="X81" t="inlineStr">
        <is>
          <t>Versace：黑金系列中性针织袜，以奢华美杜莎图腾为设计灵感，精选柔软棉质混纺面料，舒适透气；复古希腊几何边纹彰显经典格调，时尚百搭，适合男女休闲与潮流穿搭。</t>
        </is>
      </c>
    </row>
    <row r="82" ht="25.5" customHeight="1">
      <c r="A82">
        <v>1654975475</v>
      </c>
      <c r="B82">
        <v>7627476830</v>
      </c>
      <c r="C82" s="2" t="str">
        <f>=HYPERLINK("https://weidian.com/item.html?itemID=7627476830", "https://weidian.com/item.html?itemID=7627476830")</f>
        <v>https://weidian.com/item.html?itemID=7627476830</v>
      </c>
      <c r="D82"/>
      <c r="E82" s="2" t="str">
        <f>=HYPERLINK("https://si.geilicdn.com/pcitem2014204438-1ed30000019ae7d3fa100a23057e_1074_910.jpg?w=640&amp;h=640", "https://si.geilicdn.com/pcitem2014204438-1ed30000019ae7d3fa100a23057e_1074_910.jpg?w=640&amp;h=640")</f>
        <v>https://si.geilicdn.com/pcitem2014204438-1ed30000019ae7d3fa100a23057e_1074_910.jpg?w=640&amp;h=640</v>
      </c>
      <c r="F82" t="inlineStr">
        <is>
          <t>Socks &amp; Hosiery</t>
        </is>
      </c>
      <c r="G82" t="inlineStr">
        <is>
          <t>Adidas</t>
        </is>
      </c>
      <c r="H82">
        <v>120</v>
      </c>
      <c r="I82">
        <v>17.39</v>
      </c>
      <c r="J8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didas Originals Trefoil No Show Cotton Socks 3Pack","refusal":null,"role":"assistant"}}],"created":1778142957,"id":"chatcmpl-DcoV3herQaIIBOs84VPBdvAhhtpEr","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19,"engine_ttft_ms":797,"engine_ttlt_ms":1040,"pre_inference_ms":123,"service_tbt_ms":19,"service_ttft_ms":1244,"service_ttlt_ms":1485,"total_duration_ms":1372,"user_visible_ttft_ms":1121},"prompt_tokens":883,"prompt_tokens_details":{"audio_tokens":0,"cached_tokens":0},"total_tokens":896}}</t>
        </is>
      </c>
      <c r="K82" t="inlineStr">
        <is>
          <t>Adidas Originals Trefoil No Show Cotton Socks 3Pack</t>
        </is>
      </c>
      <c r="L8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didas Originals black, white &amp; gray no-show socks made from soft cotton blend, breathable and snug fit for men &amp; women, minimalist sporty design with iconic Trefoil logo for everyday comfort.","refusal":null,"role":"assistant"}}],"created":1778142212,"id":"chatcmpl-DcoJ2a87xRbISBjxwV2muTCAuzKE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98,"engine_ttft_ms":1074,"engine_ttlt_ms":4904,"pre_inference_ms":171,"service_tbt_ms":98,"service_ttft_ms":1601,"service_ttlt_ms":5431,"total_duration_ms":5267,"user_visible_ttft_ms":1430},"prompt_tokens":898,"prompt_tokens_details":{"audio_tokens":0,"cached_tokens":0},"total_tokens":937}}</t>
        </is>
      </c>
      <c r="M82" t="inlineStr">
        <is>
          <t>{"alt-svc":"h3=\":443\"; ma=2592000","apim-request-id":"1bd7280d-1652-4d5a-9311-9a5aef2df2b0","azureml-model-session":"d20260501050840-08dc6769","connection":"close","content-length":"1667","content-type":"application/json","date":"Thu, 07 May 2026 08:23:37 GMT","skip-error-remapping":"true","strict-transport-security":"max-age=31536000; includeSubDomains; preload","via":"1.1 Caddy","x-accel-buffering":"no","x-content-type-options":"nosniff","x-ms-client-request-id":"Not-Set","x-ms-is-spilled-over":"false","x-ms-rai-invoked":"true","x-ms-region":"Japan East","x-new-api-version":"v1.0.0-rc.4","x-oneapi-request-id":"202605070823302317286598268d9d6STNIuFIO","x-ratelimit-abusepenalty-active":"False","x-ratelimit-key":"gpt-5-chat-global","x-ratelimit-limit-requests":"1000","x-ratelimit-limit-tokens":"1000000","x-ratelimit-remaining-requests":"999","x-ratelimit-remaining-tokens":"998340","x-ratelimit-renewalperiod-requests":"60","x-ratelimit-renewalperiod-tokens":"60","x-ratelimit-reset-requests":"0","x-ratelimit-reset-tokens":"0","x-request-id":"77bd4b70-3ac4-4907-af2c-a3bb87815d7a","x-shellapi-request-id":"2026050716232998374784564049405"}</t>
        </is>
      </c>
      <c r="N82" t="inlineStr">
        <is>
          <t>Adidas Originals black, white &amp; gray no-show socks made from soft cotton blend, breathable and snug fit for men &amp; women, minimalist sporty design with iconic Trefoil logo for everyday comfort.</t>
        </is>
      </c>
      <c r="O82"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filtered"}},"content_filter_results":{"protected_material_code":{"detected":false,"filtered":false},"protected_material_text":{"detected":false,"filtered":false}},"finish_reason":"stop","index":0,"logprobs":null,"message":{"annotations":[],"content":"Adidas, Socks &amp; Hosiery, kakobuy, kakebuy2026, kekobuysheet, kakobuysheet2026, 2026kakobuy, kakobuyspreadsheeet, kakobuylink, kakebuylist, Kakobuy MEGA Spreadsheet, kakobuysheetfind, kakobuysheetfind2026, 2026kakobuysheetfind, kakobuysheet2026","refusal":null,"role":"assistant"}}],"created":1778143496,"id":"chatcmpl-DcodkAHLdUhvxVhFaUTyyRy0Fr5XX","model":"gpt-5-chat-2025-10-03","object":"chat.completion","prompt_filter_results":[{"prompt_index":0,"content_filter_results":{"jailbreak":{"detected":false,"filtered":false}}}],"service_tier":"default","system_fingerprint":"fp_fd471178c5","usage":{"completion_tokens":94,"completion_tokens_details":{"accepted_prediction_tokens":0,"audio_tokens":0,"reasoning_tokens":0,"rejected_prediction_tokens":0},"latency_checkpoint":{"engine_tbt_ms":94,"engine_ttft_ms":1137,"engine_ttlt_ms":9934,"pre_inference_ms":135,"service_tbt_ms":95,"service_ttft_ms":1628,"service_ttlt_ms":10424,"total_duration_ms":10394,"user_visible_ttft_ms":1493},"prompt_tokens":786,"prompt_tokens_details":{"audio_tokens":0,"cached_tokens":0},"total_tokens":880}}</t>
        </is>
      </c>
      <c r="P82" t="inlineStr">
        <is>
          <t>Adidas, Socks &amp; Hosiery, kakobuy, kakebuy2026, kekobuysheet, kakobuysheet2026, 2026kakobuy, kakobuyspreadsheeet, kakobuylink, kakebuylist, Kakobuy MEGA Spreadsheet, kakobuysheetfind, kakobuysheetfind2026, 2026kakobuysheetfind, kakobuysheet2026</t>
        </is>
      </c>
      <c r="Q82" t="inlineStr">
        <is>
          <t>ADIDAS Originals, Black, White, Grey, Breathable, Unisex</t>
        </is>
      </c>
      <c r="R82" t="inlineStr">
        <is>
          <t>recvhju1CrhNp2</t>
        </is>
      </c>
      <c r="S82" t="inlineStr">
        <is>
          <t>adidas-trefoil-no-show-cotton-socks-3pack-recvhju1crhnp2</t>
        </is>
      </c>
      <c r="T82"/>
      <c r="U82"/>
      <c r="V82"/>
      <c r="W82" t="inlineStr">
        <is>
          <t>{"id":"chatcmpl-DcnrhxXTHFgOXBbw4fx1plnfRsEq0","object":"chat.completion","created":1778140517,"model":"gpt-5-chat-latest","choices":[{"index":0,"message":{"role":"assistant","content":"Adidas：经典三叶草系列黑白灰隐形袜，柔软棉质混纺材质，舒适透气贴合足型，男女皆宜，简约运动休闲风格，凸显品牌标志性设计与时尚态度。","refusal":null,"annotations":[]},"logprobs":null,"finish_reason":"stop"}],"usage":{"prompt_tokens":1303,"completion_tokens":61,"total_tokens":1364,"prompt_tokens_details":{"cached_tokens":0,"audio_tokens":0},"completion_tokens_details":{"reasoning_tokens":0,"audio_tokens":0,"accepted_prediction_tokens":0,"rejected_prediction_tokens":0},"latency_checkpoint":{"service_ttft_ms":1735,"user_visible_ttft_ms":1563,"total_duration_ms":3268,"pre_inference_ms":172,"service_tbt_ms":28,"service_ttlt_ms":3433,"engine_ttft_ms":827,"engine_ttlt_ms":2525,"engine_tbt_ms":28}},"service_tier":"default","system_fingerprint":"fp_fd471178c5"}</t>
        </is>
      </c>
      <c r="X82" t="inlineStr">
        <is>
          <t>Adidas：经典三叶草系列黑白灰隐形袜，柔软棉质混纺材质，舒适透气贴合足型，男女皆宜，简约运动休闲风格，凸显品牌标志性设计与时尚态度。</t>
        </is>
      </c>
    </row>
    <row r="83" ht="25.5" customHeight="1">
      <c r="A83">
        <v>1654975475</v>
      </c>
      <c r="B83">
        <v>7627525918</v>
      </c>
      <c r="C83" s="2" t="str">
        <f>=HYPERLINK("https://weidian.com/item.html?itemID=7627525918", "https://weidian.com/item.html?itemID=7627525918")</f>
        <v>https://weidian.com/item.html?itemID=7627525918</v>
      </c>
      <c r="D83"/>
      <c r="E83" s="2" t="str">
        <f>=HYPERLINK("https://si.geilicdn.com/pcitem2014204438-058c0000019ae7ccf6840a20e273_1999_1536.jpg?w=640&amp;h=640", "https://si.geilicdn.com/pcitem2014204438-058c0000019ae7ccf6840a20e273_1999_1536.jpg?w=640&amp;h=640")</f>
        <v>https://si.geilicdn.com/pcitem2014204438-058c0000019ae7ccf6840a20e273_1999_1536.jpg?w=640&amp;h=640</v>
      </c>
      <c r="F83" t="inlineStr">
        <is>
          <t>Socks &amp; Hosiery</t>
        </is>
      </c>
      <c r="G83" t="inlineStr">
        <is>
          <t>Chanel</t>
        </is>
      </c>
      <c r="H83">
        <v>120</v>
      </c>
      <c r="I83">
        <v>17.39</v>
      </c>
      <c r="J8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Black White Logo Cotton Mid-Calf Socks","refusal":null,"role":"assistant"}}],"created":1778142912,"id":"chatcmpl-DcoUKKBNx6gzXJZEyjfsl1ci1tPE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22,"engine_ttft_ms":766,"engine_ttlt_ms":1005,"pre_inference_ms":122,"service_tbt_ms":23,"service_ttft_ms":1536,"service_ttlt_ms":1774,"total_duration_ms":1664,"user_visible_ttft_ms":1414},"prompt_tokens":589,"prompt_tokens_details":{"audio_tokens":0,"cached_tokens":0},"total_tokens":600}}</t>
        </is>
      </c>
      <c r="K83" t="inlineStr">
        <is>
          <t>Chanel Black White Logo Cotton Mid-Calf Socks</t>
        </is>
      </c>
      <c r="L8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nel Black &amp; White Logo Cotton Mid-Calf Socks, soft, breathable, and stylish. Unisex design embodies classic French elegance for everyday fashion comfort.","refusal":null,"role":"assistant"}}],"created":1778142009,"id":"chatcmpl-DcoFl4fbXYFOManbKpZ8LHRVDFLFB","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32,"completion_tokens_details":{"accepted_prediction_tokens":0,"audio_tokens":0,"reasoning_tokens":0,"rejected_prediction_tokens":0},"latency_checkpoint":{"engine_tbt_ms":16,"engine_ttft_ms":432,"engine_ttlt_ms":946,"pre_inference_ms":139,"service_tbt_ms":16,"service_ttft_ms":876,"service_ttlt_ms":1390,"total_duration_ms":1260,"user_visible_ttft_ms":737},"prompt_tokens":605,"prompt_tokens_details":{"audio_tokens":0,"cached_tokens":0},"total_tokens":637}}</t>
        </is>
      </c>
      <c r="M83" t="inlineStr">
        <is>
          <t>{"alt-svc":"h3=\":443\"; ma=2592000","apim-request-id":"9ee60ff1-7720-41ac-b18f-d04a3ed8bf65","azureml-model-session":"d20260429094557-48622491","connection":"close","content-length":"1622","content-type":"application/json","date":"Thu, 07 May 2026 08:20:10 GMT","server":"Caddy","skip-error-remapping":"true","strict-transport-security":"max-age=31536000; includeSubDomains; preload","x-accel-buffering":"no","x-content-type-options":"nosniff","x-ms-client-request-id":"Not-Set","x-ms-is-spilled-over":"false","x-ms-rai-invoked":"true","x-ms-region":"East US","x-new-api-version":"v1.0.0-rc.4","x-oneapi-request-id":"202605070820078086441488268d9d6yzK47MTG","x-ratelimit-abusepenalty-active":"False","x-ratelimit-key":"gpt-5-chat-global","x-ratelimit-limit-requests":"1000","x-ratelimit-limit-tokens":"1000000","x-ratelimit-remaining-requests":"999","x-ratelimit-remaining-tokens":"998631","x-ratelimit-renewalperiod-requests":"60","x-ratelimit-renewalperiod-tokens":"60","x-ratelimit-reset-requests":"0","x-ratelimit-reset-tokens":"0","x-request-id":"c60a6962-def9-4187-a0ee-c2e9610e9009","x-shellapi-request-id":"2026050716200775749450909863713"}</t>
        </is>
      </c>
      <c r="N83" t="inlineStr">
        <is>
          <t>Chanel Black &amp; White Logo Cotton Mid-Calf Socks, soft, breathable, and stylish. Unisex design embodies classic French elegance for everyday fashion comfort.</t>
        </is>
      </c>
      <c r="O8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Socks &amp; Hosiery, kakobuy, kakebuy2026, kekobuysheet, kakobuysheet2026, 2026kakobuy, kakobuyspreadsheeet, kakobuylink, kakebuylist, Kakobuy MEGA Spreadsheet, kakobuysheetfind, kakobuysheetfind2026, 2026kakobuysheetfind, kakobuysheet2026","refusal":null,"role":"assistant"}}],"created":1778143647,"id":"chatcmpl-DcogBmXKAeVdxERVbfuBdlcw2oUw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20,"engine_ttft_ms":812,"engine_ttlt_ms":2669,"pre_inference_ms":107,"service_tbt_ms":20,"service_ttft_ms":1254,"service_ttlt_ms":3107,"total_duration_ms":3007,"user_visible_ttft_ms":1147},"prompt_tokens":506,"prompt_tokens_details":{"audio_tokens":0,"cached_tokens":0},"total_tokens":600}}</t>
        </is>
      </c>
      <c r="P83" t="inlineStr">
        <is>
          <t>Chanel, Socks &amp; Hosiery, kakobuy, kakebuy2026, kekobuysheet, kakobuysheet2026, 2026kakobuy, kakobuyspreadsheeet, kakobuylink, kakebuylist, Kakobuy MEGA Spreadsheet, kakobuysheetfind, kakobuysheetfind2026, 2026kakobuysheetfind, kakobuysheet2026</t>
        </is>
      </c>
      <c r="Q83" t="inlineStr">
        <is>
          <t>Chanel, Black, White, Unisex, Classic</t>
        </is>
      </c>
      <c r="R83" t="inlineStr">
        <is>
          <t>recvhju1Cr5wxF</t>
        </is>
      </c>
      <c r="S83" t="inlineStr">
        <is>
          <t>chanel-black-white-logo-cotton-mid-calf-socks-recvhju1cr5wxf</t>
        </is>
      </c>
      <c r="T83"/>
      <c r="U83"/>
      <c r="V83"/>
      <c r="W8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经典黑白撞色LOGO棉质中筒袜，柔软舒适透气，简约时尚设计，男女通用款，彰显法式优雅格调。","refusal":null,"role":"assistant"}}],"created":1778140150,"id":"chatcmpl-DcnlmcOjO4o3TALtDnJkHXVfuZXD5","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47,"completion_tokens_details":{"accepted_prediction_tokens":0,"audio_tokens":0,"reasoning_tokens":0,"rejected_prediction_tokens":0},"latency_checkpoint":{"engine_tbt_ms":23,"engine_ttft_ms":838,"engine_ttlt_ms":1898,"pre_inference_ms":101,"service_tbt_ms":23,"service_ttft_ms":1693,"service_ttlt_ms":2752,"total_duration_ms":2658,"user_visible_ttft_ms":1592},"prompt_tokens":1025,"prompt_tokens_details":{"audio_tokens":0,"cached_tokens":0},"total_tokens":1072}}</t>
        </is>
      </c>
      <c r="X83" t="inlineStr">
        <is>
          <t>Chanel: 经典黑白撞色LOGO棉质中筒袜，柔软舒适透气，简约时尚设计，男女通用款，彰显法式优雅格调。</t>
        </is>
      </c>
    </row>
    <row r="84" ht="25.5" customHeight="1">
      <c r="A84">
        <v>1654975475</v>
      </c>
      <c r="B84">
        <v>7624549621</v>
      </c>
      <c r="C84" s="2" t="str">
        <f>=HYPERLINK("https://weidian.com/item.html?itemID=7624549621", "https://weidian.com/item.html?itemID=7624549621")</f>
        <v>https://weidian.com/item.html?itemID=7624549621</v>
      </c>
      <c r="D84"/>
      <c r="E84" s="2" t="str">
        <f>=HYPERLINK("https://si.geilicdn.com/pcitem2014204438-0f230000019ae7c96dd20a8134f0_2048_1475.jpg?w=640&amp;h=640", "https://si.geilicdn.com/pcitem2014204438-0f230000019ae7c96dd20a8134f0_2048_1475.jpg?w=640&amp;h=640")</f>
        <v>https://si.geilicdn.com/pcitem2014204438-0f230000019ae7c96dd20a8134f0_2048_1475.jpg?w=640&amp;h=640</v>
      </c>
      <c r="F84" t="inlineStr">
        <is>
          <t>Socks &amp; Hosiery</t>
        </is>
      </c>
      <c r="G84" t="inlineStr">
        <is>
          <t>Hermes</t>
        </is>
      </c>
      <c r="H84">
        <v>120</v>
      </c>
      <c r="I84">
        <v>17.39</v>
      </c>
      <c r="J8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ermes Classic Black Cotton Logo Mid-Calf Socks Unisex","refusal":null,"role":"assistant"}}],"created":1778142949,"id":"chatcmpl-DcoUvQzoQyTph6pBjXufjE5fsJ4yZ","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76,"engine_ttft_ms":892,"engine_ttlt_ms":1882,"pre_inference_ms":141,"service_tbt_ms":77,"service_ttft_ms":1599,"service_ttlt_ms":2589,"total_duration_ms":2464,"user_visible_ttft_ms":1459},"prompt_tokens":613,"prompt_tokens_details":{"audio_tokens":0,"cached_tokens":0},"total_tokens":626}}</t>
        </is>
      </c>
      <c r="K84" t="inlineStr">
        <is>
          <t>Hermes Classic Black Cotton Logo Mid-Calf Socks Unisex</t>
        </is>
      </c>
      <c r="L8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 Classic Black Logo Embroidered Mid-Calf Socks made of premium high-density cotton, soft, breathable, with orange “H” detail; unisex luxury design for business or casual wear expressing French elegance.","refusal":null,"role":"assistant"}}],"created":1778142275,"id":"chatcmpl-DcoK3fmdqO8HrUa6e8gt4JI2crUh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44,"completion_tokens_details":{"accepted_prediction_tokens":0,"audio_tokens":0,"reasoning_tokens":0,"rejected_prediction_tokens":0},"latency_checkpoint":{"engine_tbt_ms":23,"engine_ttft_ms":831,"engine_ttlt_ms":1841,"pre_inference_ms":96,"service_tbt_ms":23,"service_ttft_ms":1685,"service_ttlt_ms":2693,"total_duration_ms":2605,"user_visible_ttft_ms":1589},"prompt_tokens":640,"prompt_tokens_details":{"audio_tokens":0,"cached_tokens":0},"total_tokens":684}}</t>
        </is>
      </c>
      <c r="M84" t="inlineStr">
        <is>
          <t>{"alt-svc":"h3=\":443\"; ma=2592000","apim-request-id":"03ee6edf-5d37-483f-9dd7-ad63d1fbfd1d","azureml-model-session":"d20260428165144-a78ba574","connection":"close","content-length":"1675","content-type":"application/json","date":"Thu, 07 May 2026 08:24:37 GMT","server":"Caddy","skip-error-remapping":"true","strict-transport-security":"max-age=31536000; includeSubDomains; preload","x-accel-buffering":"no","x-content-type-options":"nosniff","x-ms-client-request-id":"Not-Set","x-ms-is-spilled-over":"false","x-ms-rai-invoked":"true","x-ms-region":"Korea Central","x-new-api-version":"v1.0.0-rc.4","x-oneapi-request-id":"202605070824345787378178268d9d6KESffJ9a","x-ratelimit-abusepenalty-active":"False","x-ratelimit-key":"gpt-5-chat-global","x-ratelimit-limit-requests":"1000","x-ratelimit-limit-tokens":"1000000","x-ratelimit-remaining-requests":"999","x-ratelimit-remaining-tokens":"998596","x-ratelimit-renewalperiod-requests":"60","x-ratelimit-renewalperiod-tokens":"60","x-ratelimit-reset-requests":"0","x-ratelimit-reset-tokens":"0","x-request-id":"7186c72a-50be-4f21-bdd9-ca97ac4af748","x-shellapi-request-id":"2026050716243452706946596273746"}</t>
        </is>
      </c>
      <c r="N84" t="inlineStr">
        <is>
          <t>Hermes Classic Black Logo Embroidered Mid-Calf Socks made of premium high-density cotton, soft, breathable, with orange “H” detail; unisex luxury design for business or casual wear expressing French elegance.</t>
        </is>
      </c>
      <c r="O8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 Socks &amp; Hosiery, kakobuy, kakebuy2026, kekobuysheet, kakobuysheet2026, 2026kakobuy, kakobuyspreadsheeet, kakobuylink, kakebuylist, Kakobuy MEGA Spreadsheet, kakobuysheetfind, kakobuysheetfind2026, 2026kakobuysheetfind, kakobuysheet2026","refusal":null,"role":"assistant"}}],"created":1778143645,"id":"chatcmpl-Dcog9NfmW10YMA0Sja4vNp0Z9iIr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23,"engine_ttft_ms":681,"engine_ttlt_ms":2822,"pre_inference_ms":103,"service_tbt_ms":23,"service_ttft_ms":1404,"service_ttlt_ms":3544,"total_duration_ms":3447,"user_visible_ttft_ms":1301},"prompt_tokens":506,"prompt_tokens_details":{"audio_tokens":0,"cached_tokens":0},"total_tokens":600}}</t>
        </is>
      </c>
      <c r="P84" t="inlineStr">
        <is>
          <t>Hermes, Socks &amp; Hosiery, kakobuy, kakebuy2026, kekobuysheet, kakobuysheet2026, 2026kakobuy, kakobuyspreadsheeet, kakobuylink, kakebuylist, Kakobuy MEGA Spreadsheet, kakobuysheetfind, kakobuysheetfind2026, 2026kakobuysheetfind, kakobuysheet2026</t>
        </is>
      </c>
      <c r="Q84" t="inlineStr">
        <is>
          <t>Black, Unisex, Elegant, Business</t>
        </is>
      </c>
      <c r="R84" t="inlineStr">
        <is>
          <t>recvhju1CrBQRU</t>
        </is>
      </c>
      <c r="S84" t="inlineStr">
        <is>
          <t>hermes-classic-black-cotton-logo-mid-calf-socks-recvhju1crbqru</t>
        </is>
      </c>
      <c r="T84"/>
      <c r="U84"/>
      <c r="V84"/>
      <c r="W84" t="inlineStr">
        <is>
          <t>{"id":"chatcmpl-DcnjtdkQ4DqYcrJtGI9lDigDEZuJL","object":"chat.completion","created":1778140033,"model":"gpt-5-chat-latest","choices":[{"index":0,"message":{"role":"assistant","content":"Hermes：经典黑色Logo刺绣中筒袜，甄选高密度棉质纤维，柔软舒适透气；简约奢华设计搭配橙色“H”标识，展现品牌优雅格调；男女皆宜，适合商务与休闲穿搭，彰显法式高级品味。","refusal":null,"annotations":[]},"logprobs":null,"finish_reason":"stop"}],"usage":{"prompt_tokens":1027,"completion_tokens":81,"total_tokens":1108,"prompt_tokens_details":{"cached_tokens":0,"audio_tokens":0},"completion_tokens_details":{"reasoning_tokens":0,"audio_tokens":0,"accepted_prediction_tokens":0,"rejected_prediction_tokens":0},"latency_checkpoint":{"service_ttft_ms":1322,"user_visible_ttft_ms":1139,"total_duration_ms":2966,"pre_inference_ms":183,"service_tbt_ms":23,"service_ttlt_ms":3141,"engine_ttft_ms":808,"engine_ttlt_ms":2628,"engine_tbt_ms":22}},"service_tier":"default","system_fingerprint":"fp_fd471178c5"}</t>
        </is>
      </c>
      <c r="X84" t="inlineStr">
        <is>
          <t>Hermes：经典黑色Logo刺绣中筒袜，甄选高密度棉质纤维，柔软舒适透气；简约奢华设计搭配橙色“H”标识，展现品牌优雅格调；男女皆宜，适合商务与休闲穿搭，彰显法式高级品味。</t>
        </is>
      </c>
    </row>
    <row r="85" ht="25.5" customHeight="1">
      <c r="A85">
        <v>1654975475</v>
      </c>
      <c r="B85">
        <v>7624440413</v>
      </c>
      <c r="C85" s="2" t="str">
        <f>=HYPERLINK("https://weidian.com/item.html?itemID=7624440413", "https://weidian.com/item.html?itemID=7624440413")</f>
        <v>https://weidian.com/item.html?itemID=7624440413</v>
      </c>
      <c r="D85"/>
      <c r="E85" s="2" t="str">
        <f>=HYPERLINK("https://si.geilicdn.com/pcitem2014204438-11de0000019ae7bf34310a210256_1080_1080.jpg?w=640&amp;h=640", "https://si.geilicdn.com/pcitem2014204438-11de0000019ae7bf34310a210256_1080_1080.jpg?w=640&amp;h=640")</f>
        <v>https://si.geilicdn.com/pcitem2014204438-11de0000019ae7bf34310a210256_1080_1080.jpg?w=640&amp;h=640</v>
      </c>
      <c r="F85" t="inlineStr">
        <is>
          <t>Socks &amp; Hosiery</t>
        </is>
      </c>
      <c r="G85" t="inlineStr">
        <is>
          <t>Chanel</t>
        </is>
      </c>
      <c r="H85">
        <v>136</v>
      </c>
      <c r="I85">
        <v>19.71</v>
      </c>
      <c r="J8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nel Classic Gray Cotton Ribbed Mid-Calf Unisex Socks","refusal":null,"role":"assistant"}}],"created":1778143117,"id":"chatcmpl-DcoXdr6x4K21hlQMuTxc6cXryCHdg","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14,"completion_tokens_details":{"accepted_prediction_tokens":0,"audio_tokens":0,"reasoning_tokens":0,"rejected_prediction_tokens":0},"latency_checkpoint":{"engine_tbt_ms":108,"engine_ttft_ms":701,"engine_ttlt_ms":2214,"pre_inference_ms":181,"service_tbt_ms":109,"service_ttft_ms":1475,"service_ttlt_ms":2986,"total_duration_ms":2825,"user_visible_ttft_ms":1293},"prompt_tokens":885,"prompt_tokens_details":{"audio_tokens":0,"cached_tokens":0},"total_tokens":899}}</t>
        </is>
      </c>
      <c r="K85" t="inlineStr">
        <is>
          <t>Chanel Classic Gray Cotton Ribbed Mid-Calf Unisex Socks</t>
        </is>
      </c>
      <c r="L8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nel Classic Gray Ribbed Mid-Calf Socks, crafted from soft cotton blend with signature double C logo and minimalist stripe design, unisex, breathable, stylish, perfect for daily casual wear.","refusal":null,"role":"assistant"}}],"created":1778142239,"id":"chatcmpl-DcoJTYHqa5pkTRB4tjtHYJbL9vLt8","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122,"engine_ttft_ms":886,"engine_ttlt_ms":5767,"pre_inference_ms":147,"service_tbt_ms":122,"service_ttft_ms":1286,"service_ttlt_ms":6167,"total_duration_ms":6030,"user_visible_ttft_ms":1139},"prompt_tokens":911,"prompt_tokens_details":{"audio_tokens":0,"cached_tokens":0},"total_tokens":951}}</t>
        </is>
      </c>
      <c r="M85" t="inlineStr">
        <is>
          <t>{"alt-svc":"h3=\":443\"; ma=2592000","apim-request-id":"68ba4812-808d-4777-9ba8-fece933d345b","azureml-model-session":"d20260501041445-2c187743","connection":"close","content-length":"1658","content-type":"application/json","date":"Thu, 07 May 2026 08:24:05 GMT","server":"Caddy","skip-error-remapping":"true","strict-transport-security":"max-age=31536000; includeSubDomains; preload","x-accel-buffering":"no","x-content-type-options":"nosniff","x-ms-client-request-id":"Not-Set","x-ms-is-spilled-over":"false","x-ms-rai-invoked":"true","x-ms-region":"Sweden Central","x-new-api-version":"v1.0.0-rc.4","x-oneapi-request-id":"202605070823586492798098268d9d6F6zHmj80","x-ratelimit-abusepenalty-active":"False","x-ratelimit-key":"gpt-5-chat-global","x-ratelimit-limit-requests":"1000","x-ratelimit-limit-tokens":"1000000","x-ratelimit-remaining-requests":"999","x-ratelimit-remaining-tokens":"998327","x-ratelimit-renewalperiod-requests":"60","x-ratelimit-renewalperiod-tokens":"60","x-ratelimit-reset-requests":"0","x-ratelimit-reset-tokens":"0","x-request-id":"28c54dee-492e-4334-923d-cd71ff690f0b","x-shellapi-request-id":"2026050716235859784181066170537"}</t>
        </is>
      </c>
      <c r="N85" t="inlineStr">
        <is>
          <t>Chanel Classic Gray Ribbed Mid-Calf Socks, crafted from soft cotton blend with signature double C logo and minimalist stripe design, unisex, breathable, stylish, perfect for daily casual wear.</t>
        </is>
      </c>
      <c r="O8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nel, Socks &amp; Hosiery, kakobuy, kakebuy2026, kekobuysheet, kakobuysheet2026, 2026kakobuy, kakobuyspreadsheeet, kakobuylink, kakebuylist, Kakobuy MEGA Spreadsheet, kakobuysheetfind, kakobuysheetfind2026, 2026kakobuysheetfind, kakobuysheet2026","refusal":null,"role":"assistant"}}],"created":1778143528,"id":"chatcmpl-DcoeGUdBsyhGf7k2yeK3KkFhkqXw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91,"engine_ttft_ms":1284,"engine_ttlt_ms":9827,"pre_inference_ms":111,"service_tbt_ms":91,"service_ttft_ms":2417,"service_ttlt_ms":10959,"total_duration_ms":10855,"user_visible_ttft_ms":2306},"prompt_tokens":786,"prompt_tokens_details":{"audio_tokens":0,"cached_tokens":0},"total_tokens":880}}</t>
        </is>
      </c>
      <c r="P85" t="inlineStr">
        <is>
          <t>Chanel, Socks &amp; Hosiery, kakobuy, kakebuy2026, kekobuysheet, kakobuysheet2026, 2026kakobuy, kakobuyspreadsheeet, kakobuylink, kakebuylist, Kakobuy MEGA Spreadsheet, kakobuysheetfind, kakobuysheetfind2026, 2026kakobuysheetfind, kakobuysheet2026</t>
        </is>
      </c>
      <c r="Q85" t="inlineStr">
        <is>
          <t>Chanel, Gray, Minimalist, Unisex, Breathable</t>
        </is>
      </c>
      <c r="R85" t="inlineStr">
        <is>
          <t>recvhju1Crj2c6</t>
        </is>
      </c>
      <c r="S85" t="inlineStr">
        <is>
          <t>chanel-classic-gray-cotton-ribbed-mid-calf-unisex-socks-recvhju1crj2c6</t>
        </is>
      </c>
      <c r="T85"/>
      <c r="U85"/>
      <c r="V85"/>
      <c r="W85" t="inlineStr">
        <is>
          <t>{"id":"chatcmpl-DcnlAyGL9GlkYU4DRVbrcVvSp11Br","object":"chat.completion","created":1778140112,"model":"gpt-5-chat-latest","choices":[{"index":0,"message":{"role":"assistant","content":"Chanel：经典灰色罗纹中筒袜，甄选柔软棉质混纺面料，搭配标志性双C徽标与极简条纹设计，展现高雅现代风格，男女皆宜，舒适透气，日常休闲与时尚穿搭必备单品。","refusal":null,"annotations":[]},"logprobs":null,"finish_reason":"stop"}],"usage":{"prompt_tokens":1301,"completion_tokens":75,"total_tokens":1376,"prompt_tokens_details":{"cached_tokens":0,"audio_tokens":0},"completion_tokens_details":{"reasoning_tokens":0,"audio_tokens":0,"accepted_prediction_tokens":0,"rejected_prediction_tokens":0},"latency_checkpoint":{"service_ttft_ms":883,"user_visible_ttft_ms":695,"total_duration_ms":10646,"pre_inference_ms":189,"service_tbt_ms":133,"service_ttlt_ms":10825,"engine_ttft_ms":592,"engine_ttlt_ms":10534,"engine_tbt_ms":133}},"service_tier":"default","system_fingerprint":"fp_fd471178c5"}</t>
        </is>
      </c>
      <c r="X85" t="inlineStr">
        <is>
          <t>Chanel：经典灰色罗纹中筒袜，甄选柔软棉质混纺面料，搭配标志性双C徽标与极简条纹设计，展现高雅现代风格，男女皆宜，舒适透气，日常休闲与时尚穿搭必备单品。</t>
        </is>
      </c>
    </row>
    <row r="86" ht="25.5" customHeight="1">
      <c r="A86">
        <v>1654975475</v>
      </c>
      <c r="B86">
        <v>7624424829</v>
      </c>
      <c r="C86" s="2" t="str">
        <f>=HYPERLINK("https://weidian.com/item.html?itemID=7624424829", "https://weidian.com/item.html?itemID=7624424829")</f>
        <v>https://weidian.com/item.html?itemID=7624424829</v>
      </c>
      <c r="D86"/>
      <c r="E86" s="2" t="str">
        <f>=HYPERLINK("https://si.geilicdn.com/pcitem2014204438-5a270000019ae7bea7cf0a231316_1080_1080.jpg?w=640&amp;h=640", "https://si.geilicdn.com/pcitem2014204438-5a270000019ae7bea7cf0a231316_1080_1080.jpg?w=640&amp;h=640")</f>
        <v>https://si.geilicdn.com/pcitem2014204438-5a270000019ae7bea7cf0a231316_1080_1080.jpg?w=640&amp;h=640</v>
      </c>
      <c r="F86" t="inlineStr">
        <is>
          <t>Socks &amp; Hosiery</t>
        </is>
      </c>
      <c r="G86" t="inlineStr">
        <is>
          <t>Miu Miu</t>
        </is>
      </c>
      <c r="H86">
        <v>136</v>
      </c>
      <c r="I86">
        <v>19.71</v>
      </c>
      <c r="J8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Gray Rhinestone Cotton Blend Mid Calf Socks","refusal":null,"role":"assistant"}}],"created":1778143072,"id":"chatcmpl-DcoWuOgMKc7ZLBlO0EhZxwQlo7Qy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14,"completion_tokens_details":{"accepted_prediction_tokens":0,"audio_tokens":0,"reasoning_tokens":0,"rejected_prediction_tokens":0},"latency_checkpoint":{"engine_tbt_ms":72,"engine_ttft_ms":947,"engine_ttlt_ms":1961,"pre_inference_ms":145,"service_tbt_ms":73,"service_ttft_ms":1537,"service_ttlt_ms":2551,"total_duration_ms":2413,"user_visible_ttft_ms":1392},"prompt_tokens":891,"prompt_tokens_details":{"audio_tokens":0,"cached_tokens":0},"total_tokens":905}}</t>
        </is>
      </c>
      <c r="K86" t="inlineStr">
        <is>
          <t>Miu Miu Gray Rhinestone Cotton Blend Mid Calf Socks</t>
        </is>
      </c>
      <c r="L8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gray rhinestone mid-calf socks, crafted from high-density cotton blend, soft and skin-friendly, adorned with sparkling crystals and logo embroidery for a chic, unisex modern vintage style.","refusal":null,"role":"assistant"}}],"created":1778142264,"id":"chatcmpl-DcoJsabUvuEyq6Suc8FjuL8eemnF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42,"completion_tokens_details":{"accepted_prediction_tokens":0,"audio_tokens":0,"reasoning_tokens":0,"rejected_prediction_tokens":0},"latency_checkpoint":{"engine_tbt_ms":16,"engine_ttft_ms":733,"engine_ttlt_ms":1405,"pre_inference_ms":151,"service_tbt_ms":16,"service_ttft_ms":1564,"service_ttlt_ms":2234,"total_duration_ms":2091,"user_visible_ttft_ms":1413},"prompt_tokens":930,"prompt_tokens_details":{"audio_tokens":0,"cached_tokens":0},"total_tokens":972}}</t>
        </is>
      </c>
      <c r="M86" t="inlineStr">
        <is>
          <t>{"alt-svc":"h3=\":443\"; ma=2592000","apim-request-id":"4470bd0a-d021-450f-8159-e55161adb26a","azureml-model-session":"d20260429094557-48622491","connection":"close","content-length":"1660","content-type":"application/json","date":"Thu, 07 May 2026 08:24:27 GMT","server":"Caddy","skip-error-remapping":"true","strict-transport-security":"max-age=31536000; includeSubDomains; preload","x-accel-buffering":"no","x-content-type-options":"nosniff","x-ms-client-request-id":"Not-Set","x-ms-is-spilled-over":"false","x-ms-rai-invoked":"true","x-ms-region":"UK South","x-new-api-version":"v1.0.0-rc.4","x-oneapi-request-id":"202605070824239239544198268d9d6xQvih2fO","x-ratelimit-abusepenalty-active":"False","x-ratelimit-key":"gpt-5-chat-global","x-ratelimit-limit-requests":"1000","x-ratelimit-limit-tokens":"1000000","x-ratelimit-remaining-requests":"999","x-ratelimit-remaining-tokens":"998308","x-ratelimit-renewalperiod-requests":"60","x-ratelimit-renewalperiod-tokens":"60","x-ratelimit-reset-requests":"0","x-ratelimit-reset-tokens":"0","x-request-id":"b4898a51-bdc5-48da-a093-09630326c9b4","x-shellapi-request-id":"2026050716242386620800345165660"}</t>
        </is>
      </c>
      <c r="N86" t="inlineStr">
        <is>
          <t>Miu Miu gray rhinestone mid-calf socks, crafted from high-density cotton blend, soft and skin-friendly, adorned with sparkling crystals and logo embroidery for a chic, unisex modern vintage style.</t>
        </is>
      </c>
      <c r="O8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iu Miu,Socks &amp; Hosiery,kakobuy,kakebuy2026,kekobuysheet,kakobuysheet2026,2026kakobuy,kakobuyspreadsheeet,kakobuylink,kakebuylist,Kakobuy MEGA Spreadsheet,kakobuysheetfind,kakobuysheetfind2026,2026kakobuysheetfind,kakobuysheet2026","refusal":null,"role":"assistant"}}],"created":1778143462,"id":"chatcmpl-DcodC3LDj4PKg0WEXNEbCzxVZrvQN","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24,"engine_ttft_ms":360,"engine_ttlt_ms":2545,"pre_inference_ms":122,"service_tbt_ms":24,"service_ttft_ms":607,"service_ttlt_ms":2789,"total_duration_ms":2674,"user_visible_ttft_ms":485},"prompt_tokens":788,"prompt_tokens_details":{"audio_tokens":0,"cached_tokens":0},"total_tokens":880}}</t>
        </is>
      </c>
      <c r="P86" t="inlineStr">
        <is>
          <t>Miu Miu,Socks &amp; Hosiery,kakobuy,kakebuy2026,kekobuysheet,kakobuysheet2026,2026kakobuy,kakobuyspreadsheeet,kakobuylink,kakebuylist,Kakobuy MEGA Spreadsheet,kakobuysheetfind,kakobuysheetfind2026,2026kakobuysheetfind,kakobuysheet2026</t>
        </is>
      </c>
      <c r="Q86" t="inlineStr">
        <is>
          <t>Grey, Unisex, Modern, Vintage</t>
        </is>
      </c>
      <c r="R86" t="inlineStr">
        <is>
          <t>recvhju1CrHte5</t>
        </is>
      </c>
      <c r="S86" t="inlineStr">
        <is>
          <t>miu-miu-gray-rhinestone-cotton-mid-calf-socks-recvhju1crhte5</t>
        </is>
      </c>
      <c r="T86"/>
      <c r="U86"/>
      <c r="V86"/>
      <c r="W86" t="inlineStr">
        <is>
          <t>{"id":"chatcmpl-DcnnAcqOStnyNB0i9QtYEfR256ADS","object":"chat.completion","created":1778140236,"model":"gpt-5-chat-latest","choices":[{"index":0,"message":{"role":"assistant","content":"Miu Miu灰色水钻中筒袜，甄选高密度棉纱混纺材质，质地柔软亲肤，点缀晶莹微钻图案闪耀优雅光泽，顶部品牌标识刺绣彰显奢华格调，休闲与精致并存，适合男女皆宜的摩登复古风配饰。","refusal":null,"annotations":[]},"logprobs":null,"finish_reason":"stop"}],"usage":{"prompt_tokens":1307,"completion_tokens":91,"total_tokens":1398,"prompt_tokens_details":{"cached_tokens":0,"audio_tokens":0},"completion_tokens_details":{"reasoning_tokens":0,"audio_tokens":0,"accepted_prediction_tokens":0,"rejected_prediction_tokens":0},"latency_checkpoint":{"service_ttft_ms":1409,"user_visible_ttft_ms":1228,"total_duration_ms":3618,"pre_inference_ms":180,"service_tbt_ms":26,"service_ttlt_ms":3790,"engine_ttft_ms":886,"engine_ttlt_ms":3268,"engine_tbt_ms":26}},"service_tier":"default","system_fingerprint":"fp_fd471178c5"}</t>
        </is>
      </c>
      <c r="X86" t="inlineStr">
        <is>
          <t>Miu Miu灰色水钻中筒袜，甄选高密度棉纱混纺材质，质地柔软亲肤，点缀晶莹微钻图案闪耀优雅光泽，顶部品牌标识刺绣彰显奢华格调，休闲与精致并存，适合男女皆宜的摩登复古风配饰。</t>
        </is>
      </c>
    </row>
    <row r="87" ht="25.5" customHeight="1">
      <c r="A87">
        <v>1654975475</v>
      </c>
      <c r="B87">
        <v>7627141958</v>
      </c>
      <c r="C87" s="2" t="str">
        <f>=HYPERLINK("https://weidian.com/item.html?itemID=7627141958", "https://weidian.com/item.html?itemID=7627141958")</f>
        <v>https://weidian.com/item.html?itemID=7627141958</v>
      </c>
      <c r="D87"/>
      <c r="E87" s="2" t="str">
        <f>=HYPERLINK("https://si.geilicdn.com/pcitem902014207253-6dcd0000019ae74bfbcd0a230115_1440_1920.jpg?w=640&amp;h=640", "https://si.geilicdn.com/pcitem902014207253-6dcd0000019ae74bfbcd0a230115_1440_1920.jpg?w=640&amp;h=640")</f>
        <v>https://si.geilicdn.com/pcitem902014207253-6dcd0000019ae74bfbcd0a230115_1440_1920.jpg?w=640&amp;h=640</v>
      </c>
      <c r="F87" t="inlineStr">
        <is>
          <t>Accessories</t>
        </is>
      </c>
      <c r="G87" t="inlineStr">
        <is>
          <t>lululemon</t>
        </is>
      </c>
      <c r="H87">
        <v>340</v>
      </c>
      <c r="I87">
        <v>49.2898550724637</v>
      </c>
      <c r="J8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Off White Nylon Leather Tote Bag","refusal":null,"role":"assistant"}}],"created":1778142972,"id":"chatcmpl-DcoVILVg1FlAvlSnpddepoXbtRjR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25,"engine_ttft_ms":342,"engine_ttlt_ms":612,"pre_inference_ms":166,"service_tbt_ms":25,"service_ttft_ms":782,"service_ttlt_ms":1052,"total_duration_ms":893,"user_visible_ttft_ms":616},"prompt_tokens":882,"prompt_tokens_details":{"audio_tokens":0,"cached_tokens":0},"total_tokens":893}}</t>
        </is>
      </c>
      <c r="K87" t="inlineStr">
        <is>
          <t>Lululemon Off White Nylon Leather Tote Bag</t>
        </is>
      </c>
      <c r="L8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Other Series off-white nylon tote bag with genuine leather handles and flap design. Lightweight, waterproof, and spacious, perfect for commute or casual use, offering modern minimalist urban elegance.","refusal":null,"role":"assistant"}}],"created":1778142188,"id":"chatcmpl-DcoIexPAjvTI1MXIzgEVvpjb2wHs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86,"engine_ttft_ms":1326,"engine_ttlt_ms":4759,"pre_inference_ms":209,"service_tbt_ms":86,"service_ttft_ms":1982,"service_ttlt_ms":5414,"total_duration_ms":5221,"user_visible_ttft_ms":1773},"prompt_tokens":903,"prompt_tokens_details":{"audio_tokens":0,"cached_tokens":0},"total_tokens":943}}</t>
        </is>
      </c>
      <c r="M87" t="inlineStr">
        <is>
          <t>{"alt-svc":"h3=\":443\"; ma=2592000","apim-request-id":"6ec1c836-b48f-4e61-aadf-12223f57c5c6","azureml-model-session":"d20260501041445-2c187743","connection":"close","content-length":"1675","content-type":"application/json","date":"Thu, 07 May 2026 08:23:14 GMT","server":"Caddy","skip-error-remapping":"true","strict-transport-security":"max-age=31536000; includeSubDomains; preload","x-accel-buffering":"no","x-content-type-options":"nosniff","x-ms-client-request-id":"Not-Set","x-ms-is-spilled-over":"false","x-ms-rai-invoked":"true","x-ms-region":"Australia East","x-new-api-version":"v1.0.0-rc.4","x-oneapi-request-id":"202605070823064902369548268d9d6KIbGKuNh","x-ratelimit-abusepenalty-active":"False","x-ratelimit-key":"gpt-5-chat-global","x-ratelimit-limit-requests":"1000","x-ratelimit-limit-tokens":"1000000","x-ratelimit-remaining-requests":"999","x-ratelimit-remaining-tokens":"998335","x-ratelimit-renewalperiod-requests":"60","x-ratelimit-renewalperiod-tokens":"60","x-ratelimit-reset-requests":"0","x-ratelimit-reset-tokens":"0","x-request-id":"0cff1db8-82c5-449a-8943-0610243d4844","x-shellapi-request-id":"2026050716230583832660547050100"}</t>
        </is>
      </c>
      <c r="N87" t="inlineStr">
        <is>
          <t>Lululemon Other Series off-white nylon tote bag with genuine leather handles and flap design. Lightweight, waterproof, and spacious, perfect for commute or casual use, offering modern minimalist urban elegance.</t>
        </is>
      </c>
      <c r="O8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ngchamp,Bag,kakobuy,kakebuy2026,kekobuysheet,kakobuysheet2026,2026kakobuy,kakobuyspreadsheeet,kakobuylink,kakebuylist,Kakobuy MEGA Spreadsheet,kakobuysheetfind,kakobuysheetfind2026,2026kakobuysheetfind,kakobuysheet2026","refusal":null,"role":"assistant"}}],"created":1778143670,"id":"chatcmpl-DcogY7g3USfL1KRpxAgXozFB1zOJ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87,"completion_tokens_details":{"accepted_prediction_tokens":0,"audio_tokens":0,"reasoning_tokens":0,"rejected_prediction_tokens":0},"latency_checkpoint":{"engine_tbt_ms":36,"engine_ttft_ms":388,"engine_ttlt_ms":3514,"pre_inference_ms":147,"service_tbt_ms":36,"service_ttft_ms":690,"service_ttlt_ms":3818,"total_duration_ms":3675,"user_visible_ttft_ms":543},"prompt_tokens":783,"prompt_tokens_details":{"audio_tokens":0,"cached_tokens":0},"total_tokens":870}}</t>
        </is>
      </c>
      <c r="P87" t="inlineStr">
        <is>
          <t>Longchamp,Bag,kakobuy,kakebuy2026,kekobuysheet,kakobuysheet2026,2026kakobuy,kakobuyspreadsheeet,kakobuylink,kakebuylist,Kakobuy MEGA Spreadsheet,kakobuysheetfind,kakobuysheetfind2026,2026kakobuysheetfind,kakobuysheet2026</t>
        </is>
      </c>
      <c r="Q87"/>
      <c r="R87" t="inlineStr">
        <is>
          <t>recvhju1CrcNSc</t>
        </is>
      </c>
      <c r="S87" t="inlineStr">
        <is>
          <t>lululemon-off-white-nylon-leather-tote-recvhju1crcnsc</t>
        </is>
      </c>
      <c r="T87"/>
      <c r="U87"/>
      <c r="V87"/>
      <c r="W87" t="inlineStr">
        <is>
          <t>{"id":"chatcmpl-DcnvQn3OzPZsuTG2LTd6yqKbL4Hoo","object":"chat.completion","created":1778140748,"model":"gpt-5-chat-latest","choices":[{"index":0,"message":{"role":"assistant","content":"Other系列米白色尼龙托特包，搭配头层牛皮手柄与翻盖设计，质感轻盈防水。经典折叠造型融合现代极简风格，容量充足，适合通勤与休闲出行，彰显都市优雅男女皆宜。","refusal":null,"annotations":[]},"logprobs":null,"finish_reason":"stop"}],"usage":{"prompt_tokens":1303,"completion_tokens":68,"total_tokens":1371,"prompt_tokens_details":{"cached_tokens":0,"audio_tokens":0},"completion_tokens_details":{"reasoning_tokens":0,"audio_tokens":0,"accepted_prediction_tokens":0,"rejected_prediction_tokens":0},"latency_checkpoint":{"service_ttft_ms":792,"user_visible_ttft_ms":628,"total_duration_ms":2026,"pre_inference_ms":165,"service_tbt_ms":21,"service_ttlt_ms":2184,"engine_ttft_ms":354,"engine_ttlt_ms":1746,"engine_tbt_ms":20}},"service_tier":"default","system_fingerprint":"fp_fd471178c5"}</t>
        </is>
      </c>
      <c r="X87" t="inlineStr">
        <is>
          <t>Other系列米白色尼龙托特包，搭配头层牛皮手柄与翻盖设计，质感轻盈防水。经典折叠造型融合现代极简风格，容量充足，适合通勤与休闲出行，彰显都市优雅男女皆宜。</t>
        </is>
      </c>
    </row>
    <row r="88" ht="25.5" customHeight="1">
      <c r="A88">
        <v>1654975475</v>
      </c>
      <c r="B88">
        <v>7627145780</v>
      </c>
      <c r="C88" s="2" t="str">
        <f>=HYPERLINK("https://weidian.com/item.html?itemID=7627145780", "https://weidian.com/item.html?itemID=7627145780")</f>
        <v>https://weidian.com/item.html?itemID=7627145780</v>
      </c>
      <c r="D88"/>
      <c r="E88" s="2" t="str">
        <f>=HYPERLINK("https://si.geilicdn.com/pcitem902014207253-74e60000019ae74b3fdb0a8133cc_1440_1920.jpg?w=640&amp;h=640", "https://si.geilicdn.com/pcitem902014207253-74e60000019ae74b3fdb0a8133cc_1440_1920.jpg?w=640&amp;h=640")</f>
        <v>https://si.geilicdn.com/pcitem902014207253-74e60000019ae74b3fdb0a8133cc_1440_1920.jpg?w=640&amp;h=640</v>
      </c>
      <c r="F88" t="inlineStr">
        <is>
          <t>Accessories</t>
        </is>
      </c>
      <c r="G88" t="inlineStr">
        <is>
          <t>Mont Bell</t>
        </is>
      </c>
      <c r="H88">
        <v>280</v>
      </c>
      <c r="I88">
        <v>40.58</v>
      </c>
      <c r="J8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ontbell Black Waterproof Nylon Travel Sports Bag","refusal":null,"role":"assistant"}}],"created":1778142982,"id":"chatcmpl-DcoVShpiFno0xba2IZbIb1t0CKE9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23,"engine_ttft_ms":282,"engine_ttlt_ms":490,"pre_inference_ms":206,"service_tbt_ms":24,"service_ttft_ms":617,"service_ttlt_ms":826,"total_duration_ms":627,"user_visible_ttft_ms":411},"prompt_tokens":877,"prompt_tokens_details":{"audio_tokens":0,"cached_tokens":0},"total_tokens":886}}</t>
        </is>
      </c>
      <c r="K88" t="inlineStr">
        <is>
          <t>Montbell Black Waterproof Nylon Travel Sports Bag</t>
        </is>
      </c>
      <c r="L8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ontbell Black Multifunction Travel Sports Bag, made of high-density waterproof nylon, lightweight and durable with padded handle and adjustable strap, unisex modern outdoor style for easy storage and travel.","refusal":null,"role":"assistant"}}],"created":1778142005,"id":"chatcmpl-DcoFhNs4woSUdrLWdyMJzXu7nkygu","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23,"engine_ttft_ms":482,"engine_ttlt_ms":1353,"pre_inference_ms":192,"service_tbt_ms":23,"service_ttft_ms":949,"service_ttlt_ms":1818,"total_duration_ms":1635,"user_visible_ttft_ms":757},"prompt_tokens":901,"prompt_tokens_details":{"audio_tokens":0,"cached_tokens":0},"total_tokens":939}}</t>
        </is>
      </c>
      <c r="M88" t="inlineStr">
        <is>
          <t>{"alt-svc":"h3=\":443\"; ma=2592000","apim-request-id":"dbcbdc5c-d2e9-472b-8f81-887355baaddc","azureml-model-session":"d20260428205641-55ca9797","connection":"close","content-length":"1670","content-type":"application/json","date":"Thu, 07 May 2026 08:20:07 GMT","server":"Caddy","skip-error-remapping":"true","strict-transport-security":"max-age=31536000; includeSubDomains; preload","x-accel-buffering":"no","x-content-type-options":"nosniff","x-ms-client-request-id":"Not-Set","x-ms-is-spilled-over":"false","x-ms-rai-invoked":"true","x-ms-region":"East US","x-new-api-version":"v1.0.0-rc.4","x-oneapi-request-id":"202605070820047252399798268d9d6sQ46Pj5A","x-ratelimit-abusepenalty-active":"False","x-ratelimit-key":"gpt-5-chat-global","x-ratelimit-limit-requests":"1000","x-ratelimit-limit-tokens":"1000000","x-ratelimit-remaining-requests":"999","x-ratelimit-remaining-tokens":"998337","x-ratelimit-renewalperiod-requests":"60","x-ratelimit-renewalperiod-tokens":"60","x-ratelimit-reset-requests":"0","x-ratelimit-reset-tokens":"0","x-request-id":"450b18d0-7f5a-4470-9667-14f1fe58dcd5","x-shellapi-request-id":"2026050716200467189124324799111"}</t>
        </is>
      </c>
      <c r="N88" t="inlineStr">
        <is>
          <t>Montbell Black Multifunction Travel Sports Bag, made of high-density waterproof nylon, lightweight and durable with padded handle and adjustable strap, unisex modern outdoor style for easy storage and travel.</t>
        </is>
      </c>
      <c r="O8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ont Bell, Bag, kakobuy, kakebuy2026, kekobuysheet, kakobuysheet2026, 2026kakobuy, kakobuyspreadsheeet, kakobuylink, kakebuylist, Kakobuy MEGA Spreadsheet, kakobuysheetfind, kakobuysheetfind2026, 2026kakobuysheetfind, kakobuysheet2026","refusal":null,"role":"assistant"}}],"created":1778143308,"id":"chatcmpl-DcoaixaAJM44SW1BdCIBYvdvgb6QZ","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91,"completion_tokens_details":{"accepted_prediction_tokens":0,"audio_tokens":0,"reasoning_tokens":0,"rejected_prediction_tokens":0},"latency_checkpoint":{"engine_tbt_ms":74,"engine_ttft_ms":245,"engine_ttlt_ms":6951,"pre_inference_ms":357,"service_tbt_ms":76,"service_ttft_ms":750,"service_ttlt_ms":7695,"total_duration_ms":7349,"user_visible_ttft_ms":393},"prompt_tokens":782,"prompt_tokens_details":{"audio_tokens":0,"cached_tokens":0},"total_tokens":873}}</t>
        </is>
      </c>
      <c r="P88" t="inlineStr">
        <is>
          <t>Mont Bell, Bag, kakobuy, kakebuy2026, kekobuysheet, kakobuysheet2026, 2026kakobuy, kakobuyspreadsheeet, kakobuylink, kakebuylist, Kakobuy MEGA Spreadsheet, kakobuysheetfind, kakobuysheetfind2026, 2026kakobuysheetfind, kakobuysheet2026</t>
        </is>
      </c>
      <c r="Q88" t="inlineStr">
        <is>
          <t>Waterproof, Nylon, Lightweight, Outdoor, Unisex, Modern</t>
        </is>
      </c>
      <c r="R88" t="inlineStr">
        <is>
          <t>recvhju1Cr8zPQ</t>
        </is>
      </c>
      <c r="S88" t="inlineStr">
        <is>
          <t>montbell-black-waterproof-nylon-travel-sports-bag-recvhju1cr8zpq</t>
        </is>
      </c>
      <c r="T88"/>
      <c r="U88"/>
      <c r="V88"/>
      <c r="W88" t="inlineStr">
        <is>
          <t>{"id":"chatcmpl-DcnquMlahJcrxkIe7GfHubKfI9NTc","object":"chat.completion","created":1778140468,"model":"gpt-5-chat-latest","choices":[{"index":0,"message":{"role":"assistant","content":"Mont Bell：黑色多功能旅行运动包，采用高密度防水尼龙材质，轻盈耐磨设计，配备加厚手柄与可调肩带，简约实用风格，男女皆宜，现代户外系列，兼具收纳与出行便利。","refusal":null,"annotations":[]},"logprobs":null,"finish_reason":"stop"}],"usage":{"prompt_tokens":1303,"completion_tokens":66,"total_tokens":1369,"prompt_tokens_details":{"cached_tokens":1280,"audio_tokens":0},"completion_tokens_details":{"reasoning_tokens":0,"audio_tokens":0,"accepted_prediction_tokens":0,"rejected_prediction_tokens":0},"latency_checkpoint":{"service_ttft_ms":901,"user_visible_ttft_ms":549,"total_duration_ms":2190,"pre_inference_ms":351,"service_tbt_ms":25,"service_ttlt_ms":2530,"engine_ttft_ms":339,"engine_ttlt_ms":1986,"engine_tbt_ms":25}},"service_tier":"default","system_fingerprint":"fp_fd471178c5"}</t>
        </is>
      </c>
      <c r="X88" t="inlineStr">
        <is>
          <t>Mont Bell：黑色多功能旅行运动包，采用高密度防水尼龙材质，轻盈耐磨设计，配备加厚手柄与可调肩带，简约实用风格，男女皆宜，现代户外系列，兼具收纳与出行便利。</t>
        </is>
      </c>
    </row>
    <row r="89" ht="25.5" customHeight="1">
      <c r="A89">
        <v>1654975475</v>
      </c>
      <c r="B89">
        <v>7627016928</v>
      </c>
      <c r="C89" s="2" t="str">
        <f>=HYPERLINK("https://weidian.com/item.html?itemID=7627016928", "https://weidian.com/item.html?itemID=7627016928")</f>
        <v>https://weidian.com/item.html?itemID=7627016928</v>
      </c>
      <c r="D89"/>
      <c r="E89" s="2" t="str">
        <f>=HYPERLINK("https://si.geilicdn.com/pcitem902014207253-75c10000019ae749bae40a23057e_1442_1922.jpg?w=640&amp;h=640", "https://si.geilicdn.com/pcitem902014207253-75c10000019ae749bae40a23057e_1442_1922.jpg?w=640&amp;h=640")</f>
        <v>https://si.geilicdn.com/pcitem902014207253-75c10000019ae749bae40a23057e_1442_1922.jpg?w=640&amp;h=640</v>
      </c>
      <c r="F89" t="inlineStr">
        <is>
          <t>Accessories</t>
        </is>
      </c>
      <c r="G89" t="inlineStr">
        <is>
          <t>lululemon</t>
        </is>
      </c>
      <c r="H89">
        <v>356</v>
      </c>
      <c r="I89">
        <v>51.5942028985507</v>
      </c>
      <c r="J8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Urban Black Waterproof Nylon Travel Backpack","refusal":null,"role":"assistant"}}],"created":1778142971,"id":"chatcmpl-DcoVHcni5BjZHXfnRGRWqjbfe2LA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50,"engine_ttft_ms":901,"engine_ttlt_ms":1448,"pre_inference_ms":116,"service_tbt_ms":53,"service_ttft_ms":1161,"service_ttlt_ms":1726,"total_duration_ms":1624,"user_visible_ttft_ms":1045},"prompt_tokens":870,"prompt_tokens_details":{"audio_tokens":0,"cached_tokens":0},"total_tokens":881}}</t>
        </is>
      </c>
      <c r="K89" t="inlineStr">
        <is>
          <t>Lululemon Urban Black Waterproof Nylon Travel Backpack</t>
        </is>
      </c>
      <c r="L8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Urban Lightweight Black Backpack – Waterproof nylon, durable minimalist design with multi-pocket storage, adjustable straps, unisex for commuting, travel, and sport.","refusal":null,"role":"assistant"}}],"created":1778142032,"id":"chatcmpl-DcoG8dO1R6Iyhf7p26U91wcwFo5o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34,"completion_tokens_details":{"accepted_prediction_tokens":0,"audio_tokens":0,"reasoning_tokens":0,"rejected_prediction_tokens":0},"latency_checkpoint":{"engine_tbt_ms":20,"engine_ttft_ms":1062,"engine_ttlt_ms":1751,"pre_inference_ms":131,"service_tbt_ms":20,"service_ttft_ms":1539,"service_ttlt_ms":2226,"total_duration_ms":2103,"user_visible_ttft_ms":1408},"prompt_tokens":899,"prompt_tokens_details":{"audio_tokens":0,"cached_tokens":0},"total_tokens":933}}</t>
        </is>
      </c>
      <c r="M89" t="inlineStr">
        <is>
          <t>{"alt-svc":"h3=\":443\"; ma=2592000","apim-request-id":"aa034e41-1387-4bbe-993f-7af827afaefc","azureml-model-session":"d20260428165144-a78ba574","connection":"close","content-length":"1642","content-type":"application/json","date":"Thu, 07 May 2026 08:20:34 GMT","skip-error-remapping":"true","strict-transport-security":"max-age=31536000; includeSubDomains; preload","via":"1.1 Caddy","x-accel-buffering":"no","x-content-type-options":"nosniff","x-ms-client-request-id":"Not-Set","x-ms-is-spilled-over":"false","x-ms-rai-invoked":"true","x-ms-region":"Korea Central","x-new-api-version":"v1.0.0-rc.4","x-oneapi-request-id":"202605070820315050926348268d9d6uY8Gf17H","x-ratelimit-abusepenalty-active":"False","x-ratelimit-key":"gpt-5-chat-global","x-ratelimit-limit-requests":"1000","x-ratelimit-limit-tokens":"1000000","x-ratelimit-remaining-requests":"999","x-ratelimit-remaining-tokens":"998339","x-ratelimit-renewalperiod-requests":"60","x-ratelimit-renewalperiod-tokens":"60","x-ratelimit-reset-requests":"0","x-ratelimit-reset-tokens":"0","x-request-id":"b01002fd-e72f-4e00-b87a-69fc026d2b2d","x-shellapi-request-id":"2026050716203093549473132843064"}</t>
        </is>
      </c>
      <c r="N89" t="inlineStr">
        <is>
          <t>Lululemon Urban Lightweight Black Backpack – Waterproof nylon, durable minimalist design with multi-pocket storage, adjustable straps, unisex for commuting, travel, and sport.</t>
        </is>
      </c>
      <c r="O8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backpack,kakobuy,kakebuy2026,kekobuysheet,kakobuysheet2026,2026kakobuy,kakobuyspreadsheeet,kakobuylink,kakebuylist,Kakobuy MEGA Spreadsheet,kakobuysheetfind,kakobuysheetfind2026,2026kakobuysheetfind,kakobuysheet2026","refusal":null,"role":"assistant"}}],"created":1778143497,"id":"chatcmpl-DcodlecaIwyqtVtnBZFWE6D8uzYO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20,"engine_ttft_ms":1014,"engine_ttlt_ms":2776,"pre_inference_ms":132,"service_tbt_ms":20,"service_ttft_ms":1916,"service_ttlt_ms":3678,"total_duration_ms":3554,"user_visible_ttft_ms":1784},"prompt_tokens":783,"prompt_tokens_details":{"audio_tokens":0,"cached_tokens":0},"total_tokens":872}}</t>
        </is>
      </c>
      <c r="P89" t="inlineStr">
        <is>
          <t>lululemon,backpack,kakobuy,kakebuy2026,kekobuysheet,kakobuysheet2026,2026kakobuy,kakobuyspreadsheeet,kakobuylink,kakebuylist,Kakobuy MEGA Spreadsheet,kakobuysheetfind,kakobuysheetfind2026,2026kakobuysheetfind,kakobuysheet2026</t>
        </is>
      </c>
      <c r="Q89" t="inlineStr">
        <is>
          <t>Backpack, Waterproof, Nylon, Minimalist, Unisex, Black</t>
        </is>
      </c>
      <c r="R89" t="inlineStr">
        <is>
          <t>recvhju1CrNDTV</t>
        </is>
      </c>
      <c r="S89" t="inlineStr">
        <is>
          <t>lululemon-urban-black-waterproof-nylon-travel-backpack-recvhju1crndtv</t>
        </is>
      </c>
      <c r="T89"/>
      <c r="U89"/>
      <c r="V89"/>
      <c r="W89" t="inlineStr">
        <is>
          <t>{"id":"chatcmpl-Dcnsv4vweKuKfojgsII88FcWfbrxn","object":"chat.completion","created":1778140593,"model":"gpt-5-chat-latest","choices":[{"index":0,"message":{"role":"assistant","content":"Lululemon：都市轻盈系列黑色多功能双肩背包，采用防水尼龙材质，简约耐磨设计，配备多层收纳空间与可调节肩带，男女皆宜，通勤与运动皆可，展现现代极简风格。","refusal":null,"annotations":[]},"logprobs":null,"finish_reason":"stop"}],"usage":{"prompt_tokens":1299,"completion_tokens":66,"total_tokens":1365,"prompt_tokens_details":{"cached_tokens":0,"audio_tokens":0},"completion_tokens_details":{"reasoning_tokens":0,"audio_tokens":0,"accepted_prediction_tokens":0,"rejected_prediction_tokens":0},"latency_checkpoint":{"service_ttft_ms":1199,"user_visible_ttft_ms":950,"total_duration_ms":8602,"pre_inference_ms":249,"service_tbt_ms":116,"service_ttlt_ms":8819,"engine_ttft_ms":851,"engine_ttlt_ms":8472,"engine_tbt_ms":115}},"service_tier":"default","system_fingerprint":"fp_fd471178c5"}</t>
        </is>
      </c>
      <c r="X89" t="inlineStr">
        <is>
          <t>Lululemon：都市轻盈系列黑色多功能双肩背包，采用防水尼龙材质，简约耐磨设计，配备多层收纳空间与可调节肩带，男女皆宜，通勤与运动皆可，展现现代极简风格。</t>
        </is>
      </c>
    </row>
    <row r="90" ht="25.5" customHeight="1">
      <c r="A90">
        <v>1654975475</v>
      </c>
      <c r="B90">
        <v>7626687038</v>
      </c>
      <c r="C90" s="2" t="str">
        <f>=HYPERLINK("https://weidian.com/item.html?itemID=7626687038", "https://weidian.com/item.html?itemID=7626687038")</f>
        <v>https://weidian.com/item.html?itemID=7626687038</v>
      </c>
      <c r="D90"/>
      <c r="E90" s="2" t="str">
        <f>=HYPERLINK("https://si.geilicdn.com/pcitem902014207253-482a0000019ae749ca4a0a20e2c5_1440_1920.jpg?w=640&amp;h=640", "https://si.geilicdn.com/pcitem902014207253-482a0000019ae749ca4a0a20e2c5_1440_1920.jpg?w=640&amp;h=640")</f>
        <v>https://si.geilicdn.com/pcitem902014207253-482a0000019ae749ca4a0a20e2c5_1440_1920.jpg?w=640&amp;h=640</v>
      </c>
      <c r="F90" t="inlineStr">
        <is>
          <t>Accessories</t>
        </is>
      </c>
      <c r="G90" t="inlineStr">
        <is>
          <t>TUMI</t>
        </is>
      </c>
      <c r="H90">
        <v>380</v>
      </c>
      <c r="I90">
        <v>55.07</v>
      </c>
      <c r="J9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UMI Lago Blue Purple Nylon Crossbody Bag","refusal":null,"role":"assistant"}}],"created":1778143073,"id":"chatcmpl-DcoWvWbnCmu7DdHyhLVuuMbrNTOQ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166,"engine_ttft_ms":1127,"engine_ttlt_ms":2952,"pre_inference_ms":134,"service_tbt_ms":167,"service_ttft_ms":1693,"service_ttlt_ms":3517,"total_duration_ms":3393,"user_visible_ttft_ms":1558},"prompt_tokens":881,"prompt_tokens_details":{"audio_tokens":0,"cached_tokens":0},"total_tokens":892}}</t>
        </is>
      </c>
      <c r="K90" t="inlineStr">
        <is>
          <t>TUMI Lago Blue Purple Nylon Crossbody Bag</t>
        </is>
      </c>
      <c r="L9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UMI Lago Series crossbody bag in blue-purple abstract pattern. Made of high-density waterproof nylon, lightweight and durable. Sleek design with metal logo, ideal for urban leisure and business.","refusal":null,"role":"assistant"}}],"created":1778142074,"id":"chatcmpl-DcoGoWNcFVFsJcBljSs1wjPX8ysM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112,"engine_ttft_ms":969,"engine_ttlt_ms":5439,"pre_inference_ms":128,"service_tbt_ms":112,"service_ttft_ms":1325,"service_ttlt_ms":5792,"total_duration_ms":5674,"user_visible_ttft_ms":1197},"prompt_tokens":928,"prompt_tokens_details":{"audio_tokens":0,"cached_tokens":0},"total_tokens":968}}</t>
        </is>
      </c>
      <c r="M90" t="inlineStr">
        <is>
          <t>{"alt-svc":"h3=\":443\"; ma=2592000","apim-request-id":"d9cdcc21-ff76-439b-8619-58f0ee9d0af9","azureml-model-session":"d20260501041445-2c187743","connection":"close","content-length":"1661","content-type":"application/json","date":"Thu, 07 May 2026 08:21:19 GMT","skip-error-remapping":"true","strict-transport-security":"max-age=31536000; includeSubDomains; preload","via":"1.1 Caddy","x-accel-buffering":"no","x-content-type-options":"nosniff","x-ms-client-request-id":"Not-Set","x-ms-is-spilled-over":"false","x-ms-rai-invoked":"true","x-ms-region":"Switzerland West","x-new-api-version":"v1.0.0-rc.4","x-oneapi-request-id":"202605070821134543694418268d9d68MJty1cA","x-ratelimit-abusepenalty-active":"False","x-ratelimit-key":"gpt-5-chat-global","x-ratelimit-limit-requests":"1000","x-ratelimit-limit-tokens":"1000000","x-ratelimit-remaining-requests":"999","x-ratelimit-remaining-tokens":"998310","x-ratelimit-renewalperiod-requests":"60","x-ratelimit-renewalperiod-tokens":"60","x-ratelimit-reset-requests":"0","x-ratelimit-reset-tokens":"0","x-request-id":"c9a993f4-a05e-42f0-b786-b6d88de45419","x-shellapi-request-id":"2026050716211339698300142486883"}</t>
        </is>
      </c>
      <c r="N90" t="inlineStr">
        <is>
          <t>TUMI Lago Series crossbody bag in blue-purple abstract pattern. Made of high-density waterproof nylon, lightweight and durable. Sleek design with metal logo, ideal for urban leisure and business.</t>
        </is>
      </c>
      <c r="O9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UMI,Backpack,kakobuy,kakebuy2026,kekobuysheet,kakobuysheet2026,2026kakobuy,kakobuyspreadsheeet,kakobuylink,kakebuylist,Kakobuy MEGA Spreadsheet,kakobuysheetfind,kakobuysheetfind2026,2026kakobuysheetfind,kakobuysheet2026","refusal":null,"role":"assistant"}}],"created":1778143537,"id":"chatcmpl-DcoePsvqp3t3IzoKJRnMOxXT4i0rW","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20,"engine_ttft_ms":785,"engine_ttlt_ms":2572,"pre_inference_ms":171,"service_tbt_ms":20,"service_ttft_ms":1277,"service_ttlt_ms":3063,"total_duration_ms":2902,"user_visible_ttft_ms":1106},"prompt_tokens":783,"prompt_tokens_details":{"audio_tokens":0,"cached_tokens":0},"total_tokens":872}}</t>
        </is>
      </c>
      <c r="P90" t="inlineStr">
        <is>
          <t>TUMI,Backpack,kakobuy,kakebuy2026,kekobuysheet,kakobuysheet2026,2026kakobuy,kakobuyspreadsheeet,kakobuylink,kakebuylist,Kakobuy MEGA Spreadsheet,kakobuysheetfind,kakobuysheetfind2026,2026kakobuysheetfind,kakobuysheet2026</t>
        </is>
      </c>
      <c r="Q90" t="inlineStr">
        <is>
          <t>Blue, Purple, Abstract, Waterproof, Nylon, Lightweight</t>
        </is>
      </c>
      <c r="R90" t="inlineStr">
        <is>
          <t>recvhju1Cr5h2y</t>
        </is>
      </c>
      <c r="S90" t="inlineStr">
        <is>
          <t>tumi-lago-blue-purple-nylon-crossbody-recvhju1cr5h2y</t>
        </is>
      </c>
      <c r="T90"/>
      <c r="U90"/>
      <c r="V90"/>
      <c r="W9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UMI：Lago系列蓝紫色抽象纹斜挎背包，采用高密度防水尼龙材质，轻盈耐用。流线造型结合现代极简设计风格，外部多功能拉链袋便于收纳，细节融入金属LOGO点缀，男女皆宜，彰显都市休闲与商务通勤的平衡美学。","refusal":null,"role":"assistant"}}],"created":1778140310,"id":"chatcmpl-DcnoMX26wlh4NDc9VGhOM42WPp5L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194,"engine_ttft_ms":1352,"engine_ttlt_ms":19246,"pre_inference_ms":155,"service_tbt_ms":195,"service_ttft_ms":2529,"service_ttlt_ms":20422,"total_duration_ms":20277,"user_visible_ttft_ms":2374},"prompt_tokens":1307,"prompt_tokens_details":{"audio_tokens":0,"cached_tokens":0},"total_tokens":1399}}</t>
        </is>
      </c>
      <c r="X90" t="inlineStr">
        <is>
          <t>TUMI：Lago系列蓝紫色抽象纹斜挎背包，采用高密度防水尼龙材质，轻盈耐用。流线造型结合现代极简设计风格，外部多功能拉链袋便于收纳，细节融入金属LOGO点缀，男女皆宜，彰显都市休闲与商务通勤的平衡美学。</t>
        </is>
      </c>
    </row>
    <row r="91" ht="25.5" customHeight="1">
      <c r="A91">
        <v>1654975475</v>
      </c>
      <c r="B91">
        <v>7626801306</v>
      </c>
      <c r="C91" s="2" t="str">
        <f>=HYPERLINK("https://weidian.com/item.html?itemID=7626801306", "https://weidian.com/item.html?itemID=7626801306")</f>
        <v>https://weidian.com/item.html?itemID=7626801306</v>
      </c>
      <c r="D91"/>
      <c r="E91" s="2" t="str">
        <f>=HYPERLINK("https://si.geilicdn.com/pcitem2014204438-64a50000019ae4880e2f0a20e672_800_1066.jpg?w=640&amp;h=640", "https://si.geilicdn.com/pcitem2014204438-64a50000019ae4880e2f0a20e672_800_1066.jpg?w=640&amp;h=640")</f>
        <v>https://si.geilicdn.com/pcitem2014204438-64a50000019ae4880e2f0a20e672_800_1066.jpg?w=640&amp;h=640</v>
      </c>
      <c r="F91" t="inlineStr">
        <is>
          <t>Accessories</t>
        </is>
      </c>
      <c r="G91" t="inlineStr">
        <is>
          <t>The North Face</t>
        </is>
      </c>
      <c r="H91">
        <v>380</v>
      </c>
      <c r="I91">
        <v>55.07</v>
      </c>
      <c r="J9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Beige Ripstop Nylon Travel Backpack","refusal":null,"role":"assistant"}}],"created":1778142849,"id":"chatcmpl-DcoTJIlveINyjW4g95TxWcemtQ9vX","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100,"engine_ttft_ms":486,"engine_ttlt_ms":1491,"pre_inference_ms":156,"service_tbt_ms":101,"service_ttft_ms":714,"service_ttlt_ms":1711,"total_duration_ms":1565,"user_visible_ttft_ms":558},"prompt_tokens":880,"prompt_tokens_details":{"audio_tokens":0,"cached_tokens":0},"total_tokens":890}}</t>
        </is>
      </c>
      <c r="K91" t="inlineStr">
        <is>
          <t>The North Face Beige Ripstop Nylon Travel Backpack</t>
        </is>
      </c>
      <c r="L9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beige multifunction travel backpack made of ripstop nylon, lightweight and durable. Urban utility design with multiple compartments and zipper pockets, unisex for commute, outdoor, and casual use.","refusal":null,"role":"assistant"}}],"created":1778141978,"id":"chatcmpl-DcoFGZFB2rAP8DP3W4ERUpMJpZy44","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19,"engine_ttft_ms":927,"engine_ttlt_ms":1668,"pre_inference_ms":133,"service_tbt_ms":19,"service_ttft_ms":1372,"service_ttlt_ms":2113,"total_duration_ms":1986,"user_visible_ttft_ms":1239},"prompt_tokens":930,"prompt_tokens_details":{"audio_tokens":0,"cached_tokens":0},"total_tokens":969}}</t>
        </is>
      </c>
      <c r="M91" t="inlineStr">
        <is>
          <t>{"alt-svc":"h3=\":443\"; ma=2592000","apim-request-id":"2da17a29-eafd-40c6-9385-e51fa134dce7","azureml-model-session":"d20260429094557-48622491","connection":"close","content-length":"1675","content-type":"application/json","date":"Thu, 07 May 2026 08:19:39 GMT","server":"Caddy","skip-error-remapping":"true","strict-transport-security":"max-age=31536000; includeSubDomains; preload","x-accel-buffering":"no","x-content-type-options":"nosniff","x-ms-client-request-id":"Not-Set","x-ms-is-spilled-over":"false","x-ms-rai-invoked":"true","x-ms-region":"Switzerland West","x-new-api-version":"v1.0.0-rc.4","x-oneapi-request-id":"202605070819367903079288268d9d6QdKH0B09","x-ratelimit-abusepenalty-active":"False","x-ratelimit-key":"gpt-5-chat-global","x-ratelimit-limit-requests":"1000","x-ratelimit-limit-tokens":"1000000","x-ratelimit-remaining-requests":"999","x-ratelimit-remaining-tokens":"998308","x-ratelimit-renewalperiod-requests":"60","x-ratelimit-renewalperiod-tokens":"60","x-ratelimit-reset-requests":"0","x-ratelimit-reset-tokens":"0","x-request-id":"0c3325cf-ebb9-4298-968f-844c0302f77d","x-shellapi-request-id":"2026050716193672604728007799679"}</t>
        </is>
      </c>
      <c r="N91" t="inlineStr">
        <is>
          <t>The North Face beige multifunction travel backpack made of ripstop nylon, lightweight and durable. Urban utility design with multiple compartments and zipper pockets, unisex for commute, outdoor, and casual use.</t>
        </is>
      </c>
      <c r="O9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Face,Accessories,kakobuy,kakebuy2026,kekobuysheet,kakobuysheet2026,2026kakobuy,kakobuyspreadsheeet,kakobuylink,kakebuylist,Kakobuy MEGA Spreadsheet,kakobuysheetfind,kakobuysheetfind2026,2026kakobuysheetfind,kakobuysheet2026","refusal":null,"role":"assistant"}}],"created":1778143626,"id":"chatcmpl-DcofqZzepzhpDTemoFeVfj3QbAL6U","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34,"engine_ttft_ms":933,"engine_ttlt_ms":3933,"pre_inference_ms":190,"service_tbt_ms":34,"service_ttft_ms":1853,"service_ttlt_ms":4853,"total_duration_ms":4670,"user_visible_ttft_ms":1664},"prompt_tokens":783,"prompt_tokens_details":{"audio_tokens":0,"cached_tokens":0},"total_tokens":871}}</t>
        </is>
      </c>
      <c r="P91" t="inlineStr">
        <is>
          <t>The North Face,Accessories,kakobuy,kakebuy2026,kekobuysheet,kakobuysheet2026,2026kakobuy,kakobuyspreadsheeet,kakobuylink,kakebuylist,Kakobuy MEGA Spreadsheet,kakobuysheetfind,kakobuysheetfind2026,2026kakobuysheetfind,kakobuysheet2026</t>
        </is>
      </c>
      <c r="Q91" t="inlineStr">
        <is>
          <t>Backpack, Beige, Nylon, Unisex, Outdoor</t>
        </is>
      </c>
      <c r="R91" t="inlineStr">
        <is>
          <t>recvhju1CrUphS</t>
        </is>
      </c>
      <c r="S91" t="inlineStr">
        <is>
          <t>the-north-face-beige-ripstop-nylon-travel-backpack-recvhju1cruphs</t>
        </is>
      </c>
      <c r="T91"/>
      <c r="U91"/>
      <c r="V91"/>
      <c r="W91" t="inlineStr">
        <is>
          <t>{"id":"chatcmpl-DcnksMGv4Ud73VraPXrj7zH4By8ym","object":"chat.completion","created":1778140094,"model":"gpt-5-chat-latest","choices":[{"index":0,"message":{"role":"assistant","content":"The North Face 米色多功能旅行双肩包，采用防撕裂尼龙面料，轻盈耐磨。简约硬朗设计融合都市机能风格，配有多层收纳隔层与外置拉链口袋，兼具实用与时尚。男女通用款，适合通勤、户外与休闲场景，展现品牌高性能工艺与潮流格调。","refusal":null,"annotations":[]},"logprobs":null,"finish_reason":"stop"}],"usage":{"prompt_tokens":1303,"completion_tokens":95,"total_tokens":1398,"prompt_tokens_details":{"cached_tokens":0,"audio_tokens":0},"completion_tokens_details":{"reasoning_tokens":0,"audio_tokens":0,"accepted_prediction_tokens":0,"rejected_prediction_tokens":0},"latency_checkpoint":{"service_ttft_ms":1662,"user_visible_ttft_ms":1479,"total_duration_ms":3822,"pre_inference_ms":183,"service_tbt_ms":25,"service_ttlt_ms":3996,"engine_ttft_ms":1136,"engine_ttlt_ms":3471,"engine_tbt_ms":25}},"service_tier":"default","system_fingerprint":"fp_fd471178c5"}</t>
        </is>
      </c>
      <c r="X91" t="inlineStr">
        <is>
          <t>The North Face 米色多功能旅行双肩包，采用防撕裂尼龙面料，轻盈耐磨。简约硬朗设计融合都市机能风格，配有多层收纳隔层与外置拉链口袋，兼具实用与时尚。男女通用款，适合通勤、户外与休闲场景，展现品牌高性能工艺与潮流格调。</t>
        </is>
      </c>
    </row>
    <row r="92" ht="25.5" customHeight="1">
      <c r="A92">
        <v>1654975475</v>
      </c>
      <c r="B92">
        <v>7626850774</v>
      </c>
      <c r="C92" s="2" t="str">
        <f>=HYPERLINK("https://weidian.com/item.html?itemID=7626850774", "https://weidian.com/item.html?itemID=7626850774")</f>
        <v>https://weidian.com/item.html?itemID=7626850774</v>
      </c>
      <c r="D92"/>
      <c r="E92" s="2" t="str">
        <f>=HYPERLINK("https://si.geilicdn.com/pcitem2014204438-67ab0000019ae48372990a23047e_1440_1919.jpg?w=640&amp;h=640", "https://si.geilicdn.com/pcitem2014204438-67ab0000019ae48372990a23047e_1440_1919.jpg?w=640&amp;h=640")</f>
        <v>https://si.geilicdn.com/pcitem2014204438-67ab0000019ae48372990a23047e_1440_1919.jpg?w=640&amp;h=640</v>
      </c>
      <c r="F92" t="inlineStr">
        <is>
          <t>Accessories</t>
        </is>
      </c>
      <c r="G92" t="inlineStr">
        <is>
          <t>Bellroy</t>
        </is>
      </c>
      <c r="H92">
        <v>320</v>
      </c>
      <c r="I92">
        <v>46.38</v>
      </c>
      <c r="J9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ellroy Lago Terra Brown Rolltop Water-Resistant Backpack","refusal":null,"role":"assistant"}}],"created":1778142875,"id":"chatcmpl-DcoTjBqcH6GS8SobX2tf6qk7lLkP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80,"engine_ttft_ms":1255,"engine_ttlt_ms":2292,"pre_inference_ms":129,"service_tbt_ms":80,"service_ttft_ms":1612,"service_ttlt_ms":2644,"total_duration_ms":2524,"user_visible_ttft_ms":1482},"prompt_tokens":879,"prompt_tokens_details":{"audio_tokens":0,"cached_tokens":0},"total_tokens":892}}</t>
        </is>
      </c>
      <c r="K92" t="inlineStr">
        <is>
          <t>Bellroy Lago Terra Brown Rolltop Water-Resistant Backpack</t>
        </is>
      </c>
      <c r="L9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ellroy Lago Teracotta Brown Lightweight Backpack – Water-resistant nylon, minimalist roll-top design inspired by urban adventure, sleek shape fits commute or travel, unisex, modern eco-craft style.","refusal":null,"role":"assistant"}}],"created":1778142256,"id":"chatcmpl-DcoJki8fcipUgvtPH6ucy40weZGW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28,"engine_ttft_ms":757,"engine_ttlt_ms":1861,"pre_inference_ms":189,"service_tbt_ms":29,"service_ttft_ms":1242,"service_ttlt_ms":2346,"total_duration_ms":2164,"user_visible_ttft_ms":1053},"prompt_tokens":903,"prompt_tokens_details":{"audio_tokens":0,"cached_tokens":0},"total_tokens":942}}</t>
        </is>
      </c>
      <c r="M92" t="inlineStr">
        <is>
          <t>{"alt-svc":"h3=\":443\"; ma=2592000","apim-request-id":"83fa9262-c459-43be-9053-021770eabcea","azureml-model-session":"d20260428205641-55ca9797","connection":"close","content-length":"1664","content-type":"application/json","date":"Thu, 07 May 2026 08:24:17 GMT","server":"Caddy","skip-error-remapping":"true","strict-transport-security":"max-age=31536000; includeSubDomains; preload","x-accel-buffering":"no","x-content-type-options":"nosniff","x-ms-client-request-id":"Not-Set","x-ms-is-spilled-over":"false","x-ms-rai-invoked":"true","x-ms-region":"Japan East","x-new-api-version":"v1.0.0-rc.4","x-oneapi-request-id":"202605070824147505728938268d9d6vOo4dJO0","x-ratelimit-abusepenalty-active":"False","x-ratelimit-key":"gpt-5-chat-global","x-ratelimit-limit-requests":"1000","x-ratelimit-limit-tokens":"1000000","x-ratelimit-remaining-requests":"999","x-ratelimit-remaining-tokens":"998335","x-ratelimit-renewalperiod-requests":"60","x-ratelimit-renewalperiod-tokens":"60","x-ratelimit-reset-requests":"0","x-ratelimit-reset-tokens":"0","x-request-id":"8b59b84e-185c-4106-8fa3-de719f7bb8cd","x-shellapi-request-id":"2026050716241469949681681807398"}</t>
        </is>
      </c>
      <c r="N92" t="inlineStr">
        <is>
          <t>Bellroy Lago Teracotta Brown Lightweight Backpack – Water-resistant nylon, minimalist roll-top design inspired by urban adventure, sleek shape fits commute or travel, unisex, modern eco-craft style.</t>
        </is>
      </c>
      <c r="O9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ellroy,Backpack,kakobuy,kakebuy2026,kekobuysheet,kakobuysheet2026,2026kakobuy,kakobuyspreadsheeet,kakobuylink,kakebuylist,Kakobuy MEGA Spreadsheet,kakobuysheetfind,kakobuysheetfind2026,2026kakobuysheetfind,kakobuysheet2026","refusal":null,"role":"assistant"}}],"created":1778143330,"id":"chatcmpl-Dcob4sbIvCi2zlA2g66H4r2oPLe9Q","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78,"engine_ttft_ms":784,"engine_ttlt_ms":7660,"pre_inference_ms":181,"service_tbt_ms":78,"service_ttft_ms":1545,"service_ttlt_ms":8420,"total_duration_ms":8252,"user_visible_ttft_ms":1364},"prompt_tokens":782,"prompt_tokens_details":{"audio_tokens":0,"cached_tokens":0},"total_tokens":870}}</t>
        </is>
      </c>
      <c r="P92" t="inlineStr">
        <is>
          <t>Bellroy,Backpack,kakobuy,kakebuy2026,kekobuysheet,kakobuysheet2026,2026kakobuy,kakobuyspreadsheeet,kakobuylink,kakebuylist,Kakobuy MEGA Spreadsheet,kakobuysheetfind,kakobuysheetfind2026,2026kakobuysheetfind,kakobuysheet2026</t>
        </is>
      </c>
      <c r="Q92" t="inlineStr">
        <is>
          <t>Backpack, Nylon, Waterproof, Minimalist, Unisex, Lightweight</t>
        </is>
      </c>
      <c r="R92" t="inlineStr">
        <is>
          <t>recvhju1CrxGjq</t>
        </is>
      </c>
      <c r="S92" t="inlineStr">
        <is>
          <t>bellroy-lago-terra-brown-rolltop-backpack-recvhju1crxgjq</t>
        </is>
      </c>
      <c r="T92"/>
      <c r="U92"/>
      <c r="V92"/>
      <c r="W92" t="inlineStr">
        <is>
          <t>{"id":"chatcmpl-DcnsyzkrYjY1PFhavKs8s9MF9o0ID","object":"chat.completion","created":1778140596,"model":"gpt-5-chat-latest","choices":[{"index":0,"message":{"role":"assistant","content":"Bellroy：Lago系列赤陶棕轻量背包，采用防泼水尼龙材质，极简卷顶设计灵感源自都市探险，流线造型兼具通勤与旅行功能，男女皆宜，现代休闲风格展现品牌精致工艺与环保理念。","refusal":null,"annotations":[]},"logprobs":null,"finish_reason":"stop"}],"usage":{"prompt_tokens":1297,"completion_tokens":71,"total_tokens":1368,"prompt_tokens_details":{"cached_tokens":1280,"audio_tokens":0},"completion_tokens_details":{"reasoning_tokens":0,"audio_tokens":0,"accepted_prediction_tokens":0,"rejected_prediction_tokens":0},"latency_checkpoint":{"service_ttft_ms":639,"user_visible_ttft_ms":482,"total_duration_ms":2219,"pre_inference_ms":157,"service_tbt_ms":24,"service_ttlt_ms":2369,"engine_ttft_ms":335,"engine_ttlt_ms":2064,"engine_tbt_ms":24}},"service_tier":"default","system_fingerprint":"fp_fd471178c5"}</t>
        </is>
      </c>
      <c r="X92" t="inlineStr">
        <is>
          <t>Bellroy：Lago系列赤陶棕轻量背包，采用防泼水尼龙材质，极简卷顶设计灵感源自都市探险，流线造型兼具通勤与旅行功能，男女皆宜，现代休闲风格展现品牌精致工艺与环保理念。</t>
        </is>
      </c>
    </row>
    <row r="93" ht="25.5" customHeight="1">
      <c r="A93">
        <v>1654975475</v>
      </c>
      <c r="B93">
        <v>7627499368</v>
      </c>
      <c r="C93" s="2" t="str">
        <f>=HYPERLINK("https://weidian.com/item.html?itemID=7627499368", "https://weidian.com/item.html?itemID=7627499368")</f>
        <v>https://weidian.com/item.html?itemID=7627499368</v>
      </c>
      <c r="D93"/>
      <c r="E93" s="2" t="str">
        <f>=HYPERLINK("https://si.geilicdn.com/pcitem2014204438-24b70000019ae7e65d680a2303ee_1440_1920.jpg?w=640&amp;h=640", "https://si.geilicdn.com/pcitem2014204438-24b70000019ae7e65d680a2303ee_1440_1920.jpg?w=640&amp;h=640")</f>
        <v>https://si.geilicdn.com/pcitem2014204438-24b70000019ae7e65d680a2303ee_1440_1920.jpg?w=640&amp;h=640</v>
      </c>
      <c r="F93" t="inlineStr">
        <is>
          <t>Socks &amp; Hosiery</t>
        </is>
      </c>
      <c r="G93" t="inlineStr">
        <is>
          <t>Versace</t>
        </is>
      </c>
      <c r="H93">
        <v>120</v>
      </c>
      <c r="I93">
        <v>17.39</v>
      </c>
      <c r="J9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Versace Classic Muse Medusa Multicolor Cotton Socks","refusal":null,"role":"assistant"}}],"created":1778142887,"id":"chatcmpl-DcoTvg2VKQsUOnqEAybvM80NxlW33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16,"engine_ttft_ms":955,"engine_ttlt_ms":1130,"pre_inference_ms":255,"service_tbt_ms":17,"service_ttft_ms":1532,"service_ttlt_ms":1709,"total_duration_ms":1459,"user_visible_ttft_ms":1277},"prompt_tokens":883,"prompt_tokens_details":{"audio_tokens":0,"cached_tokens":0},"total_tokens":894}}</t>
        </is>
      </c>
      <c r="K93" t="inlineStr">
        <is>
          <t>Versace Classic Muse Medusa Multicolor Cotton Socks</t>
        </is>
      </c>
      <c r="L9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Versace Classic Muse Collection multicolor mid-calf socks, crafted from soft cotton for all seasons, featuring gold Medusa emblem and red-green stripe design, unisex luxury Italian fashion style.","refusal":null,"role":"assistant"}}],"created":1778142136,"id":"chatcmpl-DcoHoRUcGZgIboCGFz3LzHDpvMQ31","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84,"engine_ttft_ms":1425,"engine_ttlt_ms":4715,"pre_inference_ms":266,"service_tbt_ms":85,"service_ttft_ms":2708,"service_ttlt_ms":5998,"total_duration_ms":5742,"user_visible_ttft_ms":2442},"prompt_tokens":912,"prompt_tokens_details":{"audio_tokens":0,"cached_tokens":0},"total_tokens":951}}</t>
        </is>
      </c>
      <c r="M93" t="inlineStr">
        <is>
          <t>{"alt-svc":"h3=\":443\"; ma=2592000","apim-request-id":"ca743d1b-9b7b-4534-a55a-416e722ba633","azureml-model-session":"d20260501041445-2c187743","connection":"close","content-length":"1660","content-type":"application/json","date":"Thu, 07 May 2026 08:22:21 GMT","server":"Caddy","skip-error-remapping":"true","strict-transport-security":"max-age=31536000; includeSubDomains; preload","x-accel-buffering":"no","x-content-type-options":"nosniff","x-ms-client-request-id":"Not-Set","x-ms-is-spilled-over":"false","x-ms-rai-invoked":"true","x-ms-region":"Australia East","x-new-api-version":"v1.0.0-rc.4","x-oneapi-request-id":"20260507082214942706218268d9d6WmjY71pY","x-ratelimit-abusepenalty-active":"False","x-ratelimit-key":"gpt-5-chat-global","x-ratelimit-limit-requests":"1000","x-ratelimit-limit-tokens":"1000000","x-ratelimit-remaining-requests":"999","x-ratelimit-remaining-tokens":"998326","x-ratelimit-renewalperiod-requests":"60","x-ratelimit-renewalperiod-tokens":"60","x-ratelimit-reset-requests":"0","x-ratelimit-reset-tokens":"0","x-request-id":"1defa6f8-e586-4a09-8b6c-87a7cd66651f","x-shellapi-request-id":"2026050716221372822610208108428"}</t>
        </is>
      </c>
      <c r="N93" t="inlineStr">
        <is>
          <t>Versace Classic Muse Collection multicolor mid-calf socks, crafted from soft cotton for all seasons, featuring gold Medusa emblem and red-green stripe design, unisex luxury Italian fashion style.</t>
        </is>
      </c>
      <c r="O9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Versace, Socks &amp; Hosiery, kakobuy, kakebuy2026, kekobuysheet, kakobuysheet2026, 2026kakobuy, kakobuyspreadsheeet, kakobuylink, kakebuylist, Kakobuy MEGA Spreadsheet, kakobuysheetfind, kakobuysheetfind2026, 2026kakobuysheetfind, kakobuysheet2026","refusal":null,"role":"assistant"}}],"created":1778143415,"id":"chatcmpl-DcocRCe14rzTL1BMyMA0SXl0X1aN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17,"engine_ttft_ms":852,"engine_ttlt_ms":2440,"pre_inference_ms":315,"service_tbt_ms":17,"service_ttft_ms":1464,"service_ttlt_ms":3051,"total_duration_ms":2742,"user_visible_ttft_ms":1149},"prompt_tokens":786,"prompt_tokens_details":{"audio_tokens":0,"cached_tokens":0},"total_tokens":880}}</t>
        </is>
      </c>
      <c r="P93" t="inlineStr">
        <is>
          <t>Versace, Socks &amp; Hosiery, kakobuy, kakebuy2026, kekobuysheet, kakobuysheet2026, 2026kakobuy, kakobuyspreadsheeet, kakobuylink, kakebuylist, Kakobuy MEGA Spreadsheet, kakobuysheetfind, kakobuysheetfind2026, 2026kakobuysheetfind, kakobuysheet2026</t>
        </is>
      </c>
      <c r="Q93" t="inlineStr">
        <is>
          <t>All Seasons, Unisex, Gold, Red</t>
        </is>
      </c>
      <c r="R93" t="inlineStr">
        <is>
          <t>recvhju1CrnbFV</t>
        </is>
      </c>
      <c r="S93" t="inlineStr">
        <is>
          <t>versace-muse-medusa-multicolor-socks-recvhju1crnbfv</t>
        </is>
      </c>
      <c r="T93"/>
      <c r="U93"/>
      <c r="V93"/>
      <c r="W93" t="inlineStr">
        <is>
          <t>{"id":"chatcmpl-Dcns9f3yNcNLjGxe0IU2TNVGTmphj","object":"chat.completion","created":1778140545,"model":"gpt-5-chat-latest","choices":[{"index":0,"message":{"role":"assistant","content":"Versace：经典缪斯系列多色中筒袜，甄选四季舒适棉质，镶金色美杜莎图腾，结合红绿撞色条纹设计，彰显奢华意式风格。男女通用款，时尚百搭，展现品牌高定艺术格调。","refusal":null,"annotations":[]},"logprobs":null,"finish_reason":"stop"}],"usage":{"prompt_tokens":1305,"completion_tokens":74,"total_tokens":1379,"prompt_tokens_details":{"cached_tokens":1280,"audio_tokens":0},"completion_tokens_details":{"reasoning_tokens":0,"audio_tokens":0,"accepted_prediction_tokens":0,"rejected_prediction_tokens":0},"latency_checkpoint":{"service_ttft_ms":850,"user_visible_ttft_ms":470,"total_duration_ms":2083,"pre_inference_ms":380,"service_tbt_ms":22,"service_ttlt_ms":2455,"engine_ttft_ms":333,"engine_ttlt_ms":1940,"engine_tbt_ms":22}},"service_tier":"default","system_fingerprint":"fp_fd471178c5"}</t>
        </is>
      </c>
      <c r="X93" t="inlineStr">
        <is>
          <t>Versace：经典缪斯系列多色中筒袜，甄选四季舒适棉质，镶金色美杜莎图腾，结合红绿撞色条纹设计，彰显奢华意式风格。男女通用款，时尚百搭，展现品牌高定艺术格调。</t>
        </is>
      </c>
    </row>
    <row r="94" ht="25.5" customHeight="1">
      <c r="A94">
        <v>1654975475</v>
      </c>
      <c r="B94">
        <v>7624503433</v>
      </c>
      <c r="C94" s="2" t="str">
        <f>=HYPERLINK("https://weidian.com/item.html?itemID=7624503433", "https://weidian.com/item.html?itemID=7624503433")</f>
        <v>https://weidian.com/item.html?itemID=7624503433</v>
      </c>
      <c r="D94"/>
      <c r="E94" s="2" t="str">
        <f>=HYPERLINK("https://si.geilicdn.com/pcitem2014204438-43f50000019ae7e195370a2103bd_1074_910.jpg?w=640&amp;h=640", "https://si.geilicdn.com/pcitem2014204438-43f50000019ae7e195370a2103bd_1074_910.jpg?w=640&amp;h=640")</f>
        <v>https://si.geilicdn.com/pcitem2014204438-43f50000019ae7e195370a2103bd_1074_910.jpg?w=640&amp;h=640</v>
      </c>
      <c r="F94" t="inlineStr">
        <is>
          <t>Socks &amp; Hosiery</t>
        </is>
      </c>
      <c r="G94" t="inlineStr">
        <is>
          <t xml:space="preserve"> Louis Vuitton</t>
        </is>
      </c>
      <c r="H94">
        <v>130</v>
      </c>
      <c r="I94">
        <v>18.84</v>
      </c>
      <c r="J9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ouis Vuitton Monogram Beige Mid-Calf Cotton Socks","refusal":null,"role":"assistant"}}],"created":1778143071,"id":"chatcmpl-DcoWtYXxU6twFlqWT2YmaUs6MKIpF","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52,"engine_ttft_ms":1085,"engine_ttlt_ms":1659,"pre_inference_ms":138,"service_tbt_ms":53,"service_ttft_ms":1803,"service_ttlt_ms":2376,"total_duration_ms":2245,"user_visible_ttft_ms":1665},"prompt_tokens":885,"prompt_tokens_details":{"audio_tokens":0,"cached_tokens":0},"total_tokens":896}}</t>
        </is>
      </c>
      <c r="K94" t="inlineStr">
        <is>
          <t>Louis Vuitton Monogram Beige Mid-Calf Cotton Socks</t>
        </is>
      </c>
      <c r="L9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Classic Monogram Mid-Calf Socks in Beige, made from premium cotton blend fabric for softness and breathability; luxury logo design, unisex, perfect for casual and chic French style.","refusal":null,"role":"assistant"}}],"created":1778142294,"id":"chatcmpl-DcoKM2setghHdyh9AWpY75ivziWD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16,"engine_ttft_ms":1282,"engine_ttlt_ms":1916,"pre_inference_ms":150,"service_tbt_ms":16,"service_ttft_ms":2445,"service_ttlt_ms":3077,"total_duration_ms":2935,"user_visible_ttft_ms":2294},"prompt_tokens":902,"prompt_tokens_details":{"audio_tokens":0,"cached_tokens":0},"total_tokens":942}}</t>
        </is>
      </c>
      <c r="M94" t="inlineStr">
        <is>
          <t>{"alt-svc":"h3=\":443\"; ma=2592000","apim-request-id":"9e002cb9-4b19-4819-aaab-ed8e288b55ab","azureml-model-session":"d20260428165144-a78ba574","connection":"close","content-length":"1660","content-type":"application/json","date":"Thu, 07 May 2026 08:24:57 GMT","server":"Caddy","skip-error-remapping":"true","strict-transport-security":"max-age=31536000; includeSubDomains; preload","x-accel-buffering":"no","x-content-type-options":"nosniff","x-ms-client-request-id":"Not-Set","x-ms-is-spilled-over":"false","x-ms-rai-invoked":"true","x-ms-region":"Australia East","x-new-api-version":"v1.0.0-rc.4","x-oneapi-request-id":"20260507082454757366718268d9d63YtI1yRX","x-ratelimit-abusepenalty-active":"False","x-ratelimit-key":"gpt-5-chat-global","x-ratelimit-limit-requests":"1000","x-ratelimit-limit-tokens":"1000000","x-ratelimit-remaining-requests":"999","x-ratelimit-remaining-tokens":"998336","x-ratelimit-renewalperiod-requests":"60","x-ratelimit-renewalperiod-tokens":"60","x-ratelimit-reset-requests":"0","x-ratelimit-reset-tokens":"0","x-request-id":"e208eb71-c681-4265-ad99-baa5290024e0","x-shellapi-request-id":"2026050716245393325588776091315"}</t>
        </is>
      </c>
      <c r="N94" t="inlineStr">
        <is>
          <t>Louis Vuitton Classic Monogram Mid-Calf Socks in Beige, made from premium cotton blend fabric for softness and breathability; luxury logo design, unisex, perfect for casual and chic French style.</t>
        </is>
      </c>
      <c r="O9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Vuitton,Socks &amp; Hosiery,kakobuy,kakebuy2026,kekobuysheet,kakobuysheet2026,2026kakobuy,kakobuyspreadsheeet,kakobuylink,kakebuylist,Kakobuy MEGA Spreadsheet,kakobuysheetfind,kakobuysheetfind2026,2026kakobuysheetfind,kakobuysheet2026","refusal":null,"role":"assistant"}}],"created":1778143436,"id":"chatcmpl-DcocmEAT2sAQMfbV2EW3zi7tI62S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19,"engine_ttft_ms":848,"engine_ttlt_ms":2555,"pre_inference_ms":111,"service_tbt_ms":19,"service_ttft_ms":1589,"service_ttlt_ms":3292,"total_duration_ms":3187,"user_visible_ttft_ms":1478},"prompt_tokens":786,"prompt_tokens_details":{"audio_tokens":0,"cached_tokens":0},"total_tokens":876}}</t>
        </is>
      </c>
      <c r="P94" t="inlineStr">
        <is>
          <t>Louis Vuitton,Socks &amp; Hosiery,kakobuy,kakebuy2026,kekobuysheet,kakobuysheet2026,2026kakobuy,kakobuyspreadsheeet,kakobuylink,kakebuylist,Kakobuy MEGA Spreadsheet,kakobuysheetfind,kakobuysheetfind2026,2026kakobuysheetfind,kakobuysheet2026</t>
        </is>
      </c>
      <c r="Q94" t="inlineStr">
        <is>
          <t>LV, Beige, Unisex, Breathable</t>
        </is>
      </c>
      <c r="R94" t="inlineStr">
        <is>
          <t>recvhju1Cro2Hm</t>
        </is>
      </c>
      <c r="S94" t="inlineStr">
        <is>
          <t>louis-vuitton-monogram-beige-mid-calf-cotton-socks-recvhju1cro2hm</t>
        </is>
      </c>
      <c r="T94"/>
      <c r="U94"/>
      <c r="V94"/>
      <c r="W94" t="inlineStr">
        <is>
          <t>{"id":"chatcmpl-DcnuqGDvfKbLbVxHCtWmiHICqdHkq","object":"chat.completion","created":1778140712,"model":"gpt-5-chat-latest","choices":[{"index":0,"message":{"role":"assistant","content":"Louis Vuitton：经典Monogram米色中筒袜，甄选优质棉质混纺面料，柔软透气，LOGO织纹彰显奢华格调，男女皆宜，休闲与时尚兼具，展现法式精致品味。","refusal":null,"annotations":[]},"logprobs":null,"finish_reason":"stop"}],"usage":{"prompt_tokens":1301,"completion_tokens":66,"total_tokens":1367,"prompt_tokens_details":{"cached_tokens":0,"audio_tokens":0},"completion_tokens_details":{"reasoning_tokens":0,"audio_tokens":0,"accepted_prediction_tokens":0,"rejected_prediction_tokens":0},"latency_checkpoint":{"service_ttft_ms":1074,"user_visible_ttft_ms":925,"total_duration_ms":9435,"pre_inference_ms":149,"service_tbt_ms":129,"service_ttlt_ms":9575,"engine_ttft_ms":859,"engine_ttlt_ms":9368,"engine_tbt_ms":129}},"service_tier":"default","system_fingerprint":"fp_fd471178c5"}</t>
        </is>
      </c>
      <c r="X94" t="inlineStr">
        <is>
          <t>Louis Vuitton：经典Monogram米色中筒袜，甄选优质棉质混纺面料，柔软透气，LOGO织纹彰显奢华格调，男女皆宜，休闲与时尚兼具，展现法式精致品味。</t>
        </is>
      </c>
    </row>
    <row r="95" ht="25.5" customHeight="1">
      <c r="A95">
        <v>1654975475</v>
      </c>
      <c r="B95">
        <v>7627294228</v>
      </c>
      <c r="C95" s="2" t="str">
        <f>=HYPERLINK("https://weidian.com/item.html?itemID=7627294228", "https://weidian.com/item.html?itemID=7627294228")</f>
        <v>https://weidian.com/item.html?itemID=7627294228</v>
      </c>
      <c r="D95"/>
      <c r="E95" s="2" t="str">
        <f>=HYPERLINK("https://si.geilicdn.com/pcitem2014204438-1a3f0000019ae7c8c0ea0a8133cc_3004_2253.jpg?w=640&amp;h=640", "https://si.geilicdn.com/pcitem2014204438-1a3f0000019ae7c8c0ea0a8133cc_3004_2253.jpg?w=640&amp;h=640")</f>
        <v>https://si.geilicdn.com/pcitem2014204438-1a3f0000019ae7c8c0ea0a8133cc_3004_2253.jpg?w=640&amp;h=640</v>
      </c>
      <c r="F95" t="inlineStr">
        <is>
          <t>Socks &amp; Hosiery</t>
        </is>
      </c>
      <c r="G95" t="inlineStr">
        <is>
          <t>Hermes</t>
        </is>
      </c>
      <c r="H95">
        <v>120</v>
      </c>
      <c r="I95">
        <v>17.39</v>
      </c>
      <c r="J9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 Classic Grey Cotton Mid-Calf Socks Unisex Luxury","refusal":null,"role":"assistant"}}],"created":1778142987,"id":"chatcmpl-DcoVXIBT4fnw9EKwYAFffopBp63d7","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63,"engine_ttft_ms":782,"engine_ttlt_ms":1601,"pre_inference_ms":121,"service_tbt_ms":64,"service_ttft_ms":966,"service_ttlt_ms":1784,"total_duration_ms":1671,"user_visible_ttft_ms":845},"prompt_tokens":611,"prompt_tokens_details":{"audio_tokens":0,"cached_tokens":0},"total_tokens":624}}</t>
        </is>
      </c>
      <c r="K95" t="inlineStr">
        <is>
          <t>Hermes Classic Grey Cotton Mid-Calf Socks Unisex Luxury</t>
        </is>
      </c>
      <c r="L9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 Classic Grey Knit Mid-Calf Socks, crafted from premium cotton blend, soft, breathable, and elastic, featuring delicate “H” embroidery for timeless French luxury, unisex for casual or business wear.","refusal":null,"role":"assistant"}}],"created":1778142175,"id":"chatcmpl-DcoIR8EjfwxAckaX2PjqMfGaWrHC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43,"completion_tokens_details":{"accepted_prediction_tokens":0,"audio_tokens":0,"reasoning_tokens":0,"rejected_prediction_tokens":0},"latency_checkpoint":{"engine_tbt_ms":138,"engine_ttft_ms":1520,"engine_ttlt_ms":7463,"pre_inference_ms":100,"service_tbt_ms":138,"service_ttft_ms":2556,"service_ttlt_ms":8498,"total_duration_ms":8408,"user_visible_ttft_ms":2456},"prompt_tokens":635,"prompt_tokens_details":{"audio_tokens":0,"cached_tokens":0},"total_tokens":678}}</t>
        </is>
      </c>
      <c r="M95" t="inlineStr">
        <is>
          <t>{"alt-svc":"h3=\":443\"; ma=2592000","apim-request-id":"cc63f19b-2cb8-4312-961f-699d73cb8b45","azureml-model-session":"d20260501050840-08dc6769","connection":"close","content-length":"1675","content-type":"application/json","date":"Thu, 07 May 2026 08:23:03 GMT","server":"Caddy","skip-error-remapping":"true","strict-transport-security":"max-age=31536000; includeSubDomains; preload","x-accel-buffering":"no","x-content-type-options":"nosniff","x-ms-client-request-id":"Not-Set","x-ms-is-spilled-over":"false","x-ms-rai-invoked":"true","x-ms-region":"Korea Central","x-new-api-version":"v1.0.0-rc.4","x-oneapi-request-id":"202605070822546194856328268d9d6sl65Bp9P","x-ratelimit-abusepenalty-active":"False","x-ratelimit-key":"gpt-5-chat-global","x-ratelimit-limit-requests":"1000","x-ratelimit-limit-tokens":"1000000","x-ratelimit-remaining-requests":"999","x-ratelimit-remaining-tokens":"998601","x-ratelimit-renewalperiod-requests":"60","x-ratelimit-renewalperiod-tokens":"60","x-ratelimit-reset-requests":"0","x-ratelimit-reset-tokens":"0","x-request-id":"4d73d8a6-1146-4b4e-bc70-9a6eebeead7a","x-shellapi-request-id":"2026050716225455886991988567084"}</t>
        </is>
      </c>
      <c r="N95" t="inlineStr">
        <is>
          <t>Hermes Classic Grey Knit Mid-Calf Socks, crafted from premium cotton blend, soft, breathable, and elastic, featuring delicate “H” embroidery for timeless French luxury, unisex for casual or business wear.</t>
        </is>
      </c>
      <c r="O9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 Socks &amp; Hosiery, kakobuy, kakebuy2026, kekobuysheet, kakobuysheet2026, 2026kakobuy, kakobuyspreadsheeet, kakobuylink, kakebuylist, Kakobuy MEGA Spreadsheet, kakobuysheetfind, kakobuysheetfind2026, 2026kakobuysheetfind, kakobuysheet2026","refusal":null,"role":"assistant"}}],"created":1778143542,"id":"chatcmpl-DcoeUhvVUDbQzEZ6E0PrRskOXMk8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94,"engine_ttft_ms":1125,"engine_ttlt_ms":9980,"pre_inference_ms":128,"service_tbt_ms":94,"service_ttft_ms":2120,"service_ttlt_ms":10971,"total_duration_ms":10864,"user_visible_ttft_ms":1992},"prompt_tokens":506,"prompt_tokens_details":{"audio_tokens":0,"cached_tokens":0},"total_tokens":600}}</t>
        </is>
      </c>
      <c r="P95" t="inlineStr">
        <is>
          <t>Hermes, Socks &amp; Hosiery, kakobuy, kakebuy2026, kekobuysheet, kakobuysheet2026, 2026kakobuy, kakobuyspreadsheeet, kakobuylink, kakebuylist, Kakobuy MEGA Spreadsheet, kakobuysheetfind, kakobuysheetfind2026, 2026kakobuysheetfind, kakobuysheet2026</t>
        </is>
      </c>
      <c r="Q95" t="inlineStr">
        <is>
          <t>Unisex, Business, Grey, Knit, Breathable</t>
        </is>
      </c>
      <c r="R95" t="inlineStr">
        <is>
          <t>recvhju1Crr8iE</t>
        </is>
      </c>
      <c r="S95" t="inlineStr">
        <is>
          <t>hermes-classic-grey-cotton-mid-calf-socks-unisex-luxury-recvhju1crr8ie</t>
        </is>
      </c>
      <c r="T95"/>
      <c r="U95"/>
      <c r="V95"/>
      <c r="W9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经典灰色织纹中筒袜，以优质棉纱混纺制成，柔软透气兼具弹性，饰以精致“H”刺绣徽标，展现极简法式奢华风格，男女皆宜，适合现代休闲与商务穿搭。","refusal":null,"role":"assistant"}}],"created":1778140339,"id":"chatcmpl-DcnopjXKfTL2oeFy9pkz9qJuCYQU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73,"completion_tokens_details":{"accepted_prediction_tokens":0,"audio_tokens":0,"reasoning_tokens":0,"rejected_prediction_tokens":0},"latency_checkpoint":{"engine_tbt_ms":26,"engine_ttft_ms":778,"engine_ttlt_ms":2658,"pre_inference_ms":95,"service_tbt_ms":26,"service_ttft_ms":1157,"service_ttlt_ms":3036,"total_duration_ms":2948,"user_visible_ttft_ms":1062},"prompt_tokens":1033,"prompt_tokens_details":{"audio_tokens":0,"cached_tokens":0},"total_tokens":1106}}</t>
        </is>
      </c>
      <c r="X95" t="inlineStr">
        <is>
          <t>Hermes：经典灰色织纹中筒袜，以优质棉纱混纺制成，柔软透气兼具弹性，饰以精致“H”刺绣徽标，展现极简法式奢华风格，男女皆宜，适合现代休闲与商务穿搭。</t>
        </is>
      </c>
    </row>
    <row r="96" ht="25.5" customHeight="1">
      <c r="A96">
        <v>1654975475</v>
      </c>
      <c r="B96">
        <v>7624390881</v>
      </c>
      <c r="C96" s="2" t="str">
        <f>=HYPERLINK("https://weidian.com/item.html?itemID=7624390881", "https://weidian.com/item.html?itemID=7624390881")</f>
        <v>https://weidian.com/item.html?itemID=7624390881</v>
      </c>
      <c r="D96"/>
      <c r="E96" s="2" t="str">
        <f>=HYPERLINK("https://si.geilicdn.com/pcitem2014204438-1a110000019ae7bc03520a23111a_1080_1080.jpg?w=640&amp;h=640", "https://si.geilicdn.com/pcitem2014204438-1a110000019ae7bc03520a23111a_1080_1080.jpg?w=640&amp;h=640")</f>
        <v>https://si.geilicdn.com/pcitem2014204438-1a110000019ae7bc03520a23111a_1080_1080.jpg?w=640&amp;h=640</v>
      </c>
      <c r="F96" t="inlineStr">
        <is>
          <t>Socks &amp; Hosiery</t>
        </is>
      </c>
      <c r="G96" t="inlineStr">
        <is>
          <t>Dior</t>
        </is>
      </c>
      <c r="H96">
        <v>136</v>
      </c>
      <c r="I96">
        <v>19.71</v>
      </c>
      <c r="J9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Classic Blue White Cotton Mid Calf Socks","refusal":null,"role":"assistant"}}],"created":1778142997,"id":"chatcmpl-DcoVhWLGrFWM5fvz8Pe2O2rTinzW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52,"engine_ttft_ms":661,"engine_ttlt_ms":1229,"pre_inference_ms":109,"service_tbt_ms":52,"service_ttft_ms":981,"service_ttlt_ms":1548,"total_duration_ms":1446,"user_visible_ttft_ms":872},"prompt_tokens":883,"prompt_tokens_details":{"audio_tokens":0,"cached_tokens":0},"total_tokens":894}}</t>
        </is>
      </c>
      <c r="K96" t="inlineStr">
        <is>
          <t>Dior Classic Blue White Cotton Mid Calf Socks</t>
        </is>
      </c>
      <c r="L9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classic blue-white mid-calf socks, made of premium cotton knit for softness and breathability. Minimal embroidered logo, retro French style, unisex design for daily wear and sport.","refusal":null,"role":"assistant"}}],"created":1778142063,"id":"chatcmpl-DcoGd7kaifG0Rl2zcLgTbq8oDuoE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15,"engine_ttft_ms":340,"engine_ttlt_ms":944,"pre_inference_ms":219,"service_tbt_ms":16,"service_ttft_ms":747,"service_ttlt_ms":1349,"total_duration_ms":1139,"user_visible_ttft_ms":528},"prompt_tokens":906,"prompt_tokens_details":{"audio_tokens":0,"cached_tokens":0},"total_tokens":945}}</t>
        </is>
      </c>
      <c r="M96" t="inlineStr">
        <is>
          <t>{"alt-svc":"h3=\":443\"; ma=2592000","apim-request-id":"eeba31be-3862-4c90-8c7d-a653eedbb034","azureml-model-session":"d20260429094557-48622491","connection":"close","content-length":"1646","content-type":"application/json","date":"Thu, 07 May 2026 08:21:05 GMT","skip-error-remapping":"true","strict-transport-security":"max-age=31536000; includeSubDomains; preload","via":"1.1 Caddy","x-accel-buffering":"no","x-content-type-options":"nosniff","x-ms-client-request-id":"Not-Set","x-ms-is-spilled-over":"false","x-ms-rai-invoked":"true","x-ms-region":"East US 2","x-new-api-version":"v1.0.0-rc.4","x-oneapi-request-id":"202605070821016815236568268d9d6ggxTsg7r","x-ratelimit-abusepenalty-active":"False","x-ratelimit-key":"gpt-5-chat-global","x-ratelimit-limit-requests":"1000","x-ratelimit-limit-tokens":"1000000","x-ratelimit-remaining-requests":"999","x-ratelimit-remaining-tokens":"998332","x-ratelimit-renewalperiod-requests":"60","x-ratelimit-renewalperiod-tokens":"60","x-ratelimit-reset-requests":"0","x-ratelimit-reset-tokens":"0","x-request-id":"41cff47c-7ba9-46ba-bcec-24a364d46821","x-shellapi-request-id":"2026050716210073722950247033201"}</t>
        </is>
      </c>
      <c r="N96" t="inlineStr">
        <is>
          <t>Dior classic blue-white mid-calf socks, made of premium cotton knit for softness and breathability. Minimal embroidered logo, retro French style, unisex design for daily wear and sport.</t>
        </is>
      </c>
      <c r="O9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Socks &amp; Hosiery, kakobuy, kakebuy2026, kekobuysheet, kakobuysheet2026, 2026kakobuy, kakobuyspreadsheeet, kakobuylink, kakebuylist, Kakobuy MEGA Spreadsheet, kakobuysheetfind, kakobuysheetfind2026, 2026kakobuysheetfind, kakobuysheet2026","refusal":null,"role":"assistant"}}],"created":1778143733,"id":"chatcmpl-DcohZhKeVKq6BYrQ5uCyrLp8j0qy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24,"engine_ttft_ms":887,"engine_ttlt_ms":3148,"pre_inference_ms":127,"service_tbt_ms":24,"service_ttft_ms":1284,"service_ttlt_ms":3545,"total_duration_ms":3424,"user_visible_ttft_ms":1157},"prompt_tokens":786,"prompt_tokens_details":{"audio_tokens":0,"cached_tokens":0},"total_tokens":880}}</t>
        </is>
      </c>
      <c r="P96" t="inlineStr">
        <is>
          <t>Dior, Socks &amp; Hosiery, kakobuy, kakebuy2026, kekobuysheet, kakobuysheet2026, 2026kakobuy, kakobuyspreadsheeet, kakobuylink, kakebuylist, Kakobuy MEGA Spreadsheet, kakobuysheetfind, kakobuysheetfind2026, 2026kakobuysheetfind, kakobuysheet2026</t>
        </is>
      </c>
      <c r="Q96" t="inlineStr">
        <is>
          <t>Dior, Blue, White, Retro, Unisex, Breathable</t>
        </is>
      </c>
      <c r="R96" t="inlineStr">
        <is>
          <t>recvhju1Cr6RTY</t>
        </is>
      </c>
      <c r="S96" t="inlineStr">
        <is>
          <t>dior-classic-blue-white-cotton-mid-calf-socks-recvhju1cr6rty</t>
        </is>
      </c>
      <c r="T96"/>
      <c r="U96"/>
      <c r="V96"/>
      <c r="W96" t="inlineStr">
        <is>
          <t>{"id":"chatcmpl-DcnpqU5VrbZHePIC17xraWjN7QBJh","object":"chat.completion","created":1778140402,"model":"gpt-5-chat-latest","choices":[{"index":0,"message":{"role":"assistant","content":"Dior：经典蓝白撞色中筒袜，优质针织棉材质，柔软透气。简约Dior标识刺绣设计，彰显品牌格调，复古法式时尚风，男女皆宜，日常穿搭与运动休闲完美融合。","refusal":null,"annotations":[]},"logprobs":null,"finish_reason":"stop"}],"usage":{"prompt_tokens":1303,"completion_tokens":69,"total_tokens":1372,"prompt_tokens_details":{"cached_tokens":0,"audio_tokens":0},"completion_tokens_details":{"reasoning_tokens":0,"audio_tokens":0,"accepted_prediction_tokens":0,"rejected_prediction_tokens":0},"latency_checkpoint":{"service_ttft_ms":1773,"user_visible_ttft_ms":1622,"total_duration_ms":9552,"pre_inference_ms":151,"service_tbt_ms":115,"service_ttlt_ms":9694,"engine_ttft_ms":1032,"engine_ttlt_ms":8956,"engine_tbt_ms":115}},"service_tier":"default","system_fingerprint":"fp_fd471178c5"}</t>
        </is>
      </c>
      <c r="X96" t="inlineStr">
        <is>
          <t>Dior：经典蓝白撞色中筒袜，优质针织棉材质，柔软透气。简约Dior标识刺绣设计，彰显品牌格调，复古法式时尚风，男女皆宜，日常穿搭与运动休闲完美融合。</t>
        </is>
      </c>
    </row>
    <row r="97" ht="25.5" customHeight="1">
      <c r="A97">
        <v>1654975475</v>
      </c>
      <c r="B97">
        <v>7627358196</v>
      </c>
      <c r="C97" s="2" t="str">
        <f>=HYPERLINK("https://weidian.com/item.html?itemID=7627358196", "https://weidian.com/item.html?itemID=7627358196")</f>
        <v>https://weidian.com/item.html?itemID=7627358196</v>
      </c>
      <c r="D97"/>
      <c r="E97" s="2" t="str">
        <f>=HYPERLINK("https://si.geilicdn.com/pcitem2014204438-150a0000019ae7b3276a0a23057e_1080_1080.jpg?w=640&amp;h=640", "https://si.geilicdn.com/pcitem2014204438-150a0000019ae7b3276a0a23057e_1080_1080.jpg?w=640&amp;h=640")</f>
        <v>https://si.geilicdn.com/pcitem2014204438-150a0000019ae7b3276a0a23057e_1080_1080.jpg?w=640&amp;h=640</v>
      </c>
      <c r="F97" t="inlineStr">
        <is>
          <t>Socks &amp; Hosiery</t>
        </is>
      </c>
      <c r="G97" t="inlineStr">
        <is>
          <t>Dior</t>
        </is>
      </c>
      <c r="H97">
        <v>120</v>
      </c>
      <c r="I97">
        <v>17.39</v>
      </c>
      <c r="J9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Dior Black White Unisex Cotton Mid-Calf Logo Socks","refusal":null,"role":"assistant"}}],"created":1778143099,"id":"chatcmpl-DcoXLf1J2XwWBOZTqCapWQJohjPpK","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84,"engine_ttft_ms":925,"engine_ttlt_ms":2022,"pre_inference_ms":154,"service_tbt_ms":85,"service_ttft_ms":1338,"service_ttlt_ms":2435,"total_duration_ms":2288,"user_visible_ttft_ms":1184},"prompt_tokens":887,"prompt_tokens_details":{"audio_tokens":0,"cached_tokens":0},"total_tokens":900}}</t>
        </is>
      </c>
      <c r="K97" t="inlineStr">
        <is>
          <t>Dior Black White Unisex Cotton Mid-Calf Logo Socks</t>
        </is>
      </c>
      <c r="L9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Dior Black &amp; White Classic Mid-Calf Socks, crafted from premium cotton blend for softness and breathability. Ribbed design with embroidered logo adds luxury style. Unisex for casual or business wear.","refusal":null,"role":"assistant"}}],"created":1778141983,"id":"chatcmpl-DcoFLKGuyVJHEC7FUkQ9b2xLqTzU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20,"engine_ttft_ms":730,"engine_ttlt_ms":1553,"pre_inference_ms":150,"service_tbt_ms":21,"service_ttft_ms":1164,"service_ttlt_ms":2019,"total_duration_ms":1868,"user_visible_ttft_ms":1013},"prompt_tokens":929,"prompt_tokens_details":{"audio_tokens":0,"cached_tokens":0},"total_tokens":970}}</t>
        </is>
      </c>
      <c r="M97" t="inlineStr">
        <is>
          <t>{"alt-svc":"h3=\":443\"; ma=2592000","apim-request-id":"b8ec170a-885f-4901-ab09-a24ac5a40b69","azureml-model-session":"d20260429094557-48622491","connection":"close","content-length":"1668","content-type":"application/json","date":"Thu, 07 May 2026 08:19:45 GMT","server":"Caddy","skip-error-remapping":"true","strict-transport-security":"max-age=31536000; includeSubDomains; preload","x-accel-buffering":"no","x-content-type-options":"nosniff","x-ms-client-request-id":"Not-Set","x-ms-is-spilled-over":"false","x-ms-rai-invoked":"true","x-ms-region":"UK South","x-new-api-version":"v1.0.0-rc.4","x-oneapi-request-id":"202605070819424232742498268d9d6rZR9FHbd","x-ratelimit-abusepenalty-active":"False","x-ratelimit-key":"gpt-5-chat-global","x-ratelimit-limit-requests":"1000","x-ratelimit-limit-tokens":"1000000","x-ratelimit-remaining-requests":"999","x-ratelimit-remaining-tokens":"998309","x-ratelimit-renewalperiod-requests":"60","x-ratelimit-renewalperiod-tokens":"60","x-ratelimit-reset-requests":"0","x-ratelimit-reset-tokens":"0","x-request-id":"89c2482a-a01d-4b7a-8618-871f4d72670a","x-shellapi-request-id":"2026050716194237046801368299749"}</t>
        </is>
      </c>
      <c r="N97" t="inlineStr">
        <is>
          <t>Dior Black &amp; White Classic Mid-Calf Socks, crafted from premium cotton blend for softness and breathability. Ribbed design with embroidered logo adds luxury style. Unisex for casual or business wear.</t>
        </is>
      </c>
      <c r="O97"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filtered"}},"content_filter_results":{"protected_material_code":{"detected":false,"filtered":false},"protected_material_text":{"detected":false,"filtered":false}},"finish_reason":"stop","index":0,"logprobs":null,"message":{"annotations":[],"content":"Dior, Socks &amp; Hosiery, kakobuy, kakebuy2026, kekobuysheet, kakobuysheet2026, 2026kakobuy, kakobuyspreadsheeet, kakobuylink, kakebuylist, Kakobuy MEGA Spreadsheet, kakobuysheetfind, kakobuysheetfind2026, 2026kakobuysheetfind, kakobuysheet2026","refusal":null,"role":"assistant"}}],"created":1778143496,"id":"chatcmpl-DcodkaJ7zLS0VkwzK8flyGQ1gxV5y","model":"gpt-5-chat-2025-10-03","object":"chat.completion","prompt_filter_results":[{"prompt_index":0,"content_filter_results":{"jailbreak":{"detected":false,"filtered":false}}}],"service_tier":"default","system_fingerprint":"fp_fd471178c5","usage":{"completion_tokens":94,"completion_tokens_details":{"accepted_prediction_tokens":0,"audio_tokens":0,"reasoning_tokens":0,"rejected_prediction_tokens":0},"latency_checkpoint":{"engine_tbt_ms":79,"engine_ttft_ms":1126,"engine_ttlt_ms":8594,"pre_inference_ms":158,"service_tbt_ms":80,"service_ttft_ms":2121,"service_ttlt_ms":9589,"total_duration_ms":9446,"user_visible_ttft_ms":1963},"prompt_tokens":786,"prompt_tokens_details":{"audio_tokens":0,"cached_tokens":0},"total_tokens":880}}</t>
        </is>
      </c>
      <c r="P97" t="inlineStr">
        <is>
          <t>Dior, Socks &amp; Hosiery, kakobuy, kakebuy2026, kekobuysheet, kakobuysheet2026, 2026kakobuy, kakobuyspreadsheeet, kakobuylink, kakebuylist, Kakobuy MEGA Spreadsheet, kakobuysheetfind, kakobuysheetfind2026, 2026kakobuysheetfind, kakobuysheet2026</t>
        </is>
      </c>
      <c r="Q97" t="inlineStr">
        <is>
          <t>Dior, Black, White, Classic, Unisex</t>
        </is>
      </c>
      <c r="R97" t="inlineStr">
        <is>
          <t>recvhju1Crwomp</t>
        </is>
      </c>
      <c r="S97" t="inlineStr">
        <is>
          <t>dior-black-white-cotton-mid-calf-logo-socks-recvhju1crwomp</t>
        </is>
      </c>
      <c r="T97"/>
      <c r="U97"/>
      <c r="V97"/>
      <c r="W97" t="inlineStr">
        <is>
          <t>{"id":"chatcmpl-Dcns1iwVFPgytvDBXbTxEL6ZIkvOL","object":"chat.completion","created":1778140537,"model":"gpt-5-chat-latest","choices":[{"index":0,"message":{"role":"assistant","content":"Dior：黑白双色经典中筒袜，甄选优质棉质混纺面料，柔软透气舒适。简约罗纹设计搭配品牌标志刺绣字样，展现精致细节与奢华格调。男女皆宜，适合日常休闲或商务穿搭，融合现代极简与高端时尚气息。","refusal":null,"annotations":[]},"logprobs":null,"finish_reason":"stop"}],"usage":{"prompt_tokens":1307,"completion_tokens":90,"total_tokens":1397,"prompt_tokens_details":{"cached_tokens":0,"audio_tokens":0},"completion_tokens_details":{"reasoning_tokens":0,"audio_tokens":0,"accepted_prediction_tokens":0,"rejected_prediction_tokens":0},"latency_checkpoint":{"service_ttft_ms":635,"user_visible_ttft_ms":486,"total_duration_ms":2586,"pre_inference_ms":149,"service_tbt_ms":23,"service_ttlt_ms":2705,"engine_ttft_ms":356,"engine_ttlt_ms":2427,"engine_tbt_ms":23}},"service_tier":"default","system_fingerprint":"fp_fd471178c5"}</t>
        </is>
      </c>
      <c r="X97" t="inlineStr">
        <is>
          <t>Dior：黑白双色经典中筒袜，甄选优质棉质混纺面料，柔软透气舒适。简约罗纹设计搭配品牌标志刺绣字样，展现精致细节与奢华格调。男女皆宜，适合日常休闲或商务穿搭，融合现代极简与高端时尚气息。</t>
        </is>
      </c>
    </row>
    <row r="98" ht="25.5" customHeight="1">
      <c r="A98">
        <v>1654975475</v>
      </c>
      <c r="B98">
        <v>7624069347</v>
      </c>
      <c r="C98" s="2" t="str">
        <f>=HYPERLINK("https://weidian.com/item.html?itemID=7624069347", "https://weidian.com/item.html?itemID=7624069347")</f>
        <v>https://weidian.com/item.html?itemID=7624069347</v>
      </c>
      <c r="D98"/>
      <c r="E98" s="2" t="str">
        <f>=HYPERLINK("https://si.geilicdn.com/pcitem902014207253-657d0000019ae74cafdd0a20e7c7_1080_1080.jpg?w=640&amp;h=640", "https://si.geilicdn.com/pcitem902014207253-657d0000019ae74cafdd0a20e7c7_1080_1080.jpg?w=640&amp;h=640")</f>
        <v>https://si.geilicdn.com/pcitem902014207253-657d0000019ae74cafdd0a20e7c7_1080_1080.jpg?w=640&amp;h=640</v>
      </c>
      <c r="F98" t="inlineStr">
        <is>
          <t>Accessories</t>
        </is>
      </c>
      <c r="G98" t="inlineStr">
        <is>
          <t>lululemon</t>
        </is>
      </c>
      <c r="H98">
        <v>370</v>
      </c>
      <c r="I98">
        <v>53.62</v>
      </c>
      <c r="J9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Lake Green Waterproof Nylon Backpack","refusal":null,"role":"assistant"}}],"created":1778142846,"id":"chatcmpl-DcoTGu4G1cJfEIocbofLG9sh7den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21,"engine_ttft_ms":897,"engine_ttlt_ms":1104,"pre_inference_ms":136,"service_tbt_ms":21,"service_ttft_ms":1344,"service_ttlt_ms":1553,"total_duration_ms":1421,"user_visible_ttft_ms":1208},"prompt_tokens":884,"prompt_tokens_details":{"audio_tokens":0,"cached_tokens":0},"total_tokens":894}}</t>
        </is>
      </c>
      <c r="K98" t="inlineStr">
        <is>
          <t>Lululemon Lake Green Waterproof Nylon Backpack</t>
        </is>
      </c>
      <c r="L98"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filtered"}},"content_filter_results":{"protected_material_code":{"detected":false,"filtered":false},"protected_material_text":{"detected":false,"filtered":false}},"finish_reason":"stop","index":0,"logprobs":null,"message":{"annotations":[],"content":"Lululemon Lake Green Nylon Backpack – Lightweight, waterproof, minimalist design with metal logo. Large capacity, layered storage, unisex, perfect for daily commute, travel, and sporty urban lifestyle.","refusal":null,"role":"assistant"}}],"created":1778142271,"id":"chatcmpl-DcoJz49RDPoUA9MhnkD6QVOshbLb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21,"engine_ttft_ms":619,"engine_ttlt_ms":1494,"pre_inference_ms":139,"service_tbt_ms":22,"service_ttft_ms":919,"service_ttlt_ms":1794,"total_duration_ms":1662,"user_visible_ttft_ms":780},"prompt_tokens":917,"prompt_tokens_details":{"audio_tokens":0,"cached_tokens":0},"total_tokens":958}}</t>
        </is>
      </c>
      <c r="M98" t="inlineStr">
        <is>
          <t>{"alt-svc":"h3=\":443\"; ma=2592000","apim-request-id":"b11c2961-15a0-463c-b3b4-8a2100465a6f","azureml-model-session":"d20260428165144-a78ba574","connection":"close","content-length":"1586","content-type":"application/json","date":"Thu, 07 May 2026 08:24:34 GMT","server":"Caddy","skip-error-remapping":"true","strict-transport-security":"max-age=31536000; includeSubDomains; preload","x-accel-buffering":"no","x-content-type-options":"nosniff","x-ms-client-request-id":"Not-Set","x-ms-is-spilled-over":"false","x-ms-rai-invoked":"true","x-ms-region":"Japan East","x-new-api-version":"v1.0.0-rc.4","x-oneapi-request-id":"202605070824301793587328268d9d6qSBZT4J0","x-ratelimit-abusepenalty-active":"False","x-ratelimit-key":"gpt-5-chat-global","x-ratelimit-limit-requests":"1000","x-ratelimit-limit-tokens":"1000000","x-ratelimit-remaining-requests":"999","x-ratelimit-remaining-tokens":"998321","x-ratelimit-renewalperiod-requests":"60","x-ratelimit-renewalperiod-tokens":"60","x-ratelimit-reset-requests":"0","x-ratelimit-reset-tokens":"0","x-request-id":"944b742e-cd25-480d-b28d-73b5a98f215e","x-shellapi-request-id":"2026050716243012742272079970594"}</t>
        </is>
      </c>
      <c r="N98" t="inlineStr">
        <is>
          <t>Lululemon Lake Green Nylon Backpack – Lightweight, waterproof, minimalist design with metal logo. Large capacity, layered storage, unisex, perfect for daily commute, travel, and sporty urban lifestyle.</t>
        </is>
      </c>
      <c r="O9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backpack,kakobuy,kakebuy2026,kekobuysheet,kakobuysheet2026,2026kakobuy,kakobuyspreadsheet,kakobuylink,kakebuylist,Kakobuy MEGA Spreadsheet,kakobuysheetfind,kakobuysheetfind2026,2026kakobuysheetfind,kakobuysheet2026","refusal":null,"role":"assistant"}}],"created":1778143722,"id":"chatcmpl-DcohOBcMSJPIeCL2P9WKoLmJe8Gv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87,"completion_tokens_details":{"accepted_prediction_tokens":0,"audio_tokens":0,"reasoning_tokens":0,"rejected_prediction_tokens":0},"latency_checkpoint":{"engine_tbt_ms":64,"engine_ttft_ms":1482,"engine_ttlt_ms":7052,"pre_inference_ms":137,"service_tbt_ms":64,"service_ttft_ms":2086,"service_ttlt_ms":7655,"total_duration_ms":7526,"user_visible_ttft_ms":1950},"prompt_tokens":783,"prompt_tokens_details":{"audio_tokens":0,"cached_tokens":0},"total_tokens":870}}</t>
        </is>
      </c>
      <c r="P98" t="inlineStr">
        <is>
          <t>lululemon,backpack,kakobuy,kakebuy2026,kekobuysheet,kakobuysheet2026,2026kakobuy,kakobuyspreadsheet,kakobuylink,kakebuylist,Kakobuy MEGA Spreadsheet,kakobuysheetfind,kakobuysheetfind2026,2026kakobuysheetfind,kakobuysheet2026</t>
        </is>
      </c>
      <c r="Q98" t="inlineStr">
        <is>
          <t>Backpack, Nylon, Waterproof, Lightweight, Minimalist, Unisex</t>
        </is>
      </c>
      <c r="R98" t="inlineStr">
        <is>
          <t>recvhju1Crltgt</t>
        </is>
      </c>
      <c r="S98" t="inlineStr">
        <is>
          <t>lululemon-lake-green-waterproof-nylon-backpack-recvhju1crltgt</t>
        </is>
      </c>
      <c r="T98"/>
      <c r="U98"/>
      <c r="V98"/>
      <c r="W98" t="inlineStr">
        <is>
          <t>{"id":"chatcmpl-DcnnHZ6QBuWnXyRms8fbPLgH2fIMS","object":"chat.completion","created":1778140243,"model":"gpt-5-chat-latest","choices":[{"index":0,"message":{"role":"assistant","content":"Lululemon：湖绿休闲双肩背包，采用轻盈防水尼龙材质，极简弧形设计与品牌金属标识相映成趣，展现都市健康生活美学。大容量分层收纳，男女通用款，兼具实用与时尚，适合日常通勤与运动出行。","refusal":null,"annotations":[]},"logprobs":null,"finish_reason":"stop"}],"usage":{"prompt_tokens":1305,"completion_tokens":81,"total_tokens":1386,"prompt_tokens_details":{"cached_tokens":1280,"audio_tokens":0},"completion_tokens_details":{"reasoning_tokens":0,"audio_tokens":0,"accepted_prediction_tokens":0,"rejected_prediction_tokens":0},"latency_checkpoint":{"service_ttft_ms":549,"user_visible_ttft_ms":387,"total_duration_ms":10393,"pre_inference_ms":162,"service_tbt_ms":124,"service_ttlt_ms":10549,"engine_ttft_ms":264,"engine_ttlt_ms":10294,"engine_tbt_ms":124}},"service_tier":"default","system_fingerprint":"fp_fd471178c5"}</t>
        </is>
      </c>
      <c r="X98" t="inlineStr">
        <is>
          <t>Lululemon：湖绿休闲双肩背包，采用轻盈防水尼龙材质，极简弧形设计与品牌金属标识相映成趣，展现都市健康生活美学。大容量分层收纳，男女通用款，兼具实用与时尚，适合日常通勤与运动出行。</t>
        </is>
      </c>
    </row>
    <row r="99" ht="25.5" customHeight="1">
      <c r="A99">
        <v>1654975475</v>
      </c>
      <c r="B99">
        <v>7624071279</v>
      </c>
      <c r="C99" s="2" t="str">
        <f>=HYPERLINK("https://weidian.com/item.html?itemID=7624071279", "https://weidian.com/item.html?itemID=7624071279")</f>
        <v>https://weidian.com/item.html?itemID=7624071279</v>
      </c>
      <c r="D99"/>
      <c r="E99" s="2" t="str">
        <f>=HYPERLINK("https://si.geilicdn.com/pcitem902014207253-177d0000019ae74b3c890a2103bd_1440_1440.jpg?w=640&amp;h=640", "https://si.geilicdn.com/pcitem902014207253-177d0000019ae74b3c890a2103bd_1440_1440.jpg?w=640&amp;h=640")</f>
        <v>https://si.geilicdn.com/pcitem902014207253-177d0000019ae74b3c890a2103bd_1440_1440.jpg?w=640&amp;h=640</v>
      </c>
      <c r="F99" t="inlineStr">
        <is>
          <t>Accessories</t>
        </is>
      </c>
      <c r="G99" t="inlineStr">
        <is>
          <t>lululemon</t>
        </is>
      </c>
      <c r="H99">
        <v>190</v>
      </c>
      <c r="I99">
        <v>27.54</v>
      </c>
      <c r="J9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Nylon Water‑Repellent Lightweight Travel Backpack","refusal":null,"role":"assistant"}}],"created":1778142969,"id":"chatcmpl-DcoVFTX7PyMlYRlGptVg8JvLnlPK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59,"engine_ttft_ms":1872,"engine_ttlt_ms":2645,"pre_inference_ms":324,"service_tbt_ms":60,"service_ttft_ms":2667,"service_ttlt_ms":3440,"total_duration_ms":3127,"user_visible_ttft_ms":2343},"prompt_tokens":880,"prompt_tokens_details":{"audio_tokens":0,"cached_tokens":0},"total_tokens":893}}</t>
        </is>
      </c>
      <c r="K99" t="inlineStr">
        <is>
          <t>Lululemon Nylon Water‑Repellent Lightweight Travel Backpack</t>
        </is>
      </c>
      <c r="L9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 multifunctional lightweight backpack made of water‑repellent nylon. Durable, sleek, and spacious with layered compartments, perfect for men and women commuting or traveling in modern style.","refusal":null,"role":"assistant"}}],"created":1778142090,"id":"chatcmpl-DcoH4KcBl8nxZzIQbHQeJisMtBPTc","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63,"engine_ttft_ms":419,"engine_ttlt_ms":2890,"pre_inference_ms":144,"service_tbt_ms":64,"service_ttft_ms":625,"service_ttlt_ms":3097,"total_duration_ms":2963,"user_visible_ttft_ms":482},"prompt_tokens":910,"prompt_tokens_details":{"audio_tokens":0,"cached_tokens":0},"total_tokens":949}}</t>
        </is>
      </c>
      <c r="M99" t="inlineStr">
        <is>
          <t>{"alt-svc":"h3=\":443\"; ma=2592000","apim-request-id":"d439e2f8-60a2-42b5-96b4-bf26a3d15158","azureml-model-session":"d20260501050840-f4f9d8ac","connection":"close","content-length":"1663","content-type":"application/json","date":"Thu, 07 May 2026 08:21:33 GMT","server":"Caddy","skip-error-remapping":"true","strict-transport-security":"max-age=31536000; includeSubDomains; preload","x-accel-buffering":"no","x-content-type-options":"nosniff","x-ms-client-request-id":"Not-Set","x-ms-is-spilled-over":"false","x-ms-rai-invoked":"true","x-ms-region":"East US","x-new-api-version":"v1.0.0-rc.4","x-oneapi-request-id":"202605070821293090650148268d9d6IvN0UVNT","x-ratelimit-abusepenalty-active":"False","x-ratelimit-key":"gpt-5-chat-global","x-ratelimit-limit-requests":"1000","x-ratelimit-limit-tokens":"1000000","x-ratelimit-remaining-requests":"999","x-ratelimit-remaining-tokens":"998328","x-ratelimit-renewalperiod-requests":"60","x-ratelimit-renewalperiod-tokens":"60","x-ratelimit-reset-requests":"0","x-ratelimit-reset-tokens":"0","x-request-id":"8ba015ce-a5c2-47ed-bad3-7d631788c772","x-shellapi-request-id":"2026050716212925726970974229911"}</t>
        </is>
      </c>
      <c r="N99" t="inlineStr">
        <is>
          <t>Lululemon multifunctional lightweight backpack made of water‑repellent nylon. Durable, sleek, and spacious with layered compartments, perfect for men and women commuting or traveling in modern style.</t>
        </is>
      </c>
      <c r="O9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backpack,kakobuy,kakebuy2026,kekobuysheet,kakobuysheet2026,2026kakobuy,kakobuyspreadsheeet,kakobuylink,kakebuylist,Kakobuy MEGA Spreadsheet,kakobuysheetfind,kakobuysheetfind2026,2026kakobuysheetfind,kakobuysheet2026","refusal":null,"role":"assistant"}}],"created":1778143364,"id":"chatcmpl-DcobcWatItLnsPsnuD8UFvRsSCPx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19,"engine_ttft_ms":865,"engine_ttlt_ms":2566,"pre_inference_ms":112,"service_tbt_ms":19,"service_ttft_ms":1628,"service_ttlt_ms":3328,"total_duration_ms":3223,"user_visible_ttft_ms":1516},"prompt_tokens":783,"prompt_tokens_details":{"audio_tokens":0,"cached_tokens":0},"total_tokens":872}}</t>
        </is>
      </c>
      <c r="P99" t="inlineStr">
        <is>
          <t>lululemon,backpack,kakobuy,kakebuy2026,kekobuysheet,kakobuysheet2026,2026kakobuy,kakobuyspreadsheeet,kakobuylink,kakebuylist,Kakobuy MEGA Spreadsheet,kakobuysheetfind,kakobuysheetfind2026,2026kakobuysheetfind,kakobuysheet2026</t>
        </is>
      </c>
      <c r="Q99" t="inlineStr">
        <is>
          <t>Backpack, Nylon, Lightweight, Waterproof, Unisex, Modern</t>
        </is>
      </c>
      <c r="R99" t="inlineStr">
        <is>
          <t>recvhju1Crjg4P</t>
        </is>
      </c>
      <c r="S99" t="inlineStr">
        <is>
          <t>lululemon-nylon-water-repellent-lightweight-travel-backpack-recvhju1crjg4p</t>
        </is>
      </c>
      <c r="T99"/>
      <c r="U99"/>
      <c r="V99"/>
      <c r="W99" t="inlineStr">
        <is>
          <t>{"id":"chatcmpl-DcntlskjwzcD3UhreG8I0VtjsaPeQ","object":"chat.completion","created":1778140645,"model":"gpt-5-chat-latest","choices":[{"index":0,"message":{"role":"assistant","content":"lululemon黑色多功能轻感背包，采用耐磨防泼尼龙面料，质地轻盈挺括，极简Logo装饰呈现运动都市风。大容量分层设计便于收纳，男女皆宜，兼具通勤与旅行功能，展现现代活力与舒适美学。","refusal":null,"annotations":[]},"logprobs":null,"finish_reason":"stop"}],"usage":{"prompt_tokens":1303,"completion_tokens":75,"total_tokens":1378,"prompt_tokens_details":{"cached_tokens":1280,"audio_tokens":0},"completion_tokens_details":{"reasoning_tokens":0,"audio_tokens":0,"accepted_prediction_tokens":0,"rejected_prediction_tokens":0},"latency_checkpoint":{"service_ttft_ms":658,"user_visible_ttft_ms":546,"total_duration_ms":2776,"pre_inference_ms":113,"service_tbt_ms":30,"service_ttlt_ms":2881,"engine_ttft_ms":411,"engine_ttlt_ms":2635,"engine_tbt_ms":30}},"service_tier":"default","system_fingerprint":"fp_fd471178c5"}</t>
        </is>
      </c>
      <c r="X99" t="inlineStr">
        <is>
          <t>lululemon黑色多功能轻感背包，采用耐磨防泼尼龙面料，质地轻盈挺括，极简Logo装饰呈现运动都市风。大容量分层设计便于收纳，男女皆宜，兼具通勤与旅行功能，展现现代活力与舒适美学。</t>
        </is>
      </c>
    </row>
    <row r="100" ht="25.5" customHeight="1">
      <c r="A100">
        <v>1654975475</v>
      </c>
      <c r="B100">
        <v>7623867039</v>
      </c>
      <c r="C100" s="2" t="str">
        <f>=HYPERLINK("https://weidian.com/item.html?itemID=7623867039", "https://weidian.com/item.html?itemID=7623867039")</f>
        <v>https://weidian.com/item.html?itemID=7623867039</v>
      </c>
      <c r="D100"/>
      <c r="E100" s="2" t="str">
        <f>=HYPERLINK("https://si.geilicdn.com/pcitem2014204438-725f0000019ae4a277570a230115_1290_1720.jpg?w=640&amp;h=640", "https://si.geilicdn.com/pcitem2014204438-725f0000019ae4a277570a230115_1290_1720.jpg?w=640&amp;h=640")</f>
        <v>https://si.geilicdn.com/pcitem2014204438-725f0000019ae4a277570a230115_1290_1720.jpg?w=640&amp;h=640</v>
      </c>
      <c r="F100" t="inlineStr">
        <is>
          <t>Accessories</t>
        </is>
      </c>
      <c r="G100" t="inlineStr">
        <is>
          <t>Bellroy</t>
        </is>
      </c>
      <c r="H100">
        <v>410</v>
      </c>
      <c r="I100">
        <v>59.42</v>
      </c>
      <c r="J10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ellroy Lite Series Black Water-Resistant Nylon Backpack","refusal":null,"role":"assistant"}}],"created":1778143109,"id":"chatcmpl-DcoXVgmNGysoi1hEJcKZr1YBADFY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43,"engine_ttft_ms":876,"engine_ttlt_ms":1387,"pre_inference_ms":127,"service_tbt_ms":43,"service_ttft_ms":1263,"service_ttlt_ms":1772,"total_duration_ms":1654,"user_visible_ttft_ms":1137},"prompt_tokens":869,"prompt_tokens_details":{"audio_tokens":0,"cached_tokens":0},"total_tokens":881}}</t>
        </is>
      </c>
      <c r="K100" t="inlineStr">
        <is>
          <t>Bellroy Lite Series Black Water-Resistant Nylon Backpack</t>
        </is>
      </c>
      <c r="L10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ellroy Lite Series Black Water-Resistant Nylon Backpack – Sleek Urban Design, Lightweight, Durable, Unisex, Perfect for Daily Commute and Travel Adventures.","refusal":null,"role":"assistant"}}],"created":1778142308,"id":"chatcmpl-DcoKa4TPeuWxSHbeoee0YfajtTTE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34,"completion_tokens_details":{"accepted_prediction_tokens":0,"audio_tokens":0,"reasoning_tokens":0,"rejected_prediction_tokens":0},"latency_checkpoint":{"engine_tbt_ms":25,"engine_ttft_ms":988,"engine_ttlt_ms":1848,"pre_inference_ms":162,"service_tbt_ms":26,"service_ttft_ms":1950,"service_ttlt_ms":2809,"total_duration_ms":2659,"user_visible_ttft_ms":1788},"prompt_tokens":878,"prompt_tokens_details":{"audio_tokens":0,"cached_tokens":0},"total_tokens":912}}</t>
        </is>
      </c>
      <c r="M100" t="inlineStr">
        <is>
          <t>{"alt-svc":"h3=\":443\"; ma=2592000","apim-request-id":"01f591b5-3557-483a-8c26-1f65ad2c81ef","azureml-model-session":"d20260428174121-807d9cc5","connection":"close","content-length":"1623","content-type":"application/json","date":"Thu, 07 May 2026 08:25:10 GMT","skip-error-remapping":"true","strict-transport-security":"max-age=31536000; includeSubDomains; preload","via":"1.1 Caddy","x-accel-buffering":"no","x-content-type-options":"nosniff","x-ms-client-request-id":"Not-Set","x-ms-is-spilled-over":"false","x-ms-rai-invoked":"true","x-ms-region":"Korea Central","x-new-api-version":"v1.0.0-rc.4","x-oneapi-request-id":"202605070825074959232848268d9d6u3L3WWmR","x-ratelimit-abusepenalty-active":"False","x-ratelimit-key":"gpt-5-chat-global","x-ratelimit-limit-requests":"1000","x-ratelimit-limit-tokens":"1000000","x-ratelimit-remaining-requests":"999","x-ratelimit-remaining-tokens":"998136","x-ratelimit-renewalperiod-requests":"60","x-ratelimit-renewalperiod-tokens":"60","x-ratelimit-reset-requests":"0","x-ratelimit-reset-tokens":"0","x-request-id":"663a8916-af24-48b2-995e-80ba7e591ff0","x-shellapi-request-id":"2026050716250743184198517732357"}</t>
        </is>
      </c>
      <c r="N100" t="inlineStr">
        <is>
          <t>Bellroy Lite Series Black Water-Resistant Nylon Backpack – Sleek Urban Design, Lightweight, Durable, Unisex, Perfect for Daily Commute and Travel Adventures.</t>
        </is>
      </c>
      <c r="O10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ellroy,Backpack,kakobuy,kakebuy2026,kekobuysheet,kakobuysheet2026,2026kakobuy,kakobuyspreadsheeet,kakobuylink,kakebuylist,Kakobuy MEGA Spreadsheet,kakobuysheetfind,kakobuysheetfind2026,2026kakobuysheetfind,kakobuysheet2026","refusal":null,"role":"assistant"}}],"created":1778143616,"id":"chatcmpl-DcofgbSi17QgLMiooY0ejeVZh0pW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20,"engine_ttft_ms":803,"engine_ttlt_ms":2535,"pre_inference_ms":134,"service_tbt_ms":20,"service_ttft_ms":1568,"service_ttlt_ms":3299,"total_duration_ms":3173,"user_visible_ttft_ms":1433},"prompt_tokens":782,"prompt_tokens_details":{"audio_tokens":0,"cached_tokens":0},"total_tokens":870}}</t>
        </is>
      </c>
      <c r="P100" t="inlineStr">
        <is>
          <t>Bellroy,Backpack,kakobuy,kakebuy2026,kekobuysheet,kakobuysheet2026,2026kakobuy,kakobuyspreadsheeet,kakobuylink,kakebuylist,Kakobuy MEGA Spreadsheet,kakobuysheetfind,kakobuysheetfind2026,2026kakobuysheetfind,kakobuysheet2026</t>
        </is>
      </c>
      <c r="Q100" t="inlineStr">
        <is>
          <t>Backpack, Nylon, Waterproof, Lightweight, Unisex, Sleek</t>
        </is>
      </c>
      <c r="R100" t="inlineStr">
        <is>
          <t>recvhju1CrCjSr</t>
        </is>
      </c>
      <c r="S100" t="inlineStr">
        <is>
          <t>bellroy-lite-black-water-resistant-nylon-backpack-recvhju1crjscr</t>
        </is>
      </c>
      <c r="T100"/>
      <c r="U100"/>
      <c r="V100"/>
      <c r="W100" t="inlineStr">
        <is>
          <t>{"id":"chatcmpl-Dcnt0JdU9KEjtCYNaPF0BTpmiM0tN","object":"chat.completion","created":1778140598,"model":"gpt-5-chat-latest","choices":[{"index":0,"message":{"role":"assistant","content":"Bellroy：Lite系列黑色多功能防泼水尼龙双肩背包，极简都市设计，轻盈耐用，男女皆宜，兼具通勤与旅行实用风格。","refusal":null,"annotations":[]},"logprobs":null,"finish_reason":"stop"}],"usage":{"prompt_tokens":1297,"completion_tokens":46,"total_tokens":1343,"prompt_tokens_details":{"cached_tokens":1280,"audio_tokens":0},"completion_tokens_details":{"reasoning_tokens":0,"audio_tokens":0,"accepted_prediction_tokens":0,"rejected_prediction_tokens":0},"latency_checkpoint":{"service_ttft_ms":1375,"user_visible_ttft_ms":1203,"total_duration_ms":5066,"pre_inference_ms":172,"service_tbt_ms":84,"service_ttlt_ms":5229,"engine_ttft_ms":1107,"engine_ttlt_ms":4984,"engine_tbt_ms":84}},"service_tier":"default","system_fingerprint":"fp_fd471178c5"}</t>
        </is>
      </c>
      <c r="X100" t="inlineStr">
        <is>
          <t>Bellroy：Lite系列黑色多功能防泼水尼龙双肩背包，极简都市设计，轻盈耐用，男女皆宜，兼具通勤与旅行实用风格。</t>
        </is>
      </c>
    </row>
    <row r="101" ht="25.5" customHeight="1">
      <c r="A101">
        <v>1654975475</v>
      </c>
      <c r="B101">
        <v>7623939745</v>
      </c>
      <c r="C101" s="2" t="str">
        <f>=HYPERLINK("https://weidian.com/item.html?itemID=7623939745", "https://weidian.com/item.html?itemID=7623939745")</f>
        <v>https://weidian.com/item.html?itemID=7623939745</v>
      </c>
      <c r="D101"/>
      <c r="E101" s="2" t="str">
        <f>=HYPERLINK("https://si.geilicdn.com/pcitem2014204438-3d2d0000019ae49d5e8b0a811411_1512_2016.jpg?w=640&amp;h=640", "https://si.geilicdn.com/pcitem2014204438-3d2d0000019ae49d5e8b0a811411_1512_2016.jpg?w=640&amp;h=640")</f>
        <v>https://si.geilicdn.com/pcitem2014204438-3d2d0000019ae49d5e8b0a811411_1512_2016.jpg?w=640&amp;h=640</v>
      </c>
      <c r="F101" t="inlineStr">
        <is>
          <t>Accessories</t>
        </is>
      </c>
      <c r="G101" t="inlineStr">
        <is>
          <t>Issey Miyake</t>
        </is>
      </c>
      <c r="H101">
        <v>370</v>
      </c>
      <c r="I101">
        <v>53.62</v>
      </c>
      <c r="J10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Issey Miyake Bao Bao Pink Purple Geometric Backpack","refusal":null,"role":"assistant"}}],"created":1778142996,"id":"chatcmpl-DcoVgRC9UHlbkNS4lB73KkZ0ViJR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81,"engine_ttft_ms":449,"engine_ttlt_ms":1419,"pre_inference_ms":169,"service_tbt_ms":84,"service_ttft_ms":681,"service_ttlt_ms":1676,"total_duration_ms":1524,"user_visible_ttft_ms":512},"prompt_tokens":879,"prompt_tokens_details":{"audio_tokens":0,"cached_tokens":0},"total_tokens":891}}</t>
        </is>
      </c>
      <c r="K101" t="inlineStr">
        <is>
          <t>Issey Miyake Bao Bao Pink Purple Geometric Backpack</t>
        </is>
      </c>
      <c r="L10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Issey Miyake BAO BAO Pink Purple Geometric Backpack – lightweight nylon design blending futuristic style with minimal aesthetics. Unisex for city commuting or casual travel, practical and modern.","refusal":null,"role":"assistant"}}],"created":1778142152,"id":"chatcmpl-DcoI4j14cPTXElATxE1Ui3pNNCc5U","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21,"engine_ttft_ms":440,"engine_ttlt_ms":1227,"pre_inference_ms":156,"service_tbt_ms":21,"service_ttft_ms":754,"service_ttlt_ms":1542,"total_duration_ms":1393,"user_visible_ttft_ms":598},"prompt_tokens":922,"prompt_tokens_details":{"audio_tokens":0,"cached_tokens":0},"total_tokens":960}}</t>
        </is>
      </c>
      <c r="M101" t="inlineStr">
        <is>
          <t>{"alt-svc":"h3=\":443\"; ma=2592000","apim-request-id":"a7d29b5a-345c-446c-bb78-d62853c9a578","azureml-model-session":"d20260429094557-48622491","connection":"close","content-length":"1659","content-type":"application/json","date":"Thu, 07 May 2026 08:22:33 GMT","skip-error-remapping":"true","strict-transport-security":"max-age=31536000; includeSubDomains; preload","via":"1.1 Caddy","x-accel-buffering":"no","x-content-type-options":"nosniff","x-ms-client-request-id":"Not-Set","x-ms-is-spilled-over":"false","x-ms-rai-invoked":"true","x-ms-region":"East US","x-new-api-version":"v1.0.0-rc.4","x-oneapi-request-id":"2026050708223222760748268d9d6jrrXPFwI","x-ratelimit-abusepenalty-active":"False","x-ratelimit-key":"gpt-5-chat-global","x-ratelimit-limit-requests":"1000","x-ratelimit-limit-tokens":"1000000","x-ratelimit-remaining-requests":"999","x-ratelimit-remaining-tokens":"998316","x-ratelimit-renewalperiod-requests":"60","x-ratelimit-renewalperiod-tokens":"60","x-ratelimit-reset-requests":"0","x-ratelimit-reset-tokens":"0","x-request-id":"2dc7757d-bf24-4e30-9bf8-1b91d3ad1fa4","x-shellapi-request-id":"2026050716223195108608605406211"}</t>
        </is>
      </c>
      <c r="N101" t="inlineStr">
        <is>
          <t>Issey Miyake BAO BAO Pink Purple Geometric Backpack – lightweight nylon design blending futuristic style with minimal aesthetics. Unisex for city commuting or casual travel, practical and modern.</t>
        </is>
      </c>
      <c r="O10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Issey Miyake,Backpack,kakobuy,kakebuy2026,kekobuysheet,kakobuysheet2026,2026kakobuy,kakobuyspreadsheeet,kakobuylink,kakebuylist,Kakobuy MEGA Spreadsheet,kakobuysheetfind,kakobuysheetfind2026,2026kakobuysheetfind,kakobuysheet2026","refusal":null,"role":"assistant"}}],"created":1778143337,"id":"chatcmpl-DcobBmvQCtFVlk8nHM303n92e1r9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21,"engine_ttft_ms":1061,"engine_ttlt_ms":2990,"pre_inference_ms":128,"service_tbt_ms":22,"service_ttft_ms":1544,"service_ttlt_ms":3472,"total_duration_ms":3354,"user_visible_ttft_ms":1416},"prompt_tokens":784,"prompt_tokens_details":{"audio_tokens":0,"cached_tokens":0},"total_tokens":874}}</t>
        </is>
      </c>
      <c r="P101" t="inlineStr">
        <is>
          <t>Issey Miyake,Backpack,kakobuy,kakebuy2026,kekobuysheet,kakobuysheet2026,2026kakobuy,kakobuyspreadsheeet,kakobuylink,kakebuylist,Kakobuy MEGA Spreadsheet,kakobuysheetfind,kakobuysheetfind2026,2026kakobuysheetfind,kakobuysheet2026</t>
        </is>
      </c>
      <c r="Q101" t="inlineStr">
        <is>
          <t>Backpack, Nylon, Geometric, Minimalist, Unisex, Lightweight</t>
        </is>
      </c>
      <c r="R101" t="inlineStr">
        <is>
          <t>recvhju1Crnl0s</t>
        </is>
      </c>
      <c r="S101" t="inlineStr">
        <is>
          <t>issey-miyake-bao-bao-pink-purple-geometric-backpack-recvhju1crnl0s</t>
        </is>
      </c>
      <c r="T101"/>
      <c r="U101"/>
      <c r="V101"/>
      <c r="W101" t="inlineStr">
        <is>
          <t>{"id":"chatcmpl-DcnjvBs3mxT7e9KDH7bkx1O4pKI0q","object":"chat.completion","created":1778140035,"model":"gpt-5-chat-latest","choices":[{"index":0,"message":{"role":"assistant","content":"Issey Miyake：BAO BAO系列粉紫几何图腾双肩背包，轻盈尼龙材质搭配立体几何拼接设计，展现未来感时尚风格。中性百搭款，适合都市通勤与休闲旅行，融合极简美学与实用功能，彰显设计师独特现代艺术理念。","refusal":null,"annotations":[]},"logprobs":null,"finish_reason":"stop"}],"usage":{"prompt_tokens":1311,"completion_tokens":84,"total_tokens":1395,"prompt_tokens_details":{"cached_tokens":0,"audio_tokens":0},"completion_tokens_details":{"reasoning_tokens":0,"audio_tokens":0,"accepted_prediction_tokens":0,"rejected_prediction_tokens":0},"latency_checkpoint":{"service_ttft_ms":1545,"user_visible_ttft_ms":1400,"total_duration_ms":10228,"pre_inference_ms":145,"service_tbt_ms":105,"service_ttlt_ms":10366,"engine_ttft_ms":1163,"engine_ttlt_ms":9984,"engine_tbt_ms":105}},"service_tier":"default","system_fingerprint":"fp_fd471178c5"}</t>
        </is>
      </c>
      <c r="X101" t="inlineStr">
        <is>
          <t>Issey Miyake：BAO BAO系列粉紫几何图腾双肩背包，轻盈尼龙材质搭配立体几何拼接设计，展现未来感时尚风格。中性百搭款，适合都市通勤与休闲旅行，融合极简美学与实用功能，彰显设计师独特现代艺术理念。</t>
        </is>
      </c>
    </row>
    <row r="102" ht="25.5" customHeight="1">
      <c r="A102">
        <v>1654975475</v>
      </c>
      <c r="B102">
        <v>7623767133</v>
      </c>
      <c r="C102" s="2" t="str">
        <f>=HYPERLINK("https://weidian.com/item.html?itemID=7623767133", "https://weidian.com/item.html?itemID=7623767133")</f>
        <v>https://weidian.com/item.html?itemID=7623767133</v>
      </c>
      <c r="D102"/>
      <c r="E102" s="2" t="str">
        <f>=HYPERLINK("https://si.geilicdn.com/pcitem2014204438-18550000019ae495e82d0a2103bd_1080_1440.jpg?w=640&amp;h=640", "https://si.geilicdn.com/pcitem2014204438-18550000019ae495e82d0a2103bd_1080_1440.jpg?w=640&amp;h=640")</f>
        <v>https://si.geilicdn.com/pcitem2014204438-18550000019ae495e82d0a2103bd_1080_1440.jpg?w=640&amp;h=640</v>
      </c>
      <c r="F102" t="inlineStr">
        <is>
          <t>Accessories</t>
        </is>
      </c>
      <c r="G102" t="inlineStr">
        <is>
          <t>The North Face</t>
        </is>
      </c>
      <c r="H102">
        <v>300</v>
      </c>
      <c r="I102">
        <v>43.48</v>
      </c>
      <c r="J10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Stream 12 Purple Hiking Backpack","refusal":null,"role":"assistant"}}],"created":1778142947,"id":"chatcmpl-DcoUtKOlbB03k4K9kJWMnqdrBsUr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141,"engine_ttft_ms":1122,"engine_ttlt_ms":2531,"pre_inference_ms":137,"service_tbt_ms":142,"service_ttft_ms":2248,"service_ttlt_ms":3657,"total_duration_ms":3527,"user_visible_ttft_ms":2111},"prompt_tokens":880,"prompt_tokens_details":{"audio_tokens":0,"cached_tokens":0},"total_tokens":890}}</t>
        </is>
      </c>
      <c r="K102" t="inlineStr">
        <is>
          <t>The North Face Stream 12 Purple Hiking Backpack</t>
        </is>
      </c>
      <c r="L10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STREAM 12 purple backpack, made of durable water-resistant nylon, features ergonomic breathable straps, multi-layer storage, and unisex urban-outdoor style for daily and hiking use.","refusal":null,"role":"assistant"}}],"created":1778142089,"id":"chatcmpl-DcoH37koVGNCEaCiCbVMxBxkiBHm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22,"engine_ttft_ms":677,"engine_ttlt_ms":1553,"pre_inference_ms":150,"service_tbt_ms":23,"service_ttft_ms":1113,"service_ttlt_ms":1988,"total_duration_ms":1848,"user_visible_ttft_ms":963},"prompt_tokens":919,"prompt_tokens_details":{"audio_tokens":0,"cached_tokens":0},"total_tokens":958}}</t>
        </is>
      </c>
      <c r="M102" t="inlineStr">
        <is>
          <t>{"alt-svc":"h3=\":443\"; ma=2592000","apim-request-id":"cf37e787-03a7-4971-b66f-19b490eba8c6","azureml-model-session":"d20260428165144-a78ba574","connection":"close","content-length":"1659","content-type":"application/json","date":"Thu, 07 May 2026 08:21:31 GMT","skip-error-remapping":"true","strict-transport-security":"max-age=31536000; includeSubDomains; preload","via":"1.1 Caddy","x-accel-buffering":"no","x-content-type-options":"nosniff","x-ms-client-request-id":"Not-Set","x-ms-is-spilled-over":"false","x-ms-rai-invoked":"true","x-ms-region":"Japan East","x-new-api-version":"v1.0.0-rc.4","x-oneapi-request-id":"202605070821284918345588268d9d6O2IJH5XA","x-ratelimit-abusepenalty-active":"False","x-ratelimit-key":"gpt-5-chat-global","x-ratelimit-limit-requests":"1000","x-ratelimit-limit-tokens":"1000000","x-ratelimit-remaining-requests":"999","x-ratelimit-remaining-tokens":"998319","x-ratelimit-renewalperiod-requests":"60","x-ratelimit-renewalperiod-tokens":"60","x-ratelimit-reset-requests":"0","x-ratelimit-reset-tokens":"0","x-request-id":"d722c909-c0fe-4cea-99be-f7326ffe04cd","x-shellapi-request-id":"2026050716212843925923784790533"}</t>
        </is>
      </c>
      <c r="N102" t="inlineStr">
        <is>
          <t>The North Face STREAM 12 purple backpack, made of durable water-resistant nylon, features ergonomic breathable straps, multi-layer storage, and unisex urban-outdoor style for daily and hiking use.</t>
        </is>
      </c>
      <c r="O10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Face,Backpack,kakobuy,kakebuy2026,kekobuysheet,kakobuysheet2026,2026kakobuy,kakobuyspreadsheeet,kakobuylink,kakebuylist,Kakobuy MEGA Spreadsheet,kakobuysheetfind,kakobuysheetfind2026,2026kakobuysheetfind,kakobuysheet2026","refusal":null,"role":"assistant"}}],"created":1778143619,"id":"chatcmpl-Dcofjn9JAx7fNLc9xaCYcK2VF9E3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22,"engine_ttft_ms":928,"engine_ttlt_ms":2930,"pre_inference_ms":162,"service_tbt_ms":23,"service_ttft_ms":1462,"service_ttlt_ms":3464,"total_duration_ms":3310,"user_visible_ttft_ms":1300},"prompt_tokens":783,"prompt_tokens_details":{"audio_tokens":0,"cached_tokens":0},"total_tokens":872}}</t>
        </is>
      </c>
      <c r="P102" t="inlineStr">
        <is>
          <t>The North Face,Backpack,kakobuy,kakebuy2026,kekobuysheet,kakobuysheet2026,2026kakobuy,kakobuyspreadsheeet,kakobuylink,kakebuylist,Kakobuy MEGA Spreadsheet,kakobuysheetfind,kakobuysheetfind2026,2026kakobuysheetfind,kakobuysheet2026</t>
        </is>
      </c>
      <c r="Q102" t="inlineStr">
        <is>
          <t>Backpack, Nylon, Waterproof, Unisex, Purple, Outdoor</t>
        </is>
      </c>
      <c r="R102" t="inlineStr">
        <is>
          <t>recvhju1CrerR1</t>
        </is>
      </c>
      <c r="S102" t="inlineStr">
        <is>
          <t>the-north-face-stream-12-purple-hiking-backpack-recvhju1crerr1</t>
        </is>
      </c>
      <c r="T102"/>
      <c r="U102"/>
      <c r="V102"/>
      <c r="W102" t="inlineStr">
        <is>
          <t>{"id":"chatcmpl-Dcnw4kkbCtMzZQtfg7OL5b7SyB1Sc","object":"chat.completion","created":1778140788,"model":"gpt-5-chat-latest","choices":[{"index":0,"message":{"role":"assistant","content":"The North Face 紫色STREAM 12双肩背包，采用耐磨防泼水尼龙面料，轻盈实用。人体工学设计肩带与背垫透气舒适，多层收纳空间满足户外与日常出行需求。简约时尚风格，男女皆宜，展现都市与户外兼具的活力美学。","refusal":null,"annotations":[]},"logprobs":null,"finish_reason":"stop"}],"usage":{"prompt_tokens":1301,"completion_tokens":85,"total_tokens":1386,"prompt_tokens_details":{"cached_tokens":1280,"audio_tokens":0},"completion_tokens_details":{"reasoning_tokens":0,"audio_tokens":0,"accepted_prediction_tokens":0,"rejected_prediction_tokens":0},"latency_checkpoint":{"service_ttft_ms":873,"user_visible_ttft_ms":715,"total_duration_ms":12312,"pre_inference_ms":158,"service_tbt_ms":136,"service_ttlt_ms":12468,"engine_ttft_ms":661,"engine_ttlt_ms":12232,"engine_tbt_ms":136}},"service_tier":"default","system_fingerprint":"fp_fd471178c5"}</t>
        </is>
      </c>
      <c r="X102" t="inlineStr">
        <is>
          <t>The North Face 紫色STREAM 12双肩背包，采用耐磨防泼水尼龙面料，轻盈实用。人体工学设计肩带与背垫透气舒适，多层收纳空间满足户外与日常出行需求。简约时尚风格，男女皆宜，展现都市与户外兼具的活力美学。</t>
        </is>
      </c>
    </row>
    <row r="103" ht="25.5" customHeight="1">
      <c r="A103">
        <v>1654975475</v>
      </c>
      <c r="B103">
        <v>7623783019</v>
      </c>
      <c r="C103" s="2" t="str">
        <f>=HYPERLINK("https://weidian.com/item.html?itemID=7623783019", "https://weidian.com/item.html?itemID=7623783019")</f>
        <v>https://weidian.com/item.html?itemID=7623783019</v>
      </c>
      <c r="D103"/>
      <c r="E103" s="2" t="str">
        <f>=HYPERLINK("https://si.geilicdn.com/pcitem2014204438-63120000019ae48fe35e0a20e7c7_1440_1730.jpg?w=640&amp;h=640", "https://si.geilicdn.com/pcitem2014204438-63120000019ae48fe35e0a20e7c7_1440_1730.jpg?w=640&amp;h=640")</f>
        <v>https://si.geilicdn.com/pcitem2014204438-63120000019ae48fe35e0a20e7c7_1440_1730.jpg?w=640&amp;h=640</v>
      </c>
      <c r="F103" t="inlineStr">
        <is>
          <t>Accessories</t>
        </is>
      </c>
      <c r="G103" t="inlineStr">
        <is>
          <t>Arc Teryx</t>
        </is>
      </c>
      <c r="H103">
        <v>240</v>
      </c>
      <c r="I103">
        <v>34.78</v>
      </c>
      <c r="J10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Beige Waterproof Ripstop Nylon Outdoor Waist Bag","refusal":null,"role":"assistant"}}],"created":1778143024,"id":"chatcmpl-DcoW8mMmevAJBsaQ2sYCGwjBKv693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52,"engine_ttft_ms":763,"engine_ttlt_ms":1434,"pre_inference_ms":122,"service_tbt_ms":52,"service_ttft_ms":1392,"service_ttlt_ms":2062,"total_duration_ms":1948,"user_visible_ttft_ms":1269},"prompt_tokens":885,"prompt_tokens_details":{"audio_tokens":0,"cached_tokens":0},"total_tokens":898}}</t>
        </is>
      </c>
      <c r="K103" t="inlineStr">
        <is>
          <t>Arc'teryx Beige Waterproof Ripstop Nylon Outdoor Waist Bag</t>
        </is>
      </c>
      <c r="L10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beige multifunctional outdoor waist bag made of high-density ripstop nylon, lightweight, waterproof and durable. Minimalist zip design with embroidered logo, unisex for urban and outdoor use.","refusal":null,"role":"assistant"}}],"created":1778141977,"id":"chatcmpl-DcoFFPQT7P7ZQUSE9oKBECMTewCx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86,"engine_ttft_ms":1369,"engine_ttlt_ms":4898,"pre_inference_ms":132,"service_tbt_ms":86,"service_ttft_ms":2479,"service_ttlt_ms":5982,"total_duration_ms":5860,"user_visible_ttft_ms":2347},"prompt_tokens":919,"prompt_tokens_details":{"audio_tokens":0,"cached_tokens":0},"total_tokens":960}}</t>
        </is>
      </c>
      <c r="M103" t="inlineStr">
        <is>
          <t>{"alt-svc":"h3=\":443\"; ma=2592000","apim-request-id":"56481f7d-9509-4315-8c38-32d0ac22d3de","azureml-model-session":"d20260501060506-201eb233","connection":"close","content-length":"1666","content-type":"application/json","date":"Thu, 07 May 2026 08:19:42 GMT","skip-error-remapping":"true","strict-transport-security":"max-age=31536000; includeSubDomains; preload","via":"1.1 Caddy","x-accel-buffering":"no","x-content-type-options":"nosniff","x-ms-client-request-id":"Not-Set","x-ms-is-spilled-over":"false","x-ms-rai-invoked":"true","x-ms-region":"Korea Central","x-new-api-version":"v1.0.0-rc.4","x-oneapi-request-id":"202605070819365357454598268d9d6PUieGAZw","x-ratelimit-abusepenalty-active":"False","x-ratelimit-key":"gpt-5-chat-global","x-ratelimit-limit-requests":"1000","x-ratelimit-limit-tokens":"1000000","x-ratelimit-remaining-requests":"999","x-ratelimit-remaining-tokens":"998319","x-ratelimit-renewalperiod-requests":"60","x-ratelimit-renewalperiod-tokens":"60","x-ratelimit-reset-requests":"0","x-ratelimit-reset-tokens":"0","x-request-id":"fb1cb5bd-b4ce-4cc8-a7bb-123e580a4de2","x-shellapi-request-id":"2026050716193648297143388614644"}</t>
        </is>
      </c>
      <c r="N103" t="inlineStr">
        <is>
          <t>Arc'teryx beige multifunctional outdoor waist bag made of high-density ripstop nylon, lightweight, waterproof and durable. Minimalist zip design with embroidered logo, unisex for urban and outdoor use.</t>
        </is>
      </c>
      <c r="O10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rc'teryx, Accessories, kakobuy, kakebuy2026, kekobuysheet, kakobuysheet2026, 2026kakobuy, kakobuyspreadsheeet, kakobuylink, kakebuylist, Kakobuy MEGA Spreadsheet, kakobuysheetfind, kakobuysheetfind2026, 2026kakobuysheetfind, kakobuysheet2026","refusal":null,"role":"assistant"}}],"created":1778143575,"id":"chatcmpl-Dcof1YV6NUZaRPKzXK9TTL38PV2bT","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93,"completion_tokens_details":{"accepted_prediction_tokens":0,"audio_tokens":0,"reasoning_tokens":0,"rejected_prediction_tokens":0},"latency_checkpoint":{"engine_tbt_ms":83,"engine_ttft_ms":311,"engine_ttlt_ms":7997,"pre_inference_ms":156,"service_tbt_ms":83,"service_ttft_ms":541,"service_ttlt_ms":8226,"total_duration_ms":8078,"user_visible_ttft_ms":385},"prompt_tokens":784,"prompt_tokens_details":{"audio_tokens":0,"cached_tokens":0},"total_tokens":877}}</t>
        </is>
      </c>
      <c r="P103" t="inlineStr">
        <is>
          <t>Arc'teryx, Accessories, kakobuy, kakebuy2026, kekobuysheet, kakobuysheet2026, 2026kakobuy, kakobuyspreadsheeet, kakobuylink, kakebuylist, Kakobuy MEGA Spreadsheet, kakobuysheetfind, kakobuysheetfind2026, 2026kakobuysheetfind, kakobuysheet2026</t>
        </is>
      </c>
      <c r="Q103" t="inlineStr">
        <is>
          <t>Beige, Outdoor, Nylon, Waterproof, Lightweight, Unisex</t>
        </is>
      </c>
      <c r="R103" t="inlineStr">
        <is>
          <t>recvhju1CrSorf</t>
        </is>
      </c>
      <c r="S103" t="inlineStr">
        <is>
          <t>arcteryx-beige-waterproof-ripstop-nylon-outdoor-waist-bag-recvhju1crsorf</t>
        </is>
      </c>
      <c r="T103"/>
      <c r="U103"/>
      <c r="V103"/>
      <c r="W103" t="inlineStr">
        <is>
          <t>{"id":"chatcmpl-Dcnw8hUwTf6rDoyrKhVDtvvs1yP2F","object":"chat.completion","created":1778140792,"model":"gpt-5-chat-latest","choices":[{"index":0,"message":{"role":"assistant","content":"Arc’teryx 沙色户外多功能腰包，采用高密度防撕裂尼龙面料，轻盈耐磨防水。简约拉链设计搭配品牌标识刺绣图腾，细节彰显专业登山风格，适合男女通用，休闲与户外皆宜，尽显都市机能美学。","refusal":null,"annotations":[]},"logprobs":null,"finish_reason":"stop"}],"usage":{"prompt_tokens":1307,"completion_tokens":82,"total_tokens":1389,"prompt_tokens_details":{"cached_tokens":0,"audio_tokens":0},"completion_tokens_details":{"reasoning_tokens":0,"audio_tokens":0,"accepted_prediction_tokens":0,"rejected_prediction_tokens":0},"latency_checkpoint":{"service_ttft_ms":838,"user_visible_ttft_ms":611,"total_duration_ms":2432,"pre_inference_ms":227,"service_tbt_ms":22,"service_ttlt_ms":2637,"engine_ttft_ms":445,"engine_ttlt_ms":2212,"engine_tbt_ms":22}},"service_tier":"default","system_fingerprint":"fp_fd471178c5"}</t>
        </is>
      </c>
      <c r="X103" t="inlineStr">
        <is>
          <t>Arc’teryx 沙色户外多功能腰包，采用高密度防撕裂尼龙面料，轻盈耐磨防水。简约拉链设计搭配品牌标识刺绣图腾，细节彰显专业登山风格，适合男女通用，休闲与户外皆宜，尽显都市机能美学。</t>
        </is>
      </c>
    </row>
    <row r="104" ht="25.5" customHeight="1">
      <c r="A104">
        <v>1654975475</v>
      </c>
      <c r="B104">
        <v>7624563169</v>
      </c>
      <c r="C104" s="2" t="str">
        <f>=HYPERLINK("https://weidian.com/item.html?itemID=7624563169", "https://weidian.com/item.html?itemID=7624563169")</f>
        <v>https://weidian.com/item.html?itemID=7624563169</v>
      </c>
      <c r="D104"/>
      <c r="E104" s="2" t="str">
        <f>=HYPERLINK("https://si.geilicdn.com/pcitem2014204438-224a0000019ae7eaac990a23037f_1471_1962.jpg?w=640&amp;h=640", "https://si.geilicdn.com/pcitem2014204438-224a0000019ae7eaac990a23037f_1471_1962.jpg?w=640&amp;h=640")</f>
        <v>https://si.geilicdn.com/pcitem2014204438-224a0000019ae7eaac990a23037f_1471_1962.jpg?w=640&amp;h=640</v>
      </c>
      <c r="F104" t="inlineStr">
        <is>
          <t>Socks &amp; Hosiery</t>
        </is>
      </c>
      <c r="G104" t="inlineStr">
        <is>
          <t>Loro Piana</t>
        </is>
      </c>
      <c r="H104">
        <v>270</v>
      </c>
      <c r="I104">
        <v>39.13</v>
      </c>
      <c r="J10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ro Piana Dark Brown Cashmere Mid Socks Unisex Luxury","refusal":null,"role":"assistant"}}],"created":1778142922,"id":"chatcmpl-DcoUUY5hM863i5d45HFsLZS3PoaJ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14,"completion_tokens_details":{"accepted_prediction_tokens":0,"audio_tokens":0,"reasoning_tokens":0,"rejected_prediction_tokens":0},"latency_checkpoint":{"engine_tbt_ms":59,"engine_ttft_ms":1661,"engine_ttlt_ms":2491,"pre_inference_ms":134,"service_tbt_ms":60,"service_ttft_ms":2794,"service_ttlt_ms":3621,"total_duration_ms":3497,"user_visible_ttft_ms":2660},"prompt_tokens":885,"prompt_tokens_details":{"audio_tokens":0,"cached_tokens":0},"total_tokens":899}}</t>
        </is>
      </c>
      <c r="K104" t="inlineStr">
        <is>
          <t>Loro Piana Dark Brown Cashmere Mid Socks Unisex Luxury</t>
        </is>
      </c>
      <c r="L10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ro Piana Classic Dark Brown Cashmere Mid Socks – crafted from premium soft cashmere for warmth and breathability, minimalist design, unisex Italian elegance, timeless luxury and refined craftsmanship.","refusal":null,"role":"assistant"}}],"created":1778142344,"id":"chatcmpl-DcoLAvzoeAAnbSkPoDykEqzlzCOu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24,"engine_ttft_ms":803,"engine_ttlt_ms":1740,"pre_inference_ms":129,"service_tbt_ms":24,"service_ttft_ms":1553,"service_ttlt_ms":2490,"total_duration_ms":2368,"user_visible_ttft_ms":1424},"prompt_tokens":921,"prompt_tokens_details":{"audio_tokens":0,"cached_tokens":0},"total_tokens":960}}</t>
        </is>
      </c>
      <c r="M104" t="inlineStr">
        <is>
          <t>{"alt-svc":"h3=\":443\"; ma=2592000","apim-request-id":"cc1455a6-ee6c-41ac-97a7-3478dbaccfaa","azureml-model-session":"d20260429094557-48622491","connection":"close","content-length":"1668","content-type":"application/json","date":"Thu, 07 May 2026 08:25:46 GMT","server":"Caddy","skip-error-remapping":"true","strict-transport-security":"max-age=31536000; includeSubDomains; preload","x-accel-buffering":"no","x-content-type-options":"nosniff","x-ms-client-request-id":"Not-Set","x-ms-is-spilled-over":"false","x-ms-rai-invoked":"true","x-ms-region":"UK South","x-new-api-version":"v1.0.0-rc.4","x-oneapi-request-id":"202605070825429243620618268d9d6aZ8dXB8q","x-ratelimit-abusepenalty-active":"False","x-ratelimit-key":"gpt-5-chat-global","x-ratelimit-limit-requests":"1000","x-ratelimit-limit-tokens":"1000000","x-ratelimit-remaining-requests":"999","x-ratelimit-remaining-tokens":"998317","x-ratelimit-renewalperiod-requests":"60","x-ratelimit-renewalperiod-tokens":"60","x-ratelimit-reset-requests":"0","x-ratelimit-reset-tokens":"0","x-request-id":"f8d8cf30-4b17-406f-9013-005010cf05e2","x-shellapi-request-id":"2026050716254287087043783507309"}</t>
        </is>
      </c>
      <c r="N104" t="inlineStr">
        <is>
          <t>Loro Piana Classic Dark Brown Cashmere Mid Socks – crafted from premium soft cashmere for warmth and breathability, minimalist design, unisex Italian elegance, timeless luxury and refined craftsmanship.</t>
        </is>
      </c>
      <c r="O10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oro Piana, Socks &amp; Hosiery, kakobuy, kakebuy2026, kekobuysheet, kakobuysheet2026, 2026kakobuy, kakobuyspreadsheeet, kakobuylink, kakebuylist, Kakobuy MEGA Spreadsheet, kakobuysheetfind, kakobuysheetfind2026, 2026kakobuysheetfind, kakobuysheet2026","refusal":null,"role":"assistant"}}],"created":1778143638,"id":"chatcmpl-Dcog25Xv3TCoBJQLabSSnGnXipRDY","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96,"completion_tokens_details":{"accepted_prediction_tokens":0,"audio_tokens":0,"reasoning_tokens":0,"rejected_prediction_tokens":0},"latency_checkpoint":{"engine_tbt_ms":31,"engine_ttft_ms":3930,"engine_ttlt_ms":6931,"pre_inference_ms":195,"service_tbt_ms":31,"service_ttft_ms":4931,"service_ttlt_ms":7930,"total_duration_ms":7748,"user_visible_ttft_ms":4735},"prompt_tokens":788,"prompt_tokens_details":{"audio_tokens":0,"cached_tokens":0},"total_tokens":884}}</t>
        </is>
      </c>
      <c r="P104" t="inlineStr">
        <is>
          <t>Loro Piana, Socks &amp; Hosiery, kakobuy, kakebuy2026, kekobuysheet, kakobuysheet2026, 2026kakobuy, kakobuyspreadsheeet, kakobuylink, kakebuylist, Kakobuy MEGA Spreadsheet, kakobuysheetfind, kakobuysheetfind2026, 2026kakobuysheetfind, kakobuysheet2026</t>
        </is>
      </c>
      <c r="Q104" t="inlineStr">
        <is>
          <t>Cashmere, Dark Brown, Minimalist, Unisex, Classic</t>
        </is>
      </c>
      <c r="R104" t="inlineStr">
        <is>
          <t>recvhju1CrXdW3</t>
        </is>
      </c>
      <c r="S104" t="inlineStr">
        <is>
          <t>loro-piana-dark-brown-cashmere-mid-socks-recvhju1crxdw3</t>
        </is>
      </c>
      <c r="T104"/>
      <c r="U104"/>
      <c r="V104"/>
      <c r="W104" t="inlineStr">
        <is>
          <t>{"id":"chatcmpl-Dcnm0xN6o1aGltJepFHcA2nwu2Pi8","object":"chat.completion","created":1778140164,"model":"gpt-5-chat-latest","choices":[{"index":0,"message":{"role":"assistant","content":"Loro Piana：经典深咖色羊绒中筒袜，甄选顶级柔软羊绒纤维，极致保暖与透气并存，简约纯色设计体现低调奢华格调，男女皆宜，意式优雅风格，传承匠心工艺，彰显高端品味。","refusal":null,"annotations":[]},"logprobs":null,"finish_reason":"stop"}],"usage":{"prompt_tokens":1307,"completion_tokens":82,"total_tokens":1389,"prompt_tokens_details":{"cached_tokens":0,"audio_tokens":0},"completion_tokens_details":{"reasoning_tokens":0,"audio_tokens":0,"accepted_prediction_tokens":0,"rejected_prediction_tokens":0},"latency_checkpoint":{"service_ttft_ms":1926,"user_visible_ttft_ms":1783,"total_duration_ms":3808,"pre_inference_ms":143,"service_tbt_ms":25,"service_ttlt_ms":3942,"engine_ttft_ms":1012,"engine_ttlt_ms":3029,"engine_tbt_ms":25}},"service_tier":"default","system_fingerprint":"fp_fd471178c5"}</t>
        </is>
      </c>
      <c r="X104" t="inlineStr">
        <is>
          <t>Loro Piana：经典深咖色羊绒中筒袜，甄选顶级柔软羊绒纤维，极致保暖与透气并存，简约纯色设计体现低调奢华格调，男女皆宜，意式优雅风格，传承匠心工艺，彰显高端品味。</t>
        </is>
      </c>
    </row>
    <row r="105" ht="25.5" customHeight="1">
      <c r="A105">
        <v>1654975475</v>
      </c>
      <c r="B105">
        <v>7624490863</v>
      </c>
      <c r="C105" s="2" t="str">
        <f>=HYPERLINK("https://weidian.com/item.html?itemID=7624490863", "https://weidian.com/item.html?itemID=7624490863")</f>
        <v>https://weidian.com/item.html?itemID=7624490863</v>
      </c>
      <c r="D105"/>
      <c r="E105" s="2" t="str">
        <f>=HYPERLINK("https://si.geilicdn.com/pcitem2014204438-17df0000019ae7d2cdb40a210256_1080_1080.jpg?w=640&amp;h=640", "https://si.geilicdn.com/pcitem2014204438-17df0000019ae7d2cdb40a210256_1080_1080.jpg?w=640&amp;h=640")</f>
        <v>https://si.geilicdn.com/pcitem2014204438-17df0000019ae7d2cdb40a210256_1080_1080.jpg?w=640&amp;h=640</v>
      </c>
      <c r="F105" t="inlineStr">
        <is>
          <t>Socks &amp; Hosiery</t>
        </is>
      </c>
      <c r="G105" t="inlineStr">
        <is>
          <t xml:space="preserve"> Louis Vuitton</t>
        </is>
      </c>
      <c r="H105">
        <v>120</v>
      </c>
      <c r="I105">
        <v>17.39</v>
      </c>
      <c r="J10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Unisex Invisible Logo Cotton Socks","refusal":null,"role":"assistant"}}],"created":1778143021,"id":"chatcmpl-DcoW5NsjezSUMUuARkD5CNIB8tPU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52,"engine_ttft_ms":1522,"engine_ttlt_ms":1988,"pre_inference_ms":149,"service_tbt_ms":53,"service_ttft_ms":2034,"service_ttlt_ms":2498,"total_duration_ms":2359,"user_visible_ttft_ms":1886},"prompt_tokens":881,"prompt_tokens_details":{"audio_tokens":0,"cached_tokens":0},"total_tokens":890}}</t>
        </is>
      </c>
      <c r="K105" t="inlineStr">
        <is>
          <t>Louis Vuitton Unisex Invisible Logo Cotton Socks</t>
        </is>
      </c>
      <c r="L10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classic black and white logo invisible socks, made of high-stretch cotton, soft, breathable, non-slip fit, unisex casual style, showcasing French luxury and daily comfort.","refusal":null,"role":"assistant"}}],"created":1778142042,"id":"chatcmpl-DcoGI0tqDJKKnpTkzVaFNztvs13M5","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96,"engine_ttft_ms":873,"engine_ttlt_ms":4509,"pre_inference_ms":165,"service_tbt_ms":96,"service_ttft_ms":1259,"service_ttlt_ms":4874,"total_duration_ms":4729,"user_visible_ttft_ms":1094},"prompt_tokens":904,"prompt_tokens_details":{"audio_tokens":0,"cached_tokens":0},"total_tokens":942}}</t>
        </is>
      </c>
      <c r="M105" t="inlineStr">
        <is>
          <t>{"alt-svc":"h3=\":443\"; ma=2592000","apim-request-id":"617f7c6e-65c6-43c3-ad75-2e65e253164f","azureml-model-session":"d20260501060506-201eb233","connection":"close","content-length":"1649","content-type":"application/json","date":"Thu, 07 May 2026 08:20:46 GMT","skip-error-remapping":"true","strict-transport-security":"max-age=31536000; includeSubDomains; preload","via":"1.1 Caddy","x-accel-buffering":"no","x-content-type-options":"nosniff","x-ms-client-request-id":"Not-Set","x-ms-is-spilled-over":"false","x-ms-rai-invoked":"true","x-ms-region":"East US 2","x-new-api-version":"v1.0.0-rc.4","x-oneapi-request-id":"202605070820411422295208268d9d6RsCV38Vu","x-ratelimit-abusepenalty-active":"False","x-ratelimit-key":"gpt-5-chat-global","x-ratelimit-limit-requests":"1000","x-ratelimit-limit-tokens":"1000000","x-ratelimit-remaining-requests":"999","x-ratelimit-remaining-tokens":"998334","x-ratelimit-renewalperiod-requests":"60","x-ratelimit-renewalperiod-tokens":"60","x-ratelimit-reset-requests":"0","x-ratelimit-reset-tokens":"0","x-request-id":"93e280d0-e3df-4a92-b515-60ef87c56b5e","x-shellapi-request-id":"202605071620418213067021489363"}</t>
        </is>
      </c>
      <c r="N105" t="inlineStr">
        <is>
          <t>Louis Vuitton classic black and white logo invisible socks, made of high-stretch cotton, soft, breathable, non-slip fit, unisex casual style, showcasing French luxury and daily comfort.</t>
        </is>
      </c>
      <c r="O10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Socks &amp; Hosiery, kakobuy, kakebuy2026, kekobuysheet, kakobuysheet2026, 2026kakobuy, kakobuyspreadsheeet, kakobuylink, kakebuylist, Kakobuy MEGA Spreadsheet, kakobuysheetfind, kakobuysheetfind2026, 2026kakobuysheetfind, kakobuysheet2026","refusal":null,"role":"assistant"}}],"created":1778143422,"id":"chatcmpl-DcocYq6c5jj67lxOMBdCNWn1047N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18,"engine_ttft_ms":709,"engine_ttlt_ms":2418,"pre_inference_ms":124,"service_tbt_ms":18,"service_ttft_ms":1101,"service_ttlt_ms":2809,"total_duration_ms":2692,"user_visible_ttft_ms":978},"prompt_tokens":786,"prompt_tokens_details":{"audio_tokens":0,"cached_tokens":0},"total_tokens":880}}</t>
        </is>
      </c>
      <c r="P105" t="inlineStr">
        <is>
          <t>Louis Vuitton, Socks &amp; Hosiery, kakobuy, kakebuy2026, kekobuysheet, kakobuysheet2026, 2026kakobuy, kakobuyspreadsheeet, kakobuylink, kakebuylist, Kakobuy MEGA Spreadsheet, kakobuysheetfind, kakobuysheetfind2026, 2026kakobuysheetfind, kakobuysheet2026</t>
        </is>
      </c>
      <c r="Q105" t="inlineStr">
        <is>
          <t>LV, Black, White, Breathable, Anti-Slip, Unisex</t>
        </is>
      </c>
      <c r="R105" t="inlineStr">
        <is>
          <t>recvhju1Cr7SjA</t>
        </is>
      </c>
      <c r="S105" t="inlineStr">
        <is>
          <t>louis-vuitton-invisible-logo-cotton-socks-recvhju1cr7sja</t>
        </is>
      </c>
      <c r="T105"/>
      <c r="U105"/>
      <c r="V105"/>
      <c r="W105" t="inlineStr">
        <is>
          <t>{"id":"chatcmpl-DcnuT3wMkEKvFh8oaAx5HZVzHlzfy","object":"chat.completion","created":1778140689,"model":"gpt-5-chat-latest","choices":[{"index":0,"message":{"role":"assistant","content":"Louis Vuitton：经典黑白Logo隐形船袜，甄选高弹棉质纤维，柔软贴合不滑脱，简约奢华设计彰显法式时尚格调，男女通用休闲系列，舒适透气日常穿搭必备。","refusal":null,"annotations":[]},"logprobs":null,"finish_reason":"stop"}],"usage":{"prompt_tokens":1305,"completion_tokens":66,"total_tokens":1371,"prompt_tokens_details":{"cached_tokens":0,"audio_tokens":0},"completion_tokens_details":{"reasoning_tokens":0,"audio_tokens":0,"accepted_prediction_tokens":0,"rejected_prediction_tokens":0},"latency_checkpoint":{"service_ttft_ms":653,"user_visible_ttft_ms":526,"total_duration_ms":2979,"pre_inference_ms":127,"service_tbt_ms":37,"service_ttlt_ms":3099,"engine_ttft_ms":391,"engine_ttlt_ms":2839,"engine_tbt_ms":37}},"service_tier":"default","system_fingerprint":"fp_fd471178c5"}</t>
        </is>
      </c>
      <c r="X105" t="inlineStr">
        <is>
          <t>Louis Vuitton：经典黑白Logo隐形船袜，甄选高弹棉质纤维，柔软贴合不滑脱，简约奢华设计彰显法式时尚格调，男女通用休闲系列，舒适透气日常穿搭必备。</t>
        </is>
      </c>
    </row>
    <row r="106" ht="25.5" customHeight="1">
      <c r="A106">
        <v>1654975475</v>
      </c>
      <c r="B106">
        <v>7624465071</v>
      </c>
      <c r="C106" s="2" t="str">
        <f>=HYPERLINK("https://weidian.com/item.html?itemID=7624465071", "https://weidian.com/item.html?itemID=7624465071")</f>
        <v>https://weidian.com/item.html?itemID=7624465071</v>
      </c>
      <c r="D106"/>
      <c r="E106" s="2" t="str">
        <f>=HYPERLINK("https://si.geilicdn.com/pcitem2014204438-13bb0000019ae7cc73870a23047e_1074_868.jpg?w=640&amp;h=640", "https://si.geilicdn.com/pcitem2014204438-13bb0000019ae7cc73870a23047e_1074_868.jpg?w=640&amp;h=640")</f>
        <v>https://si.geilicdn.com/pcitem2014204438-13bb0000019ae7cc73870a23047e_1074_868.jpg?w=640&amp;h=640</v>
      </c>
      <c r="F106" t="inlineStr">
        <is>
          <t>Socks &amp; Hosiery</t>
        </is>
      </c>
      <c r="G106" t="inlineStr">
        <is>
          <t>Hermes</t>
        </is>
      </c>
      <c r="H106">
        <v>120</v>
      </c>
      <c r="I106">
        <v>17.39</v>
      </c>
      <c r="J10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ermes Classic Logo Black Cotton Mid-Calf Socks","refusal":null,"role":"assistant"}}],"created":1778142919,"id":"chatcmpl-DcoURUFdzP84w2BG4vp0NNaCGAGFq","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18,"engine_ttft_ms":325,"engine_ttlt_ms":523,"pre_inference_ms":166,"service_tbt_ms":19,"service_ttft_ms":741,"service_ttlt_ms":939,"total_duration_ms":779,"user_visible_ttft_ms":575},"prompt_tokens":877,"prompt_tokens_details":{"audio_tokens":0,"cached_tokens":0},"total_tokens":888}}</t>
        </is>
      </c>
      <c r="K106" t="inlineStr">
        <is>
          <t>Hermes Classic Logo Black Cotton Mid-Calf Socks</t>
        </is>
      </c>
      <c r="L10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 Classic Logo Mid-Calf Socks in Black, made from premium combed cotton, soft and breathable with orange embroidered logo, unisex French elegance for everyday luxury wear.","refusal":null,"role":"assistant"}}],"created":1778142272,"id":"chatcmpl-DcoK0ijXPPyqJ7UcVzKNBVLziRpb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17,"engine_ttft_ms":875,"engine_ttlt_ms":1480,"pre_inference_ms":108,"service_tbt_ms":17,"service_ttft_ms":1774,"service_ttlt_ms":2378,"total_duration_ms":2277,"user_visible_ttft_ms":1666},"prompt_tokens":913,"prompt_tokens_details":{"audio_tokens":0,"cached_tokens":0},"total_tokens":949}}</t>
        </is>
      </c>
      <c r="M106" t="inlineStr">
        <is>
          <t>{"alt-svc":"h3=\":443\"; ma=2592000","apim-request-id":"f3415058-ccc0-4779-8a38-1e450eafaccb","azureml-model-session":"d20260428165144-a78ba574","connection":"close","content-length":"1640","content-type":"application/json","date":"Thu, 07 May 2026 08:24:34 GMT","server":"Caddy","skip-error-remapping":"true","strict-transport-security":"max-age=31536000; includeSubDomains; preload","x-accel-buffering":"no","x-content-type-options":"nosniff","x-ms-client-request-id":"Not-Set","x-ms-is-spilled-over":"false","x-ms-rai-invoked":"true","x-ms-region":"Korea Central","x-new-api-version":"v1.0.0-rc.4","x-oneapi-request-id":"20260507082431770321408268d9d6TgLfH3oX","x-ratelimit-abusepenalty-active":"False","x-ratelimit-key":"gpt-5-chat-global","x-ratelimit-limit-requests":"1000","x-ratelimit-limit-tokens":"1000000","x-ratelimit-remaining-requests":"999","x-ratelimit-remaining-tokens":"998325","x-ratelimit-renewalperiod-requests":"60","x-ratelimit-renewalperiod-tokens":"60","x-ratelimit-reset-requests":"0","x-ratelimit-reset-tokens":"0","x-request-id":"1fe55507-3789-455d-9ddb-d6b534851b55","x-shellapi-request-id":"202605071624312538511677622397"}</t>
        </is>
      </c>
      <c r="N106" t="inlineStr">
        <is>
          <t>Hermes Classic Logo Mid-Calf Socks in Black, made from premium combed cotton, soft and breathable with orange embroidered logo, unisex French elegance for everyday luxury wear.</t>
        </is>
      </c>
      <c r="O10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 Socks &amp; Hosiery, kakobuy, kakebuy2026, kekobuysheet, kakobuysheet2026, 2026kakobuy, kakobuyspreadsheeet, kakobuylink, kakebuylist, Kakobuy MEGA Spreadsheet, kakobuysheetfind, kakobuysheetfind2026, 2026kakobuysheetfind, kakobuysheet2026","refusal":null,"role":"assistant"}}],"created":1778143420,"id":"chatcmpl-DcocWM3DXf1MKPjJSuz34oeJcx2n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19,"engine_ttft_ms":333,"engine_ttlt_ms":2144,"pre_inference_ms":119,"service_tbt_ms":19,"service_ttft_ms":591,"service_ttlt_ms":2402,"total_duration_ms":2293,"user_visible_ttft_ms":472},"prompt_tokens":786,"prompt_tokens_details":{"audio_tokens":0,"cached_tokens":0},"total_tokens":880}}</t>
        </is>
      </c>
      <c r="P106" t="inlineStr">
        <is>
          <t>Hermes, Socks &amp; Hosiery, kakobuy, kakebuy2026, kekobuysheet, kakobuysheet2026, 2026kakobuy, kakobuyspreadsheeet, kakobuylink, kakebuylist, Kakobuy MEGA Spreadsheet, kakobuysheetfind, kakobuysheetfind2026, 2026kakobuysheetfind, kakobuysheet2026</t>
        </is>
      </c>
      <c r="Q106" t="inlineStr">
        <is>
          <t>Black, Unisex, Classic, Breathable</t>
        </is>
      </c>
      <c r="R106" t="inlineStr">
        <is>
          <t>recvhju1Cr9qMa</t>
        </is>
      </c>
      <c r="S106" t="inlineStr">
        <is>
          <t>hermes-classic-logo-black-cotton-mid-calf-socks-recvhju1cr9qma</t>
        </is>
      </c>
      <c r="T106"/>
      <c r="U106"/>
      <c r="V106"/>
      <c r="W106" t="inlineStr">
        <is>
          <t>{"id":"chatcmpl-DcnrCjH5MMQCbVpkR4RxVSYQgyq6F","object":"chat.completion","created":1778140486,"model":"gpt-5-chat-latest","choices":[{"index":0,"message":{"role":"assistant","content":"Hermes：经典LOGO系列黑色中筒袜，甄选高密度精梳棉材质，柔软透气，配以橙色品牌刺绣标识，细节彰显法式优雅格调，男女皆宜，休闲奢华风格，适合全年日常穿搭。","refusal":null,"annotations":[]},"logprobs":null,"finish_reason":"stop"}],"usage":{"prompt_tokens":1301,"completion_tokens":77,"total_tokens":1378,"prompt_tokens_details":{"cached_tokens":0,"audio_tokens":0},"completion_tokens_details":{"reasoning_tokens":0,"audio_tokens":0,"accepted_prediction_tokens":0,"rejected_prediction_tokens":0},"latency_checkpoint":{"service_ttft_ms":1666,"user_visible_ttft_ms":1526,"total_duration_ms":3164,"pre_inference_ms":140,"service_tbt_ms":21,"service_ttlt_ms":3293,"engine_ttft_ms":1206,"engine_ttlt_ms":2835,"engine_tbt_ms":21}},"service_tier":"default","system_fingerprint":"fp_fd471178c5"}</t>
        </is>
      </c>
      <c r="X106" t="inlineStr">
        <is>
          <t>Hermes：经典LOGO系列黑色中筒袜，甄选高密度精梳棉材质，柔软透气，配以橙色品牌刺绣标识，细节彰显法式优雅格调，男女皆宜，休闲奢华风格，适合全年日常穿搭。</t>
        </is>
      </c>
    </row>
    <row r="107" ht="25.5" customHeight="1">
      <c r="A107">
        <v>1654975475</v>
      </c>
      <c r="B107">
        <v>7624449623</v>
      </c>
      <c r="C107" s="2" t="str">
        <f>=HYPERLINK("https://weidian.com/item.html?itemID=7624449623", "https://weidian.com/item.html?itemID=7624449623")</f>
        <v>https://weidian.com/item.html?itemID=7624449623</v>
      </c>
      <c r="D107"/>
      <c r="E107" s="2" t="str">
        <f>=HYPERLINK("https://si.geilicdn.com/pcitem2014204438-12b40000019ae7b427bf0a23038e_1080_1080.jpg?w=640&amp;h=640", "https://si.geilicdn.com/pcitem2014204438-12b40000019ae7b427bf0a23038e_1080_1080.jpg?w=640&amp;h=640")</f>
        <v>https://si.geilicdn.com/pcitem2014204438-12b40000019ae7b427bf0a23038e_1080_1080.jpg?w=640&amp;h=640</v>
      </c>
      <c r="F107" t="inlineStr">
        <is>
          <t>Socks &amp; Hosiery</t>
        </is>
      </c>
      <c r="G107" t="inlineStr">
        <is>
          <t>Alo</t>
        </is>
      </c>
      <c r="H107">
        <v>120</v>
      </c>
      <c r="I107">
        <v>17.39</v>
      </c>
      <c r="J10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lo Classic Ribbed Crew Socks Unisex Cotton Gray","refusal":null,"role":"assistant"}}],"created":1778143120,"id":"chatcmpl-DcoXgLLCXrODlo83ifgaZFHcnu9YA","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146,"engine_ttft_ms":380,"engine_ttlt_ms":2134,"pre_inference_ms":198,"service_tbt_ms":149,"service_ttft_ms":665,"service_ttlt_ms":2435,"total_duration_ms":2255,"user_visible_ttft_ms":467},"prompt_tokens":881,"prompt_tokens_details":{"audio_tokens":0,"cached_tokens":0},"total_tokens":893}}</t>
        </is>
      </c>
      <c r="K107" t="inlineStr">
        <is>
          <t>Alo Classic Ribbed Crew Socks Unisex Cotton Gray</t>
        </is>
      </c>
      <c r="L10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lo Classic Ribbed Crew Socks – minimalist gray design, soft cotton blend, breathable and elastic support. Unisex sportswear for daily, gym or casual style showcasing healthy active fashion.","refusal":null,"role":"assistant"}}],"created":1778142045,"id":"chatcmpl-DcoGLl8V4qac72ofehczWGmg2iqzI","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91,"engine_ttft_ms":1015,"engine_ttlt_ms":4476,"pre_inference_ms":154,"service_tbt_ms":91,"service_ttft_ms":1445,"service_ttlt_ms":4906,"total_duration_ms":4762,"user_visible_ttft_ms":1292},"prompt_tokens":918,"prompt_tokens_details":{"audio_tokens":0,"cached_tokens":0},"total_tokens":956}}</t>
        </is>
      </c>
      <c r="M107" t="inlineStr">
        <is>
          <t>{"alt-svc":"h3=\":443\"; ma=2592000","apim-request-id":"903e9181-d21f-4f1b-9dc8-d893aab05476","azureml-model-session":"d20260501050840-f4f9d8ac","connection":"close","content-length":"1657","content-type":"application/json","date":"Thu, 07 May 2026 08:20:49 GMT","server":"Caddy","skip-error-remapping":"true","strict-transport-security":"max-age=31536000; includeSubDomains; preload","x-accel-buffering":"no","x-content-type-options":"nosniff","x-ms-client-request-id":"Not-Set","x-ms-is-spilled-over":"false","x-ms-rai-invoked":"true","x-ms-region":"Sweden Central","x-new-api-version":"v1.0.0-rc.4","x-oneapi-request-id":"202605070820441241894898268d9d6Feb8FvIF","x-ratelimit-abusepenalty-active":"False","x-ratelimit-key":"gpt-5-chat-global","x-ratelimit-limit-requests":"1000","x-ratelimit-limit-tokens":"1000000","x-ratelimit-remaining-requests":"998","x-ratelimit-remaining-tokens":"996471","x-ratelimit-renewalperiod-requests":"60","x-ratelimit-renewalperiod-tokens":"60","x-ratelimit-reset-requests":"0","x-ratelimit-reset-tokens":"0","x-request-id":"dfce5f9e-c92b-4bfe-b99a-92394607b8f5","x-shellapi-request-id":"202605071620447177976328759657"}</t>
        </is>
      </c>
      <c r="N107" t="inlineStr">
        <is>
          <t>Alo Classic Ribbed Crew Socks – minimalist gray design, soft cotton blend, breathable and elastic support. Unisex sportswear for daily, gym or casual style showcasing healthy active fashion.</t>
        </is>
      </c>
      <c r="O10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lo,Socks &amp; Hosiery,kakobuy,kakebuy2026,kekobuysheet,kakobuysheet2026,2026kakobuy,kakobuyspreadsheeet,kakobuylink,kakebuylist,Kakobuy MEGA Spreadsheet,kakobuysheetfind,kakobuysheetfind2026,2026kakobuysheetfind,kakobuysheet2026","refusal":null,"role":"assistant"}}],"created":1778143633,"id":"chatcmpl-DcofxK2wAgslHyR4FMDIe0UucwtFs","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70,"engine_ttft_ms":847,"engine_ttlt_ms":7143,"pre_inference_ms":177,"service_tbt_ms":70,"service_ttft_ms":1594,"service_ttlt_ms":7889,"total_duration_ms":7722,"user_visible_ttft_ms":1417},"prompt_tokens":786,"prompt_tokens_details":{"audio_tokens":0,"cached_tokens":0},"total_tokens":876}}</t>
        </is>
      </c>
      <c r="P107" t="inlineStr">
        <is>
          <t>Alo,Socks &amp; Hosiery,kakobuy,kakebuy2026,kekobuysheet,kakobuysheet2026,2026kakobuy,kakobuyspreadsheeet,kakobuylink,kakebuylist,Kakobuy MEGA Spreadsheet,kakobuysheetfind,kakobuysheetfind2026,2026kakobuysheetfind,kakobuysheet2026</t>
        </is>
      </c>
      <c r="Q107" t="inlineStr">
        <is>
          <t>Minimalist, Grey, Breathable, Elastic, Unisex</t>
        </is>
      </c>
      <c r="R107" t="inlineStr">
        <is>
          <t>recvhju1CrLL1x</t>
        </is>
      </c>
      <c r="S107" t="inlineStr">
        <is>
          <t>alo-classic-ribbed-crew-socks-unisex-cotton-gray-recvhju1crll1x</t>
        </is>
      </c>
      <c r="T107"/>
      <c r="U107"/>
      <c r="V107"/>
      <c r="W107" t="inlineStr">
        <is>
          <t>{"id":"chatcmpl-DcnvqebS20HuHlrjIPclwYIWzXi67","object":"chat.completion","created":1778140774,"model":"gpt-5-chat-latest","choices":[{"index":0,"message":{"role":"assistant","content":"Alo：经典中筒罗纹运动袜，简约灰色调设计，柔软棉质混纺面料，透气舒适兼具弹性支撑。极简风格搭配徽标织标点缀，男女皆宜，适合日常休闲与健身穿搭，展现健康型格魅力。","refusal":null,"annotations":[]},"logprobs":null,"finish_reason":"stop"}],"usage":{"prompt_tokens":1305,"completion_tokens":80,"total_tokens":1385,"prompt_tokens_details":{"cached_tokens":1280,"audio_tokens":0},"completion_tokens_details":{"reasoning_tokens":0,"audio_tokens":0,"accepted_prediction_tokens":0,"rejected_prediction_tokens":0},"latency_checkpoint":{"service_ttft_ms":695,"user_visible_ttft_ms":569,"total_duration_ms":13622,"pre_inference_ms":126,"service_tbt_ms":163,"service_ttlt_ms":13739,"engine_ttft_ms":505,"engine_ttlt_ms":13550,"engine_tbt_ms":163}},"service_tier":"default","system_fingerprint":"fp_fd471178c5"}</t>
        </is>
      </c>
      <c r="X107" t="inlineStr">
        <is>
          <t>Alo：经典中筒罗纹运动袜，简约灰色调设计，柔软棉质混纺面料，透气舒适兼具弹性支撑。极简风格搭配徽标织标点缀，男女皆宜，适合日常休闲与健身穿搭，展现健康型格魅力。</t>
        </is>
      </c>
    </row>
    <row r="108" ht="25.5" customHeight="1">
      <c r="A108">
        <v>1654975475</v>
      </c>
      <c r="B108">
        <v>7624378485</v>
      </c>
      <c r="C108" s="2" t="str">
        <f>=HYPERLINK("https://weidian.com/item.html?itemID=7624378485", "https://weidian.com/item.html?itemID=7624378485")</f>
        <v>https://weidian.com/item.html?itemID=7624378485</v>
      </c>
      <c r="D108"/>
      <c r="E108" s="2" t="str">
        <f>=HYPERLINK("https://si.geilicdn.com/pcitem2014204438-0dc20000019ae7b3a55a0a81347d_1080_1080.jpg?w=640&amp;h=640", "https://si.geilicdn.com/pcitem2014204438-0dc20000019ae7b3a55a0a81347d_1080_1080.jpg?w=640&amp;h=640")</f>
        <v>https://si.geilicdn.com/pcitem2014204438-0dc20000019ae7b3a55a0a81347d_1080_1080.jpg?w=640&amp;h=640</v>
      </c>
      <c r="F108" t="inlineStr">
        <is>
          <t>Socks &amp; Hosiery</t>
        </is>
      </c>
      <c r="G108" t="inlineStr">
        <is>
          <t>Alo</t>
        </is>
      </c>
      <c r="H108">
        <v>120</v>
      </c>
      <c r="I108">
        <v>17.39</v>
      </c>
      <c r="J10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Comfort Gray Mid-Calf Cotton Sport Socks","refusal":null,"role":"assistant"}}],"created":1778143046,"id":"chatcmpl-DcoWUwXFhtbWDNGSCiC6myT3n6XG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40,"engine_ttft_ms":349,"engine_ttlt_ms":788,"pre_inference_ms":142,"service_tbt_ms":41,"service_ttft_ms":627,"service_ttlt_ms":1065,"total_duration_ms":931,"user_visible_ttft_ms":485},"prompt_tokens":883,"prompt_tokens_details":{"audio_tokens":0,"cached_tokens":0},"total_tokens":894}}</t>
        </is>
      </c>
      <c r="K108" t="inlineStr">
        <is>
          <t>Alo Comfort Gray Mid-Calf Cotton Sport Socks</t>
        </is>
      </c>
      <c r="L10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 Comfort Casual Series Gray Mid-Calf Sport Socks, soft cotton blend, breathable and sweat-absorbing, minimalist logo design, unisex, versatile trendy style for active everyday wear.","refusal":null,"role":"assistant"}}],"created":1778142103,"id":"chatcmpl-DcoHHaFGeYvEchWK2QDELJZiERPS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66,"engine_ttft_ms":752,"engine_ttlt_ms":3323,"pre_inference_ms":109,"service_tbt_ms":66,"service_ttft_ms":1098,"service_ttlt_ms":3668,"total_duration_ms":3568,"user_visible_ttft_ms":989},"prompt_tokens":901,"prompt_tokens_details":{"audio_tokens":0,"cached_tokens":0},"total_tokens":940}}</t>
        </is>
      </c>
      <c r="M108" t="inlineStr">
        <is>
          <t>{"alt-svc":"h3=\":443\"; ma=2592000","apim-request-id":"cb320aae-d4cd-4f8d-b33e-44fbd14081b0","azureml-model-session":"d20260501041445-2c187743","connection":"close","content-length":"1647","content-type":"application/json","date":"Thu, 07 May 2026 08:21:47 GMT","skip-error-remapping":"true","strict-transport-security":"max-age=31536000; includeSubDomains; preload","via":"1.1 Caddy","x-accel-buffering":"no","x-content-type-options":"nosniff","x-ms-client-request-id":"Not-Set","x-ms-is-spilled-over":"false","x-ms-rai-invoked":"true","x-ms-region":"Switzerland North","x-new-api-version":"v1.0.0-rc.4","x-oneapi-request-id":"202605070821428831349968268d9d6f9XMyc6T","x-ratelimit-abusepenalty-active":"False","x-ratelimit-key":"gpt-5-chat-global","x-ratelimit-limit-requests":"1000","x-ratelimit-limit-tokens":"1000000","x-ratelimit-remaining-requests":"999","x-ratelimit-remaining-tokens":"998337","x-ratelimit-renewalperiod-requests":"60","x-ratelimit-renewalperiod-tokens":"60","x-ratelimit-reset-requests":"0","x-ratelimit-reset-tokens":"0","x-request-id":"a3e80d3d-a728-409b-8220-8dcfa4eb3523","x-shellapi-request-id":"2026050716214283136827747230719"}</t>
        </is>
      </c>
      <c r="N108" t="inlineStr">
        <is>
          <t>Alo Comfort Casual Series Gray Mid-Calf Sport Socks, soft cotton blend, breathable and sweat-absorbing, minimalist logo design, unisex, versatile trendy style for active everyday wear.</t>
        </is>
      </c>
      <c r="O10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Socks &amp; Hosiery,kakobuy,kakebuy2026,kekobuysheet,kakobuysheet2026,2026kakobuy,kakobuyspreadsheeet,kakobuylink,kakebuylist,Kakobuy MEGA Spreadsheet,kakobuysheetfind,kakobuysheetfind2026,2026kakobuysheetfind,kakobuysheet2026","refusal":null,"role":"assistant"}}],"created":1778143708,"id":"chatcmpl-DcohAXnqogcSGcVfRes7LwWviFMe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106,"engine_ttft_ms":259,"engine_ttlt_ms":9824,"pre_inference_ms":129,"service_tbt_ms":106,"service_ttft_ms":450,"service_ttlt_ms":10014,"total_duration_ms":9894,"user_visible_ttft_ms":321},"prompt_tokens":786,"prompt_tokens_details":{"audio_tokens":0,"cached_tokens":0},"total_tokens":876}}</t>
        </is>
      </c>
      <c r="P108" t="inlineStr">
        <is>
          <t>Alo,Socks &amp; Hosiery,kakobuy,kakebuy2026,kekobuysheet,kakobuysheet2026,2026kakobuy,kakobuyspreadsheeet,kakobuylink,kakebuylist,Kakobuy MEGA Spreadsheet,kakobuysheetfind,kakobuysheetfind2026,2026kakobuysheetfind,kakobuysheet2026</t>
        </is>
      </c>
      <c r="Q108" t="inlineStr">
        <is>
          <t>Gray, Minimalist, Unisex, Versatile, Breathable</t>
        </is>
      </c>
      <c r="R108" t="inlineStr">
        <is>
          <t>recvhju1CrnjYg</t>
        </is>
      </c>
      <c r="S108" t="inlineStr">
        <is>
          <t>alo-comfort-gray-mid-calf-cotton-sport-socks-recvhju1crnjyg</t>
        </is>
      </c>
      <c r="T108"/>
      <c r="U108"/>
      <c r="V108"/>
      <c r="W108" t="inlineStr">
        <is>
          <t>{"id":"chatcmpl-DcnqDT316uDP6hQuSdkqu1GzvaBAV","object":"chat.completion","created":1778140425,"model":"gpt-5-chat-latest","choices":[{"index":0,"message":{"role":"assistant","content":"Alo：舒适休闲系列灰色中筒运动袜，柔软棉质混纺材质，透气吸汗设计，简约Logo印花点缀，男女皆宜，百搭潮流风格，展现健康与活力。","refusal":null,"annotations":[]},"logprobs":null,"finish_reason":"stop"}],"usage":{"prompt_tokens":1309,"completion_tokens":61,"total_tokens":1370,"prompt_tokens_details":{"cached_tokens":0,"audio_tokens":0},"completion_tokens_details":{"reasoning_tokens":0,"audio_tokens":0,"accepted_prediction_tokens":0,"rejected_prediction_tokens":0},"latency_checkpoint":{"service_ttft_ms":1693,"user_visible_ttft_ms":1528,"total_duration_ms":10835,"pre_inference_ms":165,"service_tbt_ms":153,"service_ttlt_ms":10985,"engine_ttft_ms":983,"engine_ttlt_ms":10275,"engine_tbt_ms":152}},"service_tier":"default","system_fingerprint":"fp_fd471178c5"}</t>
        </is>
      </c>
      <c r="X108" t="inlineStr">
        <is>
          <t>Alo：舒适休闲系列灰色中筒运动袜，柔软棉质混纺材质，透气吸汗设计，简约Logo印花点缀，男女皆宜，百搭潮流风格，展现健康与活力。</t>
        </is>
      </c>
    </row>
    <row r="109" ht="25.5" customHeight="1">
      <c r="A109">
        <v>1654975475</v>
      </c>
      <c r="B109">
        <v>7624069331</v>
      </c>
      <c r="C109" s="2" t="str">
        <f>=HYPERLINK("https://weidian.com/item.html?itemID=7624069331", "https://weidian.com/item.html?itemID=7624069331")</f>
        <v>https://weidian.com/item.html?itemID=7624069331</v>
      </c>
      <c r="D109"/>
      <c r="E109" s="2" t="str">
        <f>=HYPERLINK("https://si.geilicdn.com/pcitem902014207253-651e0000019ae74b94510a20e7c7_1078_1920.jpg?w=640&amp;h=640", "https://si.geilicdn.com/pcitem902014207253-651e0000019ae74b94510a20e7c7_1078_1920.jpg?w=640&amp;h=640")</f>
        <v>https://si.geilicdn.com/pcitem902014207253-651e0000019ae74b94510a20e7c7_1078_1920.jpg?w=640&amp;h=640</v>
      </c>
      <c r="F109" t="inlineStr">
        <is>
          <t>Accessories</t>
        </is>
      </c>
      <c r="G109" t="inlineStr">
        <is>
          <t>lululemon</t>
        </is>
      </c>
      <c r="H109">
        <v>450</v>
      </c>
      <c r="I109">
        <v>65.22</v>
      </c>
      <c r="J10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Multicolor Waterproof Nylon Travel Backpack","refusal":null,"role":"assistant"}}],"created":1778143103,"id":"chatcmpl-DcoXPbrqVL1qRPBTPsZ0FOHE9CVH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55,"engine_ttft_ms":217,"engine_ttlt_ms":822,"pre_inference_ms":217,"service_tbt_ms":57,"service_ttft_ms":506,"service_ttlt_ms":1110,"total_duration_ms":913,"user_visible_ttft_ms":289},"prompt_tokens":1158,"prompt_tokens_details":{"audio_tokens":0,"cached_tokens":1152},"total_tokens":1169}}</t>
        </is>
      </c>
      <c r="K109" t="inlineStr">
        <is>
          <t>Lululemon Multicolor Waterproof Nylon Travel Backpack</t>
        </is>
      </c>
      <c r="L10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 multicolor waterproof nylon backpack with orange-red and burgundy contrast design, adjustable straps, and multiple pockets. Stylish, lightweight, unisex for commuting and outdoor travel.","refusal":null,"role":"assistant"}}],"created":1778141972,"id":"chatcmpl-DcoFAilTBfo1jpXZXKHkvS4efDlmh","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21,"engine_ttft_ms":381,"engine_ttlt_ms":1184,"pre_inference_ms":213,"service_tbt_ms":21,"service_ttft_ms":747,"service_ttlt_ms":1549,"total_duration_ms":1345,"user_visible_ttft_ms":534},"prompt_tokens":1195,"prompt_tokens_details":{"audio_tokens":0,"cached_tokens":0},"total_tokens":1233}}</t>
        </is>
      </c>
      <c r="M109" t="inlineStr">
        <is>
          <t>{"alt-svc":"h3=\":443\"; ma=2592000","apim-request-id":"f2543e8f-82e4-40b4-909f-62eb0936c0fc","azureml-model-session":"d20260428205641-55ca9797","connection":"close","content-length":"1660","content-type":"application/json","date":"Thu, 07 May 2026 08:19:34 GMT","server":"Caddy","skip-error-remapping":"true","strict-transport-security":"max-age=31536000; includeSubDomains; preload","x-accel-buffering":"no","x-content-type-options":"nosniff","x-ms-client-request-id":"Not-Set","x-ms-is-spilled-over":"false","x-ms-rai-invoked":"true","x-ms-region":"East US","x-new-api-version":"v1.0.0-rc.4","x-oneapi-request-id":"202605070819316428601038268d9d6Kyd7dK55","x-ratelimit-abusepenalty-active":"False","x-ratelimit-key":"gpt-5-chat-global","x-ratelimit-limit-requests":"1000","x-ratelimit-limit-tokens":"1000000","x-ratelimit-remaining-requests":"999","x-ratelimit-remaining-tokens":"998042","x-ratelimit-renewalperiod-requests":"60","x-ratelimit-renewalperiod-tokens":"60","x-ratelimit-reset-requests":"0","x-ratelimit-reset-tokens":"0","x-request-id":"15cb8389-47c8-4d60-a2ae-168382dea70c","x-shellapi-request-id":"2026050716193159126354998443696"}</t>
        </is>
      </c>
      <c r="N109" t="inlineStr">
        <is>
          <t>Lululemon multicolor waterproof nylon backpack with orange-red and burgundy contrast design, adjustable straps, and multiple pockets. Stylish, lightweight, unisex for commuting and outdoor travel.</t>
        </is>
      </c>
      <c r="O10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Backpack,kakobuy,kakebuy2026,kekobuysheet,kakobuysheet2026,2026kakobuy,kakobuyspreadsheeet,kakobuylink,kakebuylist,Kakobuy MEGA Spreadsheet,kakobuysheetfind,kakobuysheetfind2026,2026kakobuysheetfind,kakobuysheet2026","refusal":null,"role":"assistant"}}],"created":1778143570,"id":"chatcmpl-DcoewPGrpQK0E04GP3W5KRss05vja","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85,"engine_ttft_ms":391,"engine_ttlt_ms":8047,"pre_inference_ms":190,"service_tbt_ms":85,"service_ttft_ms":675,"service_ttlt_ms":8331,"total_duration_ms":8154,"user_visible_ttft_ms":486},"prompt_tokens":1063,"prompt_tokens_details":{"audio_tokens":0,"cached_tokens":1024},"total_tokens":1153}}</t>
        </is>
      </c>
      <c r="P109" t="inlineStr">
        <is>
          <t>Lululemon,Backpack,kakobuy,kakebuy2026,kekobuysheet,kakobuysheet2026,2026kakobuy,kakobuyspreadsheeet,kakobuylink,kakebuylist,Kakobuy MEGA Spreadsheet,kakobuysheetfind,kakobuysheetfind2026,2026kakobuysheetfind,kakobuysheet2026</t>
        </is>
      </c>
      <c r="Q109" t="inlineStr">
        <is>
          <t>Waterproof, Backpack, Nylon, Colorful, Unisex, Outdoor</t>
        </is>
      </c>
      <c r="R109" t="inlineStr">
        <is>
          <t>recvhju1Cr4pzp</t>
        </is>
      </c>
      <c r="S109" t="inlineStr">
        <is>
          <t>lululemon-multicolor-waterproof-nylon-travel-backpack-recvhju1cr4pzp</t>
        </is>
      </c>
      <c r="T109"/>
      <c r="U109"/>
      <c r="V109"/>
      <c r="W109" t="inlineStr">
        <is>
          <t>{"id":"chatcmpl-DcnjwShaXkgo6laFULm8N7Z2Dw0w8","object":"chat.completion","created":1778140036,"model":"gpt-5-chat-latest","choices":[{"index":0,"message":{"role":"assistant","content":"Lululemon 多色拼接休闲双肩包，采用轻盈防水尼龙面料，橙红与酒红撞色设计，展现运动都市风格。配有可调节肩带与多储物口袋，兼具功能性与时尚感，男女皆宜，适合通勤与户外旅行使用。","refusal":null,"annotations":[]},"logprobs":null,"finish_reason":"stop"}],"usage":{"prompt_tokens":1585,"completion_tokens":79,"total_tokens":1664,"prompt_tokens_details":{"cached_tokens":0,"audio_tokens":0},"completion_tokens_details":{"reasoning_tokens":0,"audio_tokens":0,"accepted_prediction_tokens":0,"rejected_prediction_tokens":0},"latency_checkpoint":{"service_ttft_ms":2007,"user_visible_ttft_ms":1771,"total_duration_ms":3792,"pre_inference_ms":236,"service_tbt_ms":26,"service_ttlt_ms":4020,"engine_ttft_ms":996,"engine_ttlt_ms":3009,"engine_tbt_ms":25}},"service_tier":"default","system_fingerprint":"fp_fd471178c5"}</t>
        </is>
      </c>
      <c r="X109" t="inlineStr">
        <is>
          <t>Lululemon 多色拼接休闲双肩包，采用轻盈防水尼龙面料，橙红与酒红撞色设计，展现运动都市风格。配有可调节肩带与多储物口袋，兼具功能性与时尚感，男女皆宜，适合通勤与户外旅行使用。</t>
        </is>
      </c>
    </row>
    <row r="110" ht="25.5" customHeight="1">
      <c r="A110">
        <v>1654975475</v>
      </c>
      <c r="B110">
        <v>7627080672</v>
      </c>
      <c r="C110" s="2" t="str">
        <f>=HYPERLINK("https://weidian.com/item.html?itemID=7627080672", "https://weidian.com/item.html?itemID=7627080672")</f>
        <v>https://weidian.com/item.html?itemID=7627080672</v>
      </c>
      <c r="D110"/>
      <c r="E110" s="2" t="str">
        <f>=HYPERLINK("https://si.geilicdn.com/pcitem902014207253-39490000019ae74ad6340a811411_1080_1922.jpg?w=640&amp;h=640", "https://si.geilicdn.com/pcitem902014207253-39490000019ae74ad6340a811411_1080_1922.jpg?w=640&amp;h=640")</f>
        <v>https://si.geilicdn.com/pcitem902014207253-39490000019ae74ad6340a811411_1080_1922.jpg?w=640&amp;h=640</v>
      </c>
      <c r="F110" t="inlineStr">
        <is>
          <t>Glasses</t>
        </is>
      </c>
      <c r="G110" t="inlineStr">
        <is>
          <t xml:space="preserve"> Louis Vuitton</t>
        </is>
      </c>
      <c r="H110">
        <v>520</v>
      </c>
      <c r="I110">
        <v>75.36</v>
      </c>
      <c r="J1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Blue Square Gradient Sunglasses","refusal":null,"role":"assistant"}}],"created":1778142896,"id":"chatcmpl-DcoU4Kish8g5VU18r1j03G27SIkK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completion_tokens_details":{"accepted_prediction_tokens":0,"audio_tokens":0,"reasoning_tokens":0,"rejected_prediction_tokens":0},"latency_checkpoint":{"engine_tbt_ms":15,"engine_ttft_ms":1055,"engine_ttlt_ms":1173,"pre_inference_ms":220,"service_tbt_ms":16,"service_ttft_ms":2072,"service_ttlt_ms":2189,"total_duration_ms":1977,"user_visible_ttft_ms":1852},"prompt_tokens":1144,"prompt_tokens_details":{"audio_tokens":0,"cached_tokens":1024},"total_tokens":1152}}</t>
        </is>
      </c>
      <c r="K110" t="inlineStr">
        <is>
          <t>Louis Vuitton Blue Square Gradient Sunglasses</t>
        </is>
      </c>
      <c r="L11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ouis Vuitton square blue acetate sunglasses with gradient lenses and sculpted LV logo temples. Unisex modern luxury style, perfect for casual wear and vacation looks.","refusal":null,"role":"assistant"}}],"created":1778142097,"id":"chatcmpl-DcoHBFmdbxAFukOM2XmyGVQkg0PGR","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31,"completion_tokens_details":{"accepted_prediction_tokens":0,"audio_tokens":0,"reasoning_tokens":0,"rejected_prediction_tokens":0},"latency_checkpoint":{"engine_tbt_ms":18,"engine_ttft_ms":1191,"engine_ttlt_ms":1739,"pre_inference_ms":222,"service_tbt_ms":18,"service_ttft_ms":1591,"service_ttlt_ms":2141,"total_duration_ms":1924,"user_visible_ttft_ms":1369},"prompt_tokens":1193,"prompt_tokens_details":{"audio_tokens":0,"cached_tokens":0},"total_tokens":1224}}</t>
        </is>
      </c>
      <c r="M110" t="inlineStr">
        <is>
          <t>{"alt-svc":"h3=\":443\"; ma=2592000","apim-request-id":"8602007e-1cce-4d1c-b562-d2443ef6ad82","azureml-model-session":"d20260428165144-a78ba574","connection":"close","content-length":"1634","content-type":"application/json","date":"Thu, 07 May 2026 08:21:38 GMT","server":"Caddy","skip-error-remapping":"true","strict-transport-security":"max-age=31536000; includeSubDomains; preload","x-accel-buffering":"no","x-content-type-options":"nosniff","x-ms-client-request-id":"Not-Set","x-ms-is-spilled-over":"false","x-ms-rai-invoked":"true","x-ms-region":"East US","x-new-api-version":"v1.0.0-rc.4","x-oneapi-request-id":"2026050708213689319048268d9d6L9qZjmFx","x-ratelimit-abusepenalty-active":"False","x-ratelimit-key":"gpt-5-chat-global","x-ratelimit-limit-requests":"1000","x-ratelimit-limit-tokens":"1000000","x-ratelimit-remaining-requests":"999","x-ratelimit-remaining-tokens":"998044","x-ratelimit-renewalperiod-requests":"60","x-ratelimit-renewalperiod-tokens":"60","x-ratelimit-reset-requests":"0","x-ratelimit-reset-tokens":"0","x-request-id":"9ce6358c-7690-4f56-8016-b4a7dede4be7","x-shellapi-request-id":"2026050716213595630187099952573"}</t>
        </is>
      </c>
      <c r="N110" t="inlineStr">
        <is>
          <t>Louis Vuitton square blue acetate sunglasses with gradient lenses and sculpted LV logo temples. Unisex modern luxury style, perfect for casual wear and vacation looks.</t>
        </is>
      </c>
      <c r="O1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Vuitton,Glasses,kakobuy,kakebuy2026,kekobuysheet,kakobuysheet2026,2026kakobuy,kakobuyspreadsheeet,kakobuylink,kakebuylist,Kakobuy MEGA Spreadsheet,kakobuysheetfind,kakobuysheetfind2026,2026kakobuysheetfind,kakobuysheet2026","refusal":null,"role":"assistant"}}],"created":1778143685,"id":"chatcmpl-DcognUhUB9lVG4sYZwlFnHq6WrUX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78,"engine_ttft_ms":1444,"engine_ttlt_ms":8346,"pre_inference_ms":180,"service_tbt_ms":79,"service_ttft_ms":2615,"service_ttlt_ms":9525,"total_duration_ms":9354,"user_visible_ttft_ms":2435},"prompt_tokens":1063,"prompt_tokens_details":{"audio_tokens":0,"cached_tokens":1024},"total_tokens":1151}}</t>
        </is>
      </c>
      <c r="P110" t="inlineStr">
        <is>
          <t>Louis Vuitton,Glasses,kakobuy,kakebuy2026,kekobuysheet,kakobuysheet2026,2026kakobuy,kakobuyspreadsheeet,kakobuylink,kakebuylist,Kakobuy MEGA Spreadsheet,kakobuysheetfind,kakobuysheetfind2026,2026kakobuysheetfind,kakobuysheet2026</t>
        </is>
      </c>
      <c r="Q110" t="inlineStr">
        <is>
          <t>LV, Blue, Acetate Fiber, Gradient, Modern, Unisex</t>
        </is>
      </c>
      <c r="R110" t="inlineStr">
        <is>
          <t>recvhju1CrkOIy</t>
        </is>
      </c>
      <c r="S110" t="inlineStr">
        <is>
          <t>louis-vuitton-blue-square-gradient-sunglasses-recvhju1crkoi</t>
        </is>
      </c>
      <c r="T110"/>
      <c r="U110"/>
      <c r="V110"/>
      <c r="W1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方框蓝色太阳眼镜，醋酸纤维镜框搭配渐变镜片设计，展现现代艺术感。立体雕刻LV标识点缀镜腿，融合简约与奢华元素，男女皆宜，彰显高端时尚格调，休闲及度假造型理想之选。","refusal":null,"role":"assistant"}}],"created":1778140188,"id":"chatcmpl-DcnmOrdQf0N1n4xPUcXxktSdDybsr","model":"gpt-5-chat-2025-10-03","object":"chat.completion","prompt_filter_results":[{"prompt_index":0,"content_filter_results":{"jailbreak":{"detected":false,"filtered":false}}}],"service_tier":"default","system_fingerprint":"fp_fd471178c5","usage":{"completion_tokens":81,"completion_tokens_details":{"accepted_prediction_tokens":0,"audio_tokens":0,"reasoning_tokens":0,"rejected_prediction_tokens":0},"latency_checkpoint":{"engine_tbt_ms":107,"engine_ttft_ms":1488,"engine_ttlt_ms":10183,"pre_inference_ms":195,"service_tbt_ms":108,"service_ttft_ms":2543,"service_ttlt_ms":11237,"total_duration_ms":11063,"user_visible_ttft_ms":2348},"prompt_tokens":1576,"prompt_tokens_details":{"audio_tokens":0,"cached_tokens":0},"total_tokens":1657}}</t>
        </is>
      </c>
      <c r="X110" t="inlineStr">
        <is>
          <t>Louis Vuitton：方框蓝色太阳眼镜，醋酸纤维镜框搭配渐变镜片设计，展现现代艺术感。立体雕刻LV标识点缀镜腿，融合简约与奢华元素，男女皆宜，彰显高端时尚格调，休闲及度假造型理想之选。</t>
        </is>
      </c>
    </row>
    <row r="111" ht="25.5" customHeight="1">
      <c r="A111">
        <v>1654975475</v>
      </c>
      <c r="B111">
        <v>7626971198</v>
      </c>
      <c r="C111" s="2" t="str">
        <f>=HYPERLINK("https://weidian.com/item.html?itemID=7626971198", "https://weidian.com/item.html?itemID=7626971198")</f>
        <v>https://weidian.com/item.html?itemID=7626971198</v>
      </c>
      <c r="D111"/>
      <c r="E111" s="2" t="str">
        <f>=HYPERLINK("https://si.geilicdn.com/pcitem902014207253-6fe50000019ae74a72080a207569_1440_1920.jpg?w=640&amp;h=640", "https://si.geilicdn.com/pcitem902014207253-6fe50000019ae74a72080a207569_1440_1920.jpg?w=640&amp;h=640")</f>
        <v>https://si.geilicdn.com/pcitem902014207253-6fe50000019ae74a72080a207569_1440_1920.jpg?w=640&amp;h=640</v>
      </c>
      <c r="F111" t="inlineStr">
        <is>
          <t>Glasses</t>
        </is>
      </c>
      <c r="G111" t="inlineStr">
        <is>
          <t>Fendi</t>
        </is>
      </c>
      <c r="H111">
        <v>320</v>
      </c>
      <c r="I111">
        <v>46.38</v>
      </c>
      <c r="J11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Fendi FF Off-White Square Gradient Brown Sunglasses","refusal":null,"role":"assistant"}}],"created":1778143108,"id":"chatcmpl-DcoXUaApkbbRosEM2vsLo3Cf2K9C1","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102,"engine_ttft_ms":820,"engine_ttlt_ms":2049,"pre_inference_ms":151,"service_tbt_ms":103,"service_ttft_ms":1532,"service_ttlt_ms":2761,"total_duration_ms":2622,"user_visible_ttft_ms":1381},"prompt_tokens":880,"prompt_tokens_details":{"audio_tokens":0,"cached_tokens":0},"total_tokens":892}}</t>
        </is>
      </c>
      <c r="K111" t="inlineStr">
        <is>
          <t>Fendi FF Off-White Square Gradient Brown Sunglasses</t>
        </is>
      </c>
      <c r="L11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Fendi FF Series Off-White Square Sunglasses – lightweight acetate frame with gradient brown lenses, retro-chic style for men and women, combining Italian elegance, fashion, and UV protection.","refusal":null,"role":"assistant"}}],"created":1778142118,"id":"chatcmpl-DcoHWOBo4b9FSSTyTbfR5lEHvF3R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68,"engine_ttft_ms":878,"engine_ttlt_ms":3542,"pre_inference_ms":122,"service_tbt_ms":69,"service_ttft_ms":1308,"service_ttlt_ms":3971,"total_duration_ms":3860,"user_visible_ttft_ms":1187},"prompt_tokens":893,"prompt_tokens_details":{"audio_tokens":0,"cached_tokens":0},"total_tokens":932}}</t>
        </is>
      </c>
      <c r="M111" t="inlineStr">
        <is>
          <t>{"alt-svc":"h3=\":443\"; ma=2592000","apim-request-id":"ccfad092-60f3-43b8-a01f-913a9c61d0f6","azureml-model-session":"d20260501050840-08dc6769","connection":"close","content-length":"1657","content-type":"application/json","date":"Thu, 07 May 2026 08:22:01 GMT","skip-error-remapping":"true","strict-transport-security":"max-age=31536000; includeSubDomains; preload","via":"1.1 Caddy","x-accel-buffering":"no","x-content-type-options":"nosniff","x-ms-client-request-id":"Not-Set","x-ms-is-spilled-over":"false","x-ms-rai-invoked":"true","x-ms-region":"Switzerland West","x-new-api-version":"v1.0.0-rc.4","x-oneapi-request-id":"202605070821573968890798268d9d6V4Bf1eRR","x-ratelimit-abusepenalty-active":"False","x-ratelimit-key":"gpt-5-chat-global","x-ratelimit-limit-requests":"1000","x-ratelimit-limit-tokens":"1000000","x-ratelimit-remaining-requests":"999","x-ratelimit-remaining-tokens":"998345","x-ratelimit-renewalperiod-requests":"60","x-ratelimit-renewalperiod-tokens":"60","x-ratelimit-reset-requests":"0","x-ratelimit-reset-tokens":"0","x-request-id":"8a2cc032-fffd-426f-9abc-88570300a000","x-shellapi-request-id":"2026050716215733827621005165746"}</t>
        </is>
      </c>
      <c r="N111" t="inlineStr">
        <is>
          <t>Fendi FF Series Off-White Square Sunglasses – lightweight acetate frame with gradient brown lenses, retro-chic style for men and women, combining Italian elegance, fashion, and UV protection.</t>
        </is>
      </c>
      <c r="O11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Fendi,Glasses,kakobuy,kakebuy2026,kekobuysheet,kakobuysheet2026,2026kakobuy,kakobuyspreadsheeet,kakobuylink,kakebuylist,Kakobuy MEGA Spreadsheet,kakobuysheetfind,kakobuysheetfind2026,2026kakobuysheetfind,kakobuysheet2026","refusal":null,"role":"assistant"}}],"created":1778143724,"id":"chatcmpl-DcohQ2mZlHcHWaboUiVxNRs3agKP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20,"engine_ttft_ms":997,"engine_ttlt_ms":2785,"pre_inference_ms":126,"service_tbt_ms":20,"service_ttft_ms":1916,"service_ttlt_ms":3702,"total_duration_ms":3583,"user_visible_ttft_ms":1789},"prompt_tokens":783,"prompt_tokens_details":{"audio_tokens":0,"cached_tokens":0},"total_tokens":871}}</t>
        </is>
      </c>
      <c r="P111" t="inlineStr">
        <is>
          <t>Fendi,Glasses,kakobuy,kakebuy2026,kekobuysheet,kakobuysheet2026,2026kakobuy,kakobuyspreadsheeet,kakobuylink,kakebuylist,Kakobuy MEGA Spreadsheet,kakobuysheetfind,kakobuysheetfind2026,2026kakobuysheetfind,kakobuysheet2026</t>
        </is>
      </c>
      <c r="Q111" t="inlineStr">
        <is>
          <t>Lightweight, Gradient, Retro, Unisex, Anti-Ultraviolet, Fashion</t>
        </is>
      </c>
      <c r="R111" t="inlineStr">
        <is>
          <t>recvhju1CrvkJu</t>
        </is>
      </c>
      <c r="S111" t="inlineStr">
        <is>
          <t>fendi-ff-off-white-square-gradient-brown-sunglasses-recvhju1crvkju</t>
        </is>
      </c>
      <c r="T111"/>
      <c r="U111"/>
      <c r="V111"/>
      <c r="W111" t="inlineStr">
        <is>
          <t>{"id":"chatcmpl-DcntzecB970uqCuWMMADAT7GMPFTq","object":"chat.completion","created":1778140659,"model":"gpt-5-chat-latest","choices":[{"index":0,"message":{"role":"assistant","content":"Fendi：FF系列米白色方框太阳镜，轻盈醋酸纤维材质搭配渐变茶色镜片，复古摩登设计，彰显意式优雅气质，男女皆宜，时尚与防护并存。","refusal":null,"annotations":[]},"logprobs":null,"finish_reason":"stop"}],"usage":{"prompt_tokens":1298,"completion_tokens":60,"total_tokens":1358,"prompt_tokens_details":{"cached_tokens":1280,"audio_tokens":0},"completion_tokens_details":{"reasoning_tokens":0,"audio_tokens":0,"accepted_prediction_tokens":0,"rejected_prediction_tokens":0},"latency_checkpoint":{"service_ttft_ms":543,"user_visible_ttft_ms":384,"total_duration_ms":7025,"pre_inference_ms":159,"service_tbt_ms":111,"service_ttlt_ms":7173,"engine_ttft_ms":315,"engine_ttlt_ms":6946,"engine_tbt_ms":111}},"service_tier":"default","system_fingerprint":"fp_fd471178c5"}</t>
        </is>
      </c>
      <c r="X111" t="inlineStr">
        <is>
          <t>Fendi：FF系列米白色方框太阳镜，轻盈醋酸纤维材质搭配渐变茶色镜片，复古摩登设计，彰显意式优雅气质，男女皆宜，时尚与防护并存。</t>
        </is>
      </c>
    </row>
    <row r="112" ht="25.5" customHeight="1">
      <c r="A112">
        <v>1654975475</v>
      </c>
      <c r="B112">
        <v>7624079297</v>
      </c>
      <c r="C112" s="2" t="str">
        <f>=HYPERLINK("https://weidian.com/item.html?itemID=7624079297", "https://weidian.com/item.html?itemID=7624079297")</f>
        <v>https://weidian.com/item.html?itemID=7624079297</v>
      </c>
      <c r="D112"/>
      <c r="E112" s="2" t="str">
        <f>=HYPERLINK("https://si.geilicdn.com/pcitem902014207253-6f590000019ae74905100a2301b4_1440_1920.jpg?w=640&amp;h=640", "https://si.geilicdn.com/pcitem902014207253-6f590000019ae74905100a2301b4_1440_1920.jpg?w=640&amp;h=640")</f>
        <v>https://si.geilicdn.com/pcitem902014207253-6f590000019ae74905100a2301b4_1440_1920.jpg?w=640&amp;h=640</v>
      </c>
      <c r="F112" t="inlineStr">
        <is>
          <t>Accessories</t>
        </is>
      </c>
      <c r="G112" t="inlineStr">
        <is>
          <t>The North Face</t>
        </is>
      </c>
      <c r="H112">
        <v>420</v>
      </c>
      <c r="I112">
        <v>60.87</v>
      </c>
      <c r="J11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Multifunctional Water-Resistant Travel Backpack","refusal":null,"role":"assistant"}}],"created":1778142860,"id":"chatcmpl-DcoTUoslISykuxdhy1Ay7WB1gkhJ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81,"engine_ttft_ms":1107,"engine_ttlt_ms":2162,"pre_inference_ms":167,"service_tbt_ms":83,"service_ttft_ms":1640,"service_ttlt_ms":2694,"total_duration_ms":2548,"user_visible_ttft_ms":1472},"prompt_tokens":874,"prompt_tokens_details":{"audio_tokens":0,"cached_tokens":0},"total_tokens":887}}</t>
        </is>
      </c>
      <c r="K112" t="inlineStr">
        <is>
          <t>The North Face Multifunctional Water-Resistant Travel Backpack</t>
        </is>
      </c>
      <c r="L11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multifunctional backpack features durable water-resistant nylon, ergonomic support, front mesh with elastic cord, and a mini pouch. Ideal for urban commutes and outdoor travel.","refusal":null,"role":"assistant"}}],"created":1778141982,"id":"chatcmpl-DcoFK9sOsjS1iuuVHWjJlB2pe3dv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77,"engine_ttft_ms":1472,"engine_ttlt_ms":4234,"pre_inference_ms":135,"service_tbt_ms":77,"service_ttft_ms":2029,"service_ttlt_ms":4790,"total_duration_ms":4667,"user_visible_ttft_ms":1894},"prompt_tokens":927,"prompt_tokens_details":{"audio_tokens":0,"cached_tokens":0},"total_tokens":963}}</t>
        </is>
      </c>
      <c r="M112" t="inlineStr">
        <is>
          <t>{"alt-svc":"h3=\":443\"; ma=2592000","apim-request-id":"e3d3f4c7-51f6-478a-a3e6-280a1830633c","azureml-model-session":"d20260501041445-2c187743","connection":"close","content-length":"1656","content-type":"application/json","date":"Thu, 07 May 2026 08:19:46 GMT","server":"Caddy","skip-error-remapping":"true","strict-transport-security":"max-age=31536000; includeSubDomains; preload","x-accel-buffering":"no","x-content-type-options":"nosniff","x-ms-client-request-id":"Not-Set","x-ms-is-spilled-over":"false","x-ms-rai-invoked":"true","x-ms-region":"Korea Central","x-new-api-version":"v1.0.0-rc.4","x-oneapi-request-id":"202605070819405767227508268d9d646o18s82","x-ratelimit-abusepenalty-active":"False","x-ratelimit-key":"gpt-5-chat-global","x-ratelimit-limit-requests":"1000","x-ratelimit-limit-tokens":"1000000","x-ratelimit-remaining-requests":"999","x-ratelimit-remaining-tokens":"998311","x-ratelimit-renewalperiod-requests":"60","x-ratelimit-renewalperiod-tokens":"60","x-ratelimit-reset-requests":"0","x-ratelimit-reset-tokens":"0","x-request-id":"9c6ed669-28e0-4c78-9d16-5be33c9901f3","x-shellapi-request-id":"2026050716194052260875034268005"}</t>
        </is>
      </c>
      <c r="N112" t="inlineStr">
        <is>
          <t>The North Face multifunctional backpack features durable water-resistant nylon, ergonomic support, front mesh with elastic cord, and a mini pouch. Ideal for urban commutes and outdoor travel.</t>
        </is>
      </c>
      <c r="O11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Accessories, kakobuy, kakebuy2026, kekobuysheet, kakobuysheet2026, 2026kakobuy, kakobuyspreadsheeet, kakobuylink, kakebuylist, Kakobuy MEGA Spreadsheet, kakobuysheetfind, kakobuysheetfind2026, 2026kakobuysheetfind, kakobuysheet2026","refusal":null,"role":"assistant"}}],"created":1778143463,"id":"chatcmpl-DcodDJM4aFo9OF2bE1ZLLF3qDwO9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117,"engine_ttft_ms":715,"engine_ttlt_ms":11516,"pre_inference_ms":118,"service_tbt_ms":118,"service_ttft_ms":1061,"service_ttlt_ms":11862,"total_duration_ms":11754,"user_visible_ttft_ms":943},"prompt_tokens":783,"prompt_tokens_details":{"audio_tokens":0,"cached_tokens":0},"total_tokens":875}}</t>
        </is>
      </c>
      <c r="P112" t="inlineStr">
        <is>
          <t>The North Face, Accessories, kakobuy, kakebuy2026, kekobuysheet, kakobuysheet2026, 2026kakobuy, kakobuyspreadsheeet, kakobuylink, kakebuylist, Kakobuy MEGA Spreadsheet, kakobuysheetfind, kakobuysheetfind2026, 2026kakobuysheetfind, kakobuysheet2026</t>
        </is>
      </c>
      <c r="Q112" t="inlineStr">
        <is>
          <t>Backpack, Nylon, Waterproof, Outdoor, Unisex, Multi-Purpose</t>
        </is>
      </c>
      <c r="R112" t="inlineStr">
        <is>
          <t>recvhju1CrIn4T</t>
        </is>
      </c>
      <c r="S112" t="inlineStr">
        <is>
          <t>the-north-face-multifunctional-water-resistant-travel-backpack-recvhju1crin4t</t>
        </is>
      </c>
      <c r="T112"/>
      <c r="U112"/>
      <c r="V112"/>
      <c r="W11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黑色多功能登山双肩包，采用耐磨防泼水尼龙面料，正面网格与弹力绳设计，兼具收纳与装饰效果。人体工学背负系统舒适减压，附小型便携包，适合男女通用。都市通勤与户外旅行皆宜，简约硬朗风格彰显品牌探险精神。","refusal":null,"role":"assistant"}}],"created":1778140361,"id":"chatcmpl-DcnpBFAUsMkiTD7E3iFJuV5UcJlc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93,"completion_tokens_details":{"accepted_prediction_tokens":0,"audio_tokens":0,"reasoning_tokens":0,"rejected_prediction_tokens":0},"latency_checkpoint":{"engine_tbt_ms":235,"engine_ttft_ms":5883,"engine_ttlt_ms":27719,"pre_inference_ms":135,"service_tbt_ms":235,"service_ttft_ms":6576,"service_ttlt_ms":28412,"total_duration_ms":28285,"user_visible_ttft_ms":6442},"prompt_tokens":1301,"prompt_tokens_details":{"audio_tokens":0,"cached_tokens":1280},"total_tokens":1394}}</t>
        </is>
      </c>
      <c r="X112" t="inlineStr">
        <is>
          <t>The North Face 黑色多功能登山双肩包，采用耐磨防泼水尼龙面料，正面网格与弹力绳设计，兼具收纳与装饰效果。人体工学背负系统舒适减压，附小型便携包，适合男女通用。都市通勤与户外旅行皆宜，简约硬朗风格彰显品牌探险精神。</t>
        </is>
      </c>
    </row>
    <row r="113" ht="25.5" customHeight="1">
      <c r="A113">
        <v>1654975475</v>
      </c>
      <c r="B113">
        <v>7623896805</v>
      </c>
      <c r="C113" s="2" t="str">
        <f>=HYPERLINK("https://weidian.com/item.html?itemID=7623896805", "https://weidian.com/item.html?itemID=7623896805")</f>
        <v>https://weidian.com/item.html?itemID=7623896805</v>
      </c>
      <c r="D113"/>
      <c r="E113" s="2" t="str">
        <f>=HYPERLINK("https://si.geilicdn.com/pcitem2014204438-716b0000019ae4a01c1e0a230115_1440_1919.jpg?w=640&amp;h=640", "https://si.geilicdn.com/pcitem2014204438-716b0000019ae4a01c1e0a230115_1440_1919.jpg?w=640&amp;h=640")</f>
        <v>https://si.geilicdn.com/pcitem2014204438-716b0000019ae4a01c1e0a230115_1440_1919.jpg?w=640&amp;h=640</v>
      </c>
      <c r="F113" t="inlineStr">
        <is>
          <t>Accessories</t>
        </is>
      </c>
      <c r="G113" t="inlineStr">
        <is>
          <t>FILA</t>
        </is>
      </c>
      <c r="H113">
        <v>320</v>
      </c>
      <c r="I113">
        <v>46.38</v>
      </c>
      <c r="J11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FILA Beige Waterproof Nylon Casual Travel Backpack","refusal":null,"role":"assistant"}}],"created":1778142939,"id":"chatcmpl-DcoUlMccUJbsQMfHHL1SVZVituGe4","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37,"engine_ttft_ms":750,"engine_ttlt_ms":1085,"pre_inference_ms":247,"service_tbt_ms":38,"service_ttft_ms":1307,"service_ttlt_ms":1641,"total_duration_ms":1403,"user_visible_ttft_ms":1060},"prompt_tokens":878,"prompt_tokens_details":{"audio_tokens":0,"cached_tokens":0},"total_tokens":887}}</t>
        </is>
      </c>
      <c r="K113" t="inlineStr">
        <is>
          <t>FILA Beige Waterproof Nylon Casual Travel Backpack</t>
        </is>
      </c>
      <c r="L11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FILA Beige Urban Casual Backpack: lightweight waterproof nylon, flap and drawstring design with metal buckles. Multi-pocket large capacity, unisex, simple retro sporty style for commute and travel.","refusal":null,"role":"assistant"}}],"created":1778142030,"id":"chatcmpl-DcoG6BalKN75StVw2Du1XsLi0wfkW","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39,"completion_tokens_details":{"accepted_prediction_tokens":0,"audio_tokens":0,"reasoning_tokens":0,"rejected_prediction_tokens":0},"latency_checkpoint":{"engine_tbt_ms":93,"engine_ttft_ms":909,"engine_ttlt_ms":4533,"pre_inference_ms":210,"service_tbt_ms":93,"service_ttft_ms":1422,"service_ttlt_ms":5047,"total_duration_ms":4845,"user_visible_ttft_ms":1212},"prompt_tokens":917,"prompt_tokens_details":{"audio_tokens":0,"cached_tokens":0},"total_tokens":956}}</t>
        </is>
      </c>
      <c r="M113" t="inlineStr">
        <is>
          <t>{"alt-svc":"h3=\":443\"; ma=2592000","apim-request-id":"1782e67e-d6d1-41e2-9d11-1992129c0bf3","azureml-model-session":"d20260501041445-2c187743","connection":"close","content-length":"1661","content-type":"application/json","date":"Thu, 07 May 2026 08:20:35 GMT","skip-error-remapping":"true","strict-transport-security":"max-age=31536000; includeSubDomains; preload","via":"1.1 Caddy","x-accel-buffering":"no","x-content-type-options":"nosniff","x-ms-client-request-id":"Not-Set","x-ms-is-spilled-over":"false","x-ms-rai-invoked":"true","x-ms-region":"Sweden Central","x-new-api-version":"v1.0.0-rc.4","x-oneapi-request-id":"202605070820296310075258268d9d60nLt7xwV","x-ratelimit-abusepenalty-active":"False","x-ratelimit-key":"gpt-5-chat-global","x-ratelimit-limit-requests":"1000","x-ratelimit-limit-tokens":"1000000","x-ratelimit-remaining-requests":"999","x-ratelimit-remaining-tokens":"998321","x-ratelimit-renewalperiod-requests":"60","x-ratelimit-renewalperiod-tokens":"60","x-ratelimit-reset-requests":"0","x-ratelimit-reset-tokens":"0","x-request-id":"53087c69-37d0-4ee8-98d1-ecd7a2fd038e","x-shellapi-request-id":"2026050716202944231784832170499"}</t>
        </is>
      </c>
      <c r="N113" t="inlineStr">
        <is>
          <t>FILA Beige Urban Casual Backpack: lightweight waterproof nylon, flap and drawstring design with metal buckles. Multi-pocket large capacity, unisex, simple retro sporty style for commute and travel.</t>
        </is>
      </c>
      <c r="O11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FILA,Backpack,kakobuy,kakebuy2026,kekobuysheet,kakobuysheet2026,2026kakobuy,kakobuyspreadsheeet,kakobuylink,kakebuylist,Kakobuy MEGA Spreadsheet,kakobuysheetfind,kakobuysheetfind2026,2026kakobuysheetfind,kakobuysheet2026","refusal":null,"role":"assistant"}}],"created":1778143341,"id":"chatcmpl-DcobFBFghNmbYkXbF0OfpSzgbiiF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88,"completion_tokens_details":{"accepted_prediction_tokens":0,"audio_tokens":0,"reasoning_tokens":0,"rejected_prediction_tokens":0},"latency_checkpoint":{"engine_tbt_ms":17,"engine_ttft_ms":1069,"engine_ttlt_ms":2564,"pre_inference_ms":144,"service_tbt_ms":17,"service_ttft_ms":2045,"service_ttlt_ms":3539,"total_duration_ms":3402,"user_visible_ttft_ms":1901},"prompt_tokens":782,"prompt_tokens_details":{"audio_tokens":0,"cached_tokens":0},"total_tokens":870}}</t>
        </is>
      </c>
      <c r="P113" t="inlineStr">
        <is>
          <t>FILA,Backpack,kakobuy,kakebuy2026,kekobuysheet,kakobuysheet2026,2026kakobuy,kakobuyspreadsheeet,kakobuylink,kakebuylist,Kakobuy MEGA Spreadsheet,kakobuysheetfind,kakobuysheetfind2026,2026kakobuysheetfind,kakobuysheet2026</t>
        </is>
      </c>
      <c r="Q113" t="inlineStr">
        <is>
          <t>FILA, Backpack, Beige, Unisex, Retro, Waterproof</t>
        </is>
      </c>
      <c r="R113" t="inlineStr">
        <is>
          <t>recvhju1CrUPeP</t>
        </is>
      </c>
      <c r="S113" t="inlineStr">
        <is>
          <t>fila-beige-waterproof-nylon-casual-travel-backpack-recvhju1cruppet</t>
        </is>
      </c>
      <c r="T113"/>
      <c r="U113"/>
      <c r="V113"/>
      <c r="W113" t="inlineStr">
        <is>
          <t>{"id":"chatcmpl-Dcnlnc3S77N1JFKHdy2s7Je1DMzpW","object":"chat.completion","created":1778140151,"model":"gpt-5-chat-latest","choices":[{"index":0,"message":{"role":"assistant","content":"FILA：米色都市休闲双肩背包，轻质尼龙面料防水耐磨，翻盖抽绳设计搭配金属扣件，兼具功能与时尚感。多口袋大容量结构实用便捷，适合男女通用，展现简约复古运动风格，轻松应对通勤与旅行需求。","refusal":null,"annotations":[]},"logprobs":null,"finish_reason":"stop"}],"usage":{"prompt_tokens":1303,"completion_tokens":83,"total_tokens":1386,"prompt_tokens_details":{"cached_tokens":0,"audio_tokens":0},"completion_tokens_details":{"reasoning_tokens":0,"audio_tokens":0,"accepted_prediction_tokens":0,"rejected_prediction_tokens":0},"latency_checkpoint":{"service_ttft_ms":1030,"user_visible_ttft_ms":826,"total_duration_ms":14394,"pre_inference_ms":204,"service_tbt_ms":163,"service_ttlt_ms":14355,"engine_ttft_ms":745,"engine_ttlt_ms":14071,"engine_tbt_ms":161}},"service_tier":"default","system_fingerprint":"fp_fd471178c5"}</t>
        </is>
      </c>
      <c r="X113" t="inlineStr">
        <is>
          <t>FILA：米色都市休闲双肩背包，轻质尼龙面料防水耐磨，翻盖抽绳设计搭配金属扣件，兼具功能与时尚感。多口袋大容量结构实用便捷，适合男女通用，展现简约复古运动风格，轻松应对通勤与旅行需求。</t>
        </is>
      </c>
    </row>
    <row r="114" ht="25.5" customHeight="1">
      <c r="A114">
        <v>1654975475</v>
      </c>
      <c r="B114">
        <v>7626900190</v>
      </c>
      <c r="C114" s="2" t="str">
        <f>=HYPERLINK("https://weidian.com/item.html?itemID=7626900190", "https://weidian.com/item.html?itemID=7626900190")</f>
        <v>https://weidian.com/item.html?itemID=7626900190</v>
      </c>
      <c r="D114"/>
      <c r="E114" s="2" t="str">
        <f>=HYPERLINK("https://si.geilicdn.com/pcitem2014204438-60720000019ae4956e390a231177_1080_1440.jpg?w=640&amp;h=640", "https://si.geilicdn.com/pcitem2014204438-60720000019ae4956e390a231177_1080_1440.jpg?w=640&amp;h=640")</f>
        <v>https://si.geilicdn.com/pcitem2014204438-60720000019ae4956e390a231177_1080_1440.jpg?w=640&amp;h=640</v>
      </c>
      <c r="F114" t="inlineStr">
        <is>
          <t>Accessories</t>
        </is>
      </c>
      <c r="G114" t="inlineStr">
        <is>
          <t>The North Face</t>
        </is>
      </c>
      <c r="H114">
        <v>300</v>
      </c>
      <c r="I114">
        <v>43.48</v>
      </c>
      <c r="J11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Milk Almond Outdoor Backpack","refusal":null,"role":"assistant"}}],"created":1778142817,"id":"chatcmpl-DcoSncpBRlqYtG9jlR5u3qX4kCIl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completion_tokens_details":{"accepted_prediction_tokens":0,"audio_tokens":0,"reasoning_tokens":0,"rejected_prediction_tokens":0},"latency_checkpoint":{"engine_tbt_ms":22,"engine_ttft_ms":782,"engine_ttlt_ms":956,"pre_inference_ms":126,"service_tbt_ms":23,"service_ttft_ms":1231,"service_ttlt_ms":1403,"total_duration_ms":1287,"user_visible_ttft_ms":1104},"prompt_tokens":882,"prompt_tokens_details":{"audio_tokens":0,"cached_tokens":0},"total_tokens":890}}</t>
        </is>
      </c>
      <c r="K114" t="inlineStr">
        <is>
          <t>The North Face Milk Almond Outdoor Backpack</t>
        </is>
      </c>
      <c r="L11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milk almond outdoor backpack, made of durable water‑repellent nylon, features a sleek curved design, lightweight comfort, multi‑compartment storage, unisex for commute and leisure.","refusal":null,"role":"assistant"}}],"created":1778142121,"id":"chatcmpl-DcoHZLulrYZOMBTEUlo6mHKQ6oz45","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40,"completion_tokens_details":{"accepted_prediction_tokens":0,"audio_tokens":0,"reasoning_tokens":0,"rejected_prediction_tokens":0},"latency_checkpoint":{"engine_tbt_ms":63,"engine_ttft_ms":774,"engine_ttlt_ms":3275,"pre_inference_ms":221,"service_tbt_ms":63,"service_ttft_ms":1234,"service_ttlt_ms":3735,"total_duration_ms":3526,"user_visible_ttft_ms":1013},"prompt_tokens":897,"prompt_tokens_details":{"audio_tokens":0,"cached_tokens":0},"total_tokens":937}}</t>
        </is>
      </c>
      <c r="M114" t="inlineStr">
        <is>
          <t>{"alt-svc":"h3=\":443\"; ma=2592000","apim-request-id":"c59f34b4-7826-4026-8342-0592c7c431d8","azureml-model-session":"d20260501050840-f4f9d8ac","connection":"close","content-length":"1663","content-type":"application/json","date":"Thu, 07 May 2026 08:22:04 GMT","skip-error-remapping":"true","strict-transport-security":"max-age=31536000; includeSubDomains; preload","via":"1.1 Caddy","x-accel-buffering":"no","x-content-type-options":"nosniff","x-ms-client-request-id":"Not-Set","x-ms-is-spilled-over":"false","x-ms-rai-invoked":"true","x-ms-region":"Switzerland North","x-new-api-version":"v1.0.0-rc.4","x-oneapi-request-id":"202605070822004901590448268d9d69dRFCTaG","x-ratelimit-abusepenalty-active":"False","x-ratelimit-key":"gpt-5-chat-global","x-ratelimit-limit-requests":"1000","x-ratelimit-limit-tokens":"1000000","x-ratelimit-remaining-requests":"999","x-ratelimit-remaining-tokens":"995261","x-ratelimit-renewalperiod-requests":"60","x-ratelimit-renewalperiod-tokens":"60","x-ratelimit-reset-requests":"0","x-ratelimit-reset-tokens":"0","x-request-id":"853a535b-493a-4902-9d43-29341f303e4b","x-shellapi-request-id":"2026050716220043870712418271751"}</t>
        </is>
      </c>
      <c r="N114" t="inlineStr">
        <is>
          <t>The North Face milk almond outdoor backpack, made of durable water‑repellent nylon, features a sleek curved design, lightweight comfort, multi‑compartment storage, unisex for commute and leisure.</t>
        </is>
      </c>
      <c r="O11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Backpack, kakobuy, kakebuy2026, kekobuysheet, kakobuysheet2026, 2026kakobuy, kakobuyspreadsheeet, kakobuylink, kakebuylist, Kakobuy MEGA Spreadsheet, kakobuysheetfind, kakobuysheetfind2026, 2026kakobuysheetfind, kakobuysheet2026","refusal":null,"role":"assistant"}}],"created":1778143754,"id":"chatcmpl-DcohukNBxpECt9OBePlmi1hJRdNgB","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22,"engine_ttft_ms":825,"engine_ttlt_ms":2803,"pre_inference_ms":232,"service_tbt_ms":22,"service_ttft_ms":1877,"service_ttlt_ms":3857,"total_duration_ms":3630,"user_visible_ttft_ms":1644},"prompt_tokens":783,"prompt_tokens_details":{"audio_tokens":0,"cached_tokens":0},"total_tokens":875}}</t>
        </is>
      </c>
      <c r="P114" t="inlineStr">
        <is>
          <t>The North Face, Backpack, kakobuy, kakebuy2026, kekobuysheet, kakobuysheet2026, 2026kakobuy, kakobuyspreadsheeet, kakobuylink, kakebuylist, Kakobuy MEGA Spreadsheet, kakobuysheetfind, kakobuysheetfind2026, 2026kakobuysheetfind, kakobuysheet2026</t>
        </is>
      </c>
      <c r="Q114" t="inlineStr">
        <is>
          <t>Backpack, Nylon, Sleek, Unisex, Outdoor, Waterproof</t>
        </is>
      </c>
      <c r="R114" t="inlineStr">
        <is>
          <t>recvhju1CrYcpO</t>
        </is>
      </c>
      <c r="S114" t="inlineStr">
        <is>
          <t>the-north-face-milk-almond-backpack-recvhju1crycpo</t>
        </is>
      </c>
      <c r="T114"/>
      <c r="U114"/>
      <c r="V114"/>
      <c r="W114" t="inlineStr">
        <is>
          <t>{"id":"chatcmpl-DcnpWZ9qltctGWTlg2XqkHEFKZRiJ","object":"chat.completion","created":1778140382,"model":"gpt-5-chat-latest","choices":[{"index":0,"message":{"role":"assistant","content":"The North Face 奶杏色户外背包，采用耐磨防泼尼龙面料，简约弧形设计，轻盈舒适，多隔层收纳灵活，男女皆宜，通勤休闲皆适用，展现都市户外轻潮风格。","refusal":null,"annotations":[]},"logprobs":null,"finish_reason":"stop"}],"usage":{"prompt_tokens":1297,"completion_tokens":66,"total_tokens":1363,"prompt_tokens_details":{"cached_tokens":0,"audio_tokens":0},"completion_tokens_details":{"reasoning_tokens":0,"audio_tokens":0,"accepted_prediction_tokens":0,"rejected_prediction_tokens":0},"latency_checkpoint":{"service_ttft_ms":1885,"user_visible_ttft_ms":1666,"total_duration_ms":3097,"pre_inference_ms":219,"service_tbt_ms":22,"service_ttlt_ms":3310,"engine_ttft_ms":887,"engine_ttlt_ms":2310,"engine_tbt_ms":22}},"service_tier":"default","system_fingerprint":"fp_fd471178c5"}</t>
        </is>
      </c>
      <c r="X114" t="inlineStr">
        <is>
          <t>The North Face 奶杏色户外背包，采用耐磨防泼尼龙面料，简约弧形设计，轻盈舒适，多隔层收纳灵活，男女皆宜，通勤休闲皆适用，展现都市户外轻潮风格。</t>
        </is>
      </c>
    </row>
    <row r="115" ht="25.5" customHeight="1">
      <c r="A115">
        <v>1654975475</v>
      </c>
      <c r="B115">
        <v>7623817523</v>
      </c>
      <c r="C115" s="2" t="str">
        <f>=HYPERLINK("https://weidian.com/item.html?itemID=7623817523", "https://weidian.com/item.html?itemID=7623817523")</f>
        <v>https://weidian.com/item.html?itemID=7623817523</v>
      </c>
      <c r="D115"/>
      <c r="E115" s="2" t="str">
        <f>=HYPERLINK("https://si.geilicdn.com/pcitem2014204438-22fd0000019ae486cdfb0a21146b_1440_1920.jpg?w=640&amp;h=640", "https://si.geilicdn.com/pcitem2014204438-22fd0000019ae486cdfb0a21146b_1440_1920.jpg?w=640&amp;h=640")</f>
        <v>https://si.geilicdn.com/pcitem2014204438-22fd0000019ae486cdfb0a21146b_1440_1920.jpg?w=640&amp;h=640</v>
      </c>
      <c r="F115" t="inlineStr">
        <is>
          <t>Accessories</t>
        </is>
      </c>
      <c r="G115" t="inlineStr">
        <is>
          <t>Tory Burch</t>
        </is>
      </c>
      <c r="H115">
        <v>300</v>
      </c>
      <c r="I115">
        <v>43.48</v>
      </c>
      <c r="J11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ry Burch Black Nylon Waterproof Unisex Backpack","refusal":null,"role":"assistant"}}],"created":1778143025,"id":"chatcmpl-DcoW9zR5saFIy8PfWV81Wpg9bM2Z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102,"engine_ttft_ms":787,"engine_ttlt_ms":1907,"pre_inference_ms":136,"service_tbt_ms":103,"service_ttft_ms":1408,"service_ttlt_ms":2527,"total_duration_ms":2401,"user_visible_ttft_ms":1272},"prompt_tokens":871,"prompt_tokens_details":{"audio_tokens":0,"cached_tokens":0},"total_tokens":882}}</t>
        </is>
      </c>
      <c r="K115" t="inlineStr">
        <is>
          <t>Tory Burch Black Nylon Waterproof Unisex Backpack</t>
        </is>
      </c>
      <c r="L11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ry Burch Classic Black Nylon Backpack – Lightweight, waterproof, urban minimalist design with logo emblem, multi-compartment storage, unisex style for modern casual elegance.","refusal":null,"role":"assistant"}}],"created":1778142002,"id":"chatcmpl-DcoFepEBDnUztjAiU8v5Uw8iSHebU","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34,"completion_tokens_details":{"accepted_prediction_tokens":0,"audio_tokens":0,"reasoning_tokens":0,"rejected_prediction_tokens":0},"latency_checkpoint":{"engine_tbt_ms":16,"engine_ttft_ms":466,"engine_ttlt_ms":1022,"pre_inference_ms":176,"service_tbt_ms":17,"service_ttft_ms":950,"service_ttlt_ms":1505,"total_duration_ms":1337,"user_visible_ttft_ms":774},"prompt_tokens":900,"prompt_tokens_details":{"audio_tokens":0,"cached_tokens":0},"total_tokens":934}}</t>
        </is>
      </c>
      <c r="M115" t="inlineStr">
        <is>
          <t>{"alt-svc":"h3=\":443\"; ma=2592000","apim-request-id":"d8e110ec-2285-4e29-b209-285a1687339a","azureml-model-session":"d20260428205641-55ca9797","connection":"close","content-length":"1640","content-type":"application/json","date":"Thu, 07 May 2026 08:20:04 GMT","skip-error-remapping":"true","strict-transport-security":"max-age=31536000; includeSubDomains; preload","via":"1.1 Caddy","x-accel-buffering":"no","x-content-type-options":"nosniff","x-ms-client-request-id":"Not-Set","x-ms-is-spilled-over":"false","x-ms-rai-invoked":"true","x-ms-region":"East US","x-new-api-version":"v1.0.0-rc.4","x-oneapi-request-id":"202605070820006909131748268d9d6cJAlitAX","x-ratelimit-abusepenalty-active":"False","x-ratelimit-key":"gpt-5-chat-global","x-ratelimit-limit-requests":"1000","x-ratelimit-limit-tokens":"1000000","x-ratelimit-remaining-requests":"998","x-ratelimit-remaining-tokens":"996196","x-ratelimit-renewalperiod-requests":"60","x-ratelimit-renewalperiod-tokens":"60","x-ratelimit-reset-requests":"0","x-ratelimit-reset-tokens":"0","x-request-id":"7a27e791-e33c-4078-b88a-7ce903f43a7f","x-shellapi-request-id":"2026050716200063927136076514898"}</t>
        </is>
      </c>
      <c r="N115" t="inlineStr">
        <is>
          <t>Tory Burch Classic Black Nylon Backpack – Lightweight, waterproof, urban minimalist design with logo emblem, multi-compartment storage, unisex style for modern casual elegance.</t>
        </is>
      </c>
      <c r="O11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ry Burch, Backpack, kakobuy, kakebuy2026, kekobuysheet, kakobuysheet2026, 2026kakobuy, kakobuyspreadsheeet, kakobuylink, kakebuylist, Kakobuy MEGA Spreadsheet, kakobuysheetfind, kakobuysheetfind2026, 2026kakobuysheetfind, kakobuysheet2026","refusal":null,"role":"assistant"}}],"created":1778143462,"id":"chatcmpl-DcodCCueXKoH8f06rh1dgiD6S1gnl","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93,"completion_tokens_details":{"accepted_prediction_tokens":0,"audio_tokens":0,"reasoning_tokens":0,"rejected_prediction_tokens":0},"latency_checkpoint":{"engine_tbt_ms":22,"engine_ttft_ms":411,"engine_ttlt_ms":2468,"pre_inference_ms":256,"service_tbt_ms":22,"service_ttft_ms":1086,"service_ttlt_ms":3115,"total_duration_ms":2864,"user_visible_ttft_ms":830},"prompt_tokens":784,"prompt_tokens_details":{"audio_tokens":0,"cached_tokens":0},"total_tokens":877}}</t>
        </is>
      </c>
      <c r="P115" t="inlineStr">
        <is>
          <t>Tory Burch, Backpack, kakobuy, kakebuy2026, kekobuysheet, kakobuysheet2026, 2026kakobuy, kakobuyspreadsheeet, kakobuylink, kakebuylist, Kakobuy MEGA Spreadsheet, kakobuysheetfind, kakobuysheetfind2026, 2026kakobuysheetfind, kakobuysheet2026</t>
        </is>
      </c>
      <c r="Q115" t="inlineStr">
        <is>
          <t>Backpack, Black, Nylon, Lightweight, Waterproof, Unisex</t>
        </is>
      </c>
      <c r="R115" t="inlineStr">
        <is>
          <t>recvhju1CrfJJd</t>
        </is>
      </c>
      <c r="S115" t="inlineStr">
        <is>
          <t>tory-burch-black-nylon-waterproof-backpack-recvhju1crfjj</t>
        </is>
      </c>
      <c r="T115"/>
      <c r="U115"/>
      <c r="V115"/>
      <c r="W11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ry Burch：经典黑色尼龙双肩背包，轻盈防水材质搭配品牌标志徽章，极简都市设计风格，实用多层收纳空间，男女皆宜，展现现代休闲与优雅并存的时尚品味。","refusal":null,"role":"assistant"}}],"created":1778140331,"id":"chatcmpl-Dcnoho4Wtt6qrIMoHBtGuCYF7z7g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65,"completion_tokens_details":{"accepted_prediction_tokens":0,"audio_tokens":0,"reasoning_tokens":0,"rejected_prediction_tokens":0},"latency_checkpoint":{"engine_tbt_ms":162,"engine_ttft_ms":1425,"engine_ttlt_ms":11946,"pre_inference_ms":171,"service_tbt_ms":162,"service_ttft_ms":2124,"service_ttlt_ms":12645,"total_duration_ms":12483,"user_visible_ttft_ms":1953},"prompt_tokens":1303,"prompt_tokens_details":{"audio_tokens":0,"cached_tokens":0},"total_tokens":1368}}</t>
        </is>
      </c>
      <c r="X115" t="inlineStr">
        <is>
          <t>Tory Burch：经典黑色尼龙双肩背包，轻盈防水材质搭配品牌标志徽章，极简都市设计风格，实用多层收纳空间，男女皆宜，展现现代休闲与优雅并存的时尚品味。</t>
        </is>
      </c>
    </row>
    <row r="116" ht="25.5" customHeight="1">
      <c r="A116">
        <v>1654975475</v>
      </c>
      <c r="B116">
        <v>7624519561</v>
      </c>
      <c r="C116" s="2" t="str">
        <f>=HYPERLINK("https://weidian.com/item.html?itemID=7624519561", "https://weidian.com/item.html?itemID=7624519561")</f>
        <v>https://weidian.com/item.html?itemID=7624519561</v>
      </c>
      <c r="D116"/>
      <c r="E116" s="2" t="str">
        <f>=HYPERLINK("https://si.geilicdn.com/pcitem2014204438-0df10000019ae7e915980a20e273_1080_1080.jpg?w=640&amp;h=640", "https://si.geilicdn.com/pcitem2014204438-0df10000019ae7e915980a20e273_1080_1080.jpg?w=640&amp;h=640")</f>
        <v>https://si.geilicdn.com/pcitem2014204438-0df10000019ae7e915980a20e273_1080_1080.jpg?w=640&amp;h=640</v>
      </c>
      <c r="F116" t="inlineStr">
        <is>
          <t>Socks &amp; Hosiery</t>
        </is>
      </c>
      <c r="G116" t="inlineStr">
        <is>
          <t>Gucci</t>
        </is>
      </c>
      <c r="H116">
        <v>120</v>
      </c>
      <c r="I116">
        <v>17.39</v>
      </c>
      <c r="J1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Vintage Brown GG Logo Cotton Mid-Calf Socks","refusal":null,"role":"assistant"}}],"created":1778143102,"id":"chatcmpl-DcoXOIfHtXnnVUuAAMAgpARkgkmh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65,"engine_ttft_ms":282,"engine_ttlt_ms":1063,"pre_inference_ms":361,"service_tbt_ms":66,"service_ttft_ms":724,"service_ttlt_ms":1504,"total_duration_ms":1151,"user_visible_ttft_ms":363},"prompt_tokens":875,"prompt_tokens_details":{"audio_tokens":0,"cached_tokens":0},"total_tokens":887}}</t>
        </is>
      </c>
      <c r="K116" t="inlineStr">
        <is>
          <t>Gucci Vintage Brown GG Logo Cotton Mid-Calf Socks</t>
        </is>
      </c>
      <c r="L1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Vintage Brown GG Logo Mid-Calf Socks, crafted from soft cotton with iconic green-red stripes, unisex design for a refined Italian fashion and casual luxury style.","refusal":null,"role":"assistant"}}],"created":1778142010,"id":"chatcmpl-DcoFmT1Xoq4b21waO0JNLxg0fla2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35,"completion_tokens_details":{"accepted_prediction_tokens":0,"audio_tokens":0,"reasoning_tokens":0,"rejected_prediction_tokens":0},"latency_checkpoint":{"engine_tbt_ms":136,"engine_ttft_ms":1387,"engine_ttlt_ms":6139,"pre_inference_ms":154,"service_tbt_ms":136,"service_ttft_ms":1995,"service_ttlt_ms":6747,"total_duration_ms":6601,"user_visible_ttft_ms":1841},"prompt_tokens":898,"prompt_tokens_details":{"audio_tokens":0,"cached_tokens":0},"total_tokens":933}}</t>
        </is>
      </c>
      <c r="M116" t="inlineStr">
        <is>
          <t>{"alt-svc":"h3=\":443\"; ma=2592000","apim-request-id":"f0d9ab3d-db22-4853-80df-5189ad5c2d6e","azureml-model-session":"d20260501050840-f4f9d8ac","connection":"close","content-length":"1635","content-type":"application/json","date":"Thu, 07 May 2026 08:20:16 GMT","server":"Caddy","skip-error-remapping":"true","strict-transport-security":"max-age=31536000; includeSubDomains; preload","x-accel-buffering":"no","x-content-type-options":"nosniff","x-ms-client-request-id":"Not-Set","x-ms-is-spilled-over":"false","x-ms-rai-invoked":"true","x-ms-region":"Australia East","x-new-api-version":"v1.0.0-rc.4","x-oneapi-request-id":"202605070820089649321908268d9d6ngauhBrN","x-ratelimit-abusepenalty-active":"False","x-ratelimit-key":"gpt-5-chat-global","x-ratelimit-limit-requests":"1000","x-ratelimit-limit-tokens":"1000000","x-ratelimit-remaining-requests":"998","x-ratelimit-remaining-tokens":"996982","x-ratelimit-renewalperiod-requests":"60","x-ratelimit-renewalperiod-tokens":"60","x-ratelimit-reset-requests":"0","x-ratelimit-reset-tokens":"0","x-request-id":"4e6b91ae-edf0-4e96-81da-5d15c4ea5d8e","x-shellapi-request-id":"2026050716200890748336077626404"}</t>
        </is>
      </c>
      <c r="N116" t="inlineStr">
        <is>
          <t>Gucci Vintage Brown GG Logo Mid-Calf Socks, crafted from soft cotton with iconic green-red stripes, unisex design for a refined Italian fashion and casual luxury style.</t>
        </is>
      </c>
      <c r="O1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ucci, Socks &amp; Hosiery, kakobuy, kakebuy2026, kekobuysheet, kakobuysheet2026, 2026kakobuy, kakobuyspreadsheeet, kakobuylink, kakebuylist, Kakobuy MEGA Spreadsheet, kakobuysheetfind, kakobuysheetfind2026, 2026kakobuysheetfind, kakobuysheet2026","refusal":null,"role":"assistant"}}],"created":1778143514,"id":"chatcmpl-Dcoe2MAoB61leuzXLiQHzE6F7h4H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17,"engine_ttft_ms":1063,"engine_ttlt_ms":2629,"pre_inference_ms":156,"service_tbt_ms":17,"service_ttft_ms":1573,"service_ttlt_ms":3138,"total_duration_ms":2991,"user_visible_ttft_ms":1417},"prompt_tokens":786,"prompt_tokens_details":{"audio_tokens":0,"cached_tokens":0},"total_tokens":880}}</t>
        </is>
      </c>
      <c r="P116" t="inlineStr">
        <is>
          <t>Gucci, Socks &amp; Hosiery, kakobuy, kakebuy2026, kekobuysheet, kakobuysheet2026, 2026kakobuy, kakobuyspreadsheeet, kakobuylink, kakebuylist, Kakobuy MEGA Spreadsheet, kakobuysheetfind, kakobuysheetfind2026, 2026kakobuysheetfind, kakobuysheet2026</t>
        </is>
      </c>
      <c r="Q116" t="inlineStr">
        <is>
          <t>Vintage, Brown, Unisex</t>
        </is>
      </c>
      <c r="R116" t="inlineStr">
        <is>
          <t>recvhju1CrH3b9</t>
        </is>
      </c>
      <c r="S116" t="inlineStr">
        <is>
          <t>gucci-vintage-brown-gg-logo-cotton-mid-calf-recvhju1crh3b9</t>
        </is>
      </c>
      <c r="T116"/>
      <c r="U116"/>
      <c r="V116"/>
      <c r="W11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ucci：复古棕色经典双G标识中筒袜，甄选柔软棉质织造，搭配品牌标志性绿红配色，男女皆宜，彰显意式时尚格调与精致休闲风范。","refusal":null,"role":"assistant"}}],"created":1778140364,"id":"chatcmpl-DcnpEk2nmpdz0uCRweE39xaPy75PI","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61,"completion_tokens_details":{"accepted_prediction_tokens":0,"audio_tokens":0,"reasoning_tokens":0,"rejected_prediction_tokens":0},"latency_checkpoint":{"engine_tbt_ms":22,"engine_ttft_ms":970,"engine_ttlt_ms":2334,"pre_inference_ms":174,"service_tbt_ms":23,"service_ttft_ms":1929,"service_ttlt_ms":3291,"total_duration_ms":3127,"user_visible_ttft_ms":1755},"prompt_tokens":1303,"prompt_tokens_details":{"audio_tokens":0,"cached_tokens":1280},"total_tokens":1364}}</t>
        </is>
      </c>
      <c r="X116" t="inlineStr">
        <is>
          <t>Gucci：复古棕色经典双G标识中筒袜，甄选柔软棉质织造，搭配品牌标志性绿红配色，男女皆宜，彰显意式时尚格调与精致休闲风范。</t>
        </is>
      </c>
    </row>
    <row r="117" ht="25.5" customHeight="1">
      <c r="A117">
        <v>1654975475</v>
      </c>
      <c r="B117">
        <v>7624505037</v>
      </c>
      <c r="C117" s="2" t="str">
        <f>=HYPERLINK("https://weidian.com/item.html?itemID=7624505037", "https://weidian.com/item.html?itemID=7624505037")</f>
        <v>https://weidian.com/item.html?itemID=7624505037</v>
      </c>
      <c r="D117"/>
      <c r="E117" s="2" t="str">
        <f>=HYPERLINK("https://si.geilicdn.com/pcitem2014204438-1a780000019ae7db600e0a210256_1536_1929.jpg?w=640&amp;h=640", "https://si.geilicdn.com/pcitem2014204438-1a780000019ae7db600e0a210256_1536_1929.jpg?w=640&amp;h=640")</f>
        <v>https://si.geilicdn.com/pcitem2014204438-1a780000019ae7db600e0a210256_1536_1929.jpg?w=640&amp;h=640</v>
      </c>
      <c r="F117" t="inlineStr">
        <is>
          <t>Socks &amp; Hosiery</t>
        </is>
      </c>
      <c r="G117" t="inlineStr">
        <is>
          <t>Champion</t>
        </is>
      </c>
      <c r="H117">
        <v>120</v>
      </c>
      <c r="I117">
        <v>17.39</v>
      </c>
      <c r="J11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mpion Classic Cotton Ankle Socks Unisex Athletic","refusal":null,"role":"assistant"}}],"created":1778142902,"id":"chatcmpl-DcoUAOni5DZMALh9jfoXtDfgtI1A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14,"engine_ttft_ms":1113,"engine_ttlt_ms":1255,"pre_inference_ms":136,"service_tbt_ms":15,"service_ttft_ms":2097,"service_ttlt_ms":2239,"total_duration_ms":2109,"user_visible_ttft_ms":1961},"prompt_tokens":886,"prompt_tokens_details":{"audio_tokens":0,"cached_tokens":0},"total_tokens":896}}</t>
        </is>
      </c>
      <c r="K117" t="inlineStr">
        <is>
          <t>Champion Classic Cotton Ankle Socks Unisex Athletic</t>
        </is>
      </c>
      <c r="L11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ampion Classic Ankle Socks – soft cotton with stretch knit design, unisex athletic &amp; casual style, available in black, gray, blue, white, yellow; comfort and iconic logo for everyday wear.","refusal":null,"role":"assistant"}}],"created":1778142037,"id":"chatcmpl-DcoGDtMNnj4W6kpntsqMVjyiXb4K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41,"completion_tokens_details":{"accepted_prediction_tokens":0,"audio_tokens":0,"reasoning_tokens":0,"rejected_prediction_tokens":0},"latency_checkpoint":{"engine_tbt_ms":19,"engine_ttft_ms":1000,"engine_ttlt_ms":1789,"pre_inference_ms":132,"service_tbt_ms":20,"service_ttft_ms":1479,"service_ttlt_ms":2265,"total_duration_ms":2146,"user_visible_ttft_ms":1347},"prompt_tokens":887,"prompt_tokens_details":{"audio_tokens":0,"cached_tokens":0},"total_tokens":928}}</t>
        </is>
      </c>
      <c r="M117" t="inlineStr">
        <is>
          <t>{"alt-svc":"h3=\":443\"; ma=2592000","apim-request-id":"bea7b6bf-2217-4579-9d83-be7a7d66d2fb","azureml-model-session":"d20260428165144-a78ba574","connection":"close","content-length":"1662","content-type":"application/json","date":"Thu, 07 May 2026 08:20:39 GMT","server":"Caddy","skip-error-remapping":"true","strict-transport-security":"max-age=31536000; includeSubDomains; preload","x-accel-buffering":"no","x-content-type-options":"nosniff","x-ms-client-request-id":"Not-Set","x-ms-is-spilled-over":"false","x-ms-rai-invoked":"true","x-ms-region":"Korea Central","x-new-api-version":"v1.0.0-rc.4","x-oneapi-request-id":"202605070820355501071778268d9d6DM9i1UbL","x-ratelimit-abusepenalty-active":"False","x-ratelimit-key":"gpt-5-chat-global","x-ratelimit-limit-requests":"1000","x-ratelimit-limit-tokens":"1000000","x-ratelimit-remaining-requests":"999","x-ratelimit-remaining-tokens":"997544","x-ratelimit-renewalperiod-requests":"60","x-ratelimit-renewalperiod-tokens":"60","x-ratelimit-reset-requests":"0","x-ratelimit-reset-tokens":"0","x-request-id":"db1d8475-5504-44c2-9a0f-b856a21d8ae6","x-shellapi-request-id":"2026050716203549516709190166301"}</t>
        </is>
      </c>
      <c r="N117" t="inlineStr">
        <is>
          <t>Champion Classic Ankle Socks – soft cotton with stretch knit design, unisex athletic &amp; casual style, available in black, gray, blue, white, yellow; comfort and iconic logo for everyday wear.</t>
        </is>
      </c>
      <c r="O11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ampion,Socks &amp; Hosiery,kakobuy,kakebuy2026,kekobuysheet,kakobuysheet2026,2026kakobuy,kakobuyspreadsheeet,kakobuylink,kakebuylist,Kakobuy MEGA Spreadsheet,kakobuysheetfind,kakobuysheetfind2026,2026kakobuysheetfind,kakobuysheet2026","refusal":null,"role":"assistant"}}],"created":1778143368,"id":"chatcmpl-Dcobgx3deohBcv6TUKcrn38vnZEKw","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17,"engine_ttft_ms":395,"engine_ttlt_ms":1931,"pre_inference_ms":187,"service_tbt_ms":17,"service_ttft_ms":900,"service_ttlt_ms":2436,"total_duration_ms":2255,"user_visible_ttft_ms":712},"prompt_tokens":785,"prompt_tokens_details":{"audio_tokens":0,"cached_tokens":0},"total_tokens":874}}</t>
        </is>
      </c>
      <c r="P117" t="inlineStr">
        <is>
          <t>Champion,Socks &amp; Hosiery,kakobuy,kakebuy2026,kekobuysheet,kakobuysheet2026,2026kakobuy,kakobuyspreadsheeet,kakobuylink,kakebuylist,Kakobuy MEGA Spreadsheet,kakobuysheetfind,kakobuysheetfind2026,2026kakobuysheetfind,kakobuysheet2026</t>
        </is>
      </c>
      <c r="Q117" t="inlineStr">
        <is>
          <t>Unisex, Athletic, Black, Gray, Blue</t>
        </is>
      </c>
      <c r="R117" t="inlineStr">
        <is>
          <t>recvhju1CrXr2i</t>
        </is>
      </c>
      <c r="S117" t="inlineStr">
        <is>
          <t>champion-classic-cotton-ankle-socks-recvhju1crxr2i</t>
        </is>
      </c>
      <c r="T117"/>
      <c r="U117"/>
      <c r="V117"/>
      <c r="W117" t="inlineStr">
        <is>
          <t>{"id":"chatcmpl-DcnrHnLSVnO093Ck8qqXUx905GRQn","object":"chat.completion","created":1778140491,"model":"gpt-5-chat-latest","choices":[{"index":0,"message":{"role":"assistant","content":"Champion：经典短袜系列，黑灰蓝白黄多色可选，柔软棉质面料搭配弹力织纹设计，男女皆宜，彰显运动休闲风格与品牌标志美学。","refusal":null,"annotations":[]},"logprobs":null,"finish_reason":"stop"}],"usage":{"prompt_tokens":1301,"completion_tokens":51,"total_tokens":1352,"prompt_tokens_details":{"cached_tokens":0,"audio_tokens":0},"completion_tokens_details":{"reasoning_tokens":0,"audio_tokens":0,"accepted_prediction_tokens":0,"rejected_prediction_tokens":0},"latency_checkpoint":{"service_ttft_ms":702,"user_visible_ttft_ms":529,"total_duration_ms":1534,"pre_inference_ms":173,"service_tbt_ms":20,"service_ttlt_ms":1696,"engine_ttft_ms":387,"engine_ttlt_ms":1386,"engine_tbt_ms":20}},"service_tier":"default","system_fingerprint":"fp_fd471178c5"}</t>
        </is>
      </c>
      <c r="X117" t="inlineStr">
        <is>
          <t>Champion：经典短袜系列，黑灰蓝白黄多色可选，柔软棉质面料搭配弹力织纹设计，男女皆宜，彰显运动休闲风格与品牌标志美学。</t>
        </is>
      </c>
    </row>
    <row r="118" ht="25.5" customHeight="1">
      <c r="A118">
        <v>1654975475</v>
      </c>
      <c r="B118">
        <v>7627521990</v>
      </c>
      <c r="C118" s="2" t="str">
        <f>=HYPERLINK("https://weidian.com/item.html?itemID=7627521990", "https://weidian.com/item.html?itemID=7627521990")</f>
        <v>https://weidian.com/item.html?itemID=7627521990</v>
      </c>
      <c r="D118"/>
      <c r="E118" s="2" t="str">
        <f>=HYPERLINK("https://si.geilicdn.com/pcitem2014204438-05f20000019ae7ce39ec0a20e273_1926_1463.jpg?w=640&amp;h=640", "https://si.geilicdn.com/pcitem2014204438-05f20000019ae7ce39ec0a20e273_1926_1463.jpg?w=640&amp;h=640")</f>
        <v>https://si.geilicdn.com/pcitem2014204438-05f20000019ae7ce39ec0a20e273_1926_1463.jpg?w=640&amp;h=640</v>
      </c>
      <c r="F118" t="inlineStr">
        <is>
          <t>Socks &amp; Hosiery</t>
        </is>
      </c>
      <c r="G118" t="inlineStr">
        <is>
          <t>Miu Miu</t>
        </is>
      </c>
      <c r="H118">
        <v>120</v>
      </c>
      <c r="I118">
        <v>17.39</v>
      </c>
      <c r="J11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Classic Black Wool Mid-Calf Knit Socks","refusal":null,"role":"assistant"}}],"created":1778143100,"id":"chatcmpl-DcoXMwSj7DwGVzwyZlTnwjMC78lg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19,"engine_ttft_ms":762,"engine_ttlt_ms":1014,"pre_inference_ms":111,"service_tbt_ms":20,"service_ttft_ms":1147,"service_ttlt_ms":1400,"total_duration_ms":1296,"user_visible_ttft_ms":1036},"prompt_tokens":615,"prompt_tokens_details":{"audio_tokens":0,"cached_tokens":0},"total_tokens":628}}</t>
        </is>
      </c>
      <c r="K118" t="inlineStr">
        <is>
          <t>Miu Miu Classic Black Wool Mid-Calf Knit Socks</t>
        </is>
      </c>
      <c r="L11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Classic Black Mid-Calf Knit Socks, crafted from soft wool blend, feature fine ribbed texture, comfy fit, minimalist logo, ideal for fall and winter, unisex elegance with Italian style.","refusal":null,"role":"assistant"}}],"created":1778142062,"id":"chatcmpl-DcoGc6vUxxdC80cnDKVrjyupuD7d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44,"completion_tokens_details":{"accepted_prediction_tokens":0,"audio_tokens":0,"reasoning_tokens":0,"rejected_prediction_tokens":0},"latency_checkpoint":{"engine_tbt_ms":60,"engine_ttft_ms":293,"engine_ttlt_ms":2932,"pre_inference_ms":123,"service_tbt_ms":60,"service_ttft_ms":504,"service_ttlt_ms":3142,"total_duration_ms":3030,"user_visible_ttft_ms":381},"prompt_tokens":639,"prompt_tokens_details":{"audio_tokens":0,"cached_tokens":0},"total_tokens":683}}</t>
        </is>
      </c>
      <c r="M118" t="inlineStr">
        <is>
          <t>{"alt-svc":"h3=\":443\"; ma=2592000","apim-request-id":"b8060d58-ac5e-4b90-8eed-464cb02e1105","azureml-model-session":"d20260501041445-2c187743","connection":"close","content-length":"1654","content-type":"application/json","date":"Thu, 07 May 2026 08:21:05 GMT","skip-error-remapping":"true","strict-transport-security":"max-age=31536000; includeSubDomains; preload","via":"1.1 Caddy","x-accel-buffering":"no","x-content-type-options":"nosniff","x-ms-client-request-id":"Not-Set","x-ms-is-spilled-over":"false","x-ms-rai-invoked":"true","x-ms-region":"East US 2","x-new-api-version":"v1.0.0-rc.4","x-oneapi-request-id":"202605070821016817390958268d9d6uurx0ORb","x-ratelimit-abusepenalty-active":"False","x-ratelimit-key":"gpt-5-chat-global","x-ratelimit-limit-requests":"1000","x-ratelimit-limit-tokens":"1000000","x-ratelimit-remaining-requests":"999","x-ratelimit-remaining-tokens":"998169","x-ratelimit-renewalperiod-requests":"60","x-ratelimit-renewalperiod-tokens":"60","x-ratelimit-reset-requests":"0","x-ratelimit-reset-tokens":"0","x-request-id":"b1e70bdf-1642-4cb4-b87d-85787ccedf5f","x-shellapi-request-id":"2026050716210074680734376966855"}</t>
        </is>
      </c>
      <c r="N118" t="inlineStr">
        <is>
          <t>Miu Miu Classic Black Mid-Calf Knit Socks, crafted from soft wool blend, feature fine ribbed texture, comfy fit, minimalist logo, ideal for fall and winter, unisex elegance with Italian style.</t>
        </is>
      </c>
      <c r="O11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iu Miu, Socks &amp; Hosiery, kakobuy, kakebuy2026, kekobuysheet, kakobuysheet2026, 2026kakobuy, kakobuyspreadsheeet, kakobuylink, kakebuylist, Kakobuy MEGA Spreadsheet, kakobuysheetfind, kakobuysheetfind2026, 2026kakobuysheetfind, kakobuysheet2026","refusal":null,"role":"assistant"}}],"created":1778143675,"id":"chatcmpl-DcogdyWpjRDn1FqHYlK93NLdfYzJ1","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96,"completion_tokens_details":{"accepted_prediction_tokens":0,"audio_tokens":0,"reasoning_tokens":0,"rejected_prediction_tokens":0},"latency_checkpoint":{"engine_tbt_ms":19,"engine_ttft_ms":710,"engine_ttlt_ms":2488,"pre_inference_ms":113,"service_tbt_ms":19,"service_ttft_ms":1101,"service_ttlt_ms":2876,"total_duration_ms":2773,"user_visible_ttft_ms":988},"prompt_tokens":508,"prompt_tokens_details":{"audio_tokens":0,"cached_tokens":0},"total_tokens":604}}</t>
        </is>
      </c>
      <c r="P118" t="inlineStr">
        <is>
          <t>Miu Miu, Socks &amp; Hosiery, kakobuy, kakebuy2026, kekobuysheet, kakobuysheet2026, 2026kakobuy, kakobuyspreadsheeet, kakobuylink, kakebuylist, Kakobuy MEGA Spreadsheet, kakobuysheetfind, kakobuysheetfind2026, 2026kakobuysheetfind, kakobuysheet2026</t>
        </is>
      </c>
      <c r="Q118" t="inlineStr">
        <is>
          <t>Black, Knit, Minimalist, Autumn And Winter, Unisex, Wool</t>
        </is>
      </c>
      <c r="R118" t="inlineStr">
        <is>
          <t>recvhju1CrDqX1</t>
        </is>
      </c>
      <c r="S118" t="inlineStr">
        <is>
          <t>miu-miu-classic-black-wool-mid-calf-knit-socks-recvhju1crdqx1</t>
        </is>
      </c>
      <c r="T118"/>
      <c r="U118"/>
      <c r="V118"/>
      <c r="W118" t="inlineStr">
        <is>
          <t>{"id":"chatcmpl-DcnuC5yKgOiHIGBe46oZkiK5EyAem","object":"chat.completion","created":1778140672,"model":"gpt-5-chat-latest","choices":[{"index":0,"message":{"role":"assistant","content":"Miu Miu：经典黑色中筒针织袜，精选柔软羊毛混纺材质，细腻罗纹织纹设计，贴合脚型穿着舒适，极简Logo点缀彰显品牌格调，适合秋冬季节男女通用，展现意式优雅与时尚态度。","refusal":null,"annotations":[]},"logprobs":null,"finish_reason":"stop"}],"usage":{"prompt_tokens":1029,"completion_tokens":79,"total_tokens":1108,"prompt_tokens_details":{"cached_tokens":0,"audio_tokens":0},"completion_tokens_details":{"reasoning_tokens":0,"audio_tokens":0,"accepted_prediction_tokens":0,"rejected_prediction_tokens":0},"latency_checkpoint":{"service_ttft_ms":675,"user_visible_ttft_ms":564,"total_duration_ms":16630,"pre_inference_ms":111,"service_tbt_ms":203,"service_ttlt_ms":16731,"engine_ttft_ms":478,"engine_ttlt_ms":16554,"engine_tbt_ms":203}},"service_tier":"default","system_fingerprint":"fp_fd471178c5"}</t>
        </is>
      </c>
      <c r="X118" t="inlineStr">
        <is>
          <t>Miu Miu：经典黑色中筒针织袜，精选柔软羊毛混纺材质，细腻罗纹织纹设计，贴合脚型穿着舒适，极简Logo点缀彰显品牌格调，适合秋冬季节男女通用，展现意式优雅与时尚态度。</t>
        </is>
      </c>
    </row>
    <row r="119" ht="25.5" customHeight="1">
      <c r="A119">
        <v>1654975475</v>
      </c>
      <c r="B119">
        <v>7624445429</v>
      </c>
      <c r="C119" s="2" t="str">
        <f>=HYPERLINK("https://weidian.com/item.html?itemID=7624445429", "https://weidian.com/item.html?itemID=7624445429")</f>
        <v>https://weidian.com/item.html?itemID=7624445429</v>
      </c>
      <c r="D119"/>
      <c r="E119" s="2" t="str">
        <f>=HYPERLINK("https://si.geilicdn.com/pcitem2014204438-195f0000019ae7caed310a23038e_1074_876.jpg?w=640&amp;h=640", "https://si.geilicdn.com/pcitem2014204438-195f0000019ae7caed310a23038e_1074_876.jpg?w=640&amp;h=640")</f>
        <v>https://si.geilicdn.com/pcitem2014204438-195f0000019ae7caed310a23038e_1074_876.jpg?w=640&amp;h=640</v>
      </c>
      <c r="F119" t="inlineStr">
        <is>
          <t>Socks &amp; Hosiery</t>
        </is>
      </c>
      <c r="G119" t="inlineStr">
        <is>
          <t>Hermes</t>
        </is>
      </c>
      <c r="H119">
        <v>120</v>
      </c>
      <c r="I119">
        <v>17.39</v>
      </c>
      <c r="J11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ermes Classic Short Socks Deep Blue Cotton Unisex Luxury","refusal":null,"role":"assistant"}}],"created":1778142865,"id":"chatcmpl-DcoTZQoCr7e1oj70aT0PU8n1CZhiM","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116,"engine_ttft_ms":422,"engine_ttlt_ms":1814,"pre_inference_ms":181,"service_tbt_ms":114,"service_ttft_ms":712,"service_ttlt_ms":2066,"total_duration_ms":1895,"user_visible_ttft_ms":531},"prompt_tokens":877,"prompt_tokens_details":{"audio_tokens":0,"cached_tokens":0},"total_tokens":889}}</t>
        </is>
      </c>
      <c r="K119" t="inlineStr">
        <is>
          <t>Hermes Classic Short Socks Deep Blue Cotton Unisex Luxury</t>
        </is>
      </c>
      <c r="L11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ermes Classic Series Short Socks – Deep Blue Soft Combed Cotton with Orange Logo Embroidery, French Minimalist Luxury, Unisex, Breathable Comfort for Everyday Elegant Style.","refusal":null,"role":"assistant"}}],"created":1778142260,"id":"chatcmpl-DcoJopWdZRo9JSCMPJ2rAyTUCKJnI","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20,"engine_ttft_ms":826,"engine_ttlt_ms":1538,"pre_inference_ms":171,"service_tbt_ms":20,"service_ttft_ms":1780,"service_ttlt_ms":2491,"total_duration_ms":2327,"user_visible_ttft_ms":1609},"prompt_tokens":898,"prompt_tokens_details":{"audio_tokens":0,"cached_tokens":0},"total_tokens":934}}</t>
        </is>
      </c>
      <c r="M119" t="inlineStr">
        <is>
          <t>{"alt-svc":"h3=\":443\"; ma=2592000","apim-request-id":"b196d575-f799-478d-a2a1-f9939c61c0f9","azureml-model-session":"d20260428165144-a78ba574","connection":"close","content-length":"1640","content-type":"application/json","date":"Thu, 07 May 2026 08:24:22 GMT","server":"Caddy","skip-error-remapping":"true","strict-transport-security":"max-age=31536000; includeSubDomains; preload","x-accel-buffering":"no","x-content-type-options":"nosniff","x-ms-client-request-id":"Not-Set","x-ms-is-spilled-over":"false","x-ms-rai-invoked":"true","x-ms-region":"Sweden Central","x-new-api-version":"v1.0.0-rc.4","x-oneapi-request-id":"202605070824197445921958268d9d6Js0u2Y9U","x-ratelimit-abusepenalty-active":"False","x-ratelimit-key":"gpt-5-chat-global","x-ratelimit-limit-requests":"1000","x-ratelimit-limit-tokens":"1000000","x-ratelimit-remaining-requests":"999","x-ratelimit-remaining-tokens":"998128","x-ratelimit-renewalperiod-requests":"60","x-ratelimit-renewalperiod-tokens":"60","x-ratelimit-reset-requests":"0","x-ratelimit-reset-tokens":"0","x-request-id":"e770c95f-3d4e-4cf7-b03a-a67fdf532b03","x-shellapi-request-id":"2026050716241968382821801267943"}</t>
        </is>
      </c>
      <c r="N119" t="inlineStr">
        <is>
          <t>Hermes Classic Series Short Socks – Deep Blue Soft Combed Cotton with Orange Logo Embroidery, French Minimalist Luxury, Unisex, Breathable Comfort for Everyday Elegant Style.</t>
        </is>
      </c>
      <c r="O11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ermes, Socks &amp; Hosiery, kakobuy, kakebuy2026, kekobuysheet, kakobuysheet2026, 2026kakobuy, kakobuyspreadsheeet, kakobuylink, kakebuylist, Kakobuy MEGA Spreadsheet, kakobuysheetfind, kakobuysheetfind2026, 2026kakobuysheetfind, kakobuysheet2026","refusal":null,"role":"assistant"}}],"created":1778143429,"id":"chatcmpl-DcocfTlJYYYQgdDWGcsVKWmEP0xY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94,"completion_tokens_details":{"accepted_prediction_tokens":0,"audio_tokens":0,"reasoning_tokens":0,"rejected_prediction_tokens":0},"latency_checkpoint":{"engine_tbt_ms":20,"engine_ttft_ms":322,"engine_ttlt_ms":2227,"pre_inference_ms":163,"service_tbt_ms":20,"service_ttft_ms":628,"service_ttlt_ms":2531,"total_duration_ms":2377,"user_visible_ttft_ms":465},"prompt_tokens":786,"prompt_tokens_details":{"audio_tokens":0,"cached_tokens":0},"total_tokens":880}}</t>
        </is>
      </c>
      <c r="P119" t="inlineStr">
        <is>
          <t>Hermes, Socks &amp; Hosiery, kakobuy, kakebuy2026, kekobuysheet, kakobuysheet2026, 2026kakobuy, kakobuyspreadsheeet, kakobuylink, kakebuylist, Kakobuy MEGA Spreadsheet, kakobuysheetfind, kakobuysheetfind2026, 2026kakobuysheetfind, kakobuysheet2026</t>
        </is>
      </c>
      <c r="Q119" t="inlineStr">
        <is>
          <t>Blue, Minimalist, Unisex, Breathable, Comfort, Elegant</t>
        </is>
      </c>
      <c r="R119" t="inlineStr">
        <is>
          <t>recvhju1Cr92En</t>
        </is>
      </c>
      <c r="S119" t="inlineStr">
        <is>
          <t>hermes-classic-short-socks-deep-blue-recvhju1cr92en</t>
        </is>
      </c>
      <c r="T119"/>
      <c r="U119"/>
      <c r="V119"/>
      <c r="W119" t="inlineStr">
        <is>
          <t>{"id":"chatcmpl-DcnwmEZJlLTMroVPfrLzXsvVSuMGk","object":"chat.completion","created":1778140832,"model":"gpt-5-chat-latest","choices":[{"index":0,"message":{"role":"assistant","content":"Hermes：经典系列深蓝色短袜，柔软精梳棉材质，橙色Logo刺绣点缀，简约奢华法式设计，男女皆宜，舒适透气，为日常休闲增添高雅格调。","refusal":null,"annotations":[]},"logprobs":null,"finish_reason":"stop"}],"usage":{"prompt_tokens":1301,"completion_tokens":62,"total_tokens":1363,"prompt_tokens_details":{"cached_tokens":0,"audio_tokens":0},"completion_tokens_details":{"reasoning_tokens":0,"audio_tokens":0,"accepted_prediction_tokens":0,"rejected_prediction_tokens":0},"latency_checkpoint":{"service_ttft_ms":1693,"user_visible_ttft_ms":1587,"total_duration_ms":14047,"pre_inference_ms":106,"service_tbt_ms":201,"service_ttlt_ms":14142,"engine_ttft_ms":1502,"engine_ttlt_ms":13964,"engine_tbt_ms":201}},"service_tier":"default","system_fingerprint":"fp_fd471178c5"}</t>
        </is>
      </c>
      <c r="X119" t="inlineStr">
        <is>
          <t>Hermes：经典系列深蓝色短袜，柔软精梳棉材质，橙色Logo刺绣点缀，简约奢华法式设计，男女皆宜，舒适透气，为日常休闲增添高雅格调。</t>
        </is>
      </c>
    </row>
    <row r="120" ht="25.5" customHeight="1">
      <c r="A120">
        <v>1654975475</v>
      </c>
      <c r="B120">
        <v>7624394249</v>
      </c>
      <c r="C120" s="2" t="str">
        <f>=HYPERLINK("https://weidian.com/item.html?itemID=7624394249", "https://weidian.com/item.html?itemID=7624394249")</f>
        <v>https://weidian.com/item.html?itemID=7624394249</v>
      </c>
      <c r="D120"/>
      <c r="E120" s="2" t="str">
        <f>=HYPERLINK("https://si.geilicdn.com/pcitem2014204438-122a0000019ae7b22f7d0a23038e_1080_1080.jpg?w=640&amp;h=640", "https://si.geilicdn.com/pcitem2014204438-122a0000019ae7b22f7d0a23038e_1080_1080.jpg?w=640&amp;h=640")</f>
        <v>https://si.geilicdn.com/pcitem2014204438-122a0000019ae7b22f7d0a23038e_1080_1080.jpg?w=640&amp;h=640</v>
      </c>
      <c r="F120" t="inlineStr">
        <is>
          <t>Socks &amp; Hosiery</t>
        </is>
      </c>
      <c r="G120" t="inlineStr">
        <is>
          <t>Celine</t>
        </is>
      </c>
      <c r="H120">
        <v>120</v>
      </c>
      <c r="I120">
        <v>17.39</v>
      </c>
      <c r="J1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 Grey Knit Cotton Socks Triomphe Logo Unisex","refusal":null,"role":"assistant"}}],"created":1778142979,"id":"chatcmpl-DcoVPZjDWV977tNyFwbUsYzkNQvF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13,"completion_tokens_details":{"accepted_prediction_tokens":0,"audio_tokens":0,"reasoning_tokens":0,"rejected_prediction_tokens":0},"latency_checkpoint":{"engine_tbt_ms":71,"engine_ttft_ms":1220,"engine_ttlt_ms":2149,"pre_inference_ms":148,"service_tbt_ms":72,"service_ttft_ms":1596,"service_ttlt_ms":2523,"total_duration_ms":2385,"user_visible_ttft_ms":1448},"prompt_tokens":873,"prompt_tokens_details":{"audio_tokens":0,"cached_tokens":0},"total_tokens":886}}</t>
        </is>
      </c>
      <c r="K120" t="inlineStr">
        <is>
          <t>Celine Grey Knit Cotton Socks Triomphe Logo Unisex</t>
        </is>
      </c>
      <c r="L1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 Grey Logo Knit Socks, crafted from soft cotton blend with elegant Triomphe leather embroidery, offering luxurious comfort and unisex chic for a refined casual style.","refusal":null,"role":"assistant"}}],"created":1778142142,"id":"chatcmpl-DcoHuRaAcIGHkvAsFiCb5FwCDfJs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34,"completion_tokens_details":{"accepted_prediction_tokens":0,"audio_tokens":0,"reasoning_tokens":0,"rejected_prediction_tokens":0},"latency_checkpoint":{"engine_tbt_ms":25,"engine_ttft_ms":205,"engine_ttlt_ms":1048,"pre_inference_ms":176,"service_tbt_ms":25,"service_ttft_ms":484,"service_ttlt_ms":1326,"total_duration_ms":1158,"user_visible_ttft_ms":308},"prompt_tokens":908,"prompt_tokens_details":{"audio_tokens":0,"cached_tokens":0},"total_tokens":942}}</t>
        </is>
      </c>
      <c r="M120" t="inlineStr">
        <is>
          <t>{"alt-svc":"h3=\":443\"; ma=2592000","apim-request-id":"a856c545-d75d-43da-a87b-e7ae0bd880f9","azureml-model-session":"d20260428165144-a78ba574","connection":"close","content-length":"1634","content-type":"application/json","date":"Thu, 07 May 2026 08:22:23 GMT","skip-error-remapping":"true","strict-transport-security":"max-age=31536000; includeSubDomains; preload","via":"1.1 Caddy","x-accel-buffering":"no","x-content-type-options":"nosniff","x-ms-client-request-id":"Not-Set","x-ms-is-spilled-over":"false","x-ms-rai-invoked":"true","x-ms-region":"East US 2","x-new-api-version":"v1.0.0-rc.4","x-oneapi-request-id":"202605070822219134251058268d9d63JvBWBxZ","x-ratelimit-abusepenalty-active":"False","x-ratelimit-key":"gpt-5-chat-global","x-ratelimit-limit-requests":"1000","x-ratelimit-limit-tokens":"1000000","x-ratelimit-remaining-requests":"999","x-ratelimit-remaining-tokens":"998330","x-ratelimit-renewalperiod-requests":"60","x-ratelimit-renewalperiod-tokens":"60","x-ratelimit-reset-requests":"0","x-ratelimit-reset-tokens":"0","x-request-id":"a2534073-c047-4ff9-be59-5af1cf401e8e","x-shellapi-request-id":"2026050716222186005917987033274"}</t>
        </is>
      </c>
      <c r="N120" t="inlineStr">
        <is>
          <t>Celine Grey Logo Knit Socks, crafted from soft cotton blend with elegant Triomphe leather embroidery, offering luxurious comfort and unisex chic for a refined casual style.</t>
        </is>
      </c>
      <c r="O1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Socks &amp; Hosiery,kakobuy,kakebuy2026,kekobuysheet,kakobuysheet2026,2026kakobuy,kakobuyspreadsheeet,kakobuylink,kakebuylist,Kakobuy MEGA Spreadsheet,kakobuysheetfind,kakobuysheetfind2026,2026kakobuysheetfind,kakobuysheet2026","refusal":null,"role":"assistant"}}],"created":1778143482,"id":"chatcmpl-DcodWPsBZeeR9dkbUA6n1Xp3eX3S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21,"engine_ttft_ms":934,"engine_ttlt_ms":2829,"pre_inference_ms":107,"service_tbt_ms":21,"service_ttft_ms":1357,"service_ttlt_ms":3251,"total_duration_ms":3150,"user_visible_ttft_ms":1249},"prompt_tokens":786,"prompt_tokens_details":{"audio_tokens":0,"cached_tokens":0},"total_tokens":876}}</t>
        </is>
      </c>
      <c r="P120" t="inlineStr">
        <is>
          <t>Celine,Socks &amp; Hosiery,kakobuy,kakebuy2026,kekobuysheet,kakobuysheet2026,2026kakobuy,kakobuyspreadsheeet,kakobuylink,kakebuylist,Kakobuy MEGA Spreadsheet,kakobuysheetfind,kakobuysheetfind2026,2026kakobuysheetfind,kakobuysheet2026</t>
        </is>
      </c>
      <c r="Q120" t="inlineStr">
        <is>
          <t>Celine, Grey, Knit, Unisex</t>
        </is>
      </c>
      <c r="R120" t="inlineStr">
        <is>
          <t>recvhju1CrD2EQ</t>
        </is>
      </c>
      <c r="S120" t="inlineStr">
        <is>
          <t>celine-grey-knit-cotton-socks-triomphe-logo-unisex-recvhju1cr-d2eq</t>
        </is>
      </c>
      <c r="T120"/>
      <c r="U120"/>
      <c r="V120"/>
      <c r="W120" t="inlineStr">
        <is>
          <t>{"id":"chatcmpl-Dcnk0X27DIUvbWdokjrXLiXB1mgFH","object":"chat.completion","created":1778140040,"model":"gpt-5-chat-latest","choices":[{"index":0,"message":{"role":"assistant","content":"Celine：灰色Logo高筒针织袜，甄选柔软棉质混纺面料，配以精致Triomphe皮革标志刺绣设计，兼具舒适与时尚格调，男女皆宜，展现轻奢休闲风范。","refusal":null,"annotations":[]},"logprobs":null,"finish_reason":"stop"}],"usage":{"prompt_tokens":1309,"completion_tokens":68,"total_tokens":1377,"prompt_tokens_details":{"cached_tokens":0,"audio_tokens":0},"completion_tokens_details":{"reasoning_tokens":0,"audio_tokens":0,"accepted_prediction_tokens":0,"rejected_prediction_tokens":0},"latency_checkpoint":{"service_ttft_ms":1686,"user_visible_ttft_ms":1540,"total_duration_ms":3378,"pre_inference_ms":146,"service_tbt_ms":27,"service_ttlt_ms":3516,"engine_ttft_ms":805,"engine_ttlt_ms":2635,"engine_tbt_ms":27}},"service_tier":"default","system_fingerprint":"fp_fd471178c5"}</t>
        </is>
      </c>
      <c r="X120" t="inlineStr">
        <is>
          <t>Celine：灰色Logo高筒针织袜，甄选柔软棉质混纺面料，配以精致Triomphe皮革标志刺绣设计，兼具舒适与时尚格调，男女皆宜，展现轻奢休闲风范。</t>
        </is>
      </c>
    </row>
    <row r="121" ht="25.5" customHeight="1">
      <c r="A121">
        <v>1654975475</v>
      </c>
      <c r="B121">
        <v>7624179613</v>
      </c>
      <c r="C121" s="2" t="str">
        <f>=HYPERLINK("https://weidian.com/item.html?itemID=7624179613", "https://weidian.com/item.html?itemID=7624179613")</f>
        <v>https://weidian.com/item.html?itemID=7624179613</v>
      </c>
      <c r="D121"/>
      <c r="E121" s="2" t="str">
        <f>=HYPERLINK("https://si.geilicdn.com/pcitem902014207253-658d0000019ae75224d30a239846_1440_1920.jpg?w=640&amp;h=640", "https://si.geilicdn.com/pcitem902014207253-658d0000019ae75224d30a239846_1440_1920.jpg?w=640&amp;h=640")</f>
        <v>https://si.geilicdn.com/pcitem902014207253-658d0000019ae75224d30a239846_1440_1920.jpg?w=640&amp;h=640</v>
      </c>
      <c r="F121" t="inlineStr">
        <is>
          <t>Socks &amp; Hosiery</t>
        </is>
      </c>
      <c r="G121" t="inlineStr">
        <is>
          <t>Alo</t>
        </is>
      </c>
      <c r="H121">
        <v>350</v>
      </c>
      <c r="I121">
        <v>50.72</v>
      </c>
      <c r="J12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loOther Black Square UV Protection Sunglasses","refusal":null,"role":"assistant"}}],"created":1778143028,"id":"chatcmpl-DcoWCyJAZcKktpAIAZFszyG6QRfb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51,"engine_ttft_ms":1019,"engine_ttlt_ms":1528,"pre_inference_ms":134,"service_tbt_ms":53,"service_ttft_ms":1501,"service_ttlt_ms":2005,"total_duration_ms":1896,"user_visible_ttft_ms":1367},"prompt_tokens":877,"prompt_tokens_details":{"audio_tokens":0,"cached_tokens":0},"total_tokens":887}}</t>
        </is>
      </c>
      <c r="K121" t="inlineStr">
        <is>
          <t>AloOther Black Square UV Protection Sunglasses</t>
        </is>
      </c>
      <c r="L12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loOther Black Square Sunglasses feature glossy acetate frames and gray-purple lenses. Unisex, lightweight, UV-protective design blending retro-inspired style with modern urban sophistication.","refusal":null,"role":"assistant"}}],"created":1778142234,"id":"chatcmpl-DcoJOUdRF0nDlaGFYPxRfPKxB57fL","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89,"engine_ttft_ms":963,"engine_ttlt_ms":4155,"pre_inference_ms":172,"service_tbt_ms":91,"service_ttft_ms":1234,"service_ttlt_ms":4384,"total_duration_ms":4352,"user_visible_ttft_ms":1062},"prompt_tokens":912,"prompt_tokens_details":{"audio_tokens":0,"cached_tokens":0},"total_tokens":948}}</t>
        </is>
      </c>
      <c r="M121" t="inlineStr">
        <is>
          <t>{"alt-svc":"h3=\":443\"; ma=2592000","apim-request-id":"17815349-bf96-46bf-9f1f-45200dc92042","azureml-model-session":"d20260501041445-2c187743","connection":"close","content-length":"1656","content-type":"application/json","date":"Thu, 07 May 2026 08:23:58 GMT","skip-error-remapping":"true","strict-transport-security":"max-age=31536000; includeSubDomains; preload","via":"1.1 Caddy","x-accel-buffering":"no","x-content-type-options":"nosniff","x-ms-client-request-id":"Not-Set","x-ms-is-spilled-over":"false","x-ms-rai-invoked":"true","x-ms-region":"East US","x-new-api-version":"v1.0.0-rc.4","x-oneapi-request-id":"202605070823529587287978268d9d6dZfre18o","x-ratelimit-abusepenalty-active":"False","x-ratelimit-key":"gpt-5-chat-global","x-ratelimit-limit-requests":"1000","x-ratelimit-limit-tokens":"1000000","x-ratelimit-remaining-requests":"999","x-ratelimit-remaining-tokens":"997973","x-ratelimit-renewalperiod-requests":"60","x-ratelimit-renewalperiod-tokens":"60","x-ratelimit-reset-requests":"0","x-ratelimit-reset-tokens":"0","x-request-id":"c420a199-9c03-4af7-861a-d17464257123","x-shellapi-request-id":"2026050716235272314683437812466"}</t>
        </is>
      </c>
      <c r="N121" t="inlineStr">
        <is>
          <t>AloOther Black Square Sunglasses feature glossy acetate frames and gray-purple lenses. Unisex, lightweight, UV-protective design blending retro-inspired style with modern urban sophistication.</t>
        </is>
      </c>
      <c r="O12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lo,Socks &amp; Hosiery,kakobuy,kakebuy2026,kekobuysheet,kakobuysheet2026,2026kakobuy,kakobuyspreadsheeet,kakobuylink,kakebuylist,Kakobuy MEGA Spreadsheet,kakobuysheetfind,kakobuysheetfind2026,2026kakobuysheetfind,kakobuysheet2026","refusal":null,"role":"assistant"}}],"created":1778143347,"id":"chatcmpl-DcobLix38ZPCIrrxDdXLKt9uZu1LJ","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77,"engine_ttft_ms":839,"engine_ttlt_ms":7756,"pre_inference_ms":194,"service_tbt_ms":77,"service_ttft_ms":1595,"service_ttlt_ms":8510,"total_duration_ms":8329,"user_visible_ttft_ms":1401},"prompt_tokens":786,"prompt_tokens_details":{"audio_tokens":0,"cached_tokens":0},"total_tokens":876}}</t>
        </is>
      </c>
      <c r="P121" t="inlineStr">
        <is>
          <t>Alo,Socks &amp; Hosiery,kakobuy,kakebuy2026,kekobuysheet,kakobuysheet2026,2026kakobuy,kakobuyspreadsheeet,kakobuylink,kakebuylist,Kakobuy MEGA Spreadsheet,kakobuysheetfind,kakobuysheetfind2026,2026kakobuysheetfind,kakobuysheet2026</t>
        </is>
      </c>
      <c r="Q121" t="inlineStr">
        <is>
          <t>Unisex, Lightweight, Retro, Acetate Fiber, Anti-Ultraviolet</t>
        </is>
      </c>
      <c r="R121" t="inlineStr">
        <is>
          <t>recvhju1Crf36z</t>
        </is>
      </c>
      <c r="S121" t="inlineStr">
        <is>
          <t>aloother-black-square-uv-protection-sunglasses-recvhju1crf36z</t>
        </is>
      </c>
      <c r="T121"/>
      <c r="U121"/>
      <c r="V121"/>
      <c r="W121" t="inlineStr">
        <is>
          <t>{"id":"chatcmpl-DcnllVC5fOx9HDz5SlGO4d7tpnpOY","object":"chat.completion","created":1778140149,"model":"gpt-5-chat-latest","choices":[{"index":0,"message":{"role":"assistant","content":"Other系列黑色方框太阳镜，采用亮面醋酸纤维材质，搭配灰紫色镜片设计，彰显简约摩登风格。男女皆宜，复古灵感融合现代线条，轻盈舒适贴合脸型，有效防紫外线，尽显都市时尚魅力。","refusal":null,"annotations":[]},"logprobs":null,"finish_reason":"stop"}],"usage":{"prompt_tokens":1301,"completion_tokens":76,"total_tokens":1377,"prompt_tokens_details":{"cached_tokens":1280,"audio_tokens":0},"completion_tokens_details":{"reasoning_tokens":0,"audio_tokens":0,"accepted_prediction_tokens":0,"rejected_prediction_tokens":0},"latency_checkpoint":{"service_ttft_ms":1911,"user_visible_ttft_ms":1655,"total_duration_ms":3825,"pre_inference_ms":256,"service_tbt_ms":29,"service_ttlt_ms":4066,"engine_ttft_ms":861,"engine_ttlt_ms":3011,"engine_tbt_ms":28}},"service_tier":"default","system_fingerprint":"fp_fd471178c5"}</t>
        </is>
      </c>
      <c r="X121" t="inlineStr">
        <is>
          <t>Other系列黑色方框太阳镜，采用亮面醋酸纤维材质，搭配灰紫色镜片设计，彰显简约摩登风格。男女皆宜，复古灵感融合现代线条，轻盈舒适贴合脸型，有效防紫外线，尽显都市时尚魅力。</t>
        </is>
      </c>
    </row>
    <row r="122" ht="25.5" customHeight="1">
      <c r="A122">
        <v>1654975475</v>
      </c>
      <c r="B122">
        <v>7627061180</v>
      </c>
      <c r="C122" s="2" t="str">
        <f>=HYPERLINK("https://weidian.com/item.html?itemID=7627061180", "https://weidian.com/item.html?itemID=7627061180")</f>
        <v>https://weidian.com/item.html?itemID=7627061180</v>
      </c>
      <c r="D122"/>
      <c r="E122" s="2" t="str">
        <f>=HYPERLINK("https://si.geilicdn.com/pcitem902014207253-49bb0000019ae748f4590a2304aa_1440_1440.jpg?w=640&amp;h=640", "https://si.geilicdn.com/pcitem902014207253-49bb0000019ae748f4590a2304aa_1440_1440.jpg?w=640&amp;h=640")</f>
        <v>https://si.geilicdn.com/pcitem902014207253-49bb0000019ae748f4590a2304aa_1440_1440.jpg?w=640&amp;h=640</v>
      </c>
      <c r="F122" t="inlineStr">
        <is>
          <t>Accessories</t>
        </is>
      </c>
      <c r="G122" t="inlineStr">
        <is>
          <t>Maison Kitsune</t>
        </is>
      </c>
      <c r="H122">
        <v>216</v>
      </c>
      <c r="I122">
        <v>31.3043478260869</v>
      </c>
      <c r="J12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aison Kitsune Black Waterproof Nylon Crossbody Bag","refusal":null,"role":"assistant"}}],"created":1778143095,"id":"chatcmpl-DcoXHXZK9gfCqd0SnzjhPB9lJo1q5","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10,"completion_tokens_details":{"accepted_prediction_tokens":0,"audio_tokens":0,"reasoning_tokens":0,"rejected_prediction_tokens":0},"latency_checkpoint":{"engine_tbt_ms":60,"engine_ttft_ms":920,"engine_ttlt_ms":1518,"pre_inference_ms":119,"service_tbt_ms":73,"service_ttft_ms":1261,"service_ttlt_ms":1866,"total_duration_ms":1867,"user_visible_ttft_ms":1142},"prompt_tokens":876,"prompt_tokens_details":{"audio_tokens":0,"cached_tokens":0},"total_tokens":886}}</t>
        </is>
      </c>
      <c r="K122" t="inlineStr">
        <is>
          <t>Maison Kitsune Black Waterproof Nylon Crossbody Bag</t>
        </is>
      </c>
      <c r="L12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aison Kitsuné black multifunctional crossbody bag, waterproof nylon, iconic fox logo print, detachable climbing rope strap, unisex design for urban style and modern light travel aesthetic.","refusal":null,"role":"assistant"}}],"created":1778142308,"id":"chatcmpl-DcoKaWF0DmLwzdBPhYPnKSyxVdTH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16,"engine_ttft_ms":864,"engine_ttlt_ms":1474,"pre_inference_ms":121,"service_tbt_ms":17,"service_ttft_ms":1632,"service_ttlt_ms":2241,"total_duration_ms":2128,"user_visible_ttft_ms":1511},"prompt_tokens":907,"prompt_tokens_details":{"audio_tokens":0,"cached_tokens":0},"total_tokens":944}}</t>
        </is>
      </c>
      <c r="M122" t="inlineStr">
        <is>
          <t>{"alt-svc":"h3=\":443\"; ma=2592000","apim-request-id":"bf8e1cfa-d506-4860-8dd5-c95449a12ae0","azureml-model-session":"d20260428174121-807d9cc5","connection":"close","content-length":"1654","content-type":"application/json","date":"Thu, 07 May 2026 08:25:09 GMT","server":"Caddy","skip-error-remapping":"true","strict-transport-security":"max-age=31536000; includeSubDomains; preload","x-accel-buffering":"no","x-content-type-options":"nosniff","x-ms-client-request-id":"Not-Set","x-ms-is-spilled-over":"false","x-ms-rai-invoked":"true","x-ms-region":"UK South","x-new-api-version":"v1.0.0-rc.4","x-oneapi-request-id":"202605070825065969411958268d9d61yR8LIuW","x-ratelimit-abusepenalty-active":"False","x-ratelimit-key":"gpt-5-chat-global","x-ratelimit-limit-requests":"1000","x-ratelimit-limit-tokens":"1000000","x-ratelimit-remaining-requests":"999","x-ratelimit-remaining-tokens":"998331","x-ratelimit-renewalperiod-requests":"60","x-ratelimit-renewalperiod-tokens":"60","x-ratelimit-reset-requests":"0","x-ratelimit-reset-tokens":"0","x-request-id":"b5609181-8ed5-4fdc-b1fd-9d95565208b9","x-shellapi-request-id":"2026050716250653423172947657515"}</t>
        </is>
      </c>
      <c r="N122" t="inlineStr">
        <is>
          <t>Maison Kitsuné black multifunctional crossbody bag, waterproof nylon, iconic fox logo print, detachable climbing rope strap, unisex design for urban style and modern light travel aesthetic.</t>
        </is>
      </c>
      <c r="O12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aison Kitsune, Accessories, kakobuy, kakebuy2026, kekobuysheet, kakobuysheet2026, 2026kakobuy, kakobuyspreadsheeet, kakobuylink, kakebuylist, Kakobuy MEGA Spreadsheet, kakobuysheetfind, kakobuysheetfind2026, 2026kakobuysheetfind, kakobuysheet2026","refusal":null,"role":"assistant"}}],"created":1778143417,"id":"chatcmpl-DcocTyQdf3zt55NoxnomVmgvhZox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71,"engine_ttft_ms":1534,"engine_ttlt_ms":8026,"pre_inference_ms":129,"service_tbt_ms":71,"service_ttft_ms":2109,"service_ttlt_ms":8600,"total_duration_ms":8482,"user_visible_ttft_ms":1980},"prompt_tokens":783,"prompt_tokens_details":{"audio_tokens":0,"cached_tokens":0},"total_tokens":875}}</t>
        </is>
      </c>
      <c r="P122" t="inlineStr">
        <is>
          <t>Maison Kitsune, Accessories, kakobuy, kakebuy2026, kekobuysheet, kakobuysheet2026, 2026kakobuy, kakobuyspreadsheeet, kakobuylink, kakebuylist, Kakobuy MEGA Spreadsheet, kakobuysheetfind, kakobuysheetfind2026, 2026kakobuysheetfind, kakobuysheet2026</t>
        </is>
      </c>
      <c r="Q122" t="inlineStr">
        <is>
          <t>Waterproof, Nylon, Unisex, Modern</t>
        </is>
      </c>
      <c r="R122" t="inlineStr">
        <is>
          <t>recvhju1CrRp0V</t>
        </is>
      </c>
      <c r="S122" t="inlineStr">
        <is>
          <t>maison-kitsune-black-waterproof-nylon-crossbody-recvhju1crrp0v</t>
        </is>
      </c>
      <c r="T122"/>
      <c r="U122"/>
      <c r="V122"/>
      <c r="W122" t="inlineStr">
        <is>
          <t>{"id":"chatcmpl-DcnsLSVAakSFdtXIXBkWcov9t1GW6","object":"chat.completion","created":1778140557,"model":"gpt-5-chat-latest","choices":[{"index":0,"message":{"role":"assistant","content":"Maison Kitsuné：黑色多功能小挎包，采用防水尼龙面料，正面印有品牌狐狸标识，简约实用设计融合都市休闲与法式潮流风格，配可拆卸登山绳肩带，男女皆宜，展现现代轻出行美学。","refusal":null,"annotations":[]},"logprobs":null,"finish_reason":"stop"}],"usage":{"prompt_tokens":1301,"completion_tokens":73,"total_tokens":1374,"prompt_tokens_details":{"cached_tokens":1280,"audio_tokens":0},"completion_tokens_details":{"reasoning_tokens":0,"audio_tokens":0,"accepted_prediction_tokens":0,"rejected_prediction_tokens":0},"latency_checkpoint":{"service_ttft_ms":826,"user_visible_ttft_ms":646,"total_duration_ms":9428,"pre_inference_ms":180,"service_tbt_ms":120,"service_ttlt_ms":9591,"engine_ttft_ms":569,"engine_ttlt_ms":9335,"engine_tbt_ms":120}},"service_tier":"default","system_fingerprint":"fp_fd471178c5"}</t>
        </is>
      </c>
      <c r="X122" t="inlineStr">
        <is>
          <t>Maison Kitsuné：黑色多功能小挎包，采用防水尼龙面料，正面印有品牌狐狸标识，简约实用设计融合都市休闲与法式潮流风格，配可拆卸登山绳肩带，男女皆宜，展现现代轻出行美学。</t>
        </is>
      </c>
    </row>
    <row r="123" ht="25.5" customHeight="1">
      <c r="A123">
        <v>1654975475</v>
      </c>
      <c r="B123">
        <v>7626907994</v>
      </c>
      <c r="C123" s="2" t="str">
        <f>=HYPERLINK("https://weidian.com/item.html?itemID=7626907994", "https://weidian.com/item.html?itemID=7626907994")</f>
        <v>https://weidian.com/item.html?itemID=7626907994</v>
      </c>
      <c r="D123"/>
      <c r="E123" s="2" t="str">
        <f>=HYPERLINK("https://si.geilicdn.com/pcitem2014204438-3ecc0000019ae4a156dd0a811411_1425_1280.jpg?w=640&amp;h=640", "https://si.geilicdn.com/pcitem2014204438-3ecc0000019ae4a156dd0a811411_1425_1280.jpg?w=640&amp;h=640")</f>
        <v>https://si.geilicdn.com/pcitem2014204438-3ecc0000019ae4a156dd0a811411_1425_1280.jpg?w=640&amp;h=640</v>
      </c>
      <c r="F123" t="inlineStr">
        <is>
          <t>Accessories</t>
        </is>
      </c>
      <c r="G123" t="inlineStr">
        <is>
          <t>Ralph Lauren</t>
        </is>
      </c>
      <c r="H123">
        <v>310</v>
      </c>
      <c r="I123">
        <v>44.93</v>
      </c>
      <c r="J1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Vintage Khaki Canvas Backpack","refusal":null,"role":"assistant"}}],"created":1778142868,"id":"chatcmpl-DcoTcKoSqLjANOW0gPVqhyFRsPQU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completion_tokens_details":{"accepted_prediction_tokens":0,"audio_tokens":0,"reasoning_tokens":0,"rejected_prediction_tokens":0},"latency_checkpoint":{"engine_tbt_ms":19,"engine_ttft_ms":847,"engine_ttlt_ms":1018,"pre_inference_ms":107,"service_tbt_ms":20,"service_ttft_ms":1727,"service_ttlt_ms":1897,"total_duration_ms":1797,"user_visible_ttft_ms":1619},"prompt_tokens":878,"prompt_tokens_details":{"audio_tokens":0,"cached_tokens":0},"total_tokens":887}}</t>
        </is>
      </c>
      <c r="K123" t="inlineStr">
        <is>
          <t>Ralph Lauren Vintage Khaki Canvas Backpack</t>
        </is>
      </c>
      <c r="L1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Vintage Khaki Canvas Backpack, minimalist flap drawstring design, multi-pocket layout, durable wear-resistant fabric, blending American collegiate and retro outdoor style, unisex and stylish.","refusal":null,"role":"assistant"}}],"created":1778142242,"id":"chatcmpl-DcoJWZlnwPYSTdlJAiwHqM3jPrxe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21,"engine_ttft_ms":332,"engine_ttlt_ms":1127,"pre_inference_ms":232,"service_tbt_ms":85,"service_ttft_ms":693,"service_ttlt_ms":3905,"total_duration_ms":3698,"user_visible_ttft_ms":461},"prompt_tokens":901,"prompt_tokens_details":{"audio_tokens":0,"cached_tokens":0},"total_tokens":939}}</t>
        </is>
      </c>
      <c r="M123" t="inlineStr">
        <is>
          <t>{"alt-svc":"h3=\":443\"; ma=2592000","apim-request-id":"59083f80-515f-4542-b285-3b1da60d8b25","azureml-model-session":"d20260428174121-807d9cc5","connection":"close","content-length":"1666","content-type":"application/json","date":"Thu, 07 May 2026 08:24:06 GMT","skip-error-remapping":"true","strict-transport-security":"max-age=31536000; includeSubDomains; preload","via":"1.1 Caddy","x-accel-buffering":"no","x-content-type-options":"nosniff","x-ms-client-request-id":"Not-Set","x-ms-is-spilled-over":"false","x-ms-rai-invoked":"true","x-ms-region":"East US 2","x-new-api-version":"v1.0.0-rc.4","x-oneapi-request-id":"202605070824017917510258268d9d6qNjnzewd","x-ratelimit-abusepenalty-active":"False","x-ratelimit-key":"gpt-5-chat-global","x-ratelimit-limit-requests":"1000","x-ratelimit-limit-tokens":"1000000","x-ratelimit-remaining-requests":"998","x-ratelimit-remaining-tokens":"996954","x-ratelimit-renewalperiod-requests":"60","x-ratelimit-renewalperiod-tokens":"60","x-ratelimit-reset-requests":"0","x-ratelimit-reset-tokens":"0","x-request-id":"3481a0d1-3858-436d-8043-5d5b11ec48eb","x-shellapi-request-id":"2026050716240173248010745249610"}</t>
        </is>
      </c>
      <c r="N123" t="inlineStr">
        <is>
          <t>Ralph Lauren Vintage Khaki Canvas Backpack, minimalist flap drawstring design, multi-pocket layout, durable wear-resistant fabric, blending American collegiate and retro outdoor style, unisex and stylish.</t>
        </is>
      </c>
      <c r="O12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Accessories, kakobuy, kakebuy2026, kekobuysheet, kakobuysheet2026, 2026kakobuy, kakobuyspreadsheeet, kakobuylink, kakebuylist, Kakobuy MEGA Spreadsheet, kakobuysheetfind, kakobuysheetfind2026, 2026kakobuysheetfind, kakobuysheet2026","refusal":null,"role":"assistant"}}],"created":1778143385,"id":"chatcmpl-Dcobx1WnwqeggvttyB0JfXuOfpkCt","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92,"completion_tokens_details":{"accepted_prediction_tokens":0,"audio_tokens":0,"reasoning_tokens":0,"rejected_prediction_tokens":0},"latency_checkpoint":{"engine_tbt_ms":59,"engine_ttft_ms":282,"engine_ttlt_ms":5728,"pre_inference_ms":156,"service_tbt_ms":59,"service_ttft_ms":520,"service_ttlt_ms":5963,"total_duration_ms":5817,"user_visible_ttft_ms":364},"prompt_tokens":783,"prompt_tokens_details":{"audio_tokens":0,"cached_tokens":0},"total_tokens":875}}</t>
        </is>
      </c>
      <c r="P123" t="inlineStr">
        <is>
          <t>Ralph Lauren, Accessories, kakobuy, kakebuy2026, kekobuysheet, kakobuysheet2026, 2026kakobuy, kakobuyspreadsheeet, kakobuylink, kakebuylist, Kakobuy MEGA Spreadsheet, kakobuysheetfind, kakobuysheetfind2026, 2026kakobuysheetfind, kakobuysheet2026</t>
        </is>
      </c>
      <c r="Q123" t="inlineStr">
        <is>
          <t>Backpack, Canvas, Minimalist, Retro, Unisex</t>
        </is>
      </c>
      <c r="R123" t="inlineStr">
        <is>
          <t>recvhju1CrB6wN</t>
        </is>
      </c>
      <c r="S123" t="inlineStr">
        <is>
          <t>ralph-lauren-vintage-khaki-canvas-backpack-recvhju1crb6wn</t>
        </is>
      </c>
      <c r="T123"/>
      <c r="U123"/>
      <c r="V123"/>
      <c r="W123" t="inlineStr">
        <is>
          <t>{"id":"chatcmpl-DcnxSNmUnTKmKzWPuBTeIDyJLhaZw","object":"chat.completion","created":1778140874,"model":"gpt-5-chat-latest","choices":[{"index":0,"message":{"role":"assistant","content":"Ralph Lauren：复古卡其色帆布双肩包，简约翻盖抽绳设计，多口袋实用布局，结实耐磨帆布材质，融合美式学院风与户外复古元素，男女皆宜，兼具时尚感与功能性。","refusal":null,"annotations":[]},"logprobs":null,"finish_reason":"stop"}],"usage":{"prompt_tokens":1301,"completion_tokens":68,"total_tokens":1369,"prompt_tokens_details":{"cached_tokens":0,"audio_tokens":0},"completion_tokens_details":{"reasoning_tokens":0,"audio_tokens":0,"accepted_prediction_tokens":0,"rejected_prediction_tokens":0},"latency_checkpoint":{"service_ttft_ms":940,"user_visible_ttft_ms":781,"total_duration_ms":9853,"pre_inference_ms":159,"service_tbt_ms":133,"service_ttlt_ms":9992,"engine_ttft_ms":701,"engine_ttlt_ms":9757,"engine_tbt_ms":133}},"service_tier":"default","system_fingerprint":"fp_fd471178c5"}</t>
        </is>
      </c>
      <c r="X123" t="inlineStr">
        <is>
          <t>Ralph Lauren：复古卡其色帆布双肩包，简约翻盖抽绳设计，多口袋实用布局，结实耐磨帆布材质，融合美式学院风与户外复古元素，男女皆宜，兼具时尚感与功能性。</t>
        </is>
      </c>
    </row>
    <row r="124" ht="25.5" customHeight="1">
      <c r="A124">
        <v>1654975475</v>
      </c>
      <c r="B124">
        <v>7626854932</v>
      </c>
      <c r="C124" s="2" t="str">
        <f>=HYPERLINK("https://weidian.com/item.html?itemID=7626854932", "https://weidian.com/item.html?itemID=7626854932")</f>
        <v>https://weidian.com/item.html?itemID=7626854932</v>
      </c>
      <c r="D124"/>
      <c r="E124" s="2" t="str">
        <f>=HYPERLINK("https://si.geilicdn.com/pcitem2014204438-72020000019ae499db240a210256_1440_1920.jpg?w=640&amp;h=640", "https://si.geilicdn.com/pcitem2014204438-72020000019ae499db240a210256_1440_1920.jpg?w=640&amp;h=640")</f>
        <v>https://si.geilicdn.com/pcitem2014204438-72020000019ae499db240a210256_1440_1920.jpg?w=640&amp;h=640</v>
      </c>
      <c r="F124" t="inlineStr">
        <is>
          <t>Accessories</t>
        </is>
      </c>
      <c r="G124" t="inlineStr">
        <is>
          <t>On Running</t>
        </is>
      </c>
      <c r="H124">
        <v>360</v>
      </c>
      <c r="I124">
        <v>52.17</v>
      </c>
      <c r="J12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n Running Sand Waterproof Nylon Sports Backpack","refusal":null,"role":"assistant"}}],"created":1778142921,"id":"chatcmpl-DcoUT7MGzIUa7hFWKXhZFpqesAQi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completion_tokens_details":{"accepted_prediction_tokens":0,"audio_tokens":0,"reasoning_tokens":0,"rejected_prediction_tokens":0},"latency_checkpoint":{"engine_tbt_ms":18,"engine_ttft_ms":373,"engine_ttlt_ms":517,"pre_inference_ms":127,"service_tbt_ms":19,"service_ttft_ms":670,"service_ttlt_ms":814,"total_duration_ms":694,"user_visible_ttft_ms":543},"prompt_tokens":875,"prompt_tokens_details":{"audio_tokens":0,"cached_tokens":0},"total_tokens":883}}</t>
        </is>
      </c>
      <c r="K124" t="inlineStr">
        <is>
          <t>On Running Sand Waterproof Nylon Sports Backpack</t>
        </is>
      </c>
      <c r="L12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n Running Sand Lightweight Multi-Functional Backpack, made from waterproof nylon with a minimalist design, adjustable straps, and multi-layer storage, perfect for urban sports, commuting, and travel.","refusal":null,"role":"assistant"}}],"created":1778142102,"id":"chatcmpl-DcoHGyfONfGKnqWMwax2V9549t69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37,"completion_tokens_details":{"accepted_prediction_tokens":0,"audio_tokens":0,"reasoning_tokens":0,"rejected_prediction_tokens":0},"latency_checkpoint":{"engine_tbt_ms":76,"engine_ttft_ms":1453,"engine_ttlt_ms":4276,"pre_inference_ms":135,"service_tbt_ms":76,"service_ttft_ms":2024,"service_ttlt_ms":4836,"total_duration_ms":4711,"user_visible_ttft_ms":1889},"prompt_tokens":891,"prompt_tokens_details":{"audio_tokens":0,"cached_tokens":0},"total_tokens":928}}</t>
        </is>
      </c>
      <c r="M124" t="inlineStr">
        <is>
          <t>{"alt-svc":"h3=\":443\"; ma=2592000","apim-request-id":"7f0cbd84-be90-41f1-8380-c2e7feacc64e","azureml-model-session":"d20260501060506-201eb233","connection":"close","content-length":"1665","content-type":"application/json","date":"Thu, 07 May 2026 08:21:47 GMT","skip-error-remapping":"true","strict-transport-security":"max-age=31536000; includeSubDomains; preload","via":"1.1 Caddy","x-accel-buffering":"no","x-content-type-options":"nosniff","x-ms-client-request-id":"Not-Set","x-ms-is-spilled-over":"false","x-ms-rai-invoked":"true","x-ms-region":"Korea Central","x-new-api-version":"v1.0.0-rc.4","x-oneapi-request-id":"20260507082141339881108268d9d6NQbMMKkl","x-ratelimit-abusepenalty-active":"False","x-ratelimit-key":"gpt-5-chat-global","x-ratelimit-limit-requests":"1000","x-ratelimit-limit-tokens":"1000000","x-ratelimit-remaining-requests":"999","x-ratelimit-remaining-tokens":"998347","x-ratelimit-renewalperiod-requests":"60","x-ratelimit-renewalperiod-tokens":"60","x-ratelimit-reset-requests":"0","x-ratelimit-reset-tokens":"0","x-request-id":"d55212f8-33b1-4459-bc9b-29d14d114def","x-shellapi-request-id":"2026050716214098128748820316087"}</t>
        </is>
      </c>
      <c r="N124" t="inlineStr">
        <is>
          <t>On Running Sand Lightweight Multi-Functional Backpack, made from waterproof nylon with a minimalist design, adjustable straps, and multi-layer storage, perfect for urban sports, commuting, and travel.</t>
        </is>
      </c>
      <c r="O12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On Running, Bag, kakobuy, kakebuy2026, kekobuysheet, kakobuysheet2026, 2026kakobuy, kakobuyspreadsheeet, kakobuylink, kakebuylist, Kakobuy MEGA Spreadsheet, kakobuysheetfind, kakobuysheetfind2026, 2026kakobuysheetfind, kakobuysheet2026","refusal":null,"role":"assistant"}}],"created":1778143379,"id":"chatcmpl-Dcobr39LaldvVx2gEoelLiBpJqZWS","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91,"completion_tokens_details":{"accepted_prediction_tokens":0,"audio_tokens":0,"reasoning_tokens":0,"rejected_prediction_tokens":0},"latency_checkpoint":{"engine_tbt_ms":21,"engine_ttft_ms":407,"engine_ttlt_ms":2315,"pre_inference_ms":222,"service_tbt_ms":21,"service_ttft_ms":802,"service_ttlt_ms":2710,"total_duration_ms":2498,"user_visible_ttft_ms":580},"prompt_tokens":782,"prompt_tokens_details":{"audio_tokens":0,"cached_tokens":0},"total_tokens":873}}</t>
        </is>
      </c>
      <c r="P124" t="inlineStr">
        <is>
          <t>On Running, Bag, kakobuy, kakebuy2026, kekobuysheet, kakobuysheet2026, 2026kakobuy, kakobuyspreadsheeet, kakobuylink, kakebuylist, Kakobuy MEGA Spreadsheet, kakobuysheetfind, kakobuysheetfind2026, 2026kakobuysheetfind, kakobuysheet2026</t>
        </is>
      </c>
      <c r="Q124" t="inlineStr">
        <is>
          <t>Backpack, Nylon, Waterproof, Lightweight, Minimalist, Multi-Purpose</t>
        </is>
      </c>
      <c r="R124" t="inlineStr">
        <is>
          <t>recvhju1CrP5U8</t>
        </is>
      </c>
      <c r="S124" t="inlineStr">
        <is>
          <t>on-running-sand-waterproof-nylon-sports-backpack-recvhju1crp5u8</t>
        </is>
      </c>
      <c r="T124"/>
      <c r="U124"/>
      <c r="V124"/>
      <c r="W124" t="inlineStr">
        <is>
          <t>{"id":"chatcmpl-DcnsmbvgbIkAJXfk3MKemTgQZHFA1","object":"chat.completion","created":1778140584,"model":"gpt-5-chat-latest","choices":[{"index":0,"message":{"role":"assistant","content":"On Running：沙色轻量多功能运动背包，采用防水尼龙面料与极简设计，配备调节肩带与多层收纳结构，展现现代都市运动风格，男女通用，兼顾通勤与旅行实用性。","refusal":null,"annotations":[]},"logprobs":null,"finish_reason":"stop"}],"usage":{"prompt_tokens":1293,"completion_tokens":61,"total_tokens":1354,"prompt_tokens_details":{"cached_tokens":0,"audio_tokens":0},"completion_tokens_details":{"reasoning_tokens":0,"audio_tokens":0,"accepted_prediction_tokens":0,"rejected_prediction_tokens":0},"latency_checkpoint":{"service_ttft_ms":1215,"user_visible_ttft_ms":1055,"total_duration_ms":6976,"pre_inference_ms":160,"service_tbt_ms":97,"service_ttlt_ms":7124,"engine_ttft_ms":1002,"engine_ttlt_ms":6912,"engine_tbt_ms":97}},"service_tier":"default","system_fingerprint":"fp_fd471178c5"}</t>
        </is>
      </c>
      <c r="X124" t="inlineStr">
        <is>
          <t>On Running：沙色轻量多功能运动背包，采用防水尼龙面料与极简设计，配备调节肩带与多层收纳结构，展现现代都市运动风格，男女通用，兼顾通勤与旅行实用性。</t>
        </is>
      </c>
    </row>
    <row r="125" ht="25.5" customHeight="1">
      <c r="A125">
        <v>1654975475</v>
      </c>
      <c r="B125">
        <v>7623841115</v>
      </c>
      <c r="C125" s="2" t="str">
        <f>=HYPERLINK("https://weidian.com/item.html?itemID=7623841115", "https://weidian.com/item.html?itemID=7623841115")</f>
        <v>https://weidian.com/item.html?itemID=7623841115</v>
      </c>
      <c r="D125"/>
      <c r="E125" s="2" t="str">
        <f>=HYPERLINK("https://si.geilicdn.com/pcitem2014204438-67bf0000019ae4906ada0a20e672_1500_1500.jpg?w=640&amp;h=640", "https://si.geilicdn.com/pcitem2014204438-67bf0000019ae4906ada0a20e672_1500_1500.jpg?w=640&amp;h=640")</f>
        <v>https://si.geilicdn.com/pcitem2014204438-67bf0000019ae4906ada0a20e672_1500_1500.jpg?w=640&amp;h=640</v>
      </c>
      <c r="F125" t="inlineStr">
        <is>
          <t>Accessories</t>
        </is>
      </c>
      <c r="G125" t="inlineStr">
        <is>
          <t>lululemon</t>
        </is>
      </c>
      <c r="H125">
        <v>310</v>
      </c>
      <c r="I125">
        <v>44.93</v>
      </c>
      <c r="J12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Lululemon Minimalist Black Waterproof Nylon Sport Backpack","refusal":null,"role":"assistant"}}],"created":1778143075,"id":"chatcmpl-DcoWxvl7sKoOl7j8p1ToQzySIHGbK","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78,"engine_ttft_ms":783,"engine_ttlt_ms":1713,"pre_inference_ms":134,"service_tbt_ms":78,"service_ttft_ms":1185,"service_ttlt_ms":2115,"total_duration_ms":1990,"user_visible_ttft_ms":1051},"prompt_tokens":874,"prompt_tokens_details":{"audio_tokens":0,"cached_tokens":0},"total_tokens":886}}</t>
        </is>
      </c>
      <c r="K125" t="inlineStr">
        <is>
          <t>Lululemon Minimalist Black Waterproof Nylon Sport Backpack</t>
        </is>
      </c>
      <c r="L12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 Minimalist Waterproof Nylon Double-Layer Backpack in Black, lightweight and durable with sleek metal zippers, unisex design for sporty urban style and everyday functionality.","refusal":null,"role":"assistant"}}],"created":1778142130,"id":"chatcmpl-DcoHi3iMt8EwjMa4r5TznbUaCCWD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18,"engine_ttft_ms":865,"engine_ttlt_ms":1508,"pre_inference_ms":115,"service_tbt_ms":18,"service_ttft_ms":1300,"service_ttlt_ms":1943,"total_duration_ms":1839,"user_visible_ttft_ms":1186},"prompt_tokens":881,"prompt_tokens_details":{"audio_tokens":0,"cached_tokens":0},"total_tokens":917}}</t>
        </is>
      </c>
      <c r="M125" t="inlineStr">
        <is>
          <t>{"alt-svc":"h3=\":443\"; ma=2592000","apim-request-id":"933511f5-ee78-4264-b094-0e7ae4bf421f","azureml-model-session":"d20260428165144-a78ba574","connection":"close","content-length":"1648","content-type":"application/json","date":"Thu, 07 May 2026 08:22:11 GMT","skip-error-remapping":"true","strict-transport-security":"max-age=31536000; includeSubDomains; preload","via":"1.1 Caddy","x-accel-buffering":"no","x-content-type-options":"nosniff","x-ms-client-request-id":"Not-Set","x-ms-is-spilled-over":"false","x-ms-rai-invoked":"true","x-ms-region":"Korea Central","x-new-api-version":"v1.0.0-rc.4","x-oneapi-request-id":"202605070822087890977558268d9d6vkPFgcIP","x-ratelimit-abusepenalty-active":"False","x-ratelimit-key":"gpt-5-chat-global","x-ratelimit-limit-requests":"1000","x-ratelimit-limit-tokens":"1000000","x-ratelimit-remaining-requests":"999","x-ratelimit-remaining-tokens":"998357","x-ratelimit-renewalperiod-requests":"60","x-ratelimit-renewalperiod-tokens":"60","x-ratelimit-reset-requests":"0","x-ratelimit-reset-tokens":"0","x-request-id":"dcd2a9f7-56a4-40d3-992e-f6aeb30054fd","x-shellapi-request-id":"2026050716220873736279215867437"}</t>
        </is>
      </c>
      <c r="N125" t="inlineStr">
        <is>
          <t>Lululemon Minimalist Waterproof Nylon Double-Layer Backpack in Black, lightweight and durable with sleek metal zippers, unisex design for sporty urban style and everyday functionality.</t>
        </is>
      </c>
      <c r="O12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ululemon,Backpack,kakobuy,kakebuy2026,kekobuysheet,kakobuysheet2026,2026kakobuy,kakobuyspreadsheeet,kakobuylink,kakebuylist,Kakobuy MEGA Spreadsheet,kakobuysheetfind,kakobuysheetfind2026,2026kakobuysheetfind,kakobuysheet2026","refusal":null,"role":"assistant"}}],"created":1778143589,"id":"chatcmpl-DcofFoxvytKjbz726sNJ8sv1wdzZ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22,"engine_ttft_ms":355,"engine_ttlt_ms":2335,"pre_inference_ms":126,"service_tbt_ms":22,"service_ttft_ms":764,"service_ttlt_ms":2743,"total_duration_ms":2631,"user_visible_ttft_ms":638},"prompt_tokens":783,"prompt_tokens_details":{"audio_tokens":0,"cached_tokens":0},"total_tokens":872}}</t>
        </is>
      </c>
      <c r="P125" t="inlineStr">
        <is>
          <t>lululemon,Backpack,kakobuy,kakebuy2026,kekobuysheet,kakobuysheet2026,2026kakobuy,kakobuyspreadsheeet,kakobuylink,kakebuylist,Kakobuy MEGA Spreadsheet,kakobuysheetfind,kakobuysheetfind2026,2026kakobuysheetfind,kakobuysheet2026</t>
        </is>
      </c>
      <c r="Q125" t="inlineStr">
        <is>
          <t>Backpack, Black, Minimalist, Waterproof, Nylon, Unisex</t>
        </is>
      </c>
      <c r="R125" t="inlineStr">
        <is>
          <t>recvhju1CriuUD</t>
        </is>
      </c>
      <c r="S125" t="inlineStr">
        <is>
          <t>lululemon-minimalist-black-waterproof-nylon-sport-backpack-recvhju1criuud</t>
        </is>
      </c>
      <c r="T125"/>
      <c r="U125"/>
      <c r="V125"/>
      <c r="W125" t="inlineStr">
        <is>
          <t>{"id":"chatcmpl-DcnummnbNIZ4FMu9EvCyIi5XhU81t","object":"chat.completion","created":1778140708,"model":"gpt-5-chat-latest","choices":[{"index":0,"message":{"role":"assistant","content":"Lululemon 极简系列黑色防水尼龙双层背包，轻盈耐磨，金属拉链设计凸显现代都市感，男女皆宜，兼具运动与时尚功能。","refusal":null,"annotations":[]},"logprobs":null,"finish_reason":"stop"}],"usage":{"prompt_tokens":1301,"completion_tokens":47,"total_tokens":1348,"prompt_tokens_details":{"cached_tokens":0,"audio_tokens":0},"completion_tokens_details":{"reasoning_tokens":0,"audio_tokens":0,"accepted_prediction_tokens":0,"rejected_prediction_tokens":0},"latency_checkpoint":{"service_ttft_ms":780,"user_visible_ttft_ms":551,"total_duration_ms":2088,"pre_inference_ms":229,"service_tbt_ms":33,"service_ttlt_ms":2304,"engine_ttft_ms":380,"engine_ttlt_ms":1905,"engine_tbt_ms":32}},"service_tier":"default","system_fingerprint":"fp_fd471178c5"}</t>
        </is>
      </c>
      <c r="X125" t="inlineStr">
        <is>
          <t>Lululemon 极简系列黑色防水尼龙双层背包，轻盈耐磨，金属拉链设计凸显现代都市感，男女皆宜，兼具运动与时尚功能。</t>
        </is>
      </c>
    </row>
    <row r="126" ht="25.5" customHeight="1">
      <c r="A126">
        <v>1654975475</v>
      </c>
      <c r="B126">
        <v>7626862812</v>
      </c>
      <c r="C126" s="2" t="str">
        <f>=HYPERLINK("https://weidian.com/item.html?itemID=7626862812", "https://weidian.com/item.html?itemID=7626862812")</f>
        <v>https://weidian.com/item.html?itemID=7626862812</v>
      </c>
      <c r="D126"/>
      <c r="E126" s="2" t="str">
        <f>=HYPERLINK("https://si.geilicdn.com/pcitem2014204438-74d00000019ae48a38660a23111a_1080_1440.jpg?w=640&amp;h=640", "https://si.geilicdn.com/pcitem2014204438-74d00000019ae48a38660a23111a_1080_1440.jpg?w=640&amp;h=640")</f>
        <v>https://si.geilicdn.com/pcitem2014204438-74d00000019ae48a38660a23111a_1080_1440.jpg?w=640&amp;h=640</v>
      </c>
      <c r="F126" t="inlineStr">
        <is>
          <t>Accessories</t>
        </is>
      </c>
      <c r="G126" t="inlineStr">
        <is>
          <t>Arc Teryx</t>
        </is>
      </c>
      <c r="H126">
        <v>256</v>
      </c>
      <c r="I126">
        <v>37.1</v>
      </c>
      <c r="J1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Grey Orange Ripstop Nylon Waist Pack","refusal":null,"role":"assistant"}}],"created":1778142843,"id":"chatcmpl-DcoTDYjkPicrYBYJ7IyVt7vZUfPy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28,"engine_ttft_ms":380,"engine_ttlt_ms":715,"pre_inference_ms":157,"service_tbt_ms":29,"service_ttft_ms":696,"service_ttlt_ms":1032,"total_duration_ms":881,"user_visible_ttft_ms":538},"prompt_tokens":875,"prompt_tokens_details":{"audio_tokens":0,"cached_tokens":0},"total_tokens":887}}</t>
        </is>
      </c>
      <c r="K126" t="inlineStr">
        <is>
          <t>Arc'teryx Grey Orange Ripstop Nylon Waist Pack</t>
        </is>
      </c>
      <c r="L1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Grey Orange Lightweight Waist Pack, ripstop nylon with red clip and embroidered logo, unisex design for urban commuting or hiking, blending utility and outdoor style.","refusal":null,"role":"assistant"}}],"created":1778142202,"id":"chatcmpl-DcoIs5ypMG7b3bybFQhWeBeZoeAa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36,"completion_tokens_details":{"accepted_prediction_tokens":0,"audio_tokens":0,"reasoning_tokens":0,"rejected_prediction_tokens":0},"latency_checkpoint":{"engine_tbt_ms":71,"engine_ttft_ms":1276,"engine_ttlt_ms":3837,"pre_inference_ms":154,"service_tbt_ms":71,"service_ttft_ms":1790,"service_ttlt_ms":4351,"total_duration_ms":4205,"user_visible_ttft_ms":1635},"prompt_tokens":915,"prompt_tokens_details":{"audio_tokens":0,"cached_tokens":0},"total_tokens":951}}</t>
        </is>
      </c>
      <c r="M126" t="inlineStr">
        <is>
          <t>{"alt-svc":"h3=\":443\"; ma=2592000","apim-request-id":"ac05f295-b4f5-4d3b-a08d-f998347d5183","azureml-model-session":"d20260501060506-201eb233","connection":"close","content-length":"1641","content-type":"application/json","date":"Thu, 07 May 2026 08:23:26 GMT","skip-error-remapping":"true","strict-transport-security":"max-age=31536000; includeSubDomains; preload","via":"1.1 Caddy","x-accel-buffering":"no","x-content-type-options":"nosniff","x-ms-client-request-id":"Not-Set","x-ms-is-spilled-over":"false","x-ms-rai-invoked":"true","x-ms-region":"Japan East","x-new-api-version":"v1.0.0-rc.4","x-oneapi-request-id":"202605070823212145832548268d9d69VvsDtUC","x-ratelimit-abusepenalty-active":"False","x-ratelimit-key":"gpt-5-chat-global","x-ratelimit-limit-requests":"1000","x-ratelimit-limit-tokens":"1000000","x-ratelimit-remaining-requests":"999","x-ratelimit-remaining-tokens":"998323","x-ratelimit-renewalperiod-requests":"60","x-ratelimit-renewalperiod-tokens":"60","x-ratelimit-reset-requests":"0","x-ratelimit-reset-tokens":"0","x-request-id":"0bd2be07-00a9-412a-a4c1-4a659614cbd6","x-shellapi-request-id":"2026050716232116239400397574087"}</t>
        </is>
      </c>
      <c r="N126" t="inlineStr">
        <is>
          <t>Arc'teryx Grey Orange Lightweight Waist Pack, ripstop nylon with red clip and embroidered logo, unisex design for urban commuting or hiking, blending utility and outdoor style.</t>
        </is>
      </c>
      <c r="O1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 Teryx,Accessories,kakobuy,kakebuy2026,kekobuysheet,kakobuysheet2026,2026kakobuy,kakobuyspreadsheeet,kakobuylink,kakebuylist,Kakobuy MEGA Spreadsheet,kakobuysheetfind,kakobuysheetfind2026,2026kakobuysheetfind,kakobuysheet2026","refusal":null,"role":"assistant"}}],"created":1778143451,"id":"chatcmpl-Dcod108sR8n6VREm3PljJSdxukIS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89,"completion_tokens_details":{"accepted_prediction_tokens":0,"audio_tokens":0,"reasoning_tokens":0,"rejected_prediction_tokens":0},"latency_checkpoint":{"engine_tbt_ms":22,"engine_ttft_ms":873,"engine_ttlt_ms":2810,"pre_inference_ms":151,"service_tbt_ms":22,"service_ttft_ms":1678,"service_ttlt_ms":3614,"total_duration_ms":3470,"user_visible_ttft_ms":1527},"prompt_tokens":784,"prompt_tokens_details":{"audio_tokens":0,"cached_tokens":0},"total_tokens":873}}</t>
        </is>
      </c>
      <c r="P126" t="inlineStr">
        <is>
          <t>Arc Teryx,Accessories,kakobuy,kakebuy2026,kekobuysheet,kakobuysheet2026,2026kakobuy,kakobuyspreadsheeet,kakobuylink,kakebuylist,Kakobuy MEGA Spreadsheet,kakobuysheetfind,kakobuysheetfind2026,2026kakobuysheetfind,kakobuysheet2026</t>
        </is>
      </c>
      <c r="Q126" t="inlineStr">
        <is>
          <t>Grey Orange, Lightweight, Unisex, Outdoor, Nylon</t>
        </is>
      </c>
      <c r="R126" t="inlineStr">
        <is>
          <t>recvhju1CruuWt</t>
        </is>
      </c>
      <c r="S126" t="inlineStr">
        <is>
          <t>arcteryx-grey-orange-ripstop-nylon-waist-pack-recvhju1cruuwt</t>
        </is>
      </c>
      <c r="T126"/>
      <c r="U126"/>
      <c r="V126"/>
      <c r="W126" t="inlineStr">
        <is>
          <t>{"id":"chatcmpl-Dcnw3rE2HG9eHNgPWwo7y14QIiYdr","object":"chat.completion","created":1778140787,"model":"gpt-5-chat-latest","choices":[{"index":0,"message":{"role":"assistant","content":"Arc’teryx 灰橙色轻量腰包，防撕裂尼龙材质，配以醒目红色挂扣与品牌始祖鸟刺绣标识，简约户外风格设计，男女通用，适合城市通勤及户外徒步，彰显实用与时尚兼具的品牌美学。","refusal":null,"annotations":[]},"logprobs":null,"finish_reason":"stop"}],"usage":{"prompt_tokens":1303,"completion_tokens":80,"total_tokens":1383,"prompt_tokens_details":{"cached_tokens":0,"audio_tokens":0},"completion_tokens_details":{"reasoning_tokens":0,"audio_tokens":0,"accepted_prediction_tokens":0,"rejected_prediction_tokens":0},"latency_checkpoint":{"service_ttft_ms":691,"user_visible_ttft_ms":534,"total_duration_ms":2235,"pre_inference_ms":158,"service_tbt_ms":21,"service_ttlt_ms":2386,"engine_ttft_ms":406,"engine_ttlt_ms":2103,"engine_tbt_ms":21}},"service_tier":"default","system_fingerprint":"fp_fd471178c5"}</t>
        </is>
      </c>
      <c r="X126" t="inlineStr">
        <is>
          <t>Arc’teryx 灰橙色轻量腰包，防撕裂尼龙材质，配以醒目红色挂扣与品牌始祖鸟刺绣标识，简约户外风格设计，男女通用，适合城市通勤及户外徒步，彰显实用与时尚兼具的品牌美学。</t>
        </is>
      </c>
    </row>
    <row r="127" ht="25.5" customHeight="1">
      <c r="A127">
        <v>1654975475</v>
      </c>
      <c r="B127">
        <v>7623817995</v>
      </c>
      <c r="C127" s="2" t="str">
        <f>=HYPERLINK("https://weidian.com/item.html?itemID=7623817995", "https://weidian.com/item.html?itemID=7623817995")</f>
        <v>https://weidian.com/item.html?itemID=7623817995</v>
      </c>
      <c r="D127"/>
      <c r="E127" s="2" t="str">
        <f>=HYPERLINK("https://si.geilicdn.com/pcitem2014204438-720d0000019ae4800f6b0a23041a_1080_1440.jpg?w=640&amp;h=640", "https://si.geilicdn.com/pcitem2014204438-720d0000019ae4800f6b0a23041a_1080_1440.jpg?w=640&amp;h=640")</f>
        <v>https://si.geilicdn.com/pcitem2014204438-720d0000019ae4800f6b0a23041a_1080_1440.jpg?w=640&amp;h=640</v>
      </c>
      <c r="F127" t="inlineStr">
        <is>
          <t>Accessories</t>
        </is>
      </c>
      <c r="G127" t="inlineStr">
        <is>
          <t>Comme des Garçons</t>
        </is>
      </c>
      <c r="H127">
        <v>290</v>
      </c>
      <c r="I127">
        <v>42.03</v>
      </c>
      <c r="J1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mme des Garçons CDG Black Pink Logo Nylon Backpack","refusal":null,"role":"assistant"}}],"created":1778142960,"id":"chatcmpl-DcoV61oupBZj2U6Zgu9gTCnxrIIE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12,"completion_tokens_details":{"accepted_prediction_tokens":0,"audio_tokens":0,"reasoning_tokens":0,"rejected_prediction_tokens":0},"latency_checkpoint":{"engine_tbt_ms":90,"engine_ttft_ms":1453,"engine_ttlt_ms":2529,"pre_inference_ms":160,"service_tbt_ms":91,"service_ttft_ms":2062,"service_ttlt_ms":3140,"total_duration_ms":2990,"user_visible_ttft_ms":1902},"prompt_tokens":865,"prompt_tokens_details":{"audio_tokens":0,"cached_tokens":0},"total_tokens":877}}</t>
        </is>
      </c>
      <c r="K127" t="inlineStr">
        <is>
          <t>Comme des Garçons CDG Black Pink Logo Nylon Backpack</t>
        </is>
      </c>
      <c r="L1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mme des Garçons CDG black nylon backpack with bold pink logo, minimalist urban design, lightweight and durable, unisex style for modern street fashion.","refusal":null,"role":"assistant"}}],"created":1778142248,"id":"chatcmpl-DcoJcfL0dByJTRPQS59EMo6yz4VA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31,"completion_tokens_details":{"accepted_prediction_tokens":0,"audio_tokens":0,"reasoning_tokens":0,"rejected_prediction_tokens":0},"latency_checkpoint":{"engine_tbt_ms":93,"engine_ttft_ms":1245,"engine_ttlt_ms":4125,"pre_inference_ms":136,"service_tbt_ms":93,"service_ttft_ms":1812,"service_ttlt_ms":4692,"total_duration_ms":4564,"user_visible_ttft_ms":1676},"prompt_tokens":898,"prompt_tokens_details":{"audio_tokens":0,"cached_tokens":0},"total_tokens":929}}</t>
        </is>
      </c>
      <c r="M127" t="inlineStr">
        <is>
          <t>{"alt-svc":"h3=\":443\"; ma=2592000","apim-request-id":"c8fcb8dc-2bc9-4552-911e-8bfd24ee8598","azureml-model-session":"d20260501050840-08dc6769","connection":"close","content-length":"1619","content-type":"application/json","date":"Thu, 07 May 2026 08:24:12 GMT","skip-error-remapping":"true","strict-transport-security":"max-age=31536000; includeSubDomains; preload","via":"1.1 Caddy","x-accel-buffering":"no","x-content-type-options":"nosniff","x-ms-client-request-id":"Not-Set","x-ms-is-spilled-over":"false","x-ms-rai-invoked":"true","x-ms-region":"UK South","x-new-api-version":"v1.0.0-rc.4","x-oneapi-request-id":"202605070824076190021788268d9d6hGfP0rwI","x-ratelimit-abusepenalty-active":"False","x-ratelimit-key":"gpt-5-chat-global","x-ratelimit-limit-requests":"1000","x-ratelimit-limit-tokens":"1000000","x-ratelimit-remaining-requests":"999","x-ratelimit-remaining-tokens":"998340","x-ratelimit-renewalperiod-requests":"60","x-ratelimit-renewalperiod-tokens":"60","x-ratelimit-reset-requests":"0","x-ratelimit-reset-tokens":"0","x-request-id":"4d5c95e3-f0b5-4823-b96e-b7bc4625d8cb","x-shellapi-request-id":"2026050716240756760953959169064"}</t>
        </is>
      </c>
      <c r="N127" t="inlineStr">
        <is>
          <t>Comme des Garçons CDG black nylon backpack with bold pink logo, minimalist urban design, lightweight and durable, unisex style for modern street fashion.</t>
        </is>
      </c>
      <c r="O1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mme des Garçons,Backpack,kakobuy,kakebuy2026,kekobuysheet,kakobuysheet2026,2026kakobuy,kakobuyspreadsheeet,kakobuylink,kakebuylist,Kakobuy MEGA Spreadsheet,kakobuysheetfind,kakobuysheetfind2026,2026kakobuysheetfind,kakobuysheet2026","refusal":null,"role":"assistant"}}],"created":1778143378,"id":"chatcmpl-DcobqnN6qMeFFKKoWhF2H3V2LVGt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90,"completion_tokens_details":{"accepted_prediction_tokens":0,"audio_tokens":0,"reasoning_tokens":0,"rejected_prediction_tokens":0},"latency_checkpoint":{"engine_tbt_ms":19,"engine_ttft_ms":972,"engine_ttlt_ms":2640,"pre_inference_ms":153,"service_tbt_ms":19,"service_ttft_ms":1858,"service_ttlt_ms":3525,"total_duration_ms":3382,"user_visible_ttft_ms":1705},"prompt_tokens":784,"prompt_tokens_details":{"audio_tokens":0,"cached_tokens":0},"total_tokens":874}}</t>
        </is>
      </c>
      <c r="P127" t="inlineStr">
        <is>
          <t>Comme des Garçons,Backpack,kakobuy,kakebuy2026,kekobuysheet,kakobuysheet2026,2026kakobuy,kakobuyspreadsheeet,kakobuylink,kakebuylist,Kakobuy MEGA Spreadsheet,kakobuysheetfind,kakobuysheetfind2026,2026kakobuysheetfind,kakobuysheet2026</t>
        </is>
      </c>
      <c r="Q127" t="inlineStr">
        <is>
          <t>Backpack, Black, Nylon, Minimalist, Streetwear, Unisex</t>
        </is>
      </c>
      <c r="R127" t="inlineStr">
        <is>
          <t>recvhju1CrX2Jm</t>
        </is>
      </c>
      <c r="S127" t="inlineStr">
        <is>
          <t>cdg-black-pink-logo-nylon-backpack-recvhju1crx2jm</t>
        </is>
      </c>
      <c r="T127"/>
      <c r="U127"/>
      <c r="V127"/>
      <c r="W127" t="inlineStr">
        <is>
          <t>{"id":"chatcmpl-Dcnsc6lF91wOC9wYGCJvEO42c1KBn","object":"chat.completion","created":1778140574,"model":"gpt-5-chat-latest","choices":[{"index":0,"message":{"role":"assistant","content":"Comme des Garçons：CDG系列黑色尼龙双肩背包，亮粉LOGO印花彰显品牌前卫美学，极简设计兼具都市机能风格，轻盈耐磨，男女通用，打造现代街头时尚质感。","refusal":null,"annotations":[]},"logprobs":null,"finish_reason":"stop"}],"usage":{"prompt_tokens":1307,"completion_tokens":61,"total_tokens":1368,"prompt_tokens_details":{"cached_tokens":0,"audio_tokens":0},"completion_tokens_details":{"reasoning_tokens":0,"audio_tokens":0,"accepted_prediction_tokens":0,"rejected_prediction_tokens":0},"latency_checkpoint":{"service_ttft_ms":1545,"user_visible_ttft_ms":1293,"total_duration_ms":2584,"pre_inference_ms":252,"service_tbt_ms":21,"service_ttlt_ms":2829,"engine_ttft_ms":1119,"engine_ttlt_ms":2403,"engine_tbt_ms":21}},"service_tier":"default","system_fingerprint":"fp_fd471178c5"}</t>
        </is>
      </c>
      <c r="X127" t="inlineStr">
        <is>
          <t>Comme des Garçons：CDG系列黑色尼龙双肩背包，亮粉LOGO印花彰显品牌前卫美学，极简设计兼具都市机能风格，轻盈耐磨，男女通用，打造现代街头时尚质感。</t>
        </is>
      </c>
    </row>
    <row r="128" ht="25.5" customHeight="1">
      <c r="A128">
        <v>1654975475</v>
      </c>
      <c r="B128">
        <v>7694344501</v>
      </c>
      <c r="C128" s="2" t="str">
        <f>=HYPERLINK("https://weidian.com/item.html?itemID=7694344501", "https://weidian.com/item.html?itemID=7694344501")</f>
        <v>https://weidian.com/item.html?itemID=7694344501</v>
      </c>
      <c r="D128"/>
      <c r="E128" s="2" t="str">
        <f>=HYPERLINK("https://si.geilicdn.com/open1654975475-252808396-5a8e0000019c7a6bafe10a23b4de_790_603.jpg?w=640&amp;h=640", "https://si.geilicdn.com/open1654975475-252808396-5a8e0000019c7a6bafe10a23b4de_790_603.jpg?w=640&amp;h=640")</f>
        <v>https://si.geilicdn.com/open1654975475-252808396-5a8e0000019c7a6bafe10a23b4de_790_603.jpg?w=640&amp;h=640</v>
      </c>
      <c r="F128" t="inlineStr">
        <is>
          <t>Toys</t>
        </is>
      </c>
      <c r="G128" t="inlineStr">
        <is>
          <t>Other</t>
        </is>
      </c>
      <c r="H128">
        <v>272</v>
      </c>
      <c r="I128">
        <v>39.42</v>
      </c>
      <c r="J1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Other Future Intelligent White Robotic Dog Toy","refusal":null,"role":"assistant"}}],"created":1778142954,"id":"chatcmpl-DcoV0tD7BbMqpaoQsWRWchACP4BC1","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11,"completion_tokens_details":{"accepted_prediction_tokens":0,"audio_tokens":0,"reasoning_tokens":0,"rejected_prediction_tokens":0},"latency_checkpoint":{"engine_tbt_ms":32,"engine_ttft_ms":779,"engine_ttlt_ms":1136,"pre_inference_ms":119,"service_tbt_ms":33,"service_ttft_ms":1197,"service_ttlt_ms":1550,"total_duration_ms":1438,"user_visible_ttft_ms":1078},"prompt_tokens":597,"prompt_tokens_details":{"audio_tokens":0,"cached_tokens":0},"total_tokens":608}}</t>
        </is>
      </c>
      <c r="K128" t="inlineStr">
        <is>
          <t>ToysOther Future Intelligent White Robotic Dog Toy</t>
        </is>
      </c>
      <c r="L1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Other Future Intelligent Series white bionic robotic dog, made of high-strength ABS, sleek industrial design, flexible four-legged drive, perfect for entertainment, companionship, and tech lovers.","refusal":null,"role":"assistant"}}],"created":1778142202,"id":"chatcmpl-DcoIs8RajZaaedp7a1tNXmH9QUvg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38,"completion_tokens_details":{"accepted_prediction_tokens":0,"audio_tokens":0,"reasoning_tokens":0,"rejected_prediction_tokens":0},"latency_checkpoint":{"engine_tbt_ms":20,"engine_ttft_ms":831,"engine_ttlt_ms":1598,"pre_inference_ms":94,"service_tbt_ms":20,"service_ttft_ms":1227,"service_ttlt_ms":1993,"total_duration_ms":1906,"user_visible_ttft_ms":1134},"prompt_tokens":624,"prompt_tokens_details":{"audio_tokens":0,"cached_tokens":0},"total_tokens":662}}</t>
        </is>
      </c>
      <c r="M128" t="inlineStr">
        <is>
          <t>{"alt-svc":"h3=\":443\"; ma=2592000","apim-request-id":"f43e656b-47ff-41bd-902f-dcf6d1dc1abc","azureml-model-session":"d20260429094557-48622491","connection":"close","content-length":"1663","content-type":"application/json","date":"Thu, 07 May 2026 08:23:24 GMT","server":"Caddy","skip-error-remapping":"true","strict-transport-security":"max-age=31536000; includeSubDomains; preload","x-accel-buffering":"no","x-content-type-options":"nosniff","x-ms-client-request-id":"Not-Set","x-ms-is-spilled-over":"false","x-ms-rai-invoked":"true","x-ms-region":"Switzerland West","x-new-api-version":"v1.0.0-rc.4","x-oneapi-request-id":"202605070823217920403738268d9d6xVZUDRZ0","x-ratelimit-abusepenalty-active":"False","x-ratelimit-key":"gpt-5-chat-global","x-ratelimit-limit-requests":"1000","x-ratelimit-limit-tokens":"1000000","x-ratelimit-remaining-requests":"999","x-ratelimit-remaining-tokens":"998612","x-ratelimit-renewalperiod-requests":"60","x-ratelimit-renewalperiod-tokens":"60","x-ratelimit-reset-requests":"0","x-ratelimit-reset-tokens":"0","x-request-id":"63a2223e-c8d1-4994-9923-60e81908d332","x-shellapi-request-id":"2026050716232156732563627445114"}</t>
        </is>
      </c>
      <c r="N128" t="inlineStr">
        <is>
          <t>ToysOther Future Intelligent Series white bionic robotic dog, made of high-strength ABS, sleek industrial design, flexible four-legged drive, perfect for entertainment, companionship, and tech lovers.</t>
        </is>
      </c>
      <c r="O1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achineIsland, Robot Dog Toy, kakobuy, kakebuy2026, kekobuysheet, kakobuysheet2026, 2026kakobuy, kakobuyspreadsheeet, kakobuylink, kakebuylist, Kakobuy MEGA Spreadsheet, kakobuysheetfind, kakobuysheetfind2026, 2026kakobuysheetfind, kakobuysheet2026","refusal":null,"role":"assistant"}}],"created":1778143537,"id":"chatcmpl-DcoePBFCwrUFiZQyFioOvhmxEOaH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fd471178c5","usage":{"completion_tokens":93,"completion_tokens_details":{"accepted_prediction_tokens":0,"audio_tokens":0,"reasoning_tokens":0,"rejected_prediction_tokens":0},"latency_checkpoint":{"engine_tbt_ms":83,"engine_ttft_ms":669,"engine_ttlt_ms":8386,"pre_inference_ms":95,"service_tbt_ms":83,"service_ttft_ms":976,"service_ttlt_ms":8693,"total_duration_ms":8609,"user_visible_ttft_ms":882},"prompt_tokens":502,"prompt_tokens_details":{"audio_tokens":0,"cached_tokens":0},"total_tokens":595}}</t>
        </is>
      </c>
      <c r="P128" t="inlineStr">
        <is>
          <t>MachineIsland, Robot Dog Toy, kakobuy, kakebuy2026, kekobuysheet, kakobuysheet2026, 2026kakobuy, kakobuyspreadsheeet, kakobuylink, kakebuylist, Kakobuy MEGA Spreadsheet, kakobuysheetfind, kakobuysheetfind2026, 2026kakobuysheetfind, kakobuysheet2026</t>
        </is>
      </c>
      <c r="Q128"/>
      <c r="R128" t="inlineStr">
        <is>
          <t>recvhju1CrRiYJ</t>
        </is>
      </c>
      <c r="S128" t="inlineStr">
        <is>
          <t>toysother-future-intelligent-white-robotic-dog-toy-recvhju1crriyj</t>
        </is>
      </c>
      <c r="T128"/>
      <c r="U128"/>
      <c r="V128"/>
      <c r="W128" t="inlineStr">
        <is>
          <t>{"id":"chatcmpl-DcnprIh95JIKCoPpOZAYfqBkfz5Kp","object":"chat.completion","created":1778140403,"model":"gpt-5-chat-latest","choices":[{"index":0,"message":{"role":"assistant","content":"未来智能系列白色仿生机械犬，采用高强度ABS塑料材质与流线科技设计，灵活四足驱动结构，展现未来工业美学，兼具娱乐与陪伴功能，男女皆宜，适合现代科技爱好者收藏与互动体验。","refusal":null,"annotations":[]},"logprobs":null,"finish_reason":"stop"}],"usage":{"prompt_tokens":1028,"completion_tokens":66,"total_tokens":1094,"prompt_tokens_details":{"cached_tokens":0,"audio_tokens":0},"completion_tokens_details":{"reasoning_tokens":0,"audio_tokens":0,"accepted_prediction_tokens":0,"rejected_prediction_tokens":0},"latency_checkpoint":{"service_ttft_ms":633,"user_visible_ttft_ms":465,"total_duration_ms":1750,"pre_inference_ms":168,"service_tbt_ms":19,"service_ttlt_ms":1911,"engine_ttft_ms":339,"engine_ttlt_ms":1618,"engine_tbt_ms":19}},"service_tier":"default","system_fingerprint":"fp_fd471178c5"}</t>
        </is>
      </c>
      <c r="X128" t="inlineStr">
        <is>
          <t>未来智能系列白色仿生机械犬，采用高强度ABS塑料材质与流线科技设计，灵活四足驱动结构，展现未来工业美学，兼具娱乐与陪伴功能，男女皆宜，适合现代科技爱好者收藏与互动体验。</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