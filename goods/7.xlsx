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ittle Explorer Toys 商品导入042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s>
  <sheetData>
    <row r="1" ht="13" customHeight="1">
      <c r="A1" s="1" t="inlineStr">
        <is>
          <t>微店 ID</t>
        </is>
      </c>
      <c r="B1" s="1" t="inlineStr">
        <is>
          <t>微店商品 ID</t>
        </is>
      </c>
      <c r="C1" s="1" t="inlineStr">
        <is>
          <t>微店商品链接</t>
        </is>
      </c>
      <c r="D1" s="1" t="inlineStr">
        <is>
          <t>共享货源URL</t>
        </is>
      </c>
      <c r="E1" s="1" t="inlineStr">
        <is>
          <t>SKU图片地址</t>
        </is>
      </c>
      <c r="F1" s="1" t="inlineStr">
        <is>
          <t>品类</t>
        </is>
      </c>
      <c r="G1" s="1" t="inlineStr">
        <is>
          <t>品牌</t>
        </is>
      </c>
      <c r="H1" s="1" t="inlineStr">
        <is>
          <t>人民币</t>
        </is>
      </c>
      <c r="I1" s="1" t="inlineStr">
        <is>
          <t>美元</t>
        </is>
      </c>
      <c r="J1" s="1" t="inlineStr">
        <is>
          <t>跑Tittle 的 ai</t>
        </is>
      </c>
      <c r="K1" s="1" t="inlineStr">
        <is>
          <t>Tittle</t>
        </is>
      </c>
      <c r="L1" s="1" t="inlineStr">
        <is>
          <t>跑Description 的 ai</t>
        </is>
      </c>
      <c r="M1" s="1" t="inlineStr">
        <is>
          <t>Description.响应头</t>
        </is>
      </c>
      <c r="N1" s="1" t="inlineStr">
        <is>
          <t>Description</t>
        </is>
      </c>
      <c r="O1" s="1" t="inlineStr">
        <is>
          <t>Keyword 跑 ai</t>
        </is>
      </c>
      <c r="P1" s="1" t="inlineStr">
        <is>
          <t>Keyword</t>
        </is>
      </c>
      <c r="Q1" s="1" t="inlineStr">
        <is>
          <t>TAG</t>
        </is>
      </c>
      <c r="R1" s="1" t="inlineStr">
        <is>
          <t>文本</t>
        </is>
      </c>
      <c r="S1" s="1" t="inlineStr">
        <is>
          <t>SLUG</t>
        </is>
      </c>
      <c r="T1" s="1" t="inlineStr">
        <is>
          <t>共享货源微信</t>
        </is>
      </c>
      <c r="U1" s="1" t="inlineStr">
        <is>
          <t>1688商品编码</t>
        </is>
      </c>
      <c r="V1" s="1" t="inlineStr">
        <is>
          <t>1688型号编码</t>
        </is>
      </c>
      <c r="W1" s="1" t="inlineStr">
        <is>
          <t>中文描述</t>
        </is>
      </c>
      <c r="X1" s="1" t="inlineStr">
        <is>
          <t>中文描述.提取值1</t>
        </is>
      </c>
    </row>
    <row r="2" ht="25.5" customHeight="1">
      <c r="A2">
        <v>1654975475</v>
      </c>
      <c r="B2">
        <v>7619254074</v>
      </c>
      <c r="C2" s="2" t="str">
        <f>=HYPERLINK("https://weidian.com/item.html?itemID=7619254074", "https://weidian.com/item.html?itemID=7619254074")</f>
        <v>https://weidian.com/item.html?itemID=7619254074</v>
      </c>
      <c r="D2"/>
      <c r="E2" s="2" t="str">
        <f>=HYPERLINK("https://si.geilicdn.com/pcitem902014207253-4b390000019abd0c61c10a239646_1080_1080.jpg?w=640&amp;h=640", "https://si.geilicdn.com/pcitem902014207253-4b390000019abd0c61c10a239646_1080_1080.jpg?w=640&amp;h=640")</f>
        <v>https://si.geilicdn.com/pcitem902014207253-4b390000019abd0c61c10a239646_1080_1080.jpg?w=640&amp;h=640</v>
      </c>
      <c r="F2" t="inlineStr">
        <is>
          <t>Accessories</t>
        </is>
      </c>
      <c r="G2" t="inlineStr">
        <is>
          <t>Montblanc</t>
        </is>
      </c>
      <c r="H2">
        <v>460</v>
      </c>
      <c r="I2">
        <v>66.67</v>
      </c>
      <c r="J2" t="inlineStr">
        <is>
          <t>{"id":"chatcmpl-DYLmGbZDAzFuvF5ETFz9ahe5hhx84","object":"chat.completion","created":1777079236,"model":"gpt-5-chat-2025-10-03","choices":[{"index":0,"message":{"role":"assistant","content":"Montblanc Classic Black Resin Luxury Fountain Pen","refusal":null,"annotations":[]},"logprobs":null,"finish_reason":"stop"}],"usage":{"prompt_tokens":874,"completion_tokens":10,"total_tokens":884,"prompt_tokens_details":{"cached_tokens":0,"audio_tokens":0},"completion_tokens_details":{"reasoning_tokens":0,"audio_tokens":0,"accepted_prediction_tokens":0,"rejected_prediction_tokens":0}},"service_tier":"default","system_fingerprint":"fp_ad66631dec"}</t>
        </is>
      </c>
      <c r="K2" t="inlineStr">
        <is>
          <t>Montblanc Classic Black Resin Luxury Fountain Pen</t>
        </is>
      </c>
      <c r="L2" t="inlineStr">
        <is>
          <t>{"id":"chatcmpl-DYLVY1zTQvaBXVYceZMGkmNBKhbpt","object":"chat.completion","created":1777078200,"model":"gpt-5-chat-latest","choices":[{"index":0,"message":{"role":"assistant","content":"Montblanc classic black resin fountain pen, crafted in Germany with platinum-coated details and sleek design, ideal for business professionals, collectors, men and women, luxury writing instrument.","refusal":null,"annotations":[]},"logprobs":null,"finish_reason":"stop"}],"usage":{"prompt_tokens":894,"completion_tokens":36,"total_tokens":930,"prompt_tokens_details":{"cached_tokens":0,"audio_tokens":0},"completion_tokens_details":{"reasoning_tokens":0,"audio_tokens":0,"accepted_prediction_tokens":0,"rejected_prediction_tokens":0}},"service_tier":"default","system_fingerprint":"fp_ad66631dec"}</t>
        </is>
      </c>
      <c r="M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ma=2592000","apim-request-id":"f2042238-a96b-44cf-8e61-bf2b82ab5f4b","azureml-model-session":"d20260402084046-4209e968","cache-control":"no-cache, no-store, must-revalidate","connection":"close","content-length":"1001","content-security-policy":"frame-ancestors 'self'","content-type":"application/json","date":"Sat, 25 Apr 2026 00:50:02 GMT","server":"nginx","skip-error-remapping":"true","strict-transport-security":"max-age=31536000; includeSubDomains; preload","via":"1.1 Caddy, 1.1 Caddy","x-api-request-id":"202604250849593032882516z0qs12d","x-content-type-options":"nosniff","x-frame-options":"SAMEORIGIN","x-ms-is-spilled-over":"false","x-ms-rai-invoked":"false","x-ms-region":"East US 2","x-new-api-version":"0.5.1","x-oneapi-request-id":"202604250049589945519158268d9d63eOZKLIq","x-ratelimit-abusepenalty-active":"False","x-ratelimit-limit-requests":"4992","x-ratelimit-limit-tokens":"4992000","x-ratelimit-remaining-requests":"4991","x-ratelimit-remaining-tokens":"4990344","x-ratelimit-renewalperiod-requests":"60","x-ratelimit-renewalperiod-tokens":"60","x-ratelimit-reset-requests":"12","x-ratelimit-reset-tokens":"19","x-request-id":"1ac7f626-12f9-4ba1-85c4-c140808f8e42"}</t>
        </is>
      </c>
      <c r="N2" t="inlineStr">
        <is>
          <t>Montblanc classic black resin fountain pen, crafted in Germany with platinum-coated details and sleek design, ideal for business professionals, collectors, men and women, luxury writing instrument.</t>
        </is>
      </c>
      <c r="O2" t="inlineStr">
        <is>
          <t>{"id":"chatcmpl-DYLvAipaGOtg6u9UG9Of4fP4mED5c","object":"chat.completion","created":1777079788,"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2" t="inlineStr">
        <is>
          <t>Montblanc,Accessories,kakobuy,kakebuy2026,kekobuysheet,kakobuysheet2026,2026kakobuy,kakobuyspreadsheeet,kakobuylink,kakebuylist,Kakobuy MEGA Spreadsheet,kakobuysheetfind,kakobuysheetfind2026,2026kakobuysheetfind,kakobuysheet2026</t>
        </is>
      </c>
      <c r="Q2"/>
      <c r="R2" t="inlineStr">
        <is>
          <t>recvhju1CrXSXj</t>
        </is>
      </c>
      <c r="S2" t="inlineStr">
        <is>
          <t>montblanc-classic-black-resin-fountain-pen-recvhju1crxsxj</t>
        </is>
      </c>
      <c r="T2"/>
      <c r="U2"/>
      <c r="V2"/>
      <c r="W2" t="inlineStr">
        <is>
          <t>{"choices":[{"finish_reason":"stop","index":0,"logprobs":null,"message":{"annotations":[],"content":"Montblanc：经典黑色树脂钢笔，甄选德国精工制作，配以镀铂金饰件与流线型笔身设计，彰显商务典雅气质，男女皆宜，适合现代精英书写与收藏。","refusal":null,"role":"assistant"}}],"created":1777019718,"id":"chatcmpl-DY6IIqxsh9BQ2s33zQ5oAbDyiURhN","model":"gpt-5-chat-latest","object":"chat.completion","service_tier":"default","system_fingerprint":"fp_ad66631dec","usage":{"completion_tokens":60,"completion_tokens_details":{"accepted_prediction_tokens":0,"audio_tokens":0,"reasoning_tokens":0,"rejected_prediction_tokens":0},"prompt_tokens":1301,"prompt_tokens_details":{"audio_tokens":0,"cached_tokens":0},"total_tokens":1361}}</t>
        </is>
      </c>
      <c r="X2" t="inlineStr">
        <is>
          <t>Montblanc：经典黑色树脂钢笔，甄选德国精工制作，配以镀铂金饰件与流线型笔身设计，彰显商务典雅气质，男女皆宜，适合现代精英书写与收藏。</t>
        </is>
      </c>
    </row>
    <row r="3" ht="25.5" customHeight="1">
      <c r="A3">
        <v>1654975475</v>
      </c>
      <c r="B3">
        <v>7619168902</v>
      </c>
      <c r="C3" s="2" t="str">
        <f>=HYPERLINK("https://weidian.com/item.html?itemID=7619168902", "https://weidian.com/item.html?itemID=7619168902")</f>
        <v>https://weidian.com/item.html?itemID=7619168902</v>
      </c>
      <c r="D3"/>
      <c r="E3" s="2" t="str">
        <f>=HYPERLINK("https://si.geilicdn.com/pcitem902014207253-4bec0000019abd0cbfb10a20e273_1488_1488.jpg?w=640&amp;h=640", "https://si.geilicdn.com/pcitem902014207253-4bec0000019abd0cbfb10a20e273_1488_1488.jpg?w=640&amp;h=640")</f>
        <v>https://si.geilicdn.com/pcitem902014207253-4bec0000019abd0cbfb10a20e273_1488_1488.jpg?w=640&amp;h=640</v>
      </c>
      <c r="F3" t="inlineStr">
        <is>
          <t>Accessories</t>
        </is>
      </c>
      <c r="G3" t="inlineStr">
        <is>
          <t>Montblanc</t>
        </is>
      </c>
      <c r="H3">
        <v>460</v>
      </c>
      <c r="I3">
        <v>66.67</v>
      </c>
      <c r="J3" t="inlineStr">
        <is>
          <t>{"id":"chatcmpl-DYLjuSN4K5Wrg13JEPYtEKW6M44gn","object":"chat.completion","created":1777079090,"model":"gpt-5-chat-latest","choices":[{"index":0,"message":{"role":"assistant","content":"Montblanc Black Elegance Luxury Resin Metal Pen","refusal":null,"annotations":[]},"logprobs":null,"finish_reason":"stop"}],"usage":{"prompt_tokens":880,"completion_tokens":11,"total_tokens":891,"prompt_tokens_details":{"cached_tokens":0,"audio_tokens":0},"completion_tokens_details":{"reasoning_tokens":0,"audio_tokens":0,"accepted_prediction_tokens":0,"rejected_prediction_tokens":0}},"service_tier":"default","system_fingerprint":"fp_ad66631dec"}</t>
        </is>
      </c>
      <c r="K3" t="inlineStr">
        <is>
          <t>Montblanc Black Elegance Luxury Resin Metal Pen</t>
        </is>
      </c>
      <c r="L3" t="inlineStr">
        <is>
          <t>{"id":"chatcmpl-DYLQf0u98dwvQfVhtBQY1Sosrm9Ou","object":"chat.completion","created":1777077897,"model":"gpt-5-chat-latest","choices":[{"index":0,"message":{"role":"assistant","content":"Montblanc Black Elegance Pen – crafted from refined resin and polished metal, featuring a sleek minimalist design for smooth, precise writing. Unisex luxury style embodying a century of craftsmanship.","refusal":null,"annotations":[]},"logprobs":null,"finish_reason":"stop"}],"usage":{"prompt_tokens":900,"completion_tokens":39,"total_tokens":939,"prompt_tokens_details":{"cached_tokens":0,"audio_tokens":0},"completion_tokens_details":{"reasoning_tokens":0,"audio_tokens":0,"accepted_prediction_tokens":0,"rejected_prediction_tokens":0}},"service_tier":"default","system_fingerprint":"fp_ad66631dec"}</t>
        </is>
      </c>
      <c r="M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ma=2592000","apim-request-id":"b3fcedad-c867-4fc9-8e0b-79f96fa08f84","azureml-model-session":"d20260405234249-f9874baf","cache-control":"no-cache, no-store, must-revalidate","connection":"close","content-length":"1006","content-security-policy":"frame-ancestors 'self'","content-type":"application/json","date":"Sat, 25 Apr 2026 00:45:00 GMT","server":"nginx","skip-error-remapping":"true","strict-transport-security":"max-age=31536000; includeSubDomains; preload","via":"1.1 Caddy, 1.1 Caddy","x-api-request-id":"20260425084456348486044aXNpzLaR","x-content-type-options":"nosniff","x-frame-options":"SAMEORIGIN","x-ms-is-spilled-over":"false","x-ms-rai-invoked":"false","x-ms-region":"Sweden Central","x-new-api-version":"0.5.1","x-oneapi-request-id":"202604250044545872374288268d9d6YolqgQ19","x-ratelimit-abusepenalty-active":"False","x-ratelimit-limit-requests":"4991","x-ratelimit-limit-tokens":"4991000","x-ratelimit-remaining-requests":"4990","x-ratelimit-remaining-tokens":"4989338","x-ratelimit-renewalperiod-requests":"60","x-ratelimit-renewalperiod-tokens":"60","x-ratelimit-reset-requests":"12","x-ratelimit-reset-tokens":"19","x-request-id":"9f5ccc3f-d8fa-4944-97f2-17e25f06694d"}</t>
        </is>
      </c>
      <c r="N3" t="inlineStr">
        <is>
          <t>Montblanc Black Elegance Pen – crafted from refined resin and polished metal, featuring a sleek minimalist design for smooth, precise writing. Unisex luxury style embodying a century of craftsmanship.</t>
        </is>
      </c>
      <c r="O3" t="inlineStr">
        <is>
          <t>{"id":"chatcmpl-DYLtBG5ejiA7yNd3ndZzt6H9WfFmN","object":"chat.completion","created":1777079665,"model":"gpt-5-chat-2025-10-03","choices":[{"index":0,"message":{"role":"assistant","content":"Montblanc,Pen,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3" t="inlineStr">
        <is>
          <t>Montblanc,Pen,kakobuy,kakebuy2026,kekobuysheet,kakobuysheet2026,2026kakobuy,kakobuyspreadsheeet,kakobuylink,kakebuylist,Kakobuy MEGA Spreadsheet,kakobuysheetfind,kakobuysheetfind2026,2026kakobuysheetfind,kakobuysheet2026</t>
        </is>
      </c>
      <c r="Q3"/>
      <c r="R3" t="inlineStr">
        <is>
          <t>recvhju1CrCaqh</t>
        </is>
      </c>
      <c r="S3" t="inlineStr">
        <is>
          <t>montblanc-black-elegance-luxury-resin-metal-pen-recvhju1crcaqh</t>
        </is>
      </c>
      <c r="T3"/>
      <c r="U3"/>
      <c r="V3"/>
      <c r="W3" t="inlineStr">
        <is>
          <t>{"choices":[{"finish_reason":"stop","index":0,"logprobs":null,"message":{"annotations":[],"content":"Montblanc：黑色典雅系列钢笔，采用精致树脂与抛光金属搭配，流线型设计彰显商务格调，书写顺滑细腻，男女皆宜，现代极简风格，品质承载百年工艺精髓。","refusal":null,"role":"assistant"}}],"created":1777019628,"id":"chatcmpl-DY6GqA3RMqZdEuCHk7kEKFrldwX4s","model":"gpt-5-chat-latest","object":"chat.completion","service_tier":"default","system_fingerprint":"fp_ad66631dec","usage":{"completion_tokens":66,"completion_tokens_details":{"accepted_prediction_tokens":0,"audio_tokens":0,"reasoning_tokens":0,"rejected_prediction_tokens":0},"prompt_tokens":1301,"prompt_tokens_details":{"audio_tokens":0,"cached_tokens":0},"total_tokens":1367}}</t>
        </is>
      </c>
      <c r="X3" t="inlineStr">
        <is>
          <t>Montblanc：黑色典雅系列钢笔，采用精致树脂与抛光金属搭配，流线型设计彰显商务格调，书写顺滑细腻，男女皆宜，现代极简风格，品质承载百年工艺精髓。</t>
        </is>
      </c>
    </row>
    <row r="4" ht="25.5" customHeight="1">
      <c r="A4">
        <v>1654975475</v>
      </c>
      <c r="B4">
        <v>7616258403</v>
      </c>
      <c r="C4" s="2" t="str">
        <f>=HYPERLINK("https://weidian.com/item.html?itemID=7616258403", "https://weidian.com/item.html?itemID=7616258403")</f>
        <v>https://weidian.com/item.html?itemID=7616258403</v>
      </c>
      <c r="D4"/>
      <c r="E4" s="2" t="str">
        <f>=HYPERLINK("https://si.geilicdn.com/pcitem902014207253-58be0000019abd0d83cb0a207569_1488_1488.jpg?w=640&amp;h=640", "https://si.geilicdn.com/pcitem902014207253-58be0000019abd0d83cb0a207569_1488_1488.jpg?w=640&amp;h=640")</f>
        <v>https://si.geilicdn.com/pcitem902014207253-58be0000019abd0d83cb0a207569_1488_1488.jpg?w=640&amp;h=640</v>
      </c>
      <c r="F4" t="inlineStr">
        <is>
          <t>Accessories</t>
        </is>
      </c>
      <c r="G4" t="inlineStr">
        <is>
          <t>Montblanc</t>
        </is>
      </c>
      <c r="H4">
        <v>460</v>
      </c>
      <c r="I4">
        <v>66.67</v>
      </c>
      <c r="J4" t="inlineStr">
        <is>
          <t>{"id":"chatcmpl-DYLhmFKdW7yK5MUIT8KAO7LJZjOMn","object":"chat.completion","created":1777078958,"model":"gpt-5-chat-latest","choices":[{"index":0,"message":{"role":"assistant","content":"Montblanc Blue Collection Signature Resin Chrome Pen","refusal":null,"annotations":[]},"logprobs":null,"finish_reason":"stop"}],"usage":{"prompt_tokens":876,"completion_tokens":10,"total_tokens":886,"prompt_tokens_details":{"cached_tokens":0,"audio_tokens":0},"completion_tokens_details":{"reasoning_tokens":0,"audio_tokens":0,"accepted_prediction_tokens":0,"rejected_prediction_tokens":0}},"service_tier":"default","system_fingerprint":"fp_ad66631dec"}</t>
        </is>
      </c>
      <c r="K4" t="inlineStr">
        <is>
          <t>Montblanc Blue Collection Signature Resin Chrome Pen</t>
        </is>
      </c>
      <c r="L4" t="inlineStr">
        <is>
          <t>{"id":"chatcmpl-DYLR9deORnCSfrVFyPYqj011nYpmJ","object":"chat.completion","created":1777077927,"model":"gpt-5-chat-latest","choices":[{"index":0,"message":{"role":"assistant","content":"Montblanc Blue Collection Signature Pen, crafted from high-gloss resin and chrome metal, features a sleek design blending modern business style for men and women, showcasing elegance and professionalism.","refusal":null,"annotations":[]},"logprobs":null,"finish_reason":"stop"}],"usage":{"prompt_tokens":886,"completion_tokens":37,"total_tokens":923,"prompt_tokens_details":{"cached_tokens":0,"audio_tokens":0},"completion_tokens_details":{"reasoning_tokens":0,"audio_tokens":0,"accepted_prediction_tokens":0,"rejected_prediction_tokens":0}},"service_tier":"default","system_fingerprint":"fp_ad66631dec"}</t>
        </is>
      </c>
      <c r="M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ma=2592000","apim-request-id":"78f00388-c082-49bb-9d91-36c5635f6c58","azureml-model-session":"d20260402083108-57a85543","cache-control":"no-cache, no-store, must-revalidate","connection":"close","content-length":"1007","content-security-policy":"frame-ancestors 'self'","content-type":"application/json","date":"Sat, 25 Apr 2026 00:45:29 GMT","server":"Caddy","skip-error-remapping":"true","strict-transport-security":"max-age=31536000; includeSubDomains; preload","via":"1.1 Caddy","x-api-request-id":"20260425084526902328664YDUphQXw","x-content-type-options":"nosniff","x-frame-options":"SAMEORIGIN","x-ms-is-spilled-over":"false","x-ms-rai-invoked":"false","x-ms-region":"East US 2","x-new-api-version":"0.5.1","x-oneapi-request-id":"20260425004525620626608268d9d6aiRNMLBa","x-ratelimit-abusepenalty-active":"False","x-ratelimit-limit-requests":"4992","x-ratelimit-limit-tokens":"4992000","x-ratelimit-remaining-requests":"4991","x-ratelimit-remaining-tokens":"4990352","x-ratelimit-renewalperiod-requests":"60","x-ratelimit-renewalperiod-tokens":"60","x-ratelimit-reset-requests":"12","x-ratelimit-reset-tokens":"19","x-request-id":"72b6aad5-ffff-40f6-a33d-bd5ad2f41611"}</t>
        </is>
      </c>
      <c r="N4" t="inlineStr">
        <is>
          <t>Montblanc Blue Collection Signature Pen, crafted from high-gloss resin and chrome metal, features a sleek design blending modern business style for men and women, showcasing elegance and professionalism.</t>
        </is>
      </c>
      <c r="O4" t="inlineStr">
        <is>
          <t>{"id":"chatcmpl-DYM0uMrBwCPzKn6g1AxkZTMbsdv9c","object":"chat.completion","created":1777080144,"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4" t="inlineStr">
        <is>
          <t>Montblanc,Accessories,kakobuy,kakebuy2026,kekobuysheet,kakobuysheet2026,2026kakobuy,kakobuyspreadsheeet,kakobuylink,kakebuylist,Kakobuy MEGA Spreadsheet,kakobuysheetfind,kakobuysheetfind2026,2026kakobuysheetfind,kakobuysheet2026</t>
        </is>
      </c>
      <c r="Q4"/>
      <c r="R4" t="inlineStr">
        <is>
          <t>recvhju1CrBvbw</t>
        </is>
      </c>
      <c r="S4" t="inlineStr">
        <is>
          <t>montblanc-blue-collection-signature-resin-chrome-pen-recvhju1crbvbw</t>
        </is>
      </c>
      <c r="T4"/>
      <c r="U4"/>
      <c r="V4"/>
      <c r="W4" t="inlineStr">
        <is>
          <t>{"id":"chatcmpl-DY6EUgdeqikeS8TLocV5n1sZHHwrv","object":"chat.completion","created":1777019482,"model":"gpt-5-chat-latest","choices":[{"index":0,"message":{"role":"assistant","content":"Montblanc：蓝色系列签字笔，甄选高光树脂与铬质金属材质，流线设计结合现代商务风格，男女皆宜，尽显典雅格调与专业品味。","refusal":null,"annotations":[]},"logprobs":null,"finish_reason":"stop"}],"usage":{"prompt_tokens":1301,"completion_tokens":52,"total_tokens":1353,"prompt_tokens_details":{"cached_tokens":0,"audio_tokens":0},"completion_tokens_details":{"reasoning_tokens":0,"audio_tokens":0,"accepted_prediction_tokens":0,"rejected_prediction_tokens":0}},"service_tier":"default","system_fingerprint":"fp_ad66631dec"}</t>
        </is>
      </c>
      <c r="X4" t="inlineStr">
        <is>
          <t>Montblanc：蓝色系列签字笔，甄选高光树脂与铬质金属材质，流线设计结合现代商务风格，男女皆宜，尽显典雅格调与专业品味。</t>
        </is>
      </c>
    </row>
    <row r="5" ht="25.5" customHeight="1">
      <c r="A5">
        <v>1654975475</v>
      </c>
      <c r="B5">
        <v>7616281917</v>
      </c>
      <c r="C5" s="2" t="str">
        <f>=HYPERLINK("https://weidian.com/item.html?itemID=7616281917", "https://weidian.com/item.html?itemID=7616281917")</f>
        <v>https://weidian.com/item.html?itemID=7616281917</v>
      </c>
      <c r="D5"/>
      <c r="E5" s="2" t="str">
        <f>=HYPERLINK("https://si.geilicdn.com/pcitem902014207253-13b10000019abd0ede560a21146b_1080_1080.jpg?w=640&amp;h=640", "https://si.geilicdn.com/pcitem902014207253-13b10000019abd0ede560a21146b_1080_1080.jpg?w=640&amp;h=640")</f>
        <v>https://si.geilicdn.com/pcitem902014207253-13b10000019abd0ede560a21146b_1080_1080.jpg?w=640&amp;h=640</v>
      </c>
      <c r="F5" t="inlineStr">
        <is>
          <t>Accessories</t>
        </is>
      </c>
      <c r="G5" t="inlineStr">
        <is>
          <t>Montblanc</t>
        </is>
      </c>
      <c r="H5">
        <v>460</v>
      </c>
      <c r="I5">
        <v>66.67</v>
      </c>
      <c r="J5" t="inlineStr">
        <is>
          <t>{"id":"chatcmpl-DYLjYvJB3iXomwkan6tIVkmfJimfs","object":"chat.completion","created":1777079068,"model":"gpt-5-chat-latest","choices":[{"index":0,"message":{"role":"assistant","content":"Montblanc Classic Black Resin Rollerball Pen Luxury Gift","refusal":null,"annotations":[]},"logprobs":null,"finish_reason":"stop"}],"usage":{"prompt_tokens":870,"completion_tokens":12,"total_tokens":882,"prompt_tokens_details":{"cached_tokens":0,"audio_tokens":0},"completion_tokens_details":{"reasoning_tokens":0,"audio_tokens":0,"accepted_prediction_tokens":0,"rejected_prediction_tokens":0}},"service_tier":"default","system_fingerprint":"fp_ad66631dec"}</t>
        </is>
      </c>
      <c r="K5" t="inlineStr">
        <is>
          <t>Montblanc Classic Black Resin Rollerball Pen Luxury Gift</t>
        </is>
      </c>
      <c r="L5" t="inlineStr">
        <is>
          <t>{"id":"chatcmpl-DYLQdoSv31PLk7aTHewlfmH7PHLnX","object":"chat.completion","created":1777077895,"model":"gpt-5-chat-latest","choices":[{"index":0,"message":{"role":"assistant","content":"Montblanc Classic Black Resin Rollerball Pen, sleek metal clip design, smooth writing for business or daily use, unisex, modern elegance with timeless luxury appeal.","refusal":null,"annotations":[]},"logprobs":null,"finish_reason":"stop"}],"usage":{"prompt_tokens":876,"completion_tokens":34,"total_tokens":910,"prompt_tokens_details":{"cached_tokens":0,"audio_tokens":0},"completion_tokens_details":{"reasoning_tokens":0,"audio_tokens":0,"accepted_prediction_tokens":0,"rejected_prediction_tokens":0}},"service_tier":"default","system_fingerprint":"fp_ad66631dec"}</t>
        </is>
      </c>
      <c r="M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ma=2592000","apim-request-id":"74b71d56-e31f-4458-9228-5c24d2c70783","azureml-model-session":"d20260405221325-2e8d5e76","cache-control":"no-cache, no-store, must-revalidate","connection":"close","content-length":"969","content-security-policy":"frame-ancestors 'self'","content-type":"application/json","date":"Sat, 25 Apr 2026 00:44:57 GMT","server":"nginx","skip-error-remapping":"true","strict-transport-security":"max-age=31536000; includeSubDomains; preload","via":"1.1 Caddy, 1.1 Caddy","x-api-request-id":"20260425084454810981090ENh9yih1","x-content-type-options":"nosniff","x-frame-options":"SAMEORIGIN","x-ms-is-spilled-over":"false","x-ms-rai-invoked":"false","x-ms-region":"East US 2","x-new-api-version":"0.5.1","x-oneapi-request-id":"202604250044544625179678268d9d6edJNewB1","x-ratelimit-abusepenalty-active":"False","x-ratelimit-limit-requests":"4992","x-ratelimit-limit-tokens":"4992000","x-ratelimit-remaining-requests":"4991","x-ratelimit-remaining-tokens":"4990362","x-ratelimit-renewalperiod-requests":"60","x-ratelimit-renewalperiod-tokens":"60","x-ratelimit-reset-requests":"12","x-ratelimit-reset-tokens":"19","x-request-id":"4c0172a4-77d6-4fdb-a06a-035a9d1a78dc"}</t>
        </is>
      </c>
      <c r="N5" t="inlineStr">
        <is>
          <t>Montblanc Classic Black Resin Rollerball Pen, sleek metal clip design, smooth writing for business or daily use, unisex, modern elegance with timeless luxury appeal.</t>
        </is>
      </c>
      <c r="O5" t="inlineStr">
        <is>
          <t>{"id":"chatcmpl-DYLxogBRgfJEZu4bl1c9e0bGU150c","object":"chat.completion","created":1777079952,"model":"gpt-5-chat-2025-10-03","choices":[{"index":0,"message":{"role":"assistant","content":"Montblanc,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92,"total_tokens":875,"prompt_tokens_details":{"cached_tokens":0,"audio_tokens":0},"completion_tokens_details":{"reasoning_tokens":0,"audio_tokens":0,"accepted_prediction_tokens":0,"rejected_prediction_tokens":0}},"service_tier":"default","system_fingerprint":"fp_ad66631dec"}</t>
        </is>
      </c>
      <c r="P5" t="inlineStr">
        <is>
          <t>Montblanc, Accessories, kakobuy, kakebuy2026, kekobuysheet, kakobuysheet2026, 2026kakobuy, kakobuyspreadsheeet, kakobuylink, kakebuylist, Kakobuy MEGA Spreadsheet, kakobuysheetfind, kakobuysheetfind2026, 2026kakobuysheetfind, kakobuysheet2026</t>
        </is>
      </c>
      <c r="Q5"/>
      <c r="R5" t="inlineStr">
        <is>
          <t>recvhju1CrE4WE</t>
        </is>
      </c>
      <c r="S5" t="inlineStr">
        <is>
          <t>montblanc-classic-black-resin-rollerball-pen-recvhju1cre4we</t>
        </is>
      </c>
      <c r="T5"/>
      <c r="U5"/>
      <c r="V5"/>
      <c r="W5" t="inlineStr">
        <is>
          <t>{"id":"chatcmpl-DY6HrEqtiA29iHSUdFcgT6cZrLOjN","object":"chat.completion","created":1777019691,"model":"gpt-5-chat-latest","choices":[{"index":0,"message":{"role":"assistant","content":"Montblanc：经典黑色树脂签字笔，流线型金属夹设计，简约商务风格，中性款书写顺滑，彰显现代优雅品味。","refusal":null,"annotations":[]},"logprobs":null,"finish_reason":"stop"}],"usage":{"prompt_tokens":1299,"completion_tokens":43,"total_tokens":1342,"prompt_tokens_details":{"cached_tokens":0,"audio_tokens":0},"completion_tokens_details":{"reasoning_tokens":0,"audio_tokens":0,"accepted_prediction_tokens":0,"rejected_prediction_tokens":0}},"service_tier":"default","system_fingerprint":"fp_ad66631dec"}</t>
        </is>
      </c>
      <c r="X5" t="inlineStr">
        <is>
          <t>Montblanc：经典黑色树脂签字笔，流线型金属夹设计，简约商务风格，中性款书写顺滑，彰显现代优雅品味。</t>
        </is>
      </c>
    </row>
    <row r="6" ht="25.5" customHeight="1">
      <c r="A6">
        <v>1654975475</v>
      </c>
      <c r="B6">
        <v>7616178751</v>
      </c>
      <c r="C6" s="2" t="str">
        <f>=HYPERLINK("https://weidian.com/item.html?itemID=7616178751", "https://weidian.com/item.html?itemID=7616178751")</f>
        <v>https://weidian.com/item.html?itemID=7616178751</v>
      </c>
      <c r="D6"/>
      <c r="E6" s="2" t="str">
        <f>=HYPERLINK("https://si.geilicdn.com/pcitem902014207253-558e0000019abd105bf20a8134f0_1080_1080.jpg?w=640&amp;h=640", "https://si.geilicdn.com/pcitem902014207253-558e0000019abd105bf20a8134f0_1080_1080.jpg?w=640&amp;h=640")</f>
        <v>https://si.geilicdn.com/pcitem902014207253-558e0000019abd105bf20a8134f0_1080_1080.jpg?w=640&amp;h=640</v>
      </c>
      <c r="F6" t="inlineStr">
        <is>
          <t>Accessories</t>
        </is>
      </c>
      <c r="G6" t="inlineStr">
        <is>
          <t>Montblanc</t>
        </is>
      </c>
      <c r="H6">
        <v>460</v>
      </c>
      <c r="I6">
        <v>66.67</v>
      </c>
      <c r="J6" t="inlineStr">
        <is>
          <t>{"choices":[{"finish_reason":"stop","index":0,"logprobs":null,"message":{"annotations":[],"content":"Montblanc Master Red Gold Luxury Signature Pen","refusal":null,"role":"assistant"}}],"created":1777078913,"id":"chatcmpl-DYLh3TkAH8ppASc6929tLhp8yHULB","model":"gpt-5-chat-latest","object":"chat.completion","service_tier":"default","system_fingerprint":"fp_ad66631dec","usage":{"completion_tokens":10,"completion_tokens_details":{"accepted_prediction_tokens":0,"audio_tokens":0,"reasoning_tokens":0,"rejected_prediction_tokens":0},"prompt_tokens":878,"prompt_tokens_details":{"audio_tokens":0,"cached_tokens":0},"total_tokens":888}}</t>
        </is>
      </c>
      <c r="K6" t="inlineStr">
        <is>
          <t>Montblanc Master Red Gold Luxury Signature Pen</t>
        </is>
      </c>
      <c r="L6" t="inlineStr">
        <is>
          <t>{"id":"chatcmpl-DYLV1gk6d9hJFLZkItaXPNGaAVIcD","object":"chat.completion","created":1777078167,"model":"gpt-5-chat-latest","choices":[{"index":0,"message":{"role":"assistant","content":"Montblanc Master Series Red Gold Signature Pen – exquisite red lacquer with gold-plated metal body, black grip for smooth writing, elegant design for business or collection, timeless luxury gift.","refusal":null,"annotations":[]},"logprobs":null,"finish_reason":"stop"}],"usage":{"prompt_tokens":913,"completion_tokens":38,"total_tokens":951,"prompt_tokens_details":{"cached_tokens":0,"audio_tokens":0},"completion_tokens_details":{"reasoning_tokens":0,"audio_tokens":0,"accepted_prediction_tokens":0,"rejected_prediction_tokens":0}},"service_tier":"default","system_fingerprint":"fp_ad66631dec"}</t>
        </is>
      </c>
      <c r="M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ma=2592000","apim-request-id":"60659023-c32e-4558-b728-86049421dbe4","azureml-model-session":"d20260405221325-2e8d5e76","cache-control":"no-cache, no-store, must-revalidate","connection":"close","content-length":"1001","content-security-policy":"frame-ancestors 'self'","content-type":"application/json","date":"Sat, 25 Apr 2026 00:49:30 GMT","server":"Caddy","skip-error-remapping":"true","strict-transport-security":"max-age=31536000; includeSubDomains; preload","via":"1.1 Caddy","x-api-request-id":"202604250849254653059505gKzJecC","x-content-type-options":"nosniff","x-frame-options":"SAMEORIGIN","x-ms-is-spilled-over":"false","x-ms-rai-invoked":"false","x-ms-region":"Sweden Central","x-new-api-version":"0.5.1","x-oneapi-request-id":"202604250049234107584598268d9d6jANN2wLb","x-ratelimit-abusepenalty-active":"False","x-ratelimit-limit-requests":"4991","x-ratelimit-limit-tokens":"4991000","x-ratelimit-remaining-requests":"4990","x-ratelimit-remaining-tokens":"4989325","x-ratelimit-renewalperiod-requests":"60","x-ratelimit-renewalperiod-tokens":"60","x-ratelimit-reset-requests":"12","x-ratelimit-reset-tokens":"20","x-request-id":"e448f0e5-b7fc-4472-9be8-809e652852a3"}</t>
        </is>
      </c>
      <c r="N6" t="inlineStr">
        <is>
          <t>Montblanc Master Series Red Gold Signature Pen – exquisite red lacquer with gold-plated metal body, black grip for smooth writing, elegant design for business or collection, timeless luxury gift.</t>
        </is>
      </c>
      <c r="O6" t="inlineStr">
        <is>
          <t>{"id":"chatcmpl-DYM2BkSbMvrcHH2u96oTmacWJaa6B","object":"chat.completion","created":1777080223,"model":"gpt-5-chat-2025-10-03","choices":[{"index":0,"message":{"role":"assistant","content":"Montblanc,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92,"total_tokens":875,"prompt_tokens_details":{"cached_tokens":0,"audio_tokens":0},"completion_tokens_details":{"reasoning_tokens":0,"audio_tokens":0,"accepted_prediction_tokens":0,"rejected_prediction_tokens":0}},"service_tier":"default","system_fingerprint":"fp_ad66631dec"}</t>
        </is>
      </c>
      <c r="P6" t="inlineStr">
        <is>
          <t>Montblanc, Accessories, kakobuy, kakebuy2026, kekobuysheet, kakobuysheet2026, 2026kakobuy, kakobuyspreadsheeet, kakobuylink, kakebuylist, Kakobuy MEGA Spreadsheet, kakobuysheetfind, kakobuysheetfind2026, 2026kakobuysheetfind, kakobuysheet2026</t>
        </is>
      </c>
      <c r="Q6"/>
      <c r="R6" t="inlineStr">
        <is>
          <t>recvhju1CruOrp</t>
        </is>
      </c>
      <c r="S6" t="inlineStr">
        <is>
          <t>montblanc-master-red-gold-luxury-signature-pen-recvhju1cruorp</t>
        </is>
      </c>
      <c r="T6"/>
      <c r="U6"/>
      <c r="V6"/>
      <c r="W6" t="inlineStr">
        <is>
          <t>{"choices":[{"finish_reason":"stop","index":0,"logprobs":null,"message":{"annotations":[],"content":"Montblanc：大师系列红金配色签字笔，镀金金属笔身搭配红色雕纹漆面，展现典雅奢华气质。黑色笔握平衡舒适，流畅书写体验尽显精湛工艺。男女皆宜，商务与收藏皆臻典范之选。","refusal":null,"role":"assistant"}}],"created":1777019534,"id":"chatcmpl-DY6FK5JyyBvp7xsZbK7fUVdZupK1t","model":"gpt-5-chat-latest","object":"chat.completion","service_tier":"default","system_fingerprint":"fp_ad66631dec","usage":{"completion_tokens":79,"completion_tokens_details":{"accepted_prediction_tokens":0,"audio_tokens":0,"reasoning_tokens":0,"rejected_prediction_tokens":0},"prompt_tokens":1301,"prompt_tokens_details":{"audio_tokens":0,"cached_tokens":0},"total_tokens":1380}}</t>
        </is>
      </c>
      <c r="X6" t="inlineStr">
        <is>
          <t>Montblanc：大师系列红金配色签字笔，镀金金属笔身搭配红色雕纹漆面，展现典雅奢华气质。黑色笔握平衡舒适，流畅书写体验尽显精湛工艺。男女皆宜，商务与收藏皆臻典范之选。</t>
        </is>
      </c>
    </row>
    <row r="7" ht="25.5" customHeight="1">
      <c r="A7">
        <v>1654975475</v>
      </c>
      <c r="B7">
        <v>7619133330</v>
      </c>
      <c r="C7" s="2" t="str">
        <f>=HYPERLINK("https://weidian.com/item.html?itemID=7619133330", "https://weidian.com/item.html?itemID=7619133330")</f>
        <v>https://weidian.com/item.html?itemID=7619133330</v>
      </c>
      <c r="D7"/>
      <c r="E7" s="2" t="str">
        <f>=HYPERLINK("https://si.geilicdn.com/pcitem902014207253-5a6d0000019abd0fabf10a2301b4_1438_1918.jpg?w=640&amp;h=640", "https://si.geilicdn.com/pcitem902014207253-5a6d0000019abd0fabf10a2301b4_1438_1918.jpg?w=640&amp;h=640")</f>
        <v>https://si.geilicdn.com/pcitem902014207253-5a6d0000019abd0fabf10a2301b4_1438_1918.jpg?w=640&amp;h=640</v>
      </c>
      <c r="F7" t="inlineStr">
        <is>
          <t>Accessories</t>
        </is>
      </c>
      <c r="G7" t="inlineStr">
        <is>
          <t>Chanel</t>
        </is>
      </c>
      <c r="H7">
        <v>360</v>
      </c>
      <c r="I7">
        <v>52.17</v>
      </c>
      <c r="J7" t="inlineStr">
        <is>
          <t>{"choices":[{"finish_reason":"stop","index":0,"logprobs":null,"message":{"annotations":[],"content":"Chanel Luxury White Hand Care Gift Set","refusal":null,"role":"assistant"}}],"created":1777078989,"id":"chatcmpl-DYLiHI1Ucq1cgzwH29vlBq2p0V4oF","model":"gpt-5-chat-latest","object":"chat.completion","service_tier":"default","system_fingerprint":"fp_ad66631dec","usage":{"completion_tokens":9,"completion_tokens_details":{"accepted_prediction_tokens":0,"audio_tokens":0,"reasoning_tokens":0,"rejected_prediction_tokens":0},"prompt_tokens":875,"prompt_tokens_details":{"audio_tokens":0,"cached_tokens":0},"total_tokens":884}}</t>
        </is>
      </c>
      <c r="K7" t="inlineStr">
        <is>
          <t>Chanel Luxury White Hand Care Gift Set</t>
        </is>
      </c>
      <c r="L7" t="inlineStr">
        <is>
          <t>{"choices":[{"finish_reason":"stop","index":0,"logprobs":null,"message":{"annotations":[],"content":"CHANEL Luxury White Hand Care Essence Gift Set, featuring premium skincare formulas and elegant design. Smooth texture, suitable for both men and women, showcasing French elegance and modern luxury charm.","refusal":null,"role":"assistant"}}],"created":1777077798,"id":"chatcmpl-DYLP4dg2yxv9QrCbViR4jv6cpuMJV","model":"gpt-5-chat-latest","object":"chat.completion","service_tier":"default","system_fingerprint":"fp_ad66631dec","usage":{"completion_tokens":37,"completion_tokens_details":{"accepted_prediction_tokens":0,"audio_tokens":0,"reasoning_tokens":0,"rejected_prediction_tokens":0},"prompt_tokens":896,"prompt_tokens_details":{"audio_tokens":0,"cached_tokens":0},"total_tokens":933}}</t>
        </is>
      </c>
      <c r="M7" t="inlineStr">
        <is>
          <t>{"alt-svc":"h3=\":443\"; ma=2592000","apim-request-id":"50f0ee2f-3e8e-402d-95ee-5b771d64879d","azureml-model-session":"d20260402084046-4209e968","cache-control":"no-cache","connection":"close","content-length":"792","content-security-policy":"frame-ancestors 'self'","content-type":"application/json","date":"Sat, 25 Apr 2026 00:43:19 GMT","server":"nginx","skip-error-remapping":"true","strict-transport-security":"max-age=31536000; includeSubDomains; preload","via":"1.1 Caddy, 1.1 Caddy","x-api-request-id":"20260425084315906418381wtXfxEOL","x-content-type-options":"nosniff","x-frame-options":"SAMEORIGIN","x-ms-client-request-id":"Not-Set","x-ms-is-spilled-over":"false","x-ms-rai-invoked":"true","x-ms-region":"East US 2","x-new-api-version":"0.5.1","x-oneapi-request-id":"202604250043144174714868268d9d67fC58TQ9","x-ratelimit-abusepenalty-active":"False","x-ratelimit-limit-requests":"50","x-ratelimit-limit-tokens":"50000","x-ratelimit-remaining-requests":"49","x-ratelimit-remaining-tokens":"-1043","x-ratelimit-renewalperiod-requests":"60","x-ratelimit-renewalperiod-tokens":"60","x-ratelimit-reset-requests":"1200","x-ratelimit-reset-tokens":"61251","x-request-id":"534f2857-8076-4598-afa6-893aebcbf846"}</t>
        </is>
      </c>
      <c r="N7" t="inlineStr">
        <is>
          <t>CHANEL Luxury White Hand Care Essence Gift Set, featuring premium skincare formulas and elegant design. Smooth texture, suitable for both men and women, showcasing French elegance and modern luxury charm.</t>
        </is>
      </c>
      <c r="O7" t="inlineStr">
        <is>
          <t>{"id":"chatcmpl-DYM1ERFU1GdsLziiVhdrnDA6r4Zwj","object":"chat.completion","created":1777080164,"model":"gpt-5-chat-2025-10-03","choices":[{"index":0,"message":{"role":"assistant","content":"Chanel,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7" t="inlineStr">
        <is>
          <t>Chanel,Accessories,kakobuy,kakebuy2026,kekobuysheet,kakobuysheet2026,2026kakobuy,kakobuyspreadsheeet,kakobuylink,kakebuylist,Kakobuy MEGA Spreadsheet,kakobuysheetfind,kakobuysheetfind2026,2026kakobuysheetfind,kakobuysheet2026</t>
        </is>
      </c>
      <c r="Q7" t="inlineStr">
        <is>
          <t>Chanel, White, Men's And Women's, Elegant, High End</t>
        </is>
      </c>
      <c r="R7" t="inlineStr">
        <is>
          <t>recvhju1CrThPl</t>
        </is>
      </c>
      <c r="S7" t="inlineStr">
        <is>
          <t>chanel-luxury-white-hand-care-recvhju1crthpl</t>
        </is>
      </c>
      <c r="T7"/>
      <c r="U7"/>
      <c r="V7"/>
      <c r="W7" t="inlineStr">
        <is>
          <t>{"choices":[{"finish_reason":"stop","index":0,"logprobs":null,"message":{"annotations":[],"content":"CHANEL：奢华白色护手精华礼盒套装，甄选高端护肤配方与优雅设计，质感细腻，适合男女使用，彰显法式典雅格调与当代轻奢魅力。","refusal":null,"role":"assistant"}}],"created":1777019926,"id":"chatcmpl-DY6Leq8OMZSDVZcBhK3D8FENjEgNY","model":"gpt-5-chat-latest","object":"chat.completion","service_tier":"default","system_fingerprint":"fp_ad66631dec","usage":{"completion_tokens":60,"completion_tokens_details":{"accepted_prediction_tokens":0,"audio_tokens":0,"reasoning_tokens":0,"rejected_prediction_tokens":0},"prompt_tokens":1305,"prompt_tokens_details":{"audio_tokens":0,"cached_tokens":0},"total_tokens":1365}}</t>
        </is>
      </c>
      <c r="X7" t="inlineStr">
        <is>
          <t>CHANEL：奢华白色护手精华礼盒套装，甄选高端护肤配方与优雅设计，质感细腻，适合男女使用，彰显法式典雅格调与当代轻奢魅力。</t>
        </is>
      </c>
    </row>
    <row r="8" ht="25.5" customHeight="1">
      <c r="A8">
        <v>1654975475</v>
      </c>
      <c r="B8">
        <v>7618417518</v>
      </c>
      <c r="C8" s="2" t="str">
        <f>=HYPERLINK("https://weidian.com/item.html?itemID=7618417518", "https://weidian.com/item.html?itemID=7618417518")</f>
        <v>https://weidian.com/item.html?itemID=7618417518</v>
      </c>
      <c r="D8"/>
      <c r="E8" s="2" t="str">
        <f>=HYPERLINK("https://si.geilicdn.com/pcitem902014207253-50100000019abd1011c90a2396f4_1080_1080.jpg?w=640&amp;h=640", "https://si.geilicdn.com/pcitem902014207253-50100000019abd1011c90a2396f4_1080_1080.jpg?w=640&amp;h=640")</f>
        <v>https://si.geilicdn.com/pcitem902014207253-50100000019abd1011c90a2396f4_1080_1080.jpg?w=640&amp;h=640</v>
      </c>
      <c r="F8" t="inlineStr">
        <is>
          <t>Accessories</t>
        </is>
      </c>
      <c r="G8" t="inlineStr">
        <is>
          <t>Montblanc</t>
        </is>
      </c>
      <c r="H8">
        <v>460</v>
      </c>
      <c r="I8">
        <v>66.67</v>
      </c>
      <c r="J8" t="inlineStr">
        <is>
          <t>{"id":"chatcmpl-DYLkRYHqgac6kdk0VEjzuW2gLcdzk","object":"chat.completion","created":1777079123,"model":"gpt-5-chat-latest","choices":[{"index":0,"message":{"role":"assistant","content":"Montblanc Red Plaid Chrome Rollerball Pen Luxury","refusal":null,"annotations":[]},"logprobs":null,"finish_reason":"stop"}],"usage":{"prompt_tokens":880,"completion_tokens":12,"total_tokens":892,"prompt_tokens_details":{"cached_tokens":0,"audio_tokens":0},"completion_tokens_details":{"reasoning_tokens":0,"audio_tokens":0,"accepted_prediction_tokens":0,"rejected_prediction_tokens":0}},"service_tier":"default","system_fingerprint":"fp_ad66631dec"}</t>
        </is>
      </c>
      <c r="K8" t="inlineStr">
        <is>
          <t>Montblanc Red Plaid Chrome Rollerball Pen Luxury</t>
        </is>
      </c>
      <c r="L8" t="inlineStr">
        <is>
          <t>{"choices":[{"finish_reason":"stop","index":0,"logprobs":null,"message":{"annotations":[],"content":"Montblanc Red Plaid Chrome-Plated Rollerball Pen, crafted in fine metal with a sleek modern design, unisex elegance for business or gifting, showcasing timeless craftsmanship and luxury style.","refusal":null,"role":"assistant"}}],"created":1777077954,"id":"chatcmpl-DYLRaCWB1xNLdj0fc8enC1BaPV7j8","model":"gpt-5-chat-latest","object":"chat.completion","service_tier":"default","system_fingerprint":"fp_ad66631dec","usage":{"completion_tokens":39,"completion_tokens_details":{"accepted_prediction_tokens":0,"audio_tokens":0,"reasoning_tokens":0,"rejected_prediction_tokens":0},"prompt_tokens":886,"prompt_tokens_details":{"audio_tokens":0,"cached_tokens":0},"total_tokens":925}}</t>
        </is>
      </c>
      <c r="M8" t="inlineStr">
        <is>
          <t>{"alt-svc":"h3=\":443\"; ma=2592000","apim-request-id":"7b121daa-ebba-4948-8f98-0ebff59aaa5a","azureml-model-session":"d20260402083108-57a85543","cache-control":"no-cache","connection":"close","content-length":"780","content-security-policy":"frame-ancestors 'self'","content-type":"application/json","date":"Sat, 25 Apr 2026 00:45:56 GMT","server":"Caddy","skip-error-remapping":"true","strict-transport-security":"max-age=31536000; includeSubDomains; preload","via":"1.1 Caddy","x-api-request-id":"202604250845529555015042NfZFYII","x-content-type-options":"nosniff","x-frame-options":"SAMEORIGIN","x-ms-client-request-id":"Not-Set","x-ms-is-spilled-over":"false","x-ms-rai-invoked":"true","x-ms-region":"East US 2","x-new-api-version":"0.5.1","x-oneapi-request-id":"202604250045526672605138268d9d6hUq39hbu","x-ratelimit-abusepenalty-active":"False","x-ratelimit-limit-requests":"50","x-ratelimit-limit-tokens":"50000","x-ratelimit-remaining-requests":"48","x-ratelimit-remaining-tokens":"-1040","x-ratelimit-renewalperiod-requests":"60","x-ratelimit-renewalperiod-tokens":"60","x-ratelimit-reset-requests":"2234","x-ratelimit-reset-tokens":"61247","x-request-id":"0300210c-aecb-4669-b746-46feea4a93e8"}</t>
        </is>
      </c>
      <c r="N8" t="inlineStr">
        <is>
          <t>Montblanc Red Plaid Chrome-Plated Rollerball Pen, crafted in fine metal with a sleek modern design, unisex elegance for business or gifting, showcasing timeless craftsmanship and luxury style.</t>
        </is>
      </c>
      <c r="O8" t="inlineStr">
        <is>
          <t>{"id":"chatcmpl-DYM2ocfnK5JLBZsoSD6KKFnQXyuAe","object":"chat.completion","created":1777080262,"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8" t="inlineStr">
        <is>
          <t>Montblanc,Accessories,kakobuy,kakebuy2026,kekobuysheet,kakobuysheet2026,2026kakobuy,kakobuyspreadsheeet,kakobuylink,kakebuylist,Kakobuy MEGA Spreadsheet,kakobuysheetfind,kakobuysheetfind2026,2026kakobuysheetfind,kakobuysheet2026</t>
        </is>
      </c>
      <c r="Q8"/>
      <c r="R8" t="inlineStr">
        <is>
          <t>recvhju1CrBb7h</t>
        </is>
      </c>
      <c r="S8" t="inlineStr">
        <is>
          <t>montblanc-red-plaid-chrome-rollerball-pen-recvhju1crbb7h</t>
        </is>
      </c>
      <c r="T8"/>
      <c r="U8"/>
      <c r="V8"/>
      <c r="W8" t="inlineStr">
        <is>
          <t>{"choices":[{"finish_reason":"stop","index":0,"logprobs":null,"message":{"annotations":[],"content":"Montblanc：红色格纹镀铬笔身签字笔，精致金属材质打造，现代简约设计，男女皆宜，高雅商务风格，彰显典藏级工艺与品味。","refusal":null,"role":"assistant"}}],"created":1777019432,"id":"chatcmpl-DY6DgHXrGSEFCPluswJEfQwFCgfT9","model":"gpt-5-chat-latest","object":"chat.completion","service_tier":"default","system_fingerprint":"fp_ad66631dec","usage":{"completion_tokens":52,"completion_tokens_details":{"accepted_prediction_tokens":0,"audio_tokens":0,"reasoning_tokens":0,"rejected_prediction_tokens":0},"prompt_tokens":1301,"prompt_tokens_details":{"audio_tokens":0,"cached_tokens":0},"total_tokens":1353}}</t>
        </is>
      </c>
      <c r="X8" t="inlineStr">
        <is>
          <t>Montblanc：红色格纹镀铬笔身签字笔，精致金属材质打造，现代简约设计，男女皆宜，高雅商务风格，彰显典藏级工艺与品味。</t>
        </is>
      </c>
    </row>
    <row r="9" ht="25.5" customHeight="1">
      <c r="A9">
        <v>1654975475</v>
      </c>
      <c r="B9">
        <v>7619251736</v>
      </c>
      <c r="C9" s="2" t="str">
        <f>=HYPERLINK("https://weidian.com/item.html?itemID=7619251736", "https://weidian.com/item.html?itemID=7619251736")</f>
        <v>https://weidian.com/item.html?itemID=7619251736</v>
      </c>
      <c r="D9"/>
      <c r="E9" s="2" t="str">
        <f>=HYPERLINK("https://si.geilicdn.com/pcitem902014207253-31d00000019abd1105bc0a20e2c5_1441_1921.jpg?w=640&amp;h=640", "https://si.geilicdn.com/pcitem902014207253-31d00000019abd1105bc0a20e2c5_1441_1921.jpg?w=640&amp;h=640")</f>
        <v>https://si.geilicdn.com/pcitem902014207253-31d00000019abd1105bc0a20e2c5_1441_1921.jpg?w=640&amp;h=640</v>
      </c>
      <c r="F9" t="inlineStr">
        <is>
          <t>Accessories</t>
        </is>
      </c>
      <c r="G9" t="inlineStr">
        <is>
          <t>Montblanc</t>
        </is>
      </c>
      <c r="H9">
        <v>460</v>
      </c>
      <c r="I9">
        <v>66.67</v>
      </c>
      <c r="J9" t="inlineStr">
        <is>
          <t>{"id":"chatcmpl-DYLgWTjZNzXOj2wctTq85bnocNsTl","object":"chat.completion","created":1777078880,"model":"gpt-5-chat-latest","choices":[{"index":0,"message":{"role":"assistant","content":"Montblanc Classic Black Gold Trim Fountain Pen","refusal":null,"annotations":[]},"logprobs":null,"finish_reason":"stop"}],"usage":{"prompt_tokens":890,"completion_tokens":10,"total_tokens":900,"prompt_tokens_details":{"cached_tokens":0,"audio_tokens":0},"completion_tokens_details":{"reasoning_tokens":0,"audio_tokens":0,"accepted_prediction_tokens":0,"rejected_prediction_tokens":0}},"service_tier":"default","system_fingerprint":"fp_ad66631dec"}</t>
        </is>
      </c>
      <c r="K9" t="inlineStr">
        <is>
          <t>Montblanc Classic Black Gold Trim Fountain Pen</t>
        </is>
      </c>
      <c r="L9" t="inlineStr">
        <is>
          <t>{"choices":[{"finish_reason":"stop","index":0,"logprobs":null,"message":{"annotations":[],"content":"Montblanc Classic Black Resin Fountain Pen with Gold-Plated Trim, Elegant Business Design for Men and Women, Showcasing 20th-Century Writing Art and Montblanc’s Timeless Craftsmanship.","refusal":null,"role":"assistant"}}],"created":1777077853,"id":"chatcmpl-DYLPxoU5Ab3PHLqB6YPxkc6aXzWKL","model":"gpt-5-chat-latest","object":"chat.completion","service_tier":"default","system_fingerprint":"fp_ad66631dec","usage":{"completion_tokens":44,"completion_tokens_details":{"accepted_prediction_tokens":0,"audio_tokens":0,"reasoning_tokens":0,"rejected_prediction_tokens":0},"prompt_tokens":893,"prompt_tokens_details":{"audio_tokens":0,"cached_tokens":0},"total_tokens":937}}</t>
        </is>
      </c>
      <c r="M9" t="inlineStr">
        <is>
          <t>{"alt-svc":"h3=\":443\"; ma=2592000","apim-request-id":"38e3c1c2-07b9-4494-a8e6-d7e43e9c4ac9","azureml-model-session":"d20260402083108-57a85543","cache-control":"no-cache","connection":"close","content-length":"774","content-security-policy":"frame-ancestors 'self'","content-type":"application/json","date":"Sat, 25 Apr 2026 00:44:14 GMT","server":"Caddy","skip-error-remapping":"true","strict-transport-security":"max-age=31536000; includeSubDomains; preload","via":"1.1 Caddy","x-api-request-id":"20260425084410595014792t6ZTXawd","x-content-type-options":"nosniff","x-frame-options":"SAMEORIGIN","x-ms-client-request-id":"Not-Set","x-ms-is-spilled-over":"false","x-ms-rai-invoked":"true","x-ms-region":"East US 2","x-new-api-version":"0.5.1","x-oneapi-request-id":"202604250044091332098928268d9d6g89V8TDO","x-ratelimit-abusepenalty-active":"False","x-ratelimit-limit-requests":"50","x-ratelimit-limit-tokens":"50000","x-ratelimit-remaining-requests":"49","x-ratelimit-remaining-tokens":"-1454","x-ratelimit-renewalperiod-requests":"60","x-ratelimit-renewalperiod-tokens":"60","x-ratelimit-reset-requests":"1200","x-ratelimit-reset-tokens":"61745","x-request-id":"6d7cb8ae-63fe-42f6-a5f2-67b070e529cf"}</t>
        </is>
      </c>
      <c r="N9" t="inlineStr">
        <is>
          <t>Montblanc Classic Black Resin Fountain Pen with Gold-Plated Trim, Elegant Business Design for Men and Women, Showcasing 20th-Century Writing Art and Montblanc’s Timeless Craftsmanship.</t>
        </is>
      </c>
      <c r="O9" t="inlineStr">
        <is>
          <t>{"id":"chatcmpl-DYM2pnXrpCwipnyTSLnKd4moD5yVl","object":"chat.completion","created":1777080263,"model":"gpt-5-chat-2025-10-03","choices":[{"index":0,"message":{"role":"assistant","content":"Montblanc,Pen,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9" t="inlineStr">
        <is>
          <t>Montblanc,Pen,kakobuy,kakebuy2026,kekobuysheet,kakobuysheet2026,2026kakobuy,kakobuyspreadsheeet,kakobuylink,kakebuylist,Kakobuy MEGA Spreadsheet,kakobuysheetfind,kakobuysheetfind2026,2026kakobuysheetfind,kakobuysheet2026</t>
        </is>
      </c>
      <c r="Q9"/>
      <c r="R9" t="inlineStr">
        <is>
          <t>recvhju1Cr8wTv</t>
        </is>
      </c>
      <c r="S9" t="inlineStr">
        <is>
          <t>montblanc-classic-black-gold-trim-fountain-pen-recvhju1cr8wtv</t>
        </is>
      </c>
      <c r="T9"/>
      <c r="U9"/>
      <c r="V9"/>
      <c r="W9" t="inlineStr">
        <is>
          <t>{"id":"chatcmpl-DY6Lcap65dHIvzsMbpWtJ6j1WQhId","object":"chat.completion","created":1777019924,"model":"gpt-5-chat-latest","choices":[{"index":0,"message":{"role":"assistant","content":"Montblanc：经典黑色系列钢笔，甄选亮面树脂材质，精致镀金装饰，简约商务设计，男女皆宜，展现20世纪优雅书写艺术，彰显品牌工艺美学。","refusal":null,"annotations":[]},"logprobs":null,"finish_reason":"stop"}],"usage":{"prompt_tokens":1305,"completion_tokens":57,"total_tokens":1362,"prompt_tokens_details":{"cached_tokens":0,"audio_tokens":0},"completion_tokens_details":{"reasoning_tokens":0,"audio_tokens":0,"accepted_prediction_tokens":0,"rejected_prediction_tokens":0}},"service_tier":"default","system_fingerprint":"fp_ad66631dec"}</t>
        </is>
      </c>
      <c r="X9" t="inlineStr">
        <is>
          <t>Montblanc：经典黑色系列钢笔，甄选亮面树脂材质，精致镀金装饰，简约商务设计，男女皆宜，展现20世纪优雅书写艺术，彰显品牌工艺美学。</t>
        </is>
      </c>
    </row>
    <row r="10" ht="25.5" customHeight="1">
      <c r="A10">
        <v>1654975475</v>
      </c>
      <c r="B10">
        <v>7619236410</v>
      </c>
      <c r="C10" s="2" t="str">
        <f>=HYPERLINK("https://weidian.com/item.html?itemID=7619236410", "https://weidian.com/item.html?itemID=7619236410")</f>
        <v>https://weidian.com/item.html?itemID=7619236410</v>
      </c>
      <c r="D10"/>
      <c r="E10" s="2" t="str">
        <f>=HYPERLINK("https://si.geilicdn.com/pcitem902014207253-5e490000019abd11c84c0a2303ee_1440_1920.jpg?w=640&amp;h=640", "https://si.geilicdn.com/pcitem902014207253-5e490000019abd11c84c0a2303ee_1440_1920.jpg?w=640&amp;h=640")</f>
        <v>https://si.geilicdn.com/pcitem902014207253-5e490000019abd11c84c0a2303ee_1440_1920.jpg?w=640&amp;h=640</v>
      </c>
      <c r="F10" t="inlineStr">
        <is>
          <t>Accessories</t>
        </is>
      </c>
      <c r="G10" t="inlineStr">
        <is>
          <t>Montblanc</t>
        </is>
      </c>
      <c r="H10">
        <v>460</v>
      </c>
      <c r="I10">
        <v>66.67</v>
      </c>
      <c r="J10" t="inlineStr">
        <is>
          <t>{"id":"chatcmpl-DYLnbXSZc97Nszu3Bq7e74aD3AjWK","object":"chat.completion","created":1777079319,"model":"gpt-5-chat-2025-10-03","choices":[{"index":0,"message":{"role":"assistant","content":"Montblanc Classic Black Resin Pen Platinum Trim","refusal":null,"annotations":[]},"logprobs":null,"finish_reason":"stop"}],"usage":{"prompt_tokens":874,"completion_tokens":10,"total_tokens":884,"prompt_tokens_details":{"cached_tokens":0,"audio_tokens":0},"completion_tokens_details":{"reasoning_tokens":0,"audio_tokens":0,"accepted_prediction_tokens":0,"rejected_prediction_tokens":0}},"service_tier":"default","system_fingerprint":"fp_ad66631dec"}</t>
        </is>
      </c>
      <c r="K10" t="inlineStr">
        <is>
          <t>Montblanc Classic Black Resin Pen Platinum Trim</t>
        </is>
      </c>
      <c r="L10" t="inlineStr">
        <is>
          <t>{"id":"chatcmpl-DYLY9ybZuSpdYcrKJl6Vf9UvZz0u3","object":"chat.completion","created":1777078361,"model":"gpt-5-chat-latest","choices":[{"index":0,"message":{"role":"assistant","content":"Montblanc Classic Black Resin Pen with Platinum Details – Elegant Design for Professional Writing, Timeless Luxury Gift Ideal for Men and Women, Perfect Balance of Art and Business Style.","refusal":null,"annotations":[]},"logprobs":null,"finish_reason":"stop"}],"usage":{"prompt_tokens":889,"completion_tokens":36,"total_tokens":925,"prompt_tokens_details":{"cached_tokens":0,"audio_tokens":0},"completion_tokens_details":{"reasoning_tokens":0,"audio_tokens":0,"accepted_prediction_tokens":0,"rejected_prediction_tokens":0}},"service_tier":"default","system_fingerprint":"fp_ad66631dec"}</t>
        </is>
      </c>
      <c r="M1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ma=2592000","apim-request-id":"841d553f-3f39-4e4f-8de0-bca7a6c4bcba","azureml-model-session":"d20260405234249-f9874baf","cache-control":"no-cache, no-store, must-revalidate","connection":"close","content-length":"993","content-security-policy":"frame-ancestors 'self'","content-type":"application/json","date":"Sat, 25 Apr 2026 00:52:43 GMT","server":"nginx","skip-error-remapping":"true","strict-transport-security":"max-age=31536000; includeSubDomains; preload","via":"1.1 Caddy, 1.1 Caddy","x-api-request-id":"20260425085239953690091tTu9Jcfl","x-content-type-options":"nosniff","x-frame-options":"SAMEORIGIN","x-ms-is-spilled-over":"false","x-ms-rai-invoked":"false","x-ms-region":"Sweden Central","x-new-api-version":"0.5.1","x-oneapi-request-id":"202604250052384118990398268d9d6FMx1Gdra","x-ratelimit-abusepenalty-active":"False","x-ratelimit-limit-requests":"4991","x-ratelimit-limit-tokens":"4991000","x-ratelimit-remaining-requests":"4990","x-ratelimit-remaining-tokens":"4989349","x-ratelimit-renewalperiod-requests":"60","x-ratelimit-renewalperiod-tokens":"60","x-ratelimit-reset-requests":"12","x-ratelimit-reset-tokens":"19","x-request-id":"e62a1a65-a016-4f67-893e-4af293a9f16f"}</t>
        </is>
      </c>
      <c r="N10" t="inlineStr">
        <is>
          <t>Montblanc Classic Black Resin Pen with Platinum Details – Elegant Design for Professional Writing, Timeless Luxury Gift Ideal for Men and Women, Perfect Balance of Art and Business Style.</t>
        </is>
      </c>
      <c r="O10" t="inlineStr">
        <is>
          <t>{"id":"chatcmpl-DYLz8xN1fsF7xN9UklWX7HEtcLchW","object":"chat.completion","created":1777080034,"model":"gpt-5-chat-2025-10-03","choices":[{"index":0,"message":{"role":"assistant","content":"Montblanc,Pen,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0" t="inlineStr">
        <is>
          <t>Montblanc,Pen,kakobuy,kakebuy2026,kekobuysheet,kakobuysheet2026,2026kakobuy,kakobuyspreadsheeet,kakobuylink,kakebuylist,Kakobuy MEGA Spreadsheet,kakobuysheetfind,kakobuysheetfind2026,2026kakobuysheetfind,kakobuysheet2026</t>
        </is>
      </c>
      <c r="Q10"/>
      <c r="R10" t="inlineStr">
        <is>
          <t>recvhju1CrBuTm</t>
        </is>
      </c>
      <c r="S10" t="inlineStr">
        <is>
          <t>montblanc-classic-black-resin-pen-platinum-trim-recvhju1crbutm</t>
        </is>
      </c>
      <c r="T10"/>
      <c r="U10"/>
      <c r="V10"/>
      <c r="W10" t="inlineStr">
        <is>
          <t>{"id":"chatcmpl-DY6K9Qt3mUkN46plXKTR3mle2GRG0","object":"chat.completion","created":1777019833,"model":"gpt-5-chat-latest","choices":[{"index":0,"message":{"role":"assistant","content":"Montblanc：经典黑色精致钢笔，甄选优质树脂与铂金装饰，简约优雅设计，彰显商务格调与书写艺术魅力，男女皆宜的典藏之作。","refusal":null,"annotations":[]},"logprobs":null,"finish_reason":"stop"}],"usage":{"prompt_tokens":1303,"completion_tokens":54,"total_tokens":1357,"prompt_tokens_details":{"cached_tokens":0,"audio_tokens":0},"completion_tokens_details":{"reasoning_tokens":0,"audio_tokens":0,"accepted_prediction_tokens":0,"rejected_prediction_tokens":0}},"service_tier":"default","system_fingerprint":"fp_ad66631dec"}</t>
        </is>
      </c>
      <c r="X10" t="inlineStr">
        <is>
          <t>Montblanc：经典黑色精致钢笔，甄选优质树脂与铂金装饰，简约优雅设计，彰显商务格调与书写艺术魅力，男女皆宜的典藏之作。</t>
        </is>
      </c>
    </row>
    <row r="11" ht="25.5" customHeight="1">
      <c r="A11">
        <v>1654975475</v>
      </c>
      <c r="B11">
        <v>7616166869</v>
      </c>
      <c r="C11" s="2" t="str">
        <f>=HYPERLINK("https://weidian.com/item.html?itemID=7616166869", "https://weidian.com/item.html?itemID=7616166869")</f>
        <v>https://weidian.com/item.html?itemID=7616166869</v>
      </c>
      <c r="D11"/>
      <c r="E11" s="2" t="str">
        <f>=HYPERLINK("https://si.geilicdn.com/pcitem902014207253-4ebc0000019abd1673270a239646_1488_1488.jpg?w=640&amp;h=640", "https://si.geilicdn.com/pcitem902014207253-4ebc0000019abd1673270a239646_1488_1488.jpg?w=640&amp;h=640")</f>
        <v>https://si.geilicdn.com/pcitem902014207253-4ebc0000019abd1673270a239646_1488_1488.jpg?w=640&amp;h=640</v>
      </c>
      <c r="F11" t="inlineStr">
        <is>
          <t>Accessories</t>
        </is>
      </c>
      <c r="G11" t="inlineStr">
        <is>
          <t>Montblanc</t>
        </is>
      </c>
      <c r="H11">
        <v>460</v>
      </c>
      <c r="I11">
        <v>66.67</v>
      </c>
      <c r="J11" t="inlineStr">
        <is>
          <t>{"choices":[{"finish_reason":"stop","index":0,"logprobs":null,"message":{"annotations":[],"content":"Montblanc Heritage Black Gold Rollerball Pen","refusal":null,"role":"assistant"}}],"created":1777078910,"id":"chatcmpl-DYLh0whWqOdzrcpY9aNG1AcnlGZOb","model":"gpt-5-chat-latest","object":"chat.completion","service_tier":"default","system_fingerprint":"fp_ad66631dec","usage":{"completion_tokens":10,"completion_tokens_details":{"accepted_prediction_tokens":0,"audio_tokens":0,"reasoning_tokens":0,"rejected_prediction_tokens":0},"prompt_tokens":872,"prompt_tokens_details":{"audio_tokens":0,"cached_tokens":0},"total_tokens":882}}</t>
        </is>
      </c>
      <c r="K11" t="inlineStr">
        <is>
          <t>Montblanc Heritage Black Gold Rollerball Pen</t>
        </is>
      </c>
      <c r="L11" t="inlineStr">
        <is>
          <t>{"id":"chatcmpl-DYLUUactXH0JrbunNeddKHWM2K5hS","object":"chat.completion","created":1777078134,"model":"gpt-5-chat-latest","choices":[{"index":0,"message":{"role":"assistant","content":"Montblanc Heritage Black and Gold Rollerball Pen, crafted from precious resin and gilded metal, featuring triple-ring logo engraving and elegant streamlined design for refined professional style.","refusal":null,"annotations":[]},"logprobs":null,"finish_reason":"stop"}],"usage":{"prompt_tokens":909,"completion_tokens":35,"total_tokens":944,"prompt_tokens_details":{"cached_tokens":0,"audio_tokens":0},"completion_tokens_details":{"reasoning_tokens":0,"audio_tokens":0,"accepted_prediction_tokens":0,"rejected_prediction_tokens":0}},"service_tier":"default","system_fingerprint":"fp_ad66631dec"}</t>
        </is>
      </c>
      <c r="M1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ma=2592000","apim-request-id":"c44ee3ce-8dd1-4474-9c60-c70cd7521f14","azureml-model-session":"d20260405221325-2e8d5e76","cache-control":"no-cache, no-store, must-revalidate","connection":"close","content-length":"999","content-security-policy":"frame-ancestors 'self'","content-type":"application/json","date":"Sat, 25 Apr 2026 00:48:57 GMT","server":"Caddy","skip-error-remapping":"true","strict-transport-security":"max-age=31536000; includeSubDomains; preload","via":"1.1 Caddy","x-api-request-id":"20260425084853340268161TVy5Enx5","x-content-type-options":"nosniff","x-frame-options":"SAMEORIGIN","x-ms-is-spilled-over":"false","x-ms-rai-invoked":"false","x-ms-region":"Sweden Central","x-new-api-version":"0.5.1","x-oneapi-request-id":"202604250048504909434908268d9d6x9ACPN4z","x-ratelimit-abusepenalty-active":"False","x-ratelimit-limit-requests":"4991","x-ratelimit-limit-tokens":"4991000","x-ratelimit-remaining-requests":"4989","x-ratelimit-remaining-tokens":"4988353","x-ratelimit-renewalperiod-requests":"60","x-ratelimit-renewalperiod-tokens":"60","x-ratelimit-reset-requests":"22","x-ratelimit-reset-tokens":"31","x-request-id":"b965cee7-6b77-4718-843c-6a82fbc6edc4"}</t>
        </is>
      </c>
      <c r="N11" t="inlineStr">
        <is>
          <t>Montblanc Heritage Black and Gold Rollerball Pen, crafted from precious resin and gilded metal, featuring triple-ring logo engraving and elegant streamlined design for refined professional style.</t>
        </is>
      </c>
      <c r="O11" t="inlineStr">
        <is>
          <t>{"id":"chatcmpl-DYM0memu396xG3tLKxYw5mobPMfM8","object":"chat.completion","created":1777080136,"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1" t="inlineStr">
        <is>
          <t>Montblanc,Accessories,kakobuy,kakebuy2026,kekobuysheet,kakobuysheet2026,2026kakobuy,kakobuyspreadsheeet,kakobuylink,kakebuylist,Kakobuy MEGA Spreadsheet,kakobuysheetfind,kakobuysheetfind2026,2026kakobuysheetfind,kakobuysheet2026</t>
        </is>
      </c>
      <c r="Q11"/>
      <c r="R11" t="inlineStr">
        <is>
          <t>recvhju1CreBhB</t>
        </is>
      </c>
      <c r="S11" t="inlineStr">
        <is>
          <t>montblanc-heritage-black-gold-rollerball-recvhju1crebhb</t>
        </is>
      </c>
      <c r="T11"/>
      <c r="U11"/>
      <c r="V11"/>
      <c r="W11" t="inlineStr">
        <is>
          <t>{"id":"chatcmpl-DY6KcDTj0i2ZdASs1HukK7URq7ane","object":"chat.completion","created":1777019862,"model":"gpt-5-chat-latest","choices":[{"index":0,"message":{"role":"assistant","content":"Montblanc：典藏系列黑金配色签字笔，精选珍贵树脂与镀金金属材质，笔帽三环雕刻品牌标识，流线型设计典雅稳重，展现德式精工之美，适合商务男士与职场女性，尽显格调与品位。","refusal":null,"annotations":[]},"logprobs":null,"finish_reason":"stop"}],"usage":{"prompt_tokens":1299,"completion_tokens":76,"total_tokens":1375,"prompt_tokens_details":{"cached_tokens":0,"audio_tokens":0},"completion_tokens_details":{"reasoning_tokens":0,"audio_tokens":0,"accepted_prediction_tokens":0,"rejected_prediction_tokens":0}},"service_tier":"default","system_fingerprint":"fp_ad66631dec"}</t>
        </is>
      </c>
      <c r="X11" t="inlineStr">
        <is>
          <t>Montblanc：典藏系列黑金配色签字笔，精选珍贵树脂与镀金金属材质，笔帽三环雕刻品牌标识，流线型设计典雅稳重，展现德式精工之美，适合商务男士与职场女性，尽显格调与品位。</t>
        </is>
      </c>
    </row>
    <row r="12" ht="25.5" customHeight="1">
      <c r="A12">
        <v>1654975475</v>
      </c>
      <c r="B12">
        <v>7619244398</v>
      </c>
      <c r="C12" s="2" t="str">
        <f>=HYPERLINK("https://weidian.com/item.html?itemID=7619244398", "https://weidian.com/item.html?itemID=7619244398")</f>
        <v>https://weidian.com/item.html?itemID=7619244398</v>
      </c>
      <c r="D12"/>
      <c r="E12" s="2" t="str">
        <f>=HYPERLINK("https://si.geilicdn.com/pcitem902014207253-12450000019abd0ae6a80a21146b_1139_991.jpg?w=640&amp;h=640", "https://si.geilicdn.com/pcitem902014207253-12450000019abd0ae6a80a21146b_1139_991.jpg?w=640&amp;h=640")</f>
        <v>https://si.geilicdn.com/pcitem902014207253-12450000019abd0ae6a80a21146b_1139_991.jpg?w=640&amp;h=640</v>
      </c>
      <c r="F12" t="inlineStr">
        <is>
          <t>Accessories</t>
        </is>
      </c>
      <c r="G12" t="inlineStr">
        <is>
          <t>Montblanc</t>
        </is>
      </c>
      <c r="H12">
        <v>460</v>
      </c>
      <c r="I12">
        <v>66.67</v>
      </c>
      <c r="J12" t="inlineStr">
        <is>
          <t>{"choices":[{"finish_reason":"stop","index":0,"logprobs":null,"message":{"annotations":[],"content":"Montblanc Black Limited Edition Platinum Trim Luxury Pen","refusal":null,"role":"assistant"}}],"created":1777078940,"id":"chatcmpl-DYLhUB30ljyldNB3Cr0j1lDvtxa1o","model":"gpt-5-chat-latest","object":"chat.completion","service_tier":"default","system_fingerprint":"fp_ad66631dec","usage":{"completion_tokens":11,"completion_tokens_details":{"accepted_prediction_tokens":0,"audio_tokens":0,"reasoning_tokens":0,"rejected_prediction_tokens":0},"prompt_tokens":874,"prompt_tokens_details":{"audio_tokens":0,"cached_tokens":0},"total_tokens":885}}</t>
        </is>
      </c>
      <c r="K12" t="inlineStr">
        <is>
          <t>Montblanc Black Limited Edition Platinum Trim Luxury Pen</t>
        </is>
      </c>
      <c r="L12" t="inlineStr">
        <is>
          <t>{"id":"chatcmpl-DYLXLmKq7yuXlTNRkROiFmfRjEhOr","object":"chat.completion","created":1777078311,"model":"gpt-5-chat-latest","choices":[{"index":0,"message":{"role":"assistant","content":"Montblanc Black Limited Edition Pen—crafted from high-gloss resin with platinum plating and red accents, sleek design, smooth writing, timeless German elegance for men and women.","refusal":null,"annotations":[]},"logprobs":null,"finish_reason":"stop"}],"usage":{"prompt_tokens":913,"completion_tokens":36,"total_tokens":949,"prompt_tokens_details":{"cached_tokens":0,"audio_tokens":0},"completion_tokens_details":{"reasoning_tokens":0,"audio_tokens":0,"accepted_prediction_tokens":0,"rejected_prediction_tokens":0}},"service_tier":"default","system_fingerprint":"fp_ad66631dec"}</t>
        </is>
      </c>
      <c r="M1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ma=2592000","apim-request-id":"9f632989-df7a-4d54-bd6f-6494a26019f8","azureml-model-session":"d20260405234249-f9874baf","cache-control":"no-cache, no-store, must-revalidate","connection":"close","content-length":"984","content-security-policy":"frame-ancestors 'self'","content-type":"application/json","date":"Sat, 25 Apr 2026 00:51:53 GMT","server":"nginx","skip-error-remapping":"true","strict-transport-security":"max-age=31536000; includeSubDomains; preload","via":"1.1 Caddy, 1.1 Caddy","x-api-request-id":"20260425085149739720850bMTz57Dp","x-content-type-options":"nosniff","x-frame-options":"SAMEORIGIN","x-ms-is-spilled-over":"false","x-ms-rai-invoked":"false","x-ms-region":"Sweden Central","x-new-api-version":"0.5.1","x-oneapi-request-id":"20260425005149389269008268d9d6CIahdu78","x-ratelimit-abusepenalty-active":"False","x-ratelimit-limit-requests":"4991","x-ratelimit-limit-tokens":"4991000","x-ratelimit-remaining-requests":"4990","x-ratelimit-remaining-tokens":"4989325","x-ratelimit-renewalperiod-requests":"60","x-ratelimit-renewalperiod-tokens":"60","x-ratelimit-reset-requests":"12","x-ratelimit-reset-tokens":"20","x-request-id":"6efce57c-a74e-4f26-b93d-4b0bf5ab3dc0"}</t>
        </is>
      </c>
      <c r="N12" t="inlineStr">
        <is>
          <t>Montblanc Black Limited Edition Pen—crafted from high-gloss resin with platinum plating and red accents, sleek design, smooth writing, timeless German elegance for men and women.</t>
        </is>
      </c>
      <c r="O12" t="inlineStr">
        <is>
          <t>{"id":"chatcmpl-DYM2tPvewbX2A9C8nPr8h4nPYQBBd","object":"chat.completion","created":1777080267,"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2" t="inlineStr">
        <is>
          <t>Montblanc,Accessories,kakobuy,kakebuy2026,kekobuysheet,kakobuysheet2026,2026kakobuy,kakobuyspreadsheeet,kakobuylink,kakebuylist,Kakobuy MEGA Spreadsheet,kakobuysheetfind,kakobuysheetfind2026,2026kakobuysheetfind,kakobuysheet2026</t>
        </is>
      </c>
      <c r="Q12"/>
      <c r="R12" t="inlineStr">
        <is>
          <t>recvhju1CrOqGb</t>
        </is>
      </c>
      <c r="S12" t="inlineStr">
        <is>
          <t>montblanc-black-limited-edition-platinum-trim-luxury-pen-recvhju1crqgb</t>
        </is>
      </c>
      <c r="T12"/>
      <c r="U12"/>
      <c r="V12"/>
      <c r="W12" t="inlineStr">
        <is>
          <t>{"choices":[{"finish_reason":"stop","index":0,"logprobs":null,"message":{"annotations":[],"content":"Montblanc：黑色限量系列钢笔，甄选高光树脂与铂金镀层材质，流线笔身搭配精致镶红纹装饰，展现经典商务格调。书写顺畅柔滑，适合男女使用，融合德式工艺美学与现代设计，典雅永恒。","refusal":null,"role":"assistant"}}],"created":1777019706,"id":"chatcmpl-DY6I6agf4EdjTdqPlbH7ch84h6HPh","model":"gpt-5-chat-latest","object":"chat.completion","service_tier":"default","system_fingerprint":"fp_ad66631dec","usage":{"completion_tokens":80,"completion_tokens_details":{"accepted_prediction_tokens":0,"audio_tokens":0,"reasoning_tokens":0,"rejected_prediction_tokens":0},"prompt_tokens":1299,"prompt_tokens_details":{"audio_tokens":0,"cached_tokens":0},"total_tokens":1379}}</t>
        </is>
      </c>
      <c r="X12" t="inlineStr">
        <is>
          <t>Montblanc：黑色限量系列钢笔，甄选高光树脂与铂金镀层材质，流线笔身搭配精致镶红纹装饰，展现经典商务格调。书写顺畅柔滑，适合男女使用，融合德式工艺美学与现代设计，典雅永恒。</t>
        </is>
      </c>
    </row>
    <row r="13" ht="25.5" customHeight="1">
      <c r="A13">
        <v>1654975475</v>
      </c>
      <c r="B13">
        <v>7619192570</v>
      </c>
      <c r="C13" s="2" t="str">
        <f>=HYPERLINK("https://weidian.com/item.html?itemID=7619192570", "https://weidian.com/item.html?itemID=7619192570")</f>
        <v>https://weidian.com/item.html?itemID=7619192570</v>
      </c>
      <c r="D13"/>
      <c r="E13" s="2" t="str">
        <f>=HYPERLINK("https://si.geilicdn.com/pcitem902014207253-5bda0000019abd0b38150a8133cc_1080_1080.jpg?w=640&amp;h=640", "https://si.geilicdn.com/pcitem902014207253-5bda0000019abd0b38150a8133cc_1080_1080.jpg?w=640&amp;h=640")</f>
        <v>https://si.geilicdn.com/pcitem902014207253-5bda0000019abd0b38150a8133cc_1080_1080.jpg?w=640&amp;h=640</v>
      </c>
      <c r="F13" t="inlineStr">
        <is>
          <t>Accessories</t>
        </is>
      </c>
      <c r="G13" t="inlineStr">
        <is>
          <t>Montblanc</t>
        </is>
      </c>
      <c r="H13">
        <v>460</v>
      </c>
      <c r="I13">
        <v>66.67</v>
      </c>
      <c r="J13" t="inlineStr">
        <is>
          <t>{"id":"chatcmpl-DYLlpSNNx9fCaKaSbcNBnR7q1TRk1","object":"chat.completion","created":1777079209,"model":"gpt-5-chat-2025-10-03","choices":[{"index":0,"message":{"role":"assistant","content":"Montblanc Red Wine Platinum Luxury Fountain Pen","refusal":null,"annotations":[]},"logprobs":null,"finish_reason":"stop"}],"usage":{"prompt_tokens":870,"completion_tokens":10,"total_tokens":880,"prompt_tokens_details":{"cached_tokens":0,"audio_tokens":0},"completion_tokens_details":{"reasoning_tokens":0,"audio_tokens":0,"accepted_prediction_tokens":0,"rejected_prediction_tokens":0}},"service_tier":"default","system_fingerprint":"fp_ad66631dec"}</t>
        </is>
      </c>
      <c r="K13" t="inlineStr">
        <is>
          <t>Montblanc Red Wine Platinum Luxury Fountain Pen</t>
        </is>
      </c>
      <c r="L13" t="inlineStr">
        <is>
          <t>{"id":"chatcmpl-DYLR0b8uFJ03UEo3ofuQ4oyCQN22u","object":"chat.completion","created":1777077918,"model":"gpt-5-chat-latest","choices":[{"index":0,"message":{"role":"assistant","content":"Montblanc Red Wine Platinum-Coated Fountain Pen, crafted with fine resin and chrome accents, sleek design for smooth writing, perfect for luxury business men and women.","refusal":null,"annotations":[]},"logprobs":null,"finish_reason":"stop"}],"usage":{"prompt_tokens":885,"completion_tokens":34,"total_tokens":919,"prompt_tokens_details":{"cached_tokens":0,"audio_tokens":0},"completion_tokens_details":{"reasoning_tokens":0,"audio_tokens":0,"accepted_prediction_tokens":0,"rejected_prediction_tokens":0}},"service_tier":"default","system_fingerprint":"fp_ad66631dec"}</t>
        </is>
      </c>
      <c r="M1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ma=2592000","apim-request-id":"f39036c2-63c1-47c1-ac0e-03dc75c2f18f","azureml-model-session":"d20260402084046-4209e968","cache-control":"no-cache, no-store, must-revalidate","connection":"close","content-length":"972","content-security-policy":"frame-ancestors 'self'","content-type":"application/json","date":"Sat, 25 Apr 2026 00:45:20 GMT","server":"Caddy","skip-error-remapping":"true","strict-transport-security":"max-age=31536000; includeSubDomains; preload","via":"1.1 Caddy","x-api-request-id":"20260425084517138432487bjyarr21","x-content-type-options":"nosniff","x-frame-options":"SAMEORIGIN","x-ms-is-spilled-over":"false","x-ms-rai-invoked":"false","x-ms-region":"Sweden Central","x-new-api-version":"0.5.1","x-oneapi-request-id":"202604250045133693339988268d9d6fIjqr1AI","x-ratelimit-abusepenalty-active":"False","x-ratelimit-limit-requests":"4991","x-ratelimit-limit-tokens":"4991000","x-ratelimit-remaining-requests":"4990","x-ratelimit-remaining-tokens":"4989353","x-ratelimit-renewalperiod-requests":"60","x-ratelimit-renewalperiod-tokens":"60","x-ratelimit-reset-requests":"12","x-ratelimit-reset-tokens":"19","x-request-id":"f7b6fb41-dcab-48ac-80a5-659948125f98"}</t>
        </is>
      </c>
      <c r="N13" t="inlineStr">
        <is>
          <t>Montblanc Red Wine Platinum-Coated Fountain Pen, crafted with fine resin and chrome accents, sleek design for smooth writing, perfect for luxury business men and women.</t>
        </is>
      </c>
      <c r="O13" t="inlineStr">
        <is>
          <t>{"id":"chatcmpl-DYLzpA0ePoDPcEIxn4kIpqAYVspzX","object":"chat.completion","created":1777080077,"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3" t="inlineStr">
        <is>
          <t>Montblanc,Accessories,kakobuy,kakebuy2026,kekobuysheet,kakobuysheet2026,2026kakobuy,kakobuyspreadsheeet,kakobuylink,kakebuylist,Kakobuy MEGA Spreadsheet,kakobuysheetfind,kakobuysheetfind2026,2026kakobuysheetfind,kakobuysheet2026</t>
        </is>
      </c>
      <c r="Q13"/>
      <c r="R13" t="inlineStr">
        <is>
          <t>recvhju1Crb9HP</t>
        </is>
      </c>
      <c r="S13" t="inlineStr">
        <is>
          <t>montblanc-red-wine-platinum-fountain-pen-recvhju1crb9hp</t>
        </is>
      </c>
      <c r="T13"/>
      <c r="U13"/>
      <c r="V13"/>
      <c r="W13" t="inlineStr">
        <is>
          <t>{"choices":[{"finish_reason":"stop","index":0,"logprobs":null,"message":{"annotations":[],"content":"Montblanc：红酒色镀铂金钢笔，精致树脂笔身搭配镀铬细节，流线设计优雅大气，书写顺滑高端商务男女皆宜。","refusal":null,"role":"assistant"}}],"created":1777019621,"id":"chatcmpl-DY6GjlT26gR5r4mrXf20isG05ujQN","model":"gpt-5-chat-latest","object":"chat.completion","service_tier":"default","system_fingerprint":"fp_ad66631dec","usage":{"completion_tokens":50,"completion_tokens_details":{"accepted_prediction_tokens":0,"audio_tokens":0,"reasoning_tokens":0,"rejected_prediction_tokens":0},"prompt_tokens":1303,"prompt_tokens_details":{"audio_tokens":0,"cached_tokens":0},"total_tokens":1353}}</t>
        </is>
      </c>
      <c r="X13" t="inlineStr">
        <is>
          <t>Montblanc：红酒色镀铂金钢笔，精致树脂笔身搭配镀铬细节，流线设计优雅大气，书写顺滑高端商务男女皆宜。</t>
        </is>
      </c>
    </row>
    <row r="14" ht="25.5" customHeight="1">
      <c r="A14">
        <v>1654975475</v>
      </c>
      <c r="B14">
        <v>7616212691</v>
      </c>
      <c r="C14" s="2" t="str">
        <f>=HYPERLINK("https://weidian.com/item.html?itemID=7616212691", "https://weidian.com/item.html?itemID=7616212691")</f>
        <v>https://weidian.com/item.html?itemID=7616212691</v>
      </c>
      <c r="D14"/>
      <c r="E14" s="2" t="str">
        <f>=HYPERLINK("https://si.geilicdn.com/pcitem902014207253-4c310000019abd0d21090a20e7c7_1080_1080.jpg?w=640&amp;h=640", "https://si.geilicdn.com/pcitem902014207253-4c310000019abd0d21090a20e7c7_1080_1080.jpg?w=640&amp;h=640")</f>
        <v>https://si.geilicdn.com/pcitem902014207253-4c310000019abd0d21090a20e7c7_1080_1080.jpg?w=640&amp;h=640</v>
      </c>
      <c r="F14" t="inlineStr">
        <is>
          <t>Accessories</t>
        </is>
      </c>
      <c r="G14" t="inlineStr">
        <is>
          <t>Montblanc</t>
        </is>
      </c>
      <c r="H14">
        <v>460</v>
      </c>
      <c r="I14">
        <v>66.67</v>
      </c>
      <c r="J14" t="inlineStr">
        <is>
          <t>{"id":"chatcmpl-DYLjJiWkF9gyas35Cgy6m5aGVhx53","object":"chat.completion","created":1777079053,"model":"gpt-5-chat-latest","choices":[{"index":0,"message":{"role":"assistant","content":"Montblanc White Gold Classic Luxury Signature Pen","refusal":null,"annotations":[]},"logprobs":null,"finish_reason":"stop"}],"usage":{"prompt_tokens":874,"completion_tokens":10,"total_tokens":884,"prompt_tokens_details":{"cached_tokens":0,"audio_tokens":0},"completion_tokens_details":{"reasoning_tokens":0,"audio_tokens":0,"accepted_prediction_tokens":0,"rejected_prediction_tokens":0}},"service_tier":"default","system_fingerprint":"fp_ad66631dec"}</t>
        </is>
      </c>
      <c r="K14" t="inlineStr">
        <is>
          <t>Montblanc White Gold Classic Luxury Signature Pen</t>
        </is>
      </c>
      <c r="L14" t="inlineStr">
        <is>
          <t>{"id":"chatcmpl-DYLS0QBRligNpWx6NMUj0IobNujEj","object":"chat.completion","created":1777077980,"model":"gpt-5-chat-latest","choices":[{"index":0,"message":{"role":"assistant","content":"Montblanc White Gold Classic Signature Pen, crafted from premium resin with gold-plated accents, showcases timeless luxury and modern elegance. Perfect for business professionals, men and women.","refusal":null,"annotations":[]},"logprobs":null,"finish_reason":"stop"}],"usage":{"prompt_tokens":893,"completion_tokens":36,"total_tokens":929,"prompt_tokens_details":{"cached_tokens":0,"audio_tokens":0},"completion_tokens_details":{"reasoning_tokens":0,"audio_tokens":0,"accepted_prediction_tokens":0,"rejected_prediction_tokens":0}},"service_tier":"default","system_fingerprint":"fp_ad66631dec"}</t>
        </is>
      </c>
      <c r="M1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ma=2592000","apim-request-id":"0405a94b-61d7-4fb1-a0d8-284ad5b7b94c","azureml-model-session":"d20260402075109-1fc5a0ec","cache-control":"no-cache, no-store, must-revalidate","connection":"close","content-length":"998","content-security-policy":"frame-ancestors 'self'","content-type":"application/json","date":"Sat, 25 Apr 2026 00:46:22 GMT","server":"Caddy","skip-error-remapping":"true","strict-transport-security":"max-age=31536000; includeSubDomains; preload","via":"1.1 Caddy","x-api-request-id":"20260425084619226754089RYUrjWcP","x-content-type-options":"nosniff","x-frame-options":"SAMEORIGIN","x-ms-is-spilled-over":"false","x-ms-rai-invoked":"false","x-ms-region":"Sweden Central","x-new-api-version":"0.5.1","x-oneapi-request-id":"202604250046154166203678268d9d6hjVkIpyu","x-ratelimit-abusepenalty-active":"False","x-ratelimit-limit-requests":"4991","x-ratelimit-limit-tokens":"4991000","x-ratelimit-remaining-requests":"4990","x-ratelimit-remaining-tokens":"4989345","x-ratelimit-renewalperiod-requests":"60","x-ratelimit-renewalperiod-tokens":"60","x-ratelimit-reset-requests":"12","x-ratelimit-reset-tokens":"19","x-request-id":"34a930bf-6bc7-47fb-b160-9af8ab4b4de0"}</t>
        </is>
      </c>
      <c r="N14" t="inlineStr">
        <is>
          <t>Montblanc White Gold Classic Signature Pen, crafted from premium resin with gold-plated accents, showcases timeless luxury and modern elegance. Perfect for business professionals, men and women.</t>
        </is>
      </c>
      <c r="O14" t="inlineStr">
        <is>
          <t>{"id":"chatcmpl-DYLuPxPYopJKUKAOCtZhm7Cr5jDJN","object":"chat.completion","created":1777079741,"model":"gpt-5-chat-2025-10-03","choices":[{"index":0,"message":{"role":"assistant","content":"Montblanc,Pen,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4" t="inlineStr">
        <is>
          <t>Montblanc,Pen,kakobuy,kakebuy2026,kekobuysheet,kakobuysheet2026,2026kakobuy,kakobuyspreadsheeet,kakobuylink,kakebuylist,Kakobuy MEGA Spreadsheet,kakobuysheetfind,kakobuysheetfind2026,2026kakobuysheetfind,kakobuysheet2026</t>
        </is>
      </c>
      <c r="Q14"/>
      <c r="R14" t="inlineStr">
        <is>
          <t>recvhju1Crojlw</t>
        </is>
      </c>
      <c r="S14" t="inlineStr">
        <is>
          <t>montblanc-white-gold-classic-luxury-signature-pen-recvhju1crojlw</t>
        </is>
      </c>
      <c r="T14"/>
      <c r="U14"/>
      <c r="V14"/>
      <c r="W14" t="inlineStr">
        <is>
          <t>{"choices":[{"finish_reason":"stop","index":0,"logprobs":null,"message":{"annotations":[],"content":"Montblanc：白色金饰经典系列签字笔，甄选高品质树脂材质与镀金装饰，优雅商务设计，彰显精英格调，男女皆宜，尽显永恒奢华气质。","refusal":null,"role":"assistant"}}],"created":1777019426,"id":"chatcmpl-DY6DanZoFLw5a6YCw1D4jdI9JGrU5","model":"gpt-5-chat-latest","object":"chat.completion","service_tier":"default","system_fingerprint":"fp_ad66631dec","usage":{"completion_tokens":57,"completion_tokens_details":{"accepted_prediction_tokens":0,"audio_tokens":0,"reasoning_tokens":0,"rejected_prediction_tokens":0},"prompt_tokens":1305,"prompt_tokens_details":{"audio_tokens":0,"cached_tokens":1280},"total_tokens":1362}}</t>
        </is>
      </c>
      <c r="X14" t="inlineStr">
        <is>
          <t>Montblanc：白色金饰经典系列签字笔，甄选高品质树脂材质与镀金装饰，优雅商务设计，彰显精英格调，男女皆宜，尽显永恒奢华气质。</t>
        </is>
      </c>
    </row>
    <row r="15" ht="25.5" customHeight="1">
      <c r="A15">
        <v>1654975475</v>
      </c>
      <c r="B15">
        <v>7619220476</v>
      </c>
      <c r="C15" s="2" t="str">
        <f>=HYPERLINK("https://weidian.com/item.html?itemID=7619220476", "https://weidian.com/item.html?itemID=7619220476")</f>
        <v>https://weidian.com/item.html?itemID=7619220476</v>
      </c>
      <c r="D15"/>
      <c r="E15" s="2" t="str">
        <f>=HYPERLINK("https://si.geilicdn.com/pcitem902014207253-4c780000019abd0de2c60a20e7c7_1080_1080.jpg?w=640&amp;h=640", "https://si.geilicdn.com/pcitem902014207253-4c780000019abd0de2c60a20e7c7_1080_1080.jpg?w=640&amp;h=640")</f>
        <v>https://si.geilicdn.com/pcitem902014207253-4c780000019abd0de2c60a20e7c7_1080_1080.jpg?w=640&amp;h=640</v>
      </c>
      <c r="F15" t="inlineStr">
        <is>
          <t>Accessories</t>
        </is>
      </c>
      <c r="G15" t="inlineStr">
        <is>
          <t>Montblanc</t>
        </is>
      </c>
      <c r="H15">
        <v>460</v>
      </c>
      <c r="I15">
        <v>66.67</v>
      </c>
      <c r="J15" t="inlineStr">
        <is>
          <t>{"id":"chatcmpl-DYLjUl7QggPmnl5j3FnswQicLIrkt","object":"chat.completion","created":1777079064,"model":"gpt-5-chat-latest","choices":[{"index":0,"message":{"role":"assistant","content":"Montblanc Classic Burgundy Fountain Pen Gold Clip","refusal":null,"annotations":[]},"logprobs":null,"finish_reason":"stop"}],"usage":{"prompt_tokens":872,"completion_tokens":10,"total_tokens":882,"prompt_tokens_details":{"cached_tokens":0,"audio_tokens":0},"completion_tokens_details":{"reasoning_tokens":0,"audio_tokens":0,"accepted_prediction_tokens":0,"rejected_prediction_tokens":0}},"service_tier":"default","system_fingerprint":"fp_ad66631dec"}</t>
        </is>
      </c>
      <c r="K15" t="inlineStr">
        <is>
          <t>Montblanc Classic Burgundy Fountain Pen Gold Clip</t>
        </is>
      </c>
      <c r="L15" t="inlineStr">
        <is>
          <t>{"id":"chatcmpl-DYLXcg7jSOMxga4JMJ0NI2eI5pRAa","object":"chat.completion","created":1777078328,"model":"gpt-5-chat-latest","choices":[{"index":0,"message":{"role":"assistant","content":"Montblanc Classic Burgundy Resin Fountain Pen features sleek design, gold-plated clip, refined German craftsmanship, perfect for business or daily writing, showcasing timeless luxury and elegance.","refusal":null,"annotations":[]},"logprobs":null,"finish_reason":"stop"}],"usage":{"prompt_tokens":896,"completion_tokens":35,"total_tokens":931,"prompt_tokens_details":{"cached_tokens":0,"audio_tokens":0},"completion_tokens_details":{"reasoning_tokens":0,"audio_tokens":0,"accepted_prediction_tokens":0,"rejected_prediction_tokens":0}},"service_tier":"default","system_fingerprint":"fp_ad66631dec"}</t>
        </is>
      </c>
      <c r="M1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ma=2592000","apim-request-id":"49947ed6-618f-47c8-8cbb-21813b86eac4","azureml-model-session":"d20260402075109-1fc5a0ec","cache-control":"no-cache, no-store, must-revalidate","connection":"close","content-length":"1000","content-security-policy":"frame-ancestors 'self'","content-type":"application/json","date":"Sat, 25 Apr 2026 00:52:10 GMT","server":"Caddy","skip-error-remapping":"true","strict-transport-security":"max-age=31536000; includeSubDomains; preload","via":"1.1 Caddy","x-api-request-id":"20260425085207476151700uq5rdz3X","x-content-type-options":"nosniff","x-frame-options":"SAMEORIGIN","x-ms-is-spilled-over":"false","x-ms-rai-invoked":"false","x-ms-region":"Sweden Central","x-new-api-version":"0.5.1","x-oneapi-request-id":"202604250052034085891518268d9d6NRSeMLj3","x-ratelimit-abusepenalty-active":"False","x-ratelimit-limit-requests":"4991","x-ratelimit-limit-tokens":"4991000","x-ratelimit-remaining-requests":"4990","x-ratelimit-remaining-tokens":"4989342","x-ratelimit-renewalperiod-requests":"60","x-ratelimit-renewalperiod-tokens":"60","x-ratelimit-reset-requests":"12","x-ratelimit-reset-tokens":"19","x-request-id":"1c6e72bf-8a5d-47ca-9505-99931f47d93d"}</t>
        </is>
      </c>
      <c r="N15" t="inlineStr">
        <is>
          <t>Montblanc Classic Burgundy Resin Fountain Pen features sleek design, gold-plated clip, refined German craftsmanship, perfect for business or daily writing, showcasing timeless luxury and elegance.</t>
        </is>
      </c>
      <c r="O15" t="inlineStr">
        <is>
          <t>{"id":"chatcmpl-DYM2RQaksi29OoSXeYMiRLoKOpYBC","object":"chat.completion","created":1777080239,"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5" t="inlineStr">
        <is>
          <t>Montblanc,Accessories,kakobuy,kakebuy2026,kekobuysheet,kakobuysheet2026,2026kakobuy,kakobuyspreadsheeet,kakobuylink,kakebuylist,Kakobuy MEGA Spreadsheet,kakobuysheetfind,kakobuysheetfind2026,2026kakobuysheetfind,kakobuysheet2026</t>
        </is>
      </c>
      <c r="Q15"/>
      <c r="R15" t="inlineStr">
        <is>
          <t>recvhju1Cr4cFc</t>
        </is>
      </c>
      <c r="S15" t="inlineStr">
        <is>
          <t>montblanc-classic-burgundy-fountain-pen-gold-clip-recvhju1cr4cfc</t>
        </is>
      </c>
      <c r="T15"/>
      <c r="U15"/>
      <c r="V15"/>
      <c r="W15" t="inlineStr">
        <is>
          <t>{"choices":[{"finish_reason":"stop","index":0,"logprobs":null,"message":{"annotations":[],"content":"Montblanc：经典酒红色树脂钢笔，采用优雅流线设计与镀金夹饰，细腻光泽展现德系工艺美学，男女皆宜，商务与书写兼具，彰显高端品味。","refusal":null,"role":"assistant"}}],"created":1777019887,"id":"chatcmpl-DY6L1Uh50FwNUJbYDUrgHjgAPAiJn","model":"gpt-5-chat-latest","object":"chat.completion","service_tier":"default","system_fingerprint":"fp_ad66631dec","usage":{"completion_tokens":59,"completion_tokens_details":{"accepted_prediction_tokens":0,"audio_tokens":0,"reasoning_tokens":0,"rejected_prediction_tokens":0},"prompt_tokens":1307,"prompt_tokens_details":{"audio_tokens":0,"cached_tokens":0},"total_tokens":1366}}</t>
        </is>
      </c>
      <c r="X15" t="inlineStr">
        <is>
          <t>Montblanc：经典酒红色树脂钢笔，采用优雅流线设计与镀金夹饰，细腻光泽展现德系工艺美学，男女皆宜，商务与书写兼具，彰显高端品味。</t>
        </is>
      </c>
    </row>
    <row r="16" ht="25.5" customHeight="1">
      <c r="A16">
        <v>1654975475</v>
      </c>
      <c r="B16">
        <v>7615439515</v>
      </c>
      <c r="C16" s="2" t="str">
        <f>=HYPERLINK("https://weidian.com/item.html?itemID=7615439515", "https://weidian.com/item.html?itemID=7615439515")</f>
        <v>https://weidian.com/item.html?itemID=7615439515</v>
      </c>
      <c r="D16"/>
      <c r="E16" s="2" t="str">
        <f>=HYPERLINK("https://si.geilicdn.com/pcitem902014207253-64570000019abd0f33900a2315ef_1488_1488.jpg?w=640&amp;h=640", "https://si.geilicdn.com/pcitem902014207253-64570000019abd0f33900a2315ef_1488_1488.jpg?w=640&amp;h=640")</f>
        <v>https://si.geilicdn.com/pcitem902014207253-64570000019abd0f33900a2315ef_1488_1488.jpg?w=640&amp;h=640</v>
      </c>
      <c r="F16" t="inlineStr">
        <is>
          <t>Accessories</t>
        </is>
      </c>
      <c r="G16" t="inlineStr">
        <is>
          <t>Montblanc</t>
        </is>
      </c>
      <c r="H16">
        <v>460</v>
      </c>
      <c r="I16">
        <v>66.67</v>
      </c>
      <c r="J16" t="inlineStr">
        <is>
          <t>{"id":"chatcmpl-DYLmwqxYgqh62ahMrawwLGmHuk86y","object":"chat.completion","created":1777079278,"model":"gpt-5-chat-2025-10-03","choices":[{"index":0,"message":{"role":"assistant","content":"Montblanc White Minimalist Resin Fountain Pen","refusal":null,"annotations":[]},"logprobs":null,"finish_reason":"stop"}],"usage":{"prompt_tokens":872,"completion_tokens":10,"total_tokens":882,"prompt_tokens_details":{"cached_tokens":0,"audio_tokens":0},"completion_tokens_details":{"reasoning_tokens":0,"audio_tokens":0,"accepted_prediction_tokens":0,"rejected_prediction_tokens":0}},"service_tier":"default","system_fingerprint":"fp_ad66631dec"}</t>
        </is>
      </c>
      <c r="K16" t="inlineStr">
        <is>
          <t>Montblanc White Minimalist Resin Fountain Pen</t>
        </is>
      </c>
      <c r="L16" t="inlineStr">
        <is>
          <t>{"id":"chatcmpl-DYLZXxnkLpFqz7Oo1z8zwcO6oPpVB","object":"chat.completion","created":1777078447,"model":"gpt-5-chat-latest","choices":[{"index":0,"message":{"role":"assistant","content":"Montblanc White Minimalist Fountain Pen crafted from premium resin, sleek modern design with black-white elegance, iconic star emblem on cap, perfect for business and daily writing.","refusal":null,"annotations":[]},"logprobs":null,"finish_reason":"stop"}],"usage":{"prompt_tokens":899,"completion_tokens":35,"total_tokens":934,"prompt_tokens_details":{"cached_tokens":0,"audio_tokens":0},"completion_tokens_details":{"reasoning_tokens":0,"audio_tokens":0,"accepted_prediction_tokens":0,"rejected_prediction_tokens":0}},"service_tier":"default","system_fingerprint":"fp_ad66631dec"}</t>
        </is>
      </c>
      <c r="M1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ma=2592000","apim-request-id":"5a0a1794-6fcc-487a-a43e-9cc249568c1b","azureml-model-session":"d20260405234249-f9874baf","cache-control":"no-cache, no-store, must-revalidate","connection":"close","content-length":"985","content-security-policy":"frame-ancestors 'self'","content-type":"application/json","date":"Sat, 25 Apr 2026 00:54:08 GMT","server":"Caddy","skip-error-remapping":"true","strict-transport-security":"max-age=31536000; includeSubDomains; preload","via":"1.1 Caddy","x-api-request-id":"20260425085406383419037CdVMQx5m","x-content-type-options":"nosniff","x-frame-options":"SAMEORIGIN","x-ms-is-spilled-over":"false","x-ms-rai-invoked":"false","x-ms-region":"East US 2","x-new-api-version":"0.5.1","x-oneapi-request-id":"202604250054041285104038268d9d6Vy66p6nc","x-ratelimit-abusepenalty-active":"False","x-ratelimit-limit-requests":"4992","x-ratelimit-limit-tokens":"4992000","x-ratelimit-remaining-requests":"4991","x-ratelimit-remaining-tokens":"4990339","x-ratelimit-renewalperiod-requests":"60","x-ratelimit-renewalperiod-tokens":"60","x-ratelimit-reset-requests":"12","x-ratelimit-reset-tokens":"19","x-request-id":"5ad6660e-35a1-4428-89fc-46d075db4d4d"}</t>
        </is>
      </c>
      <c r="N16" t="inlineStr">
        <is>
          <t>Montblanc White Minimalist Fountain Pen crafted from premium resin, sleek modern design with black-white elegance, iconic star emblem on cap, perfect for business and daily writing.</t>
        </is>
      </c>
      <c r="O16" t="inlineStr">
        <is>
          <t>{"id":"chatcmpl-DYLw2NXcHCkxiG6ch9iSa06xhG2Tf","object":"chat.completion","created":1777079842,"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6" t="inlineStr">
        <is>
          <t>Montblanc,Accessories,kakobuy,kakebuy2026,kekobuysheet,kakobuysheet2026,2026kakobuy,kakobuyspreadsheeet,kakobuylink,kakebuylist,Kakobuy MEGA Spreadsheet,kakobuysheetfind,kakobuysheetfind2026,2026kakobuysheetfind,kakobuysheet2026</t>
        </is>
      </c>
      <c r="Q16"/>
      <c r="R16" t="inlineStr">
        <is>
          <t>recvhju1CrMPpQ</t>
        </is>
      </c>
      <c r="S16" t="inlineStr">
        <is>
          <t>montblanc-white-minimalist-resin-fountain-pen-recvhju1cr mppq</t>
        </is>
      </c>
      <c r="T16"/>
      <c r="U16"/>
      <c r="V16"/>
      <c r="W16" t="inlineStr">
        <is>
          <t>{"id":"chatcmpl-DY6GI7SASdscuMHp3ZOpoYezJod3u","object":"chat.completion","created":1777019594,"model":"gpt-5-chat-latest","choices":[{"index":0,"message":{"role":"assistant","content":"Montblanc 白色简约款钢笔，甄选高质树脂材质，流线型设计彰显现代美学，黑白配色优雅大方，笔帽饰以经典六角星标识，男女皆适用，商务与书写皆显格调。","refusal":null,"annotations":[]},"logprobs":null,"finish_reason":"stop"}],"usage":{"prompt_tokens":1299,"completion_tokens":66,"total_tokens":1365,"prompt_tokens_details":{"cached_tokens":1280,"audio_tokens":0},"completion_tokens_details":{"reasoning_tokens":0,"audio_tokens":0,"accepted_prediction_tokens":0,"rejected_prediction_tokens":0}},"service_tier":"default","system_fingerprint":"fp_ad66631dec"}</t>
        </is>
      </c>
      <c r="X16" t="inlineStr">
        <is>
          <t>Montblanc 白色简约款钢笔，甄选高质树脂材质，流线型设计彰显现代美学，黑白配色优雅大方，笔帽饰以经典六角星标识，男女皆适用，商务与书写皆显格调。</t>
        </is>
      </c>
    </row>
    <row r="17" ht="25.5" customHeight="1">
      <c r="A17">
        <v>1654975475</v>
      </c>
      <c r="B17">
        <v>7616200805</v>
      </c>
      <c r="C17" s="2" t="str">
        <f>=HYPERLINK("https://weidian.com/item.html?itemID=7616200805", "https://weidian.com/item.html?itemID=7616200805")</f>
        <v>https://weidian.com/item.html?itemID=7616200805</v>
      </c>
      <c r="D17"/>
      <c r="E17" s="2" t="str">
        <f>=HYPERLINK("https://si.geilicdn.com/pcitem902014207253-5de20000019abd10aa530a2303ee_1512_1937.jpg?w=640&amp;h=640", "https://si.geilicdn.com/pcitem902014207253-5de20000019abd10aa530a2303ee_1512_1937.jpg?w=640&amp;h=640")</f>
        <v>https://si.geilicdn.com/pcitem902014207253-5de20000019abd10aa530a2303ee_1512_1937.jpg?w=640&amp;h=640</v>
      </c>
      <c r="F17" t="inlineStr">
        <is>
          <t>Accessories</t>
        </is>
      </c>
      <c r="G17" t="inlineStr">
        <is>
          <t>Cartier</t>
        </is>
      </c>
      <c r="H17">
        <v>460</v>
      </c>
      <c r="I17">
        <v>66.67</v>
      </c>
      <c r="J17" t="inlineStr">
        <is>
          <t>{"id":"chatcmpl-DYLl6evJCbNc7Sv9KO9Xuu4Ji2vEy","object":"chat.completion","created":1777079164,"model":"gpt-5-chat-latest","choices":[{"index":0,"message":{"role":"assistant","content":"Cartier Classic Black Metal Signature Luxury Pen","refusal":null,"annotations":[]},"logprobs":null,"finish_reason":"stop"}],"usage":{"prompt_tokens":869,"completion_tokens":9,"total_tokens":878,"prompt_tokens_details":{"cached_tokens":0,"audio_tokens":0},"completion_tokens_details":{"reasoning_tokens":0,"audio_tokens":0,"accepted_prediction_tokens":0,"rejected_prediction_tokens":0}},"service_tier":"default","system_fingerprint":"fp_ad66631dec"}</t>
        </is>
      </c>
      <c r="K17" t="inlineStr">
        <is>
          <t>Cartier Classic Black Metal Signature Luxury Pen</t>
        </is>
      </c>
      <c r="L17" t="inlineStr">
        <is>
          <t>{"id":"chatcmpl-DYLXxlYUf48oXymfulIpcJgo5Jrgd","object":"chat.completion","created":1777078349,"model":"gpt-5-chat-latest","choices":[{"index":0,"message":{"role":"assistant","content":"Cartier Classic Black Signature Pen – sleek metal body with refined engraving, timeless French design, elegant and durable for men and women, offering a smooth premium writing experience.","refusal":null,"annotations":[]},"logprobs":null,"finish_reason":"stop"}],"usage":{"prompt_tokens":884,"completion_tokens":34,"total_tokens":918,"prompt_tokens_details":{"cached_tokens":0,"audio_tokens":0},"completion_tokens_details":{"reasoning_tokens":0,"audio_tokens":0,"accepted_prediction_tokens":0,"rejected_prediction_tokens":0}},"service_tier":"default","system_fingerprint":"fp_ad66631dec"}</t>
        </is>
      </c>
      <c r="M1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ma=2592000","apim-request-id":"b3665061-7983-4d39-924e-fdcc739e80b8","azureml-model-session":"d20260405234249-f9874baf","cache-control":"no-cache, no-store, must-revalidate","connection":"close","content-length":"993","content-security-policy":"frame-ancestors 'self'","content-type":"application/json","date":"Sat, 25 Apr 2026 00:52:31 GMT","server":"Caddy","skip-error-remapping":"true","strict-transport-security":"max-age=31536000; includeSubDomains; preload","via":"1.1 Caddy","x-api-request-id":"2026042508522886225665LykbLLCx","x-content-type-options":"nosniff","x-frame-options":"SAMEORIGIN","x-ms-is-spilled-over":"false","x-ms-rai-invoked":"false","x-ms-region":"Sweden Central","x-new-api-version":"0.5.1","x-oneapi-request-id":"202604250052272697678228268d9d6SdkKxc2X","x-ratelimit-abusepenalty-active":"False","x-ratelimit-limit-requests":"4991","x-ratelimit-limit-tokens":"4991000","x-ratelimit-remaining-requests":"4990","x-ratelimit-remaining-tokens":"4989354","x-ratelimit-renewalperiod-requests":"60","x-ratelimit-renewalperiod-tokens":"60","x-ratelimit-reset-requests":"12","x-ratelimit-reset-tokens":"19","x-request-id":"3baca172-4761-4d2b-8f50-8fcd5fe97d30"}</t>
        </is>
      </c>
      <c r="N17" t="inlineStr">
        <is>
          <t>Cartier Classic Black Signature Pen – sleek metal body with refined engraving, timeless French design, elegant and durable for men and women, offering a smooth premium writing experience.</t>
        </is>
      </c>
      <c r="O17" t="inlineStr">
        <is>
          <t>{"id":"chatcmpl-DYLyAjY7aW9yPP5f1GFhdjEDdr49e","object":"chat.completion","created":1777079974,"model":"gpt-5-chat-2025-10-03","choices":[{"index":0,"message":{"role":"assistant","content":"Cartier,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7" t="inlineStr">
        <is>
          <t>Cartier,Accessories,kakobuy,kakebuy2026,kekobuysheet,kakobuysheet2026,2026kakobuy,kakobuyspreadsheeet,kakobuylink,kakebuylist,Kakobuy MEGA Spreadsheet,kakobuysheetfind,kakobuysheetfind2026,2026kakobuysheetfind,kakobuysheet2026</t>
        </is>
      </c>
      <c r="Q17"/>
      <c r="R17" t="inlineStr">
        <is>
          <t>recvhju1Crnvud</t>
        </is>
      </c>
      <c r="S17" t="inlineStr">
        <is>
          <t>cartier-black-metal-signature-pen-recvhju1crnvud</t>
        </is>
      </c>
      <c r="T17"/>
      <c r="U17"/>
      <c r="V17"/>
      <c r="W17" t="inlineStr">
        <is>
          <t>{"id":"chatcmpl-DY6GYQ7KrEOOSCuNpqRJSX01JWDaF","object":"chat.completion","created":1777019610,"model":"gpt-5-chat-latest","choices":[{"index":0,"message":{"role":"assistant","content":"Cartier：经典系列黑色签字笔，金属质感笔身搭配精致雕纹设计，优雅简约风格，男女皆宜，彰显法式高定气质与卓越书写体验。","refusal":null,"annotations":[]},"logprobs":null,"finish_reason":"stop"}],"usage":{"prompt_tokens":1297,"completion_tokens":52,"total_tokens":1349,"prompt_tokens_details":{"cached_tokens":0,"audio_tokens":0},"completion_tokens_details":{"reasoning_tokens":0,"audio_tokens":0,"accepted_prediction_tokens":0,"rejected_prediction_tokens":0}},"service_tier":"default","system_fingerprint":"fp_ad66631dec"}</t>
        </is>
      </c>
      <c r="X17" t="inlineStr">
        <is>
          <t>Cartier：经典系列黑色签字笔，金属质感笔身搭配精致雕纹设计，优雅简约风格，男女皆宜，彰显法式高定气质与卓越书写体验。</t>
        </is>
      </c>
    </row>
    <row r="18" ht="25.5" customHeight="1">
      <c r="A18">
        <v>1654975475</v>
      </c>
      <c r="B18">
        <v>7619210590</v>
      </c>
      <c r="C18" s="2" t="str">
        <f>=HYPERLINK("https://weidian.com/item.html?itemID=7619210590", "https://weidian.com/item.html?itemID=7619210590")</f>
        <v>https://weidian.com/item.html?itemID=7619210590</v>
      </c>
      <c r="D18"/>
      <c r="E18" s="2" t="str">
        <f>=HYPERLINK("https://si.geilicdn.com/pcitem902014207253-4d940000019abd116a140a20e273_1440_1920.jpg?w=640&amp;h=640", "https://si.geilicdn.com/pcitem902014207253-4d940000019abd116a140a20e273_1440_1920.jpg?w=640&amp;h=640")</f>
        <v>https://si.geilicdn.com/pcitem902014207253-4d940000019abd116a140a20e273_1440_1920.jpg?w=640&amp;h=640</v>
      </c>
      <c r="F18" t="inlineStr">
        <is>
          <t>Accessories</t>
        </is>
      </c>
      <c r="G18" t="inlineStr">
        <is>
          <t>Montblanc</t>
        </is>
      </c>
      <c r="H18">
        <v>460</v>
      </c>
      <c r="I18">
        <v>66.67</v>
      </c>
      <c r="J18" t="inlineStr">
        <is>
          <t>{"id":"chatcmpl-DYLlY0negcJACCzTUNQ8EFtzu2a6J","object":"chat.completion","created":1777079192,"model":"gpt-5-chat-latest","choices":[{"index":0,"message":{"role":"assistant","content":"Montblanc Classic Black Gold Trim Luxury Fountain Pen","refusal":null,"annotations":[]},"logprobs":null,"finish_reason":"stop"}],"usage":{"prompt_tokens":872,"completion_tokens":11,"total_tokens":883,"prompt_tokens_details":{"cached_tokens":0,"audio_tokens":0},"completion_tokens_details":{"reasoning_tokens":0,"audio_tokens":0,"accepted_prediction_tokens":0,"rejected_prediction_tokens":0}},"service_tier":"default","system_fingerprint":"fp_ad66631dec"}</t>
        </is>
      </c>
      <c r="K18" t="inlineStr">
        <is>
          <t>Montblanc Classic Black Gold Trim Luxury Fountain Pen</t>
        </is>
      </c>
      <c r="L18" t="inlineStr">
        <is>
          <t>{"id":"chatcmpl-DYLS8OXSFYC7DvYpRrHFMC8ADTFYV","object":"chat.completion","created":1777077988,"model":"gpt-5-chat-latest","choices":[{"index":0,"message":{"role":"assistant","content":"Montblanc Classic Black Gold Trim Fountain Pen, crafted from premium resin with a sleek German design, perfect for business or daily use, elegant unisex luxury writing instrument.","refusal":null,"annotations":[]},"logprobs":null,"finish_reason":"stop"}],"usage":{"prompt_tokens":884,"completion_tokens":35,"total_tokens":919,"prompt_tokens_details":{"cached_tokens":0,"audio_tokens":0},"completion_tokens_details":{"reasoning_tokens":0,"audio_tokens":0,"accepted_prediction_tokens":0,"rejected_prediction_tokens":0}},"service_tier":"default","system_fingerprint":"fp_ad66631dec"}</t>
        </is>
      </c>
      <c r="M1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ma=2592000","apim-request-id":"3ff073a7-7769-4ca7-99b9-f2820ba2189b","azureml-model-session":"d20260405234249-f9874baf","cache-control":"no-cache, no-store, must-revalidate","connection":"close","content-length":"983","content-security-policy":"frame-ancestors 'self'","content-type":"application/json","date":"Sat, 25 Apr 2026 00:46:31 GMT","server":"Caddy","skip-error-remapping":"true","strict-transport-security":"max-age=31536000; includeSubDomains; preload","via":"1.1 Caddy","x-api-request-id":"202604250846267190744479W3KhjOq","x-content-type-options":"nosniff","x-frame-options":"SAMEORIGIN","x-ms-is-spilled-over":"false","x-ms-rai-invoked":"false","x-ms-region":"Sweden Central","x-new-api-version":"0.5.1","x-oneapi-request-id":"202604250046258942685178268d9d67TvgT9hR","x-ratelimit-abusepenalty-active":"False","x-ratelimit-limit-requests":"4991","x-ratelimit-limit-tokens":"4991000","x-ratelimit-remaining-requests":"4990","x-ratelimit-remaining-tokens":"4989354","x-ratelimit-renewalperiod-requests":"60","x-ratelimit-renewalperiod-tokens":"60","x-ratelimit-reset-requests":"12","x-ratelimit-reset-tokens":"19","x-request-id":"afd835e5-d65c-4423-a224-d2ebb872b2e3"}</t>
        </is>
      </c>
      <c r="N18" t="inlineStr">
        <is>
          <t>Montblanc Classic Black Gold Trim Fountain Pen, crafted from premium resin with a sleek German design, perfect for business or daily use, elegant unisex luxury writing instrument.</t>
        </is>
      </c>
      <c r="O18" t="inlineStr">
        <is>
          <t>{"id":"chatcmpl-DYLxebZyOpzNZuIs6KX46yawmMQfE","object":"chat.completion","created":1777079942,"model":"gpt-5-chat-2025-10-03","choices":[{"index":0,"message":{"role":"assistant","content":"Montblanc,Pen,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8" t="inlineStr">
        <is>
          <t>Montblanc,Pen,kakobuy,kakebuy2026,kekobuysheet,kakobuysheet2026,2026kakobuy,kakobuyspreadsheeet,kakobuylink,kakebuylist,Kakobuy MEGA Spreadsheet,kakobuysheetfind,kakobuysheetfind2026,2026kakobuysheetfind,kakobuysheet2026</t>
        </is>
      </c>
      <c r="Q18"/>
      <c r="R18" t="inlineStr">
        <is>
          <t>recvhju1Cr8ykh</t>
        </is>
      </c>
      <c r="S18" t="inlineStr">
        <is>
          <t>montblanc-classic-black-gold-trim-fountain-pen-recvhju1cr8ykh</t>
        </is>
      </c>
      <c r="T18"/>
      <c r="U18"/>
      <c r="V18"/>
      <c r="W18" t="inlineStr">
        <is>
          <t>{"id":"chatcmpl-DY6J0GAPtHTH9qHk6T1Shb8OKrCxO","object":"chat.completion","created":1777019762,"model":"gpt-5-chat-latest","choices":[{"index":0,"message":{"role":"assistant","content":"Montblanc：经典黑色金夹钢笔，甄选高级树脂材质，优雅流畅笔身设计，彰显德式精工美学，商务与日常皆宜，男女通用款。","refusal":null,"annotations":[]},"logprobs":null,"finish_reason":"stop"}],"usage":{"prompt_tokens":1299,"completion_tokens":51,"total_tokens":1350,"prompt_tokens_details":{"cached_tokens":0,"audio_tokens":0},"completion_tokens_details":{"reasoning_tokens":0,"audio_tokens":0,"accepted_prediction_tokens":0,"rejected_prediction_tokens":0}},"service_tier":"default","system_fingerprint":"fp_ad66631dec"}</t>
        </is>
      </c>
      <c r="X18" t="inlineStr">
        <is>
          <t>Montblanc：经典黑色金夹钢笔，甄选高级树脂材质，优雅流畅笔身设计，彰显德式精工美学，商务与日常皆宜，男女通用款。</t>
        </is>
      </c>
    </row>
    <row r="19" ht="25.5" customHeight="1">
      <c r="A19">
        <v>1654975475</v>
      </c>
      <c r="B19">
        <v>7616252463</v>
      </c>
      <c r="C19" s="2" t="str">
        <f>=HYPERLINK("https://weidian.com/item.html?itemID=7616252463", "https://weidian.com/item.html?itemID=7616252463")</f>
        <v>https://weidian.com/item.html?itemID=7616252463</v>
      </c>
      <c r="D19"/>
      <c r="E19" s="2" t="str">
        <f>=HYPERLINK("https://si.geilicdn.com/pcitem902014207253-4add0000019abd122eb30a231177_1440_1920.jpg?w=640&amp;h=640", "https://si.geilicdn.com/pcitem902014207253-4add0000019abd122eb30a231177_1440_1920.jpg?w=640&amp;h=640")</f>
        <v>https://si.geilicdn.com/pcitem902014207253-4add0000019abd122eb30a231177_1440_1920.jpg?w=640&amp;h=640</v>
      </c>
      <c r="F19" t="inlineStr">
        <is>
          <t>Accessories</t>
        </is>
      </c>
      <c r="G19" t="inlineStr">
        <is>
          <t>Montblanc</t>
        </is>
      </c>
      <c r="H19">
        <v>460</v>
      </c>
      <c r="I19">
        <v>66.67</v>
      </c>
      <c r="J19" t="inlineStr">
        <is>
          <t>{"id":"chatcmpl-DYLlHlcbn6fboIIWJNkatzeGt7mRl","object":"chat.completion","created":1777079175,"model":"gpt-5-chat-latest","choices":[{"index":0,"message":{"role":"assistant","content":"Montblanc Meisterstück Black Resin Fountain Pen","refusal":null,"annotations":[]},"logprobs":null,"finish_reason":"stop"}],"usage":{"prompt_tokens":880,"completion_tokens":10,"total_tokens":890,"prompt_tokens_details":{"cached_tokens":0,"audio_tokens":0},"completion_tokens_details":{"reasoning_tokens":0,"audio_tokens":0,"accepted_prediction_tokens":0,"rejected_prediction_tokens":0}},"service_tier":"default","system_fingerprint":"fp_ad66631dec"}</t>
        </is>
      </c>
      <c r="K19" t="inlineStr">
        <is>
          <t>Montblanc Meisterstück Black Resin Fountain Pen</t>
        </is>
      </c>
      <c r="L19" t="inlineStr">
        <is>
          <t>{"id":"chatcmpl-DYLZH82YxI3JcpsGqgwYWbqUB5aDi","object":"chat.completion","created":1777078431,"model":"gpt-5-chat-latest","choices":[{"index":0,"message":{"role":"assistant","content":"Montblanc Classic Black Meisterstück Fountain Pen, crafted from high-gloss resin with elegant metal rings, smooth writing performance, perfect for business or collection, ideal for refined men and women.","refusal":null,"annotations":[]},"logprobs":null,"finish_reason":"stop"}],"usage":{"prompt_tokens":889,"completion_tokens":39,"total_tokens":928,"prompt_tokens_details":{"cached_tokens":0,"audio_tokens":0},"completion_tokens_details":{"reasoning_tokens":0,"audio_tokens":0,"accepted_prediction_tokens":0,"rejected_prediction_tokens":0}},"service_tier":"default","system_fingerprint":"fp_ad66631dec"}</t>
        </is>
      </c>
      <c r="M1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ma=2592000","apim-request-id":"01422af2-7f8b-475f-9274-20f44dcf6d46","azureml-model-session":"d20260405212659-a9daa006","cache-control":"no-cache, no-store, must-revalidate","connection":"close","content-length":"1008","content-security-policy":"frame-ancestors 'self'","content-type":"application/json","date":"Sat, 25 Apr 2026 00:53:53 GMT","server":"nginx","skip-error-remapping":"true","strict-transport-security":"max-age=31536000; includeSubDomains; preload","via":"1.1 Caddy, 1.1 Caddy","x-api-request-id":"20260425085350129935246Ai39gfYl","x-content-type-options":"nosniff","x-frame-options":"SAMEORIGIN","x-ms-is-spilled-over":"false","x-ms-rai-invoked":"false","x-ms-region":"Sweden Central","x-new-api-version":"0.5.1","x-oneapi-request-id":"202604250053479894307448268d9d65LKWA5hC","x-ratelimit-abusepenalty-active":"False","x-ratelimit-limit-requests":"4991","x-ratelimit-limit-tokens":"4991000","x-ratelimit-remaining-requests":"4990","x-ratelimit-remaining-tokens":"4989349","x-ratelimit-renewalperiod-requests":"60","x-ratelimit-renewalperiod-tokens":"60","x-ratelimit-reset-requests":"12","x-ratelimit-reset-tokens":"19","x-request-id":"5d06351c-5388-413e-af6c-94e3334a45a6"}</t>
        </is>
      </c>
      <c r="N19" t="inlineStr">
        <is>
          <t>Montblanc Classic Black Meisterstück Fountain Pen, crafted from high-gloss resin with elegant metal rings, smooth writing performance, perfect for business or collection, ideal for refined men and women.</t>
        </is>
      </c>
      <c r="O19" t="inlineStr">
        <is>
          <t>{"id":"chatcmpl-DYLuMzjuDaENfiHiRsOfnIROaLDar","object":"chat.completion","created":1777079738,"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9" t="inlineStr">
        <is>
          <t>Montblanc,Accessories,kakobuy,kakebuy2026,kekobuysheet,kakobuysheet2026,2026kakobuy,kakobuyspreadsheeet,kakobuylink,kakebuylist,Kakobuy MEGA Spreadsheet,kakobuysheetfind,kakobuysheetfind2026,2026kakobuysheetfind,kakobuysheet2026</t>
        </is>
      </c>
      <c r="Q19"/>
      <c r="R19" t="inlineStr">
        <is>
          <t>recvhju1CrZ3fN</t>
        </is>
      </c>
      <c r="S19" t="inlineStr">
        <is>
          <t>montblanc-meisterstuck-black-resin-fountain-pen-recvhju1crz3fn</t>
        </is>
      </c>
      <c r="T19"/>
      <c r="U19"/>
      <c r="V19"/>
      <c r="W19" t="inlineStr">
        <is>
          <t>{"id":"chatcmpl-DY6E1nmHroyBIQnXoLoMrTg6bZuIb","object":"chat.completion","created":1777019453,"model":"gpt-5-chat-latest","choices":[{"index":0,"message":{"role":"assistant","content":"Montblanc：经典黑色大师系列钢笔，甄选高光树脂材质，金属饰环设计彰显精英格调，书写顺滑，商务与收藏皆宜，适合男女士典雅品味之选。","refusal":null,"annotations":[]},"logprobs":null,"finish_reason":"stop"}],"usage":{"prompt_tokens":1297,"completion_tokens":57,"total_tokens":1354,"prompt_tokens_details":{"cached_tokens":0,"audio_tokens":0},"completion_tokens_details":{"reasoning_tokens":0,"audio_tokens":0,"accepted_prediction_tokens":0,"rejected_prediction_tokens":0}},"service_tier":"default","system_fingerprint":"fp_ad66631dec"}</t>
        </is>
      </c>
      <c r="X19" t="inlineStr">
        <is>
          <t>Montblanc：经典黑色大师系列钢笔，甄选高光树脂材质，金属饰环设计彰显精英格调，书写顺滑，商务与收藏皆宜，适合男女士典雅品味之选。</t>
        </is>
      </c>
    </row>
    <row r="20" ht="25.5" customHeight="1">
      <c r="A20">
        <v>1654975475</v>
      </c>
      <c r="B20">
        <v>7616048875</v>
      </c>
      <c r="C20" s="2" t="str">
        <f>=HYPERLINK("https://weidian.com/item.html?itemID=7616048875", "https://weidian.com/item.html?itemID=7616048875")</f>
        <v>https://weidian.com/item.html?itemID=7616048875</v>
      </c>
      <c r="D20"/>
      <c r="E20" s="2" t="str">
        <f>=HYPERLINK("https://si.geilicdn.com/pcitem2014204438-60250000019abaaa54350a2304aa_1080_1080.jpg?w=640&amp;h=640", "https://si.geilicdn.com/pcitem2014204438-60250000019abaaa54350a2304aa_1080_1080.jpg?w=640&amp;h=640")</f>
        <v>https://si.geilicdn.com/pcitem2014204438-60250000019abaaa54350a2304aa_1080_1080.jpg?w=640&amp;h=640</v>
      </c>
      <c r="F20" t="inlineStr">
        <is>
          <t>Accessories</t>
        </is>
      </c>
      <c r="G20" t="inlineStr">
        <is>
          <t>Montblanc</t>
        </is>
      </c>
      <c r="H20">
        <v>460</v>
      </c>
      <c r="I20">
        <v>66.67</v>
      </c>
      <c r="J20" t="inlineStr">
        <is>
          <t>{"id":"chatcmpl-DYLkD8kbxfzzuuvHxtYZdAe4VsWBS","object":"chat.completion","created":1777079109,"model":"gpt-5-chat-latest","choices":[{"index":0,"message":{"role":"assistant","content":"Montblanc Silver Grey Luxury Metal Ballpoint Pen","refusal":null,"annotations":[]},"logprobs":null,"finish_reason":"stop"}],"usage":{"prompt_tokens":872,"completion_tokens":11,"total_tokens":883,"prompt_tokens_details":{"cached_tokens":0,"audio_tokens":0},"completion_tokens_details":{"reasoning_tokens":0,"audio_tokens":0,"accepted_prediction_tokens":0,"rejected_prediction_tokens":0}},"service_tier":"default","system_fingerprint":"fp_ad66631dec"}</t>
        </is>
      </c>
      <c r="K20" t="inlineStr">
        <is>
          <t>Montblanc Silver Grey Luxury Metal Ballpoint Pen</t>
        </is>
      </c>
      <c r="L20" t="inlineStr">
        <is>
          <t>{"choices":[{"finish_reason":"stop","index":0,"logprobs":null,"message":{"annotations":[],"content":"Montblanc Silver-Grey Metal Ballpoint Pen with fine geometric engraving, elegant craftsmanship and modern style, perfect for men and women, the ultimate luxury business writing tool.","refusal":null,"role":"assistant"}}],"created":1777077976,"id":"chatcmpl-DYLRw4ejGSOiTrPxQHpddoYBoJWw9","model":"gpt-5-chat-latest","object":"chat.completion","service_tier":"default","system_fingerprint":"fp_ad66631dec","usage":{"completion_tokens":35,"completion_tokens_details":{"accepted_prediction_tokens":0,"audio_tokens":0,"reasoning_tokens":0,"rejected_prediction_tokens":0},"prompt_tokens":878,"prompt_tokens_details":{"audio_tokens":0,"cached_tokens":0},"total_tokens":913}}</t>
        </is>
      </c>
      <c r="M20" t="inlineStr">
        <is>
          <t>{"alt-svc":"h3=\":443\"; ma=2592000","apim-request-id":"4559549e-03ee-4991-acf6-a8e21dae41a5","azureml-model-session":"d20260405225800-40f19e54","cache-control":"no-cache","connection":"close","content-length":"770","content-security-policy":"frame-ancestors 'self'","content-type":"application/json","date":"Sat, 25 Apr 2026 00:46:17 GMT","server":"nginx","skip-error-remapping":"true","strict-transport-security":"max-age=31536000; includeSubDomains; preload","via":"1.1 Caddy, 1.1 Caddy","x-api-request-id":"20260425084613849308699iRLP9GKY","x-content-type-options":"nosniff","x-frame-options":"SAMEORIGIN","x-ms-client-request-id":"Not-Set","x-ms-is-spilled-over":"false","x-ms-rai-invoked":"true","x-ms-region":"East US 2","x-new-api-version":"0.5.1","x-oneapi-request-id":"202604250046133401778588268d9d6uDyidqaT","x-ratelimit-abusepenalty-active":"False","x-ratelimit-limit-requests":"50","x-ratelimit-limit-tokens":"50000","x-ratelimit-remaining-requests":"48","x-ratelimit-remaining-tokens":"-1118","x-ratelimit-renewalperiod-requests":"60","x-ratelimit-renewalperiod-tokens":"60","x-ratelimit-reset-requests":"2271","x-ratelimit-reset-tokens":"61341","x-request-id":"d05a57a6-3933-47db-a8ef-3ae4d72c3d0c"}</t>
        </is>
      </c>
      <c r="N20" t="inlineStr">
        <is>
          <t>Montblanc Silver-Grey Metal Ballpoint Pen with fine geometric engraving, elegant craftsmanship and modern style, perfect for men and women, the ultimate luxury business writing tool.</t>
        </is>
      </c>
      <c r="O20" t="inlineStr">
        <is>
          <t>{"id":"chatcmpl-DYLwLKqE2NaMjVFRXzDlrMw9o8Nv9","object":"chat.completion","created":1777079861,"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20" t="inlineStr">
        <is>
          <t>Montblanc,Accessories,kakobuy,kakebuy2026,kekobuysheet,kakobuysheet2026,2026kakobuy,kakobuyspreadsheeet,kakobuylink,kakebuylist,Kakobuy MEGA Spreadsheet,kakobuysheetfind,kakobuysheetfind2026,2026kakobuysheetfind,kakobuysheet2026</t>
        </is>
      </c>
      <c r="Q20"/>
      <c r="R20" t="inlineStr">
        <is>
          <t>recvhju1Crjkjd</t>
        </is>
      </c>
      <c r="S20" t="inlineStr">
        <is>
          <t>montblanc-silver-grey-luxury-metal-ballpoint-pen-recvhju1crjkjd</t>
        </is>
      </c>
      <c r="T20"/>
      <c r="U20"/>
      <c r="V20"/>
      <c r="W20" t="inlineStr">
        <is>
          <t>{"id":"chatcmpl-DY6JROvDHrcpU2dFOoyOvikCkjKvD","object":"chat.completion","created":1777019789,"model":"gpt-5-chat-latest","choices":[{"index":0,"message":{"role":"assistant","content":"Montblanc：银灰色金属质感签字笔，镌刻精致几何纹理，展现华贵工艺与现代美学，男女皆宜，高端商务典范。","refusal":null,"annotations":[]},"logprobs":null,"finish_reason":"stop"}],"usage":{"prompt_tokens":1297,"completion_tokens":46,"total_tokens":1343,"prompt_tokens_details":{"cached_tokens":1280,"audio_tokens":0},"completion_tokens_details":{"reasoning_tokens":0,"audio_tokens":0,"accepted_prediction_tokens":0,"rejected_prediction_tokens":0}},"service_tier":"default","system_fingerprint":"fp_ad66631dec"}</t>
        </is>
      </c>
      <c r="X20" t="inlineStr">
        <is>
          <t>Montblanc：银灰色金属质感签字笔，镌刻精致几何纹理，展现华贵工艺与现代美学，男女皆宜，高端商务典范。</t>
        </is>
      </c>
    </row>
    <row r="21" ht="25.5" customHeight="1">
      <c r="A21">
        <v>1654975475</v>
      </c>
      <c r="B21">
        <v>7619119912</v>
      </c>
      <c r="C21" s="2" t="str">
        <f>=HYPERLINK("https://weidian.com/item.html?itemID=7619119912", "https://weidian.com/item.html?itemID=7619119912")</f>
        <v>https://weidian.com/item.html?itemID=7619119912</v>
      </c>
      <c r="D21"/>
      <c r="E21" s="2" t="str">
        <f>=HYPERLINK("https://si.geilicdn.com/pcitem2014204438-443d0000019abaae57630a21146b_1080_1080.jpg?w=640&amp;h=640", "https://si.geilicdn.com/pcitem2014204438-443d0000019abaae57630a21146b_1080_1080.jpg?w=640&amp;h=640")</f>
        <v>https://si.geilicdn.com/pcitem2014204438-443d0000019abaae57630a21146b_1080_1080.jpg?w=640&amp;h=640</v>
      </c>
      <c r="F21" t="inlineStr">
        <is>
          <t>Accessories</t>
        </is>
      </c>
      <c r="G21" t="inlineStr">
        <is>
          <t>Montblanc</t>
        </is>
      </c>
      <c r="H21">
        <v>460</v>
      </c>
      <c r="I21">
        <v>66.67</v>
      </c>
      <c r="J21" t="inlineStr">
        <is>
          <t>{"id":"chatcmpl-DYLhPv35OmMcmh2KyS9mJFEjc6qhj","object":"chat.completion","created":1777078935,"model":"gpt-5-chat-latest","choices":[{"index":0,"message":{"role":"assistant","content":"Montblanc Gold-Plated Snake Ruby Limited Edition Pen","refusal":null,"annotations":[]},"logprobs":null,"finish_reason":"stop"}],"usage":{"prompt_tokens":874,"completion_tokens":12,"total_tokens":886,"prompt_tokens_details":{"cached_tokens":0,"audio_tokens":0},"completion_tokens_details":{"reasoning_tokens":0,"audio_tokens":0,"accepted_prediction_tokens":0,"rejected_prediction_tokens":0}},"service_tier":"default","system_fingerprint":"fp_ad66631dec"}</t>
        </is>
      </c>
      <c r="K21" t="inlineStr">
        <is>
          <t>Montblanc Gold-Plated Snake Ruby Limited Edition Pen</t>
        </is>
      </c>
      <c r="L21" t="inlineStr">
        <is>
          <t>{"id":"chatcmpl-DYLTvqCSj1LuFh7OFhe2zO3EfBnrL","object":"chat.completion","created":1777078099,"model":"gpt-5-chat-latest","choices":[{"index":0,"message":{"role":"assistant","content":"Montblanc Limited Edition Gold-Plated Signature Pen with elegant snake engraving and ruby detail, vintage luxury design, smooth metal body, premium business writing tool for men and women.","refusal":null,"annotations":[]},"logprobs":null,"finish_reason":"stop"}],"usage":{"prompt_tokens":905,"completion_tokens":36,"total_tokens":941,"prompt_tokens_details":{"cached_tokens":0,"audio_tokens":0},"completion_tokens_details":{"reasoning_tokens":0,"audio_tokens":0,"accepted_prediction_tokens":0,"rejected_prediction_tokens":0}},"service_tier":"default","system_fingerprint":"fp_ad66631dec"}</t>
        </is>
      </c>
      <c r="M2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ma=2592000","apim-request-id":"7fcaf658-6d42-4610-8f6a-1144e69472af","azureml-model-session":"d20260402084046-4209e968","cache-control":"no-cache, no-store, must-revalidate","connection":"close","content-length":"992","content-security-policy":"frame-ancestors 'self'","content-type":"application/json","date":"Sat, 25 Apr 2026 00:48:20 GMT","server":"nginx","skip-error-remapping":"true","strict-transport-security":"max-age=31536000; includeSubDomains; preload","via":"1.1 Caddy, 1.1 Caddy","x-api-request-id":"20260425084818596800888yi023J8v","x-content-type-options":"nosniff","x-frame-options":"SAMEORIGIN","x-ms-is-spilled-over":"false","x-ms-rai-invoked":"false","x-ms-region":"East US 2","x-new-api-version":"0.5.1","x-oneapi-request-id":"202604250048185289138428268d9d6OuOxMXoL","x-ratelimit-abusepenalty-active":"False","x-ratelimit-limit-requests":"4992","x-ratelimit-limit-tokens":"4992000","x-ratelimit-remaining-requests":"4991","x-ratelimit-remaining-tokens":"4990333","x-ratelimit-renewalperiod-requests":"60","x-ratelimit-renewalperiod-tokens":"60","x-ratelimit-reset-requests":"12","x-ratelimit-reset-tokens":"20","x-request-id":"9a963137-da01-4b64-89db-2f027b556beb"}</t>
        </is>
      </c>
      <c r="N21" t="inlineStr">
        <is>
          <t>Montblanc Limited Edition Gold-Plated Signature Pen with elegant snake engraving and ruby detail, vintage luxury design, smooth metal body, premium business writing tool for men and women.</t>
        </is>
      </c>
      <c r="O21" t="inlineStr">
        <is>
          <t>{"id":"chatcmpl-DYM2fVgvUnAwgjxEG66iEyOa9PG73","object":"chat.completion","created":1777080253,"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21" t="inlineStr">
        <is>
          <t>Montblanc,Accessories,kakobuy,kakebuy2026,kekobuysheet,kakobuysheet2026,2026kakobuy,kakobuyspreadsheeet,kakobuylink,kakebuylist,Kakobuy MEGA Spreadsheet,kakobuysheetfind,kakobuysheetfind2026,2026kakobuysheetfind,kakobuysheet2026</t>
        </is>
      </c>
      <c r="Q21"/>
      <c r="R21" t="inlineStr">
        <is>
          <t>recvhju1CrBgyE</t>
        </is>
      </c>
      <c r="S21" t="inlineStr">
        <is>
          <t>montblanc-gold-plated-snake-ruby-pen-recvhju1crbgye</t>
        </is>
      </c>
      <c r="T21"/>
      <c r="U21"/>
      <c r="V21"/>
      <c r="W21" t="inlineStr">
        <is>
          <t>{"choices":[{"finish_reason":"stop","index":0,"logprobs":null,"message":{"annotations":[],"content":"Montblanc：限量版金色镀金雕纹签字笔，优雅蛇纹设计配红宝石装饰，彰显奢华复古格调，金属笔身质感细腻顺滑，男女商务精品书写工具，展现高端审美与非凡品味。","refusal":null,"role":"assistant"}}],"created":1777019451,"id":"chatcmpl-DY6Dz9vMM7M1ielnyENI78KYZ7Akc","model":"gpt-5-chat-latest","object":"chat.completion","service_tier":"default","system_fingerprint":"fp_ad66631dec","usage":{"completion_tokens":72,"completion_tokens_details":{"accepted_prediction_tokens":0,"audio_tokens":0,"reasoning_tokens":0,"rejected_prediction_tokens":0},"prompt_tokens":1299,"prompt_tokens_details":{"audio_tokens":0,"cached_tokens":1280},"total_tokens":1371}}</t>
        </is>
      </c>
      <c r="X21" t="inlineStr">
        <is>
          <t>Montblanc：限量版金色镀金雕纹签字笔，优雅蛇纹设计配红宝石装饰，彰显奢华复古格调，金属笔身质感细腻顺滑，男女商务精品书写工具，展现高端审美与非凡品味。</t>
        </is>
      </c>
    </row>
    <row r="22" ht="25.5" customHeight="1">
      <c r="A22">
        <v>1654975475</v>
      </c>
      <c r="B22">
        <v>7616120217</v>
      </c>
      <c r="C22" s="2" t="str">
        <f>=HYPERLINK("https://weidian.com/item.html?itemID=7616120217", "https://weidian.com/item.html?itemID=7616120217")</f>
        <v>https://weidian.com/item.html?itemID=7616120217</v>
      </c>
      <c r="D22"/>
      <c r="E22" s="2" t="str">
        <f>=HYPERLINK("https://si.geilicdn.com/pcitem2014204438-0b0e0000019abab036740a2301b4_1080_1080.jpg?w=640&amp;h=640", "https://si.geilicdn.com/pcitem2014204438-0b0e0000019abab036740a2301b4_1080_1080.jpg?w=640&amp;h=640")</f>
        <v>https://si.geilicdn.com/pcitem2014204438-0b0e0000019abab036740a2301b4_1080_1080.jpg?w=640&amp;h=640</v>
      </c>
      <c r="F22" t="inlineStr">
        <is>
          <t>Accessories</t>
        </is>
      </c>
      <c r="G22" t="inlineStr">
        <is>
          <t>Montblanc</t>
        </is>
      </c>
      <c r="H22">
        <v>460</v>
      </c>
      <c r="I22">
        <v>66.67</v>
      </c>
      <c r="J22" t="inlineStr">
        <is>
          <t>{"id":"chatcmpl-DYLoCZDsmsBcNEQqmz6Kat0Dn74Cn","object":"chat.completion","created":1777079356,"model":"gpt-5-chat-2025-10-03","choices":[{"index":0,"message":{"role":"assistant","content":"Montblanc Meisterstück Black Sapphire Luxury Pen","refusal":null,"annotations":[]},"logprobs":null,"finish_reason":"stop"}],"usage":{"prompt_tokens":880,"completion_tokens":10,"total_tokens":890,"prompt_tokens_details":{"cached_tokens":0,"audio_tokens":0},"completion_tokens_details":{"reasoning_tokens":0,"audio_tokens":0,"accepted_prediction_tokens":0,"rejected_prediction_tokens":0}},"service_tier":"default","system_fingerprint":"fp_ad66631dec"}</t>
        </is>
      </c>
      <c r="K22" t="inlineStr">
        <is>
          <t>Montblanc Meisterstück Black Sapphire Luxury Pen</t>
        </is>
      </c>
      <c r="L22" t="inlineStr">
        <is>
          <t>{"id":"chatcmpl-DYLP1CyMlynKkeUV9dnfrcRPWmdY1","object":"chat.completion","created":1777077795,"model":"gpt-5-chat-latest","choices":[{"index":0,"message":{"role":"assistant","content":"Montblanc Black Meisterstück Signature Pen – crafted from high-gloss resin and metal, featuring a sapphire cap and sleek design for a timeless, professional style. Unisex luxury writing instrument.","refusal":null,"annotations":[]},"logprobs":null,"finish_reason":"stop"}],"usage":{"prompt_tokens":901,"completion_tokens":39,"total_tokens":940,"prompt_tokens_details":{"cached_tokens":0,"audio_tokens":0},"completion_tokens_details":{"reasoning_tokens":0,"audio_tokens":0,"accepted_prediction_tokens":0,"rejected_prediction_tokens":0}},"service_tier":"default","system_fingerprint":"fp_ad66631dec"}</t>
        </is>
      </c>
      <c r="M2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ma=2592000","apim-request-id":"e61fa02a-fb06-48f7-9e47-92bad38187d4","azureml-model-session":"d20260405234249-f9874baf","cache-control":"no-cache, no-store, must-revalidate","connection":"close","content-length":"1004","content-security-policy":"frame-ancestors 'self'","content-type":"application/json","date":"Sat, 25 Apr 2026 00:43:18 GMT","server":"nginx","skip-error-remapping":"true","strict-transport-security":"max-age=31536000; includeSubDomains; preload","via":"1.1 Caddy, 1.1 Caddy","x-api-request-id":"20260425084313917693979aTfJYfoz","x-content-type-options":"nosniff","x-frame-options":"SAMEORIGIN","x-ms-is-spilled-over":"false","x-ms-rai-invoked":"false","x-ms-region":"Sweden Central","x-new-api-version":"0.5.1","x-oneapi-request-id":"202604250043117213927278268d9d6UYEnuDfY","x-ratelimit-abusepenalty-active":"False","x-ratelimit-limit-requests":"4991","x-ratelimit-limit-tokens":"4991000","x-ratelimit-remaining-requests":"4990","x-ratelimit-remaining-tokens":"4989337","x-ratelimit-renewalperiod-requests":"60","x-ratelimit-renewalperiod-tokens":"60","x-ratelimit-reset-requests":"12","x-ratelimit-reset-tokens":"19","x-request-id":"a3c50d14-4d95-4351-b772-93528dc42af0"}</t>
        </is>
      </c>
      <c r="N22" t="inlineStr">
        <is>
          <t>Montblanc Black Meisterstück Signature Pen – crafted from high-gloss resin and metal, featuring a sapphire cap and sleek design for a timeless, professional style. Unisex luxury writing instrument.</t>
        </is>
      </c>
      <c r="O22" t="inlineStr">
        <is>
          <t>{"id":"chatcmpl-DYM32lIORgX9wUtxYcoGgLrNcmfU5","object":"chat.completion","created":1777080276,"model":"gpt-5-chat-2025-10-03","choices":[{"index":0,"message":{"role":"assistant","content":"Montblanc,Pen,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22" t="inlineStr">
        <is>
          <t>Montblanc,Pen,kakobuy,kakebuy2026,kekobuysheet,kakobuysheet2026,2026kakobuy,kakobuyspreadsheeet,kakobuylink,kakebuylist,Kakobuy MEGA Spreadsheet,kakobuysheetfind,kakobuysheetfind2026,2026kakobuysheetfind,kakobuysheet2026</t>
        </is>
      </c>
      <c r="Q22"/>
      <c r="R22" t="inlineStr">
        <is>
          <t>recvhju1Cr7Ud9</t>
        </is>
      </c>
      <c r="S22" t="inlineStr">
        <is>
          <t>montblanc-meisterstuck-black-sapphire-luxury-pen-recvhju1cr7ud9</t>
        </is>
      </c>
      <c r="T22"/>
      <c r="U22"/>
      <c r="V22"/>
      <c r="W22" t="inlineStr">
        <is>
          <t>{"id":"chatcmpl-DY6KgVvVPqQBnYgnWAR0ddrjBqf3c","object":"chat.completion","created":1777019866,"model":"gpt-5-chat-latest","choices":[{"index":0,"message":{"role":"assistant","content":"Montblanc：黑色大班系列签字笔，甄选高光树脂与金属材质，蓝宝石笔帽设计典雅大气，流线型笔身尽显商务精英风格，男女皆宜，彰显永恒经典与书写格调。","refusal":null,"annotations":[]},"logprobs":null,"finish_reason":"stop"}],"usage":{"prompt_tokens":1303,"completion_tokens":66,"total_tokens":1369,"prompt_tokens_details":{"cached_tokens":0,"audio_tokens":0},"completion_tokens_details":{"reasoning_tokens":0,"audio_tokens":0,"accepted_prediction_tokens":0,"rejected_prediction_tokens":0}},"service_tier":"default","system_fingerprint":"fp_ad66631dec"}</t>
        </is>
      </c>
      <c r="X22" t="inlineStr">
        <is>
          <t>Montblanc：黑色大班系列签字笔，甄选高光树脂与金属材质，蓝宝石笔帽设计典雅大气，流线型笔身尽显商务精英风格，男女皆宜，彰显永恒经典与书写格调。</t>
        </is>
      </c>
    </row>
    <row r="23" ht="25.5" customHeight="1">
      <c r="A23">
        <v>1654975475</v>
      </c>
      <c r="B23">
        <v>7616082619</v>
      </c>
      <c r="C23" s="2" t="str">
        <f>=HYPERLINK("https://weidian.com/item.html?itemID=7616082619", "https://weidian.com/item.html?itemID=7616082619")</f>
        <v>https://weidian.com/item.html?itemID=7616082619</v>
      </c>
      <c r="D23"/>
      <c r="E23" s="2" t="str">
        <f>=HYPERLINK("https://si.geilicdn.com/pcitem2014204438-4f840000019abaafca310a811411_1276_1276.jpg?w=640&amp;h=640", "https://si.geilicdn.com/pcitem2014204438-4f840000019abaafca310a811411_1276_1276.jpg?w=640&amp;h=640")</f>
        <v>https://si.geilicdn.com/pcitem2014204438-4f840000019abaafca310a811411_1276_1276.jpg?w=640&amp;h=640</v>
      </c>
      <c r="F23" t="inlineStr">
        <is>
          <t>Accessories</t>
        </is>
      </c>
      <c r="G23" t="inlineStr">
        <is>
          <t>Montblanc</t>
        </is>
      </c>
      <c r="H23">
        <v>460</v>
      </c>
      <c r="I23">
        <v>66.67</v>
      </c>
      <c r="J23" t="inlineStr">
        <is>
          <t>{"id":"chatcmpl-DYLmmZYtxalrNcB7dB6skSrmmaES7","object":"chat.completion","created":1777079268,"model":"gpt-5-chat-2025-10-03","choices":[{"index":0,"message":{"role":"assistant","content":"Montblanc White Checkered Platinum Fountain Pen Luxury Writing","refusal":null,"annotations":[]},"logprobs":null,"finish_reason":"stop"}],"usage":{"prompt_tokens":868,"completion_tokens":12,"total_tokens":880,"prompt_tokens_details":{"cached_tokens":0,"audio_tokens":0},"completion_tokens_details":{"reasoning_tokens":0,"audio_tokens":0,"accepted_prediction_tokens":0,"rejected_prediction_tokens":0}},"service_tier":"default","system_fingerprint":"fp_ad66631dec"}</t>
        </is>
      </c>
      <c r="K23" t="inlineStr">
        <is>
          <t>Montblanc White Checkered Platinum Fountain Pen Luxury Writing</t>
        </is>
      </c>
      <c r="L23" t="inlineStr">
        <is>
          <t>{"choices":[{"finish_reason":"stop","index":0,"logprobs":null,"message":{"annotations":[],"content":"Montblanc White Checkered Platinum-Plated Fountain Pen with engraved pattern, premium resin body, smooth ink flow, elegant and modern design for business and collectors.","refusal":null,"role":"assistant"}}],"created":1777078000,"id":"chatcmpl-DYLSKLQ5NvJ961sbrBRjfLFepArrG","model":"gpt-5-chat-latest","object":"chat.completion","service_tier":"default","system_fingerprint":"fp_ad66631dec","usage":{"completion_tokens":33,"completion_tokens_details":{"accepted_prediction_tokens":0,"audio_tokens":0,"reasoning_tokens":0,"rejected_prediction_tokens":0},"prompt_tokens":899,"prompt_tokens_details":{"audio_tokens":0,"cached_tokens":0},"total_tokens":932}}</t>
        </is>
      </c>
      <c r="M23" t="inlineStr">
        <is>
          <t>{"alt-svc":"h3=\":443\"; ma=2592000","apim-request-id":"21978686-f312-4a89-82bc-a8354b0cb6f1","azureml-model-session":"d20260402083108-57a85543","cache-control":"no-cache","connection":"close","content-length":"757","content-security-policy":"frame-ancestors 'self'","content-type":"application/json","date":"Sat, 25 Apr 2026 00:46:41 GMT","server":"Caddy","skip-error-remapping":"true","strict-transport-security":"max-age=31536000; includeSubDomains; preload","via":"1.1 Caddy","x-api-request-id":"20260425084638585376576eZW3e1OB","x-content-type-options":"nosniff","x-frame-options":"SAMEORIGIN","x-ms-client-request-id":"Not-Set","x-ms-is-spilled-over":"false","x-ms-rai-invoked":"true","x-ms-region":"East US 2","x-new-api-version":"0.5.1","x-oneapi-request-id":"202604250046364511307598268d9d6cjKNjXoo","x-ratelimit-abusepenalty-active":"False","x-ratelimit-limit-requests":"50","x-ratelimit-limit-tokens":"50000","x-ratelimit-remaining-requests":"48","x-ratelimit-remaining-tokens":"77","x-ratelimit-renewalperiod-requests":"60","x-ratelimit-renewalperiod-tokens":"60","x-ratelimit-reset-requests":"1964","x-ratelimit-reset-tokens":"59907","x-request-id":"1a469ada-48ca-4b1c-bc8e-0cb62809b1dd"}</t>
        </is>
      </c>
      <c r="N23" t="inlineStr">
        <is>
          <t>Montblanc White Checkered Platinum-Plated Fountain Pen with engraved pattern, premium resin body, smooth ink flow, elegant and modern design for business and collectors.</t>
        </is>
      </c>
      <c r="O23" t="inlineStr">
        <is>
          <t>{"id":"chatcmpl-DYLwvf0li0X83LJFxB05P5FWjDaVw","object":"chat.completion","created":1777079897,"model":"gpt-5-chat-2025-10-03","choices":[{"index":0,"message":{"role":"assistant","content":"Montblanc,Pen,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23" t="inlineStr">
        <is>
          <t>Montblanc,Pen,kakobuy,kakebuy2026,kekobuysheet,kakobuysheet2026,2026kakobuy,kakobuyspreadsheeet,kakobuylink,kakebuylist,Kakobuy MEGA Spreadsheet,kakobuysheetfind,kakobuysheetfind2026,2026kakobuysheetfind,kakobuysheet2026</t>
        </is>
      </c>
      <c r="Q23"/>
      <c r="R23" t="inlineStr">
        <is>
          <t>recvhju1CrYIBT</t>
        </is>
      </c>
      <c r="S23" t="inlineStr">
        <is>
          <t>montblanc-white-checkered-platinum-fountain-pen-recvhju1cryibt</t>
        </is>
      </c>
      <c r="T23"/>
      <c r="U23"/>
      <c r="V23"/>
      <c r="W23" t="inlineStr">
        <is>
          <t>{"choices":[{"finish_reason":"stop","index":0,"logprobs":null,"message":{"annotations":[],"content":"Montblanc：白色格纹镀铂金钢笔，精致雕纹设计，展现现代优雅格调，高级树脂笔身搭配镀铂金细节，书写顺滑流畅，商务与收藏皆宜，彰显绅士品味。","refusal":null,"role":"assistant"}}],"created":1777019544,"id":"chatcmpl-DY6FUhpkkY6Lke6C08p1EzbLVGWuQ","model":"gpt-5-chat-latest","object":"chat.completion","service_tier":"default","system_fingerprint":"fp_ad66631dec","usage":{"completion_tokens":67,"completion_tokens_details":{"accepted_prediction_tokens":0,"audio_tokens":0,"reasoning_tokens":0,"rejected_prediction_tokens":0},"prompt_tokens":1297,"prompt_tokens_details":{"audio_tokens":0,"cached_tokens":0},"total_tokens":1364}}</t>
        </is>
      </c>
      <c r="X23" t="inlineStr">
        <is>
          <t>Montblanc：白色格纹镀铂金钢笔，精致雕纹设计，展现现代优雅格调，高级树脂笔身搭配镀铂金细节，书写顺滑流畅，商务与收藏皆宜，彰显绅士品味。</t>
        </is>
      </c>
    </row>
    <row r="24" ht="25.5" customHeight="1">
      <c r="A24">
        <v>1654975475</v>
      </c>
      <c r="B24">
        <v>7615434859</v>
      </c>
      <c r="C24" s="2" t="str">
        <f>=HYPERLINK("https://weidian.com/item.html?itemID=7615434859", "https://weidian.com/item.html?itemID=7615434859")</f>
        <v>https://weidian.com/item.html?itemID=7615434859</v>
      </c>
      <c r="D24"/>
      <c r="E24" s="2" t="str">
        <f>=HYPERLINK("https://si.geilicdn.com/pcitem2014204438-2e590000019abab0ec490a2103bd_1080_1267.jpg?w=640&amp;h=640", "https://si.geilicdn.com/pcitem2014204438-2e590000019abab0ec490a2103bd_1080_1267.jpg?w=640&amp;h=640")</f>
        <v>https://si.geilicdn.com/pcitem2014204438-2e590000019abab0ec490a2103bd_1080_1267.jpg?w=640&amp;h=640</v>
      </c>
      <c r="F24" t="inlineStr">
        <is>
          <t>Accessories</t>
        </is>
      </c>
      <c r="G24" t="inlineStr">
        <is>
          <t>Montblanc</t>
        </is>
      </c>
      <c r="H24">
        <v>460</v>
      </c>
      <c r="I24">
        <v>66.67</v>
      </c>
      <c r="J24" t="inlineStr">
        <is>
          <t>{"id":"chatcmpl-DYLjwL5RkffNPoArSda9O4iuxEGjw","object":"chat.completion","created":1777079092,"model":"gpt-5-chat-latest","choices":[{"index":0,"message":{"role":"assistant","content":"Montblanc Muses Orange Luxury Pen for Business Writing","refusal":null,"annotations":[]},"logprobs":null,"finish_reason":"stop"}],"usage":{"prompt_tokens":872,"completion_tokens":12,"total_tokens":884,"prompt_tokens_details":{"cached_tokens":0,"audio_tokens":0},"completion_tokens_details":{"reasoning_tokens":0,"audio_tokens":0,"accepted_prediction_tokens":0,"rejected_prediction_tokens":0}},"service_tier":"default","system_fingerprint":"fp_ad66631dec"}</t>
        </is>
      </c>
      <c r="K24" t="inlineStr">
        <is>
          <t>Montblanc Muses Orange Luxury Pen for Business Writing</t>
        </is>
      </c>
      <c r="L24" t="inlineStr">
        <is>
          <t>{"choices":[{"finish_reason":"stop","index":0,"logprobs":null,"message":{"annotations":[],"content":"Montblanc Muses Orange Pen – High-gloss lacquer finish with sleek steel clip, modern streamlined design for men and women, expressing elegant luxury and timeless business style.","refusal":null,"role":"assistant"}}],"created":1777078185,"id":"chatcmpl-DYLVJTZ8PmGnIgno3keeJRpkHkMjm","model":"gpt-5-chat-latest","object":"chat.completion","service_tier":"default","system_fingerprint":"fp_ad66631dec","usage":{"completion_tokens":35,"completion_tokens_details":{"accepted_prediction_tokens":0,"audio_tokens":0,"reasoning_tokens":0,"rejected_prediction_tokens":0},"prompt_tokens":888,"prompt_tokens_details":{"audio_tokens":0,"cached_tokens":0},"total_tokens":923}}</t>
        </is>
      </c>
      <c r="M24" t="inlineStr">
        <is>
          <t>{"alt-svc":"h3=\":443\"; ma=2592000","apim-request-id":"3dd633dd-fed8-433d-ad33-73a98a2ef9b3","azureml-model-session":"d20260405225800-40f19e54","cache-control":"no-cache","connection":"close","content-length":"767","content-security-policy":"frame-ancestors 'self'","content-type":"application/json","date":"Sat, 25 Apr 2026 00:49:46 GMT","server":"Caddy","skip-error-remapping":"true","strict-transport-security":"max-age=31536000; includeSubDomains; preload","via":"1.1 Caddy","x-api-request-id":"20260425084944732330014WAfMrCer","x-content-type-options":"nosniff","x-frame-options":"SAMEORIGIN","x-ms-client-request-id":"Not-Set","x-ms-is-spilled-over":"false","x-ms-rai-invoked":"true","x-ms-region":"East US 2","x-new-api-version":"0.5.1","x-oneapi-request-id":"202604250049441798160298268d9d66KSo58sz","x-ratelimit-abusepenalty-active":"False","x-ratelimit-limit-requests":"50","x-ratelimit-limit-tokens":"50000","x-ratelimit-remaining-requests":"49","x-ratelimit-remaining-tokens":"-1547","x-ratelimit-renewalperiod-requests":"60","x-ratelimit-renewalperiod-tokens":"60","x-ratelimit-reset-requests":"1447","x-ratelimit-reset-tokens":"61856","x-request-id":"ebb8f720-f257-4036-8606-598d6bdb1b38"}</t>
        </is>
      </c>
      <c r="N24" t="inlineStr">
        <is>
          <t>Montblanc Muses Orange Pen – High-gloss lacquer finish with sleek steel clip, modern streamlined design for men and women, expressing elegant luxury and timeless business style.</t>
        </is>
      </c>
      <c r="O24" t="inlineStr">
        <is>
          <t>{"id":"chatcmpl-DYM29N7oR2iLliIsgkenskziL780m","object":"chat.completion","created":1777080221,"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24" t="inlineStr">
        <is>
          <t>Montblanc,Accessories,kakobuy,kakebuy2026,kekobuysheet,kakobuysheet2026,2026kakobuy,kakobuyspreadsheeet,kakobuylink,kakebuylist,Kakobuy MEGA Spreadsheet,kakobuysheetfind,kakobuysheetfind2026,2026kakobuysheetfind,kakobuysheet2026</t>
        </is>
      </c>
      <c r="Q24"/>
      <c r="R24" t="inlineStr">
        <is>
          <t>recvhju1CrG8ac</t>
        </is>
      </c>
      <c r="S24" t="inlineStr">
        <is>
          <t>montblanc-muses-orange-luxury-pen-business-writing-recvhju1crg8ac</t>
        </is>
      </c>
      <c r="T24"/>
      <c r="U24"/>
      <c r="V24"/>
      <c r="W24" t="inlineStr">
        <is>
          <t>{"choices":[{"finish_reason":"stop","index":0,"logprobs":null,"message":{"annotations":[],"content":"Montblanc：Muses系列橘红色钢笔，甄选高光漆面与精钢笔夹，流线型现代设计，展现轻奢商务格调，男女皆宜，典雅而富时代感。","refusal":null,"role":"assistant"}}],"created":1777019657,"id":"chatcmpl-DY6HJng1Z7iyYlQD7lnPHtMdQATEe","model":"gpt-5-chat-latest","object":"chat.completion","service_tier":"default","system_fingerprint":"fp_ad66631dec","usage":{"completion_tokens":55,"completion_tokens_details":{"accepted_prediction_tokens":0,"audio_tokens":0,"reasoning_tokens":0,"rejected_prediction_tokens":0},"prompt_tokens":1299,"prompt_tokens_details":{"audio_tokens":0,"cached_tokens":0},"total_tokens":1354}}</t>
        </is>
      </c>
      <c r="X24" t="inlineStr">
        <is>
          <t>Montblanc：Muses系列橘红色钢笔，甄选高光漆面与精钢笔夹，流线型现代设计，展现轻奢商务格调，男女皆宜，典雅而富时代感。</t>
        </is>
      </c>
    </row>
    <row r="25" ht="25.5" customHeight="1">
      <c r="A25">
        <v>1654975475</v>
      </c>
      <c r="B25">
        <v>7616090467</v>
      </c>
      <c r="C25" s="2" t="str">
        <f>=HYPERLINK("https://weidian.com/item.html?itemID=7616090467", "https://weidian.com/item.html?itemID=7616090467")</f>
        <v>https://weidian.com/item.html?itemID=7616090467</v>
      </c>
      <c r="D25"/>
      <c r="E25" s="2" t="str">
        <f>=HYPERLINK("https://si.geilicdn.com/pcitem2014204438-0e5a0000019abaaf71db0a23041a_1080_1080.jpg?w=640&amp;h=640", "https://si.geilicdn.com/pcitem2014204438-0e5a0000019abaaf71db0a23041a_1080_1080.jpg?w=640&amp;h=640")</f>
        <v>https://si.geilicdn.com/pcitem2014204438-0e5a0000019abaaf71db0a23041a_1080_1080.jpg?w=640&amp;h=640</v>
      </c>
      <c r="F25" t="inlineStr">
        <is>
          <t>Accessories</t>
        </is>
      </c>
      <c r="G25" t="inlineStr">
        <is>
          <t>Montblanc</t>
        </is>
      </c>
      <c r="H25">
        <v>460</v>
      </c>
      <c r="I25">
        <v>66.67</v>
      </c>
      <c r="J25" t="inlineStr">
        <is>
          <t>{"id":"chatcmpl-DYLg8VSSrmXzdqwbb554JSYBPWoOE","object":"chat.completion","created":1777078856,"model":"gpt-5-chat-latest","choices":[{"index":0,"message":{"role":"assistant","content":"Montblanc Limited Edition Green Gold Rollerball Pen","refusal":null,"annotations":[]},"logprobs":null,"finish_reason":"stop"}],"usage":{"prompt_tokens":870,"completion_tokens":11,"total_tokens":881,"prompt_tokens_details":{"cached_tokens":0,"audio_tokens":0},"completion_tokens_details":{"reasoning_tokens":0,"audio_tokens":0,"accepted_prediction_tokens":0,"rejected_prediction_tokens":0}},"service_tier":"default","system_fingerprint":"fp_ad66631dec"}</t>
        </is>
      </c>
      <c r="K25" t="inlineStr">
        <is>
          <t>Montblanc Limited Edition Green Gold Rollerball Pen</t>
        </is>
      </c>
      <c r="L25" t="inlineStr">
        <is>
          <t>{"id":"chatcmpl-DYLWsFkmSibL3WPqD8VzF05env2V4","object":"chat.completion","created":1777078282,"model":"gpt-5-chat-latest","choices":[{"index":0,"message":{"role":"assistant","content":"Montblanc Limited Edition Green Gold Rollerball Pen with embossed gold floral design, brass body, luxurious vintage art style, modern writing function, unisex collectible masterpiece.","refusal":null,"annotations":[]},"logprobs":null,"finish_reason":"stop"}],"usage":{"prompt_tokens":893,"completion_tokens":34,"total_tokens":927,"prompt_tokens_details":{"cached_tokens":0,"audio_tokens":0},"completion_tokens_details":{"reasoning_tokens":0,"audio_tokens":0,"accepted_prediction_tokens":0,"rejected_prediction_tokens":0}},"service_tier":"default","system_fingerprint":"fp_ad66631dec"}</t>
        </is>
      </c>
      <c r="M2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ma=2592000","apim-request-id":"ec4dc7b5-fd02-4fad-9aed-0ed0c729c4d2","azureml-model-session":"d20260405234249-f9874baf","cache-control":"no-cache, no-store, must-revalidate","connection":"close","content-length":"987","content-security-policy":"frame-ancestors 'self'","content-type":"application/json","date":"Sat, 25 Apr 2026 00:51:25 GMT","server":"nginx","skip-error-remapping":"true","strict-transport-security":"max-age=31536000; includeSubDomains; preload","via":"1.1 Caddy, 1.1 Caddy","x-api-request-id":"20260425085121223451190fZSJUW2a","x-content-type-options":"nosniff","x-frame-options":"SAMEORIGIN","x-ms-is-spilled-over":"false","x-ms-rai-invoked":"false","x-ms-region":"Sweden Central","x-new-api-version":"0.5.1","x-oneapi-request-id":"202604250051175776368198268d9d60NdC5kOW","x-ratelimit-abusepenalty-active":"False","x-ratelimit-limit-requests":"4991","x-ratelimit-limit-tokens":"4991000","x-ratelimit-remaining-requests":"4990","x-ratelimit-remaining-tokens":"4989345","x-ratelimit-renewalperiod-requests":"60","x-ratelimit-renewalperiod-tokens":"60","x-ratelimit-reset-requests":"12","x-ratelimit-reset-tokens":"19","x-request-id":"89c14e7a-7202-4e32-8038-f4d489536a84"}</t>
        </is>
      </c>
      <c r="N25" t="inlineStr">
        <is>
          <t>Montblanc Limited Edition Green Gold Rollerball Pen with embossed gold floral design, brass body, luxurious vintage art style, modern writing function, unisex collectible masterpiece.</t>
        </is>
      </c>
      <c r="O25" t="inlineStr">
        <is>
          <t>{"id":"chatcmpl-DYLw4UE4cuF0uweX5XhHzoxW4hpT2","object":"chat.completion","created":1777079844,"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25" t="inlineStr">
        <is>
          <t>Montblanc,Accessories,kakobuy,kakebuy2026,kekobuysheet,kakobuysheet2026,2026kakobuy,kakobuyspreadsheeet,kakobuylink,kakebuylist,Kakobuy MEGA Spreadsheet,kakobuysheetfind,kakobuysheetfind2026,2026kakobuysheetfind,kakobuysheet2026</t>
        </is>
      </c>
      <c r="Q25"/>
      <c r="R25" t="inlineStr">
        <is>
          <t>recvhju1CrBzqP</t>
        </is>
      </c>
      <c r="S25" t="inlineStr">
        <is>
          <t>montblanc-green-gold-rollerball-recvhju1CrBzqP</t>
        </is>
      </c>
      <c r="T25"/>
      <c r="U25"/>
      <c r="V25"/>
      <c r="W25" t="inlineStr">
        <is>
          <t>{"choices":[{"finish_reason":"stop","index":0,"logprobs":null,"message":{"annotations":[],"content":"Montblanc：限量版绿金滚珠笔，镶金浮雕花纹设计，黄铜笔身质感奢华，兼具复古艺术气息与现代书写功能，男女皆宜，典藏级书写精品。","refusal":null,"role":"assistant"}}],"created":1777019644,"id":"chatcmpl-DY6H6NN0NxhKTU30WfT3wvOndSb6P","model":"gpt-5-chat-latest","object":"chat.completion","service_tier":"default","system_fingerprint":"fp_ad66631dec","usage":{"completion_tokens":57,"completion_tokens_details":{"accepted_prediction_tokens":0,"audio_tokens":0,"reasoning_tokens":0,"rejected_prediction_tokens":0},"prompt_tokens":1305,"prompt_tokens_details":{"audio_tokens":0,"cached_tokens":0},"total_tokens":1362}}</t>
        </is>
      </c>
      <c r="X25" t="inlineStr">
        <is>
          <t>Montblanc：限量版绿金滚珠笔，镶金浮雕花纹设计，黄铜笔身质感奢华，兼具复古艺术气息与现代书写功能，男女皆宜，典藏级书写精品。</t>
        </is>
      </c>
    </row>
    <row r="26" ht="25.5" customHeight="1">
      <c r="A26">
        <v>1654975475</v>
      </c>
      <c r="B26">
        <v>7616025085</v>
      </c>
      <c r="C26" s="2" t="str">
        <f>=HYPERLINK("https://weidian.com/item.html?itemID=7616025085", "https://weidian.com/item.html?itemID=7616025085")</f>
        <v>https://weidian.com/item.html?itemID=7616025085</v>
      </c>
      <c r="D26"/>
      <c r="E26" s="2" t="str">
        <f>=HYPERLINK("https://si.geilicdn.com/pcitem2014204438-0a3d0000019abab095630a23047e_1080_1209.jpg?w=640&amp;h=640", "https://si.geilicdn.com/pcitem2014204438-0a3d0000019abab095630a23047e_1080_1209.jpg?w=640&amp;h=640")</f>
        <v>https://si.geilicdn.com/pcitem2014204438-0a3d0000019abab095630a23047e_1080_1209.jpg?w=640&amp;h=640</v>
      </c>
      <c r="F26" t="inlineStr">
        <is>
          <t>Accessories</t>
        </is>
      </c>
      <c r="G26" t="inlineStr">
        <is>
          <t>Montblanc</t>
        </is>
      </c>
      <c r="H26">
        <v>460</v>
      </c>
      <c r="I26">
        <v>66.67</v>
      </c>
      <c r="J26" t="inlineStr">
        <is>
          <t>{"id":"chatcmpl-DYLnAzkGLMRLgLfs3Ep3mmaHfwFa7","object":"chat.completion","created":1777079292,"model":"gpt-5-chat-2025-10-03","choices":[{"index":0,"message":{"role":"assistant","content":"Montblanc Blue Signature Luxury Resin Pen for Writing","refusal":null,"annotations":[]},"logprobs":null,"finish_reason":"stop"}],"usage":{"prompt_tokens":874,"completion_tokens":11,"total_tokens":885,"prompt_tokens_details":{"cached_tokens":0,"audio_tokens":0},"completion_tokens_details":{"reasoning_tokens":0,"audio_tokens":0,"accepted_prediction_tokens":0,"rejected_prediction_tokens":0}},"service_tier":"default","system_fingerprint":"fp_ad66631dec"}</t>
        </is>
      </c>
      <c r="K26" t="inlineStr">
        <is>
          <t>Montblanc Blue Signature Luxury Resin Pen for Writing</t>
        </is>
      </c>
      <c r="L26" t="inlineStr">
        <is>
          <t>{"id":"chatcmpl-DYLc2f6CHR0m8N2u2jbaWtlvdTT1N","object":"chat.completion","created":1777078602,"model":"gpt-5-chat-latest","choices":[{"index":0,"message":{"role":"assistant","content":"Montblanc Blue Modern Signature Pen – Sleek resin body with silver metal clip, elegant and refined for business or daily writing. Unisex design expressing timeless luxury and sophistication.","refusal":null,"annotations":[]},"logprobs":null,"finish_reason":"stop"}],"usage":{"prompt_tokens":892,"completion_tokens":36,"total_tokens":928,"prompt_tokens_details":{"cached_tokens":0,"audio_tokens":0},"completion_tokens_details":{"reasoning_tokens":0,"audio_tokens":0,"accepted_prediction_tokens":0,"rejected_prediction_tokens":0}},"service_tier":"default","system_fingerprint":"fp_ad66631dec"}</t>
        </is>
      </c>
      <c r="M2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ma=2592000","apim-request-id":"084a64fe-0484-4c51-bb7c-8397915bef95","azureml-model-session":"d20260402075109-1fc5a0ec","cache-control":"no-cache, no-store, must-revalidate","connection":"close","content-length":"996","content-security-policy":"frame-ancestors 'self'","content-type":"application/json","date":"Sat, 25 Apr 2026 00:56:44 GMT","server":"Caddy","skip-error-remapping":"true","strict-transport-security":"max-age=31536000; includeSubDomains; preload","via":"1.1 Caddy","x-api-request-id":"202604250856403534622394Wiv9dml","x-content-type-options":"nosniff","x-frame-options":"SAMEORIGIN","x-ms-is-spilled-over":"false","x-ms-rai-invoked":"false","x-ms-region":"Sweden Central","x-new-api-version":"0.5.1","x-oneapi-request-id":"202604250056385382499138268d9d6kR249f6H","x-ratelimit-abusepenalty-active":"False","x-ratelimit-limit-requests":"4991","x-ratelimit-limit-tokens":"4991000","x-ratelimit-remaining-requests":"4990","x-ratelimit-remaining-tokens":"4989346","x-ratelimit-renewalperiod-requests":"60","x-ratelimit-renewalperiod-tokens":"60","x-ratelimit-reset-requests":"12","x-ratelimit-reset-tokens":"19","x-request-id":"3fda5cc1-8c8f-494c-bbd7-5c8cca416f26"}</t>
        </is>
      </c>
      <c r="N26" t="inlineStr">
        <is>
          <t>Montblanc Blue Modern Signature Pen – Sleek resin body with silver metal clip, elegant and refined for business or daily writing. Unisex design expressing timeless luxury and sophistication.</t>
        </is>
      </c>
      <c r="O26" t="inlineStr">
        <is>
          <t>{"id":"chatcmpl-DYLwvgIUW3P9kPVPmwyp6uJ4B3OvK","object":"chat.completion","created":1777079897,"model":"gpt-5-chat-2025-10-03","choices":[{"index":0,"message":{"role":"assistant","content":"Montblanc,Pen,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26" t="inlineStr">
        <is>
          <t>Montblanc,Pen,kakobuy,kakebuy2026,kekobuysheet,kakobuysheet2026,2026kakobuy,kakobuyspreadsheeet,kakobuylink,kakebuylist,Kakobuy MEGA Spreadsheet,kakobuysheetfind,kakobuysheetfind2026,2026kakobuysheetfind,kakobuysheet2026</t>
        </is>
      </c>
      <c r="Q26"/>
      <c r="R26" t="inlineStr">
        <is>
          <t>recvhju1CrRkfd</t>
        </is>
      </c>
      <c r="S26" t="inlineStr">
        <is>
          <t>montblanc-blue-signature-luxury-resin-pen-recvhju1crrkfd</t>
        </is>
      </c>
      <c r="T26"/>
      <c r="U26"/>
      <c r="V26"/>
      <c r="W26" t="inlineStr">
        <is>
          <t>{"choices":[{"finish_reason":"stop","index":0,"logprobs":null,"message":{"annotations":[],"content":"Montblanc：蓝色现代简约签字笔，流线型树脂笔身搭配银色金属笔夹，优雅精致，适合商务与日常书写，男女皆宜，展现低调奢华品味。","refusal":null,"role":"assistant"}}],"created":1777019395,"id":"chatcmpl-DY6D5hV7xgOuKjvpXG02M6Kn2zzqi","model":"gpt-5-chat-latest","object":"chat.completion","service_tier":"default","system_fingerprint":"fp_ad66631dec","usage":{"completion_tokens":58,"completion_tokens_details":{"accepted_prediction_tokens":0,"audio_tokens":0,"reasoning_tokens":0,"rejected_prediction_tokens":0},"prompt_tokens":1301,"prompt_tokens_details":{"audio_tokens":0,"cached_tokens":0},"total_tokens":1359}}</t>
        </is>
      </c>
      <c r="X26" t="inlineStr">
        <is>
          <t>Montblanc：蓝色现代简约签字笔，流线型树脂笔身搭配银色金属笔夹，优雅精致，适合商务与日常书写，男女皆宜，展现低调奢华品味。</t>
        </is>
      </c>
    </row>
    <row r="27" ht="25.5" customHeight="1">
      <c r="A27">
        <v>1654975475</v>
      </c>
      <c r="B27">
        <v>7619098214</v>
      </c>
      <c r="C27" s="2" t="str">
        <f>=HYPERLINK("https://weidian.com/item.html?itemID=7619098214", "https://weidian.com/item.html?itemID=7619098214")</f>
        <v>https://weidian.com/item.html?itemID=7619098214</v>
      </c>
      <c r="D27"/>
      <c r="E27" s="2" t="str">
        <f>=HYPERLINK("https://si.geilicdn.com/pcitem2014204438-0b150000019abaaebe300a210256_1080_1080.jpg?w=640&amp;h=640", "https://si.geilicdn.com/pcitem2014204438-0b150000019abaaebe300a210256_1080_1080.jpg?w=640&amp;h=640")</f>
        <v>https://si.geilicdn.com/pcitem2014204438-0b150000019abaaebe300a210256_1080_1080.jpg?w=640&amp;h=640</v>
      </c>
      <c r="F27" t="inlineStr">
        <is>
          <t>Accessories</t>
        </is>
      </c>
      <c r="G27" t="inlineStr">
        <is>
          <t>Montblanc</t>
        </is>
      </c>
      <c r="H27">
        <v>460</v>
      </c>
      <c r="I27">
        <v>66.67</v>
      </c>
      <c r="J27" t="inlineStr">
        <is>
          <t>{"choices":[{"finish_reason":"stop","index":0,"logprobs":null,"message":{"annotations":[],"content":"Montblanc Silver Plaid Metal Luxury Pen","refusal":null,"role":"assistant"}}],"created":1777079010,"id":"chatcmpl-DYLicp73pRIru434wLE0I0BqQUL1l","model":"gpt-5-chat-latest","object":"chat.completion","service_tier":"default","system_fingerprint":"fp_ad66631dec","usage":{"completion_tokens":10,"completion_tokens_details":{"accepted_prediction_tokens":0,"audio_tokens":0,"reasoning_tokens":0,"rejected_prediction_tokens":0},"prompt_tokens":876,"prompt_tokens_details":{"audio_tokens":0,"cached_tokens":0},"total_tokens":886}}</t>
        </is>
      </c>
      <c r="K27" t="inlineStr">
        <is>
          <t>Montblanc Silver Plaid Metal Luxury Pen</t>
        </is>
      </c>
      <c r="L27" t="inlineStr">
        <is>
          <t>{"choices":[{"finish_reason":"stop","index":0,"logprobs":null,"message":{"annotations":[],"content":"Montblanc Silver Plaid Metal Signature Pen – features refined engraved texture, sleek design, luxurious feel, and comfortable grip. Unisex high-end collectible writing instrument for business elegance.","refusal":null,"role":"assistant"}}],"created":1777077984,"id":"chatcmpl-DYLS4IfpaxBRr2DzDQkitf8oZxwQv","model":"gpt-5-chat-latest","object":"chat.completion","service_tier":"default","system_fingerprint":"fp_ad66631dec","usage":{"completion_tokens":37,"completion_tokens_details":{"accepted_prediction_tokens":0,"audio_tokens":0,"reasoning_tokens":0,"rejected_prediction_tokens":0},"prompt_tokens":889,"prompt_tokens_details":{"audio_tokens":0,"cached_tokens":0},"total_tokens":926}}</t>
        </is>
      </c>
      <c r="M27" t="inlineStr">
        <is>
          <t>{"alt-svc":"h3=\":443\"; ma=2592000","apim-request-id":"431f657f-8876-4e7f-a776-abbbd37cb5c9","azureml-model-session":"d20260402083108-57a85543","cache-control":"no-cache","connection":"close","content-length":"791","content-security-policy":"frame-ancestors 'self'","content-type":"application/json","date":"Sat, 25 Apr 2026 00:46:25 GMT","server":"Caddy","skip-error-remapping":"true","strict-transport-security":"max-age=31536000; includeSubDomains; preload","via":"1.1 Caddy","x-api-request-id":"202604250846228883989045hINqc2G","x-content-type-options":"nosniff","x-frame-options":"SAMEORIGIN","x-ms-client-request-id":"Not-Set","x-ms-is-spilled-over":"false","x-ms-rai-invoked":"true","x-ms-region":"East US 2","x-new-api-version":"0.5.1","x-oneapi-request-id":"202604250046209552356238268d9d6Zb6UZWTF","x-ratelimit-abusepenalty-active":"False","x-ratelimit-limit-requests":"50","x-ratelimit-limit-tokens":"50000","x-ratelimit-remaining-requests":"49","x-ratelimit-remaining-tokens":"-1438","x-ratelimit-renewalperiod-requests":"60","x-ratelimit-renewalperiod-tokens":"60","x-ratelimit-reset-requests":"1200","x-ratelimit-reset-tokens":"61725","x-request-id":"008cda28-3d02-47cb-a70d-6f83488cc913"}</t>
        </is>
      </c>
      <c r="N27" t="inlineStr">
        <is>
          <t>Montblanc Silver Plaid Metal Signature Pen – features refined engraved texture, sleek design, luxurious feel, and comfortable grip. Unisex high-end collectible writing instrument for business elegance.</t>
        </is>
      </c>
      <c r="O27" t="inlineStr">
        <is>
          <t>{"id":"chatcmpl-DYLvAb2mCtRXtlJFg6LaLO5Bcr1mT","object":"chat.completion","created":1777079788,"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27" t="inlineStr">
        <is>
          <t>Montblanc,Accessories,kakobuy,kakebuy2026,kekobuysheet,kakobuysheet2026,2026kakobuy,kakobuyspreadsheeet,kakobuylink,kakebuylist,Kakobuy MEGA Spreadsheet,kakobuysheetfind,kakobuysheetfind2026,2026kakobuysheetfind,kakobuysheet2026</t>
        </is>
      </c>
      <c r="Q27"/>
      <c r="R27" t="inlineStr">
        <is>
          <t>recvhju1CrWxTR</t>
        </is>
      </c>
      <c r="S27" t="inlineStr">
        <is>
          <t>montblanc-silver-plaid-metal-pen-recvhju1crwxtr</t>
        </is>
      </c>
      <c r="T27"/>
      <c r="U27"/>
      <c r="V27"/>
      <c r="W27" t="inlineStr">
        <is>
          <t>{"id":"chatcmpl-DY6DI3ZcHK8g8B21LxbKyWa3nSpfG","object":"chat.completion","created":1777019408,"model":"gpt-5-chat-latest","choices":[{"index":0,"message":{"role":"assistant","content":"Montblanc：银色格纹金属签字笔，采用精致雕刻纹理设计，质感典雅高贵，流线型笔身兼顾舒适握感与商务品味，男女通用，高端典藏书写工具。","refusal":null,"annotations":[]},"logprobs":null,"finish_reason":"stop"}],"usage":{"prompt_tokens":1295,"completion_tokens":58,"total_tokens":1353,"prompt_tokens_details":{"cached_tokens":0,"audio_tokens":0},"completion_tokens_details":{"reasoning_tokens":0,"audio_tokens":0,"accepted_prediction_tokens":0,"rejected_prediction_tokens":0}},"service_tier":"default","system_fingerprint":"fp_ad66631dec"}</t>
        </is>
      </c>
      <c r="X27" t="inlineStr">
        <is>
          <t>Montblanc：银色格纹金属签字笔，采用精致雕刻纹理设计，质感典雅高贵，流线型笔身兼顾舒适握感与商务品味，男女通用，高端典藏书写工具。</t>
        </is>
      </c>
    </row>
    <row r="28" ht="25.5" customHeight="1">
      <c r="A28">
        <v>1654975475</v>
      </c>
      <c r="B28">
        <v>7619054670</v>
      </c>
      <c r="C28" s="2" t="str">
        <f>=HYPERLINK("https://weidian.com/item.html?itemID=7619054670", "https://weidian.com/item.html?itemID=7619054670")</f>
        <v>https://weidian.com/item.html?itemID=7619054670</v>
      </c>
      <c r="D28"/>
      <c r="E28" s="2" t="str">
        <f>=HYPERLINK("https://si.geilicdn.com/pcitem2014204438-0eb20000019abab141bb0a8133cc_1074_1074.jpg?w=640&amp;h=640", "https://si.geilicdn.com/pcitem2014204438-0eb20000019abab141bb0a8133cc_1074_1074.jpg?w=640&amp;h=640")</f>
        <v>https://si.geilicdn.com/pcitem2014204438-0eb20000019abab141bb0a8133cc_1074_1074.jpg?w=640&amp;h=640</v>
      </c>
      <c r="F28" t="inlineStr">
        <is>
          <t>Accessories</t>
        </is>
      </c>
      <c r="G28" t="inlineStr">
        <is>
          <t>Montblanc</t>
        </is>
      </c>
      <c r="H28">
        <v>460</v>
      </c>
      <c r="I28">
        <v>66.67</v>
      </c>
      <c r="J28" t="inlineStr">
        <is>
          <t>{"id":"chatcmpl-DYLoB79vP15DMG7GwLkfw0XEeuXAD","object":"chat.completion","created":1777079355,"model":"gpt-5-chat-2025-10-03","choices":[{"index":0,"message":{"role":"assistant","content":"Montblanc Black Silver Fountain Pen Platinum Trim","refusal":null,"annotations":[]},"logprobs":null,"finish_reason":"stop"}],"usage":{"prompt_tokens":874,"completion_tokens":10,"total_tokens":884,"prompt_tokens_details":{"cached_tokens":0,"audio_tokens":0},"completion_tokens_details":{"reasoning_tokens":0,"audio_tokens":0,"accepted_prediction_tokens":0,"rejected_prediction_tokens":0}},"service_tier":"default","system_fingerprint":"fp_ad66631dec"}</t>
        </is>
      </c>
      <c r="K28" t="inlineStr">
        <is>
          <t>Montblanc Black Silver Fountain Pen Platinum Trim</t>
        </is>
      </c>
      <c r="L28" t="inlineStr">
        <is>
          <t>{"id":"chatcmpl-DYLQ26LVA5xCagXWjnvSfNPD6zjVe","object":"chat.completion","created":1777077858,"model":"gpt-5-chat-latest","choices":[{"index":0,"message":{"role":"assistant","content":"Montblanc Classic Black and Silver Fountain Pen with Platinum-Plated Engraved Cap and Sleek Black Resin Barrel, Perfect for Business Elegance and Modern Unisex Style.","refusal":null,"annotations":[]},"logprobs":null,"finish_reason":"stop"}],"usage":{"prompt_tokens":887,"completion_tokens":36,"total_tokens":923,"prompt_tokens_details":{"cached_tokens":0,"audio_tokens":0},"completion_tokens_details":{"reasoning_tokens":0,"audio_tokens":0,"accepted_prediction_tokens":0,"rejected_prediction_tokens":0}},"service_tier":"default","system_fingerprint":"fp_ad66631dec"}</t>
        </is>
      </c>
      <c r="M2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ma=2592000","apim-request-id":"6969763b-59b8-407c-a26c-eb5150d1fc7b","azureml-model-session":"d20260402074105-51db401e","cache-control":"no-cache, no-store, must-revalidate","connection":"close","content-length":"970","content-security-policy":"frame-ancestors 'self'","content-type":"application/json","date":"Sat, 25 Apr 2026 00:44:21 GMT","server":"Caddy","skip-error-remapping":"true","strict-transport-security":"max-age=31536000; includeSubDomains; preload","via":"1.1 Caddy","x-api-request-id":"202604250844164230385395JAltJ9h","x-content-type-options":"nosniff","x-frame-options":"SAMEORIGIN","x-ms-is-spilled-over":"false","x-ms-rai-invoked":"false","x-ms-region":"Sweden Central","x-new-api-version":"0.5.1","x-oneapi-request-id":"202604250044157793383638268d9d6FuTNkSj1","x-ratelimit-abusepenalty-active":"False","x-ratelimit-limit-requests":"4991","x-ratelimit-limit-tokens":"4991000","x-ratelimit-remaining-requests":"4990","x-ratelimit-remaining-tokens":"4989351","x-ratelimit-renewalperiod-requests":"60","x-ratelimit-renewalperiod-tokens":"60","x-ratelimit-reset-requests":"12","x-ratelimit-reset-tokens":"19","x-request-id":"e0a313c0-4270-4919-be77-34c6160ffe02"}</t>
        </is>
      </c>
      <c r="N28" t="inlineStr">
        <is>
          <t>Montblanc Classic Black and Silver Fountain Pen with Platinum-Plated Engraved Cap and Sleek Black Resin Barrel, Perfect for Business Elegance and Modern Unisex Style.</t>
        </is>
      </c>
      <c r="O28" t="inlineStr">
        <is>
          <t>{"id":"chatcmpl-DYLzRa6pSVDAgwLcjJptnqyPK1Wzy","object":"chat.completion","created":1777080053,"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28" t="inlineStr">
        <is>
          <t>Montblanc,Accessories,kakobuy,kakebuy2026,kekobuysheet,kakobuysheet2026,2026kakobuy,kakobuyspreadsheeet,kakobuylink,kakebuylist,Kakobuy MEGA Spreadsheet,kakobuysheetfind,kakobuysheetfind2026,2026kakobuysheetfind,kakobuysheet2026</t>
        </is>
      </c>
      <c r="Q28"/>
      <c r="R28" t="inlineStr">
        <is>
          <t>recvhju1CrUStT</t>
        </is>
      </c>
      <c r="S28" t="inlineStr">
        <is>
          <t>montblanc-black-silver-fountain-pen-platinum-trim-recvhju1crustt</t>
        </is>
      </c>
      <c r="T28"/>
      <c r="U28"/>
      <c r="V28"/>
      <c r="W28" t="inlineStr">
        <is>
          <t>{"choices":[{"finish_reason":"stop","index":0,"logprobs":null,"message":{"annotations":[],"content":"Montblanc：经典黑银配钢笔，精致镀铂金雕纹笔帽，莹黑树脂笔身，彰显商务优雅格调，男女皆宜，呈现当代绅士品味。","refusal":null,"role":"assistant"}}],"created":1777019575,"id":"chatcmpl-DY6Fz5mq9GRtNuiZ3CO2j45Oshl78","model":"gpt-5-chat-latest","object":"chat.completion","service_tier":"default","system_fingerprint":"fp_ad66631dec","usage":{"completion_tokens":54,"completion_tokens_details":{"accepted_prediction_tokens":0,"audio_tokens":0,"reasoning_tokens":0,"rejected_prediction_tokens":0},"prompt_tokens":1299,"prompt_tokens_details":{"audio_tokens":0,"cached_tokens":0},"total_tokens":1353}}</t>
        </is>
      </c>
      <c r="X28" t="inlineStr">
        <is>
          <t>Montblanc：经典黑银配钢笔，精致镀铂金雕纹笔帽，莹黑树脂笔身，彰显商务优雅格调，男女皆宜，呈现当代绅士品味。</t>
        </is>
      </c>
    </row>
    <row r="29" ht="25.5" customHeight="1">
      <c r="A29">
        <v>1654975475</v>
      </c>
      <c r="B29">
        <v>7616126463</v>
      </c>
      <c r="C29" s="2" t="str">
        <f>=HYPERLINK("https://weidian.com/item.html?itemID=7616126463", "https://weidian.com/item.html?itemID=7616126463")</f>
        <v>https://weidian.com/item.html?itemID=7616126463</v>
      </c>
      <c r="D29"/>
      <c r="E29" s="2" t="str">
        <f>=HYPERLINK("https://si.geilicdn.com/pcitem2014204438-12690000019abac53cab0a23057e_1280_1280.jpg?w=640&amp;h=640", "https://si.geilicdn.com/pcitem2014204438-12690000019abac53cab0a23057e_1280_1280.jpg?w=640&amp;h=640")</f>
        <v>https://si.geilicdn.com/pcitem2014204438-12690000019abac53cab0a23057e_1280_1280.jpg?w=640&amp;h=640</v>
      </c>
      <c r="F29" t="inlineStr">
        <is>
          <t>Accessories</t>
        </is>
      </c>
      <c r="G29" t="inlineStr">
        <is>
          <t>Montblanc</t>
        </is>
      </c>
      <c r="H29">
        <v>460</v>
      </c>
      <c r="I29">
        <v>66.67</v>
      </c>
      <c r="J29" t="inlineStr">
        <is>
          <t>{"id":"chatcmpl-DYLhXkxnQvbk0khmHdRmGPaAjnV6T","object":"chat.completion","created":1777078943,"model":"gpt-5-chat-latest","choices":[{"index":0,"message":{"role":"assistant","content":"Montblanc Black Gold Luxury Fountain Pen","refusal":null,"annotations":[]},"logprobs":null,"finish_reason":"stop"}],"usage":{"prompt_tokens":882,"completion_tokens":9,"total_tokens":891,"prompt_tokens_details":{"cached_tokens":0,"audio_tokens":0},"completion_tokens_details":{"reasoning_tokens":0,"audio_tokens":0,"accepted_prediction_tokens":0,"rejected_prediction_tokens":0}},"service_tier":"default","system_fingerprint":"fp_ad66631dec"}</t>
        </is>
      </c>
      <c r="K29" t="inlineStr">
        <is>
          <t>Montblanc Black Gold Luxury Fountain Pen</t>
        </is>
      </c>
      <c r="L29" t="inlineStr">
        <is>
          <t>{"choices":[{"finish_reason":"stop","index":0,"logprobs":null,"message":{"annotations":[],"content":"Montblanc Black Gold Classic Fountain Pen—crafted from premium resin and gold-plated metal, elegant engraved design, smooth writing, timeless luxury for men and women, ideal for business or collection.","refusal":null,"role":"assistant"}}],"created":1777078071,"id":"chatcmpl-DYLTTAKWaxU4iJWtB54GgnDIgfjU0","model":"gpt-5-chat-latest","object":"chat.completion","service_tier":"default","system_fingerprint":"fp_ad66631dec","usage":{"completion_tokens":40,"completion_tokens_details":{"accepted_prediction_tokens":0,"audio_tokens":0,"reasoning_tokens":0,"rejected_prediction_tokens":0},"prompt_tokens":902,"prompt_tokens_details":{"audio_tokens":0,"cached_tokens":0},"total_tokens":942}}</t>
        </is>
      </c>
      <c r="M29" t="inlineStr">
        <is>
          <t>{"alt-svc":"h3=\":443\"; ma=2592000","apim-request-id":"51abbd02-0466-4854-8108-b0229d17cb66","azureml-model-session":"d20260402083108-57a85543","cache-control":"no-cache","connection":"close","content-length":"791","content-security-policy":"frame-ancestors 'self'","content-type":"application/json","date":"Sat, 25 Apr 2026 00:47:53 GMT","server":"nginx","skip-error-remapping":"true","strict-transport-security":"max-age=31536000; includeSubDomains; preload","via":"1.1 Caddy, 1.1 Caddy","x-api-request-id":"20260425084750184615056kLJaiHRb","x-content-type-options":"nosniff","x-frame-options":"SAMEORIGIN","x-ms-client-request-id":"Not-Set","x-ms-is-spilled-over":"false","x-ms-rai-invoked":"true","x-ms-region":"East US 2","x-new-api-version":"0.5.1","x-oneapi-request-id":"20260425004748194265208268d9d6ko637GmS","x-ratelimit-abusepenalty-active":"False","x-ratelimit-limit-requests":"50","x-ratelimit-limit-tokens":"50000","x-ratelimit-remaining-requests":"49","x-ratelimit-remaining-tokens":"-1389","x-ratelimit-renewalperiod-requests":"60","x-ratelimit-renewalperiod-tokens":"60","x-ratelimit-reset-requests":"1200","x-ratelimit-reset-tokens":"61667","x-request-id":"62653293-02db-47b7-8ed9-e1d1becb88f3"}</t>
        </is>
      </c>
      <c r="N29" t="inlineStr">
        <is>
          <t>Montblanc Black Gold Classic Fountain Pen—crafted from premium resin and gold-plated metal, elegant engraved design, smooth writing, timeless luxury for men and women, ideal for business or collection.</t>
        </is>
      </c>
      <c r="O29" t="inlineStr">
        <is>
          <t>{"id":"chatcmpl-DYLyyA9wwv5kce4genXUmXgyZzZQT","object":"chat.completion","created":1777080024,"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29" t="inlineStr">
        <is>
          <t>Montblanc,Accessories,kakobuy,kakebuy2026,kekobuysheet,kakobuysheet2026,2026kakobuy,kakobuyspreadsheeet,kakobuylink,kakebuylist,Kakobuy MEGA Spreadsheet,kakobuysheetfind,kakobuysheetfind2026,2026kakobuysheetfind,kakobuysheet2026</t>
        </is>
      </c>
      <c r="Q29"/>
      <c r="R29" t="inlineStr">
        <is>
          <t>recvhju1Cr754x</t>
        </is>
      </c>
      <c r="S29" t="inlineStr">
        <is>
          <t>montblanc-black-gold-fountain-pen-recvhju1cr754x</t>
        </is>
      </c>
      <c r="T29"/>
      <c r="U29"/>
      <c r="V29"/>
      <c r="W29" t="inlineStr">
        <is>
          <t>{"choices":[{"finish_reason":"stop","index":0,"logprobs":null,"message":{"annotations":[],"content":"Montblanc：黑金经典系列镀金雕纹钢笔，甄选高级树脂与金属材质，笔身精致典雅，书写顺滑流畅，彰显商务奢华格调，男女皆宜，典藏级设计工艺尽显尊贵品味。","refusal":null,"role":"assistant"}}],"created":1777019795,"id":"chatcmpl-DY6JXbPcKY3t33qFWOcxyVX5VjQ4f","model":"gpt-5-chat-latest","object":"chat.completion","service_tier":"default","system_fingerprint":"fp_ad66631dec","usage":{"completion_tokens":69,"completion_tokens_details":{"accepted_prediction_tokens":0,"audio_tokens":0,"reasoning_tokens":0,"rejected_prediction_tokens":0},"prompt_tokens":1299,"prompt_tokens_details":{"audio_tokens":0,"cached_tokens":0},"total_tokens":1368}}</t>
        </is>
      </c>
      <c r="X29" t="inlineStr">
        <is>
          <t>Montblanc：黑金经典系列镀金雕纹钢笔，甄选高级树脂与金属材质，笔身精致典雅，书写顺滑流畅，彰显商务奢华格调，男女皆宜，典藏级设计工艺尽显尊贵品味。</t>
        </is>
      </c>
    </row>
    <row r="30" ht="25.5" customHeight="1">
      <c r="A30">
        <v>1654975475</v>
      </c>
      <c r="B30">
        <v>7616021175</v>
      </c>
      <c r="C30" s="2" t="str">
        <f>=HYPERLINK("https://weidian.com/item.html?itemID=7616021175", "https://weidian.com/item.html?itemID=7616021175")</f>
        <v>https://weidian.com/item.html?itemID=7616021175</v>
      </c>
      <c r="D30"/>
      <c r="E30" s="2" t="str">
        <f>=HYPERLINK("https://si.geilicdn.com/pcitem2014204438-34540000019abac81b320a2103bd_1440_1920.jpg?w=640&amp;h=640", "https://si.geilicdn.com/pcitem2014204438-34540000019abac81b320a2103bd_1440_1920.jpg?w=640&amp;h=640")</f>
        <v>https://si.geilicdn.com/pcitem2014204438-34540000019abac81b320a2103bd_1440_1920.jpg?w=640&amp;h=640</v>
      </c>
      <c r="F30" t="inlineStr">
        <is>
          <t>Accessories</t>
        </is>
      </c>
      <c r="G30" t="inlineStr">
        <is>
          <t>Tiffany</t>
        </is>
      </c>
      <c r="H30">
        <v>290</v>
      </c>
      <c r="I30">
        <v>42.03</v>
      </c>
      <c r="J30" t="inlineStr">
        <is>
          <t>{"choices":[{"finish_reason":"stop","index":0,"logprobs":null,"message":{"annotations":[],"content":"Tiffany &amp; Co. Blue Collection Luxury Writing Pen","refusal":null,"role":"assistant"}}],"created":1777079153,"id":"chatcmpl-DYLkv4JpH4ixv6hRjVtnIdBC9bmuD","model":"gpt-5-chat-latest","object":"chat.completion","service_tier":"default","system_fingerprint":"fp_ad66631dec","usage":{"completion_tokens":11,"completion_tokens_details":{"accepted_prediction_tokens":0,"audio_tokens":0,"reasoning_tokens":0,"rejected_prediction_tokens":0},"prompt_tokens":875,"prompt_tokens_details":{"audio_tokens":0,"cached_tokens":0},"total_tokens":886}}</t>
        </is>
      </c>
      <c r="K30" t="inlineStr">
        <is>
          <t>Tiffany &amp; Co. Blue Collection Luxury Writing Pen</t>
        </is>
      </c>
      <c r="L30" t="inlineStr">
        <is>
          <t>{"id":"chatcmpl-DYLV1akj4BEy9EHyakQgulDJ6YLGU","object":"chat.completion","created":1777078167,"model":"gpt-5-chat-latest","choices":[{"index":0,"message":{"role":"assistant","content":"Tiffany &amp; Co. Blue Collection Pen – Elegant Tiffany Blue metal finish with minimalist design, smooth writing performance, unisex style ideal for business or gifting, reflecting timeless luxury craftsmanship.","refusal":null,"annotations":[]},"logprobs":null,"finish_reason":"stop"}],"usage":{"prompt_tokens":911,"completion_tokens":37,"total_tokens":948,"prompt_tokens_details":{"cached_tokens":0,"audio_tokens":0},"completion_tokens_details":{"reasoning_tokens":0,"audio_tokens":0,"accepted_prediction_tokens":0,"rejected_prediction_tokens":0}},"service_tier":"default","system_fingerprint":"fp_ad66631dec"}</t>
        </is>
      </c>
      <c r="M3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ma=2592000","apim-request-id":"0db12f13-0626-4a7f-84da-7a452a1685d1","azureml-model-session":"d20260402084046-4209e968","cache-control":"no-cache, no-store, must-revalidate","connection":"close","content-length":"1013","content-security-policy":"frame-ancestors 'self'","content-type":"application/json","date":"Sat, 25 Apr 2026 00:49:29 GMT","server":"nginx","skip-error-remapping":"true","strict-transport-security":"max-age=31536000; includeSubDomains; preload","via":"1.1 Caddy, 1.1 Caddy","x-api-request-id":"202604250849245596483811EHT04mk","x-content-type-options":"nosniff","x-frame-options":"SAMEORIGIN","x-ms-is-spilled-over":"false","x-ms-rai-invoked":"false","x-ms-region":"Sweden Central","x-new-api-version":"0.5.1","x-oneapi-request-id":"202604250049222341006768268d9d6zk3zofsh","x-ratelimit-abusepenalty-active":"False","x-ratelimit-limit-requests":"4991","x-ratelimit-limit-tokens":"4991000","x-ratelimit-remaining-requests":"4990","x-ratelimit-remaining-tokens":"4989327","x-ratelimit-renewalperiod-requests":"60","x-ratelimit-renewalperiod-tokens":"60","x-ratelimit-reset-requests":"12","x-ratelimit-reset-tokens":"20","x-request-id":"f25dfe11-d4c1-4ff0-816d-d1a23b106918"}</t>
        </is>
      </c>
      <c r="N30" t="inlineStr">
        <is>
          <t>Tiffany &amp; Co. Blue Collection Pen – Elegant Tiffany Blue metal finish with minimalist design, smooth writing performance, unisex style ideal for business or gifting, reflecting timeless luxury craftsmanship.</t>
        </is>
      </c>
      <c r="O30" t="inlineStr">
        <is>
          <t>{"id":"chatcmpl-DYM1ZD4yxKQyg9OwYIvXG3d5Wv8Y9","object":"chat.completion","created":1777080185,"model":"gpt-5-chat-2025-10-03","choices":[{"index":0,"message":{"role":"assistant","content":"Tiffany,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30" t="inlineStr">
        <is>
          <t>Tiffany,Accessories,kakobuy,kakebuy2026,kekobuysheet,kakobuysheet2026,2026kakobuy,kakobuyspreadsheeet,kakobuylink,kakebuylist,Kakobuy MEGA Spreadsheet,kakobuysheetfind,kakobuysheetfind2026,2026kakobuysheetfind,kakobuysheet2026</t>
        </is>
      </c>
      <c r="Q30"/>
      <c r="R30" t="inlineStr">
        <is>
          <t>recvhju1Cr3R1x</t>
        </is>
      </c>
      <c r="S30" t="inlineStr">
        <is>
          <t>tiffany-blue-collection-writing-pen-recvhju1cr3r1x</t>
        </is>
      </c>
      <c r="T30"/>
      <c r="U30"/>
      <c r="V30"/>
      <c r="W30" t="inlineStr">
        <is>
          <t>{"choices":[{"finish_reason":"stop","index":0,"logprobs":null,"message":{"annotations":[],"content":"Tiffany &amp; Co. 蒂芙尼蓝典藏款钢笔，优雅蒂芙尼蓝配色，笔身金属质感细腻，极简线条设计展现现代奢华气质，男女皆宜，书写顺滑适合商务与礼赠场合，传承百年品牌精致美学。","refusal":null,"role":"assistant"}}],"created":1777019405,"id":"chatcmpl-DY6DFWkvCGBkzBk04vV96USJQ7HKa","model":"gpt-5-chat-latest","object":"chat.completion","service_tier":"default","system_fingerprint":"fp_ad66631dec","usage":{"completion_tokens":79,"completion_tokens_details":{"accepted_prediction_tokens":0,"audio_tokens":0,"reasoning_tokens":0,"rejected_prediction_tokens":0},"prompt_tokens":1297,"prompt_tokens_details":{"audio_tokens":0,"cached_tokens":0},"total_tokens":1376}}</t>
        </is>
      </c>
      <c r="X30" t="inlineStr">
        <is>
          <t>Tiffany &amp; Co. 蒂芙尼蓝典藏款钢笔，优雅蒂芙尼蓝配色，笔身金属质感细腻，极简线条设计展现现代奢华气质，男女皆宜，书写顺滑适合商务与礼赠场合，传承百年品牌精致美学。</t>
        </is>
      </c>
    </row>
    <row r="31" ht="25.5" customHeight="1">
      <c r="A31">
        <v>1654975475</v>
      </c>
      <c r="B31">
        <v>7619070648</v>
      </c>
      <c r="C31" s="2" t="str">
        <f>=HYPERLINK("https://weidian.com/item.html?itemID=7619070648", "https://weidian.com/item.html?itemID=7619070648")</f>
        <v>https://weidian.com/item.html?itemID=7619070648</v>
      </c>
      <c r="D31"/>
      <c r="E31" s="2" t="str">
        <f>=HYPERLINK("https://si.geilicdn.com/pcitem2014204438-13f60000019abac5b0200a8133cc_1280_1280.jpg?w=640&amp;h=640", "https://si.geilicdn.com/pcitem2014204438-13f60000019abac5b0200a8133cc_1280_1280.jpg?w=640&amp;h=640")</f>
        <v>https://si.geilicdn.com/pcitem2014204438-13f60000019abac5b0200a8133cc_1280_1280.jpg?w=640&amp;h=640</v>
      </c>
      <c r="F31" t="inlineStr">
        <is>
          <t>Accessories</t>
        </is>
      </c>
      <c r="G31" t="inlineStr">
        <is>
          <t>Montblanc</t>
        </is>
      </c>
      <c r="H31">
        <v>460</v>
      </c>
      <c r="I31">
        <v>66.67</v>
      </c>
      <c r="J31" t="inlineStr">
        <is>
          <t>{"id":"chatcmpl-DYLiKqaZVrFhnBt6LZEGUosALwyqK","object":"chat.completion","created":1777078992,"model":"gpt-5-chat-latest","choices":[{"index":0,"message":{"role":"assistant","content":"Montblanc Limited Edition Black Silver Luxury Fountain Pen","refusal":null,"annotations":[]},"logprobs":null,"finish_reason":"stop"}],"usage":{"prompt_tokens":878,"completion_tokens":11,"total_tokens":889,"prompt_tokens_details":{"cached_tokens":0,"audio_tokens":0},"completion_tokens_details":{"reasoning_tokens":0,"audio_tokens":0,"accepted_prediction_tokens":0,"rejected_prediction_tokens":0}},"service_tier":"default","system_fingerprint":"fp_ad66631dec"}</t>
        </is>
      </c>
      <c r="K31" t="inlineStr">
        <is>
          <t>Montblanc Limited Edition Black Silver Luxury Fountain Pen</t>
        </is>
      </c>
      <c r="L31" t="inlineStr">
        <is>
          <t>{"id":"chatcmpl-DYLcBK4CMZ6Ip2Dhu5hwIeLda4Ag9","object":"chat.completion","created":1777078611,"model":"gpt-5-chat-latest","choices":[{"index":0,"message":{"role":"assistant","content":"Montblanc Limited Edition Black and Silver Fountain Pen, platinum-plated engraved cap, elegant black resin body, German craftsmanship for a luxurious writing experience, perfect for business men and women.","refusal":null,"annotations":[]},"logprobs":null,"finish_reason":"stop"}],"usage":{"prompt_tokens":892,"completion_tokens":38,"total_tokens":930,"prompt_tokens_details":{"cached_tokens":0,"audio_tokens":0},"completion_tokens_details":{"reasoning_tokens":0,"audio_tokens":0,"accepted_prediction_tokens":0,"rejected_prediction_tokens":0}},"service_tier":"default","system_fingerprint":"fp_ad66631dec"}</t>
        </is>
      </c>
      <c r="M3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ma=2592000","apim-request-id":"665f4c40-5a94-40e6-9b5f-7753fb40a340","azureml-model-session":"d20260402075109-1fc5a0ec","cache-control":"no-cache, no-store, must-revalidate","connection":"close","content-length":"1009","content-security-policy":"frame-ancestors 'self'","content-type":"application/json","date":"Sat, 25 Apr 2026 00:56:53 GMT","server":"Caddy","skip-error-remapping":"true","strict-transport-security":"max-age=31536000; includeSubDomains; preload","via":"1.1 Caddy","x-api-request-id":"20260425085649953269744E3NtP2Lt","x-content-type-options":"nosniff","x-frame-options":"SAMEORIGIN","x-ms-is-spilled-over":"false","x-ms-rai-invoked":"false","x-ms-region":"Sweden Central","x-new-api-version":"0.5.1","x-oneapi-request-id":"202604250056489228116328268d9d6sAKGVRP6","x-ratelimit-abusepenalty-active":"False","x-ratelimit-limit-requests":"4991","x-ratelimit-limit-tokens":"4991000","x-ratelimit-remaining-requests":"4990","x-ratelimit-remaining-tokens":"4989346","x-ratelimit-renewalperiod-requests":"60","x-ratelimit-renewalperiod-tokens":"60","x-ratelimit-reset-requests":"12","x-ratelimit-reset-tokens":"19","x-request-id":"7a9d1a12-5430-413b-a909-aad894797891"}</t>
        </is>
      </c>
      <c r="N31" t="inlineStr">
        <is>
          <t>Montblanc Limited Edition Black and Silver Fountain Pen, platinum-plated engraved cap, elegant black resin body, German craftsmanship for a luxurious writing experience, perfect for business men and women.</t>
        </is>
      </c>
      <c r="O31" t="inlineStr">
        <is>
          <t>{"id":"chatcmpl-DYLyFP4cvknAZV4Yx7F44EUssC5kx","object":"chat.completion","created":1777079979,"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31" t="inlineStr">
        <is>
          <t>Montblanc,Accessories,kakobuy,kakebuy2026,kekobuysheet,kakobuysheet2026,2026kakobuy,kakobuyspreadsheeet,kakobuylink,kakebuylist,Kakobuy MEGA Spreadsheet,kakobuysheetfind,kakobuysheetfind2026,2026kakobuysheetfind,kakobuysheet2026</t>
        </is>
      </c>
      <c r="Q31"/>
      <c r="R31" t="inlineStr">
        <is>
          <t>recvhju1Cr7JMm</t>
        </is>
      </c>
      <c r="S31" t="inlineStr">
        <is>
          <t>montblanc-black-silver-fountain-pen-recvhju1cr7jmm</t>
        </is>
      </c>
      <c r="T31"/>
      <c r="U31"/>
      <c r="V31"/>
      <c r="W31" t="inlineStr">
        <is>
          <t>{"choices":[{"finish_reason":"stop","index":0,"logprobs":null,"message":{"annotations":[],"content":"Montblanc：黑银配色限量款钢笔，匠心镀铂金笔帽雕花设计，黑色树脂笔身典雅大气，德国工艺彰显奢华书写体验，商务男女皆宜。","refusal":null,"role":"assistant"}}],"created":1777019779,"id":"chatcmpl-DY6JHetXhbPstEJdWyElMRnYrVZzf","model":"gpt-5-chat-latest","object":"chat.completion","service_tier":"default","system_fingerprint":"fp_ad66631dec","usage":{"completion_tokens":57,"completion_tokens_details":{"accepted_prediction_tokens":0,"audio_tokens":0,"reasoning_tokens":0,"rejected_prediction_tokens":0},"prompt_tokens":1303,"prompt_tokens_details":{"audio_tokens":0,"cached_tokens":0},"total_tokens":1360}}</t>
        </is>
      </c>
      <c r="X31" t="inlineStr">
        <is>
          <t>Montblanc：黑银配色限量款钢笔，匠心镀铂金笔帽雕花设计，黑色树脂笔身典雅大气，德国工艺彰显奢华书写体验，商务男女皆宜。</t>
        </is>
      </c>
    </row>
    <row r="32" ht="25.5" customHeight="1">
      <c r="A32">
        <v>1654975475</v>
      </c>
      <c r="B32">
        <v>7619012870</v>
      </c>
      <c r="C32" s="2" t="str">
        <f>=HYPERLINK("https://weidian.com/item.html?itemID=7619012870", "https://weidian.com/item.html?itemID=7619012870")</f>
        <v>https://weidian.com/item.html?itemID=7619012870</v>
      </c>
      <c r="D32"/>
      <c r="E32" s="2" t="str">
        <f>=HYPERLINK("https://si.geilicdn.com/pcitem2014204438-10a80000019abac6c3150a23037f_1440_1440.jpg?w=640&amp;h=640", "https://si.geilicdn.com/pcitem2014204438-10a80000019abac6c3150a23037f_1440_1440.jpg?w=640&amp;h=640")</f>
        <v>https://si.geilicdn.com/pcitem2014204438-10a80000019abac6c3150a23037f_1440_1440.jpg?w=640&amp;h=640</v>
      </c>
      <c r="F32" t="inlineStr">
        <is>
          <t>Accessories</t>
        </is>
      </c>
      <c r="G32" t="inlineStr">
        <is>
          <t>Montblanc</t>
        </is>
      </c>
      <c r="H32">
        <v>460</v>
      </c>
      <c r="I32">
        <v>66.67</v>
      </c>
      <c r="J32" t="inlineStr">
        <is>
          <t>{"id":"chatcmpl-DYLnSiUt7F3cSQa0htB8YHXO4IwMF","object":"chat.completion","created":1777079310,"model":"gpt-5-chat-2025-10-03","choices":[{"index":0,"message":{"role":"assistant","content":"Montblanc Blue Gold Limited Edition Ballpoint Pen","refusal":null,"annotations":[]},"logprobs":null,"finish_reason":"stop"}],"usage":{"prompt_tokens":876,"completion_tokens":11,"total_tokens":887,"prompt_tokens_details":{"cached_tokens":0,"audio_tokens":0},"completion_tokens_details":{"reasoning_tokens":0,"audio_tokens":0,"accepted_prediction_tokens":0,"rejected_prediction_tokens":0}},"service_tier":"default","system_fingerprint":"fp_ad66631dec"}</t>
        </is>
      </c>
      <c r="K32" t="inlineStr">
        <is>
          <t>Montblanc Blue Gold Limited Edition Ballpoint Pen</t>
        </is>
      </c>
      <c r="L32" t="inlineStr">
        <is>
          <t>{"id":"chatcmpl-DYLS1lv21WQENdJpyYMHeAgxboTb5","object":"chat.completion","created":1777077981,"model":"gpt-5-chat-latest","choices":[{"index":0,"message":{"role":"assistant","content":"Montblanc Blue-Gold Limited Edition Ballpoint Pen, featuring engraved metal body with elegant patterns, timeless business style design, perfect for men and women, showcasing prestige and artistry.","refusal":null,"annotations":[]},"logprobs":null,"finish_reason":"stop"}],"usage":{"prompt_tokens":883,"completion_tokens":37,"total_tokens":920,"prompt_tokens_details":{"cached_tokens":0,"audio_tokens":0},"completion_tokens_details":{"reasoning_tokens":0,"audio_tokens":0,"accepted_prediction_tokens":0,"rejected_prediction_tokens":0}},"service_tier":"default","system_fingerprint":"fp_ad66631dec"}</t>
        </is>
      </c>
      <c r="M3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ma=2592000","apim-request-id":"6f4aa361-f7fa-4515-8cf7-f1726197bea0","azureml-model-session":"d20260402084046-4209e968","cache-control":"no-cache, no-store, must-revalidate","connection":"close","content-length":"1000","content-security-policy":"frame-ancestors 'self'","content-type":"application/json","date":"Sat, 25 Apr 2026 00:46:23 GMT","server":"nginx","skip-error-remapping":"true","strict-transport-security":"max-age=31536000; includeSubDomains; preload","via":"1.1 Caddy, 1.1 Caddy","x-api-request-id":"202604250846207851560482mN9idpv","x-content-type-options":"nosniff","x-frame-options":"SAMEORIGIN","x-ms-is-spilled-over":"false","x-ms-rai-invoked":"false","x-ms-region":"East US 2","x-new-api-version":"0.5.1","x-oneapi-request-id":"202604250046171060908588268d9d6Lqu6ephm","x-ratelimit-abusepenalty-active":"False","x-ratelimit-limit-requests":"4992","x-ratelimit-limit-tokens":"4992000","x-ratelimit-remaining-requests":"4991","x-ratelimit-remaining-tokens":"4990355","x-ratelimit-renewalperiod-requests":"60","x-ratelimit-renewalperiod-tokens":"60","x-ratelimit-reset-requests":"12","x-ratelimit-reset-tokens":"19","x-request-id":"d223f210-2eb2-4bb3-aad6-9ed0629c69cb"}</t>
        </is>
      </c>
      <c r="N32" t="inlineStr">
        <is>
          <t>Montblanc Blue-Gold Limited Edition Ballpoint Pen, featuring engraved metal body with elegant patterns, timeless business style design, perfect for men and women, showcasing prestige and artistry.</t>
        </is>
      </c>
      <c r="O32" t="inlineStr">
        <is>
          <t>{"id":"chatcmpl-DYM1DZBjV2SykADppmND8WgbOPYzR","object":"chat.completion","created":1777080163,"model":"gpt-5-chat-2025-10-03","choices":[{"index":0,"message":{"role":"assistant","content":"Montblanc,Pen,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32" t="inlineStr">
        <is>
          <t>Montblanc,Pen,kakobuy,kakebuy2026,kekobuysheet,kakobuysheet2026,2026kakobuy,kakobuyspreadsheeet,kakobuylink,kakebuylist,Kakobuy MEGA Spreadsheet,kakobuysheetfind,kakobuysheetfind2026,2026kakobuysheetfind,kakobuysheet2026</t>
        </is>
      </c>
      <c r="Q32"/>
      <c r="R32" t="inlineStr">
        <is>
          <t>recvhju1CrG8Px</t>
        </is>
      </c>
      <c r="S32" t="inlineStr">
        <is>
          <t>montblanc-blue-gold-limited-edition-ballpoint-pen-recvhju1crg8px</t>
        </is>
      </c>
      <c r="T32"/>
      <c r="U32"/>
      <c r="V32"/>
      <c r="W32" t="inlineStr">
        <is>
          <t>{"choices":[{"finish_reason":"stop","index":0,"logprobs":null,"message":{"annotations":[],"content":"Montblanc：蓝金配色限量款圆珠笔，金属笔身雕刻精致图腾，典雅商务风设计，男女皆宜，彰显尊贵格调与艺术品味。","refusal":null,"role":"assistant"}}],"created":1777019726,"id":"chatcmpl-DY6IQ63kAlzzFws4F0W5P2YMt6PiU","model":"gpt-5-chat-latest","object":"chat.completion","service_tier":"default","system_fingerprint":"fp_ad66631dec","usage":{"completion_tokens":48,"completion_tokens_details":{"accepted_prediction_tokens":0,"audio_tokens":0,"reasoning_tokens":0,"rejected_prediction_tokens":0},"prompt_tokens":1303,"prompt_tokens_details":{"audio_tokens":0,"cached_tokens":0},"total_tokens":1351}}</t>
        </is>
      </c>
      <c r="X32" t="inlineStr">
        <is>
          <t>Montblanc：蓝金配色限量款圆珠笔，金属笔身雕刻精致图腾，典雅商务风设计，男女皆宜，彰显尊贵格调与艺术品味。</t>
        </is>
      </c>
    </row>
    <row r="33" ht="25.5" customHeight="1">
      <c r="A33">
        <v>1654975475</v>
      </c>
      <c r="B33">
        <v>7616102593</v>
      </c>
      <c r="C33" s="2" t="str">
        <f>=HYPERLINK("https://weidian.com/item.html?itemID=7616102593", "https://weidian.com/item.html?itemID=7616102593")</f>
        <v>https://weidian.com/item.html?itemID=7616102593</v>
      </c>
      <c r="D33"/>
      <c r="E33" s="2" t="str">
        <f>=HYPERLINK("https://si.geilicdn.com/pcitem2014204438-010b0000019abac8942a0a231177_1440_1920.jpg?w=640&amp;h=640", "https://si.geilicdn.com/pcitem2014204438-010b0000019abac8942a0a231177_1440_1920.jpg?w=640&amp;h=640")</f>
        <v>https://si.geilicdn.com/pcitem2014204438-010b0000019abac8942a0a231177_1440_1920.jpg?w=640&amp;h=640</v>
      </c>
      <c r="F33" t="inlineStr">
        <is>
          <t>Accessories</t>
        </is>
      </c>
      <c r="G33" t="inlineStr">
        <is>
          <t>Tiffany</t>
        </is>
      </c>
      <c r="H33">
        <v>290</v>
      </c>
      <c r="I33">
        <v>42.03</v>
      </c>
      <c r="J33" t="inlineStr">
        <is>
          <t>{"id":"chatcmpl-DYLgnBPGDQlMMAQeuv40qs0DwgCeI","object":"chat.completion","created":1777078897,"model":"gpt-5-chat-latest","choices":[{"index":0,"message":{"role":"assistant","content":"Tiffany &amp; Co. Classic Blue Gift Box Set","refusal":null,"annotations":[]},"logprobs":null,"finish_reason":"stop"}],"usage":{"prompt_tokens":877,"completion_tokens":11,"total_tokens":888,"prompt_tokens_details":{"cached_tokens":0,"audio_tokens":0},"completion_tokens_details":{"reasoning_tokens":0,"audio_tokens":0,"accepted_prediction_tokens":0,"rejected_prediction_tokens":0}},"service_tier":"default","system_fingerprint":"fp_ad66631dec"}</t>
        </is>
      </c>
      <c r="K33" t="inlineStr">
        <is>
          <t>Tiffany &amp; Co. Classic Blue Gift Box Set</t>
        </is>
      </c>
      <c r="L33" t="inlineStr">
        <is>
          <t>{"id":"chatcmpl-DYLZlzIliYO5nN39yvWIcxu7iOz38","object":"chat.completion","created":1777078461,"model":"gpt-5-chat-latest","choices":[{"index":0,"message":{"role":"assistant","content":"Tiffany &amp; Co. Classic Blue Gift Box Set, elegant and refined, premium paper material with minimalist square design, timeless luxury for men and women, celebrating a century of exquisite lifestyle.","refusal":null,"annotations":[]},"logprobs":null,"finish_reason":"stop"}],"usage":{"prompt_tokens":897,"completion_tokens":38,"total_tokens":935,"prompt_tokens_details":{"cached_tokens":0,"audio_tokens":0},"completion_tokens_details":{"reasoning_tokens":0,"audio_tokens":0,"accepted_prediction_tokens":0,"rejected_prediction_tokens":0}},"service_tier":"default","system_fingerprint":"fp_ad66631dec"}</t>
        </is>
      </c>
      <c r="M3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ma=2592000","apim-request-id":"96343afc-992b-4e86-8d56-c34ee6ae7fc4","azureml-model-session":"d20260405234249-f9874baf","cache-control":"no-cache, no-store, must-revalidate","connection":"close","content-length":"1000","content-security-policy":"frame-ancestors 'self'","content-type":"application/json","date":"Sat, 25 Apr 2026 00:54:23 GMT","server":"Caddy","skip-error-remapping":"true","strict-transport-security":"max-age=31536000; includeSubDomains; preload","via":"1.1 Caddy","x-api-request-id":"20260425085419438810990QUHg84hf","x-content-type-options":"nosniff","x-frame-options":"SAMEORIGIN","x-ms-is-spilled-over":"false","x-ms-rai-invoked":"false","x-ms-region":"Sweden Central","x-new-api-version":"0.5.1","x-oneapi-request-id":"202604250054193704153608268d9d6GoE4iW5e","x-ratelimit-abusepenalty-active":"False","x-ratelimit-limit-requests":"4991","x-ratelimit-limit-tokens":"4991000","x-ratelimit-remaining-requests":"4990","x-ratelimit-remaining-tokens":"4989341","x-ratelimit-renewalperiod-requests":"60","x-ratelimit-renewalperiod-tokens":"60","x-ratelimit-reset-requests":"12","x-ratelimit-reset-tokens":"19","x-request-id":"86bdec4e-564e-4296-88e5-88ced5a3e724"}</t>
        </is>
      </c>
      <c r="N33" t="inlineStr">
        <is>
          <t>Tiffany &amp; Co. Classic Blue Gift Box Set, elegant and refined, premium paper material with minimalist square design, timeless luxury for men and women, celebrating a century of exquisite lifestyle.</t>
        </is>
      </c>
      <c r="O33" t="inlineStr">
        <is>
          <t>{"id":"chatcmpl-DYLygUs8otmFgBtE2CCDXC2csSj3s","object":"chat.completion","created":1777080006,"model":"gpt-5-chat-2025-10-03","choices":[{"index":0,"message":{"role":"assistant","content":"Tiffany,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33" t="inlineStr">
        <is>
          <t>Tiffany,Accessories,kakobuy,kakebuy2026,kekobuysheet,kakobuysheet2026,2026kakobuy,kakobuyspreadsheeet,kakobuylink,kakebuylist,Kakobuy MEGA Spreadsheet,kakobuysheetfind,kakobuysheetfind2026,2026kakobuysheetfind,kakobuysheet2026</t>
        </is>
      </c>
      <c r="Q33" t="inlineStr">
        <is>
          <t>Elegant, Minimalist, Men's And Women's, Unisex</t>
        </is>
      </c>
      <c r="R33" t="inlineStr">
        <is>
          <t>recvhju1Cr6Gq4</t>
        </is>
      </c>
      <c r="S33" t="inlineStr">
        <is>
          <t>tiffany-classic-blue-gift-box-recvhju1cr6gq4</t>
        </is>
      </c>
      <c r="T33"/>
      <c r="U33"/>
      <c r="V33"/>
      <c r="W33" t="inlineStr">
        <is>
          <t>{"choices":[{"finish_reason":"stop","index":0,"logprobs":null,"message":{"annotations":[],"content":"Tiffany &amp; Co.: 经典蒂芙尼蓝礼盒套装，高雅纯净色调搭配精致纸质材质，简约方形设计彰显奢华格调，适合男女通用礼赠，百年品牌传承精致生活品味。","refusal":null,"role":"assistant"}}],"created":1777019874,"id":"chatcmpl-DY6Ko57dPmApAuX5Ja2ckXUddoPut","model":"gpt-5-chat-latest","object":"chat.completion","service_tier":"default","system_fingerprint":"fp_ad66631dec","usage":{"completion_tokens":65,"completion_tokens_details":{"accepted_prediction_tokens":0,"audio_tokens":0,"reasoning_tokens":0,"rejected_prediction_tokens":0},"prompt_tokens":1299,"prompt_tokens_details":{"audio_tokens":0,"cached_tokens":1280},"total_tokens":1364}}</t>
        </is>
      </c>
      <c r="X33" t="inlineStr">
        <is>
          <t>Tiffany &amp; Co.: 经典蒂芙尼蓝礼盒套装，高雅纯净色调搭配精致纸质材质，简约方形设计彰显奢华格调，适合男女通用礼赠，百年品牌传承精致生活品味。</t>
        </is>
      </c>
    </row>
    <row r="34" ht="25.5" customHeight="1">
      <c r="A34">
        <v>1654975475</v>
      </c>
      <c r="B34">
        <v>7616031205</v>
      </c>
      <c r="C34" s="2" t="str">
        <f>=HYPERLINK("https://weidian.com/item.html?itemID=7616031205", "https://weidian.com/item.html?itemID=7616031205")</f>
        <v>https://weidian.com/item.html?itemID=7616031205</v>
      </c>
      <c r="D34"/>
      <c r="E34" s="2" t="str">
        <f>=HYPERLINK("https://si.geilicdn.com/pcitem2014204438-060c0000019abac61e620a2396f4_1170_1425.jpg?w=640&amp;h=640", "https://si.geilicdn.com/pcitem2014204438-060c0000019abac61e620a2396f4_1170_1425.jpg?w=640&amp;h=640")</f>
        <v>https://si.geilicdn.com/pcitem2014204438-060c0000019abac61e620a2396f4_1170_1425.jpg?w=640&amp;h=640</v>
      </c>
      <c r="F34" t="inlineStr">
        <is>
          <t>Accessories</t>
        </is>
      </c>
      <c r="G34" t="inlineStr">
        <is>
          <t>Montblanc</t>
        </is>
      </c>
      <c r="H34">
        <v>560</v>
      </c>
      <c r="I34">
        <v>81.16</v>
      </c>
      <c r="J34" t="inlineStr">
        <is>
          <t>{"id":"chatcmpl-DYLlsb73BZnO0Y0jGqZ8SVgQiwyoZ","object":"chat.completion","created":1777079212,"model":"gpt-5-chat-2025-10-03","choices":[{"index":0,"message":{"role":"assistant","content":"Montblanc Jane Austen Blue White Gold Fountain Pen","refusal":null,"annotations":[]},"logprobs":null,"finish_reason":"stop"}],"usage":{"prompt_tokens":870,"completion_tokens":11,"total_tokens":881,"prompt_tokens_details":{"cached_tokens":0,"audio_tokens":0},"completion_tokens_details":{"reasoning_tokens":0,"audio_tokens":0,"accepted_prediction_tokens":0,"rejected_prediction_tokens":0}},"service_tier":"default","system_fingerprint":"fp_ad66631dec"}</t>
        </is>
      </c>
      <c r="K34" t="inlineStr">
        <is>
          <t>Montblanc Jane Austen Blue White Gold Fountain Pen</t>
        </is>
      </c>
      <c r="L34" t="inlineStr">
        <is>
          <t>{"id":"chatcmpl-DYLUp5IWd6nLNA1GmCtKDD1IksLsq","object":"chat.completion","created":1777078155,"model":"gpt-5-chat-latest","choices":[{"index":0,"message":{"role":"assistant","content":"Montblanc Writers Edition Jane Austen Blue &amp; White Gold Fountain Pen, elegant British vintage design with engraved resin body, smooth writing, perfect for collectors and luxury gifting.","refusal":null,"annotations":[]},"logprobs":null,"finish_reason":"stop"}],"usage":{"prompt_tokens":897,"completion_tokens":34,"total_tokens":931,"prompt_tokens_details":{"cached_tokens":0,"audio_tokens":0},"completion_tokens_details":{"reasoning_tokens":0,"audio_tokens":0,"accepted_prediction_tokens":0,"rejected_prediction_tokens":0}},"service_tier":"default","system_fingerprint":"fp_ad66631dec"}</t>
        </is>
      </c>
      <c r="M3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ma=2592000","apim-request-id":"c45998ef-3a49-479a-9f9d-40cfe1681aba","azureml-model-session":"d20260402083108-57a85543","cache-control":"no-cache, no-store, must-revalidate","connection":"close","content-length":"989","content-security-policy":"frame-ancestors 'self'","content-type":"application/json","date":"Sat, 25 Apr 2026 00:49:17 GMT","server":"Caddy","skip-error-remapping":"true","strict-transport-security":"max-age=31536000; includeSubDomains; preload","via":"1.1 Caddy","x-api-request-id":"202604250849144179479004DKFYSa4","x-content-type-options":"nosniff","x-frame-options":"SAMEORIGIN","x-ms-is-spilled-over":"false","x-ms-rai-invoked":"false","x-ms-region":"Sweden Central","x-new-api-version":"0.5.1","x-oneapi-request-id":"202604250049139117699608268d9d6dHuMhwbA","x-ratelimit-abusepenalty-active":"False","x-ratelimit-limit-requests":"4991","x-ratelimit-limit-tokens":"4991000","x-ratelimit-remaining-requests":"4990","x-ratelimit-remaining-tokens":"4989341","x-ratelimit-renewalperiod-requests":"60","x-ratelimit-renewalperiod-tokens":"60","x-ratelimit-reset-requests":"12","x-ratelimit-reset-tokens":"19","x-request-id":"b3adde42-9d92-4d6e-9fd9-f5990e18cbf4"}</t>
        </is>
      </c>
      <c r="N34" t="inlineStr">
        <is>
          <t>Montblanc Writers Edition Jane Austen Blue &amp; White Gold Fountain Pen, elegant British vintage design with engraved resin body, smooth writing, perfect for collectors and luxury gifting.</t>
        </is>
      </c>
      <c r="O34" t="inlineStr">
        <is>
          <t>{"id":"chatcmpl-DYLuD37yYZMullkkTZENkyFVIeqDq","object":"chat.completion","created":1777079729,"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34" t="inlineStr">
        <is>
          <t>Montblanc,Accessories,kakobuy,kakebuy2026,kekobuysheet,kakobuysheet2026,2026kakobuy,kakobuyspreadsheeet,kakobuylink,kakebuylist,Kakobuy MEGA Spreadsheet,kakobuysheetfind,kakobuysheetfind2026,2026kakobuysheetfind,kakobuysheet2026</t>
        </is>
      </c>
      <c r="Q34"/>
      <c r="R34" t="inlineStr">
        <is>
          <t>recvhju1CrkupI</t>
        </is>
      </c>
      <c r="S34" t="inlineStr">
        <is>
          <t>montblanc-jane-austen-blue-white-gold-fountain-pen-recvhju1crkupi</t>
        </is>
      </c>
      <c r="T34"/>
      <c r="U34"/>
      <c r="V34"/>
      <c r="W34" t="inlineStr">
        <is>
          <t>{"choices":[{"finish_reason":"stop","index":0,"logprobs":null,"message":{"annotations":[],"content":"Montblanc：作家限量系列蓝白金笔，灵感源自Jane Austen优雅文学风格，甄雅黑金镀饰搭配雕纹树脂笔身，经典英伦复古设计，书写顺滑，收藏与馈赠佳选。","refusal":null,"role":"assistant"}}],"created":1777019483,"id":"chatcmpl-DY6EVgw3JlKfPSLWkcfuRzotkNcCT","model":"gpt-5-chat-latest","object":"chat.completion","service_tier":"default","system_fingerprint":"fp_ad66631dec","usage":{"completion_tokens":62,"completion_tokens_details":{"accepted_prediction_tokens":0,"audio_tokens":0,"reasoning_tokens":0,"rejected_prediction_tokens":0},"prompt_tokens":1303,"prompt_tokens_details":{"audio_tokens":0,"cached_tokens":0},"total_tokens":1365}}</t>
        </is>
      </c>
      <c r="X34" t="inlineStr">
        <is>
          <t>Montblanc：作家限量系列蓝白金笔，灵感源自Jane Austen优雅文学风格，甄雅黑金镀饰搭配雕纹树脂笔身，经典英伦复古设计，书写顺滑，收藏与馈赠佳选。</t>
        </is>
      </c>
    </row>
    <row r="35" ht="25.5" customHeight="1">
      <c r="A35">
        <v>1654975475</v>
      </c>
      <c r="B35">
        <v>7615618663</v>
      </c>
      <c r="C35" s="2" t="str">
        <f>=HYPERLINK("https://weidian.com/item.html?itemID=7615618663", "https://weidian.com/item.html?itemID=7615618663")</f>
        <v>https://weidian.com/item.html?itemID=7615618663</v>
      </c>
      <c r="D35"/>
      <c r="E35" s="2" t="str">
        <f>=HYPERLINK("https://si.geilicdn.com/pcitem2014204438-0efc0000019abac78c200a81347d_1440_1440.jpg?w=640&amp;h=640", "https://si.geilicdn.com/pcitem2014204438-0efc0000019abac78c200a81347d_1440_1440.jpg?w=640&amp;h=640")</f>
        <v>https://si.geilicdn.com/pcitem2014204438-0efc0000019abac78c200a81347d_1440_1440.jpg?w=640&amp;h=640</v>
      </c>
      <c r="F35" t="inlineStr">
        <is>
          <t>Accessories</t>
        </is>
      </c>
      <c r="G35" t="inlineStr">
        <is>
          <t>Montblanc</t>
        </is>
      </c>
      <c r="H35">
        <v>460</v>
      </c>
      <c r="I35">
        <v>66.67</v>
      </c>
      <c r="J35" t="inlineStr">
        <is>
          <t>{"choices":[{"finish_reason":"stop","index":0,"logprobs":null,"message":{"annotations":[],"content":"Montblanc Red Gold Limited Edition Ballpoint Pen","refusal":null,"role":"assistant"}}],"created":1777079151,"id":"chatcmpl-DYLktqOiVzq1xmWHvfuOuAf7O7yhM","model":"gpt-5-chat-latest","object":"chat.completion","service_tier":"default","system_fingerprint":"fp_ad66631dec","usage":{"completion_tokens":11,"completion_tokens_details":{"accepted_prediction_tokens":0,"audio_tokens":0,"reasoning_tokens":0,"rejected_prediction_tokens":0},"prompt_tokens":876,"prompt_tokens_details":{"audio_tokens":0,"cached_tokens":0},"total_tokens":887}}</t>
        </is>
      </c>
      <c r="K35" t="inlineStr">
        <is>
          <t>Montblanc Red Gold Limited Edition Ballpoint Pen</t>
        </is>
      </c>
      <c r="L35" t="inlineStr">
        <is>
          <t>{"id":"chatcmpl-DYLUVue0mCcYS2VwECyGJQ0eQj2x4","object":"chat.completion","created":1777078135,"model":"gpt-5-chat-latest","choices":[{"index":0,"message":{"role":"assistant","content":"Montblanc Red Gold Limited Edition Ballpoint Pen crafted from fine resin and gold-plated metal, featuring intricate engraved patterns, a sleek European design, perfect for business or collection.","refusal":null,"annotations":[]},"logprobs":null,"finish_reason":"stop"}],"usage":{"prompt_tokens":916,"completion_tokens":37,"total_tokens":953,"prompt_tokens_details":{"cached_tokens":0,"audio_tokens":0},"completion_tokens_details":{"reasoning_tokens":0,"audio_tokens":0,"accepted_prediction_tokens":0,"rejected_prediction_tokens":0}},"service_tier":"default","system_fingerprint":"fp_ad66631dec"}</t>
        </is>
      </c>
      <c r="M3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ma=2592000","apim-request-id":"6f4942df-7ec2-4bb6-9ad3-149429e9fd05","azureml-model-session":"d20260405225800-40f19e54","cache-control":"no-cache, no-store, must-revalidate","connection":"close","content-length":"999","content-security-policy":"frame-ancestors 'self'","content-type":"application/json","date":"Sat, 25 Apr 2026 00:48:56 GMT","server":"Caddy","skip-error-remapping":"true","strict-transport-security":"max-age=31536000; includeSubDomains; preload","via":"1.1 Caddy","x-api-request-id":"20260425084853987348260KFoOiSZo","x-content-type-options":"nosniff","x-frame-options":"SAMEORIGIN","x-ms-is-spilled-over":"false","x-ms-rai-invoked":"false","x-ms-region":"East US 2","x-new-api-version":"0.5.1","x-oneapi-request-id":"202604250048522643679358268d9d6MY2nPgtZ","x-ratelimit-abusepenalty-active":"False","x-ratelimit-limit-requests":"4992","x-ratelimit-limit-tokens":"4992000","x-ratelimit-remaining-requests":"4991","x-ratelimit-remaining-tokens":"4990322","x-ratelimit-renewalperiod-requests":"60","x-ratelimit-renewalperiod-tokens":"60","x-ratelimit-reset-requests":"12","x-ratelimit-reset-tokens":"20","x-request-id":"f14eeb23-7f99-42c5-a61c-90795758e586"}</t>
        </is>
      </c>
      <c r="N35" t="inlineStr">
        <is>
          <t>Montblanc Red Gold Limited Edition Ballpoint Pen crafted from fine resin and gold-plated metal, featuring intricate engraved patterns, a sleek European design, perfect for business or collection.</t>
        </is>
      </c>
      <c r="O35" t="inlineStr">
        <is>
          <t>{"id":"chatcmpl-DYLzL503uDZzx0Qsc7SgCwAMvKos4","object":"chat.completion","created":1777080047,"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35" t="inlineStr">
        <is>
          <t>Montblanc,Accessories,kakobuy,kakebuy2026,kekobuysheet,kakobuysheet2026,2026kakobuy,kakobuyspreadsheeet,kakobuylink,kakebuylist,Kakobuy MEGA Spreadsheet,kakobuysheetfind,kakobuysheetfind2026,2026kakobuysheetfind,kakobuysheet2026</t>
        </is>
      </c>
      <c r="Q35"/>
      <c r="R35" t="inlineStr">
        <is>
          <t>recvhju1CrT1bs</t>
        </is>
      </c>
      <c r="S35" t="inlineStr">
        <is>
          <t>montblanc-red-gold-limited-edition-pen-recvhju1crt1bs</t>
        </is>
      </c>
      <c r="T35"/>
      <c r="U35"/>
      <c r="V35"/>
      <c r="W35" t="inlineStr">
        <is>
          <t>{"choices":[{"finish_reason":"stop","index":0,"logprobs":null,"message":{"annotations":[],"content":"Montblanc：红金系列限量款圆珠笔，甄选高级树脂与镀金金属材质，笔身雕刻精美图腾纹理，质感华贵。流线造型融合经典欧式设计，彰显优雅与权威气质，男女皆宜，商务与收藏皆臻典雅之选。","refusal":null,"role":"assistant"}}],"created":1777019571,"id":"chatcmpl-DY6FvgFm0jMBqkvAG7K9YtfJUq3XN","model":"gpt-5-chat-latest","object":"chat.completion","service_tier":"default","system_fingerprint":"fp_ad66631dec","usage":{"completion_tokens":81,"completion_tokens_details":{"accepted_prediction_tokens":0,"audio_tokens":0,"reasoning_tokens":0,"rejected_prediction_tokens":0},"prompt_tokens":1303,"prompt_tokens_details":{"audio_tokens":0,"cached_tokens":1280},"total_tokens":1384}}</t>
        </is>
      </c>
      <c r="X35" t="inlineStr">
        <is>
          <t>Montblanc：红金系列限量款圆珠笔，甄选高级树脂与镀金金属材质，笔身雕刻精美图腾纹理，质感华贵。流线造型融合经典欧式设计，彰显优雅与权威气质，男女皆宜，商务与收藏皆臻典雅之选。</t>
        </is>
      </c>
    </row>
    <row r="36" ht="25.5" customHeight="1">
      <c r="A36">
        <v>1654975475</v>
      </c>
      <c r="B36">
        <v>7618997382</v>
      </c>
      <c r="C36" s="2" t="str">
        <f>=HYPERLINK("https://weidian.com/item.html?itemID=7618997382", "https://weidian.com/item.html?itemID=7618997382")</f>
        <v>https://weidian.com/item.html?itemID=7618997382</v>
      </c>
      <c r="D36"/>
      <c r="E36" s="2" t="str">
        <f>=HYPERLINK("https://si.geilicdn.com/pcitem2014204438-14ed0000019abac903720a23041a_1512_1223.jpg?w=640&amp;h=640", "https://si.geilicdn.com/pcitem2014204438-14ed0000019abac903720a23041a_1512_1223.jpg?w=640&amp;h=640")</f>
        <v>https://si.geilicdn.com/pcitem2014204438-14ed0000019abac903720a23041a_1512_1223.jpg?w=640&amp;h=640</v>
      </c>
      <c r="F36" t="inlineStr">
        <is>
          <t>Accessories</t>
        </is>
      </c>
      <c r="G36" t="inlineStr">
        <is>
          <t>Montblanc</t>
        </is>
      </c>
      <c r="H36">
        <v>460</v>
      </c>
      <c r="I36">
        <v>66.67</v>
      </c>
      <c r="J36" t="inlineStr">
        <is>
          <t>{"id":"chatcmpl-DYLjYxws5xck1YOHne5QMNJeRAMgl","object":"chat.completion","created":1777079068,"model":"gpt-5-chat-latest","choices":[{"index":0,"message":{"role":"assistant","content":"Montblanc Meisterstück Blue Silver Fountain Pen","refusal":null,"annotations":[]},"logprobs":null,"finish_reason":"stop"}],"usage":{"prompt_tokens":862,"completion_tokens":10,"total_tokens":872,"prompt_tokens_details":{"cached_tokens":0,"audio_tokens":0},"completion_tokens_details":{"reasoning_tokens":0,"audio_tokens":0,"accepted_prediction_tokens":0,"rejected_prediction_tokens":0}},"service_tier":"default","system_fingerprint":"fp_ad66631dec"}</t>
        </is>
      </c>
      <c r="K36" t="inlineStr">
        <is>
          <t>Montblanc Meisterstück Blue Silver Fountain Pen</t>
        </is>
      </c>
      <c r="L36" t="inlineStr">
        <is>
          <t>{"id":"chatcmpl-DYLVXIXkWQqzFMVziy1opyUDrZR9c","object":"chat.completion","created":1777078199,"model":"gpt-5-chat-latest","choices":[{"index":0,"message":{"role":"assistant","content":"Montblanc Meisterstück Blue Resin &amp; Silver Fountain Pen with engraved cap design, elegant modern style for men and women, showcasing premium business sophistication.","refusal":null,"annotations":[]},"logprobs":null,"finish_reason":"stop"}],"usage":{"prompt_tokens":884,"completion_tokens":30,"total_tokens":914,"prompt_tokens_details":{"cached_tokens":0,"audio_tokens":0},"completion_tokens_details":{"reasoning_tokens":0,"audio_tokens":0,"accepted_prediction_tokens":0,"rejected_prediction_tokens":0}},"service_tier":"default","system_fingerprint":"fp_ad66631dec"}</t>
        </is>
      </c>
      <c r="M3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ma=2592000","apim-request-id":"ade5d0c1-0f3d-4df8-9b74-1bd47607544e","azureml-model-session":"d20260402084046-4209e968","cache-control":"no-cache, no-store, must-revalidate","connection":"close","content-length":"970","content-security-policy":"frame-ancestors 'self'","content-type":"application/json","date":"Sat, 25 Apr 2026 00:50:00 GMT","server":"nginx","skip-error-remapping":"true","strict-transport-security":"max-age=31536000; includeSubDomains; preload","via":"1.1 Caddy, 1.1 Caddy","x-api-request-id":"20260425084958645555137fRdXQGj3","x-content-type-options":"nosniff","x-frame-options":"SAMEORIGIN","x-ms-is-spilled-over":"false","x-ms-rai-invoked":"false","x-ms-region":"East US 2","x-new-api-version":"0.5.1","x-oneapi-request-id":"202604250049566417621828268d9d6Ua71pt5r","x-ratelimit-abusepenalty-active":"False","x-ratelimit-limit-requests":"4992","x-ratelimit-limit-tokens":"4992000","x-ratelimit-remaining-requests":"4991","x-ratelimit-remaining-tokens":"4990354","x-ratelimit-renewalperiod-requests":"60","x-ratelimit-renewalperiod-tokens":"60","x-ratelimit-reset-requests":"12","x-ratelimit-reset-tokens":"19","x-request-id":"2815c216-122a-4bad-a326-cf9abd579a09"}</t>
        </is>
      </c>
      <c r="N36" t="inlineStr">
        <is>
          <t>Montblanc Meisterstück Blue Resin &amp; Silver Fountain Pen with engraved cap design, elegant modern style for men and women, showcasing premium business sophistication.</t>
        </is>
      </c>
      <c r="O36" t="inlineStr">
        <is>
          <t>{"id":"chatcmpl-DYM2no0SPBtnfJN7QEZz2EpnpJ9kC","object":"chat.completion","created":1777080261,"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36" t="inlineStr">
        <is>
          <t>Montblanc,Accessories,kakobuy,kakebuy2026,kekobuysheet,kakobuysheet2026,2026kakobuy,kakobuyspreadsheeet,kakobuylink,kakebuylist,Kakobuy MEGA Spreadsheet,kakobuysheetfind,kakobuysheetfind2026,2026kakobuysheetfind,kakobuysheet2026</t>
        </is>
      </c>
      <c r="Q36"/>
      <c r="R36" t="inlineStr">
        <is>
          <t>recvhju1CrL7dj</t>
        </is>
      </c>
      <c r="S36" t="inlineStr">
        <is>
          <t>montblanc-meisterstuck-blue-silver-fountain-pen-recvhju1crl7dj</t>
        </is>
      </c>
      <c r="T36"/>
      <c r="U36"/>
      <c r="V36"/>
      <c r="W36" t="inlineStr">
        <is>
          <t>{"choices":[{"finish_reason":"stop","index":0,"logprobs":null,"message":{"annotations":[],"content":"Montblanc：Meisterstück蓝色树脂与银质镶嵌钢笔，经典镂空雕纹笔帽设计，雅致现代风格，男女皆宜，展现高端商务品味。","refusal":null,"role":"assistant"}}],"created":1777019505,"id":"chatcmpl-DY6Erxg12uc6U3blg2aNVYSy7Tbcc","model":"gpt-5-chat-latest","object":"chat.completion","service_tier":"default","system_fingerprint":"fp_ad66631dec","usage":{"completion_tokens":51,"completion_tokens_details":{"accepted_prediction_tokens":0,"audio_tokens":0,"reasoning_tokens":0,"rejected_prediction_tokens":0},"prompt_tokens":1299,"prompt_tokens_details":{"audio_tokens":0,"cached_tokens":0},"total_tokens":1350}}</t>
        </is>
      </c>
      <c r="X36" t="inlineStr">
        <is>
          <t>Montblanc：Meisterstück蓝色树脂与银质镶嵌钢笔，经典镂空雕纹笔帽设计，雅致现代风格，男女皆宜，展现高端商务品味。</t>
        </is>
      </c>
    </row>
    <row r="37" ht="25.5" customHeight="1">
      <c r="A37">
        <v>1654975475</v>
      </c>
      <c r="B37">
        <v>7615351123</v>
      </c>
      <c r="C37" s="2" t="str">
        <f>=HYPERLINK("https://weidian.com/item.html?itemID=7615351123", "https://weidian.com/item.html?itemID=7615351123")</f>
        <v>https://weidian.com/item.html?itemID=7615351123</v>
      </c>
      <c r="D37"/>
      <c r="E37" s="2" t="str">
        <f>=HYPERLINK("https://si.geilicdn.com/pcitem2014204438-60ae0000019abac962c40a210139_1476_1200.jpg?w=640&amp;h=640", "https://si.geilicdn.com/pcitem2014204438-60ae0000019abac962c40a210139_1476_1200.jpg?w=640&amp;h=640")</f>
        <v>https://si.geilicdn.com/pcitem2014204438-60ae0000019abac962c40a210139_1476_1200.jpg?w=640&amp;h=640</v>
      </c>
      <c r="F37" t="inlineStr">
        <is>
          <t>Accessories</t>
        </is>
      </c>
      <c r="G37" t="inlineStr">
        <is>
          <t>Montblanc</t>
        </is>
      </c>
      <c r="H37">
        <v>460</v>
      </c>
      <c r="I37">
        <v>66.67</v>
      </c>
      <c r="J37" t="inlineStr">
        <is>
          <t>{"id":"chatcmpl-DYLnJxJ31OCgRqbqBtphnwKNP5Omh","object":"chat.completion","created":1777079301,"model":"gpt-5-chat-2025-10-03","choices":[{"index":0,"message":{"role":"assistant","content":"Montblanc Meisterstück Black Silver Engraved Fountain Pen","refusal":null,"annotations":[]},"logprobs":null,"finish_reason":"stop"}],"usage":{"prompt_tokens":886,"completion_tokens":13,"total_tokens":899,"prompt_tokens_details":{"cached_tokens":0,"audio_tokens":0},"completion_tokens_details":{"reasoning_tokens":0,"audio_tokens":0,"accepted_prediction_tokens":0,"rejected_prediction_tokens":0}},"service_tier":"default","system_fingerprint":"fp_ad66631dec"}</t>
        </is>
      </c>
      <c r="K37" t="inlineStr">
        <is>
          <t>Montblanc Meisterstück Black Silver Engraved Fountain Pen</t>
        </is>
      </c>
      <c r="L37" t="inlineStr">
        <is>
          <t>{"id":"chatcmpl-DYLTn27vR9Hp9SOTgci2Ux2rVdFO5","object":"chat.completion","created":1777078091,"model":"gpt-5-chat-latest","choices":[{"index":0,"message":{"role":"assistant","content":"Montblanc Meisterstück Black Silver Engraved Fountain Pen, crafted from precious resin and platinum-plated metal, elegant totem design, smooth writing, ideal for business, collectors, men and women.","refusal":null,"annotations":[]},"logprobs":null,"finish_reason":"stop"}],"usage":{"prompt_tokens":910,"completion_tokens":42,"total_tokens":952,"prompt_tokens_details":{"cached_tokens":0,"audio_tokens":0},"completion_tokens_details":{"reasoning_tokens":0,"audio_tokens":0,"accepted_prediction_tokens":0,"rejected_prediction_tokens":0}},"service_tier":"default","system_fingerprint":"fp_ad66631dec"}</t>
        </is>
      </c>
      <c r="M3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ma=2592000","apim-request-id":"bcd05617-e5ff-4133-8d43-e253b4300aa1","azureml-model-session":"d20260402075109-1fc5a0ec","cache-control":"no-cache, no-store, must-revalidate","connection":"close","content-length":"1003","content-security-policy":"frame-ancestors 'self'","content-type":"application/json","date":"Sat, 25 Apr 2026 00:48:13 GMT","server":"Caddy","skip-error-remapping":"true","strict-transport-security":"max-age=31536000; includeSubDomains; preload","via":"1.1 Caddy","x-api-request-id":"20260425084810226365539pflU07g0","x-content-type-options":"nosniff","x-frame-options":"SAMEORIGIN","x-ms-is-spilled-over":"false","x-ms-rai-invoked":"false","x-ms-region":"Sweden Central","x-new-api-version":"0.5.1","x-oneapi-request-id":"202604250048082872031428268d9d6MO98KpXD","x-ratelimit-abusepenalty-active":"False","x-ratelimit-limit-requests":"4991","x-ratelimit-limit-tokens":"4991000","x-ratelimit-remaining-requests":"4990","x-ratelimit-remaining-tokens":"4989328","x-ratelimit-renewalperiod-requests":"60","x-ratelimit-renewalperiod-tokens":"60","x-ratelimit-reset-requests":"12","x-ratelimit-reset-tokens":"20","x-request-id":"c9d77c6e-b9f6-42dd-8e81-3a732b310cb3"}</t>
        </is>
      </c>
      <c r="N37" t="inlineStr">
        <is>
          <t>Montblanc Meisterstück Black Silver Engraved Fountain Pen, crafted from precious resin and platinum-plated metal, elegant totem design, smooth writing, ideal for business, collectors, men and women.</t>
        </is>
      </c>
      <c r="O37" t="inlineStr">
        <is>
          <t>{"id":"chatcmpl-DYLxtMd7pHdiXnhGLt8QYCbcONpsd","object":"chat.completion","created":1777079957,"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37" t="inlineStr">
        <is>
          <t>Montblanc,Accessories,kakobuy,kakebuy2026,kekobuysheet,kakobuysheet2026,2026kakobuy,kakobuyspreadsheeet,kakobuylink,kakebuylist,Kakobuy MEGA Spreadsheet,kakobuysheetfind,kakobuysheetfind2026,2026kakobuysheetfind,kakobuysheet2026</t>
        </is>
      </c>
      <c r="Q37"/>
      <c r="R37" t="inlineStr">
        <is>
          <t>recvhju1Cryq5E</t>
        </is>
      </c>
      <c r="S37" t="inlineStr">
        <is>
          <t>montblanc-meisterstuck-black-silver-engraved-fountain-pen-recvhju1cryq5e</t>
        </is>
      </c>
      <c r="T37"/>
      <c r="U37"/>
      <c r="V37"/>
      <c r="W37" t="inlineStr">
        <is>
          <t>{"choices":[{"finish_reason":"stop","index":0,"logprobs":null,"message":{"annotations":[],"content":"Montblanc：大师系列黑银镶嵌雕花钢笔，甄选珍贵树脂与镀铂金属材质，精致雕刻图腾设计彰显典雅格调，书写顺滑流畅，适合商务与收藏人士，男女皆宜的经典奢华书写之选。","refusal":null,"role":"assistant"}}],"created":1777019665,"id":"chatcmpl-DY6HRa8QxeZs37xnOHK4ylWbkRuq4","model":"gpt-5-chat-latest","object":"chat.completion","service_tier":"default","system_fingerprint":"fp_ad66631dec","usage":{"completion_tokens":77,"completion_tokens_details":{"accepted_prediction_tokens":0,"audio_tokens":0,"reasoning_tokens":0,"rejected_prediction_tokens":0},"prompt_tokens":1299,"prompt_tokens_details":{"audio_tokens":0,"cached_tokens":1280},"total_tokens":1376}}</t>
        </is>
      </c>
      <c r="X37" t="inlineStr">
        <is>
          <t>Montblanc：大师系列黑银镶嵌雕花钢笔，甄选珍贵树脂与镀铂金属材质，精致雕刻图腾设计彰显典雅格调，书写顺滑流畅，适合商务与收藏人士，男女皆宜的经典奢华书写之选。</t>
        </is>
      </c>
    </row>
    <row r="38" ht="25.5" customHeight="1">
      <c r="A38">
        <v>1654975475</v>
      </c>
      <c r="B38">
        <v>7620323514</v>
      </c>
      <c r="C38" s="2" t="str">
        <f>=HYPERLINK("https://weidian.com/item.html?itemID=7620323514", "https://weidian.com/item.html?itemID=7620323514")</f>
        <v>https://weidian.com/item.html?itemID=7620323514</v>
      </c>
      <c r="D38"/>
      <c r="E38" s="2" t="str">
        <f>=HYPERLINK("https://si.geilicdn.com/pcitem2014204438-7b520000019ac3db5cc40a2102c5_1086_816.jpg?w=640&amp;h=640", "https://si.geilicdn.com/pcitem2014204438-7b520000019ac3db5cc40a2102c5_1086_816.jpg?w=640&amp;h=640")</f>
        <v>https://si.geilicdn.com/pcitem2014204438-7b520000019ac3db5cc40a2102c5_1086_816.jpg?w=640&amp;h=640</v>
      </c>
      <c r="F38" t="inlineStr">
        <is>
          <t>Electronic</t>
        </is>
      </c>
      <c r="G38" t="inlineStr">
        <is>
          <t>Dyson</t>
        </is>
      </c>
      <c r="H38">
        <v>920</v>
      </c>
      <c r="I38">
        <v>133.33</v>
      </c>
      <c r="J38" t="inlineStr">
        <is>
          <t>{"id":"chatcmpl-DYLmqrtx1O4FIOUjtgzBzaLHPqA4G","object":"chat.completion","created":1777079272,"model":"gpt-5-chat-2025-10-03","choices":[{"index":0,"message":{"role":"assistant","content":"Dyson Copper Grey High Speed Hair Dryer","refusal":null,"annotations":[]},"logprobs":null,"finish_reason":"stop"}],"usage":{"prompt_tokens":593,"completion_tokens":9,"total_tokens":602,"prompt_tokens_details":{"cached_tokens":0,"audio_tokens":0},"completion_tokens_details":{"reasoning_tokens":0,"audio_tokens":0,"accepted_prediction_tokens":0,"rejected_prediction_tokens":0}},"service_tier":"default","system_fingerprint":"fp_ad66631dec"}</t>
        </is>
      </c>
      <c r="K38" t="inlineStr">
        <is>
          <t>Dyson Copper Grey High Speed Hair Dryer</t>
        </is>
      </c>
      <c r="L38" t="inlineStr">
        <is>
          <t>{"choices":[{"finish_reason":"stop","index":0,"logprobs":null,"message":{"annotations":[],"content":"Dyson Copper-Grey High-Speed Hair Dryer with powerful digital motor and intelligent heat control, sleek metal body, magnetic attachments, unisex design, modern British minimalist tech style.","refusal":null,"role":"assistant"}}],"created":1777077948,"id":"chatcmpl-DYLRUMU0H32DphcphppbIrxCQCyHw","model":"gpt-5-chat-latest","object":"chat.completion","service_tier":"default","system_fingerprint":"fp_ad66631dec","usage":{"completion_tokens":36,"completion_tokens_details":{"accepted_prediction_tokens":0,"audio_tokens":0,"reasoning_tokens":0,"rejected_prediction_tokens":0},"prompt_tokens":616,"prompt_tokens_details":{"audio_tokens":0,"cached_tokens":0},"total_tokens":652}}</t>
        </is>
      </c>
      <c r="M38" t="inlineStr">
        <is>
          <t>{"alt-svc":"h3=\":443\"; ma=2592000","apim-request-id":"bb0ea128-5416-4e5a-8287-c25fee09ee33","azureml-model-session":"d20260405225800-40f19e54","cache-control":"no-cache","connection":"close","content-length":"778","content-security-policy":"frame-ancestors 'self'","content-type":"application/json","date":"Sat, 25 Apr 2026 00:45:49 GMT","server":"Caddy","skip-error-remapping":"true","strict-transport-security":"max-age=31536000; includeSubDomains; preload","via":"1.1 Caddy","x-api-request-id":"20260425084546650963874iRZ9SmTL","x-content-type-options":"nosniff","x-frame-options":"SAMEORIGIN","x-ms-client-request-id":"Not-Set","x-ms-is-spilled-over":"false","x-ms-rai-invoked":"true","x-ms-region":"East US 2","x-new-api-version":"0.5.1","x-oneapi-request-id":"202604250045461720250638268d9d606auatjb","x-ratelimit-abusepenalty-active":"False","x-ratelimit-limit-requests":"50","x-ratelimit-limit-tokens":"50000","x-ratelimit-remaining-requests":"49","x-ratelimit-remaining-tokens":"-391","x-ratelimit-renewalperiod-requests":"60","x-ratelimit-renewalperiod-tokens":"60","x-ratelimit-reset-requests":"1200","x-ratelimit-reset-tokens":"60468","x-request-id":"9f82ef02-eef6-461f-bfc0-1d0d25e08a91"}</t>
        </is>
      </c>
      <c r="N38" t="inlineStr">
        <is>
          <t>Dyson Copper-Grey High-Speed Hair Dryer with powerful digital motor and intelligent heat control, sleek metal body, magnetic attachments, unisex design, modern British minimalist tech style.</t>
        </is>
      </c>
      <c r="O38" t="inlineStr">
        <is>
          <t>{"id":"chatcmpl-DYLtcMpYhmbxYCYqIPqZjf6AAwqZy","object":"chat.completion","created":1777079692,"model":"gpt-5-chat-2025-10-03","choices":[{"index":0,"message":{"role":"assistant","content":"Dyson,Hair Dryer,kakobuy,kakebuy2026,kekobuysheet,kakobuysheet2026,2026kakobuy,kakobuyspreadsheeet,kakobuylink,kakebuylist,Kakobuy MEGA Spreadsheet,kakobuysheetfind,kakobuysheetfind2026,2026kakobuysheetfind,kakobuysheet2026","refusal":null,"annotations":[]},"logprobs":null,"finish_reason":"stop"}],"usage":{"prompt_tokens":502,"completion_tokens":88,"total_tokens":590,"prompt_tokens_details":{"cached_tokens":0,"audio_tokens":0},"completion_tokens_details":{"reasoning_tokens":0,"audio_tokens":0,"accepted_prediction_tokens":0,"rejected_prediction_tokens":0}},"service_tier":"default","system_fingerprint":"fp_ad66631dec"}</t>
        </is>
      </c>
      <c r="P38" t="inlineStr">
        <is>
          <t>Dyson,Hair Dryer,kakobuy,kakebuy2026,kekobuysheet,kakobuysheet2026,2026kakobuy,kakobuyspreadsheeet,kakobuylink,kakebuylist,Kakobuy MEGA Spreadsheet,kakobuysheetfind,kakobuysheetfind2026,2026kakobuysheetfind,kakobuysheet2026</t>
        </is>
      </c>
      <c r="Q38"/>
      <c r="R38" t="inlineStr">
        <is>
          <t>recvhju1CrWQn4</t>
        </is>
      </c>
      <c r="S38" t="inlineStr">
        <is>
          <t>dyson-copper-grey-hair-dryer-recvhju1crwqn4</t>
        </is>
      </c>
      <c r="T38"/>
      <c r="U38"/>
      <c r="V38"/>
      <c r="W38" t="inlineStr">
        <is>
          <t>{"id":"chatcmpl-DY6KyFcz8av6381Q7q4gvD6LJWYll","object":"chat.completion","created":1777019884,"model":"gpt-5-chat-latest","choices":[{"index":0,"message":{"role":"assistant","content":"Dyson: 铜金灰色高速吹风机，采用强劲数码马达与智能温控技术，金属质感机身搭配流线型现代设计，磁吸风嘴多功能造型，男女皆宜，体现英伦极简科技美学。","refusal":null,"annotations":[]},"logprobs":null,"finish_reason":"stop"}],"usage":{"prompt_tokens":1021,"completion_tokens":62,"total_tokens":1083,"prompt_tokens_details":{"cached_tokens":0,"audio_tokens":0},"completion_tokens_details":{"reasoning_tokens":0,"audio_tokens":0,"accepted_prediction_tokens":0,"rejected_prediction_tokens":0}},"service_tier":"default","system_fingerprint":"fp_ad66631dec"}</t>
        </is>
      </c>
      <c r="X38" t="inlineStr">
        <is>
          <t>Dyson: 铜金灰色高速吹风机，采用强劲数码马达与智能温控技术，金属质感机身搭配流线型现代设计，磁吸风嘴多功能造型，男女皆宜，体现英伦极简科技美学。</t>
        </is>
      </c>
    </row>
    <row r="39" ht="25.5" customHeight="1">
      <c r="A39">
        <v>1654975475</v>
      </c>
      <c r="B39">
        <v>7620398062</v>
      </c>
      <c r="C39" s="2" t="str">
        <f>=HYPERLINK("https://weidian.com/item.html?itemID=7620398062", "https://weidian.com/item.html?itemID=7620398062")</f>
        <v>https://weidian.com/item.html?itemID=7620398062</v>
      </c>
      <c r="D39"/>
      <c r="E39" s="2" t="str">
        <f>=HYPERLINK("https://si.geilicdn.com/pcitem2014204438-52550000019ac3fc7af50a231316_1080_1440.jpg?w=640&amp;h=640", "https://si.geilicdn.com/pcitem2014204438-52550000019ac3fc7af50a231316_1080_1440.jpg?w=640&amp;h=640")</f>
        <v>https://si.geilicdn.com/pcitem2014204438-52550000019ac3fc7af50a231316_1080_1440.jpg?w=640&amp;h=640</v>
      </c>
      <c r="F39" t="inlineStr">
        <is>
          <t>Electronic</t>
        </is>
      </c>
      <c r="G39" t="inlineStr">
        <is>
          <t>Dyson</t>
        </is>
      </c>
      <c r="H39">
        <v>1200</v>
      </c>
      <c r="I39">
        <v>173.91</v>
      </c>
      <c r="J39" t="inlineStr">
        <is>
          <t>{"id":"chatcmpl-DYLgojMiS7bIQQ3nmg0UftcP1wpBk","object":"chat.completion","created":1777078898,"model":"gpt-5-chat-latest","choices":[{"index":0,"message":{"role":"assistant","content":"Dyson Supersonic Pink-Green Smart Hair Dryer Limited Edition","refusal":null,"annotations":[]},"logprobs":null,"finish_reason":"stop"}],"usage":{"prompt_tokens":877,"completion_tokens":14,"total_tokens":891,"prompt_tokens_details":{"cached_tokens":0,"audio_tokens":0},"completion_tokens_details":{"reasoning_tokens":0,"audio_tokens":0,"accepted_prediction_tokens":0,"rejected_prediction_tokens":0}},"service_tier":"default","system_fingerprint":"fp_ad66631dec"}</t>
        </is>
      </c>
      <c r="K39" t="inlineStr">
        <is>
          <t>Dyson Supersonic Pink-Green Smart Hair Dryer Limited Edition</t>
        </is>
      </c>
      <c r="L39" t="inlineStr">
        <is>
          <t>{"id":"chatcmpl-DYLP8Dzf4vBXjDuORO2EYrsa8cRRp","object":"chat.completion","created":1777077802,"model":"gpt-5-chat-latest","choices":[{"index":0,"message":{"role":"assistant","content":"Dyson Supersonic Limited Edition Pink-Green Hair Dryer, lightweight aluminum body, magnetic styling design, smart temperature control, unisex, modern minimal aesthetic for smooth, healthy hair.","refusal":null,"annotations":[]},"logprobs":null,"finish_reason":"stop"}],"usage":{"prompt_tokens":893,"completion_tokens":38,"total_tokens":931,"prompt_tokens_details":{"cached_tokens":0,"audio_tokens":0},"completion_tokens_details":{"reasoning_tokens":0,"audio_tokens":0,"accepted_prediction_tokens":0,"rejected_prediction_tokens":0}},"service_tier":"default","system_fingerprint":"fp_ad66631dec"}</t>
        </is>
      </c>
      <c r="M3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ma=2592000","apim-request-id":"7f31ca42-3c53-45c5-8e73-331fa015f0a3","azureml-model-session":"d20260405234249-f9874baf","cache-control":"no-cache, no-store, must-revalidate","connection":"close","content-length":"997","content-security-policy":"frame-ancestors 'self'","content-type":"application/json","date":"Sat, 25 Apr 2026 00:43:24 GMT","server":"Caddy","skip-error-remapping":"true","strict-transport-security":"max-age=31536000; includeSubDomains; preload","via":"1.1 Caddy","x-api-request-id":"20260425084320418581431CGSTlTvg","x-content-type-options":"nosniff","x-frame-options":"SAMEORIGIN","x-ms-is-spilled-over":"false","x-ms-rai-invoked":"false","x-ms-region":"Sweden Central","x-new-api-version":"0.5.1","x-oneapi-request-id":"202604250043162686196678268d9d6Tnf5h26V","x-ratelimit-abusepenalty-active":"False","x-ratelimit-limit-requests":"4991","x-ratelimit-limit-tokens":"4991000","x-ratelimit-remaining-requests":"4990","x-ratelimit-remaining-tokens":"4989345","x-ratelimit-renewalperiod-requests":"60","x-ratelimit-renewalperiod-tokens":"60","x-ratelimit-reset-requests":"12","x-ratelimit-reset-tokens":"19","x-request-id":"1e050b43-b83b-4550-a869-ab57a2934cb7"}</t>
        </is>
      </c>
      <c r="N39" t="inlineStr">
        <is>
          <t>Dyson Supersonic Limited Edition Pink-Green Hair Dryer, lightweight aluminum body, magnetic styling design, smart temperature control, unisex, modern minimal aesthetic for smooth, healthy hair.</t>
        </is>
      </c>
      <c r="O39" t="inlineStr">
        <is>
          <t>{"id":"chatcmpl-DYLxx3q3bJG5OmaHrzJDNkvQyBcmX","object":"chat.completion","created":1777079961,"model":"gpt-5-chat-2025-10-03","choices":[{"index":0,"message":{"role":"assistant","content":"Dyson,Hair Dryer,kakobuy,kakebuy2026,kekobuysheet,kakobuysheet2026,2026kakobuy,kakobuyspreadsheeet,kakobuylink,kakebuylist,Kakobuy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39" t="inlineStr">
        <is>
          <t>Dyson,Hair Dryer,kakobuy,kakebuy2026,kekobuysheet,kakobuysheet2026,2026kakobuy,kakobuyspreadsheeet,kakobuylink,kakebuylist,Kakobuy MEGA Spreadsheet,kakobuysheetfind,kakobuysheetfind2026,2026kakobuysheetfind,kakobuysheet2026</t>
        </is>
      </c>
      <c r="Q39"/>
      <c r="R39" t="inlineStr">
        <is>
          <t>recvhju1CrkJew</t>
        </is>
      </c>
      <c r="S39" t="inlineStr">
        <is>
          <t>dyson-supersonic-pink-green-smart-hair-dryer-recvhju1crkjew</t>
        </is>
      </c>
      <c r="T39"/>
      <c r="U39"/>
      <c r="V39"/>
      <c r="W39" t="inlineStr">
        <is>
          <t>{"choices":[{"finish_reason":"stop","index":0,"logprobs":null,"message":{"annotations":[],"content":"Dyson：Supersonic限量版粉绿配色高速吹风机，轻盈铝合金机身，磁吸造型设计，现代极简风，强劲智能温控呵护发质，男女通用，时尚美发科技之选。","refusal":null,"role":"assistant"}}],"created":1777019922,"id":"chatcmpl-DY6LaLFoe2EAkcIAII01SmfRiGIeQ","model":"gpt-5-chat-latest","object":"chat.completion","service_tier":"default","system_fingerprint":"fp_ad66631dec","usage":{"completion_tokens":61,"completion_tokens_details":{"accepted_prediction_tokens":0,"audio_tokens":0,"reasoning_tokens":0,"rejected_prediction_tokens":0},"prompt_tokens":1297,"prompt_tokens_details":{"audio_tokens":0,"cached_tokens":1280},"total_tokens":1358}}</t>
        </is>
      </c>
      <c r="X39" t="inlineStr">
        <is>
          <t>Dyson：Supersonic限量版粉绿配色高速吹风机，轻盈铝合金机身，磁吸造型设计，现代极简风，强劲智能温控呵护发质，男女通用，时尚美发科技之选。</t>
        </is>
      </c>
    </row>
    <row r="40" ht="25.5" customHeight="1">
      <c r="A40">
        <v>1654975475</v>
      </c>
      <c r="B40">
        <v>7617376477</v>
      </c>
      <c r="C40" s="2" t="str">
        <f>=HYPERLINK("https://weidian.com/item.html?itemID=7617376477", "https://weidian.com/item.html?itemID=7617376477")</f>
        <v>https://weidian.com/item.html?itemID=7617376477</v>
      </c>
      <c r="D40"/>
      <c r="E40" s="2" t="str">
        <f>=HYPERLINK("https://si.geilicdn.com/pcitem2014204438-7a7c0000019ac40261290a231177_1442_1922.jpg?w=640&amp;h=640", "https://si.geilicdn.com/pcitem2014204438-7a7c0000019ac40261290a231177_1442_1922.jpg?w=640&amp;h=640")</f>
        <v>https://si.geilicdn.com/pcitem2014204438-7a7c0000019ac40261290a231177_1442_1922.jpg?w=640&amp;h=640</v>
      </c>
      <c r="F40" t="inlineStr">
        <is>
          <t>Electronic</t>
        </is>
      </c>
      <c r="G40" t="inlineStr">
        <is>
          <t>Beats</t>
        </is>
      </c>
      <c r="H40">
        <v>900</v>
      </c>
      <c r="I40">
        <v>130.43</v>
      </c>
      <c r="J40" t="inlineStr">
        <is>
          <t>{"id":"chatcmpl-DYLk14Hno77ndEdsUZ1vNi6ne2Cg3","object":"chat.completion","created":1777079097,"model":"gpt-5-chat-latest","choices":[{"index":0,"message":{"role":"assistant","content":"ElectronicBeats Beats Solo 4 Black Wireless Headphones","refusal":null,"annotations":[]},"logprobs":null,"finish_reason":"stop"}],"usage":{"prompt_tokens":883,"completion_tokens":12,"total_tokens":895,"prompt_tokens_details":{"cached_tokens":0,"audio_tokens":0},"completion_tokens_details":{"reasoning_tokens":0,"audio_tokens":0,"accepted_prediction_tokens":0,"rejected_prediction_tokens":0}},"service_tier":"default","system_fingerprint":"fp_ad66631dec"}</t>
        </is>
      </c>
      <c r="K40" t="inlineStr">
        <is>
          <t>ElectronicBeats Beats Solo 4 Black Wireless Headphones</t>
        </is>
      </c>
      <c r="L40" t="inlineStr">
        <is>
          <t>{"id":"chatcmpl-DYLRU8lWJl1kVU4mXvXhn9AvtejJ7","object":"chat.completion","created":1777077948,"model":"gpt-5-chat-latest","choices":[{"index":0,"message":{"role":"assistant","content":"ElectronicBeatsBeats Solo 4 Black Wireless Headphones feature sleek curves, soft leather ear pads, powerful sound, and premium noise canceling—perfect for commuting, work, or daily relaxation.","refusal":null,"annotations":[]},"logprobs":null,"finish_reason":"stop"}],"usage":{"prompt_tokens":897,"completion_tokens":41,"total_tokens":938,"prompt_tokens_details":{"cached_tokens":0,"audio_tokens":0},"completion_tokens_details":{"reasoning_tokens":0,"audio_tokens":0,"accepted_prediction_tokens":0,"rejected_prediction_tokens":0}},"service_tier":"default","system_fingerprint":"fp_ad66631dec"}</t>
        </is>
      </c>
      <c r="M4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ma=2592000","apim-request-id":"0a92827f-e9cd-45a5-bba6-aab892fdfbb4","azureml-model-session":"d20260402074105-51db401e","cache-control":"no-cache, no-store, must-revalidate","connection":"close","content-length":"998","content-security-policy":"frame-ancestors 'self'","content-type":"application/json","date":"Sat, 25 Apr 2026 00:45:50 GMT","server":"nginx","skip-error-remapping":"true","strict-transport-security":"max-age=31536000; includeSubDomains; preload","via":"1.1 Caddy, 1.1 Caddy","x-api-request-id":"20260425084546613926622dLBZxyZm","x-content-type-options":"nosniff","x-frame-options":"SAMEORIGIN","x-ms-is-spilled-over":"false","x-ms-rai-invoked":"false","x-ms-region":"Sweden Central","x-new-api-version":"0.5.1","x-oneapi-request-id":"202604250045441851350878268d9d6gmi363HJ","x-ratelimit-abusepenalty-active":"False","x-ratelimit-limit-requests":"4991","x-ratelimit-limit-tokens":"4991000","x-ratelimit-remaining-requests":"4990","x-ratelimit-remaining-tokens":"4989341","x-ratelimit-renewalperiod-requests":"60","x-ratelimit-renewalperiod-tokens":"60","x-ratelimit-reset-requests":"12","x-ratelimit-reset-tokens":"19","x-request-id":"5d5d29ae-3785-4f07-9da0-f4ecf16fbcde"}</t>
        </is>
      </c>
      <c r="N40" t="inlineStr">
        <is>
          <t>ElectronicBeatsBeats Solo 4 Black Wireless Headphones feature sleek curves, soft leather ear pads, powerful sound, and premium noise canceling—perfect for commuting, work, or daily relaxation.</t>
        </is>
      </c>
      <c r="O40" t="inlineStr">
        <is>
          <t>{"id":"chatcmpl-DYLznTvfyZs72ECKg6XEuMegJqgxB","object":"chat.completion","created":1777080075,"model":"gpt-5-chat-2025-10-03","choices":[{"index":0,"message":{"role":"assistant","content":"Beats, Headphones,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92,"total_tokens":874,"prompt_tokens_details":{"cached_tokens":0,"audio_tokens":0},"completion_tokens_details":{"reasoning_tokens":0,"audio_tokens":0,"accepted_prediction_tokens":0,"rejected_prediction_tokens":0}},"service_tier":"default","system_fingerprint":"fp_ad66631dec"}</t>
        </is>
      </c>
      <c r="P40" t="inlineStr">
        <is>
          <t>Beats, Headphones, kakobuy, kakebuy2026, kekobuysheet, kakobuysheet2026, 2026kakobuy, kakobuyspreadsheeet, kakobuylink, kakebuylist, Kakobuy MEGA Spreadsheet, kakobuysheetfind, kakobuysheetfind2026, 2026kakobuysheetfind, kakobuysheet2026</t>
        </is>
      </c>
      <c r="Q40"/>
      <c r="R40" t="inlineStr">
        <is>
          <t>recvhju1Crjphj</t>
        </is>
      </c>
      <c r="S40" t="inlineStr">
        <is>
          <t>electronicbeats-beats-solo-4-black-wireless-headphones-recvhju1crjphj</t>
        </is>
      </c>
      <c r="T40"/>
      <c r="U40"/>
      <c r="V40"/>
      <c r="W40" t="inlineStr">
        <is>
          <t>{"id":"chatcmpl-DY6Jk8nrCKFaq0h2wTcDGUxriCWbR","object":"chat.completion","created":1777019808,"model":"gpt-5-chat-latest","choices":[{"index":0,"message":{"role":"assistant","content":"Beats：Solo 4黑色无线头戴式耳机，采用流畅曲线设计与舒适皮质耳罩，降噪出众，音质澎湃，男女皆宜，简约现代风格，适合通勤与休闲聆听。","refusal":null,"annotations":[]},"logprobs":null,"finish_reason":"stop"}],"usage":{"prompt_tokens":1299,"completion_tokens":64,"total_tokens":1363,"prompt_tokens_details":{"cached_tokens":0,"audio_tokens":0},"completion_tokens_details":{"reasoning_tokens":0,"audio_tokens":0,"accepted_prediction_tokens":0,"rejected_prediction_tokens":0}},"service_tier":"default","system_fingerprint":"fp_ad66631dec"}</t>
        </is>
      </c>
      <c r="X40" t="inlineStr">
        <is>
          <t>Beats：Solo 4黑色无线头戴式耳机，采用流畅曲线设计与舒适皮质耳罩，降噪出众，音质澎湃，男女皆宜，简约现代风格，适合通勤与休闲聆听。</t>
        </is>
      </c>
    </row>
    <row r="41" ht="25.5" customHeight="1">
      <c r="A41">
        <v>1654975475</v>
      </c>
      <c r="B41">
        <v>7620396064</v>
      </c>
      <c r="C41" s="2" t="str">
        <f>=HYPERLINK("https://weidian.com/item.html?itemID=7620396064", "https://weidian.com/item.html?itemID=7620396064")</f>
        <v>https://weidian.com/item.html?itemID=7620396064</v>
      </c>
      <c r="D41"/>
      <c r="E41" s="2" t="str">
        <f>=HYPERLINK("https://si.geilicdn.com/pcitem2014204438-794f0000019ac3f2dc320a20e273_1536_2048.jpg?w=750&amp;h=750&amp;cp=1", "https://si.geilicdn.com/pcitem2014204438-794f0000019ac3f2dc320a20e273_1536_2048.jpg?w=750&amp;h=750&amp;cp=1")</f>
        <v>https://si.geilicdn.com/pcitem2014204438-794f0000019ac3f2dc320a20e273_1536_2048.jpg?w=750&amp;h=750&amp;cp=1</v>
      </c>
      <c r="F41" t="inlineStr">
        <is>
          <t>Electronic</t>
        </is>
      </c>
      <c r="G41" t="inlineStr">
        <is>
          <t>Dyson</t>
        </is>
      </c>
      <c r="H41">
        <v>1900</v>
      </c>
      <c r="I41">
        <v>275.36</v>
      </c>
      <c r="J41" t="inlineStr">
        <is>
          <t>{"id":"chatcmpl-DYLjYop9gytphw3eYFAWMyi8TT0xx","object":"chat.completion","created":1777079068,"model":"gpt-5-chat-latest","choices":[{"index":0,"message":{"role":"assistant","content":"Dyson Airwrap Complete Long Rose Gold Hair Styler","refusal":null,"annotations":[]},"logprobs":null,"finish_reason":"stop"}],"usage":{"prompt_tokens":873,"completion_tokens":12,"total_tokens":885,"prompt_tokens_details":{"cached_tokens":0,"audio_tokens":0},"completion_tokens_details":{"reasoning_tokens":0,"audio_tokens":0,"accepted_prediction_tokens":0,"rejected_prediction_tokens":0}},"service_tier":"default","system_fingerprint":"fp_ad66631dec"}</t>
        </is>
      </c>
      <c r="K41" t="inlineStr">
        <is>
          <t>Dyson Airwrap Complete Long Rose Gold Hair Styler</t>
        </is>
      </c>
      <c r="L41" t="inlineStr">
        <is>
          <t>{"id":"chatcmpl-DYLZyWtGHQEdU0kdkujb8HRLegXh6","object":"chat.completion","created":1777078474,"model":"gpt-5-chat-latest","choices":[{"index":0,"message":{"role":"assistant","content":"Dyson Airwrap Complete Long Rose Gold: intelligent heat control and powerful airflow for effortless curling, smoothing, and drying. Ergonomic, minimalist design for stylish looks for all.","refusal":null,"annotations":[]},"logprobs":null,"finish_reason":"stop"}],"usage":{"prompt_tokens":923,"completion_tokens":36,"total_tokens":959,"prompt_tokens_details":{"cached_tokens":0,"audio_tokens":0},"completion_tokens_details":{"reasoning_tokens":0,"audio_tokens":0,"accepted_prediction_tokens":0,"rejected_prediction_tokens":0}},"service_tier":"default","system_fingerprint":"fp_ad66631dec"}</t>
        </is>
      </c>
      <c r="M4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ma=2592000","apim-request-id":"8b3a20a7-0556-4c47-92b1-146e4408031c","azureml-model-session":"d20260405234249-f9874baf","cache-control":"no-cache, no-store, must-revalidate","connection":"close","content-length":"991","content-security-policy":"frame-ancestors 'self'","content-type":"application/json","date":"Sat, 25 Apr 2026 00:54:35 GMT","server":"Caddy","skip-error-remapping":"true","strict-transport-security":"max-age=31536000; includeSubDomains; preload","via":"1.1 Caddy","x-api-request-id":"202604250854336035299643kx3mJiV","x-content-type-options":"nosniff","x-frame-options":"SAMEORIGIN","x-ms-is-spilled-over":"false","x-ms-rai-invoked":"false","x-ms-region":"East US 2","x-new-api-version":"0.5.1","x-oneapi-request-id":"202604250054333237663798268d9d6N9Yj2vEO","x-ratelimit-abusepenalty-active":"False","x-ratelimit-limit-requests":"4992","x-ratelimit-limit-tokens":"4992000","x-ratelimit-remaining-requests":"4991","x-ratelimit-remaining-tokens":"4990315","x-ratelimit-renewalperiod-requests":"60","x-ratelimit-renewalperiod-tokens":"60","x-ratelimit-reset-requests":"12","x-ratelimit-reset-tokens":"20","x-request-id":"56b64e64-036f-4ff9-b5ec-1007e23a2bd2"}</t>
        </is>
      </c>
      <c r="N41" t="inlineStr">
        <is>
          <t>Dyson Airwrap Complete Long Rose Gold: intelligent heat control and powerful airflow for effortless curling, smoothing, and drying. Ergonomic, minimalist design for stylish looks for all.</t>
        </is>
      </c>
      <c r="O41" t="inlineStr">
        <is>
          <t>{"id":"chatcmpl-DYLtkoDuZ3yNtG83ax79KghGTE8pj","object":"chat.completion","created":1777079700,"model":"gpt-5-chat-2025-10-03","choices":[{"index":0,"message":{"role":"assistant","content":"Dyson,Airwrap,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41" t="inlineStr">
        <is>
          <t>Dyson,Airwrap,kakobuy,kakebuy2026,kekobuysheet,kakobuysheet2026,2026kakobuy,kakobuyspreadsheeet,kakobuylink,kakebuylist,Kakobuy MEGA Spreadsheet,kakobuysheetfind,kakobuysheetfind2026,2026kakobuysheetfind,kakobuysheet2026</t>
        </is>
      </c>
      <c r="Q41"/>
      <c r="R41" t="inlineStr">
        <is>
          <t>recvhju1CrSPdi</t>
        </is>
      </c>
      <c r="S41" t="inlineStr">
        <is>
          <t>dyson-airwrap-complete-long-rose-gold-recvhju1crspdi</t>
        </is>
      </c>
      <c r="T41"/>
      <c r="U41"/>
      <c r="V41"/>
      <c r="W41" t="inlineStr">
        <is>
          <t>{"choices":[{"finish_reason":"stop","index":0,"logprobs":null,"message":{"annotations":[],"content":"Dyson Airwrap Complete Long 玫瑰金多功能美发造型器，采用智能控温科技与强劲气流设计，轻松实现卷发、顺发、吹干多效合一。流线型握感符合人体工学，适合男女通用，展现现代极简风格与高端质感，美丽造型由此开启。","refusal":null,"role":"assistant"}}],"created":1777019746,"id":"chatcmpl-DY6IkLYpzMCAz34iNL4EsRl8A37NH","model":"gpt-5-chat-latest","object":"chat.completion","service_tier":"default","system_fingerprint":"fp_ad66631dec","usage":{"completion_tokens":85,"completion_tokens_details":{"accepted_prediction_tokens":0,"audio_tokens":0,"reasoning_tokens":0,"rejected_prediction_tokens":0},"prompt_tokens":1309,"prompt_tokens_details":{"audio_tokens":0,"cached_tokens":0},"total_tokens":1394}}</t>
        </is>
      </c>
      <c r="X41" t="inlineStr">
        <is>
          <t>Dyson Airwrap Complete Long 玫瑰金多功能美发造型器，采用智能控温科技与强劲气流设计，轻松实现卷发、顺发、吹干多效合一。流线型握感符合人体工学，适合男女通用，展现现代极简风格与高端质感，美丽造型由此开启。</t>
        </is>
      </c>
    </row>
    <row r="42" ht="25.5" customHeight="1">
      <c r="A42">
        <v>1654975475</v>
      </c>
      <c r="B42">
        <v>7620060398</v>
      </c>
      <c r="C42" s="2" t="str">
        <f>=HYPERLINK("https://weidian.com/item.html?itemID=7620060398", "https://weidian.com/item.html?itemID=7620060398")</f>
        <v>https://weidian.com/item.html?itemID=7620060398</v>
      </c>
      <c r="D42"/>
      <c r="E42" s="2" t="str">
        <f>=HYPERLINK("https://si.geilicdn.com/pcitem2014204438-7e110000019ac3fc1a370a20e7c7_1440_1920.jpg?w=640&amp;h=640", "https://si.geilicdn.com/pcitem2014204438-7e110000019ac3fc1a370a20e7c7_1440_1920.jpg?w=640&amp;h=640")</f>
        <v>https://si.geilicdn.com/pcitem2014204438-7e110000019ac3fc1a370a20e7c7_1440_1920.jpg?w=640&amp;h=640</v>
      </c>
      <c r="F42" t="inlineStr">
        <is>
          <t>Electronic</t>
        </is>
      </c>
      <c r="G42" t="inlineStr">
        <is>
          <t>JBL</t>
        </is>
      </c>
      <c r="H42">
        <v>420</v>
      </c>
      <c r="I42">
        <v>60.87</v>
      </c>
      <c r="J42" t="inlineStr">
        <is>
          <t>{"choices":[{"finish_reason":"stop","index":0,"logprobs":null,"message":{"annotations":[],"content":"JBL Charge 6 Black Waterproof Bluetooth Speaker","refusal":null,"role":"assistant"}}],"created":1777078880,"id":"chatcmpl-DYLgWGF7umfjl7BpsFWSAEUHpuFGD","model":"gpt-5-chat-latest","object":"chat.completion","service_tier":"default","system_fingerprint":"fp_ad66631dec","usage":{"completion_tokens":10,"completion_tokens_details":{"accepted_prediction_tokens":0,"audio_tokens":0,"reasoning_tokens":0,"rejected_prediction_tokens":0},"prompt_tokens":885,"prompt_tokens_details":{"audio_tokens":0,"cached_tokens":0},"total_tokens":895}}</t>
        </is>
      </c>
      <c r="K42" t="inlineStr">
        <is>
          <t>JBL Charge 6 Black Waterproof Bluetooth Speaker</t>
        </is>
      </c>
      <c r="L42" t="inlineStr">
        <is>
          <t>{"choices":[{"finish_reason":"stop","index":0,"logprobs":null,"message":{"annotations":[],"content":"JBL Charge 6 Black Portable Waterproof Bluetooth Speaker with fabric mesh and rubber edge design, delivers deep bass and powerful sound, 28-hour playtime, ideal for travel, sports, and outdoor use.","refusal":null,"role":"assistant"}}],"created":1777078188,"id":"chatcmpl-DYLVMVOq2BoHQXPJviXqKvvu89Rrs","model":"gpt-5-chat-latest","object":"chat.completion","service_tier":"default","system_fingerprint":"fp_ad66631dec","usage":{"completion_tokens":42,"completion_tokens_details":{"accepted_prediction_tokens":0,"audio_tokens":0,"reasoning_tokens":0,"rejected_prediction_tokens":0},"prompt_tokens":902,"prompt_tokens_details":{"audio_tokens":0,"cached_tokens":0},"total_tokens":944}}</t>
        </is>
      </c>
      <c r="M42" t="inlineStr">
        <is>
          <t>{"alt-svc":"h3=\":443\"; ma=2592000","apim-request-id":"b9a62ec8-6284-4bb1-bc34-688dae59516b","azureml-model-session":"d20260402083108-57a85543","cache-control":"no-cache","connection":"close","content-length":"785","content-security-policy":"frame-ancestors 'self'","content-type":"application/json","date":"Sat, 25 Apr 2026 00:49:50 GMT","server":"Caddy","skip-error-remapping":"true","strict-transport-security":"max-age=31536000; includeSubDomains; preload","via":"1.1 Caddy","x-api-request-id":"20260425084946269856738Dutykae8","x-content-type-options":"nosniff","x-frame-options":"SAMEORIGIN","x-ms-client-request-id":"Not-Set","x-ms-is-spilled-over":"false","x-ms-rai-invoked":"true","x-ms-region":"East US 2","x-new-api-version":"0.5.1","x-oneapi-request-id":"202604250049458676036018268d9d62UzozlG7","x-ratelimit-abusepenalty-active":"False","x-ratelimit-limit-requests":"50","x-ratelimit-limit-tokens":"50000","x-ratelimit-remaining-requests":"49","x-ratelimit-remaining-tokens":"-663","x-ratelimit-renewalperiod-requests":"60","x-ratelimit-renewalperiod-tokens":"60","x-ratelimit-reset-requests":"1200","x-ratelimit-reset-tokens":"60796","x-request-id":"b76b0cc2-2851-4b33-81bc-bf1e18fd8426"}</t>
        </is>
      </c>
      <c r="N42" t="inlineStr">
        <is>
          <t>JBL Charge 6 Black Portable Waterproof Bluetooth Speaker with fabric mesh and rubber edge design, delivers deep bass and powerful sound, 28-hour playtime, ideal for travel, sports, and outdoor use.</t>
        </is>
      </c>
      <c r="O42" t="inlineStr">
        <is>
          <t>{"id":"chatcmpl-DYLteG84fZJhyeEVkM7HjNaffUAiu","object":"chat.completion","created":1777079694,"model":"gpt-5-chat-2025-10-03","choices":[{"index":0,"message":{"role":"assistant","content":"JBL, Bluetooth Speaker,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92,"total_tokens":874,"prompt_tokens_details":{"cached_tokens":0,"audio_tokens":0},"completion_tokens_details":{"reasoning_tokens":0,"audio_tokens":0,"accepted_prediction_tokens":0,"rejected_prediction_tokens":0}},"service_tier":"default","system_fingerprint":"fp_ad66631dec"}</t>
        </is>
      </c>
      <c r="P42" t="inlineStr">
        <is>
          <t>JBL, Bluetooth Speaker, kakobuy, kakebuy2026, kekobuysheet, kakobuysheet2026, 2026kakobuy, kakobuyspreadsheeet, kakobuylink, kakebuylist, Kakobuy MEGA Spreadsheet, kakobuysheetfind, kakobuysheetfind2026, 2026kakobuysheetfind, kakobuysheet2026</t>
        </is>
      </c>
      <c r="Q42"/>
      <c r="R42" t="inlineStr">
        <is>
          <t>recvhju1CrsNXH</t>
        </is>
      </c>
      <c r="S42" t="inlineStr">
        <is>
          <t>jbl-charge-6-black-waterproof-bluetooth-speaker-recvhju1crsnxh</t>
        </is>
      </c>
      <c r="T42"/>
      <c r="U42"/>
      <c r="V42"/>
      <c r="W42" t="inlineStr">
        <is>
          <t>{"id":"chatcmpl-DY6Ibc6RQRXbIKGSH1ry8iNhkVYnd","object":"chat.completion","created":1777019737,"model":"gpt-5-chat-latest","choices":[{"index":0,"message":{"role":"assistant","content":"JBL：Charge 6 黑色便携式防水蓝牙音箱，织物网面外层与橡胶包边设计，音质澎湃低音十足，28小时续航适合户外运动及旅行使用，现代科技风格，男女皆宜。","refusal":null,"annotations":[]},"logprobs":null,"finish_reason":"stop"}],"usage":{"prompt_tokens":1305,"completion_tokens":66,"total_tokens":1371,"prompt_tokens_details":{"cached_tokens":0,"audio_tokens":0},"completion_tokens_details":{"reasoning_tokens":0,"audio_tokens":0,"accepted_prediction_tokens":0,"rejected_prediction_tokens":0}},"service_tier":"default","system_fingerprint":"fp_ad66631dec"}</t>
        </is>
      </c>
      <c r="X42" t="inlineStr">
        <is>
          <t>JBL：Charge 6 黑色便携式防水蓝牙音箱，织物网面外层与橡胶包边设计，音质澎湃低音十足，28小时续航适合户外运动及旅行使用，现代科技风格，男女皆宜。</t>
        </is>
      </c>
    </row>
    <row r="43" ht="25.5" customHeight="1">
      <c r="A43">
        <v>1654975475</v>
      </c>
      <c r="B43">
        <v>7617358955</v>
      </c>
      <c r="C43" s="2" t="str">
        <f>=HYPERLINK("https://weidian.com/item.html?itemID=7617358955", "https://weidian.com/item.html?itemID=7617358955")</f>
        <v>https://weidian.com/item.html?itemID=7617358955</v>
      </c>
      <c r="D43"/>
      <c r="E43" s="2" t="str">
        <f>=HYPERLINK("https://si.geilicdn.com/pcitem2014204438-5fe80000019ac3f89f180a20e2c5_1440_1920.jpg?w=640&amp;h=640", "https://si.geilicdn.com/pcitem2014204438-5fe80000019ac3f89f180a20e2c5_1440_1920.jpg?w=640&amp;h=640")</f>
        <v>https://si.geilicdn.com/pcitem2014204438-5fe80000019ac3f89f180a20e2c5_1440_1920.jpg?w=640&amp;h=640</v>
      </c>
      <c r="F43" t="inlineStr">
        <is>
          <t>Electronic</t>
        </is>
      </c>
      <c r="G43" t="inlineStr">
        <is>
          <t>Beats</t>
        </is>
      </c>
      <c r="H43">
        <v>330</v>
      </c>
      <c r="I43">
        <v>47.8391304347826</v>
      </c>
      <c r="J43" t="inlineStr">
        <is>
          <t>{"id":"chatcmpl-DYLoG10on5WGcLpQ6Z951Rl7cgePD","object":"chat.completion","created":1777079360,"model":"gpt-5-chat-2025-10-03","choices":[{"index":0,"message":{"role":"assistant","content":"ElectronicBeats Powerbeats Pro 2 Orange Wireless Earbuds","refusal":null,"annotations":[]},"logprobs":null,"finish_reason":"stop"}],"usage":{"prompt_tokens":881,"completion_tokens":13,"total_tokens":894,"prompt_tokens_details":{"cached_tokens":0,"audio_tokens":0},"completion_tokens_details":{"reasoning_tokens":0,"audio_tokens":0,"accepted_prediction_tokens":0,"rejected_prediction_tokens":0}},"service_tier":"default","system_fingerprint":"fp_ad66631dec"}</t>
        </is>
      </c>
      <c r="K43" t="inlineStr">
        <is>
          <t>ElectronicBeats Powerbeats Pro 2 Orange Wireless Earbuds</t>
        </is>
      </c>
      <c r="L43" t="inlineStr">
        <is>
          <t>{"choices":[{"finish_reason":"stop","index":0,"logprobs":null,"message":{"annotations":[],"content":"ElectronicBeats Powerbeats Pro 2 Orange Wireless Sport Earbuds—lightweight ergonomic design, secure fit, sweat &amp; water resistant, responsive touch control, dynamic stereo sound, perfect for workouts.","refusal":null,"role":"assistant"}}],"created":1777078607,"id":"chatcmpl-DYLc7xKGdCsCEsjX88PRSteXgYbnc","model":"gpt-5-chat-latest","object":"chat.completion","service_tier":"default","system_fingerprint":"fp_ad66631dec","usage":{"completion_tokens":40,"completion_tokens_details":{"accepted_prediction_tokens":0,"audio_tokens":0,"reasoning_tokens":0,"rejected_prediction_tokens":0},"prompt_tokens":909,"prompt_tokens_details":{"audio_tokens":0,"cached_tokens":0},"total_tokens":949}}</t>
        </is>
      </c>
      <c r="M43" t="inlineStr">
        <is>
          <t>{"alt-svc":"h3=\":443\"; ma=2592000","apim-request-id":"d0f30357-32af-4af6-9a51-a2f0baa2e7ed","azureml-model-session":"d20260405225800-40f19e54","cache-control":"no-cache","connection":"close","content-length":"794","content-security-policy":"frame-ancestors 'self'","content-type":"application/json","date":"Sat, 25 Apr 2026 00:56:48 GMT","server":"Caddy","skip-error-remapping":"true","strict-transport-security":"max-age=31536000; includeSubDomains; preload","via":"1.1 Caddy","x-api-request-id":"20260425085644408495783HOS3nsM7","x-content-type-options":"nosniff","x-frame-options":"SAMEORIGIN","x-ms-client-request-id":"Not-Set","x-ms-is-spilled-over":"false","x-ms-rai-invoked":"true","x-ms-region":"East US 2","x-new-api-version":"0.5.1","x-oneapi-request-id":"202604250056434247219288268d9d6ePpRd00M","x-ratelimit-abusepenalty-active":"False","x-ratelimit-limit-requests":"50","x-ratelimit-limit-tokens":"50000","x-ratelimit-remaining-requests":"49","x-ratelimit-remaining-tokens":"1705","x-ratelimit-renewalperiod-requests":"60","x-ratelimit-renewalperiod-tokens":"60","x-ratelimit-reset-requests":"1498","x-ratelimit-reset-tokens":"57954","x-request-id":"7f601238-436e-4159-9d60-b1815ccd6ca0"}</t>
        </is>
      </c>
      <c r="N43" t="inlineStr">
        <is>
          <t>ElectronicBeats Powerbeats Pro 2 Orange Wireless Sport Earbuds—lightweight ergonomic design, secure fit, sweat &amp; water resistant, responsive touch control, dynamic stereo sound, perfect for workouts.</t>
        </is>
      </c>
      <c r="O43" t="inlineStr">
        <is>
          <t>{"id":"chatcmpl-DYLyDuGgYDF7SgVCUeG7HjWfNVCUf","object":"chat.completion","created":1777079977,"model":"gpt-5-chat-2025-10-03","choices":[{"index":0,"message":{"role":"assistant","content":"Beats,Powerbeats Pro 2,kakobuy,kakebuy2026,kekobuysheet,kakobuysheet2026,2026kakobuy,kakobuyspreadsheeet,kakobuylink,kakebuylist,Kakobuy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43" t="inlineStr">
        <is>
          <t>Beats,Powerbeats Pro 2,kakobuy,kakebuy2026,kekobuysheet,kakobuysheet2026,2026kakobuy,kakobuyspreadsheeet,kakobuylink,kakebuylist,Kakobuy MEGA Spreadsheet,kakobuysheetfind,kakobuysheetfind2026,2026kakobuysheetfind,kakobuysheet2026</t>
        </is>
      </c>
      <c r="Q43"/>
      <c r="R43" t="inlineStr">
        <is>
          <t>recvhju1CrLJ9a</t>
        </is>
      </c>
      <c r="S43" t="inlineStr">
        <is>
          <t>electronicbeats-powerbeats-pro-2-orange-recvhju1crlj9a</t>
        </is>
      </c>
      <c r="T43"/>
      <c r="U43"/>
      <c r="V43"/>
      <c r="W43" t="inlineStr">
        <is>
          <t>{"id":"chatcmpl-DY6LEheSHDezx3ybw2RFK8KremtP6","object":"chat.completion","created":1777019900,"model":"gpt-5-chat-latest","choices":[{"index":0,"message":{"role":"assistant","content":"Beats：Powerbeats Pro 2 橙色真无线运动耳机，轻质材质搭配人体工学设计，稳固佩戴防汗防水，灵敏触控操作，立体声效震撼，适合男女日常或健身使用，现代极简风格彰显活力。","refusal":null,"annotations":[]},"logprobs":null,"finish_reason":"stop"}],"usage":{"prompt_tokens":1305,"completion_tokens":73,"total_tokens":1378,"prompt_tokens_details":{"cached_tokens":1280,"audio_tokens":0},"completion_tokens_details":{"reasoning_tokens":0,"audio_tokens":0,"accepted_prediction_tokens":0,"rejected_prediction_tokens":0}},"service_tier":"default","system_fingerprint":"fp_ad66631dec"}</t>
        </is>
      </c>
      <c r="X43" t="inlineStr">
        <is>
          <t>Beats：Powerbeats Pro 2 橙色真无线运动耳机，轻质材质搭配人体工学设计，稳固佩戴防汗防水，灵敏触控操作，立体声效震撼，适合男女日常或健身使用，现代极简风格彰显活力。</t>
        </is>
      </c>
    </row>
    <row r="44" ht="25.5" customHeight="1">
      <c r="A44">
        <v>1654975475</v>
      </c>
      <c r="B44">
        <v>7617351363</v>
      </c>
      <c r="C44" s="2" t="str">
        <f>=HYPERLINK("https://weidian.com/item.html?itemID=7617351363", "https://weidian.com/item.html?itemID=7617351363")</f>
        <v>https://weidian.com/item.html?itemID=7617351363</v>
      </c>
      <c r="D44"/>
      <c r="E44" s="2" t="str">
        <f>=HYPERLINK("https://si.geilicdn.com/pcitem2014204438-130a0000019ac3fa47de0a23111a_1440_1920.jpg?w=640&amp;h=640", "https://si.geilicdn.com/pcitem2014204438-130a0000019ac3fa47de0a23111a_1440_1920.jpg?w=640&amp;h=640")</f>
        <v>https://si.geilicdn.com/pcitem2014204438-130a0000019ac3fa47de0a23111a_1440_1920.jpg?w=640&amp;h=640</v>
      </c>
      <c r="F44" t="inlineStr">
        <is>
          <t>Electronic</t>
        </is>
      </c>
      <c r="G44" t="inlineStr">
        <is>
          <t>Sony</t>
        </is>
      </c>
      <c r="H44">
        <v>260</v>
      </c>
      <c r="I44">
        <v>37.68</v>
      </c>
      <c r="J44" t="inlineStr">
        <is>
          <t>{"id":"chatcmpl-DYLnieCZUuAjkyefuqEWGwF7o30ws","object":"chat.completion","created":1777079326,"model":"gpt-5-chat-2025-10-03","choices":[{"index":0,"message":{"role":"assistant","content":"Sony LinkBuds C Cream White Noise Cancelling Earbuds","refusal":null,"annotations":[]},"logprobs":null,"finish_reason":"stop"}],"usage":{"prompt_tokens":878,"completion_tokens":13,"total_tokens":891,"prompt_tokens_details":{"cached_tokens":0,"audio_tokens":0},"completion_tokens_details":{"reasoning_tokens":0,"audio_tokens":0,"accepted_prediction_tokens":0,"rejected_prediction_tokens":0}},"service_tier":"default","system_fingerprint":"fp_ad66631dec"}</t>
        </is>
      </c>
      <c r="K44" t="inlineStr">
        <is>
          <t>Sony LinkBuds C Cream White Noise Cancelling Earbuds</t>
        </is>
      </c>
      <c r="L44" t="inlineStr">
        <is>
          <t>{"id":"chatcmpl-DYLcIEHsFs4bcMmL7vSx6Jel0DxBZ","object":"chat.completion","created":1777078618,"model":"gpt-5-chat-latest","choices":[{"index":0,"message":{"role":"assistant","content":"Sony LinkBuds C Cream White True Wireless Noise Cancelling Earbuds feature eco-friendly materials, sleek minimalist design, comfortable fit, smart touch control, and immersive premium sound for all users.","refusal":null,"annotations":[]},"logprobs":null,"finish_reason":"stop"}],"usage":{"prompt_tokens":897,"completion_tokens":39,"total_tokens":936,"prompt_tokens_details":{"cached_tokens":0,"audio_tokens":0},"completion_tokens_details":{"reasoning_tokens":0,"audio_tokens":0,"accepted_prediction_tokens":0,"rejected_prediction_tokens":0}},"service_tier":"default","system_fingerprint":"fp_ad66631dec"}</t>
        </is>
      </c>
      <c r="M4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ma=2592000","apim-request-id":"f46618e1-4f3f-4156-bbdf-2bbd33b88955","azureml-model-session":"d20260402083108-57a85543","cache-control":"no-cache, no-store, must-revalidate","connection":"close","content-length":"1008","content-security-policy":"frame-ancestors 'self'","content-type":"application/json","date":"Sat, 25 Apr 2026 00:57:00 GMT","server":"nginx","skip-error-remapping":"true","strict-transport-security":"max-age=31536000; includeSubDomains; preload","via":"1.1 Caddy, 1.1 Caddy","x-api-request-id":"20260425085656953246188XTj9MhiU","x-content-type-options":"nosniff","x-frame-options":"SAMEORIGIN","x-ms-is-spilled-over":"false","x-ms-rai-invoked":"false","x-ms-region":"Sweden Central","x-new-api-version":"0.5.1","x-oneapi-request-id":"202604250056561751578388268d9d67DJPHE5q","x-ratelimit-abusepenalty-active":"False","x-ratelimit-limit-requests":"4991","x-ratelimit-limit-tokens":"4991000","x-ratelimit-remaining-requests":"4990","x-ratelimit-remaining-tokens":"4989341","x-ratelimit-renewalperiod-requests":"60","x-ratelimit-renewalperiod-tokens":"60","x-ratelimit-reset-requests":"12","x-ratelimit-reset-tokens":"19","x-request-id":"f1bf554c-61d5-4047-a50b-98227f2c865e"}</t>
        </is>
      </c>
      <c r="N44" t="inlineStr">
        <is>
          <t>Sony LinkBuds C Cream White True Wireless Noise Cancelling Earbuds feature eco-friendly materials, sleek minimalist design, comfortable fit, smart touch control, and immersive premium sound for all users.</t>
        </is>
      </c>
      <c r="O44" t="inlineStr">
        <is>
          <t>{"id":"chatcmpl-DYM2wZs7hbCqdXVBfbmk6qSMOKAO8","object":"chat.completion","created":1777080270,"model":"gpt-5-chat-2025-10-03","choices":[{"index":0,"message":{"role":"assistant","content":"Sony,earbuds,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87,"total_tokens":868,"prompt_tokens_details":{"cached_tokens":0,"audio_tokens":0},"completion_tokens_details":{"reasoning_tokens":0,"audio_tokens":0,"accepted_prediction_tokens":0,"rejected_prediction_tokens":0}},"service_tier":"default","system_fingerprint":"fp_ad66631dec"}</t>
        </is>
      </c>
      <c r="P44" t="inlineStr">
        <is>
          <t>Sony,earbuds,kakobuy,kakebuy2026,kekobuysheet,kakobuysheet2026,2026kakobuy,kakobuyspreadsheeet,kakobuylink,kakebuylist,Kakobuy MEGA Spreadsheet,kakobuysheetfind,kakobuysheetfind2026,2026kakobuysheetfind,kakobuysheet2026</t>
        </is>
      </c>
      <c r="Q44"/>
      <c r="R44" t="inlineStr">
        <is>
          <t>recvhju1Cr9owK</t>
        </is>
      </c>
      <c r="S44" t="inlineStr">
        <is>
          <t>sony-linkbudsc-cream-white-noise-cancelling-earbuds-recvhju1cr9owk</t>
        </is>
      </c>
      <c r="T44"/>
      <c r="U44"/>
      <c r="V44"/>
      <c r="W44" t="inlineStr">
        <is>
          <t>{"choices":[{"finish_reason":"stop","index":0,"logprobs":null,"message":{"annotations":[],"content":"Sony：LinkBuds C 米白色真无线降噪耳机，采用环保材质与舒适圆润设计，小巧便携，兼具智能触控与出色音质表现，现代极简风格，男女皆宜，展现索尼创新听觉体验。","refusal":null,"role":"assistant"}}],"created":1777019787,"id":"chatcmpl-DY6JPUkcvVhYWdbnV7aKyz62qLjLZ","model":"gpt-5-chat-latest","object":"chat.completion","service_tier":"default","system_fingerprint":"fp_ad66631dec","usage":{"completion_tokens":64,"completion_tokens_details":{"accepted_prediction_tokens":0,"audio_tokens":0,"reasoning_tokens":0,"rejected_prediction_tokens":0},"prompt_tokens":1299,"prompt_tokens_details":{"audio_tokens":0,"cached_tokens":0},"total_tokens":1363}}</t>
        </is>
      </c>
      <c r="X44" t="inlineStr">
        <is>
          <t>Sony：LinkBuds C 米白色真无线降噪耳机，采用环保材质与舒适圆润设计，小巧便携，兼具智能触控与出色音质表现，现代极简风格，男女皆宜，展现索尼创新听觉体验。</t>
        </is>
      </c>
    </row>
    <row r="45" ht="25.5" customHeight="1">
      <c r="A45">
        <v>1654975475</v>
      </c>
      <c r="B45">
        <v>7617356711</v>
      </c>
      <c r="C45" s="2" t="str">
        <f>=HYPERLINK("https://weidian.com/item.html?itemID=7617356711", "https://weidian.com/item.html?itemID=7617356711")</f>
        <v>https://weidian.com/item.html?itemID=7617356711</v>
      </c>
      <c r="D45"/>
      <c r="E45" s="2" t="str">
        <f>=HYPERLINK("https://si.geilicdn.com/pcitem2014204438-0b640000019ac401a69b0a23047e_1440_1920.jpg?w=640&amp;h=640", "https://si.geilicdn.com/pcitem2014204438-0b640000019ac401a69b0a23047e_1440_1920.jpg?w=640&amp;h=640")</f>
        <v>https://si.geilicdn.com/pcitem2014204438-0b640000019ac401a69b0a23047e_1440_1920.jpg?w=640&amp;h=640</v>
      </c>
      <c r="F45" t="inlineStr">
        <is>
          <t>Electronic</t>
        </is>
      </c>
      <c r="G45" t="inlineStr">
        <is>
          <t>Bose</t>
        </is>
      </c>
      <c r="H45">
        <v>410</v>
      </c>
      <c r="I45">
        <v>59.42</v>
      </c>
      <c r="J45" t="inlineStr">
        <is>
          <t>{"id":"chatcmpl-DYLkOySwSXClBtFEYfvjlnznO77cx","object":"chat.completion","created":1777079120,"model":"gpt-5-chat-latest","choices":[{"index":0,"message":{"role":"assistant","content":"Bose QuietComfort Ultra White Noise Cancelling Headphones","refusal":null,"annotations":[]},"logprobs":null,"finish_reason":"stop"}],"usage":{"prompt_tokens":879,"completion_tokens":12,"total_tokens":891,"prompt_tokens_details":{"cached_tokens":0,"audio_tokens":0},"completion_tokens_details":{"reasoning_tokens":0,"audio_tokens":0,"accepted_prediction_tokens":0,"rejected_prediction_tokens":0}},"service_tier":"default","system_fingerprint":"fp_ad66631dec"}</t>
        </is>
      </c>
      <c r="K45" t="inlineStr">
        <is>
          <t>Bose QuietComfort Ultra White Noise Cancelling Headphones</t>
        </is>
      </c>
      <c r="L45" t="inlineStr">
        <is>
          <t>{"id":"chatcmpl-DYLTbZcgcJvQr86HesiHLuN9i4qZT","object":"chat.completion","created":1777078079,"model":"gpt-5-chat-latest","choices":[{"index":0,"message":{"role":"assistant","content":"Bose QuietComfort Ultra White Wireless Noise Cancelling Headphones, premium matte finish, modern sleek design, spatial audio, Bluetooth, memory foam cushions, long battery life, unisex style.","refusal":null,"annotations":[]},"logprobs":null,"finish_reason":"stop"}],"usage":{"prompt_tokens":917,"completion_tokens":39,"total_tokens":956,"prompt_tokens_details":{"cached_tokens":0,"audio_tokens":0},"completion_tokens_details":{"reasoning_tokens":0,"audio_tokens":0,"accepted_prediction_tokens":0,"rejected_prediction_tokens":0}},"service_tier":"default","system_fingerprint":"fp_ad66631dec"}</t>
        </is>
      </c>
      <c r="M4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ma=2592000","apim-request-id":"180addd3-1ce3-4fde-bedb-61634bd1828e","azureml-model-session":"d20260402075109-1fc5a0ec","cache-control":"no-cache, no-store, must-revalidate","connection":"close","content-length":"995","content-security-policy":"frame-ancestors 'self'","content-type":"application/json","date":"Sat, 25 Apr 2026 00:48:00 GMT","server":"Caddy","skip-error-remapping":"true","strict-transport-security":"max-age=31536000; includeSubDomains; preload","via":"1.1 Caddy","x-api-request-id":"20260425084757927849976XdbP3zI4","x-content-type-options":"nosniff","x-frame-options":"SAMEORIGIN","x-ms-is-spilled-over":"false","x-ms-rai-invoked":"false","x-ms-region":"East US 2","x-new-api-version":"0.5.1","x-oneapi-request-id":"202604250047554360526228268d9d63R2fMMCT","x-ratelimit-abusepenalty-active":"False","x-ratelimit-limit-requests":"4992","x-ratelimit-limit-tokens":"4992000","x-ratelimit-remaining-requests":"4991","x-ratelimit-remaining-tokens":"4990321","x-ratelimit-renewalperiod-requests":"60","x-ratelimit-renewalperiod-tokens":"60","x-ratelimit-reset-requests":"12","x-ratelimit-reset-tokens":"20","x-request-id":"380fb19c-99f7-4d7d-9a99-d796f85e328e"}</t>
        </is>
      </c>
      <c r="N45" t="inlineStr">
        <is>
          <t>Bose QuietComfort Ultra White Wireless Noise Cancelling Headphones, premium matte finish, modern sleek design, spatial audio, Bluetooth, memory foam cushions, long battery life, unisex style.</t>
        </is>
      </c>
      <c r="O45" t="inlineStr">
        <is>
          <t>{"id":"chatcmpl-DYM0XeMJfVHHvg2uK90DNQ7sgIl92","object":"chat.completion","created":1777080121,"model":"gpt-5-chat-2025-10-03","choices":[{"index":0,"message":{"role":"assistant","content":"Bose,Headphon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45" t="inlineStr">
        <is>
          <t>Bose,Headphones,kakobuy,kakebuy2026,kekobuysheet,kakobuysheet2026,2026kakobuy,kakobuyspreadsheeet,kakobuylink,kakebuylist,Kakobuy MEGA Spreadsheet,kakobuysheetfind,kakobuysheetfind2026,2026kakobuysheetfind,kakobuysheet2026</t>
        </is>
      </c>
      <c r="Q45"/>
      <c r="R45" t="inlineStr">
        <is>
          <t>recvhju1Crgbjr</t>
        </is>
      </c>
      <c r="S45" t="inlineStr">
        <is>
          <t>bose-quietcomfort-ultra-headphones-recvhju1crgbjr</t>
        </is>
      </c>
      <c r="T45"/>
      <c r="U45"/>
      <c r="V45"/>
      <c r="W45" t="inlineStr">
        <is>
          <t>{"choices":[{"finish_reason":"stop","index":0,"logprobs":null,"message":{"annotations":[],"content":"Bose：QuietComfort Ultra 白色无线降噪耳机，甄选高级复合材质，柔滑哑光质感设计，融合现代简约与科技风格，适配男女通用，支持空间音效与蓝牙连接，舒适记忆泡棉耳罩设计，续航持久，展现高端聆听体验。","refusal":null,"role":"assistant"}}],"created":1777019554,"id":"chatcmpl-DY6FeoyC3ACGSBSgznETEBnmEKGsB","model":"gpt-5-chat-latest","object":"chat.completion","service_tier":"default","system_fingerprint":"fp_ad66631dec","usage":{"completion_tokens":83,"completion_tokens_details":{"accepted_prediction_tokens":0,"audio_tokens":0,"reasoning_tokens":0,"rejected_prediction_tokens":0},"prompt_tokens":1301,"prompt_tokens_details":{"audio_tokens":0,"cached_tokens":1280},"total_tokens":1384}}</t>
        </is>
      </c>
      <c r="X45" t="inlineStr">
        <is>
          <t>Bose：QuietComfort Ultra 白色无线降噪耳机，甄选高级复合材质，柔滑哑光质感设计，融合现代简约与科技风格，适配男女通用，支持空间音效与蓝牙连接，舒适记忆泡棉耳罩设计，续航持久，展现高端聆听体验。</t>
        </is>
      </c>
    </row>
    <row r="46" ht="25.5" customHeight="1">
      <c r="A46">
        <v>1654975475</v>
      </c>
      <c r="B46">
        <v>7620342646</v>
      </c>
      <c r="C46" s="2" t="str">
        <f>=HYPERLINK("https://weidian.com/item.html?itemID=7620342646", "https://weidian.com/item.html?itemID=7620342646")</f>
        <v>https://weidian.com/item.html?itemID=7620342646</v>
      </c>
      <c r="D46"/>
      <c r="E46" s="2" t="str">
        <f>=HYPERLINK("https://si.geilicdn.com/pcitem2014204438-7be10000019ac3cc48ec0a210256_1080_1080.jpg?w=640&amp;h=640", "https://si.geilicdn.com/pcitem2014204438-7be10000019ac3cc48ec0a210256_1080_1080.jpg?w=640&amp;h=640")</f>
        <v>https://si.geilicdn.com/pcitem2014204438-7be10000019ac3cc48ec0a210256_1080_1080.jpg?w=640&amp;h=640</v>
      </c>
      <c r="F46" t="inlineStr">
        <is>
          <t>Electronic</t>
        </is>
      </c>
      <c r="G46" t="inlineStr">
        <is>
          <t>Dyson</t>
        </is>
      </c>
      <c r="H46">
        <v>540</v>
      </c>
      <c r="I46">
        <v>78.26</v>
      </c>
      <c r="J46" t="inlineStr">
        <is>
          <t>{"id":"chatcmpl-DYLmvrgyS8K0apn4mMhEZDw9O8h1u","object":"chat.completion","created":1777079277,"model":"gpt-5-chat-2025-10-03","choices":[{"index":0,"message":{"role":"assistant","content":"Dyson Platinum Ionic Hair Dryer Metal Finish","refusal":null,"annotations":[]},"logprobs":null,"finish_reason":"stop"}],"usage":{"prompt_tokens":873,"completion_tokens":9,"total_tokens":882,"prompt_tokens_details":{"cached_tokens":0,"audio_tokens":0},"completion_tokens_details":{"reasoning_tokens":0,"audio_tokens":0,"accepted_prediction_tokens":0,"rejected_prediction_tokens":0}},"service_tier":"default","system_fingerprint":"fp_ad66631dec"}</t>
        </is>
      </c>
      <c r="K46" t="inlineStr">
        <is>
          <t>Dyson Platinum Ionic Hair Dryer Metal Finish</t>
        </is>
      </c>
      <c r="L46" t="inlineStr">
        <is>
          <t>{"id":"chatcmpl-DYLPV1QKjCfBGpa2fFpyzhX7araKa","object":"chat.completion","created":1777077825,"model":"gpt-5-chat-latest","choices":[{"index":0,"message":{"role":"assistant","content":"ElectronicDysonDyson Platinum Ionic Hair Dryer – sleek metal finish, hollow ring design, powerful airflow with hair protection, magnetic nozzle, modern luxury style for men and women.","refusal":null,"annotations":[]},"logprobs":null,"finish_reason":"stop"}],"usage":{"prompt_tokens":911,"completion_tokens":36,"total_tokens":947,"prompt_tokens_details":{"cached_tokens":0,"audio_tokens":0},"completion_tokens_details":{"reasoning_tokens":0,"audio_tokens":0,"accepted_prediction_tokens":0,"rejected_prediction_tokens":0}},"service_tier":"default","system_fingerprint":"fp_ad66631dec"}</t>
        </is>
      </c>
      <c r="M4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ma=2592000","apim-request-id":"88a09b73-6c28-4e9d-be63-74a0a519d43a","azureml-model-session":"d20260405234249-f9874baf","cache-control":"no-cache, no-store, must-revalidate","connection":"close","content-length":"989","content-security-policy":"frame-ancestors 'self'","content-type":"application/json","date":"Sat, 25 Apr 2026 00:43:46 GMT","server":"nginx","skip-error-remapping":"true","strict-transport-security":"max-age=31536000; includeSubDomains; preload","via":"1.1 Caddy, 1.1 Caddy","x-api-request-id":"202604250843448573354562lBnVEM7","x-content-type-options":"nosniff","x-frame-options":"SAMEORIGIN","x-ms-is-spilled-over":"false","x-ms-rai-invoked":"false","x-ms-region":"East US 2","x-new-api-version":"0.5.1","x-oneapi-request-id":"202604250043431590293188268d9d65b0In9nB","x-ratelimit-abusepenalty-active":"False","x-ratelimit-limit-requests":"4992","x-ratelimit-limit-tokens":"4992000","x-ratelimit-remaining-requests":"4991","x-ratelimit-remaining-tokens":"4990327","x-ratelimit-renewalperiod-requests":"60","x-ratelimit-renewalperiod-tokens":"60","x-ratelimit-reset-requests":"12","x-ratelimit-reset-tokens":"20","x-request-id":"5e336356-6107-423c-aa0b-25da7af11f63"}</t>
        </is>
      </c>
      <c r="N46" t="inlineStr">
        <is>
          <t>ElectronicDysonDyson Platinum Ionic Hair Dryer – sleek metal finish, hollow ring design, powerful airflow with hair protection, magnetic nozzle, modern luxury style for men and women.</t>
        </is>
      </c>
      <c r="O46" t="inlineStr">
        <is>
          <t>{"id":"chatcmpl-DYM3NCTQQhmgWMMSm4JX3pwgHYkq1","object":"chat.completion","created":1777080297,"model":"gpt-5-chat-2025-10-03","choices":[{"index":0,"message":{"role":"assistant","content":"Dyson,Hair Dryer,kakobuy,kakebuy2026,kekobuysheet,kakobuysheet2026,2026kakobuy,kakobuyspreadsheeet,kakobuylink,kakebuylist,Kakobuy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46" t="inlineStr">
        <is>
          <t>Dyson,Hair Dryer,kakobuy,kakebuy2026,kekobuysheet,kakobuysheet2026,2026kakobuy,kakobuyspreadsheeet,kakobuylink,kakebuylist,Kakobuy MEGA Spreadsheet,kakobuysheetfind,kakobuysheetfind2026,2026kakobuysheetfind,kakobuysheet2026</t>
        </is>
      </c>
      <c r="Q46"/>
      <c r="R46" t="inlineStr">
        <is>
          <t>recvhju1CrjkKa</t>
        </is>
      </c>
      <c r="S46" t="inlineStr">
        <is>
          <t>dyson-platinum-ionic-hair-dryer-metal-finish-recvhju1crjkka</t>
        </is>
      </c>
      <c r="T46"/>
      <c r="U46"/>
      <c r="V46"/>
      <c r="W46" t="inlineStr">
        <is>
          <t>{"choices":[{"finish_reason":"stop","index":0,"logprobs":null,"message":{"annotations":[],"content":"Dyson: 白金色高速负离子护发吹风机，金属质感外壳搭配简约圆形中空设计，风力强劲并呵护发质，磁吸式风嘴方便更换，现代轻奢风格适合男女使用，彰显科技与优雅并存的时尚美学。","refusal":null,"role":"assistant"}}],"created":1777019704,"id":"chatcmpl-DY6I4yNkraVCOY9vHVuihvXlrLozn","model":"gpt-5-chat-latest","object":"chat.completion","service_tier":"default","system_fingerprint":"fp_ad66631dec","usage":{"completion_tokens":78,"completion_tokens_details":{"accepted_prediction_tokens":0,"audio_tokens":0,"reasoning_tokens":0,"rejected_prediction_tokens":0},"prompt_tokens":1299,"prompt_tokens_details":{"audio_tokens":0,"cached_tokens":0},"total_tokens":1377}}</t>
        </is>
      </c>
      <c r="X46" t="inlineStr">
        <is>
          <t>Dyson: 白金色高速负离子护发吹风机，金属质感外壳搭配简约圆形中空设计，风力强劲并呵护发质，磁吸式风嘴方便更换，现代轻奢风格适合男女使用，彰显科技与优雅并存的时尚美学。</t>
        </is>
      </c>
    </row>
    <row r="47" ht="25.5" customHeight="1">
      <c r="A47">
        <v>1654975475</v>
      </c>
      <c r="B47">
        <v>7620006726</v>
      </c>
      <c r="C47" s="2" t="str">
        <f>=HYPERLINK("https://weidian.com/item.html?itemID=7620006726", "https://weidian.com/item.html?itemID=7620006726")</f>
        <v>https://weidian.com/item.html?itemID=7620006726</v>
      </c>
      <c r="D47"/>
      <c r="E47" s="2" t="str">
        <f>=HYPERLINK("https://si.geilicdn.com/pcitem2014204438-08970000019ac3f415dd0a23038e_1080_1920.jpg?w=640&amp;h=640", "https://si.geilicdn.com/pcitem2014204438-08970000019ac3f415dd0a23038e_1080_1920.jpg?w=640&amp;h=640")</f>
        <v>https://si.geilicdn.com/pcitem2014204438-08970000019ac3f415dd0a23038e_1080_1920.jpg?w=640&amp;h=640</v>
      </c>
      <c r="F47" t="inlineStr">
        <is>
          <t>Electronic</t>
        </is>
      </c>
      <c r="G47" t="inlineStr">
        <is>
          <t>Dyson</t>
        </is>
      </c>
      <c r="H47">
        <v>920</v>
      </c>
      <c r="I47">
        <v>133.33</v>
      </c>
      <c r="J47" t="inlineStr">
        <is>
          <t>{"id":"chatcmpl-DYLgzkOKTBOommcmGanBWP0Xnhnnd","object":"chat.completion","created":1777078909,"model":"gpt-5-chat-latest","choices":[{"index":0,"message":{"role":"assistant","content":"Dyson Supersonic Dark Blue Copper Hair Dryer 1600W","refusal":null,"annotations":[]},"logprobs":null,"finish_reason":"stop"}],"usage":{"prompt_tokens":1159,"completion_tokens":15,"total_tokens":1174,"prompt_tokens_details":{"cached_tokens":0,"audio_tokens":0},"completion_tokens_details":{"reasoning_tokens":0,"audio_tokens":0,"accepted_prediction_tokens":0,"rejected_prediction_tokens":0}},"service_tier":"default","system_fingerprint":"fp_ad66631dec"}</t>
        </is>
      </c>
      <c r="K47" t="inlineStr">
        <is>
          <t>Dyson Supersonic Dark Blue Copper Hair Dryer 1600W</t>
        </is>
      </c>
      <c r="L47" t="inlineStr">
        <is>
          <t>{"id":"chatcmpl-DYLXFfK6Dq3zEClhZEWHch2O1KfKv","object":"chat.completion","created":1777078305,"model":"gpt-5-chat-latest","choices":[{"index":0,"message":{"role":"assistant","content":"Dyson Supersonic Dark Blue Copper Hair Dryer – lightweight, high-speed motor, intelligent heat control prevents hair damage, sleek metallic design for luxury hair care, perfect for men and women.","refusal":null,"annotations":[]},"logprobs":null,"finish_reason":"stop"}],"usage":{"prompt_tokens":1178,"completion_tokens":39,"total_tokens":1217,"prompt_tokens_details":{"cached_tokens":1152,"audio_tokens":0},"completion_tokens_details":{"reasoning_tokens":0,"audio_tokens":0,"accepted_prediction_tokens":0,"rejected_prediction_tokens":0}},"service_tier":"default","system_fingerprint":"fp_ad66631dec"}</t>
        </is>
      </c>
      <c r="M4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ma=2592000","apim-request-id":"aaa0d2b6-6c64-4d8f-a99a-5d889839ab3d","azureml-model-session":"d20260402075109-1fc5a0ec","cache-control":"no-cache, no-store, must-revalidate","connection":"close","content-length":"1006","content-security-policy":"frame-ancestors 'self'","content-type":"application/json","date":"Sat, 25 Apr 2026 00:51:47 GMT","server":"Caddy","skip-error-remapping":"true","strict-transport-security":"max-age=31536000; includeSubDomains; preload","via":"1.1 Caddy","x-api-request-id":"20260425085143964656117tVL8Jnjq","x-content-type-options":"nosniff","x-frame-options":"SAMEORIGIN","x-ms-is-spilled-over":"false","x-ms-rai-invoked":"false","x-ms-region":"Sweden Central","x-new-api-version":"0.5.1","x-oneapi-request-id":"20260425005139313265508268d9d6ywWfzjN2","x-ratelimit-abusepenalty-active":"False","x-ratelimit-limit-requests":"4991","x-ratelimit-limit-tokens":"4991000","x-ratelimit-remaining-requests":"4990","x-ratelimit-remaining-tokens":"4989059","x-ratelimit-renewalperiod-requests":"60","x-ratelimit-renewalperiod-tokens":"60","x-ratelimit-reset-requests":"12","x-ratelimit-reset-tokens":"23","x-request-id":"8c9d9d67-4a1e-4047-b4e7-7650e3a6abe2"}</t>
        </is>
      </c>
      <c r="N47" t="inlineStr">
        <is>
          <t>Dyson Supersonic Dark Blue Copper Hair Dryer – lightweight, high-speed motor, intelligent heat control prevents hair damage, sleek metallic design for luxury hair care, perfect for men and women.</t>
        </is>
      </c>
      <c r="O47" t="inlineStr">
        <is>
          <t>{"id":"chatcmpl-DYM2Ah3XX8x3JpLZdK7QyVBp0noPS","object":"chat.completion","created":1777080222,"model":"gpt-5-chat-2025-10-03","choices":[{"index":0,"message":{"role":"assistant","content":"Dyson, Hair Dryer, kakobuy, kakebuy2026, kekobuysheet, kakobuysheet2026, 2026kakobuy, kakobuyspreadsheeet, kakobuylink, kakebuylist, Kakobuy MEGA Spreadsheet, kakobuysheetfind, kakobuysheetfind2026, 2026kakobuysheetfind, kakobuysheet2026","refusal":null,"annotations":[]},"logprobs":null,"finish_reason":"stop"}],"usage":{"prompt_tokens":1062,"completion_tokens":92,"total_tokens":1154,"prompt_tokens_details":{"cached_tokens":0,"audio_tokens":0},"completion_tokens_details":{"reasoning_tokens":0,"audio_tokens":0,"accepted_prediction_tokens":0,"rejected_prediction_tokens":0}},"service_tier":"default","system_fingerprint":"fp_ad66631dec"}</t>
        </is>
      </c>
      <c r="P47" t="inlineStr">
        <is>
          <t>Dyson, Hair Dryer, kakobuy, kakebuy2026, kekobuysheet, kakobuysheet2026, 2026kakobuy, kakobuyspreadsheeet, kakobuylink, kakebuylist, Kakobuy MEGA Spreadsheet, kakobuysheetfind, kakobuysheetfind2026, 2026kakobuysheetfind, kakobuysheet2026</t>
        </is>
      </c>
      <c r="Q47"/>
      <c r="R47" t="inlineStr">
        <is>
          <t>recvhju1CrrwQF</t>
        </is>
      </c>
      <c r="S47" t="inlineStr">
        <is>
          <t>dyson-supersonic-dark-blue-copper-hair-dryer-1600w-recvhju1crrwqf</t>
        </is>
      </c>
      <c r="T47"/>
      <c r="U47"/>
      <c r="V47"/>
      <c r="W47" t="inlineStr">
        <is>
          <t>{"choices":[{"finish_reason":"stop","index":0,"logprobs":null,"message":{"annotations":[],"content":"Dyson: Supersonic深蓝铜金吹风机，轻盈强劲高速马达设计，金属质感机身彰显未来科技美学，精准控温防止损伤发质，男女皆宜，现代极简风格，打造奢华护发体验。","refusal":null,"role":"assistant"}}],"created":1777019603,"id":"chatcmpl-DY6GRcIxdmNTeVmLVDlsYBiLnlA7m","model":"gpt-5-chat-latest","object":"chat.completion","service_tier":"default","system_fingerprint":"fp_ad66631dec","usage":{"completion_tokens":65,"completion_tokens_details":{"accepted_prediction_tokens":0,"audio_tokens":0,"reasoning_tokens":0,"rejected_prediction_tokens":0},"prompt_tokens":1579,"prompt_tokens_details":{"audio_tokens":0,"cached_tokens":1536},"total_tokens":1644}}</t>
        </is>
      </c>
      <c r="X47" t="inlineStr">
        <is>
          <t>Dyson: Supersonic深蓝铜金吹风机，轻盈强劲高速马达设计，金属质感机身彰显未来科技美学，精准控温防止损伤发质，男女皆宜，现代极简风格，打造奢华护发体验。</t>
        </is>
      </c>
    </row>
    <row r="48" ht="25.5" customHeight="1">
      <c r="A48">
        <v>1654975475</v>
      </c>
      <c r="B48">
        <v>7617370515</v>
      </c>
      <c r="C48" s="2" t="str">
        <f>=HYPERLINK("https://weidian.com/item.html?itemID=7617370515", "https://weidian.com/item.html?itemID=7617370515")</f>
        <v>https://weidian.com/item.html?itemID=7617370515</v>
      </c>
      <c r="D48"/>
      <c r="E48" s="2" t="str">
        <f>=HYPERLINK("https://si.geilicdn.com/pcitem2014204438-7ad00000019ac3f723090a20e273_1440_1920.jpg?w=640&amp;h=640", "https://si.geilicdn.com/pcitem2014204438-7ad00000019ac3f723090a20e273_1440_1920.jpg?w=640&amp;h=640")</f>
        <v>https://si.geilicdn.com/pcitem2014204438-7ad00000019ac3f723090a20e273_1440_1920.jpg?w=640&amp;h=640</v>
      </c>
      <c r="F48" t="inlineStr">
        <is>
          <t>Electronic</t>
        </is>
      </c>
      <c r="G48" t="inlineStr">
        <is>
          <t>Bose</t>
        </is>
      </c>
      <c r="H48">
        <v>330</v>
      </c>
      <c r="I48">
        <v>47.83</v>
      </c>
      <c r="J48" t="inlineStr">
        <is>
          <t>{"id":"chatcmpl-DYLj9Eo1wBBwtcLa1oLTUnIdBJ7o6","object":"chat.completion","created":1777079043,"model":"gpt-5-chat-latest","choices":[{"index":0,"message":{"role":"assistant","content":"Bose Blue Wireless Noise Cancelling Headphones","refusal":null,"annotations":[]},"logprobs":null,"finish_reason":"stop"}],"usage":{"prompt_tokens":881,"completion_tokens":10,"total_tokens":891,"prompt_tokens_details":{"cached_tokens":0,"audio_tokens":0},"completion_tokens_details":{"reasoning_tokens":0,"audio_tokens":0,"accepted_prediction_tokens":0,"rejected_prediction_tokens":0}},"service_tier":"default","system_fingerprint":"fp_ad66631dec"}</t>
        </is>
      </c>
      <c r="K48" t="inlineStr">
        <is>
          <t>Bose Blue Wireless Noise Cancelling Headphones</t>
        </is>
      </c>
      <c r="L48" t="inlineStr">
        <is>
          <t>{"id":"chatcmpl-DYLRAnKjDTs3wdk2VzdWyRScYiqH0","object":"chat.completion","created":1777077928,"model":"gpt-5-chat-latest","choices":[{"index":0,"message":{"role":"assistant","content":"ElectronicBoseBose Blue Wireless Noise Cancelling Headphones, soft leather over-ear design, minimalist style, hi-fi sound, lightweight comfort for commuting and travel, modern tech and acoustic elegance.","refusal":null,"annotations":[]},"logprobs":null,"finish_reason":"stop"}],"usage":{"prompt_tokens":893,"completion_tokens":40,"total_tokens":933,"prompt_tokens_details":{"cached_tokens":0,"audio_tokens":0},"completion_tokens_details":{"reasoning_tokens":0,"audio_tokens":0,"accepted_prediction_tokens":0,"rejected_prediction_tokens":0}},"service_tier":"default","system_fingerprint":"fp_ad66631dec"}</t>
        </is>
      </c>
      <c r="M4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ma=2592000","apim-request-id":"77608400-6d06-46a4-b17a-4980919178a9","azureml-model-session":"d20260405221325-2e8d5e76","cache-control":"no-cache, no-store, must-revalidate","connection":"close","content-length":"1007","content-security-policy":"frame-ancestors 'self'","content-type":"application/json","date":"Sat, 25 Apr 2026 00:45:30 GMT","server":"Caddy","skip-error-remapping":"true","strict-transport-security":"max-age=31536000; includeSubDomains; preload","via":"1.1 Caddy","x-api-request-id":"20260425084526770379779XXJluHEc","x-content-type-options":"nosniff","x-frame-options":"SAMEORIGIN","x-ms-is-spilled-over":"false","x-ms-rai-invoked":"false","x-ms-region":"Sweden Central","x-new-api-version":"0.5.1","x-oneapi-request-id":"202604250045267035937538268d9d6CTD88kJJ","x-ratelimit-abusepenalty-active":"False","x-ratelimit-limit-requests":"4991","x-ratelimit-limit-tokens":"4991000","x-ratelimit-remaining-requests":"4990","x-ratelimit-remaining-tokens":"4989345","x-ratelimit-renewalperiod-requests":"60","x-ratelimit-renewalperiod-tokens":"60","x-ratelimit-reset-requests":"12","x-ratelimit-reset-tokens":"19","x-request-id":"5d79b88b-a7a4-46ee-af0b-2cd3f5f74ea8"}</t>
        </is>
      </c>
      <c r="N48" t="inlineStr">
        <is>
          <t>ElectronicBoseBose Blue Wireless Noise Cancelling Headphones, soft leather over-ear design, minimalist style, hi-fi sound, lightweight comfort for commuting and travel, modern tech and acoustic elegance.</t>
        </is>
      </c>
      <c r="O48" t="inlineStr">
        <is>
          <t>{"id":"chatcmpl-DYLzba4gjIRW9ccSekoN45XxX2mZy","object":"chat.completion","created":1777080063,"model":"gpt-5-chat-2025-10-03","choices":[{"index":0,"message":{"role":"assistant","content":"Bose,headphon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48" t="inlineStr">
        <is>
          <t>Bose,headphones,kakobuy,kakebuy2026,kekobuysheet,kakobuysheet2026,2026kakobuy,kakobuyspreadsheeet,kakobuylink,kakebuylist,Kakobuy MEGA Spreadsheet,kakobuysheetfind,kakobuysheetfind2026,2026kakobuysheetfind,kakobuysheet2026</t>
        </is>
      </c>
      <c r="Q48"/>
      <c r="R48" t="inlineStr">
        <is>
          <t>recvhju1CrLxS1</t>
        </is>
      </c>
      <c r="S48" t="inlineStr">
        <is>
          <t>bose-blue-wireless-noise-cancelling-headphones-recvhju1crlxs1</t>
        </is>
      </c>
      <c r="T48"/>
      <c r="U48"/>
      <c r="V48"/>
      <c r="W48" t="inlineStr">
        <is>
          <t>{"choices":[{"finish_reason":"stop","index":0,"logprobs":null,"message":{"annotations":[],"content":"Bose：蓝色无线降噪耳机，柔感皮质包耳设计，现代极简风格，高保真音效，男女皆宜，轻盈舒适适合日常通勤与旅行，展现科技美学与听觉享受。","refusal":null,"role":"assistant"}}],"created":1777019719,"id":"chatcmpl-DY6IJ4FgbzhxnonnuGyxek6CHg71h","model":"gpt-5-chat-latest","object":"chat.completion","service_tier":"default","system_fingerprint":"fp_ad66631dec","usage":{"completion_tokens":61,"completion_tokens_details":{"accepted_prediction_tokens":0,"audio_tokens":0,"reasoning_tokens":0,"rejected_prediction_tokens":0},"prompt_tokens":1299,"prompt_tokens_details":{"audio_tokens":0,"cached_tokens":0},"total_tokens":1360}}</t>
        </is>
      </c>
      <c r="X48" t="inlineStr">
        <is>
          <t>Bose：蓝色无线降噪耳机，柔感皮质包耳设计，现代极简风格，高保真音效，男女皆宜，轻盈舒适适合日常通勤与旅行，展现科技美学与听觉享受。</t>
        </is>
      </c>
    </row>
    <row r="49" ht="25.5" customHeight="1">
      <c r="A49">
        <v>1654975475</v>
      </c>
      <c r="B49">
        <v>7617445811</v>
      </c>
      <c r="C49" s="2" t="str">
        <f>=HYPERLINK("https://weidian.com/item.html?itemID=7617445811", "https://weidian.com/item.html?itemID=7617445811")</f>
        <v>https://weidian.com/item.html?itemID=7617445811</v>
      </c>
      <c r="D49"/>
      <c r="E49" s="2" t="str">
        <f>=HYPERLINK("https://si.geilicdn.com/pcitem2014204438-50f30000019ac3f9dc250a811411_1440_1920.jpg?w=640&amp;h=640", "https://si.geilicdn.com/pcitem2014204438-50f30000019ac3f9dc250a811411_1440_1920.jpg?w=640&amp;h=640")</f>
        <v>https://si.geilicdn.com/pcitem2014204438-50f30000019ac3f9dc250a811411_1440_1920.jpg?w=640&amp;h=640</v>
      </c>
      <c r="F49" t="inlineStr">
        <is>
          <t>Electronic</t>
        </is>
      </c>
      <c r="G49" t="inlineStr">
        <is>
          <t xml:space="preserve"> Apple</t>
        </is>
      </c>
      <c r="H49">
        <v>390</v>
      </c>
      <c r="I49">
        <v>56.52</v>
      </c>
      <c r="J49" t="inlineStr">
        <is>
          <t>{"id":"chatcmpl-DYLmaQ67NAHAl1AaVgI1PA2IaFU3V","object":"chat.completion","created":1777079256,"model":"gpt-5-chat-2025-10-03","choices":[{"index":0,"message":{"role":"assistant","content":"AppleApple White Bluetooth Noise Cancelling Earbuds Wireless","refusal":null,"annotations":[]},"logprobs":null,"finish_reason":"stop"}],"usage":{"prompt_tokens":870,"completion_tokens":11,"total_tokens":881,"prompt_tokens_details":{"cached_tokens":0,"audio_tokens":0},"completion_tokens_details":{"reasoning_tokens":0,"audio_tokens":0,"accepted_prediction_tokens":0,"rejected_prediction_tokens":0}},"service_tier":"default","system_fingerprint":"fp_ad66631dec"}</t>
        </is>
      </c>
      <c r="K49" t="inlineStr">
        <is>
          <t>AppleApple White Bluetooth Noise Cancelling Earbuds Wireless</t>
        </is>
      </c>
      <c r="L49" t="inlineStr">
        <is>
          <t>{"choices":[{"finish_reason":"stop","index":0,"logprobs":null,"message":{"annotations":[],"content":"AppleApple White Wireless Bluetooth Earphones feature premium composite materials, precision acoustic design, noise cancellation, and smart touch control for a sleek, modern, unisex audio experience.","refusal":null,"role":"assistant"}}],"created":1777078643,"id":"chatcmpl-DYLchwRxq9EmekG2huez7vhH64Gli","model":"gpt-5-chat-latest","object":"chat.completion","service_tier":"default","system_fingerprint":"fp_ad66631dec","usage":{"completion_tokens":35,"completion_tokens_details":{"accepted_prediction_tokens":0,"audio_tokens":0,"reasoning_tokens":0,"rejected_prediction_tokens":0},"prompt_tokens":894,"prompt_tokens_details":{"audio_tokens":0,"cached_tokens":0},"total_tokens":929}}</t>
        </is>
      </c>
      <c r="M49" t="inlineStr">
        <is>
          <t>{"alt-svc":"h3=\":443\"; ma=2592000","apim-request-id":"a92b6793-134f-4520-b29d-0139c77c1c9b","azureml-model-session":"d20260402083108-57a85543","cache-control":"no-cache","connection":"close","content-length":"787","content-security-policy":"frame-ancestors 'self'","content-type":"application/json","date":"Sat, 25 Apr 2026 00:57:24 GMT","server":"nginx","skip-error-remapping":"true","strict-transport-security":"max-age=31536000; includeSubDomains; preload","via":"1.1 Caddy, 1.1 Caddy","x-api-request-id":"20260425085721730454604sysuguGe","x-content-type-options":"nosniff","x-frame-options":"SAMEORIGIN","x-ms-client-request-id":"Not-Set","x-ms-is-spilled-over":"false","x-ms-rai-invoked":"true","x-ms-region":"East US 2","x-new-api-version":"0.5.1","x-oneapi-request-id":"202604250057201962806738268d9d6VYuso6xf","x-ratelimit-abusepenalty-active":"False","x-ratelimit-limit-requests":"50","x-ratelimit-limit-tokens":"50000","x-ratelimit-remaining-requests":"48","x-ratelimit-remaining-tokens":"-1534","x-ratelimit-renewalperiod-requests":"60","x-ratelimit-renewalperiod-tokens":"60","x-ratelimit-reset-requests":"1812","x-ratelimit-reset-tokens":"61840","x-request-id":"0561f929-ef33-48c7-bdfe-88adcfe4cb20"}</t>
        </is>
      </c>
      <c r="N49" t="inlineStr">
        <is>
          <t>AppleApple White Wireless Bluetooth Earphones feature premium composite materials, precision acoustic design, noise cancellation, and smart touch control for a sleek, modern, unisex audio experience.</t>
        </is>
      </c>
      <c r="O49" t="inlineStr">
        <is>
          <t>{"id":"chatcmpl-DYLy9zjYatXxog9l1Nw0tqHJfkkZf","object":"chat.completion","created":1777079973,"model":"gpt-5-chat-2025-10-03","choices":[{"index":0,"message":{"role":"assistant","content":"Apple, Earphones,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781,"completion_tokens":91,"total_tokens":872,"prompt_tokens_details":{"cached_tokens":0,"audio_tokens":0},"completion_tokens_details":{"reasoning_tokens":0,"audio_tokens":0,"accepted_prediction_tokens":0,"rejected_prediction_tokens":0}},"service_tier":"default","system_fingerprint":"fp_ad66631dec"}</t>
        </is>
      </c>
      <c r="P49" t="inlineStr">
        <is>
          <t>Apple, Earphones, kakobuy, kakebuy2026, kekobuysheet, kakobuysheet2026, 2026kakobuy, kakobuyspreadsheeet, kakobuylink, kakebuylist, Kakobuy MEGA Spreadsheet, kakobuysheetfind, kakobuysheetfind2026, 2026kakobuysheetfind, kakobuysheet2026</t>
        </is>
      </c>
      <c r="Q49"/>
      <c r="R49" t="inlineStr">
        <is>
          <t>recvhju1CrsfGT</t>
        </is>
      </c>
      <c r="S49" t="inlineStr">
        <is>
          <t>apple-white-bluetooth-noise-cancelling-earbuds-recvhju1crsfgt</t>
        </is>
      </c>
      <c r="T49"/>
      <c r="U49"/>
      <c r="V49"/>
      <c r="W49" t="inlineStr">
        <is>
          <t>{"choices":[{"finish_reason":"stop","index":0,"logprobs":null,"message":{"annotations":[],"content":"Apple：白色无线蓝牙耳机，采用高品质复合材质与精密声学设计，降噪与智能触控兼备，简约科技风格，男女通用，现代都市系列，呈现极致听觉体验与时尚质感。","refusal":null,"role":"assistant"}}],"created":1777019604,"id":"chatcmpl-DY6GSWUK7Wmbo2BDRz1pAk69dfQsW","model":"gpt-5-chat-latest","object":"chat.completion","service_tier":"default","system_fingerprint":"fp_ad66631dec","usage":{"completion_tokens":62,"completion_tokens_details":{"accepted_prediction_tokens":0,"audio_tokens":0,"reasoning_tokens":0,"rejected_prediction_tokens":0},"prompt_tokens":1297,"prompt_tokens_details":{"audio_tokens":0,"cached_tokens":0},"total_tokens":1359}}</t>
        </is>
      </c>
      <c r="X49" t="inlineStr">
        <is>
          <t>Apple：白色无线蓝牙耳机，采用高品质复合材质与精密声学设计，降噪与智能触控兼备，简约科技风格，男女通用，现代都市系列，呈现极致听觉体验与时尚质感。</t>
        </is>
      </c>
    </row>
    <row r="50" ht="25.5" customHeight="1">
      <c r="A50">
        <v>1654975475</v>
      </c>
      <c r="B50">
        <v>7617372495</v>
      </c>
      <c r="C50" s="2" t="str">
        <f>=HYPERLINK("https://weidian.com/item.html?itemID=7617372495", "https://weidian.com/item.html?itemID=7617372495")</f>
        <v>https://weidian.com/item.html?itemID=7617372495</v>
      </c>
      <c r="D50"/>
      <c r="E50" s="2" t="str">
        <f>=HYPERLINK("https://si.geilicdn.com/pcitem2014204438-02e70000019ac3f7dedf0a230115_1440_1440.jpg?w=640&amp;h=640", "https://si.geilicdn.com/pcitem2014204438-02e70000019ac3f7dedf0a230115_1440_1440.jpg?w=640&amp;h=640")</f>
        <v>https://si.geilicdn.com/pcitem2014204438-02e70000019ac3f7dedf0a230115_1440_1440.jpg?w=640&amp;h=640</v>
      </c>
      <c r="F50" t="inlineStr">
        <is>
          <t>Toys</t>
        </is>
      </c>
      <c r="G50" t="inlineStr">
        <is>
          <t>Louis Vuitton</t>
        </is>
      </c>
      <c r="H50">
        <v>330</v>
      </c>
      <c r="I50">
        <v>47.83</v>
      </c>
      <c r="J50" t="inlineStr">
        <is>
          <t>{"id":"chatcmpl-DYLnE9aaShZUsijI2RHkuwnTg3kZk","object":"chat.completion","created":1777079296,"model":"gpt-5-chat-2025-10-03","choices":[{"index":0,"message":{"role":"assistant","content":"Louis Vuitton Monogram Hamburger Coin Purse","refusal":null,"annotations":[]},"logprobs":null,"finish_reason":"stop"}],"usage":{"prompt_tokens":876,"completion_tokens":9,"total_tokens":885,"prompt_tokens_details":{"cached_tokens":0,"audio_tokens":0},"completion_tokens_details":{"reasoning_tokens":0,"audio_tokens":0,"accepted_prediction_tokens":0,"rejected_prediction_tokens":0}},"service_tier":"default","system_fingerprint":"fp_ad66631dec"}</t>
        </is>
      </c>
      <c r="K50" t="inlineStr">
        <is>
          <t>Louis Vuitton Monogram Hamburger Coin Purse</t>
        </is>
      </c>
      <c r="L50" t="inlineStr">
        <is>
          <t>{"choices":[{"finish_reason":"stop","index":0,"logprobs":null,"message":{"annotations":[],"content":"Louis Vuitton Monogram Brown Hamburger Coin Purse, made from classic PVC canvas with layered colorful leather, fun 3D design showcasing luxury and playful style, unisex fashion accessory.","refusal":null,"role":"assistant"}}],"created":1777078319,"id":"chatcmpl-DYLXTRDIPgYjtboqia6vNe0z9h9gZ","model":"gpt-5-chat-latest","object":"chat.completion","service_tier":"default","system_fingerprint":"fp_ad66631dec","usage":{"completion_tokens":37,"completion_tokens_details":{"accepted_prediction_tokens":0,"audio_tokens":0,"reasoning_tokens":0,"rejected_prediction_tokens":0},"prompt_tokens":905,"prompt_tokens_details":{"audio_tokens":0,"cached_tokens":0},"total_tokens":942}}</t>
        </is>
      </c>
      <c r="M50" t="inlineStr">
        <is>
          <t>{"alt-svc":"h3=\":443\"; ma=2592000","apim-request-id":"59b4670a-f985-4f9c-b13e-c4b1aa2085ec","azureml-model-session":"d20260402083108-57a85543","cache-control":"no-cache","connection":"close","content-length":"775","content-security-policy":"frame-ancestors 'self'","content-type":"application/json","date":"Sat, 25 Apr 2026 00:52:01 GMT","server":"nginx","skip-error-remapping":"true","strict-transport-security":"max-age=31536000; includeSubDomains; preload","via":"1.1 Caddy, 1.1 Caddy","x-api-request-id":"20260425085158531334756ndqNUZIL","x-content-type-options":"nosniff","x-frame-options":"SAMEORIGIN","x-ms-client-request-id":"Not-Set","x-ms-is-spilled-over":"false","x-ms-rai-invoked":"true","x-ms-region":"East US 2","x-new-api-version":"0.5.1","x-oneapi-request-id":"20260425005158682900648268d9d6PjKMXTRt","x-ratelimit-abusepenalty-active":"False","x-ratelimit-limit-requests":"50","x-ratelimit-limit-tokens":"50000","x-ratelimit-remaining-requests":"42","x-ratelimit-remaining-tokens":"-1656","x-ratelimit-renewalperiod-requests":"60","x-ratelimit-renewalperiod-tokens":"60","x-ratelimit-reset-requests":"9280","x-ratelimit-reset-tokens":"61986","x-request-id":"425e5c93-8fb7-45a8-934c-e0f36d9f6a21"}</t>
        </is>
      </c>
      <c r="N50" t="inlineStr">
        <is>
          <t>Louis Vuitton Monogram Brown Hamburger Coin Purse, made from classic PVC canvas with layered colorful leather, fun 3D design showcasing luxury and playful style, unisex fashion accessory.</t>
        </is>
      </c>
      <c r="O50" t="inlineStr">
        <is>
          <t>{"id":"chatcmpl-DYLyoNVNf0aKPqt4TsVGDEDWQU9gG","object":"chat.completion","created":1777080014,"model":"gpt-5-chat-2025-10-03","choices":[{"index":0,"message":{"role":"assistant","content":"Louis Vuitton,Toys,kakobuy,kakebuy2026,kekobuysheet,kakobuysheet2026,2026kakobuy,kakobuyspreadsheeet,kakobuylink,kakebuylist,Kakobuy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50" t="inlineStr">
        <is>
          <t>Louis Vuitton,Toys,kakobuy,kakebuy2026,kekobuysheet,kakobuysheet2026,2026kakobuy,kakobuyspreadsheeet,kakobuylink,kakebuylist,Kakobuy MEGA Spreadsheet,kakobuysheetfind,kakobuysheetfind2026,2026kakobuysheetfind,kakobuysheet2026</t>
        </is>
      </c>
      <c r="Q50" t="inlineStr">
        <is>
          <t>LV, Brown, Unisex, Fashion, Leather, Canvas</t>
        </is>
      </c>
      <c r="R50" t="inlineStr">
        <is>
          <t>recvhju1CrvVUv</t>
        </is>
      </c>
      <c r="S50" t="inlineStr">
        <is>
          <t>louis-vuitton-monogram-hamburger-coin-purse-recvhju1crvvuv</t>
        </is>
      </c>
      <c r="T50"/>
      <c r="U50"/>
      <c r="V50"/>
      <c r="W50" t="inlineStr">
        <is>
          <t>{"choices":[{"finish_reason":"stop","index":0,"logprobs":null,"message":{"annotations":[],"content":"Louis Vuitton：Monogram咖啡色汉堡造型零钱包，优选经典老花PVC材质搭配多彩皮革层叠设计，创意立体造型趣味十足，彰显品牌奢华与玩味风格，男女皆宜，时尚休闲配饰。","refusal":null,"role":"assistant"}}],"created":1777019740,"id":"chatcmpl-DY6IeY4FkKuOfjTk7DrGgbtRLEbHr","model":"gpt-5-chat-latest","object":"chat.completion","service_tier":"default","system_fingerprint":"fp_ad66631dec","usage":{"completion_tokens":70,"completion_tokens_details":{"accepted_prediction_tokens":0,"audio_tokens":0,"reasoning_tokens":0,"rejected_prediction_tokens":0},"prompt_tokens":1302,"prompt_tokens_details":{"audio_tokens":0,"cached_tokens":0},"total_tokens":1372}}</t>
        </is>
      </c>
      <c r="X50" t="inlineStr">
        <is>
          <t>Louis Vuitton：Monogram咖啡色汉堡造型零钱包，优选经典老花PVC材质搭配多彩皮革层叠设计，创意立体造型趣味十足，彰显品牌奢华与玩味风格，男女皆宜，时尚休闲配饰。</t>
        </is>
      </c>
    </row>
    <row r="51" ht="25.5" customHeight="1">
      <c r="A51">
        <v>1654975475</v>
      </c>
      <c r="B51">
        <v>7616970919</v>
      </c>
      <c r="C51" s="2" t="str">
        <f>=HYPERLINK("https://weidian.com/item.html?itemID=7616970919", "https://weidian.com/item.html?itemID=7616970919")</f>
        <v>https://weidian.com/item.html?itemID=7616970919</v>
      </c>
      <c r="D51"/>
      <c r="E51" s="2" t="str">
        <f>=HYPERLINK("https://si.geilicdn.com/pcitem2014204438-08360000019ac3f95b660a81347d_1080_1440.jpg?w=640&amp;h=640", "https://si.geilicdn.com/pcitem2014204438-08360000019ac3f95b660a81347d_1080_1440.jpg?w=640&amp;h=640")</f>
        <v>https://si.geilicdn.com/pcitem2014204438-08360000019ac3f95b660a81347d_1080_1440.jpg?w=640&amp;h=640</v>
      </c>
      <c r="F51" t="inlineStr">
        <is>
          <t>Electronic</t>
        </is>
      </c>
      <c r="G51" t="inlineStr">
        <is>
          <t>Marshall</t>
        </is>
      </c>
      <c r="H51">
        <v>450</v>
      </c>
      <c r="I51">
        <v>65.22</v>
      </c>
      <c r="J51" t="inlineStr">
        <is>
          <t>{"id":"chatcmpl-DYLnFkwiUXkv3PtUu0tRXiaAE7Uie","object":"chat.completion","created":1777079297,"model":"gpt-5-chat-2025-10-03","choices":[{"index":0,"message":{"role":"assistant","content":"Marshall White Leather Wireless Earbuds Vintage Design","refusal":null,"annotations":[]},"logprobs":null,"finish_reason":"stop"}],"usage":{"prompt_tokens":866,"completion_tokens":9,"total_tokens":875,"prompt_tokens_details":{"cached_tokens":0,"audio_tokens":0},"completion_tokens_details":{"reasoning_tokens":0,"audio_tokens":0,"accepted_prediction_tokens":0,"rejected_prediction_tokens":0}},"service_tier":"default","system_fingerprint":"fp_ad66631dec"}</t>
        </is>
      </c>
      <c r="K51" t="inlineStr">
        <is>
          <t>Marshall White Leather Wireless Earbuds Vintage Design</t>
        </is>
      </c>
      <c r="L51" t="inlineStr">
        <is>
          <t>{"id":"chatcmpl-DYLVz7ilNWICxmqEVJr76pGjTcTcj","object":"chat.completion","created":1777078227,"model":"gpt-5-chat-latest","choices":[{"index":0,"message":{"role":"assistant","content":"Marshall White Leather Texture Wireless Earbuds, vintage speaker-inspired design, compact and portable, responsive touch control, stylish British rock vibe, ideal for modern music lovers.","refusal":null,"annotations":[]},"logprobs":null,"finish_reason":"stop"}],"usage":{"prompt_tokens":885,"completion_tokens":33,"total_tokens":918,"prompt_tokens_details":{"cached_tokens":0,"audio_tokens":0},"completion_tokens_details":{"reasoning_tokens":0,"audio_tokens":0,"accepted_prediction_tokens":0,"rejected_prediction_tokens":0}},"service_tier":"default","system_fingerprint":"fp_ad66631dec"}</t>
        </is>
      </c>
      <c r="M5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ma=2592000","apim-request-id":"ebd43ec5-3b63-4625-bbcb-ab5ae23f45c9","azureml-model-session":"d20260402075109-1fc5a0ec","cache-control":"no-cache, no-store, must-revalidate","connection":"close","content-length":"991","content-security-policy":"frame-ancestors 'self'","content-type":"application/json","date":"Sat, 25 Apr 2026 00:50:29 GMT","server":"Caddy","skip-error-remapping":"true","strict-transport-security":"max-age=31536000; includeSubDomains; preload","via":"1.1 Caddy","x-api-request-id":"202604250850251550552173H8goC9j","x-content-type-options":"nosniff","x-frame-options":"SAMEORIGIN","x-ms-is-spilled-over":"false","x-ms-rai-invoked":"false","x-ms-region":"Sweden Central","x-new-api-version":"0.5.1","x-oneapi-request-id":"202604250050206108643058268d9d6tGWxDN6C","x-ratelimit-abusepenalty-active":"False","x-ratelimit-limit-requests":"4991","x-ratelimit-limit-tokens":"4991000","x-ratelimit-remaining-requests":"4990","x-ratelimit-remaining-tokens":"4989353","x-ratelimit-renewalperiod-requests":"60","x-ratelimit-renewalperiod-tokens":"60","x-ratelimit-reset-requests":"12","x-ratelimit-reset-tokens":"19","x-request-id":"16a370c8-433f-4495-b277-36309184c399"}</t>
        </is>
      </c>
      <c r="N51" t="inlineStr">
        <is>
          <t>Marshall White Leather Texture Wireless Earbuds, vintage speaker-inspired design, compact and portable, responsive touch control, stylish British rock vibe, ideal for modern music lovers.</t>
        </is>
      </c>
      <c r="O51" t="inlineStr">
        <is>
          <t>{"id":"chatcmpl-DYLy3vFZL9PTa6fQQb57G7uT6ltiR","object":"chat.completion","created":1777079967,"model":"gpt-5-chat-2025-10-03","choices":[{"index":0,"message":{"role":"assistant","content":"Marshall,earbuds,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87,"total_tokens":868,"prompt_tokens_details":{"cached_tokens":0,"audio_tokens":0},"completion_tokens_details":{"reasoning_tokens":0,"audio_tokens":0,"accepted_prediction_tokens":0,"rejected_prediction_tokens":0}},"service_tier":"default","system_fingerprint":"fp_ad66631dec"}</t>
        </is>
      </c>
      <c r="P51" t="inlineStr">
        <is>
          <t>Marshall,earbuds,kakobuy,kakebuy2026,kekobuysheet,kakobuysheet2026,2026kakobuy,kakobuyspreadsheeet,kakobuylink,kakebuylist,Kakobuy MEGA Spreadsheet,kakobuysheetfind,kakobuysheetfind2026,2026kakobuysheetfind,kakobuysheet2026</t>
        </is>
      </c>
      <c r="Q51" t="inlineStr">
        <is>
          <t>Marshall, Leather, Vintage, Style, White</t>
        </is>
      </c>
      <c r="R51" t="inlineStr">
        <is>
          <t>recvhju1Crk3nP</t>
        </is>
      </c>
      <c r="S51" t="inlineStr">
        <is>
          <t>marshall-white-leather-wireless-earbuds-vintage-recvhju1crk3np</t>
        </is>
      </c>
      <c r="T51"/>
      <c r="U51"/>
      <c r="V51"/>
      <c r="W51" t="inlineStr">
        <is>
          <t>{"id":"chatcmpl-DY6DCFRE4D0bBT7JtCBlpbSak2TsD","object":"chat.completion","created":1777019402,"model":"gpt-5-chat-latest","choices":[{"index":0,"message":{"role":"assistant","content":"Marshall：白色真皮纹无线耳机，复古音响质感设计，紧凑便携，触控操作灵敏，彰显英伦摇滚风格，男女皆宜，适合现代音乐爱好者。","refusal":null,"annotations":[]},"logprobs":null,"finish_reason":"stop"}],"usage":{"prompt_tokens":1297,"completion_tokens":53,"total_tokens":1350,"prompt_tokens_details":{"cached_tokens":0,"audio_tokens":0},"completion_tokens_details":{"reasoning_tokens":0,"audio_tokens":0,"accepted_prediction_tokens":0,"rejected_prediction_tokens":0}},"service_tier":"default","system_fingerprint":"fp_ad66631dec"}</t>
        </is>
      </c>
      <c r="X51" t="inlineStr">
        <is>
          <t>Marshall：白色真皮纹无线耳机，复古音响质感设计，紧凑便携，触控操作灵敏，彰显英伦摇滚风格，男女皆宜，适合现代音乐爱好者。</t>
        </is>
      </c>
    </row>
    <row r="52" ht="25.5" customHeight="1">
      <c r="A52">
        <v>1654975475</v>
      </c>
      <c r="B52">
        <v>7620405888</v>
      </c>
      <c r="C52" s="2" t="str">
        <f>=HYPERLINK("https://weidian.com/item.html?itemID=7620405888", "https://weidian.com/item.html?itemID=7620405888")</f>
        <v>https://weidian.com/item.html?itemID=7620405888</v>
      </c>
      <c r="D52"/>
      <c r="E52" s="2" t="str">
        <f>=HYPERLINK("https://si.geilicdn.com/pcitem2014204438-7aaf0000019ac3f0e06b0a239846_1080_810.jpg?w=640&amp;h=640", "https://si.geilicdn.com/pcitem2014204438-7aaf0000019ac3f0e06b0a239846_1080_810.jpg?w=640&amp;h=640")</f>
        <v>https://si.geilicdn.com/pcitem2014204438-7aaf0000019ac3f0e06b0a239846_1080_810.jpg?w=640&amp;h=640</v>
      </c>
      <c r="F52" t="inlineStr">
        <is>
          <t>Electronic</t>
        </is>
      </c>
      <c r="G52" t="inlineStr">
        <is>
          <t>Dyson</t>
        </is>
      </c>
      <c r="H52">
        <v>920</v>
      </c>
      <c r="I52">
        <v>133.33</v>
      </c>
      <c r="J52" t="inlineStr">
        <is>
          <t>{"id":"chatcmpl-DYLg8ydHj7LJN3LGTEFuwv18qPeCW","object":"chat.completion","created":1777078856,"model":"gpt-5-chat-latest","choices":[{"index":0,"message":{"role":"assistant","content":"Dyson Supersonic Silver Hair Dryer Fast Ionic Blowdryer","refusal":null,"annotations":[]},"logprobs":null,"finish_reason":"stop"}],"usage":{"prompt_tokens":595,"completion_tokens":13,"total_tokens":608,"prompt_tokens_details":{"cached_tokens":0,"audio_tokens":0},"completion_tokens_details":{"reasoning_tokens":0,"audio_tokens":0,"accepted_prediction_tokens":0,"rejected_prediction_tokens":0}},"service_tier":"default","system_fingerprint":"fp_ad66631dec"}</t>
        </is>
      </c>
      <c r="K52" t="inlineStr">
        <is>
          <t>Dyson Supersonic Silver Hair Dryer Fast Ionic Blowdryer</t>
        </is>
      </c>
      <c r="L52" t="inlineStr">
        <is>
          <t>{"id":"chatcmpl-DYLbQhRHDKjxBR2uLFuafe4GwGxDm","object":"chat.completion","created":1777078564,"model":"gpt-5-chat-latest","choices":[{"index":0,"message":{"role":"assistant","content":"Dyson Supersonic Silver Hair Dryer – high-speed negative ion technology, aerospace-grade aluminum body, minimalist futuristic design, fast drying without damage, unisex, salon-quality performance.","refusal":null,"annotations":[]},"logprobs":null,"finish_reason":"stop"}],"usage":{"prompt_tokens":606,"completion_tokens":37,"total_tokens":643,"prompt_tokens_details":{"cached_tokens":0,"audio_tokens":0},"completion_tokens_details":{"reasoning_tokens":0,"audio_tokens":0,"accepted_prediction_tokens":0,"rejected_prediction_tokens":0}},"service_tier":"default","system_fingerprint":"fp_ad66631dec"}</t>
        </is>
      </c>
      <c r="M5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ma=2592000","apim-request-id":"11b83d1b-8c80-4401-b226-07d8abd658ec","azureml-model-session":"d20260402084046-4209e968","cache-control":"no-cache, no-store, must-revalidate","connection":"close","content-length":"1002","content-security-policy":"frame-ancestors 'self'","content-type":"application/json","date":"Sat, 25 Apr 2026 00:56:05 GMT","server":"nginx","skip-error-remapping":"true","strict-transport-security":"max-age=31536000; includeSubDomains; preload","via":"1.1 Caddy, 1.1 Caddy","x-api-request-id":"20260425085603521759060gnPrJmH2","x-content-type-options":"nosniff","x-frame-options":"SAMEORIGIN","x-ms-is-spilled-over":"false","x-ms-rai-invoked":"false","x-ms-region":"East US 2","x-new-api-version":"0.5.1","x-oneapi-request-id":"202604250056034534924878268d9d6VjiGmYpR","x-ratelimit-abusepenalty-active":"False","x-ratelimit-limit-requests":"4992","x-ratelimit-limit-tokens":"4992000","x-ratelimit-remaining-requests":"4991","x-ratelimit-remaining-tokens":"4990630","x-ratelimit-renewalperiod-requests":"60","x-ratelimit-renewalperiod-tokens":"60","x-ratelimit-reset-requests":"12","x-ratelimit-reset-tokens":"16","x-request-id":"5e45a989-2071-4fb1-bf1f-16bba90f87a4"}</t>
        </is>
      </c>
      <c r="N52" t="inlineStr">
        <is>
          <t>Dyson Supersonic Silver Hair Dryer – high-speed negative ion technology, aerospace-grade aluminum body, minimalist futuristic design, fast drying without damage, unisex, salon-quality performance.</t>
        </is>
      </c>
      <c r="O52" t="inlineStr">
        <is>
          <t>{"id":"chatcmpl-DYLuoNGJbEo2LTBsCeSSTaXjUcShs","object":"chat.completion","created":1777079766,"model":"gpt-5-chat-2025-10-03","choices":[{"index":0,"message":{"role":"assistant","content":"Dyson,Hair Dryer,kakobuy,kakebuy2026,kekobuysheet,kakobuysheet2026,2026kakobuy,kakobuyspreadsheeet,kakobuylink,kakebuylist,Kakobuy MEGA Spreadsheet,kakobuysheetfind,kakobuysheetfind2026,2026kakobuysheetfind,kakobuysheet2026","refusal":null,"annotations":[]},"logprobs":null,"finish_reason":"stop"}],"usage":{"prompt_tokens":502,"completion_tokens":88,"total_tokens":590,"prompt_tokens_details":{"cached_tokens":0,"audio_tokens":0},"completion_tokens_details":{"reasoning_tokens":0,"audio_tokens":0,"accepted_prediction_tokens":0,"rejected_prediction_tokens":0}},"service_tier":"default","system_fingerprint":"fp_ad66631dec"}</t>
        </is>
      </c>
      <c r="P52" t="inlineStr">
        <is>
          <t>Dyson,Hair Dryer,kakobuy,kakebuy2026,kekobuysheet,kakobuysheet2026,2026kakobuy,kakobuyspreadsheeet,kakobuylink,kakebuylist,Kakobuy MEGA Spreadsheet,kakobuysheetfind,kakobuysheetfind2026,2026kakobuysheetfind,kakobuysheet2026</t>
        </is>
      </c>
      <c r="Q52"/>
      <c r="R52" t="inlineStr">
        <is>
          <t>recvhju1CrZeVt</t>
        </is>
      </c>
      <c r="S52" t="inlineStr">
        <is>
          <t>dyson-supersonic-silver-hair-dryer-recvhju1crze vt</t>
        </is>
      </c>
      <c r="T52"/>
      <c r="U52"/>
      <c r="V52"/>
      <c r="W52" t="inlineStr">
        <is>
          <t>{"choices":[{"finish_reason":"stop","index":0,"logprobs":null,"message":{"annotations":[],"content":"Dyson：Supersonic银灰色高速负离子吹风机，航空级铝合金机身，极简未来设计，快速干发不伤发，男女通用，高端美发沙龙级体验。","refusal":null,"role":"assistant"}}],"created":1777019845,"id":"chatcmpl-DY6KL25OncExQJfALqGpp7PWfTH0h","model":"gpt-5-chat-latest","object":"chat.completion","service_tier":"default","system_fingerprint":"fp_ad66631dec","usage":{"completion_tokens":51,"completion_tokens_details":{"accepted_prediction_tokens":0,"audio_tokens":0,"reasoning_tokens":0,"rejected_prediction_tokens":0},"prompt_tokens":1023,"prompt_tokens_details":{"audio_tokens":0,"cached_tokens":0},"total_tokens":1074}}</t>
        </is>
      </c>
      <c r="X52" t="inlineStr">
        <is>
          <t>Dyson：Supersonic银灰色高速负离子吹风机，航空级铝合金机身，极简未来设计，快速干发不伤发，男女通用，高端美发沙龙级体验。</t>
        </is>
      </c>
    </row>
    <row r="53" ht="25.5" customHeight="1">
      <c r="A53">
        <v>1654975475</v>
      </c>
      <c r="B53">
        <v>7617398221</v>
      </c>
      <c r="C53" s="2" t="str">
        <f>=HYPERLINK("https://weidian.com/item.html?itemID=7617398221", "https://weidian.com/item.html?itemID=7617398221")</f>
        <v>https://weidian.com/item.html?itemID=7617398221</v>
      </c>
      <c r="D53"/>
      <c r="E53" s="2" t="str">
        <f>=HYPERLINK("https://si.geilicdn.com/pcitem2014204438-08a60000019ac403fba80a2102c5_1080_1440.jpg?w=640&amp;h=640", "https://si.geilicdn.com/pcitem2014204438-08a60000019ac403fba80a2102c5_1080_1440.jpg?w=640&amp;h=640")</f>
        <v>https://si.geilicdn.com/pcitem2014204438-08a60000019ac403fba80a2102c5_1080_1440.jpg?w=640&amp;h=640</v>
      </c>
      <c r="F53" t="inlineStr">
        <is>
          <t>Electronic</t>
        </is>
      </c>
      <c r="G53" t="inlineStr">
        <is>
          <t xml:space="preserve"> Apple</t>
        </is>
      </c>
      <c r="H53">
        <v>396</v>
      </c>
      <c r="I53">
        <v>57.39</v>
      </c>
      <c r="J53" t="inlineStr">
        <is>
          <t>{"id":"chatcmpl-DYLmPBWeYMI7rRryvKZgqi1edNtJB","object":"chat.completion","created":1777079245,"model":"gpt-5-chat-2025-10-03","choices":[{"index":0,"message":{"role":"assistant","content":"Apple AirPods Pro White Wireless Bluetooth Earbuds","refusal":null,"annotations":[]},"logprobs":null,"finish_reason":"stop"}],"usage":{"prompt_tokens":880,"completion_tokens":10,"total_tokens":890,"prompt_tokens_details":{"cached_tokens":0,"audio_tokens":0},"completion_tokens_details":{"reasoning_tokens":0,"audio_tokens":0,"accepted_prediction_tokens":0,"rejected_prediction_tokens":0}},"service_tier":"default","system_fingerprint":"fp_ad66631dec"}</t>
        </is>
      </c>
      <c r="K53" t="inlineStr">
        <is>
          <t>Apple AirPods Pro White Wireless Bluetooth Earbuds</t>
        </is>
      </c>
      <c r="L53" t="inlineStr">
        <is>
          <t>{"id":"chatcmpl-DYLW6IOzJDeXVRYMaEAT8iSYthQuA","object":"chat.completion","created":1777078234,"model":"gpt-5-chat-latest","choices":[{"index":0,"message":{"role":"assistant","content":"Apple AirPods Pro White Wireless Bluetooth Earbuds with Active Noise Cancellation, Transparency Mode, Ergonomic In-Ear Design, Premium Sound, Lightweight, Ideal for Commute, Workout, Daily Use.","refusal":null,"annotations":[]},"logprobs":null,"finish_reason":"stop"}],"usage":{"prompt_tokens":909,"completion_tokens":40,"total_tokens":949,"prompt_tokens_details":{"cached_tokens":0,"audio_tokens":0},"completion_tokens_details":{"reasoning_tokens":0,"audio_tokens":0,"accepted_prediction_tokens":0,"rejected_prediction_tokens":0}},"service_tier":"default","system_fingerprint":"fp_ad66631dec"}</t>
        </is>
      </c>
      <c r="M5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ma=2592000","apim-request-id":"77d7d19c-d750-43d4-88c7-057dd0c73c3f","azureml-model-session":"d20260405234249-f9874baf","cache-control":"no-cache, no-store, must-revalidate","connection":"close","content-length":"997","content-security-policy":"frame-ancestors 'self'","content-type":"application/json","date":"Sat, 25 Apr 2026 00:50:37 GMT","server":"nginx","skip-error-remapping":"true","strict-transport-security":"max-age=31536000; includeSubDomains; preload","via":"1.1 Caddy, 1.1 Caddy","x-api-request-id":"2026042508503364101901pcAJUCjm","x-content-type-options":"nosniff","x-frame-options":"SAMEORIGIN","x-ms-is-spilled-over":"false","x-ms-rai-invoked":"false","x-ms-region":"Sweden Central","x-new-api-version":"0.5.1","x-oneapi-request-id":"202604250050288838459108268d9d6S7bO76pN","x-ratelimit-abusepenalty-active":"False","x-ratelimit-limit-requests":"4991","x-ratelimit-limit-tokens":"4991000","x-ratelimit-remaining-requests":"4990","x-ratelimit-remaining-tokens":"4989329","x-ratelimit-renewalperiod-requests":"60","x-ratelimit-renewalperiod-tokens":"60","x-ratelimit-reset-requests":"12","x-ratelimit-reset-tokens":"20","x-request-id":"b2c7fc4e-3b99-4336-9e4f-8d27fb3ad8f8"}</t>
        </is>
      </c>
      <c r="N53" t="inlineStr">
        <is>
          <t>Apple AirPods Pro White Wireless Bluetooth Earbuds with Active Noise Cancellation, Transparency Mode, Ergonomic In-Ear Design, Premium Sound, Lightweight, Ideal for Commute, Workout, Daily Use.</t>
        </is>
      </c>
      <c r="O53" t="inlineStr">
        <is>
          <t>{"id":"chatcmpl-DYLusy4SldjNXxOaz5IbBWjlZuyrb","object":"chat.completion","created":1777079770,"model":"gpt-5-chat-2025-10-03","choices":[{"index":0,"message":{"role":"assistant","content":"Apple, Earphones,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781,"completion_tokens":91,"total_tokens":872,"prompt_tokens_details":{"cached_tokens":0,"audio_tokens":0},"completion_tokens_details":{"reasoning_tokens":0,"audio_tokens":0,"accepted_prediction_tokens":0,"rejected_prediction_tokens":0}},"service_tier":"default","system_fingerprint":"fp_ad66631dec"}</t>
        </is>
      </c>
      <c r="P53" t="inlineStr">
        <is>
          <t>Apple, Earphones, kakobuy, kakebuy2026, kekobuysheet, kakobuysheet2026, 2026kakobuy, kakobuyspreadsheeet, kakobuylink, kakebuylist, Kakobuy MEGA Spreadsheet, kakobuysheetfind, kakobuysheetfind2026, 2026kakobuysheetfind, kakobuysheet2026</t>
        </is>
      </c>
      <c r="Q53"/>
      <c r="R53" t="inlineStr">
        <is>
          <t>recvhju1CrUu8H</t>
        </is>
      </c>
      <c r="S53" t="inlineStr">
        <is>
          <t>apple-airpods-pro-white-wireless-bluetooth-earbuds-recvhju1cruu8h</t>
        </is>
      </c>
      <c r="T53"/>
      <c r="U53"/>
      <c r="V53"/>
      <c r="W53" t="inlineStr">
        <is>
          <t>{"id":"chatcmpl-DY6G6Mt1DDeCtktAIEOoO87AS96im","object":"chat.completion","created":1777019582,"model":"gpt-5-chat-latest","choices":[{"index":0,"message":{"role":"assistant","content":"Apple：AirPods Pro 白色无线蓝牙耳机，采用轻量级光滑塑料材质，配备主动降噪与通透模式，入耳式人体工学设计，提供卓越音质与舒适佩戴体验，男女皆宜，现代极简风格，适合日常通勤与运动使用。","refusal":null,"annotations":[]},"logprobs":null,"finish_reason":"stop"}],"usage":{"prompt_tokens":1299,"completion_tokens":76,"total_tokens":1375,"prompt_tokens_details":{"cached_tokens":1280,"audio_tokens":0},"completion_tokens_details":{"reasoning_tokens":0,"audio_tokens":0,"accepted_prediction_tokens":0,"rejected_prediction_tokens":0}},"service_tier":"default","system_fingerprint":"fp_ad66631dec"}</t>
        </is>
      </c>
      <c r="X53" t="inlineStr">
        <is>
          <t>Apple：AirPods Pro 白色无线蓝牙耳机，采用轻量级光滑塑料材质，配备主动降噪与通透模式，入耳式人体工学设计，提供卓越音质与舒适佩戴体验，男女皆宜，现代极简风格，适合日常通勤与运动使用。</t>
        </is>
      </c>
    </row>
    <row r="54" ht="25.5" customHeight="1">
      <c r="A54">
        <v>1654975475</v>
      </c>
      <c r="B54">
        <v>7616976905</v>
      </c>
      <c r="C54" s="2" t="str">
        <f>=HYPERLINK("https://weidian.com/item.html?itemID=7616976905", "https://weidian.com/item.html?itemID=7616976905")</f>
        <v>https://weidian.com/item.html?itemID=7616976905</v>
      </c>
      <c r="D54"/>
      <c r="E54" s="2" t="str">
        <f>=HYPERLINK("https://si.geilicdn.com/pcitem2014204438-0a480000019ac3fab7270a207569_1080_1922.jpg?w=640&amp;h=640", "https://si.geilicdn.com/pcitem2014204438-0a480000019ac3fab7270a207569_1080_1922.jpg?w=640&amp;h=640")</f>
        <v>https://si.geilicdn.com/pcitem2014204438-0a480000019ac3fab7270a207569_1080_1922.jpg?w=640&amp;h=640</v>
      </c>
      <c r="F54" t="inlineStr">
        <is>
          <t>Electronic</t>
        </is>
      </c>
      <c r="G54" t="inlineStr">
        <is>
          <t>Sennheiser</t>
        </is>
      </c>
      <c r="H54">
        <v>1400</v>
      </c>
      <c r="I54">
        <v>202.9</v>
      </c>
      <c r="J54" t="inlineStr">
        <is>
          <t>{"id":"chatcmpl-DYLo8Xnm5UJdZ7o7hzyHsfUsuxLVe","object":"chat.completion","created":1777079352,"model":"gpt-5-chat-2025-10-03","choices":[{"index":0,"message":{"role":"assistant","content":"Sennheiser IE 900 Silver Hi‑Res In‑Ear Monitor Earphones","refusal":null,"annotations":[]},"logprobs":null,"finish_reason":"stop"}],"usage":{"prompt_tokens":1161,"completion_tokens":18,"total_tokens":1179,"prompt_tokens_details":{"cached_tokens":1152,"audio_tokens":0},"completion_tokens_details":{"reasoning_tokens":0,"audio_tokens":0,"accepted_prediction_tokens":0,"rejected_prediction_tokens":0}},"service_tier":"default","system_fingerprint":"fp_ad66631dec"}</t>
        </is>
      </c>
      <c r="K54" t="inlineStr">
        <is>
          <t>Sennheiser IE 900 Silver Hi‑Res In‑Ear Monitor Earphones</t>
        </is>
      </c>
      <c r="L54" t="inlineStr">
        <is>
          <t>{"choices":[{"finish_reason":"stop","index":0,"logprobs":null,"message":{"annotations":[],"content":"Sennheiser IE 900 Silver High-Resolution In-Ear Headphones feature precision aluminum housing and independent acoustic chambers for pure, detailed sound. Perfect for audiophiles and professionals.","refusal":null,"role":"assistant"}}],"created":1777077828,"id":"chatcmpl-DYLPY1BozyxT4A7kC58lsaEWYoqly","model":"gpt-5-chat-latest","object":"chat.completion","service_tier":"default","system_fingerprint":"fp_ad66631dec","usage":{"completion_tokens":39,"completion_tokens_details":{"accepted_prediction_tokens":0,"audio_tokens":0,"reasoning_tokens":0,"rejected_prediction_tokens":0},"prompt_tokens":1179,"prompt_tokens_details":{"audio_tokens":0,"cached_tokens":1152},"total_tokens":1218}}</t>
        </is>
      </c>
      <c r="M54" t="inlineStr">
        <is>
          <t>{"alt-svc":"h3=\":443\"; ma=2592000","apim-request-id":"182d9dbd-5158-468e-b586-3b1319124fc0","azureml-model-session":"d20260405225800-40f19e54","cache-control":"no-cache","connection":"close","content-length":"789","content-security-policy":"frame-ancestors 'self'","content-type":"application/json","date":"Sat, 25 Apr 2026 00:43:49 GMT","server":"Caddy","skip-error-remapping":"true","strict-transport-security":"max-age=31536000; includeSubDomains; preload","via":"1.1 Caddy","x-api-request-id":"20260425084345758378347ueF1KDJS","x-content-type-options":"nosniff","x-frame-options":"SAMEORIGIN","x-ms-client-request-id":"Not-Set","x-ms-is-spilled-over":"false","x-ms-rai-invoked":"true","x-ms-region":"East US 2","x-new-api-version":"0.5.1","x-oneapi-request-id":"202604250043409092442418268d9d6ZGeM9xL0","x-ratelimit-abusepenalty-active":"False","x-ratelimit-limit-requests":"50","x-ratelimit-limit-tokens":"50000","x-ratelimit-remaining-requests":"49","x-ratelimit-remaining-tokens":"-1498","x-ratelimit-renewalperiod-requests":"60","x-ratelimit-renewalperiod-tokens":"60","x-ratelimit-reset-requests":"1200","x-ratelimit-reset-tokens":"61797","x-request-id":"37cd91a9-e16e-404e-befa-60e0e9b90908"}</t>
        </is>
      </c>
      <c r="N54" t="inlineStr">
        <is>
          <t>Sennheiser IE 900 Silver High-Resolution In-Ear Headphones feature precision aluminum housing and independent acoustic chambers for pure, detailed sound. Perfect for audiophiles and professionals.</t>
        </is>
      </c>
      <c r="O54" t="inlineStr">
        <is>
          <t>{"id":"chatcmpl-DYLvwXOVI7tV7UIDuyCNbe62JgPB9","object":"chat.completion","created":1777079836,"model":"gpt-5-chat-2025-10-03","choices":[{"index":0,"message":{"role":"assistant","content":"Sennheiser,earphones,kakobuy,kakebuy2026,kekobuysheet,kakobuysheet2026,2026kakobuy,kakobuyspreadsheeet,kakobuylink,kakebuylist,Kakobuy MEGA Spreadsheet,kakobuysheetfind,kakobuysheetfind2026,2026kakobuysheetfind,kakobuysheet2026","refusal":null,"annotations":[]},"logprobs":null,"finish_reason":"stop"}],"usage":{"prompt_tokens":1064,"completion_tokens":90,"total_tokens":1154,"prompt_tokens_details":{"cached_tokens":0,"audio_tokens":0},"completion_tokens_details":{"reasoning_tokens":0,"audio_tokens":0,"accepted_prediction_tokens":0,"rejected_prediction_tokens":0}},"service_tier":"default","system_fingerprint":"fp_ad66631dec"}</t>
        </is>
      </c>
      <c r="P54" t="inlineStr">
        <is>
          <t>Sennheiser,earphones,kakobuy,kakebuy2026,kekobuysheet,kakobuysheet2026,2026kakobuy,kakobuyspreadsheeet,kakobuylink,kakebuylist,Kakobuy MEGA Spreadsheet,kakobuysheetfind,kakobuysheetfind2026,2026kakobuysheetfind,kakobuysheet2026</t>
        </is>
      </c>
      <c r="Q54"/>
      <c r="R54" t="inlineStr">
        <is>
          <t>recvhju1CrR2MT</t>
        </is>
      </c>
      <c r="S54" t="inlineStr">
        <is>
          <t>sennheiser-ie-900-silver-hi-res-in-ear-monitor-earphones-recvhju1crr2mt</t>
        </is>
      </c>
      <c r="T54"/>
      <c r="U54"/>
      <c r="V54"/>
      <c r="W54" t="inlineStr">
        <is>
          <t>{"choices":[{"finish_reason":"stop","index":0,"logprobs":null,"message":{"annotations":[],"content":"Sennheiser IE 900 银色高解析度入耳式耳机，采用精密铝合金外壳与独立声腔设计，音质细腻纯净，彰显德系工艺美学，适合专业音乐人及发烧友使用。","refusal":null,"role":"assistant"}}],"created":1777019919,"id":"chatcmpl-DY6LXG62L3SN8Fm9oGbSVrmzb5sXD","model":"gpt-5-chat-latest","object":"chat.completion","service_tier":"default","system_fingerprint":"fp_ad66631dec","usage":{"completion_tokens":65,"completion_tokens_details":{"accepted_prediction_tokens":0,"audio_tokens":0,"reasoning_tokens":0,"rejected_prediction_tokens":0},"prompt_tokens":1581,"prompt_tokens_details":{"audio_tokens":0,"cached_tokens":0},"total_tokens":1646}}</t>
        </is>
      </c>
      <c r="X54" t="inlineStr">
        <is>
          <t>Sennheiser IE 900 银色高解析度入耳式耳机，采用精密铝合金外壳与独立声腔设计，音质细腻纯净，彰显德系工艺美学，适合专业音乐人及发烧友使用。</t>
        </is>
      </c>
    </row>
    <row r="55" ht="25.5" customHeight="1">
      <c r="A55">
        <v>1654975475</v>
      </c>
      <c r="B55">
        <v>7617030655</v>
      </c>
      <c r="C55" s="2" t="str">
        <f>=HYPERLINK("https://weidian.com/item.html?itemID=7617030655", "https://weidian.com/item.html?itemID=7617030655")</f>
        <v>https://weidian.com/item.html?itemID=7617030655</v>
      </c>
      <c r="D55"/>
      <c r="E55" s="2" t="str">
        <f>=HYPERLINK("https://si.geilicdn.com/pcitem2014204438-08ad0000019ac3f04f540a8133cc_1368_1665.jpg?w=640&amp;h=640", "https://si.geilicdn.com/pcitem2014204438-08ad0000019ac3f04f540a8133cc_1368_1665.jpg?w=640&amp;h=640")</f>
        <v>https://si.geilicdn.com/pcitem2014204438-08ad0000019ac3f04f540a8133cc_1368_1665.jpg?w=640&amp;h=640</v>
      </c>
      <c r="F55" t="inlineStr">
        <is>
          <t>Electronic</t>
        </is>
      </c>
      <c r="G55" t="inlineStr">
        <is>
          <t>Dyson</t>
        </is>
      </c>
      <c r="H55">
        <v>1260</v>
      </c>
      <c r="I55">
        <v>182.61</v>
      </c>
      <c r="J55" t="inlineStr">
        <is>
          <t>{"choices":[{"finish_reason":"stop","index":0,"logprobs":null,"message":{"annotations":[],"content":"Dyson Supersonic Nural Smart Blue Hair Dryer","refusal":null,"role":"assistant"}}],"created":1777078883,"id":"chatcmpl-DYLgZ7R350w4ZiE7qpy8ibExxQeWL","model":"gpt-5-chat-latest","object":"chat.completion","service_tier":"default","system_fingerprint":"fp_ad66631dec","usage":{"completion_tokens":12,"completion_tokens_details":{"accepted_prediction_tokens":0,"audio_tokens":0,"reasoning_tokens":0,"rejected_prediction_tokens":0},"prompt_tokens":881,"prompt_tokens_details":{"audio_tokens":0,"cached_tokens":0},"total_tokens":893}}</t>
        </is>
      </c>
      <c r="K55" t="inlineStr">
        <is>
          <t>Dyson Supersonic Nural Smart Blue Hair Dryer</t>
        </is>
      </c>
      <c r="L55" t="inlineStr">
        <is>
          <t>{"choices":[{"finish_reason":"stop","index":0,"logprobs":null,"message":{"annotations":[],"content":"Dyson Supersonic Nural Smart Blue Hair Dryer with intelligent heat control, digital motor, and auto attachment recognition. Lightweight, durable, unisex design for advanced hair care and futuristic style.","refusal":null,"role":"assistant"}}],"created":1777078111,"id":"chatcmpl-DYLU7mJ2vz8G87SQqk3EN00fXuTrR","model":"gpt-5-chat-latest","object":"chat.completion","service_tier":"default","system_fingerprint":"fp_ad66631dec","usage":{"completion_tokens":40,"completion_tokens_details":{"accepted_prediction_tokens":0,"audio_tokens":0,"reasoning_tokens":0,"rejected_prediction_tokens":0},"prompt_tokens":896,"prompt_tokens_details":{"audio_tokens":0,"cached_tokens":0},"total_tokens":936}}</t>
        </is>
      </c>
      <c r="M55" t="inlineStr">
        <is>
          <t>{"alt-svc":"h3=\":443\"; ma=2592000","apim-request-id":"785a171d-14fc-41e2-a589-e59de5830ca9","azureml-model-session":"d20260402083108-57a85543","cache-control":"no-cache","connection":"close","content-length":"792","content-security-policy":"frame-ancestors 'self'","content-type":"application/json","date":"Sat, 25 Apr 2026 00:48:32 GMT","server":"Caddy","skip-error-remapping":"true","strict-transport-security":"max-age=31536000; includeSubDomains; preload","via":"1.1 Caddy","x-api-request-id":"20260425084828758168453sm1jTHk9","x-content-type-options":"nosniff","x-frame-options":"SAMEORIGIN","x-ms-client-request-id":"Not-Set","x-ms-is-spilled-over":"false","x-ms-rai-invoked":"true","x-ms-region":"East US 2","x-new-api-version":"0.5.1","x-oneapi-request-id":"202604250048286289971928268d9d6ONPVRcLg","x-ratelimit-abusepenalty-active":"False","x-ratelimit-limit-requests":"50","x-ratelimit-limit-tokens":"50000","x-ratelimit-remaining-requests":"49","x-ratelimit-remaining-tokens":"-1448","x-ratelimit-renewalperiod-requests":"60","x-ratelimit-renewalperiod-tokens":"60","x-ratelimit-reset-requests":"1200","x-ratelimit-reset-tokens":"61737","x-request-id":"2ab5cbaa-10c8-4391-a3e1-f6a0b390efbd"}</t>
        </is>
      </c>
      <c r="N55" t="inlineStr">
        <is>
          <t>Dyson Supersonic Nural Smart Blue Hair Dryer with intelligent heat control, digital motor, and auto attachment recognition. Lightweight, durable, unisex design for advanced hair care and futuristic style.</t>
        </is>
      </c>
      <c r="O55" t="inlineStr">
        <is>
          <t>{"id":"chatcmpl-DYM2dmqABhtvayXjTzkIKlVx90qEM","object":"chat.completion","created":1777080251,"model":"gpt-5-chat-2025-10-03","choices":[{"index":0,"message":{"role":"assistant","content":"Dyson, Hair Dryer,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92,"total_tokens":874,"prompt_tokens_details":{"cached_tokens":0,"audio_tokens":0},"completion_tokens_details":{"reasoning_tokens":0,"audio_tokens":0,"accepted_prediction_tokens":0,"rejected_prediction_tokens":0}},"service_tier":"default","system_fingerprint":"fp_ad66631dec"}</t>
        </is>
      </c>
      <c r="P55" t="inlineStr">
        <is>
          <t>Dyson, Hair Dryer, kakobuy, kakebuy2026, kekobuysheet, kakobuysheet2026, 2026kakobuy, kakobuyspreadsheeet, kakobuylink, kakebuylist, Kakobuy MEGA Spreadsheet, kakobuysheetfind, kakobuysheetfind2026, 2026kakobuysheetfind, kakobuysheet2026</t>
        </is>
      </c>
      <c r="Q55"/>
      <c r="R55" t="inlineStr">
        <is>
          <t>recvhju1CrSAkN</t>
        </is>
      </c>
      <c r="S55" t="inlineStr">
        <is>
          <t>dyson-supersonic-nural-smart-blue-hair-dryer-recvhju1crsakn</t>
        </is>
      </c>
      <c r="T55"/>
      <c r="U55"/>
      <c r="V55"/>
      <c r="W55" t="inlineStr">
        <is>
          <t>{"choices":[{"finish_reason":"stop","index":0,"logprobs":null,"message":{"annotations":[],"content":"Dyson：Supersonic Nural蓝色智能恒温吹风机，搭载高效数字马达与感应附件识别技术，流线型现代设计，轻盈耐用适合男女通用，彰显未来科技美学与卓越护发体验。","refusal":null,"role":"assistant"}}],"created":1777019759,"id":"chatcmpl-DY6IxDNWIZVRjRht9gN985418KIpy","model":"gpt-5-chat-latest","object":"chat.completion","service_tier":"default","system_fingerprint":"fp_ad66631dec","usage":{"completion_tokens":62,"completion_tokens_details":{"accepted_prediction_tokens":0,"audio_tokens":0,"reasoning_tokens":0,"rejected_prediction_tokens":0},"prompt_tokens":1301,"prompt_tokens_details":{"audio_tokens":0,"cached_tokens":0},"total_tokens":1363}}</t>
        </is>
      </c>
      <c r="X55" t="inlineStr">
        <is>
          <t>Dyson：Supersonic Nural蓝色智能恒温吹风机，搭载高效数字马达与感应附件识别技术，流线型现代设计，轻盈耐用适合男女通用，彰显未来科技美学与卓越护发体验。</t>
        </is>
      </c>
    </row>
    <row r="56" ht="25.5" customHeight="1">
      <c r="A56">
        <v>1654975475</v>
      </c>
      <c r="B56">
        <v>7617390291</v>
      </c>
      <c r="C56" s="2" t="str">
        <f>=HYPERLINK("https://weidian.com/item.html?itemID=7617390291", "https://weidian.com/item.html?itemID=7617390291")</f>
        <v>https://weidian.com/item.html?itemID=7617390291</v>
      </c>
      <c r="D56"/>
      <c r="E56" s="2" t="str">
        <f>=HYPERLINK("https://si.geilicdn.com/pcitem2014204438-0b920000019ac3fe4dfb0a207569_2160_1128.jpg?w=640&amp;h=640", "https://si.geilicdn.com/pcitem2014204438-0b920000019ac3fe4dfb0a207569_2160_1128.jpg?w=640&amp;h=640")</f>
        <v>https://si.geilicdn.com/pcitem2014204438-0b920000019ac3fe4dfb0a207569_2160_1128.jpg?w=640&amp;h=640</v>
      </c>
      <c r="F56" t="inlineStr">
        <is>
          <t>Electronic</t>
        </is>
      </c>
      <c r="G56" t="inlineStr">
        <is>
          <t>Sumsung</t>
        </is>
      </c>
      <c r="H56">
        <v>200</v>
      </c>
      <c r="I56">
        <v>28.99</v>
      </c>
      <c r="J56" t="inlineStr">
        <is>
          <t>{"id":"chatcmpl-DYLjEjDNl1APRxpBk1zUOm64pK1N9","object":"chat.completion","created":1777079048,"model":"gpt-5-chat-latest","choices":[{"index":0,"message":{"role":"assistant","content":"Samsung Galaxy Buds3 Pro White Wireless Noise Cancelling Earbuds","refusal":null,"annotations":[]},"logprobs":null,"finish_reason":"stop"}],"usage":{"prompt_tokens":592,"completion_tokens":14,"total_tokens":606,"prompt_tokens_details":{"cached_tokens":0,"audio_tokens":0},"completion_tokens_details":{"reasoning_tokens":0,"audio_tokens":0,"accepted_prediction_tokens":0,"rejected_prediction_tokens":0}},"service_tier":"default","system_fingerprint":"fp_ad66631dec"}</t>
        </is>
      </c>
      <c r="K56" t="inlineStr">
        <is>
          <t>Samsung Galaxy Buds3 Pro White Wireless Noise Cancelling Earbuds</t>
        </is>
      </c>
      <c r="L56" t="inlineStr">
        <is>
          <t>{"id":"chatcmpl-DYLXytEVS9NDtaHU1t270edn3fl98","object":"chat.completion","created":1777078350,"model":"gpt-5-chat-latest","choices":[{"index":0,"message":{"role":"assistant","content":"Samsung Galaxy Buds3 Pro White earbuds feature matte finish, sleek design, active noise cancellation, and HD calling. Smart, stylish, wireless comfort for men and women.","refusal":null,"annotations":[]},"logprobs":null,"finish_reason":"stop"}],"usage":{"prompt_tokens":617,"completion_tokens":35,"total_tokens":652,"prompt_tokens_details":{"cached_tokens":0,"audio_tokens":0},"completion_tokens_details":{"reasoning_tokens":0,"audio_tokens":0,"accepted_prediction_tokens":0,"rejected_prediction_tokens":0}},"service_tier":"default","system_fingerprint":"fp_ad66631dec"}</t>
        </is>
      </c>
      <c r="M5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ma=2592000","apim-request-id":"718df2c5-0f73-4361-bf89-2a20a7d1c0b1","azureml-model-session":"d20260405234249-f9874baf","cache-control":"no-cache, no-store, must-revalidate","connection":"close","content-length":"973","content-security-policy":"frame-ancestors 'self'","content-type":"application/json","date":"Sat, 25 Apr 2026 00:52:31 GMT","server":"nginx","skip-error-remapping":"true","strict-transport-security":"max-age=31536000; includeSubDomains; preload","via":"1.1 Caddy, 1.1 Caddy","x-api-request-id":"20260425085229640513004yrP1LMQ5","x-content-type-options":"nosniff","x-frame-options":"SAMEORIGIN","x-ms-is-spilled-over":"false","x-ms-rai-invoked":"false","x-ms-region":"East US 2","x-new-api-version":"0.5.1","x-oneapi-request-id":"202604250052291322252008268d9d6FhwL0wQ9","x-ratelimit-abusepenalty-active":"False","x-ratelimit-limit-requests":"4992","x-ratelimit-limit-tokens":"4992000","x-ratelimit-remaining-requests":"4991","x-ratelimit-remaining-tokens":"4990619","x-ratelimit-renewalperiod-requests":"60","x-ratelimit-renewalperiod-tokens":"60","x-ratelimit-reset-requests":"12","x-ratelimit-reset-tokens":"16","x-request-id":"5f70db78-9c8d-4e2c-9ed4-622fbe6145b8"}</t>
        </is>
      </c>
      <c r="N56" t="inlineStr">
        <is>
          <t>Samsung Galaxy Buds3 Pro White earbuds feature matte finish, sleek design, active noise cancellation, and HD calling. Smart, stylish, wireless comfort for men and women.</t>
        </is>
      </c>
      <c r="O56" t="inlineStr">
        <is>
          <t>{"id":"chatcmpl-DYLtCHIbCvCkmAF0rjHElGQPCXe3y","object":"chat.completion","created":1777079666,"model":"gpt-5-chat-2025-10-03","choices":[{"index":0,"message":{"role":"assistant","content":"Samsung, Earbuds, kakobuy, kakebuy2026, kekobuysheet, kakobuysheet2026, 2026kakobuy, kakobuyspreadsheeet, kakobuylink, kakebuylist, Kakobuy MEGA Spreadsheet, kakobuysheetfind, kakobuysheetfind2026, 2026kakobuysheetfind, kakobuysheet2026","refusal":null,"annotations":[]},"logprobs":null,"finish_reason":"stop"}],"usage":{"prompt_tokens":503,"completion_tokens":91,"total_tokens":594,"prompt_tokens_details":{"cached_tokens":0,"audio_tokens":0},"completion_tokens_details":{"reasoning_tokens":0,"audio_tokens":0,"accepted_prediction_tokens":0,"rejected_prediction_tokens":0}},"service_tier":"default","system_fingerprint":"fp_ad66631dec"}</t>
        </is>
      </c>
      <c r="P56" t="inlineStr">
        <is>
          <t>Samsung, Earbuds, kakobuy, kakebuy2026, kekobuysheet, kakobuysheet2026, 2026kakobuy, kakobuyspreadsheeet, kakobuylink, kakebuylist, Kakobuy MEGA Spreadsheet, kakobuysheetfind, kakobuysheetfind2026, 2026kakobuysheetfind, kakobuysheet2026</t>
        </is>
      </c>
      <c r="Q56"/>
      <c r="R56" t="inlineStr">
        <is>
          <t>recvhju1CrUyxz</t>
        </is>
      </c>
      <c r="S56" t="inlineStr">
        <is>
          <t>samsung-buds3-pro-white-recvhju1cruyxz</t>
        </is>
      </c>
      <c r="T56"/>
      <c r="U56"/>
      <c r="V56"/>
      <c r="W56" t="inlineStr">
        <is>
          <t>{"id":"chatcmpl-DY6HO0DR92H3mt5VjJ68TGcTkNrSN","object":"chat.completion","created":1777019662,"model":"gpt-5-chat-latest","choices":[{"index":0,"message":{"role":"assistant","content":"Samsung：Galaxy Buds3 Pro 白色真无线蓝牙耳机，采用磨砂质感外壳与流线设计，搭载主动降噪与高清通话功能，现代简约风格，男女皆宜，展现智能科技与时尚品味。","refusal":null,"annotations":[]},"logprobs":null,"finish_reason":"stop"}],"usage":{"prompt_tokens":1023,"completion_tokens":62,"total_tokens":1085,"prompt_tokens_details":{"cached_tokens":0,"audio_tokens":0},"completion_tokens_details":{"reasoning_tokens":0,"audio_tokens":0,"accepted_prediction_tokens":0,"rejected_prediction_tokens":0}},"service_tier":"default","system_fingerprint":"fp_ad66631dec"}</t>
        </is>
      </c>
      <c r="X56" t="inlineStr">
        <is>
          <t>Samsung：Galaxy Buds3 Pro 白色真无线蓝牙耳机，采用磨砂质感外壳与流线设计，搭载主动降噪与高清通话功能，现代简约风格，男女皆宜，展现智能科技与时尚品味。</t>
        </is>
      </c>
    </row>
    <row r="57" ht="25.5" customHeight="1">
      <c r="A57">
        <v>1654975475</v>
      </c>
      <c r="B57">
        <v>7619954920</v>
      </c>
      <c r="C57" s="2" t="str">
        <f>=HYPERLINK("https://weidian.com/item.html?itemID=7619954920", "https://weidian.com/item.html?itemID=7619954920")</f>
        <v>https://weidian.com/item.html?itemID=7619954920</v>
      </c>
      <c r="D57"/>
      <c r="E57" s="2" t="str">
        <f>=HYPERLINK("https://si.geilicdn.com/pcitem2014204438-16ed0000019ac406315a0a23111a_1080_1440.jpg?w=640&amp;h=640", "https://si.geilicdn.com/pcitem2014204438-16ed0000019ac406315a0a23111a_1080_1440.jpg?w=640&amp;h=640")</f>
        <v>https://si.geilicdn.com/pcitem2014204438-16ed0000019ac406315a0a23111a_1080_1440.jpg?w=640&amp;h=640</v>
      </c>
      <c r="F57" t="inlineStr">
        <is>
          <t>Electronic</t>
        </is>
      </c>
      <c r="G57" t="inlineStr">
        <is>
          <t>Bose</t>
        </is>
      </c>
      <c r="H57">
        <v>440</v>
      </c>
      <c r="I57">
        <v>63.77</v>
      </c>
      <c r="J57" t="inlineStr">
        <is>
          <t>{"id":"chatcmpl-DYLnqGsZu2dkE2bhAxbRuASrfOuW0","object":"chat.completion","created":1777079334,"model":"gpt-5-chat-2025-10-03","choices":[{"index":0,"message":{"role":"assistant","content":"ElectronicBose Pink Wireless Noise Cancelling Headphones","refusal":null,"annotations":[]},"logprobs":null,"finish_reason":"stop"}],"usage":{"prompt_tokens":877,"completion_tokens":11,"total_tokens":888,"prompt_tokens_details":{"cached_tokens":0,"audio_tokens":0},"completion_tokens_details":{"reasoning_tokens":0,"audio_tokens":0,"accepted_prediction_tokens":0,"rejected_prediction_tokens":0}},"service_tier":"default","system_fingerprint":"fp_ad66631dec"}</t>
        </is>
      </c>
      <c r="K57" t="inlineStr">
        <is>
          <t>ElectronicBose Pink Wireless Noise Cancelling Headphones</t>
        </is>
      </c>
      <c r="L57" t="inlineStr">
        <is>
          <t>{"id":"chatcmpl-DYLWNL7ekBmAahww9YLYgJHA86caA","object":"chat.completion","created":1777078251,"model":"gpt-5-chat-latest","choices":[{"index":0,"message":{"role":"assistant","content":"ElectronicBoseBose Pink Wireless Noise Cancelling Headphones, soft leather ear cushions, metallic finish, modern futuristic design, high-fidelity sound, unisex, immersive listening experience.","refusal":null,"annotations":[]},"logprobs":null,"finish_reason":"stop"}],"usage":{"prompt_tokens":889,"completion_tokens":38,"total_tokens":927,"prompt_tokens_details":{"cached_tokens":0,"audio_tokens":0},"completion_tokens_details":{"reasoning_tokens":0,"audio_tokens":0,"accepted_prediction_tokens":0,"rejected_prediction_tokens":0}},"service_tier":"default","system_fingerprint":"fp_ad66631dec"}</t>
        </is>
      </c>
      <c r="M5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ma=2592000","apim-request-id":"dd85ae3d-d424-454f-aba3-7e30f93a4cdb","azureml-model-session":"d20260405234249-f9874baf","cache-control":"no-cache, no-store, must-revalidate","connection":"close","content-length":"996","content-security-policy":"frame-ancestors 'self'","content-type":"application/json","date":"Sat, 25 Apr 2026 00:50:53 GMT","server":"nginx","skip-error-remapping":"true","strict-transport-security":"max-age=31536000; includeSubDomains; preload","via":"1.1 Caddy, 1.1 Caddy","x-api-request-id":"20260425085050733021793LQrwmmxG","x-content-type-options":"nosniff","x-frame-options":"SAMEORIGIN","x-ms-is-spilled-over":"false","x-ms-rai-invoked":"false","x-ms-region":"East US 2","x-new-api-version":"0.5.1","x-oneapi-request-id":"202604250050456227204108268d9d6C7wr51y4","x-ratelimit-abusepenalty-active":"False","x-ratelimit-limit-requests":"4992","x-ratelimit-limit-tokens":"4992000","x-ratelimit-remaining-requests":"4991","x-ratelimit-remaining-tokens":"4990349","x-ratelimit-renewalperiod-requests":"60","x-ratelimit-renewalperiod-tokens":"60","x-ratelimit-reset-requests":"12","x-ratelimit-reset-tokens":"19","x-request-id":"6c1c6934-6b7e-403a-8c80-caef85b9a6f4"}</t>
        </is>
      </c>
      <c r="N57" t="inlineStr">
        <is>
          <t>ElectronicBoseBose Pink Wireless Noise Cancelling Headphones, soft leather ear cushions, metallic finish, modern futuristic design, high-fidelity sound, unisex, immersive listening experience.</t>
        </is>
      </c>
      <c r="O57" t="inlineStr">
        <is>
          <t>{"id":"chatcmpl-DYLvofcSTFWBBIMAliMk4ofYBz3TW","object":"chat.completion","created":1777079828,"model":"gpt-5-chat-2025-10-03","choices":[{"index":0,"message":{"role":"assistant","content":"ElectronicBose,Headphon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89,"total_tokens":871,"prompt_tokens_details":{"cached_tokens":0,"audio_tokens":0},"completion_tokens_details":{"reasoning_tokens":0,"audio_tokens":0,"accepted_prediction_tokens":0,"rejected_prediction_tokens":0}},"service_tier":"default","system_fingerprint":"fp_ad66631dec"}</t>
        </is>
      </c>
      <c r="P57" t="inlineStr">
        <is>
          <t>ElectronicBose,Headphones,kakobuy,kakebuy2026,kekobuysheet,kakobuysheet2026,2026kakobuy,kakobuyspreadsheeet,kakobuylink,kakebuylist,Kakobuy MEGA Spreadsheet,kakobuysheetfind,kakobuysheetfind2026,2026kakobuysheetfind,kakobuysheet2026</t>
        </is>
      </c>
      <c r="Q57" t="inlineStr">
        <is>
          <t>Leather, Modern, Pink, Unisex</t>
        </is>
      </c>
      <c r="R57" t="inlineStr">
        <is>
          <t>recvhju1Cr1Muq</t>
        </is>
      </c>
      <c r="S57" t="inlineStr">
        <is>
          <t>bose-pink-wireless-noise-cancelling-headphones-recvhju1cr1muq</t>
        </is>
      </c>
      <c r="T57"/>
      <c r="U57"/>
      <c r="V57"/>
      <c r="W57" t="inlineStr">
        <is>
          <t>{"choices":[{"finish_reason":"stop","index":0,"logprobs":null,"message":{"annotations":[],"content":"Bose：粉红色无线降噪耳机，采用柔软皮质耳罩与金属质感设计，融合现代未来风格与高保真音效技术，男女皆宜，尽享沉浸式聆听体验。","refusal":null,"role":"assistant"}}],"created":1777019685,"id":"chatcmpl-DY6HlABE6zSvtuTLviPEtyFpsrFVG","model":"gpt-5-chat-latest","object":"chat.completion","service_tier":"default","system_fingerprint":"fp_ad66631dec","usage":{"completion_tokens":56,"completion_tokens_details":{"accepted_prediction_tokens":0,"audio_tokens":0,"reasoning_tokens":0,"rejected_prediction_tokens":0},"prompt_tokens":1299,"prompt_tokens_details":{"audio_tokens":0,"cached_tokens":1280},"total_tokens":1355}}</t>
        </is>
      </c>
      <c r="X57" t="inlineStr">
        <is>
          <t>Bose：粉红色无线降噪耳机，采用柔软皮质耳罩与金属质感设计，融合现代未来风格与高保真音效技术，男女皆宜，尽享沉浸式聆听体验。</t>
        </is>
      </c>
    </row>
    <row r="58" ht="25.5" customHeight="1">
      <c r="A58">
        <v>1654975475</v>
      </c>
      <c r="B58">
        <v>7620336862</v>
      </c>
      <c r="C58" s="2" t="str">
        <f>=HYPERLINK("https://weidian.com/item.html?itemID=7620336862", "https://weidian.com/item.html?itemID=7620336862")</f>
        <v>https://weidian.com/item.html?itemID=7620336862</v>
      </c>
      <c r="D58"/>
      <c r="E58" s="2" t="str">
        <f>=HYPERLINK("https://si.geilicdn.com/pcitem2014204438-73820000019ac3e0bb6f0a20e273_1440_1920.jpg?w=640&amp;h=640", "https://si.geilicdn.com/pcitem2014204438-73820000019ac3e0bb6f0a20e273_1440_1920.jpg?w=640&amp;h=640")</f>
        <v>https://si.geilicdn.com/pcitem2014204438-73820000019ac3e0bb6f0a20e273_1440_1920.jpg?w=640&amp;h=640</v>
      </c>
      <c r="F58" t="inlineStr">
        <is>
          <t>Electronic</t>
        </is>
      </c>
      <c r="G58" t="inlineStr">
        <is>
          <t>Dyson</t>
        </is>
      </c>
      <c r="H58">
        <v>960</v>
      </c>
      <c r="I58">
        <v>139.13</v>
      </c>
      <c r="J58" t="inlineStr">
        <is>
          <t>{"id":"chatcmpl-DYLhZxXsqFFmPKLtYnCmYDqJZHFYc","object":"chat.completion","created":1777078945,"model":"gpt-5-chat-latest","choices":[{"index":0,"message":{"role":"assistant","content":"ElectronicDyson Blue Pink Multifunction Hair Styler 3in1","refusal":null,"annotations":[]},"logprobs":null,"finish_reason":"stop"}],"usage":{"prompt_tokens":883,"completion_tokens":15,"total_tokens":898,"prompt_tokens_details":{"cached_tokens":0,"audio_tokens":0},"completion_tokens_details":{"reasoning_tokens":0,"audio_tokens":0,"accepted_prediction_tokens":0,"rejected_prediction_tokens":0}},"service_tier":"default","system_fingerprint":"fp_ad66631dec"}</t>
        </is>
      </c>
      <c r="K58" t="inlineStr">
        <is>
          <t>ElectronicDyson Blue Pink Multifunction Hair Styler 3in1</t>
        </is>
      </c>
      <c r="L58" t="inlineStr">
        <is>
          <t>{"id":"chatcmpl-DYLZW2WWBNr1aiqDkRmqtrmquvpX1","object":"chat.completion","created":1777078446,"model":"gpt-5-chat-latest","choices":[{"index":0,"message":{"role":"assistant","content":"ElectronicDysonDyson Multifunction Hair Styler in blue-pink design combines curling, smoothing, and drying in one. Lightweight, heat-resistant, unisex, and delivers salon-quality styling performance.","refusal":null,"annotations":[]},"logprobs":null,"finish_reason":"stop"}],"usage":{"prompt_tokens":900,"completion_tokens":41,"total_tokens":941,"prompt_tokens_details":{"cached_tokens":0,"audio_tokens":0},"completion_tokens_details":{"reasoning_tokens":0,"audio_tokens":0,"accepted_prediction_tokens":0,"rejected_prediction_tokens":0}},"service_tier":"default","system_fingerprint":"fp_ad66631dec"}</t>
        </is>
      </c>
      <c r="M5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ma=2592000","apim-request-id":"8e16d377-f5a7-4b2e-bbd3-89c139ad8e00","azureml-model-session":"d20260402075109-1fc5a0ec","cache-control":"no-cache, no-store, must-revalidate","connection":"close","content-length":"1003","content-security-policy":"frame-ancestors 'self'","content-type":"application/json","date":"Sat, 25 Apr 2026 00:54:09 GMT","server":"Caddy","skip-error-remapping":"true","strict-transport-security":"max-age=31536000; includeSubDomains; preload","via":"1.1 Caddy","x-api-request-id":"202604250854049546492348SVxLMDz","x-content-type-options":"nosniff","x-frame-options":"SAMEORIGIN","x-ms-is-spilled-over":"false","x-ms-rai-invoked":"false","x-ms-region":"Sweden Central","x-new-api-version":"0.5.1","x-oneapi-request-id":"202604250054014476988398268d9d6UyvldcNJ","x-ratelimit-abusepenalty-active":"False","x-ratelimit-limit-requests":"4991","x-ratelimit-limit-tokens":"4991000","x-ratelimit-remaining-requests":"4990","x-ratelimit-remaining-tokens":"4989338","x-ratelimit-renewalperiod-requests":"60","x-ratelimit-renewalperiod-tokens":"60","x-ratelimit-reset-requests":"12","x-ratelimit-reset-tokens":"19","x-request-id":"848b3dfb-63aa-42f4-b296-2590d4dd6d67"}</t>
        </is>
      </c>
      <c r="N58" t="inlineStr">
        <is>
          <t>ElectronicDysonDyson Multifunction Hair Styler in blue-pink design combines curling, smoothing, and drying in one. Lightweight, heat-resistant, unisex, and delivers salon-quality styling performance.</t>
        </is>
      </c>
      <c r="O58" t="inlineStr">
        <is>
          <t>{"id":"chatcmpl-DYLxxP5iT5SJbw0dAB4IpnPb6KBfp","object":"chat.completion","created":1777079961,"model":"gpt-5-chat-2025-10-03","choices":[{"index":0,"message":{"role":"assistant","content":"ElectronicDyson,Hair Styler,kakobuy,kakebuy2026,kekobuysheet,kakobuysheet2026,2026kakobuy,kakobuyspreadsheeet,kakobuylink,kakebuylist,Kakobuy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90,"total_tokens":872,"prompt_tokens_details":{"cached_tokens":0,"audio_tokens":0},"completion_tokens_details":{"reasoning_tokens":0,"audio_tokens":0,"accepted_prediction_tokens":0,"rejected_prediction_tokens":0}},"service_tier":"default","system_fingerprint":"fp_ad66631dec"}</t>
        </is>
      </c>
      <c r="P58" t="inlineStr">
        <is>
          <t>ElectronicDyson,Hair Styler,kakobuy,kakebuy2026,kekobuysheet,kakobuysheet2026,2026kakobuy,kakobuyspreadsheeet,kakobuylink,kakebuylist,Kakobuy MEGA Spreadsheet,kakobuysheetfind,kakobuysheetfind2026,2026kakobuysheetfind,kakobuysheet2026</t>
        </is>
      </c>
      <c r="Q58"/>
      <c r="R58" t="inlineStr">
        <is>
          <t>recvhju1CrerXa</t>
        </is>
      </c>
      <c r="S58" t="inlineStr">
        <is>
          <t>dyson-blue-pink-hair-styler-3in1-recvhju1crerxa</t>
        </is>
      </c>
      <c r="T58"/>
      <c r="U58"/>
      <c r="V58"/>
      <c r="W58" t="inlineStr">
        <is>
          <t>{"choices":[{"finish_reason":"stop","index":0,"logprobs":null,"message":{"annotations":[],"content":"Dyson：多功能蓝粉配色美发造型器，融合高效卷发、顺发与吹干三合一功能，采用轻盈耐热材质与流线设计，现代简约风格，适合男女通用，打造专业沙龙级造型体验。","refusal":null,"role":"assistant"}}],"created":1777019536,"id":"chatcmpl-DY6FMbLVySH4l6EGnT3iSlxhjowxo","model":"gpt-5-chat-latest","object":"chat.completion","service_tier":"default","system_fingerprint":"fp_ad66631dec","usage":{"completion_tokens":65,"completion_tokens_details":{"accepted_prediction_tokens":0,"audio_tokens":0,"reasoning_tokens":0,"rejected_prediction_tokens":0},"prompt_tokens":1303,"prompt_tokens_details":{"audio_tokens":0,"cached_tokens":0},"total_tokens":1368}}</t>
        </is>
      </c>
      <c r="X58" t="inlineStr">
        <is>
          <t>Dyson：多功能蓝粉配色美发造型器，融合高效卷发、顺发与吹干三合一功能，采用轻盈耐热材质与流线设计，现代简约风格，适合男女通用，打造专业沙龙级造型体验。</t>
        </is>
      </c>
    </row>
    <row r="59" ht="25.5" customHeight="1">
      <c r="A59">
        <v>1654975475</v>
      </c>
      <c r="B59">
        <v>7620364314</v>
      </c>
      <c r="C59" s="2" t="str">
        <f>=HYPERLINK("https://weidian.com/item.html?itemID=7620364314", "https://weidian.com/item.html?itemID=7620364314")</f>
        <v>https://weidian.com/item.html?itemID=7620364314</v>
      </c>
      <c r="D59"/>
      <c r="E59" s="2" t="str">
        <f>=HYPERLINK("https://si.geilicdn.com/pcitem2014204438-11190000019ac402f2ea0a2303ee_1440_1920.jpg?w=640&amp;h=640", "https://si.geilicdn.com/pcitem2014204438-11190000019ac402f2ea0a2303ee_1440_1920.jpg?w=640&amp;h=640")</f>
        <v>https://si.geilicdn.com/pcitem2014204438-11190000019ac402f2ea0a2303ee_1440_1920.jpg?w=640&amp;h=640</v>
      </c>
      <c r="F59" t="inlineStr">
        <is>
          <t>Electronic</t>
        </is>
      </c>
      <c r="G59" t="inlineStr">
        <is>
          <t xml:space="preserve"> Apple</t>
        </is>
      </c>
      <c r="H59">
        <v>900</v>
      </c>
      <c r="I59">
        <v>130.43</v>
      </c>
      <c r="J59" t="inlineStr">
        <is>
          <t>{"choices":[{"finish_reason":"stop","index":0,"logprobs":null,"message":{"annotations":[],"content":"Apple AirPods Max Silver Wireless Noise Cancelling Headphones","refusal":null,"role":"assistant"}}],"created":1777079064,"id":"chatcmpl-DYLjUbMu95GPu921lqYxX75lZLbFB","model":"gpt-5-chat-latest","object":"chat.completion","service_tier":"default","system_fingerprint":"fp_ad66631dec","usage":{"completion_tokens":12,"completion_tokens_details":{"accepted_prediction_tokens":0,"audio_tokens":0,"reasoning_tokens":0,"rejected_prediction_tokens":0},"prompt_tokens":872,"prompt_tokens_details":{"audio_tokens":0,"cached_tokens":0},"total_tokens":884}}</t>
        </is>
      </c>
      <c r="K59" t="inlineStr">
        <is>
          <t>Apple AirPods Max Silver Wireless Noise Cancelling Headphones</t>
        </is>
      </c>
      <c r="L59" t="inlineStr">
        <is>
          <t>{"id":"chatcmpl-DYLYAaNN5Fi8vApKsigma4He30nYI","object":"chat.completion","created":1777078362,"model":"gpt-5-chat-latest","choices":[{"index":0,"message":{"role":"assistant","content":"Apple AirPods Max Silver—Premium aluminum and memory foam design with superior active noise cancellation and spatial audio; minimalist style for luxury sound and comfort, perfect for men and women.","refusal":null,"annotations":[]},"logprobs":null,"finish_reason":"stop"}],"usage":{"prompt_tokens":906,"completion_tokens":36,"total_tokens":942,"prompt_tokens_details":{"cached_tokens":0,"audio_tokens":0},"completion_tokens_details":{"reasoning_tokens":0,"audio_tokens":0,"accepted_prediction_tokens":0,"rejected_prediction_tokens":0}},"service_tier":"default","system_fingerprint":"fp_ad66631dec"}</t>
        </is>
      </c>
      <c r="M5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ma=2592000","apim-request-id":"db3e163e-674e-4628-bd1f-69ff3bccbb7c","azureml-model-session":"d20260405221325-2e8d5e76","cache-control":"no-cache, no-store, must-revalidate","connection":"close","content-length":"1003","content-security-policy":"frame-ancestors 'self'","content-type":"application/json","date":"Sat, 25 Apr 2026 00:52:43 GMT","server":"Caddy","skip-error-remapping":"true","strict-transport-security":"max-age=31536000; includeSubDomains; preload","via":"1.1 Caddy","x-api-request-id":"20260425085240757858036p7aruHbF","x-content-type-options":"nosniff","x-frame-options":"SAMEORIGIN","x-ms-is-spilled-over":"false","x-ms-rai-invoked":"false","x-ms-region":"East US 2","x-new-api-version":"0.5.1","x-oneapi-request-id":"2026042500524063294928268d9d6QplawrK1","x-ratelimit-abusepenalty-active":"False","x-ratelimit-limit-requests":"4992","x-ratelimit-limit-tokens":"4992000","x-ratelimit-remaining-requests":"4991","x-ratelimit-remaining-tokens":"4990332","x-ratelimit-renewalperiod-requests":"60","x-ratelimit-renewalperiod-tokens":"60","x-ratelimit-reset-requests":"12","x-ratelimit-reset-tokens":"20","x-request-id":"4398f836-90c4-49c0-ae18-49668b0db8d8"}</t>
        </is>
      </c>
      <c r="N59" t="inlineStr">
        <is>
          <t>Apple AirPods Max Silver—Premium aluminum and memory foam design with superior active noise cancellation and spatial audio; minimalist style for luxury sound and comfort, perfect for men and women.</t>
        </is>
      </c>
      <c r="O59" t="inlineStr">
        <is>
          <t>{"id":"chatcmpl-DYM1gA1b8TQ4bsSndWpM2WAvmAfpw","object":"chat.completion","created":1777080192,"model":"gpt-5-chat-2025-10-03","choices":[{"index":0,"message":{"role":"assistant","content":"Apple, AirPods Max, kakobuy, kakebuy2026, kekobuysheet, kakobuysheet2026, 2026kakobuy, kakobuyspreadsheeet, kakobuylink, kakebuylist, Kakobuy MEGA Spreadsheet, kakobuysheetfind, kakobuysheetfind2026, 2026kakobuysheetfind, kakobuysheet2026  \nSanyuan Kangyu, sneakers, kakobuy, kakebuy2026, kekobuysheet, kakobuysheet2026, 2026kakobuy, kakobuyspreadsheeet, kakobuylink, kakebuylist, Kakobuy MEGA Spreadsheet, kakobuysheetfind, kakobuysheetfind2026, 2026kakobuysheetfind, kakobuysheet2026","refusal":null,"annotations":[]},"logprobs":null,"finish_reason":"stop"}],"usage":{"prompt_tokens":781,"completion_tokens":186,"total_tokens":967,"prompt_tokens_details":{"cached_tokens":0,"audio_tokens":0},"completion_tokens_details":{"reasoning_tokens":0,"audio_tokens":0,"accepted_prediction_tokens":0,"rejected_prediction_tokens":0}},"service_tier":"default","system_fingerprint":"fp_ad66631dec"}</t>
        </is>
      </c>
      <c r="P59" t="inlineStr">
        <is>
          <t>Apple, AirPods Max, kakobuy, kakebuy2026, kekobuysheet, kakobuysheet2026, 2026kakobuy, kakobuyspreadsheeet, kakobuylink, kakebuylist, Kakobuy MEGA Spreadsheet, kakobuysheetfind, kakobuysheetfind2026, 2026kakobuysheetfind, kakobuysheet2026  
Sanyuan Kangyu, sneakers, kakobuy, kakebuy2026, kekobuysheet, kakobuysheet2026, 2026kakobuy, kakobuyspreadsheeet, kakobuylink, kakebuylist, Kakobuy MEGA Spreadsheet, kakobuysheetfind, kakobuysheetfind2026, 2026kakobuysheetfind, kakobuysheet2026</t>
        </is>
      </c>
      <c r="Q59"/>
      <c r="R59" t="inlineStr">
        <is>
          <t>recvhju1CrB8Un</t>
        </is>
      </c>
      <c r="S59" t="inlineStr">
        <is>
          <t>apple-airpods-max-silver-recvhju1crb8un</t>
        </is>
      </c>
      <c r="T59"/>
      <c r="U59"/>
      <c r="V59"/>
      <c r="W59" t="inlineStr">
        <is>
          <t>{"id":"chatcmpl-DY6FsBEhgInTs4Am5kZyCZHKlKdNX","object":"chat.completion","created":1777019568,"model":"gpt-5-chat-latest","choices":[{"index":0,"message":{"role":"assistant","content":"Apple：AirPods Max银灰色头戴式耳机，采用高品质铝合金与柔软记忆泡棉材质，融合极简美学与现代科技设计，主动降噪与空间音效功能卓越，展现高级时尚格调，男女皆宜，为高端听觉体验打造。","refusal":null,"annotations":[]},"logprobs":null,"finish_reason":"stop"}],"usage":{"prompt_tokens":1297,"completion_tokens":75,"total_tokens":1372,"prompt_tokens_details":{"cached_tokens":0,"audio_tokens":0},"completion_tokens_details":{"reasoning_tokens":0,"audio_tokens":0,"accepted_prediction_tokens":0,"rejected_prediction_tokens":0}},"service_tier":"default","system_fingerprint":"fp_ad66631dec"}</t>
        </is>
      </c>
      <c r="X59" t="inlineStr">
        <is>
          <t>Apple：AirPods Max银灰色头戴式耳机，采用高品质铝合金与柔软记忆泡棉材质，融合极简美学与现代科技设计，主动降噪与空间音效功能卓越，展现高级时尚格调，男女皆宜，为高端听觉体验打造。</t>
        </is>
      </c>
    </row>
    <row r="60" ht="25.5" customHeight="1">
      <c r="A60">
        <v>1654975475</v>
      </c>
      <c r="B60">
        <v>7617329087</v>
      </c>
      <c r="C60" s="2" t="str">
        <f>=HYPERLINK("https://weidian.com/item.html?itemID=7617329087", "https://weidian.com/item.html?itemID=7617329087")</f>
        <v>https://weidian.com/item.html?itemID=7617329087</v>
      </c>
      <c r="D60"/>
      <c r="E60" s="2" t="str">
        <f>=HYPERLINK("https://si.geilicdn.com/pcitem2014204438-02ba0000019ac3f255880a2102c5_1260_1657.jpg?w=640&amp;h=640", "https://si.geilicdn.com/pcitem2014204438-02ba0000019ac3f255880a2102c5_1260_1657.jpg?w=640&amp;h=640")</f>
        <v>https://si.geilicdn.com/pcitem2014204438-02ba0000019ac3f255880a2102c5_1260_1657.jpg?w=640&amp;h=640</v>
      </c>
      <c r="F60" t="inlineStr">
        <is>
          <t>Electronic</t>
        </is>
      </c>
      <c r="G60" t="inlineStr">
        <is>
          <t>Dyson</t>
        </is>
      </c>
      <c r="H60">
        <v>1400</v>
      </c>
      <c r="I60">
        <v>202.9</v>
      </c>
      <c r="J60" t="inlineStr">
        <is>
          <t>{"id":"chatcmpl-DYLj2XsLtXdWfGyLGiq5Fzdj1sARI","object":"chat.completion","created":1777079036,"model":"gpt-5-chat-latest","choices":[{"index":0,"message":{"role":"assistant","content":"Dyson Supersonic Deep Sea Blue Hair Dryer","refusal":null,"annotations":[]},"logprobs":null,"finish_reason":"stop"}],"usage":{"prompt_tokens":879,"completion_tokens":11,"total_tokens":890,"prompt_tokens_details":{"cached_tokens":0,"audio_tokens":0},"completion_tokens_details":{"reasoning_tokens":0,"audio_tokens":0,"accepted_prediction_tokens":0,"rejected_prediction_tokens":0}},"service_tier":"default","system_fingerprint":"fp_ad66631dec"}</t>
        </is>
      </c>
      <c r="K60" t="inlineStr">
        <is>
          <t>Dyson Supersonic Deep Sea Blue Hair Dryer</t>
        </is>
      </c>
      <c r="L60" t="inlineStr">
        <is>
          <t>{"choices":[{"finish_reason":"stop","index":0,"logprobs":null,"message":{"annotations":[],"content":"Dyson Supersonic Deep Sea Blue Hair Dryer: lightweight matte metal design, digital motor, smart heat control for fast drying and damage protection, modern minimalist style for all, futuristic elegance.","refusal":null,"role":"assistant"}}],"created":1777078073,"id":"chatcmpl-DYLTVJRz63ZViTb4Xxqu8jdiZvX1s","model":"gpt-5-chat-latest","object":"chat.completion","service_tier":"default","system_fingerprint":"fp_ad66631dec","usage":{"completion_tokens":39,"completion_tokens_details":{"accepted_prediction_tokens":0,"audio_tokens":0,"reasoning_tokens":0,"rejected_prediction_tokens":0},"prompt_tokens":903,"prompt_tokens_details":{"audio_tokens":0,"cached_tokens":0},"total_tokens":942}}</t>
        </is>
      </c>
      <c r="M60" t="inlineStr">
        <is>
          <t>{"alt-svc":"h3=\":443\"; ma=2592000","apim-request-id":"35342fa3-2025-4ea6-ab66-6282f2018847","azureml-model-session":"d20260405225800-40f19e54","cache-control":"no-cache","connection":"close","content-length":"789","content-security-policy":"frame-ancestors 'self'","content-type":"application/json","date":"Sat, 25 Apr 2026 00:47:54 GMT","server":"Caddy","skip-error-remapping":"true","strict-transport-security":"max-age=31536000; includeSubDomains; preload","via":"1.1 Caddy","x-api-request-id":"20260425084751753561045pBSSCInZ","x-content-type-options":"nosniff","x-frame-options":"SAMEORIGIN","x-ms-client-request-id":"Not-Set","x-ms-is-spilled-over":"false","x-ms-rai-invoked":"true","x-ms-region":"East US 2","x-new-api-version":"0.5.1","x-oneapi-request-id":"202604250047515173708518268d9d6JY7drIMF","x-ratelimit-abusepenalty-active":"False","x-ratelimit-limit-requests":"50","x-ratelimit-limit-tokens":"50000","x-ratelimit-remaining-requests":"49","x-ratelimit-remaining-tokens":"-1614","x-ratelimit-renewalperiod-requests":"60","x-ratelimit-renewalperiod-tokens":"60","x-ratelimit-reset-requests":"1200","x-ratelimit-reset-tokens":"61937","x-request-id":"47ff8411-5777-43a7-a830-b968991a7273"}</t>
        </is>
      </c>
      <c r="N60" t="inlineStr">
        <is>
          <t>Dyson Supersonic Deep Sea Blue Hair Dryer: lightweight matte metal design, digital motor, smart heat control for fast drying and damage protection, modern minimalist style for all, futuristic elegance.</t>
        </is>
      </c>
      <c r="O60" t="inlineStr">
        <is>
          <t>{"id":"chatcmpl-DYLtpvg1T4KBIcs9egvFOJxC2qmgb","object":"chat.completion","created":1777079705,"model":"gpt-5-chat-2025-10-03","choices":[{"index":0,"message":{"role":"assistant","content":"Dyson,Hair Dryer,kakobuy,kakebuy2026,kekobuysheet,kakobuysheet2026,2026kakobuy,kakobuyspreadsheeet,kakobuylink,kakebuylist,Kakobuy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60" t="inlineStr">
        <is>
          <t>Dyson,Hair Dryer,kakobuy,kakebuy2026,kekobuysheet,kakobuysheet2026,2026kakobuy,kakobuyspreadsheeet,kakobuylink,kakebuylist,Kakobuy MEGA Spreadsheet,kakobuysheetfind,kakobuysheetfind2026,2026kakobuysheetfind,kakobuysheet2026</t>
        </is>
      </c>
      <c r="Q60"/>
      <c r="R60" t="inlineStr">
        <is>
          <t>recvhju1Crtk5I</t>
        </is>
      </c>
      <c r="S60" t="inlineStr">
        <is>
          <t>dyson-supersonic-deep-sea-blue-hair-dryer-recvhju1crtk5i</t>
        </is>
      </c>
      <c r="T60"/>
      <c r="U60"/>
      <c r="V60"/>
      <c r="W60" t="inlineStr">
        <is>
          <t>{"id":"chatcmpl-DY6F96x4uOW46FnK9tgTccs9dbhvX","object":"chat.completion","created":1777019523,"model":"gpt-5-chat-latest","choices":[{"index":0,"message":{"role":"assistant","content":"Dyson：Supersonic深海蓝高速智能电吹风，轻盈机身采用哑光金属质感设计，搭载数字马达与智能控温科技，实现快速干发与秀发防热损伤，现代极简风格，男女皆宜，尽显未来感美学。","refusal":null,"annotations":[]},"logprobs":null,"finish_reason":"stop"}],"usage":{"prompt_tokens":1301,"completion_tokens":69,"total_tokens":1370,"prompt_tokens_details":{"cached_tokens":0,"audio_tokens":0},"completion_tokens_details":{"reasoning_tokens":0,"audio_tokens":0,"accepted_prediction_tokens":0,"rejected_prediction_tokens":0}},"service_tier":"default","system_fingerprint":"fp_ad66631dec"}</t>
        </is>
      </c>
      <c r="X60" t="inlineStr">
        <is>
          <t>Dyson：Supersonic深海蓝高速智能电吹风，轻盈机身采用哑光金属质感设计，搭载数字马达与智能控温科技，实现快速干发与秀发防热损伤，现代极简风格，男女皆宜，尽显未来感美学。</t>
        </is>
      </c>
    </row>
    <row r="61" ht="25.5" customHeight="1">
      <c r="A61">
        <v>1654975475</v>
      </c>
      <c r="B61">
        <v>7617386315</v>
      </c>
      <c r="C61" s="2" t="str">
        <f>=HYPERLINK("https://weidian.com/item.html?itemID=7617386315", "https://weidian.com/item.html?itemID=7617386315")</f>
        <v>https://weidian.com/item.html?itemID=7617386315</v>
      </c>
      <c r="D61"/>
      <c r="E61" s="2" t="str">
        <f>=HYPERLINK("https://si.geilicdn.com/pcitem2014204438-54a80000019ac4038c230a231316_1081_965.jpg?w=640&amp;h=640", "https://si.geilicdn.com/pcitem2014204438-54a80000019ac4038c230a231316_1081_965.jpg?w=640&amp;h=640")</f>
        <v>https://si.geilicdn.com/pcitem2014204438-54a80000019ac4038c230a231316_1081_965.jpg?w=640&amp;h=640</v>
      </c>
      <c r="F61" t="inlineStr">
        <is>
          <t>Electronic</t>
        </is>
      </c>
      <c r="G61" t="inlineStr">
        <is>
          <t>Haner</t>
        </is>
      </c>
      <c r="H61">
        <v>210</v>
      </c>
      <c r="I61">
        <v>30.43</v>
      </c>
      <c r="J61" t="inlineStr">
        <is>
          <t>{"id":"chatcmpl-DYLnmGHANJSI8W0P6Kgtx9fGK6Edx","object":"chat.completion","created":1777079330,"model":"gpt-5-chat-2025-10-03","choices":[{"index":0,"message":{"role":"assistant","content":"HANER BK02 Off-White Open Wireless Earbuds","refusal":null,"annotations":[]},"logprobs":null,"finish_reason":"stop"}],"usage":{"prompt_tokens":875,"completion_tokens":12,"total_tokens":887,"prompt_tokens_details":{"cached_tokens":0,"audio_tokens":0},"completion_tokens_details":{"reasoning_tokens":0,"audio_tokens":0,"accepted_prediction_tokens":0,"rejected_prediction_tokens":0}},"service_tier":"default","system_fingerprint":"fp_ad66631dec"}</t>
        </is>
      </c>
      <c r="K61" t="inlineStr">
        <is>
          <t>HANER BK02 Off-White Open Wireless Earbuds</t>
        </is>
      </c>
      <c r="L61" t="inlineStr">
        <is>
          <t>{"id":"chatcmpl-DYLU6z2OWMrvSdkhHD7X4GmwcZuLf","object":"chat.completion","created":1777078110,"model":"gpt-5-chat-latest","choices":[{"index":0,"message":{"role":"assistant","content":"HANER BK02 Off-White Open Wireless Earbuds feature ergonomic hanging design, high-fidelity composite diaphragm, lightweight comfort for all, and futuristic minimalist style for immersive music enjoyment.","refusal":null,"annotations":[]},"logprobs":null,"finish_reason":"stop"}],"usage":{"prompt_tokens":893,"completion_tokens":37,"total_tokens":930,"prompt_tokens_details":{"cached_tokens":0,"audio_tokens":0},"completion_tokens_details":{"reasoning_tokens":0,"audio_tokens":0,"accepted_prediction_tokens":0,"rejected_prediction_tokens":0}},"service_tier":"default","system_fingerprint":"fp_ad66631dec"}</t>
        </is>
      </c>
      <c r="M6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ma=2592000","apim-request-id":"5628bdfd-d0bc-4eb6-b6c4-a78e5976caa1","azureml-model-session":"d20260402084046-4209e968","cache-control":"no-cache, no-store, must-revalidate","connection":"close","content-length":"1007","content-security-policy":"frame-ancestors 'self'","content-type":"application/json","date":"Sat, 25 Apr 2026 00:48:32 GMT","server":"Caddy","skip-error-remapping":"true","strict-transport-security":"max-age=31536000; includeSubDomains; preload","via":"1.1 Caddy","x-api-request-id":"20260425084829580419332gDlt8hTC","x-content-type-options":"nosniff","x-frame-options":"SAMEORIGIN","x-ms-is-spilled-over":"false","x-ms-rai-invoked":"false","x-ms-region":"Sweden Central","x-new-api-version":"0.5.1","x-oneapi-request-id":"202604250048293713448808268d9d6EjKFDHev","x-ratelimit-abusepenalty-active":"False","x-ratelimit-limit-requests":"4991","x-ratelimit-limit-tokens":"4991000","x-ratelimit-remaining-requests":"4990","x-ratelimit-remaining-tokens":"4989345","x-ratelimit-renewalperiod-requests":"60","x-ratelimit-renewalperiod-tokens":"60","x-ratelimit-reset-requests":"12","x-ratelimit-reset-tokens":"19","x-request-id":"66c5a2cd-4c36-4ba5-85c4-5fa63e6a91ac"}</t>
        </is>
      </c>
      <c r="N61" t="inlineStr">
        <is>
          <t>HANER BK02 Off-White Open Wireless Earbuds feature ergonomic hanging design, high-fidelity composite diaphragm, lightweight comfort for all, and futuristic minimalist style for immersive music enjoyment.</t>
        </is>
      </c>
      <c r="O61" t="inlineStr">
        <is>
          <t>{"id":"chatcmpl-DYM2ze4H9NQrAscRRxgwHbhtsuN9A","object":"chat.completion","created":1777080273,"model":"gpt-5-chat-2025-10-03","choices":[{"index":0,"message":{"role":"assistant","content":"Haner,Wireless Earbuds,kakobuy,kakebuy2026,kekobuysheet,kakobuysheet2026,2026kakobuy,kakobuyspreadsheeet,kakobuylink,kakebuylist,Kakobuy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89,"total_tokens":871,"prompt_tokens_details":{"cached_tokens":0,"audio_tokens":0},"completion_tokens_details":{"reasoning_tokens":0,"audio_tokens":0,"accepted_prediction_tokens":0,"rejected_prediction_tokens":0}},"service_tier":"default","system_fingerprint":"fp_ad66631dec"}</t>
        </is>
      </c>
      <c r="P61" t="inlineStr">
        <is>
          <t>Haner,Wireless Earbuds,kakobuy,kakebuy2026,kekobuysheet,kakobuysheet2026,2026kakobuy,kakobuyspreadsheeet,kakobuylink,kakebuylist,Kakobuy MEGA Spreadsheet,kakobuysheetfind,kakobuysheetfind2026,2026kakobuysheetfind,kakobuysheet2026</t>
        </is>
      </c>
      <c r="Q61"/>
      <c r="R61" t="inlineStr">
        <is>
          <t>recvhju1Crl46Y</t>
        </is>
      </c>
      <c r="S61" t="inlineStr">
        <is>
          <t>haner-bk02-off-white-open-wireless-earbuds-recvhju1crl46y</t>
        </is>
      </c>
      <c r="T61"/>
      <c r="U61"/>
      <c r="V61"/>
      <c r="W61" t="inlineStr">
        <is>
          <t>{"choices":[{"finish_reason":"stop","index":0,"logprobs":null,"message":{"annotations":[],"content":"Haner：BK02米白色开放式无线耳机，采用人体工学悬挂设计与高保真复合振膜，轻盈舒适，男女皆宜，呈现未来科技感十足的简约美学，畅享沉浸音乐体验。","refusal":null,"role":"assistant"}}],"created":1777019903,"id":"chatcmpl-DY6LHxf3J5GSLtntZ5yl63qvdK9AA","model":"gpt-5-chat-latest","object":"chat.completion","service_tier":"default","system_fingerprint":"fp_ad66631dec","usage":{"completion_tokens":62,"completion_tokens_details":{"accepted_prediction_tokens":0,"audio_tokens":0,"reasoning_tokens":0,"rejected_prediction_tokens":0},"prompt_tokens":1295,"prompt_tokens_details":{"audio_tokens":0,"cached_tokens":1280},"total_tokens":1357}}</t>
        </is>
      </c>
      <c r="X61" t="inlineStr">
        <is>
          <t>Haner：BK02米白色开放式无线耳机，采用人体工学悬挂设计与高保真复合振膜，轻盈舒适，男女皆宜，呈现未来科技感十足的简约美学，畅享沉浸音乐体验。</t>
        </is>
      </c>
    </row>
    <row r="62" ht="25.5" customHeight="1">
      <c r="A62">
        <v>1654975475</v>
      </c>
      <c r="B62">
        <v>7617445863</v>
      </c>
      <c r="C62" s="2" t="str">
        <f>=HYPERLINK("https://weidian.com/item.html?itemID=7617445863", "https://weidian.com/item.html?itemID=7617445863")</f>
        <v>https://weidian.com/item.html?itemID=7617445863</v>
      </c>
      <c r="D62"/>
      <c r="E62" s="2" t="str">
        <f>=HYPERLINK("https://si.geilicdn.com/pcitem2014204438-09370000019ac405de320a8134f0_750_1177.jpg?w=640&amp;h=640", "https://si.geilicdn.com/pcitem2014204438-09370000019ac405de320a8134f0_750_1177.jpg?w=640&amp;h=640")</f>
        <v>https://si.geilicdn.com/pcitem2014204438-09370000019ac405de320a8134f0_750_1177.jpg?w=640&amp;h=640</v>
      </c>
      <c r="F62" t="inlineStr">
        <is>
          <t>Electronic</t>
        </is>
      </c>
      <c r="G62" t="inlineStr">
        <is>
          <t>Bose</t>
        </is>
      </c>
      <c r="H62">
        <v>440</v>
      </c>
      <c r="I62">
        <v>63.77</v>
      </c>
      <c r="J62" t="inlineStr">
        <is>
          <t>{"id":"chatcmpl-DYLm7NG7P9FPOvS7xSAYGBI1Rv2Q9","object":"chat.completion","created":1777079227,"model":"gpt-5-chat-2025-10-03","choices":[{"index":0,"message":{"role":"assistant","content":"Bose QuietComfort Off‑White Wireless Noise Cancelling Headphones","refusal":null,"annotations":[]},"logprobs":null,"finish_reason":"stop"}],"usage":{"prompt_tokens":873,"completion_tokens":14,"total_tokens":887,"prompt_tokens_details":{"cached_tokens":0,"audio_tokens":0},"completion_tokens_details":{"reasoning_tokens":0,"audio_tokens":0,"accepted_prediction_tokens":0,"rejected_prediction_tokens":0}},"service_tier":"default","system_fingerprint":"fp_ad66631dec"}</t>
        </is>
      </c>
      <c r="K62" t="inlineStr">
        <is>
          <t>Bose QuietComfort Off‑White Wireless Noise Cancelling Headphones</t>
        </is>
      </c>
      <c r="L62" t="inlineStr">
        <is>
          <t>{"choices":[{"finish_reason":"stop","index":0,"logprobs":null,"message":{"annotations":[],"content":"Bose QuietComfort Off-White Wireless Noise Cancelling Headphones, soft skin-friendly design, multi-mode switch, immersive sound, stylish and comfortable for modern urban audio luxury.","refusal":null,"role":"assistant"}}],"created":1777078498,"id":"chatcmpl-DYLaMDu0UKhRjSEK0NIxn8sBHOrJy","model":"gpt-5-chat-latest","object":"chat.completion","service_tier":"default","system_fingerprint":"fp_ad66631dec","usage":{"completion_tokens":36,"completion_tokens_details":{"accepted_prediction_tokens":0,"audio_tokens":0,"reasoning_tokens":0,"rejected_prediction_tokens":0},"prompt_tokens":893,"prompt_tokens_details":{"audio_tokens":0,"cached_tokens":0},"total_tokens":929}}</t>
        </is>
      </c>
      <c r="M62" t="inlineStr">
        <is>
          <t>{"alt-svc":"h3=\":443\"; ma=2592000","apim-request-id":"085376c8-dbf4-4dcc-8a01-4aed81731a96","azureml-model-session":"d20260405225800-40f19e54","cache-control":"no-cache","connection":"close","content-length":"771","content-security-policy":"frame-ancestors 'self'","content-type":"application/json","date":"Sat, 25 Apr 2026 00:54:59 GMT","server":"Caddy","skip-error-remapping":"true","strict-transport-security":"max-age=31536000; includeSubDomains; preload","via":"1.1 Caddy","x-api-request-id":"20260425085456639425435QNvlutHe","x-content-type-options":"nosniff","x-frame-options":"SAMEORIGIN","x-ms-client-request-id":"Not-Set","x-ms-is-spilled-over":"false","x-ms-rai-invoked":"true","x-ms-region":"East US 2","x-new-api-version":"0.5.1","x-oneapi-request-id":"202604250054537531246978268d9d6QqlkYGby","x-ratelimit-abusepenalty-active":"False","x-ratelimit-limit-requests":"50","x-ratelimit-limit-tokens":"50000","x-ratelimit-remaining-requests":"48","x-ratelimit-remaining-tokens":"-1027","x-ratelimit-renewalperiod-requests":"60","x-ratelimit-renewalperiod-tokens":"60","x-ratelimit-reset-requests":"2595","x-ratelimit-reset-tokens":"61232","x-request-id":"af86361f-ad95-4d42-98b5-b30d7c9a54f9"}</t>
        </is>
      </c>
      <c r="N62" t="inlineStr">
        <is>
          <t>Bose QuietComfort Off-White Wireless Noise Cancelling Headphones, soft skin-friendly design, multi-mode switch, immersive sound, stylish and comfortable for modern urban audio luxury.</t>
        </is>
      </c>
      <c r="O62" t="inlineStr">
        <is>
          <t>{"id":"chatcmpl-DYLzDf4X0gJYppGZ26vUhTz7FNxrL","object":"chat.completion","created":1777080039,"model":"gpt-5-chat-2025-10-03","choices":[{"index":0,"message":{"role":"assistant","content":"Bose,Headphon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62" t="inlineStr">
        <is>
          <t>Bose,Headphones,kakobuy,kakebuy2026,kekobuysheet,kakobuysheet2026,2026kakobuy,kakobuyspreadsheeet,kakobuylink,kakebuylist,Kakobuy MEGA Spreadsheet,kakobuysheetfind,kakobuysheetfind2026,2026kakobuysheetfind,kakobuysheet2026</t>
        </is>
      </c>
      <c r="Q62"/>
      <c r="R62" t="inlineStr">
        <is>
          <t>recvhju1CrXDDi</t>
        </is>
      </c>
      <c r="S62" t="inlineStr">
        <is>
          <t>bose-quietcomfort-off-white-wireless-noise-cancelling-headphones-recvhju1crxddi</t>
        </is>
      </c>
      <c r="T62"/>
      <c r="U62"/>
      <c r="V62"/>
      <c r="W62" t="inlineStr">
        <is>
          <t>{"choices":[{"finish_reason":"stop","index":0,"logprobs":null,"message":{"annotations":[],"content":"Bose：QuietComfort米白色无线降噪耳机，亲肤柔韧材质，简约流线设计，支持多模式切换，沉浸音效与时尚风格兼具，男女通用，现代都市高端听觉享受。","refusal":null,"role":"assistant"}}],"created":1777019648,"id":"chatcmpl-DY6HAMhxYQ9N5rpiVKFPsUuF9wyxF","model":"gpt-5-chat-latest","object":"chat.completion","service_tier":"default","system_fingerprint":"fp_ad66631dec","usage":{"completion_tokens":62,"completion_tokens_details":{"accepted_prediction_tokens":0,"audio_tokens":0,"reasoning_tokens":0,"rejected_prediction_tokens":0},"prompt_tokens":1295,"prompt_tokens_details":{"audio_tokens":0,"cached_tokens":0},"total_tokens":1357}}</t>
        </is>
      </c>
      <c r="X62" t="inlineStr">
        <is>
          <t>Bose：QuietComfort米白色无线降噪耳机，亲肤柔韧材质，简约流线设计，支持多模式切换，沉浸音效与时尚风格兼具，男女通用，现代都市高端听觉享受。</t>
        </is>
      </c>
    </row>
    <row r="63" ht="25.5" customHeight="1">
      <c r="A63">
        <v>1654975475</v>
      </c>
      <c r="B63">
        <v>7617353145</v>
      </c>
      <c r="C63" s="2" t="str">
        <f>=HYPERLINK("https://weidian.com/item.html?itemID=7617353145", "https://weidian.com/item.html?itemID=7617353145")</f>
        <v>https://weidian.com/item.html?itemID=7617353145</v>
      </c>
      <c r="D63"/>
      <c r="E63" s="2" t="str">
        <f>=HYPERLINK("https://si.geilicdn.com/pcitem2014204438-0f800000019ac3ef9dc10a23111a_1442_1922.jpg?w=640&amp;h=640", "https://si.geilicdn.com/pcitem2014204438-0f800000019ac3ef9dc10a23111a_1442_1922.jpg?w=640&amp;h=640")</f>
        <v>https://si.geilicdn.com/pcitem2014204438-0f800000019ac3ef9dc10a23111a_1442_1922.jpg?w=640&amp;h=640</v>
      </c>
      <c r="F63" t="inlineStr">
        <is>
          <t>Electronic</t>
        </is>
      </c>
      <c r="G63" t="inlineStr">
        <is>
          <t>Dyson</t>
        </is>
      </c>
      <c r="H63">
        <v>880</v>
      </c>
      <c r="I63">
        <v>127.54</v>
      </c>
      <c r="J63" t="inlineStr">
        <is>
          <t>{"choices":[{"finish_reason":"stop","index":0,"logprobs":null,"message":{"annotations":[],"content":"Dyson Supersonic Hot Pink Hair Dryer","refusal":null,"role":"assistant"}}],"created":1777079073,"id":"chatcmpl-DYLjdRl0WhjYkl2mk9J3FaTI0slQx","model":"gpt-5-chat-latest","object":"chat.completion","service_tier":"default","system_fingerprint":"fp_ad66631dec","usage":{"completion_tokens":10,"completion_tokens_details":{"accepted_prediction_tokens":0,"audio_tokens":0,"reasoning_tokens":0,"rejected_prediction_tokens":0},"prompt_tokens":875,"prompt_tokens_details":{"audio_tokens":0,"cached_tokens":0},"total_tokens":885}}</t>
        </is>
      </c>
      <c r="K63" t="inlineStr">
        <is>
          <t>Dyson Supersonic Hot Pink Hair Dryer</t>
        </is>
      </c>
      <c r="L63" t="inlineStr">
        <is>
          <t>{"id":"chatcmpl-DYLYwU4bGPoRyiZmJj8wuAVo70yw4","object":"chat.completion","created":1777078410,"model":"gpt-5-chat-latest","choices":[{"index":0,"message":{"role":"assistant","content":"Dyson Supersonic Hot Pink Hair Dryer – Aerospace-grade aluminum body, intelligent heat control protects hair, sleek minimalist futuristic design for men and women, luxury meets modern tech style.","refusal":null,"annotations":[]},"logprobs":null,"finish_reason":"stop"}],"usage":{"prompt_tokens":889,"completion_tokens":37,"total_tokens":926,"prompt_tokens_details":{"cached_tokens":0,"audio_tokens":0},"completion_tokens_details":{"reasoning_tokens":0,"audio_tokens":0,"accepted_prediction_tokens":0,"rejected_prediction_tokens":0}},"service_tier":"default","system_fingerprint":"fp_ad66631dec"}</t>
        </is>
      </c>
      <c r="M6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ma=2592000","apim-request-id":"493b807d-28ed-4ccf-b74c-c77679ad19ec","azureml-model-session":"d20260402084046-4209e968","cache-control":"no-cache, no-store, must-revalidate","connection":"close","content-length":"1001","content-security-policy":"frame-ancestors 'self'","content-type":"application/json","date":"Sat, 25 Apr 2026 00:53:32 GMT","server":"nginx","skip-error-remapping":"true","strict-transport-security":"max-age=31536000; includeSubDomains; preload","via":"1.1 Caddy, 1.1 Caddy","x-api-request-id":"20260425085329755591361FKlhGCTa","x-content-type-options":"nosniff","x-frame-options":"SAMEORIGIN","x-ms-is-spilled-over":"false","x-ms-rai-invoked":"false","x-ms-region":"East US 2","x-new-api-version":"0.5.1","x-oneapi-request-id":"202604250053251922848248268d9d6UcL9eWRv","x-ratelimit-abusepenalty-active":"False","x-ratelimit-limit-requests":"4992","x-ratelimit-limit-tokens":"4992000","x-ratelimit-remaining-requests":"4991","x-ratelimit-remaining-tokens":"4990349","x-ratelimit-renewalperiod-requests":"60","x-ratelimit-renewalperiod-tokens":"60","x-ratelimit-reset-requests":"12","x-ratelimit-reset-tokens":"19","x-request-id":"b0241e8d-b40d-4339-83f0-5f24d551e5cb"}</t>
        </is>
      </c>
      <c r="N63" t="inlineStr">
        <is>
          <t>Dyson Supersonic Hot Pink Hair Dryer – Aerospace-grade aluminum body, intelligent heat control protects hair, sleek minimalist futuristic design for men and women, luxury meets modern tech style.</t>
        </is>
      </c>
      <c r="O63" t="inlineStr">
        <is>
          <t>{"id":"chatcmpl-DYLzLRVchFV66qzWq4qATSjNM428x","object":"chat.completion","created":1777080047,"model":"gpt-5-chat-2025-10-03","choices":[{"index":0,"message":{"role":"assistant","content":"Dyson,Hair Dryer,kakobuy,kakebuy2026,kekobuysheet,kakobuysheet2026,2026kakobuy,kakobuyspreadsheeet,kakobuylink,kakebuylist,Kakobuy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63" t="inlineStr">
        <is>
          <t>Dyson,Hair Dryer,kakobuy,kakebuy2026,kekobuysheet,kakobuysheet2026,2026kakobuy,kakobuyspreadsheeet,kakobuylink,kakebuylist,Kakobuy MEGA Spreadsheet,kakobuysheetfind,kakobuysheetfind2026,2026kakobuysheetfind,kakobuysheet2026</t>
        </is>
      </c>
      <c r="Q63"/>
      <c r="R63" t="inlineStr">
        <is>
          <t>recvhju1CrfpJs</t>
        </is>
      </c>
      <c r="S63" t="inlineStr">
        <is>
          <t>dyson-supersonic-pink-recvhju1crfpjs</t>
        </is>
      </c>
      <c r="T63"/>
      <c r="U63"/>
      <c r="V63"/>
      <c r="W63" t="inlineStr">
        <is>
          <t>{"choices":[{"finish_reason":"stop","index":0,"logprobs":null,"message":{"annotations":[],"content":"Dyson：Supersonic亮粉色高速吹风机，航空级铝合金机身，智能温控防损发设计，极简未来风格，男女皆宜，展现现代科技美学与奢华质感。","refusal":null,"role":"assistant"}}],"created":1777019495,"id":"chatcmpl-DY6Ehf1emwVC83rYj6OJXsF8yJcop","model":"gpt-5-chat-latest","object":"chat.completion","service_tier":"default","system_fingerprint":"fp_ad66631dec","usage":{"completion_tokens":55,"completion_tokens_details":{"accepted_prediction_tokens":0,"audio_tokens":0,"reasoning_tokens":0,"rejected_prediction_tokens":0},"prompt_tokens":1301,"prompt_tokens_details":{"audio_tokens":0,"cached_tokens":0},"total_tokens":1356}}</t>
        </is>
      </c>
      <c r="X63" t="inlineStr">
        <is>
          <t>Dyson：Supersonic亮粉色高速吹风机，航空级铝合金机身，智能温控防损发设计，极简未来风格，男女皆宜，展现现代科技美学与奢华质感。</t>
        </is>
      </c>
    </row>
    <row r="64" ht="25.5" customHeight="1">
      <c r="A64">
        <v>1654975475</v>
      </c>
      <c r="B64">
        <v>7617362753</v>
      </c>
      <c r="C64" s="2" t="str">
        <f>=HYPERLINK("https://weidian.com/item.html?itemID=7617362753", "https://weidian.com/item.html?itemID=7617362753")</f>
        <v>https://weidian.com/item.html?itemID=7617362753</v>
      </c>
      <c r="D64"/>
      <c r="E64" s="2" t="str">
        <f>=HYPERLINK("https://si.geilicdn.com/pcitem2014204438-118b0000019ac3f1f93a0a2315ef_1260_967.jpg?w=640&amp;h=640", "https://si.geilicdn.com/pcitem2014204438-118b0000019ac3f1f93a0a2315ef_1260_967.jpg?w=640&amp;h=640")</f>
        <v>https://si.geilicdn.com/pcitem2014204438-118b0000019ac3f1f93a0a2315ef_1260_967.jpg?w=640&amp;h=640</v>
      </c>
      <c r="F64" t="inlineStr">
        <is>
          <t>Electronic</t>
        </is>
      </c>
      <c r="G64" t="inlineStr">
        <is>
          <t>Dyson</t>
        </is>
      </c>
      <c r="H64">
        <v>1400</v>
      </c>
      <c r="I64">
        <v>202.898550724637</v>
      </c>
      <c r="J64" t="inlineStr">
        <is>
          <t>{"id":"chatcmpl-DYLlSggC7ibzSThi6Fv6He7SS0Lfd","object":"chat.completion","created":1777079186,"model":"gpt-5-chat-latest","choices":[{"index":0,"message":{"role":"assistant","content":"Dyson Supersonic Blue Hair Dryer Smart Heat Control","refusal":null,"annotations":[]},"logprobs":null,"finish_reason":"stop"}],"usage":{"prompt_tokens":601,"completion_tokens":12,"total_tokens":613,"prompt_tokens_details":{"cached_tokens":0,"audio_tokens":0},"completion_tokens_details":{"reasoning_tokens":0,"audio_tokens":0,"accepted_prediction_tokens":0,"rejected_prediction_tokens":0}},"service_tier":"default","system_fingerprint":"fp_ad66631dec"}</t>
        </is>
      </c>
      <c r="K64" t="inlineStr">
        <is>
          <t>Dyson Supersonic Blue Hair Dryer Smart Heat Control</t>
        </is>
      </c>
      <c r="L64" t="inlineStr">
        <is>
          <t>{"id":"chatcmpl-DYLSbT2kdPlFNl4iCJg0u96hYTRI0","object":"chat.completion","created":1777078017,"model":"gpt-5-chat-latest","choices":[{"index":0,"message":{"role":"assistant","content":"Dyson Supersonic Blue-Purple High-Speed Hair Dryer with Smart Heat Control and Anti-Flyaway Attachment, lightweight for smooth, shiny results, perfect for daily styling for men and women.","refusal":null,"annotations":[]},"logprobs":null,"finish_reason":"stop"}],"usage":{"prompt_tokens":604,"completion_tokens":40,"total_tokens":644,"prompt_tokens_details":{"cached_tokens":0,"audio_tokens":0},"completion_tokens_details":{"reasoning_tokens":0,"audio_tokens":0,"accepted_prediction_tokens":0,"rejected_prediction_tokens":0}},"service_tier":"default","system_fingerprint":"fp_ad66631dec"}</t>
        </is>
      </c>
      <c r="M6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ma=2592000","apim-request-id":"6ebdbe9d-824d-41f1-b4c5-5b73976c953a","azureml-model-session":"d20260405234249-f9874baf","cache-control":"no-cache, no-store, must-revalidate","connection":"close","content-length":"991","content-security-policy":"frame-ancestors 'self'","content-type":"application/json","date":"Sat, 25 Apr 2026 00:46:58 GMT","server":"Caddy","skip-error-remapping":"true","strict-transport-security":"max-age=31536000; includeSubDomains; preload","via":"1.1 Caddy","x-api-request-id":"20260425084656296847333WTI2XfU6","x-content-type-options":"nosniff","x-frame-options":"SAMEORIGIN","x-ms-is-spilled-over":"false","x-ms-rai-invoked":"false","x-ms-region":"East US 2","x-new-api-version":"0.5.1","x-oneapi-request-id":"202604250046547076525468268d9d60ECYvsAW","x-ratelimit-abusepenalty-active":"False","x-ratelimit-limit-requests":"4992","x-ratelimit-limit-tokens":"4992000","x-ratelimit-remaining-requests":"4991","x-ratelimit-remaining-tokens":"4990632","x-ratelimit-renewalperiod-requests":"60","x-ratelimit-renewalperiod-tokens":"60","x-ratelimit-reset-requests":"12","x-ratelimit-reset-tokens":"16","x-request-id":"89a7475e-9bd8-4274-8ef9-31db87affd3e"}</t>
        </is>
      </c>
      <c r="N64" t="inlineStr">
        <is>
          <t>Dyson Supersonic Blue-Purple High-Speed Hair Dryer with Smart Heat Control and Anti-Flyaway Attachment, lightweight for smooth, shiny results, perfect for daily styling for men and women.</t>
        </is>
      </c>
      <c r="O64" t="inlineStr">
        <is>
          <t>{"id":"chatcmpl-DYM1c4yxKMlCSlfpCDfclWvLzN7AV","object":"chat.completion","created":1777080188,"model":"gpt-5-chat-2025-10-03","choices":[{"index":0,"message":{"role":"assistant","content":"Dyson, hair dryer, kakobuy, kakebuy2026, kekobuysheet, kakobuysheet2026, 2026kakobuy, kakobuyspreadsheeet, kakobuylink, kakebuylist, Kakobuy MEGA Spreadsheet, kakobuysheetfind, kakobuysheetfind2026, 2026kakobuysheetfind, kakobuysheet2026","refusal":null,"annotations":[]},"logprobs":null,"finish_reason":"stop"}],"usage":{"prompt_tokens":502,"completion_tokens":92,"total_tokens":594,"prompt_tokens_details":{"cached_tokens":0,"audio_tokens":0},"completion_tokens_details":{"reasoning_tokens":0,"audio_tokens":0,"accepted_prediction_tokens":0,"rejected_prediction_tokens":0}},"service_tier":"default","system_fingerprint":"fp_ad66631dec"}</t>
        </is>
      </c>
      <c r="P64" t="inlineStr">
        <is>
          <t>Dyson, hair dryer, kakobuy, kakebuy2026, kekobuysheet, kakobuysheet2026, 2026kakobuy, kakobuyspreadsheeet, kakobuylink, kakebuylist, Kakobuy MEGA Spreadsheet, kakobuysheetfind, kakobuysheetfind2026, 2026kakobuysheetfind, kakobuysheet2026</t>
        </is>
      </c>
      <c r="Q64"/>
      <c r="R64" t="inlineStr">
        <is>
          <t>recvhju1CrNgnl</t>
        </is>
      </c>
      <c r="S64" t="inlineStr">
        <is>
          <t>dyson-supersonic-blue-hair-dryer-recvhju1crngnl</t>
        </is>
      </c>
      <c r="T64"/>
      <c r="U64"/>
      <c r="V64"/>
      <c r="W64" t="inlineStr">
        <is>
          <t>{"id":"chatcmpl-DY6HhM6m3k4mSrE5TSjw7d0LfP8BJ","object":"chat.completion","created":1777019681,"model":"gpt-5-chat-latest","choices":[{"index":0,"message":{"role":"assistant","content":"Dyson: Supersonic蓝紫色高速吹风机，搭载智能温控与防飞翘风嘴设计，轻盈握持打造顺滑亮泽发质，适合男女日常造型。","refusal":null,"annotations":[]},"logprobs":null,"finish_reason":"stop"}],"usage":{"prompt_tokens":1023,"completion_tokens":49,"total_tokens":1072,"prompt_tokens_details":{"cached_tokens":0,"audio_tokens":0},"completion_tokens_details":{"reasoning_tokens":0,"audio_tokens":0,"accepted_prediction_tokens":0,"rejected_prediction_tokens":0}},"service_tier":"default","system_fingerprint":"fp_ad66631dec"}</t>
        </is>
      </c>
      <c r="X64" t="inlineStr">
        <is>
          <t>Dyson: Supersonic蓝紫色高速吹风机，搭载智能温控与防飞翘风嘴设计，轻盈握持打造顺滑亮泽发质，适合男女日常造型。</t>
        </is>
      </c>
    </row>
    <row r="65" ht="25.5" customHeight="1">
      <c r="A65">
        <v>1654975475</v>
      </c>
      <c r="B65">
        <v>7620362268</v>
      </c>
      <c r="C65" s="2" t="str">
        <f>=HYPERLINK("https://weidian.com/item.html?itemID=7620362268", "https://weidian.com/item.html?itemID=7620362268")</f>
        <v>https://weidian.com/item.html?itemID=7620362268</v>
      </c>
      <c r="D65"/>
      <c r="E65" s="2" t="str">
        <f>=HYPERLINK("https://si.geilicdn.com/pcitem2014204438-0c2d0000019ac3f1789a0a23041a_1441_1921.jpg?w=640&amp;h=640", "https://si.geilicdn.com/pcitem2014204438-0c2d0000019ac3f1789a0a23041a_1441_1921.jpg?w=640&amp;h=640")</f>
        <v>https://si.geilicdn.com/pcitem2014204438-0c2d0000019ac3f1789a0a23041a_1441_1921.jpg?w=640&amp;h=640</v>
      </c>
      <c r="F65" t="inlineStr">
        <is>
          <t>Electronic</t>
        </is>
      </c>
      <c r="G65" t="inlineStr">
        <is>
          <t>Dyson</t>
        </is>
      </c>
      <c r="H65">
        <v>1200</v>
      </c>
      <c r="I65">
        <v>173.91</v>
      </c>
      <c r="J65" t="inlineStr">
        <is>
          <t>{"id":"chatcmpl-DYLggOBmglDlgTzflYwl7QbEWG0mi","object":"chat.completion","created":1777078890,"model":"gpt-5-chat-latest","choices":[{"index":0,"message":{"role":"assistant","content":"Dyson Supersonic Powder Blue Hair Dryer Matte Finish","refusal":null,"annotations":[]},"logprobs":null,"finish_reason":"stop"}],"usage":{"prompt_tokens":875,"completion_tokens":12,"total_tokens":887,"prompt_tokens_details":{"cached_tokens":0,"audio_tokens":0},"completion_tokens_details":{"reasoning_tokens":0,"audio_tokens":0,"accepted_prediction_tokens":0,"rejected_prediction_tokens":0}},"service_tier":"default","system_fingerprint":"fp_ad66631dec"}</t>
        </is>
      </c>
      <c r="K65" t="inlineStr">
        <is>
          <t>Dyson Supersonic Powder Blue Hair Dryer Matte Finish</t>
        </is>
      </c>
      <c r="L65" t="inlineStr">
        <is>
          <t>{"id":"chatcmpl-DYLTbUtOYtWFAS9oNUqMHrIM3geQN","object":"chat.completion","created":1777078079,"model":"gpt-5-chat-latest","choices":[{"index":0,"message":{"role":"assistant","content":"Dyson Supersonic Powder Blue Hair Dryer, lightweight matte finish with magnetic design, powerful smart heat control, unisex modern style, luxury storage case, sleek high-tech elegance.","refusal":null,"annotations":[]},"logprobs":null,"finish_reason":"stop"}],"usage":{"prompt_tokens":901,"completion_tokens":37,"total_tokens":938,"prompt_tokens_details":{"cached_tokens":0,"audio_tokens":0},"completion_tokens_details":{"reasoning_tokens":0,"audio_tokens":0,"accepted_prediction_tokens":0,"rejected_prediction_tokens":0}},"service_tier":"default","system_fingerprint":"fp_ad66631dec"}</t>
        </is>
      </c>
      <c r="M6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ma=2592000","apim-request-id":"f058e38d-9865-4e72-a8bc-6b7aa1be0570","azureml-model-session":"d20260402084046-4209e968","cache-control":"no-cache, no-store, must-revalidate","connection":"close","content-length":"988","content-security-policy":"frame-ancestors 'self'","content-type":"application/json","date":"Sat, 25 Apr 2026 00:48:01 GMT","server":"nginx","skip-error-remapping":"true","strict-transport-security":"max-age=31536000; includeSubDomains; preload","via":"1.1 Caddy, 1.1 Caddy","x-api-request-id":"2026042508475849814927PzdqFQ6a","x-content-type-options":"nosniff","x-frame-options":"SAMEORIGIN","x-ms-is-spilled-over":"false","x-ms-rai-invoked":"false","x-ms-region":"Sweden Central","x-new-api-version":"0.5.1","x-oneapi-request-id":"202604250047575094370818268d9d664mFmTeI","x-ratelimit-abusepenalty-active":"False","x-ratelimit-limit-requests":"4991","x-ratelimit-limit-tokens":"4991000","x-ratelimit-remaining-requests":"4990","x-ratelimit-remaining-tokens":"4989337","x-ratelimit-renewalperiod-requests":"60","x-ratelimit-renewalperiod-tokens":"60","x-ratelimit-reset-requests":"12","x-ratelimit-reset-tokens":"19","x-request-id":"9f1fc62b-5278-4e9f-a3f6-e31c778ff1c5"}</t>
        </is>
      </c>
      <c r="N65" t="inlineStr">
        <is>
          <t>Dyson Supersonic Powder Blue Hair Dryer, lightweight matte finish with magnetic design, powerful smart heat control, unisex modern style, luxury storage case, sleek high-tech elegance.</t>
        </is>
      </c>
      <c r="O65" t="inlineStr">
        <is>
          <t>{"id":"chatcmpl-DYLwd4VxTZVJFRM3E0fnQWfh33NAW","object":"chat.completion","created":1777079879,"model":"gpt-5-chat-2025-10-03","choices":[{"index":0,"message":{"role":"assistant","content":"Dyson,Hair Dryer,kakobuy,kakebuy2026,kekobuysheet,kakobuysheet2026,2026kakobuy,kakobuyspreadsheeet,kakobuylink,kakebuylist,Kakobuy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65" t="inlineStr">
        <is>
          <t>Dyson,Hair Dryer,kakobuy,kakebuy2026,kekobuysheet,kakobuysheet2026,2026kakobuy,kakobuyspreadsheeet,kakobuylink,kakebuylist,Kakobuy MEGA Spreadsheet,kakobuysheetfind,kakobuysheetfind2026,2026kakobuysheetfind,kakobuysheet2026</t>
        </is>
      </c>
      <c r="Q65"/>
      <c r="R65" t="inlineStr">
        <is>
          <t>recvhju1CrpKI0</t>
        </is>
      </c>
      <c r="S65" t="inlineStr">
        <is>
          <t>dyson-supersonic-powder-blue-hair-dryer-recvhju1crpki0</t>
        </is>
      </c>
      <c r="T65"/>
      <c r="U65"/>
      <c r="V65"/>
      <c r="W65" t="inlineStr">
        <is>
          <t>{"choices":[{"finish_reason":"stop","index":0,"logprobs":null,"message":{"annotations":[],"content":"Dyson: Supersonic粉蓝色高速吹风机，轻盈哑光金属质感，创新磁吸设计，强劲智能控温科技，男女通用，现代简约风格，搭配专属收纳盒，彰显奢华科技美学。","refusal":null,"role":"assistant"}}],"created":1777019754,"id":"chatcmpl-DY6IsSOaEwgb4E0Xybjep0VMA4AcW","model":"gpt-5-chat-latest","object":"chat.completion","service_tier":"default","system_fingerprint":"fp_ad66631dec","usage":{"completion_tokens":64,"completion_tokens_details":{"accepted_prediction_tokens":0,"audio_tokens":0,"reasoning_tokens":0,"rejected_prediction_tokens":0},"prompt_tokens":1307,"prompt_tokens_details":{"audio_tokens":0,"cached_tokens":0},"total_tokens":1371}}</t>
        </is>
      </c>
      <c r="X65" t="inlineStr">
        <is>
          <t>Dyson: Supersonic粉蓝色高速吹风机，轻盈哑光金属质感，创新磁吸设计，强劲智能控温科技，男女通用，现代简约风格，搭配专属收纳盒，彰显奢华科技美学。</t>
        </is>
      </c>
    </row>
    <row r="66" ht="25.5" customHeight="1">
      <c r="A66">
        <v>1654975475</v>
      </c>
      <c r="B66">
        <v>7620402026</v>
      </c>
      <c r="C66" s="2" t="str">
        <f>=HYPERLINK("https://weidian.com/item.html?itemID=7620402026", "https://weidian.com/item.html?itemID=7620402026")</f>
        <v>https://weidian.com/item.html?itemID=7620402026</v>
      </c>
      <c r="D66"/>
      <c r="E66" s="2" t="str">
        <f>=HYPERLINK("https://si.geilicdn.com/pcitem2014204438-4edc0000019ac3f35b490a811411_1080_1423.jpg?w=640&amp;h=640", "https://si.geilicdn.com/pcitem2014204438-4edc0000019ac3f35b490a811411_1080_1423.jpg?w=640&amp;h=640")</f>
        <v>https://si.geilicdn.com/pcitem2014204438-4edc0000019ac3f35b490a811411_1080_1423.jpg?w=640&amp;h=640</v>
      </c>
      <c r="F66" t="inlineStr">
        <is>
          <t>Electronic</t>
        </is>
      </c>
      <c r="G66" t="inlineStr">
        <is>
          <t>Dyson</t>
        </is>
      </c>
      <c r="H66">
        <v>760</v>
      </c>
      <c r="I66">
        <v>110.14</v>
      </c>
      <c r="J66" t="inlineStr">
        <is>
          <t>{"id":"chatcmpl-DYLll5qkqzqRdXxOV4B7dHZFJo8aN","object":"chat.completion","created":1777079205,"model":"gpt-5-chat-2025-10-03","choices":[{"index":0,"message":{"role":"assistant","content":"Dyson Supersonic Black Smart Hair Dryer Fast Drying  ","refusal":null,"annotations":[]},"logprobs":null,"finish_reason":"stop"}],"usage":{"prompt_tokens":873,"completion_tokens":14,"total_tokens":887,"prompt_tokens_details":{"cached_tokens":0,"audio_tokens":0},"completion_tokens_details":{"reasoning_tokens":0,"audio_tokens":0,"accepted_prediction_tokens":0,"rejected_prediction_tokens":0}},"service_tier":"default","system_fingerprint":"fp_ad66631dec"}</t>
        </is>
      </c>
      <c r="K66" t="inlineStr">
        <is>
          <t xml:space="preserve">Dyson Supersonic Black Smart Hair Dryer Fast Drying  </t>
        </is>
      </c>
      <c r="L66" t="inlineStr">
        <is>
          <t>{"id":"chatcmpl-DYLUVyq6ji4HbM7oJTiSb71zWSbPd","object":"chat.completion","created":1777078135,"model":"gpt-5-chat-latest","choices":[{"index":0,"message":{"role":"assistant","content":"Dyson Supersonic Black Smart Hair Dryer with digital motor and heat control, lightweight aluminum design, portable for men and women, delivers sleek modern minimalism and fast drying.","refusal":null,"annotations":[]},"logprobs":null,"finish_reason":"stop"}],"usage":{"prompt_tokens":889,"completion_tokens":36,"total_tokens":925,"prompt_tokens_details":{"cached_tokens":0,"audio_tokens":0},"completion_tokens_details":{"reasoning_tokens":0,"audio_tokens":0,"accepted_prediction_tokens":0,"rejected_prediction_tokens":0}},"service_tier":"default","system_fingerprint":"fp_ad66631dec"}</t>
        </is>
      </c>
      <c r="M6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ma=2592000","apim-request-id":"c36faf2a-e5b8-488d-8454-03995e7c331b","azureml-model-session":"d20260402083108-57a85543","cache-control":"no-cache, no-store, must-revalidate","connection":"close","content-length":"987","content-security-policy":"frame-ancestors 'self'","content-type":"application/json","date":"Sat, 25 Apr 2026 00:48:58 GMT","server":"nginx","skip-error-remapping":"true","strict-transport-security":"max-age=31536000; includeSubDomains; preload","via":"1.1 Caddy, 1.1 Caddy","x-api-request-id":"20260425084854213356533VyWzTFQw","x-content-type-options":"nosniff","x-frame-options":"SAMEORIGIN","x-ms-is-spilled-over":"false","x-ms-rai-invoked":"false","x-ms-region":"Sweden Central","x-new-api-version":"0.5.1","x-oneapi-request-id":"20260425004850104368498268d9d6BDupqPSs","x-ratelimit-abusepenalty-active":"False","x-ratelimit-limit-requests":"4991","x-ratelimit-limit-tokens":"4991000","x-ratelimit-remaining-requests":"4990","x-ratelimit-remaining-tokens":"4989349","x-ratelimit-renewalperiod-requests":"60","x-ratelimit-renewalperiod-tokens":"60","x-ratelimit-reset-requests":"12","x-ratelimit-reset-tokens":"19","x-request-id":"f8ee3ef0-5e08-4fad-8ff3-04aa98085356"}</t>
        </is>
      </c>
      <c r="N66" t="inlineStr">
        <is>
          <t>Dyson Supersonic Black Smart Hair Dryer with digital motor and heat control, lightweight aluminum design, portable for men and women, delivers sleek modern minimalism and fast drying.</t>
        </is>
      </c>
      <c r="O66" t="inlineStr">
        <is>
          <t>{"id":"chatcmpl-DYM00oWqlqUhfELlYDGLU7wIkD7zc","object":"chat.completion","created":1777080088,"model":"gpt-5-chat-2025-10-03","choices":[{"index":0,"message":{"role":"assistant","content":"Dyson,Hair Dryer,kakobuy,kakebuy2026,kekobuysheet,kakobuysheet2026,2026kakobuy,kakobuyspreadsheeet,kakobuylink,kakebuylist,Kakobuy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66" t="inlineStr">
        <is>
          <t>Dyson,Hair Dryer,kakobuy,kakebuy2026,kekobuysheet,kakobuysheet2026,2026kakobuy,kakobuyspreadsheeet,kakobuylink,kakebuylist,Kakobuy MEGA Spreadsheet,kakobuysheetfind,kakobuysheetfind2026,2026kakobuysheetfind,kakobuysheet2026</t>
        </is>
      </c>
      <c r="Q66"/>
      <c r="R66" t="inlineStr">
        <is>
          <t>recvhju1CrfBuj</t>
        </is>
      </c>
      <c r="S66" t="inlineStr">
        <is>
          <t>dyson-supersonic-black-smart-hair-dryer-recvhju1crfbuj</t>
        </is>
      </c>
      <c r="T66"/>
      <c r="U66"/>
      <c r="V66"/>
      <c r="W66" t="inlineStr">
        <is>
          <t>{"id":"chatcmpl-DY6GLirU7678MaAz0177VTzFnhe8C","object":"chat.completion","created":1777019597,"model":"gpt-5-chat-latest","choices":[{"index":0,"message":{"role":"assistant","content":"Dyson：Supersonic黑色智能高速吹风机，搭载数字马达与温控科技，铝合金机身设计简约高端，轻量便携，适合男女使用，展现现代极简美学。","refusal":null,"annotations":[]},"logprobs":null,"finish_reason":"stop"}],"usage":{"prompt_tokens":1301,"completion_tokens":55,"total_tokens":1356,"prompt_tokens_details":{"cached_tokens":0,"audio_tokens":0},"completion_tokens_details":{"reasoning_tokens":0,"audio_tokens":0,"accepted_prediction_tokens":0,"rejected_prediction_tokens":0}},"service_tier":"default","system_fingerprint":"fp_ad66631dec"}</t>
        </is>
      </c>
      <c r="X66" t="inlineStr">
        <is>
          <t>Dyson：Supersonic黑色智能高速吹风机，搭载数字马达与温控科技，铝合金机身设计简约高端，轻量便携，适合男女使用，展现现代极简美学。</t>
        </is>
      </c>
    </row>
    <row r="67" ht="25.5" customHeight="1">
      <c r="A67">
        <v>1654975475</v>
      </c>
      <c r="B67">
        <v>7617404163</v>
      </c>
      <c r="C67" s="2" t="str">
        <f>=HYPERLINK("https://weidian.com/item.html?itemID=7617404163", "https://weidian.com/item.html?itemID=7617404163")</f>
        <v>https://weidian.com/item.html?itemID=7617404163</v>
      </c>
      <c r="D67"/>
      <c r="E67" s="2" t="str">
        <f>=HYPERLINK("https://si.geilicdn.com/pcitem2014204438-121f0000019ac3f3a4290a2315ef_1080_1080.jpg?w=640&amp;h=640", "https://si.geilicdn.com/pcitem2014204438-121f0000019ac3f3a4290a2315ef_1080_1080.jpg?w=640&amp;h=640")</f>
        <v>https://si.geilicdn.com/pcitem2014204438-121f0000019ac3f3a4290a2315ef_1080_1080.jpg?w=640&amp;h=640</v>
      </c>
      <c r="F67" t="inlineStr">
        <is>
          <t>Electronic</t>
        </is>
      </c>
      <c r="G67" t="inlineStr">
        <is>
          <t>Dyson</t>
        </is>
      </c>
      <c r="H67">
        <v>760</v>
      </c>
      <c r="I67">
        <v>110.14</v>
      </c>
      <c r="J67" t="inlineStr">
        <is>
          <t>{"id":"chatcmpl-DYLoMTw3B15FlFyI7zF8eFdONyJZ8","object":"chat.completion","created":1777079366,"model":"gpt-5-chat-2025-10-03","choices":[{"index":0,"message":{"role":"assistant","content":"Dyson Supersonic Red Black Hair Dryer Fast Drying","refusal":null,"annotations":[]},"logprobs":null,"finish_reason":"stop"}],"usage":{"prompt_tokens":875,"completion_tokens":13,"total_tokens":888,"prompt_tokens_details":{"cached_tokens":0,"audio_tokens":0},"completion_tokens_details":{"reasoning_tokens":0,"audio_tokens":0,"accepted_prediction_tokens":0,"rejected_prediction_tokens":0}},"service_tier":"default","system_fingerprint":"fp_ad66631dec"}</t>
        </is>
      </c>
      <c r="K67" t="inlineStr">
        <is>
          <t>Dyson Supersonic Red Black Hair Dryer Fast Drying</t>
        </is>
      </c>
      <c r="L67" t="inlineStr">
        <is>
          <t>{"id":"chatcmpl-DYLV79U0sWj46GeKOIk3OP2TdADRo","object":"chat.completion","created":1777078173,"model":"gpt-5-chat-latest","choices":[{"index":0,"message":{"role":"assistant","content":"Dyson Supersonic Red &amp; Black Hair Dryer with digital motor, fast airflow for quick drying, intelligent heat control protecting shine, lightweight design in modern minimalist style for all users.","refusal":null,"annotations":[]},"logprobs":null,"finish_reason":"stop"}],"usage":{"prompt_tokens":899,"completion_tokens":37,"total_tokens":936,"prompt_tokens_details":{"cached_tokens":0,"audio_tokens":0},"completion_tokens_details":{"reasoning_tokens":0,"audio_tokens":0,"accepted_prediction_tokens":0,"rejected_prediction_tokens":0}},"service_tier":"default","system_fingerprint":"fp_ad66631dec"}</t>
        </is>
      </c>
      <c r="M6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ma=2592000","apim-request-id":"7188d6d6-e114-4295-a1fc-8042c56c9bc4","azureml-model-session":"d20260405225800-40f19e54","cache-control":"no-cache, no-store, must-revalidate","connection":"close","content-length":"998","content-security-policy":"frame-ancestors 'self'","content-type":"application/json","date":"Sat, 25 Apr 2026 00:49:35 GMT","server":"Caddy","skip-error-remapping":"true","strict-transport-security":"max-age=31536000; includeSubDomains; preload","via":"1.1 Caddy","x-api-request-id":"20260425084932221229842kuIv5Qu7","x-content-type-options":"nosniff","x-frame-options":"SAMEORIGIN","x-ms-is-spilled-over":"false","x-ms-rai-invoked":"false","x-ms-region":"Sweden Central","x-new-api-version":"0.5.1","x-oneapi-request-id":"202604250049311273531588268d9d69MFREe5M","x-ratelimit-abusepenalty-active":"False","x-ratelimit-limit-requests":"4991","x-ratelimit-limit-tokens":"4991000","x-ratelimit-remaining-requests":"4990","x-ratelimit-remaining-tokens":"4989339","x-ratelimit-renewalperiod-requests":"60","x-ratelimit-renewalperiod-tokens":"60","x-ratelimit-reset-requests":"12","x-ratelimit-reset-tokens":"19","x-request-id":"fc6009ca-db03-41fb-ad68-981102fb719d"}</t>
        </is>
      </c>
      <c r="N67" t="inlineStr">
        <is>
          <t>Dyson Supersonic Red &amp; Black Hair Dryer with digital motor, fast airflow for quick drying, intelligent heat control protecting shine, lightweight design in modern minimalist style for all users.</t>
        </is>
      </c>
      <c r="O67" t="inlineStr">
        <is>
          <t>{"id":"chatcmpl-DYLzx9PCMi6OpVT500vqaHfBEeb6I","object":"chat.completion","created":1777080085,"model":"gpt-5-chat-2025-10-03","choices":[{"index":0,"message":{"role":"assistant","content":"Dyson,Hair Dryer,kakobuy,kakebuy2026,kekobuysheet,kakobuysheet2026,2026kakobuy,kakobuyspreadsheeet,kakobuylink,kakebuylist,Kakobuy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67" t="inlineStr">
        <is>
          <t>Dyson,Hair Dryer,kakobuy,kakebuy2026,kekobuysheet,kakobuysheet2026,2026kakobuy,kakobuyspreadsheeet,kakobuylink,kakebuylist,Kakobuy MEGA Spreadsheet,kakobuysheetfind,kakobuysheetfind2026,2026kakobuysheetfind,kakobuysheet2026</t>
        </is>
      </c>
      <c r="Q67"/>
      <c r="R67" t="inlineStr">
        <is>
          <t>recvhju1CriLdS</t>
        </is>
      </c>
      <c r="S67" t="inlineStr">
        <is>
          <t>dyson-supersonic-red-black-hair-dryer-fast-drying-recvhju1CriLdS</t>
        </is>
      </c>
      <c r="T67"/>
      <c r="U67"/>
      <c r="V67"/>
      <c r="W67" t="inlineStr">
        <is>
          <t>{"choices":[{"finish_reason":"stop","index":0,"logprobs":null,"message":{"annotations":[],"content":"Dyson：Supersonic红黑高速吹风机，创新数字马达设计，强劲气流快速干发，智能控温科技呵护秀发光泽，轻盈机身搭配极简未来主义风格，男女皆宜，现代家居美学典范。","refusal":null,"role":"assistant"}}],"created":1777019810,"id":"chatcmpl-DY6JmbAmH9LY37leJrFDtYOlYQJFt","model":"gpt-5-chat-latest","object":"chat.completion","service_tier":"default","system_fingerprint":"fp_ad66631dec","usage":{"completion_tokens":64,"completion_tokens_details":{"accepted_prediction_tokens":0,"audio_tokens":0,"reasoning_tokens":0,"rejected_prediction_tokens":0},"prompt_tokens":1303,"prompt_tokens_details":{"audio_tokens":0,"cached_tokens":0},"total_tokens":1367}}</t>
        </is>
      </c>
      <c r="X67" t="inlineStr">
        <is>
          <t>Dyson：Supersonic红黑高速吹风机，创新数字马达设计，强劲气流快速干发，智能控温科技呵护秀发光泽，轻盈机身搭配极简未来主义风格，男女皆宜，现代家居美学典范。</t>
        </is>
      </c>
    </row>
    <row r="68" ht="25.5" customHeight="1">
      <c r="A68">
        <v>1654975475</v>
      </c>
      <c r="B68">
        <v>7617382269</v>
      </c>
      <c r="C68" s="2" t="str">
        <f>=HYPERLINK("https://weidian.com/item.html?itemID=7617382269", "https://weidian.com/item.html?itemID=7617382269")</f>
        <v>https://weidian.com/item.html?itemID=7617382269</v>
      </c>
      <c r="D68"/>
      <c r="E68" s="2" t="str">
        <f>=HYPERLINK("https://si.geilicdn.com/pcitem2014204438-74980000019ac3ded85d0a20e7c7_1080_1080.jpg?w=640&amp;h=640", "https://si.geilicdn.com/pcitem2014204438-74980000019ac3ded85d0a20e7c7_1080_1080.jpg?w=640&amp;h=640")</f>
        <v>https://si.geilicdn.com/pcitem2014204438-74980000019ac3ded85d0a20e7c7_1080_1080.jpg?w=640&amp;h=640</v>
      </c>
      <c r="F68" t="inlineStr">
        <is>
          <t>Electronic</t>
        </is>
      </c>
      <c r="G68" t="inlineStr">
        <is>
          <t>Dyson</t>
        </is>
      </c>
      <c r="H68">
        <v>760</v>
      </c>
      <c r="I68">
        <v>110.14</v>
      </c>
      <c r="J68" t="inlineStr">
        <is>
          <t>{"id":"chatcmpl-DYLjyKUCXMNIv6Er59pTk5b7NfcH8","object":"chat.completion","created":1777079094,"model":"gpt-5-chat-latest","choices":[{"index":0,"message":{"role":"assistant","content":"Dyson Supersonic Blue Copper Hair Dryer Fast Drying","refusal":null,"annotations":[]},"logprobs":null,"finish_reason":"stop"}],"usage":{"prompt_tokens":881,"completion_tokens":13,"total_tokens":894,"prompt_tokens_details":{"cached_tokens":0,"audio_tokens":0},"completion_tokens_details":{"reasoning_tokens":0,"audio_tokens":0,"accepted_prediction_tokens":0,"rejected_prediction_tokens":0}},"service_tier":"default","system_fingerprint":"fp_ad66631dec"}</t>
        </is>
      </c>
      <c r="K68" t="inlineStr">
        <is>
          <t>Dyson Supersonic Blue Copper Hair Dryer Fast Drying</t>
        </is>
      </c>
      <c r="L68" t="inlineStr">
        <is>
          <t>{"choices":[{"finish_reason":"stop","index":0,"logprobs":null,"message":{"annotations":[],"content":"Dyson Supersonic Blue Copper Hair Dryer – High-speed no-blade design, aerospace-grade metal, smart heat control prevents damage, lightweight stylish look, smooth shiny results for all hair types.","refusal":null,"role":"assistant"}}],"created":1777077956,"id":"chatcmpl-DYLRciYEhvHa05P6RQjwRlWTTN3Sj","model":"gpt-5-chat-latest","object":"chat.completion","service_tier":"default","system_fingerprint":"fp_ad66631dec","usage":{"completion_tokens":40,"completion_tokens_details":{"accepted_prediction_tokens":0,"audio_tokens":0,"reasoning_tokens":0,"rejected_prediction_tokens":0},"prompt_tokens":902,"prompt_tokens_details":{"audio_tokens":0,"cached_tokens":0},"total_tokens":942}}</t>
        </is>
      </c>
      <c r="M68" t="inlineStr">
        <is>
          <t>{"alt-svc":"h3=\":443\"; ma=2592000","apim-request-id":"f9524380-c14a-4c95-ac4e-626953ee0378","azureml-model-session":"d20260405225800-40f19e54","cache-control":"no-cache","connection":"close","content-length":"785","content-security-policy":"frame-ancestors 'self'","content-type":"application/json","date":"Sat, 25 Apr 2026 00:45:58 GMT","server":"Caddy","skip-error-remapping":"true","strict-transport-security":"max-age=31536000; includeSubDomains; preload","via":"1.1 Caddy","x-api-request-id":"20260425084554628097858jtjP1jIM","x-content-type-options":"nosniff","x-frame-options":"SAMEORIGIN","x-ms-client-request-id":"Not-Set","x-ms-is-spilled-over":"false","x-ms-rai-invoked":"true","x-ms-region":"East US 2","x-new-api-version":"0.5.1","x-oneapi-request-id":"202604250045532776970248268d9d6LRl7y1qp","x-ratelimit-abusepenalty-active":"False","x-ratelimit-limit-requests":"50","x-ratelimit-limit-tokens":"50000","x-ratelimit-remaining-requests":"49","x-ratelimit-remaining-tokens":"-1331","x-ratelimit-renewalperiod-requests":"60","x-ratelimit-renewalperiod-tokens":"60","x-ratelimit-reset-requests":"1787","x-ratelimit-reset-tokens":"61597","x-request-id":"c7690033-0fe1-4d7c-a879-31c61ee15c19"}</t>
        </is>
      </c>
      <c r="N68" t="inlineStr">
        <is>
          <t>Dyson Supersonic Blue Copper Hair Dryer – High-speed no-blade design, aerospace-grade metal, smart heat control prevents damage, lightweight stylish look, smooth shiny results for all hair types.</t>
        </is>
      </c>
      <c r="O68" t="inlineStr">
        <is>
          <t>{"id":"chatcmpl-DYLt7VVKfw5EPVAKa7DWY4XK1g0wa","object":"chat.completion","created":1777079661,"model":"gpt-5-chat-2025-10-03","choices":[{"index":0,"message":{"role":"assistant","content":"Dyson,Hair Dryer,kakobuy,kakebuy2026,kekobuysheet,kakobuysheet2026,2026kakobuy,kakobuyspreadsheeet,kakobuylink,kakebuylist,Kakobuy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68" t="inlineStr">
        <is>
          <t>Dyson,Hair Dryer,kakobuy,kakebuy2026,kekobuysheet,kakobuysheet2026,2026kakobuy,kakobuyspreadsheeet,kakobuylink,kakebuylist,Kakobuy MEGA Spreadsheet,kakobuysheetfind,kakobuysheetfind2026,2026kakobuysheetfind,kakobuysheet2026</t>
        </is>
      </c>
      <c r="Q68"/>
      <c r="R68" t="inlineStr">
        <is>
          <t>recvhju1CrodcI</t>
        </is>
      </c>
      <c r="S68" t="inlineStr">
        <is>
          <t>dyson-supersonic-blue-copper-hair-dryer-recvhju1crodci</t>
        </is>
      </c>
      <c r="T68"/>
      <c r="U68"/>
      <c r="V68"/>
      <c r="W68" t="inlineStr">
        <is>
          <t>{"choices":[{"finish_reason":"stop","index":0,"logprobs":null,"message":{"annotations":[],"content":"Dyson：Supersonic蓝铜色高速吹风机，航空级金属材质，创新无叶设计，智能温控防止过热损伤，轻盈时尚造型适合男女使用，现代科技美学融合专业沙龙品质，打造顺滑亮泽秀发体验。","refusal":null,"role":"assistant"}}],"created":1777019836,"id":"chatcmpl-DY6KC0tIqVBHBg9m1kvA1hZINMutX","model":"gpt-5-chat-latest","object":"chat.completion","service_tier":"default","system_fingerprint":"fp_ad66631dec","usage":{"completion_tokens":67,"completion_tokens_details":{"accepted_prediction_tokens":0,"audio_tokens":0,"reasoning_tokens":0,"rejected_prediction_tokens":0},"prompt_tokens":1303,"prompt_tokens_details":{"audio_tokens":0,"cached_tokens":0},"total_tokens":1370}}</t>
        </is>
      </c>
      <c r="X68" t="inlineStr">
        <is>
          <t>Dyson：Supersonic蓝铜色高速吹风机，航空级金属材质，创新无叶设计，智能温控防止过热损伤，轻盈时尚造型适合男女使用，现代科技美学融合专业沙龙品质，打造顺滑亮泽秀发体验。</t>
        </is>
      </c>
    </row>
    <row r="69" ht="25.5" customHeight="1">
      <c r="A69">
        <v>1654975475</v>
      </c>
      <c r="B69">
        <v>7620390162</v>
      </c>
      <c r="C69" s="2" t="str">
        <f>=HYPERLINK("https://weidian.com/item.html?itemID=7620390162", "https://weidian.com/item.html?itemID=7620390162")</f>
        <v>https://weidian.com/item.html?itemID=7620390162</v>
      </c>
      <c r="D69"/>
      <c r="E69" s="2" t="str">
        <f>=HYPERLINK("https://si.geilicdn.com/pcitem2014204438-54c80000019ac40529c40a811411_1440_1920.jpg?w=640&amp;h=640", "https://si.geilicdn.com/pcitem2014204438-54c80000019ac40529c40a811411_1440_1920.jpg?w=640&amp;h=640")</f>
        <v>https://si.geilicdn.com/pcitem2014204438-54c80000019ac40529c40a811411_1440_1920.jpg?w=640&amp;h=640</v>
      </c>
      <c r="F69" t="inlineStr">
        <is>
          <t>Electronic</t>
        </is>
      </c>
      <c r="G69" t="inlineStr">
        <is>
          <t>Bose</t>
        </is>
      </c>
      <c r="H69">
        <v>440</v>
      </c>
      <c r="I69">
        <v>63.77</v>
      </c>
      <c r="J69" t="inlineStr">
        <is>
          <t>{"id":"chatcmpl-DYLoaZsDrqXy4befXIcfr2ONOahte","object":"chat.completion","created":1777079380,"model":"gpt-5-chat-2025-10-03","choices":[{"index":0,"message":{"role":"assistant","content":"Bose QuietComfort Ultra White Wireless Headphones","refusal":null,"annotations":[]},"logprobs":null,"finish_reason":"stop"}],"usage":{"prompt_tokens":867,"completion_tokens":10,"total_tokens":877,"prompt_tokens_details":{"cached_tokens":0,"audio_tokens":0},"completion_tokens_details":{"reasoning_tokens":0,"audio_tokens":0,"accepted_prediction_tokens":0,"rejected_prediction_tokens":0}},"service_tier":"default","system_fingerprint":"fp_ad66631dec"}</t>
        </is>
      </c>
      <c r="K69" t="inlineStr">
        <is>
          <t>Bose QuietComfort Ultra White Wireless Headphones</t>
        </is>
      </c>
      <c r="L69" t="inlineStr">
        <is>
          <t>{"choices":[{"finish_reason":"stop","index":0,"logprobs":null,"message":{"annotations":[],"content":"Bose QuietComfort Ultra White Wireless Noise Cancelling Headphones, premium synthetic design, lightweight comfort, spatial audio, Bluetooth connectivity, ideal for business or travel.","refusal":null,"role":"assistant"}}],"created":1777078379,"id":"chatcmpl-DYLYRGEucJAmlX9SrO6Tsw9kQzHIn","model":"gpt-5-chat-latest","object":"chat.completion","service_tier":"default","system_fingerprint":"fp_ad66631dec","usage":{"completion_tokens":33,"completion_tokens_details":{"accepted_prediction_tokens":0,"audio_tokens":0,"reasoning_tokens":0,"rejected_prediction_tokens":0},"prompt_tokens":894,"prompt_tokens_details":{"audio_tokens":0,"cached_tokens":0},"total_tokens":927}}</t>
        </is>
      </c>
      <c r="M69" t="inlineStr">
        <is>
          <t>{"alt-svc":"h3=\":443\"; ma=2592000","apim-request-id":"ab176379-056f-4363-9a15-c5e1948bea03","azureml-model-session":"d20260405225800-40f19e54","cache-control":"no-cache","connection":"close","content-length":"771","content-security-policy":"frame-ancestors 'self'","content-type":"application/json","date":"Sat, 25 Apr 2026 00:53:00 GMT","server":"Caddy","skip-error-remapping":"true","strict-transport-security":"max-age=31536000; includeSubDomains; preload","via":"1.1 Caddy","x-api-request-id":"20260425085257276534603OssRwjrg","x-content-type-options":"nosniff","x-frame-options":"SAMEORIGIN","x-ms-client-request-id":"Not-Set","x-ms-is-spilled-over":"false","x-ms-rai-invoked":"true","x-ms-region":"East US 2","x-new-api-version":"0.5.1","x-oneapi-request-id":"202604250052562334002438268d9d6cZlgM2Pl","x-ratelimit-abusepenalty-active":"False","x-ratelimit-limit-requests":"50","x-ratelimit-limit-tokens":"50000","x-ratelimit-remaining-requests":"49","x-ratelimit-remaining-tokens":"-1382","x-ratelimit-renewalperiod-requests":"60","x-ratelimit-renewalperiod-tokens":"60","x-ratelimit-reset-requests":"1694","x-ratelimit-reset-tokens":"61658","x-request-id":"0d35ba9c-c440-4dbf-8ce9-1a1f25be1b47"}</t>
        </is>
      </c>
      <c r="N69" t="inlineStr">
        <is>
          <t>Bose QuietComfort Ultra White Wireless Noise Cancelling Headphones, premium synthetic design, lightweight comfort, spatial audio, Bluetooth connectivity, ideal for business or travel.</t>
        </is>
      </c>
      <c r="O69" t="inlineStr">
        <is>
          <t>{"id":"chatcmpl-DYLun48rM9smkEfDQdndD3n9GNGCl","object":"chat.completion","created":1777079765,"model":"gpt-5-chat-2025-10-03","choices":[{"index":0,"message":{"role":"assistant","content":"Bose,Headphon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69" t="inlineStr">
        <is>
          <t>Bose,Headphones,kakobuy,kakebuy2026,kekobuysheet,kakobuysheet2026,2026kakobuy,kakobuyspreadsheeet,kakobuylink,kakebuylist,Kakobuy MEGA Spreadsheet,kakobuysheetfind,kakobuysheetfind2026,2026kakobuysheetfind,kakobuysheet2026</t>
        </is>
      </c>
      <c r="Q69"/>
      <c r="R69" t="inlineStr">
        <is>
          <t>recvhju1CrR7be</t>
        </is>
      </c>
      <c r="S69" t="inlineStr">
        <is>
          <t>bose-quietcomfort-ultra-white-recvhju1crr7be</t>
        </is>
      </c>
      <c r="T69"/>
      <c r="U69"/>
      <c r="V69"/>
      <c r="W69" t="inlineStr">
        <is>
          <t>{"choices":[{"finish_reason":"stop","index":0,"logprobs":null,"message":{"annotations":[],"content":"Bose QuietComfort Ultra 白色无线降噪耳机，甄选高品质合成材质打造，简约现代设计感，佩戴轻盈舒适，支持空间音频与蓝牙连接，男女皆宜，高级商务与休闲出行首选。","refusal":null,"role":"assistant"}}],"created":1777019810,"id":"chatcmpl-DY6JmSY0Zuwd5pKC2U5cxLwQhzsr1","model":"gpt-5-chat-latest","object":"chat.completion","service_tier":"default","system_fingerprint":"fp_ad66631dec","usage":{"completion_tokens":62,"completion_tokens_details":{"accepted_prediction_tokens":0,"audio_tokens":0,"reasoning_tokens":0,"rejected_prediction_tokens":0},"prompt_tokens":1297,"prompt_tokens_details":{"audio_tokens":0,"cached_tokens":1280},"total_tokens":1359}}</t>
        </is>
      </c>
      <c r="X69" t="inlineStr">
        <is>
          <t>Bose QuietComfort Ultra 白色无线降噪耳机，甄选高品质合成材质打造，简约现代设计感，佩戴轻盈舒适，支持空间音频与蓝牙连接，男女皆宜，高级商务与休闲出行首选。</t>
        </is>
      </c>
    </row>
    <row r="70" ht="25.5" customHeight="1">
      <c r="A70">
        <v>1654975475</v>
      </c>
      <c r="B70">
        <v>7620555858</v>
      </c>
      <c r="C70" s="2" t="str">
        <f>=HYPERLINK("https://weidian.com/item.html?itemID=7620555858", "https://weidian.com/item.html?itemID=7620555858")</f>
        <v>https://weidian.com/item.html?itemID=7620555858</v>
      </c>
      <c r="D70"/>
      <c r="E70" s="2" t="str">
        <f>=HYPERLINK("https://si.geilicdn.com/pcitem2014204438-30ad0000019ac48f03580a20e7c7_1442_1922.jpg?w=640&amp;h=640", "https://si.geilicdn.com/pcitem2014204438-30ad0000019ac48f03580a20e7c7_1442_1922.jpg?w=640&amp;h=640")</f>
        <v>https://si.geilicdn.com/pcitem2014204438-30ad0000019ac48f03580a20e7c7_1442_1922.jpg?w=640&amp;h=640</v>
      </c>
      <c r="F70" t="inlineStr">
        <is>
          <t>Electronic</t>
        </is>
      </c>
      <c r="G70" t="inlineStr">
        <is>
          <t>Beats</t>
        </is>
      </c>
      <c r="H70">
        <v>370</v>
      </c>
      <c r="I70">
        <v>53.62</v>
      </c>
      <c r="J70" t="inlineStr">
        <is>
          <t>{"id":"chatcmpl-DYLiiC52xXF8Zrti6ziKuBobuuM6N","object":"chat.completion","created":1777079016,"model":"gpt-5-chat-latest","choices":[{"index":0,"message":{"role":"assistant","content":"Beats Fit Pro Neon Yellow Wireless Earbuds","refusal":null,"annotations":[]},"logprobs":null,"finish_reason":"stop"}],"usage":{"prompt_tokens":877,"completion_tokens":10,"total_tokens":887,"prompt_tokens_details":{"cached_tokens":0,"audio_tokens":0},"completion_tokens_details":{"reasoning_tokens":0,"audio_tokens":0,"accepted_prediction_tokens":0,"rejected_prediction_tokens":0}},"service_tier":"default","system_fingerprint":"fp_ad66631dec"}</t>
        </is>
      </c>
      <c r="K70" t="inlineStr">
        <is>
          <t>Beats Fit Pro Neon Yellow Wireless Earbuds</t>
        </is>
      </c>
      <c r="L70" t="inlineStr">
        <is>
          <t>{"id":"chatcmpl-DYLT5fWi1G5PYLxsHHhHQAzCWaxwT","object":"chat.completion","created":1777078047,"model":"gpt-5-chat-latest","choices":[{"index":0,"message":{"role":"assistant","content":"ElectronicBeats Beats Fit Pro True Wireless Earbuds in neon yellow feature flexible wing tips, skin-friendly silicone, active noise cancelling, and spatial audio for sporty, stylish comfort every day.","refusal":null,"annotations":[]},"logprobs":null,"finish_reason":"stop"}],"usage":{"prompt_tokens":916,"completion_tokens":38,"total_tokens":954,"prompt_tokens_details":{"cached_tokens":0,"audio_tokens":0},"completion_tokens_details":{"reasoning_tokens":0,"audio_tokens":0,"accepted_prediction_tokens":0,"rejected_prediction_tokens":0}},"service_tier":"default","system_fingerprint":"fp_ad66631dec"}</t>
        </is>
      </c>
      <c r="M7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ma=2592000","apim-request-id":"34bab47a-2529-4eab-997d-2732f697e0d3","azureml-model-session":"d20260402075109-1fc5a0ec","cache-control":"no-cache, no-store, must-revalidate","connection":"close","content-length":"1004","content-security-policy":"frame-ancestors 'self'","content-type":"application/json","date":"Sat, 25 Apr 2026 00:47:28 GMT","server":"Caddy","skip-error-remapping":"true","strict-transport-security":"max-age=31536000; includeSubDomains; preload","via":"1.1 Caddy","x-api-request-id":"20260425084726126430022JjKfVL9P","x-content-type-options":"nosniff","x-frame-options":"SAMEORIGIN","x-ms-is-spilled-over":"false","x-ms-rai-invoked":"false","x-ms-region":"East US 2","x-new-api-version":"0.5.1","x-oneapi-request-id":"202604250047207120410708268d9d6YVfSGBag","x-ratelimit-abusepenalty-active":"False","x-ratelimit-limit-requests":"4992","x-ratelimit-limit-tokens":"4992000","x-ratelimit-remaining-requests":"4991","x-ratelimit-remaining-tokens":"4990322","x-ratelimit-renewalperiod-requests":"60","x-ratelimit-renewalperiod-tokens":"60","x-ratelimit-reset-requests":"12","x-ratelimit-reset-tokens":"20","x-request-id":"13b70579-3375-44a0-9e40-8ae35f6bfd0d"}</t>
        </is>
      </c>
      <c r="N70" t="inlineStr">
        <is>
          <t>ElectronicBeats Beats Fit Pro True Wireless Earbuds in neon yellow feature flexible wing tips, skin-friendly silicone, active noise cancelling, and spatial audio for sporty, stylish comfort every day.</t>
        </is>
      </c>
      <c r="O70" t="inlineStr">
        <is>
          <t>{"id":"chatcmpl-DYM2V8WU7KCQlh0gJI2Z5rZWR8AAZ","object":"chat.completion","created":1777080243,"model":"gpt-5-chat-2025-10-03","choices":[{"index":0,"message":{"role":"assistant","content":"Beats, Earbuds,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92,"total_tokens":874,"prompt_tokens_details":{"cached_tokens":0,"audio_tokens":0},"completion_tokens_details":{"reasoning_tokens":0,"audio_tokens":0,"accepted_prediction_tokens":0,"rejected_prediction_tokens":0}},"service_tier":"default","system_fingerprint":"fp_ad66631dec"}</t>
        </is>
      </c>
      <c r="P70" t="inlineStr">
        <is>
          <t>Beats, Earbuds, kakobuy, kakebuy2026, kekobuysheet, kakobuysheet2026, 2026kakobuy, kakobuyspreadsheeet, kakobuylink, kakebuylist, Kakobuy MEGA Spreadsheet, kakobuysheetfind, kakobuysheetfind2026, 2026kakobuysheetfind, kakobuysheet2026</t>
        </is>
      </c>
      <c r="Q70"/>
      <c r="R70" t="inlineStr">
        <is>
          <t>recvhju1Crrh4E</t>
        </is>
      </c>
      <c r="S70" t="inlineStr">
        <is>
          <t>beats-fit-pro-neon-yellow-recvhju1crrh4e</t>
        </is>
      </c>
      <c r="T70"/>
      <c r="U70"/>
      <c r="V70"/>
      <c r="W70" t="inlineStr">
        <is>
          <t>{"choices":[{"finish_reason":"stop","index":0,"logprobs":null,"message":{"annotations":[],"content":"Beats：Fit Pro 亮黄色真无线降噪运动耳机，柔性翼尖设计稳固贴合，硅胶材质舒适亲肤，搭载主动降噪与空间音频技术，展现简约动感潮流风格，男女皆宜，适合日常与健身使用，彰显现代科技美学。","refusal":null,"role":"assistant"}}],"created":1777019518,"id":"chatcmpl-DY6F4UjLfBQLtGeCGJmA1vOrZhz9r","model":"gpt-5-chat-latest","object":"chat.completion","service_tier":"default","system_fingerprint":"fp_ad66631dec","usage":{"completion_tokens":81,"completion_tokens_details":{"accepted_prediction_tokens":0,"audio_tokens":0,"reasoning_tokens":0,"rejected_prediction_tokens":0},"prompt_tokens":1303,"prompt_tokens_details":{"audio_tokens":0,"cached_tokens":0},"total_tokens":1384}}</t>
        </is>
      </c>
      <c r="X70" t="inlineStr">
        <is>
          <t>Beats：Fit Pro 亮黄色真无线降噪运动耳机，柔性翼尖设计稳固贴合，硅胶材质舒适亲肤，搭载主动降噪与空间音频技术，展现简约动感潮流风格，男女皆宜，适合日常与健身使用，彰显现代科技美学。</t>
        </is>
      </c>
    </row>
    <row r="71" ht="25.5" customHeight="1">
      <c r="A71">
        <v>1654975475</v>
      </c>
      <c r="B71">
        <v>7617552113</v>
      </c>
      <c r="C71" s="2" t="str">
        <f>=HYPERLINK("https://weidian.com/item.html?itemID=7617552113", "https://weidian.com/item.html?itemID=7617552113")</f>
        <v>https://weidian.com/item.html?itemID=7617552113</v>
      </c>
      <c r="D71"/>
      <c r="E71" s="2" t="str">
        <f>=HYPERLINK("https://si.geilicdn.com/pcitem2014204438-15f70000019ac49658ff0a20e2c5_1440_1920.jpg?w=640&amp;h=640", "https://si.geilicdn.com/pcitem2014204438-15f70000019ac49658ff0a20e2c5_1440_1920.jpg?w=640&amp;h=640")</f>
        <v>https://si.geilicdn.com/pcitem2014204438-15f70000019ac49658ff0a20e2c5_1440_1920.jpg?w=640&amp;h=640</v>
      </c>
      <c r="F71" t="inlineStr">
        <is>
          <t>Electronic</t>
        </is>
      </c>
      <c r="G71" t="inlineStr">
        <is>
          <t>Bose</t>
        </is>
      </c>
      <c r="H71">
        <v>420</v>
      </c>
      <c r="I71">
        <v>60.87</v>
      </c>
      <c r="J71" t="inlineStr">
        <is>
          <t>{"id":"chatcmpl-DYLo69EmjzMwoTepRYyIBihg6G2wq","object":"chat.completion","created":1777079350,"model":"gpt-5-chat-2025-10-03","choices":[{"index":0,"message":{"role":"assistant","content":"Bose QuietComfort Ultra Black Wireless Headphones","refusal":null,"annotations":[]},"logprobs":null,"finish_reason":"stop"}],"usage":{"prompt_tokens":871,"completion_tokens":10,"total_tokens":881,"prompt_tokens_details":{"cached_tokens":0,"audio_tokens":0},"completion_tokens_details":{"reasoning_tokens":0,"audio_tokens":0,"accepted_prediction_tokens":0,"rejected_prediction_tokens":0}},"service_tier":"default","system_fingerprint":"fp_ad66631dec"}</t>
        </is>
      </c>
      <c r="K71" t="inlineStr">
        <is>
          <t>Bose QuietComfort Ultra Black Wireless Headphones</t>
        </is>
      </c>
      <c r="L71" t="inlineStr">
        <is>
          <t>{"id":"chatcmpl-DYLSXfw2iHAn2labkJnFWizb7JUQh","object":"chat.completion","created":1777078013,"model":"gpt-5-chat-latest","choices":[{"index":0,"message":{"role":"assistant","content":"Bose QuietComfort Ultra Wireless Noise Cancelling Headphones in Black, featuring soft leather and aluminum design, immersive spatial sound, premium comfort, and modern minimalist audio elegance.","refusal":null,"annotations":[]},"logprobs":null,"finish_reason":"stop"}],"usage":{"prompt_tokens":902,"completion_tokens":35,"total_tokens":937,"prompt_tokens_details":{"cached_tokens":0,"audio_tokens":0},"completion_tokens_details":{"reasoning_tokens":0,"audio_tokens":0,"accepted_prediction_tokens":0,"rejected_prediction_tokens":0}},"service_tier":"default","system_fingerprint":"fp_ad66631dec"}</t>
        </is>
      </c>
      <c r="M7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ma=2592000","apim-request-id":"45b00cbb-abd4-419f-ac92-c2f5f5b1fbcf","azureml-model-session":"d20260405212659-a9daa006","cache-control":"no-cache, no-store, must-revalidate","connection":"close","content-length":"998","content-security-policy":"frame-ancestors 'self'","content-type":"application/json","date":"Sat, 25 Apr 2026 00:46:55 GMT","server":"nginx","skip-error-remapping":"true","strict-transport-security":"max-age=31536000; includeSubDomains; preload","via":"1.1 Caddy, 1.1 Caddy","x-api-request-id":"20260425084651463233714BrKbFXzs","x-content-type-options":"nosniff","x-frame-options":"SAMEORIGIN","x-ms-is-spilled-over":"false","x-ms-rai-invoked":"false","x-ms-region":"Sweden Central","x-new-api-version":"0.5.1","x-oneapi-request-id":"202604250046487205087738268d9d60El6ZTnr","x-ratelimit-abusepenalty-active":"False","x-ratelimit-limit-requests":"4991","x-ratelimit-limit-tokens":"4991000","x-ratelimit-remaining-requests":"4990","x-ratelimit-remaining-tokens":"4989336","x-ratelimit-renewalperiod-requests":"60","x-ratelimit-renewalperiod-tokens":"60","x-ratelimit-reset-requests":"12","x-ratelimit-reset-tokens":"20","x-request-id":"bc75a6f2-8248-4a18-a238-a81c4710cfc1"}</t>
        </is>
      </c>
      <c r="N71" t="inlineStr">
        <is>
          <t>Bose QuietComfort Ultra Wireless Noise Cancelling Headphones in Black, featuring soft leather and aluminum design, immersive spatial sound, premium comfort, and modern minimalist audio elegance.</t>
        </is>
      </c>
      <c r="O71" t="inlineStr">
        <is>
          <t>{"id":"chatcmpl-DYLwjsW1pWmZYvWwXHAf7IDHBfVMG","object":"chat.completion","created":1777079885,"model":"gpt-5-chat-2025-10-03","choices":[{"index":0,"message":{"role":"assistant","content":"Bose,Headphon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71" t="inlineStr">
        <is>
          <t>Bose,Headphones,kakobuy,kakebuy2026,kekobuysheet,kakobuysheet2026,2026kakobuy,kakobuyspreadsheeet,kakobuylink,kakebuylist,Kakobuy MEGA Spreadsheet,kakobuysheetfind,kakobuysheetfind2026,2026kakobuysheetfind,kakobuysheet2026</t>
        </is>
      </c>
      <c r="Q71"/>
      <c r="R71" t="inlineStr">
        <is>
          <t>recvhju1CrCC6C</t>
        </is>
      </c>
      <c r="S71" t="inlineStr">
        <is>
          <t>bose-quietcomfort-ultra-black-recvhju1crcc6c</t>
        </is>
      </c>
      <c r="T71"/>
      <c r="U71"/>
      <c r="V71"/>
      <c r="W71" t="inlineStr">
        <is>
          <t>{"id":"chatcmpl-DY6JEMLXorzjfJ3Ou61i8Oa7brYWV","object":"chat.completion","created":1777019776,"model":"gpt-5-chat-latest","choices":[{"index":0,"message":{"role":"assistant","content":"Bose：QuietComfort Ultra 黑色无线降噪耳机，采用柔软皮革材质与铝合金设计，融合现代简约风格，提供沉浸式空间音效与卓越降噪体验，男女皆宜，演绎高端音频美学。","refusal":null,"annotations":[]},"logprobs":null,"finish_reason":"stop"}],"usage":{"prompt_tokens":1303,"completion_tokens":67,"total_tokens":1370,"prompt_tokens_details":{"cached_tokens":1280,"audio_tokens":0},"completion_tokens_details":{"reasoning_tokens":0,"audio_tokens":0,"accepted_prediction_tokens":0,"rejected_prediction_tokens":0}},"service_tier":"default","system_fingerprint":"fp_ad66631dec"}</t>
        </is>
      </c>
      <c r="X71" t="inlineStr">
        <is>
          <t>Bose：QuietComfort Ultra 黑色无线降噪耳机，采用柔软皮革材质与铝合金设计，融合现代简约风格，提供沉浸式空间音效与卓越降噪体验，男女皆宜，演绎高端音频美学。</t>
        </is>
      </c>
    </row>
    <row r="72" ht="25.5" customHeight="1">
      <c r="A72">
        <v>1654975475</v>
      </c>
      <c r="B72">
        <v>7620480554</v>
      </c>
      <c r="C72" s="2" t="str">
        <f>=HYPERLINK("https://weidian.com/item.html?itemID=7620480554", "https://weidian.com/item.html?itemID=7620480554")</f>
        <v>https://weidian.com/item.html?itemID=7620480554</v>
      </c>
      <c r="D72"/>
      <c r="E72" s="2" t="str">
        <f>=HYPERLINK("https://si.geilicdn.com/pcitem2014204438-3b430000019ac49899480a8134f0_1440_1920.jpg?w=640&amp;h=640", "https://si.geilicdn.com/pcitem2014204438-3b430000019ac49899480a8134f0_1440_1920.jpg?w=640&amp;h=640")</f>
        <v>https://si.geilicdn.com/pcitem2014204438-3b430000019ac49899480a8134f0_1440_1920.jpg?w=640&amp;h=640</v>
      </c>
      <c r="F72" t="inlineStr">
        <is>
          <t>Electronic</t>
        </is>
      </c>
      <c r="G72" t="inlineStr">
        <is>
          <t>Bose</t>
        </is>
      </c>
      <c r="H72">
        <v>316</v>
      </c>
      <c r="I72">
        <v>45.8</v>
      </c>
      <c r="J72" t="inlineStr">
        <is>
          <t>{"id":"chatcmpl-DYLmYeoErsYvaIAVWPvjpUEiSDBUo","object":"chat.completion","created":1777079254,"model":"gpt-5-chat-2025-10-03","choices":[{"index":0,"message":{"role":"assistant","content":"Bose Electronic Black Wireless Noise Cancelling Headphones","refusal":null,"annotations":[]},"logprobs":null,"finish_reason":"stop"}],"usage":{"prompt_tokens":885,"completion_tokens":11,"total_tokens":896,"prompt_tokens_details":{"cached_tokens":0,"audio_tokens":0},"completion_tokens_details":{"reasoning_tokens":0,"audio_tokens":0,"accepted_prediction_tokens":0,"rejected_prediction_tokens":0}},"service_tier":"default","system_fingerprint":"fp_ad66631dec"}</t>
        </is>
      </c>
      <c r="K72" t="inlineStr">
        <is>
          <t>Bose Electronic Black Wireless Noise Cancelling Headphones</t>
        </is>
      </c>
      <c r="L72" t="inlineStr">
        <is>
          <t>{"id":"chatcmpl-DYLUBWEk8O2AWk5XdcGQZPMZgQsfT","object":"chat.completion","created":1777078115,"model":"gpt-5-chat-latest","choices":[{"index":0,"message":{"role":"assistant","content":"ElectronicBoseBose black wireless noise-cancelling headphones with soft leather ear cushions and lightweight headband, offering superb sound isolation, hi-fi audio, and minimalist style for daily commute or music leisure.","refusal":null,"annotations":[]},"logprobs":null,"finish_reason":"stop"}],"usage":{"prompt_tokens":904,"completion_tokens":42,"total_tokens":946,"prompt_tokens_details":{"cached_tokens":0,"audio_tokens":0},"completion_tokens_details":{"reasoning_tokens":0,"audio_tokens":0,"accepted_prediction_tokens":0,"rejected_prediction_tokens":0}},"service_tier":"default","system_fingerprint":"fp_ad66631dec"}</t>
        </is>
      </c>
      <c r="M7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ma=2592000","apim-request-id":"c93c76b0-75ba-4115-9ef8-09aea8b3b092","azureml-model-session":"d20260405234249-f9874baf","cache-control":"no-cache, no-store, must-revalidate","connection":"close","content-length":"1025","content-security-policy":"frame-ancestors 'self'","content-type":"application/json","date":"Sat, 25 Apr 2026 00:48:36 GMT","server":"nginx","skip-error-remapping":"true","strict-transport-security":"max-age=31536000; includeSubDomains; preload","vary":"Accept-Encoding","via":"1.1 Caddy, 1.1 Caddy","x-api-request-id":"20260425084834233791467iFQZxwGz","x-content-type-options":"nosniff","x-frame-options":"SAMEORIGIN","x-ms-is-spilled-over":"false","x-ms-rai-invoked":"false","x-ms-region":"East US 2","x-new-api-version":"0.5.1","x-oneapi-request-id":"202604250048323744402378268d9d60SzOEy91","x-ratelimit-abusepenalty-active":"False","x-ratelimit-limit-requests":"4992","x-ratelimit-limit-tokens":"4992000","x-ratelimit-remaining-requests":"4991","x-ratelimit-remaining-tokens":"4990334","x-ratelimit-renewalperiod-requests":"60","x-ratelimit-renewalperiod-tokens":"60","x-ratelimit-reset-requests":"12","x-ratelimit-reset-tokens":"20","x-request-id":"b0e5ddbc-c426-43c7-8eb0-13a72106442e"}</t>
        </is>
      </c>
      <c r="N72" t="inlineStr">
        <is>
          <t>ElectronicBoseBose black wireless noise-cancelling headphones with soft leather ear cushions and lightweight headband, offering superb sound isolation, hi-fi audio, and minimalist style for daily commute or music leisure.</t>
        </is>
      </c>
      <c r="O72" t="inlineStr">
        <is>
          <t>{"id":"chatcmpl-DYLuaOlH5Kmz8e3pvGSYAvLLuj57G","object":"chat.completion","created":1777079752,"model":"gpt-5-chat-2025-10-03","choices":[{"index":0,"message":{"role":"assistant","content":"ElectronicBose,headphon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89,"total_tokens":871,"prompt_tokens_details":{"cached_tokens":0,"audio_tokens":0},"completion_tokens_details":{"reasoning_tokens":0,"audio_tokens":0,"accepted_prediction_tokens":0,"rejected_prediction_tokens":0}},"service_tier":"default","system_fingerprint":"fp_ad66631dec"}</t>
        </is>
      </c>
      <c r="P72" t="inlineStr">
        <is>
          <t>ElectronicBose,headphones,kakobuy,kakebuy2026,kekobuysheet,kakobuysheet2026,2026kakobuy,kakobuyspreadsheeet,kakobuylink,kakebuylist,Kakobuy MEGA Spreadsheet,kakobuysheetfind,kakobuysheetfind2026,2026kakobuysheetfind,kakobuysheet2026</t>
        </is>
      </c>
      <c r="Q72" t="inlineStr">
        <is>
          <t>Black, Leather, Minimalist, Lightweight</t>
        </is>
      </c>
      <c r="R72" t="inlineStr">
        <is>
          <t>recvhju1CrWzJk</t>
        </is>
      </c>
      <c r="S72" t="inlineStr">
        <is>
          <t>bose-black-wireless-noise-cancelling-headphones-recvhju1crwzjk</t>
        </is>
      </c>
      <c r="T72"/>
      <c r="U72"/>
      <c r="V72"/>
      <c r="W72" t="inlineStr">
        <is>
          <t>{"choices":[{"finish_reason":"stop","index":0,"logprobs":null,"message":{"annotations":[],"content":"Bose：黑色无线降噪耳机，柔软皮质耳罩搭配轻盈头梁设计，隔音出色佩戴舒适，融合现代极简风格与高保真音效科技，适合男女日常通勤与音乐休闲使用，展现精致科技美学。","refusal":null,"role":"assistant"}}],"created":1777019928,"id":"chatcmpl-DY6LgJiC5kk54OK7WXxKUFSq2Og6I","model":"gpt-5-chat-latest","object":"chat.completion","service_tier":"default","system_fingerprint":"fp_ad66631dec","usage":{"completion_tokens":71,"completion_tokens_details":{"accepted_prediction_tokens":0,"audio_tokens":0,"reasoning_tokens":0,"rejected_prediction_tokens":0},"prompt_tokens":1299,"prompt_tokens_details":{"audio_tokens":0,"cached_tokens":0},"total_tokens":1370}}</t>
        </is>
      </c>
      <c r="X72" t="inlineStr">
        <is>
          <t>Bose：黑色无线降噪耳机，柔软皮质耳罩搭配轻盈头梁设计，隔音出色佩戴舒适，融合现代极简风格与高保真音效科技，适合男女日常通勤与音乐休闲使用，展现精致科技美学。</t>
        </is>
      </c>
    </row>
    <row r="73" ht="25.5" customHeight="1">
      <c r="A73">
        <v>1654975475</v>
      </c>
      <c r="B73">
        <v>7620484420</v>
      </c>
      <c r="C73" s="2" t="str">
        <f>=HYPERLINK("https://weidian.com/item.html?itemID=7620484420", "https://weidian.com/item.html?itemID=7620484420")</f>
        <v>https://weidian.com/item.html?itemID=7620484420</v>
      </c>
      <c r="D73"/>
      <c r="E73" s="2" t="str">
        <f>=HYPERLINK("https://si.geilicdn.com/pcitem2014204438-10fd0000019ac49a40030a210139_1442_1922.jpg?w=640&amp;h=640", "https://si.geilicdn.com/pcitem2014204438-10fd0000019ac49a40030a210139_1442_1922.jpg?w=640&amp;h=640")</f>
        <v>https://si.geilicdn.com/pcitem2014204438-10fd0000019ac49a40030a210139_1442_1922.jpg?w=640&amp;h=640</v>
      </c>
      <c r="F73" t="inlineStr">
        <is>
          <t>Electronic</t>
        </is>
      </c>
      <c r="G73" t="inlineStr">
        <is>
          <t>Sumsung</t>
        </is>
      </c>
      <c r="H73">
        <v>498</v>
      </c>
      <c r="I73">
        <v>72.17</v>
      </c>
      <c r="J73" t="inlineStr">
        <is>
          <t>{"id":"chatcmpl-DYLoUJ2tikDXKH71iDXzLVn6w58tc","object":"chat.completion","created":1777079374,"model":"gpt-5-chat-2025-10-03","choices":[{"index":0,"message":{"role":"assistant","content":"Samsung Galaxy Buds3 Pro Titanium Gray Wireless Earbuds","refusal":null,"annotations":[]},"logprobs":null,"finish_reason":"stop"}],"usage":{"prompt_tokens":878,"completion_tokens":12,"total_tokens":890,"prompt_tokens_details":{"cached_tokens":0,"audio_tokens":0},"completion_tokens_details":{"reasoning_tokens":0,"audio_tokens":0,"accepted_prediction_tokens":0,"rejected_prediction_tokens":0}},"service_tier":"default","system_fingerprint":"fp_ad66631dec"}</t>
        </is>
      </c>
      <c r="K73" t="inlineStr">
        <is>
          <t>Samsung Galaxy Buds3 Pro Titanium Gray Wireless Earbuds</t>
        </is>
      </c>
      <c r="L73" t="inlineStr">
        <is>
          <t>{"id":"chatcmpl-DYLTI63JC3WW5v4L9GDal20IFAvv1","object":"chat.completion","created":1777078060,"model":"gpt-5-chat-latest","choices":[{"index":0,"message":{"role":"assistant","content":"Samsung Galaxy Buds3 Pro Titanium Gray wireless earbuds with premium metal body, transparent cover, ANC, HD calls, long battery life, minimalist modern design, and immersive Hi-Fi sound.","refusal":null,"annotations":[]},"logprobs":null,"finish_reason":"stop"}],"usage":{"prompt_tokens":910,"completion_tokens":38,"total_tokens":948,"prompt_tokens_details":{"cached_tokens":0,"audio_tokens":0},"completion_tokens_details":{"reasoning_tokens":0,"audio_tokens":0,"accepted_prediction_tokens":0,"rejected_prediction_tokens":0}},"service_tier":"default","system_fingerprint":"fp_ad66631dec"}</t>
        </is>
      </c>
      <c r="M7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ma=2592000","apim-request-id":"159c2d19-6c1b-4299-b878-fbfd4ce97b30","azureml-model-session":"d20260402075109-1fc5a0ec","cache-control":"no-cache, no-store, must-revalidate","connection":"close","content-length":"990","content-security-policy":"frame-ancestors 'self'","content-type":"application/json","date":"Sat, 25 Apr 2026 00:47:42 GMT","server":"nginx","skip-error-remapping":"true","strict-transport-security":"max-age=31536000; includeSubDomains; preload","via":"1.1 Caddy, 1.1 Caddy","x-api-request-id":"20260425084738823737944zfkWpeRb","x-content-type-options":"nosniff","x-frame-options":"SAMEORIGIN","x-ms-is-spilled-over":"false","x-ms-rai-invoked":"false","x-ms-region":"Sweden Central","x-new-api-version":"0.5.1","x-oneapi-request-id":"202604250047356583194178268d9d6B0I3qyhk","x-ratelimit-abusepenalty-active":"False","x-ratelimit-limit-requests":"4991","x-ratelimit-limit-tokens":"4991000","x-ratelimit-remaining-requests":"4990","x-ratelimit-remaining-tokens":"4989328","x-ratelimit-renewalperiod-requests":"60","x-ratelimit-renewalperiod-tokens":"60","x-ratelimit-reset-requests":"12","x-ratelimit-reset-tokens":"20","x-request-id":"3389ce0a-1e96-4efd-9b29-52fbd1173e56"}</t>
        </is>
      </c>
      <c r="N73" t="inlineStr">
        <is>
          <t>Samsung Galaxy Buds3 Pro Titanium Gray wireless earbuds with premium metal body, transparent cover, ANC, HD calls, long battery life, minimalist modern design, and immersive Hi-Fi sound.</t>
        </is>
      </c>
      <c r="O73" t="inlineStr">
        <is>
          <t>{"id":"chatcmpl-DYM2CMxIbk87JsqsfHKueOZ9m6sLG","object":"chat.completion","created":1777080224,"model":"gpt-5-chat-2025-10-03","choices":[{"index":0,"message":{"role":"assistant","content":"Samsung, Earbuds,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P73" t="inlineStr">
        <is>
          <t>Samsung, Earbuds, kakobuy, kakebuy2026, kekobuysheet, kakobuysheet2026, 2026kakobuy, kakobuyspreadsheeet, kakobuylink, kakebuylist, Kakobuy MEGA Spreadsheet, kakobuysheetfind, kakobuysheetfind2026, 2026kakobuysheetfind, kakobuysheet2026</t>
        </is>
      </c>
      <c r="Q73"/>
      <c r="R73" t="inlineStr">
        <is>
          <t>recvhju1CrUYPN</t>
        </is>
      </c>
      <c r="S73" t="inlineStr">
        <is>
          <t>samsung-buds3-pro-titanium-gray-recvhju1crueypn</t>
        </is>
      </c>
      <c r="T73"/>
      <c r="U73"/>
      <c r="V73"/>
      <c r="W73" t="inlineStr">
        <is>
          <t>{"id":"chatcmpl-DY6M0VUYqrZzk0PZsmn7v096MODuu","object":"chat.completion","created":1777019948,"model":"gpt-5-chat-latest","choices":[{"index":0,"message":{"role":"assistant","content":"Samsung：Galaxy Buds3 Pro钛灰色真无线蓝牙耳机，高级金属质感机身搭配透明盖设计，支持主动降噪与高清通话，续航持久。极简科技风格，男女皆宜，现代设计融合舒适佩戴体验，打造沉浸式高保真音质。","refusal":null,"annotations":[]},"logprobs":null,"finish_reason":"stop"}],"usage":{"prompt_tokens":1299,"completion_tokens":77,"total_tokens":1376,"prompt_tokens_details":{"cached_tokens":0,"audio_tokens":0},"completion_tokens_details":{"reasoning_tokens":0,"audio_tokens":0,"accepted_prediction_tokens":0,"rejected_prediction_tokens":0}},"service_tier":"default","system_fingerprint":"fp_ad66631dec"}</t>
        </is>
      </c>
      <c r="X73" t="inlineStr">
        <is>
          <t>Samsung：Galaxy Buds3 Pro钛灰色真无线蓝牙耳机，高级金属质感机身搭配透明盖设计，支持主动降噪与高清通话，续航持久。极简科技风格，男女皆宜，现代设计融合舒适佩戴体验，打造沉浸式高保真音质。</t>
        </is>
      </c>
    </row>
    <row r="74" ht="25.5" customHeight="1">
      <c r="A74">
        <v>1654975475</v>
      </c>
      <c r="B74">
        <v>7617565913</v>
      </c>
      <c r="C74" s="2" t="str">
        <f>=HYPERLINK("https://weidian.com/item.html?itemID=7617565913", "https://weidian.com/item.html?itemID=7617565913")</f>
        <v>https://weidian.com/item.html?itemID=7617565913</v>
      </c>
      <c r="D74"/>
      <c r="E74" s="2" t="str">
        <f>=HYPERLINK("https://si.geilicdn.com/pcitem2014204438-377f0000019ac48d97dc0a2102c5_1440_1920.jpg?w=640&amp;h=640", "https://si.geilicdn.com/pcitem2014204438-377f0000019ac48d97dc0a2102c5_1440_1920.jpg?w=640&amp;h=640")</f>
        <v>https://si.geilicdn.com/pcitem2014204438-377f0000019ac48d97dc0a2102c5_1440_1920.jpg?w=640&amp;h=640</v>
      </c>
      <c r="F74" t="inlineStr">
        <is>
          <t>Electronic</t>
        </is>
      </c>
      <c r="G74" t="inlineStr">
        <is>
          <t>Bose</t>
        </is>
      </c>
      <c r="H74">
        <v>370</v>
      </c>
      <c r="I74">
        <v>53.62</v>
      </c>
      <c r="J74" t="inlineStr">
        <is>
          <t>{"choices":[{"finish_reason":"stop","index":0,"logprobs":null,"message":{"annotations":[],"content":"ElectronicBoseBeats Pink Noise Cancelling Wireless Earbuds","refusal":null,"role":"assistant"}}],"created":1777078854,"id":"chatcmpl-DYLg6s5XeM6iK4TKZUnJLryANmTdu","model":"gpt-5-chat-latest","object":"chat.completion","service_tier":"default","system_fingerprint":"fp_ad66631dec","usage":{"completion_tokens":13,"completion_tokens_details":{"accepted_prediction_tokens":0,"audio_tokens":0,"reasoning_tokens":0,"rejected_prediction_tokens":0},"prompt_tokens":887,"prompt_tokens_details":{"audio_tokens":0,"cached_tokens":0},"total_tokens":900}}</t>
        </is>
      </c>
      <c r="K74" t="inlineStr">
        <is>
          <t>ElectronicBoseBeats Pink Noise Cancelling Wireless Earbuds</t>
        </is>
      </c>
      <c r="L74" t="inlineStr">
        <is>
          <t>{"id":"chatcmpl-DYLP2fUjGYfEkQKgxCIk83z8Mwz5F","object":"chat.completion","created":1777077796,"model":"gpt-5-chat-latest","choices":[{"index":0,"message":{"role":"assistant","content":"ElectronicBoseBeats Pink True Wireless Noise Cancelling Earbuds, matte finish, sleek design, lightweight fit, premium sound, ideal for daily commute, sports, modern minimalist style, for men and women.","refusal":null,"annotations":[]},"logprobs":null,"finish_reason":"stop"}],"usage":{"prompt_tokens":903,"completion_tokens":43,"total_tokens":946,"prompt_tokens_details":{"cached_tokens":0,"audio_tokens":0},"completion_tokens_details":{"reasoning_tokens":0,"audio_tokens":0,"accepted_prediction_tokens":0,"rejected_prediction_tokens":0}},"service_tier":"default","system_fingerprint":"fp_ad66631dec"}</t>
        </is>
      </c>
      <c r="M7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ma=2592000","apim-request-id":"54663df5-db17-4d42-99da-7a67f27f2f13","azureml-model-session":"d20260405221325-2e8d5e76","cache-control":"no-cache, no-store, must-revalidate","connection":"close","content-length":"1005","content-security-policy":"frame-ancestors 'self'","content-type":"application/json","date":"Sat, 25 Apr 2026 00:43:18 GMT","server":"Caddy","skip-error-remapping":"true","strict-transport-security":"max-age=31536000; includeSubDomains; preload","via":"1.1 Caddy","x-api-request-id":"20260425084314630012108zLQUAnce","x-content-type-options":"nosniff","x-frame-options":"SAMEORIGIN","x-ms-is-spilled-over":"false","x-ms-rai-invoked":"false","x-ms-region":"Sweden Central","x-new-api-version":"0.5.1","x-oneapi-request-id":"202604250043121951177448268d9d6PgNYHvN5","x-ratelimit-abusepenalty-active":"False","x-ratelimit-limit-requests":"4991","x-ratelimit-limit-tokens":"4991000","x-ratelimit-remaining-requests":"4990","x-ratelimit-remaining-tokens":"4989335","x-ratelimit-renewalperiod-requests":"60","x-ratelimit-renewalperiod-tokens":"60","x-ratelimit-reset-requests":"12","x-ratelimit-reset-tokens":"20","x-request-id":"776ab19d-fe17-46f9-8bef-8595cd5b18f2"}</t>
        </is>
      </c>
      <c r="N74" t="inlineStr">
        <is>
          <t>ElectronicBoseBeats Pink True Wireless Noise Cancelling Earbuds, matte finish, sleek design, lightweight fit, premium sound, ideal for daily commute, sports, modern minimalist style, for men and women.</t>
        </is>
      </c>
      <c r="O74" t="inlineStr">
        <is>
          <t>{"id":"chatcmpl-DYLvt4wO8AQhPsoVpW8PRgvFdeavY","object":"chat.completion","created":1777079833,"model":"gpt-5-chat-2025-10-03","choices":[{"index":0,"message":{"role":"assistant","content":"Beats,earbud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74" t="inlineStr">
        <is>
          <t>Beats,earbuds,kakobuy,kakebuy2026,kekobuysheet,kakobuysheet2026,2026kakobuy,kakobuyspreadsheeet,kakobuylink,kakebuylist,Kakobuy MEGA Spreadsheet,kakobuysheetfind,kakobuysheetfind2026,2026kakobuysheetfind,kakobuysheet2026</t>
        </is>
      </c>
      <c r="Q74"/>
      <c r="R74" t="inlineStr">
        <is>
          <t>recvhju1CrsMa6</t>
        </is>
      </c>
      <c r="S74" t="inlineStr">
        <is>
          <t>bose-beats-pink-noise-cancelling-earbuds-recvhju1crsma6</t>
        </is>
      </c>
      <c r="T74"/>
      <c r="U74"/>
      <c r="V74"/>
      <c r="W74" t="inlineStr">
        <is>
          <t>{"choices":[{"finish_reason":"stop","index":0,"logprobs":null,"message":{"annotations":[],"content":"Beats 粉橙色真无线降噪耳机，采用磨砂质感外壳与流线造型设计，轻盈贴耳，提供卓越音质与主动降噪功能，男女通用，现代极简风格，适合日常通勤与运动使用。","refusal":null,"role":"assistant"}}],"created":1777019849,"id":"chatcmpl-DY6KPIAeJv05Vks7sryQXkVS7UbU8","model":"gpt-5-chat-latest","object":"chat.completion","service_tier":"default","system_fingerprint":"fp_ad66631dec","usage":{"completion_tokens":68,"completion_tokens_details":{"accepted_prediction_tokens":0,"audio_tokens":0,"reasoning_tokens":0,"rejected_prediction_tokens":0},"prompt_tokens":1303,"prompt_tokens_details":{"audio_tokens":0,"cached_tokens":0},"total_tokens":1371}}</t>
        </is>
      </c>
      <c r="X74" t="inlineStr">
        <is>
          <t>Beats 粉橙色真无线降噪耳机，采用磨砂质感外壳与流线造型设计，轻盈贴耳，提供卓越音质与主动降噪功能，男女通用，现代极简风格，适合日常通勤与运动使用。</t>
        </is>
      </c>
    </row>
    <row r="75" ht="25.5" customHeight="1">
      <c r="A75">
        <v>1654975475</v>
      </c>
      <c r="B75">
        <v>7620524062</v>
      </c>
      <c r="C75" s="2" t="str">
        <f>=HYPERLINK("https://weidian.com/item.html?itemID=7620524062", "https://weidian.com/item.html?itemID=7620524062")</f>
        <v>https://weidian.com/item.html?itemID=7620524062</v>
      </c>
      <c r="D75"/>
      <c r="E75" s="2" t="str">
        <f>=HYPERLINK("https://si.geilicdn.com/pcitem2014204438-41ea0000019ac48e2be90a23041a_1440_1920.jpg?w=640&amp;h=640", "https://si.geilicdn.com/pcitem2014204438-41ea0000019ac48e2be90a23041a_1440_1920.jpg?w=640&amp;h=640")</f>
        <v>https://si.geilicdn.com/pcitem2014204438-41ea0000019ac48e2be90a23041a_1440_1920.jpg?w=640&amp;h=640</v>
      </c>
      <c r="F75" t="inlineStr">
        <is>
          <t>Electronic</t>
        </is>
      </c>
      <c r="G75" t="inlineStr">
        <is>
          <t>Bose</t>
        </is>
      </c>
      <c r="H75">
        <v>290</v>
      </c>
      <c r="I75">
        <v>42.03</v>
      </c>
      <c r="J75" t="inlineStr">
        <is>
          <t>{"id":"chatcmpl-DYLoYC1lNTkm5RY3VLWrWggGSgKmd","object":"chat.completion","created":1777079378,"model":"gpt-5-chat-2025-10-03","choices":[{"index":0,"message":{"role":"assistant","content":"Beats Blue Wireless Noise Cancelling Earbuds","refusal":null,"annotations":[]},"logprobs":null,"finish_reason":"stop"}],"usage":{"prompt_tokens":883,"completion_tokens":10,"total_tokens":893,"prompt_tokens_details":{"cached_tokens":0,"audio_tokens":0},"completion_tokens_details":{"reasoning_tokens":0,"audio_tokens":0,"accepted_prediction_tokens":0,"rejected_prediction_tokens":0}},"service_tier":"default","system_fingerprint":"fp_ad66631dec"}</t>
        </is>
      </c>
      <c r="K75" t="inlineStr">
        <is>
          <t>Beats Blue Wireless Noise Cancelling Earbuds</t>
        </is>
      </c>
      <c r="L75" t="inlineStr">
        <is>
          <t>{"id":"chatcmpl-DYLT5kcHpydZi9d9nIUuyLRfh10Br","object":"chat.completion","created":1777078047,"model":"gpt-5-chat-latest","choices":[{"index":0,"message":{"role":"assistant","content":"ElectronicBoseBeats Blue True Wireless Noise Cancelling Earbuds with soft matte design, ergonomic fit, powerful drivers, high-fidelity immersive sound; ideal for daily commute, sports, and style.","refusal":null,"annotations":[]},"logprobs":null,"finish_reason":"stop"}],"usage":{"prompt_tokens":926,"completion_tokens":41,"total_tokens":967,"prompt_tokens_details":{"cached_tokens":0,"audio_tokens":0},"completion_tokens_details":{"reasoning_tokens":0,"audio_tokens":0,"accepted_prediction_tokens":0,"rejected_prediction_tokens":0}},"service_tier":"default","system_fingerprint":"fp_ad66631dec"}</t>
        </is>
      </c>
      <c r="M7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ma=2592000","apim-request-id":"c17d571d-91b8-446b-b683-fa498224665d","azureml-model-session":"d20260405234249-f9874baf","cache-control":"no-cache, no-store, must-revalidate","connection":"close","content-length":"999","content-security-policy":"frame-ancestors 'self'","content-type":"application/json","date":"Sat, 25 Apr 2026 00:47:29 GMT","server":"Caddy","skip-error-remapping":"true","strict-transport-security":"max-age=31536000; includeSubDomains; preload","via":"1.1 Caddy","x-api-request-id":"20260425084726717697535G1QWVarC","x-content-type-options":"nosniff","x-frame-options":"SAMEORIGIN","x-ms-is-spilled-over":"false","x-ms-rai-invoked":"false","x-ms-region":"East US 2","x-new-api-version":"0.5.1","x-oneapi-request-id":"202604250047234291995548268d9d6zkZkjyr3","x-ratelimit-abusepenalty-active":"False","x-ratelimit-limit-requests":"4992","x-ratelimit-limit-tokens":"4992000","x-ratelimit-remaining-requests":"4991","x-ratelimit-remaining-tokens":"4990312","x-ratelimit-renewalperiod-requests":"60","x-ratelimit-renewalperiod-tokens":"60","x-ratelimit-reset-requests":"12","x-ratelimit-reset-tokens":"20","x-request-id":"aecb3a61-569c-4093-96ba-f37ace8a2e94"}</t>
        </is>
      </c>
      <c r="N75" t="inlineStr">
        <is>
          <t>ElectronicBoseBeats Blue True Wireless Noise Cancelling Earbuds with soft matte design, ergonomic fit, powerful drivers, high-fidelity immersive sound; ideal for daily commute, sports, and style.</t>
        </is>
      </c>
      <c r="O75" t="inlineStr">
        <is>
          <t>{"id":"chatcmpl-DYLydoEZz30T6N3tphdIKWRSaZTwX","object":"chat.completion","created":1777080003,"model":"gpt-5-chat-2025-10-03","choices":[{"index":0,"message":{"role":"assistant","content":"Beats,earbud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75" t="inlineStr">
        <is>
          <t>Beats,earbuds,kakobuy,kakebuy2026,kekobuysheet,kakobuysheet2026,2026kakobuy,kakobuyspreadsheeet,kakobuylink,kakebuylist,Kakobuy MEGA Spreadsheet,kakobuysheetfind,kakobuysheetfind2026,2026kakobuysheetfind,kakobuysheet2026</t>
        </is>
      </c>
      <c r="Q75"/>
      <c r="R75" t="inlineStr">
        <is>
          <t>recvhju1Cr46S8</t>
        </is>
      </c>
      <c r="S75" t="inlineStr">
        <is>
          <t>beats-blue-wireless-noise-cancelling-earbuds-recvhju1cr46s8</t>
        </is>
      </c>
      <c r="T75"/>
      <c r="U75"/>
      <c r="V75"/>
      <c r="W75" t="inlineStr">
        <is>
          <t>{"choices":[{"finish_reason":"stop","index":0,"logprobs":null,"message":{"annotations":[],"content":"Beats蓝色真无线降噪耳机，采用柔雾质感外壳与人体工学设计，轻盈贴合耳型，呈现现代极简风格；内置强劲驱动单元与主动降噪功能，带来沉浸式高保真听感。男女通用款，时尚百搭，适合日常通勤与运动休闲使用。","refusal":null,"role":"assistant"}}],"created":1777019900,"id":"chatcmpl-DY6LEbTsiAlxim0pKYTjXsaGiekyd","model":"gpt-5-chat-latest","object":"chat.completion","service_tier":"default","system_fingerprint":"fp_ad66631dec","usage":{"completion_tokens":92,"completion_tokens_details":{"accepted_prediction_tokens":0,"audio_tokens":0,"reasoning_tokens":0,"rejected_prediction_tokens":0},"prompt_tokens":1301,"prompt_tokens_details":{"audio_tokens":0,"cached_tokens":0},"total_tokens":1393}}</t>
        </is>
      </c>
      <c r="X75" t="inlineStr">
        <is>
          <t>Beats蓝色真无线降噪耳机，采用柔雾质感外壳与人体工学设计，轻盈贴合耳型，呈现现代极简风格；内置强劲驱动单元与主动降噪功能，带来沉浸式高保真听感。男女通用款，时尚百搭，适合日常通勤与运动休闲使用。</t>
        </is>
      </c>
    </row>
    <row r="76" ht="25.5" customHeight="1">
      <c r="A76">
        <v>1654975475</v>
      </c>
      <c r="B76">
        <v>7620537674</v>
      </c>
      <c r="C76" s="2" t="str">
        <f>=HYPERLINK("https://weidian.com/item.html?itemID=7620537674", "https://weidian.com/item.html?itemID=7620537674")</f>
        <v>https://weidian.com/item.html?itemID=7620537674</v>
      </c>
      <c r="D76"/>
      <c r="E76" s="2" t="str">
        <f>=HYPERLINK("https://si.geilicdn.com/pcitem2014204438-3ff30000019ac496d0d70a207569_1442_1922.jpg?w=640&amp;h=640", "https://si.geilicdn.com/pcitem2014204438-3ff30000019ac496d0d70a207569_1442_1922.jpg?w=640&amp;h=640")</f>
        <v>https://si.geilicdn.com/pcitem2014204438-3ff30000019ac496d0d70a207569_1442_1922.jpg?w=640&amp;h=640</v>
      </c>
      <c r="F76" t="inlineStr">
        <is>
          <t>Electronic</t>
        </is>
      </c>
      <c r="G76" t="inlineStr">
        <is>
          <t xml:space="preserve"> Apple</t>
        </is>
      </c>
      <c r="H76">
        <v>900</v>
      </c>
      <c r="I76">
        <v>130.43</v>
      </c>
      <c r="J76" t="inlineStr">
        <is>
          <t>{"choices":[{"finish_reason":"stop","index":0,"logprobs":null,"message":{"annotations":[],"content":"Apple AirPods Max Orange Wireless Noise Cancelling Headphones","refusal":null,"role":"assistant"}}],"created":1777078860,"id":"chatcmpl-DYLgCyRfdtapCVNcQ1rA3OxXspIdM","model":"gpt-5-chat-latest","object":"chat.completion","service_tier":"default","system_fingerprint":"fp_ad66631dec","usage":{"completion_tokens":12,"completion_tokens_details":{"accepted_prediction_tokens":0,"audio_tokens":0,"reasoning_tokens":0,"rejected_prediction_tokens":0},"prompt_tokens":870,"prompt_tokens_details":{"audio_tokens":0,"cached_tokens":0},"total_tokens":882}}</t>
        </is>
      </c>
      <c r="K76" t="inlineStr">
        <is>
          <t>Apple AirPods Max Orange Wireless Noise Cancelling Headphones</t>
        </is>
      </c>
      <c r="L76" t="inlineStr">
        <is>
          <t>{"id":"chatcmpl-DYLcprnkfdewG5lARYaOYUO07kzUf","object":"chat.completion","created":1777078651,"model":"gpt-5-chat-latest","choices":[{"index":0,"message":{"role":"assistant","content":"Apple AirPods Max Orange Wireless Headphones feature premium anodized aluminum ear cups, breathable knit mesh headband, Active Noise Cancellation and Transparency Mode for immersive, stylish sound.","refusal":null,"annotations":[]},"logprobs":null,"finish_reason":"stop"}],"usage":{"prompt_tokens":913,"completion_tokens":35,"total_tokens":948,"prompt_tokens_details":{"cached_tokens":0,"audio_tokens":0},"completion_tokens_details":{"reasoning_tokens":0,"audio_tokens":0,"accepted_prediction_tokens":0,"rejected_prediction_tokens":0}},"service_tier":"default","system_fingerprint":"fp_ad66631dec"}</t>
        </is>
      </c>
      <c r="M7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ma=2592000","apim-request-id":"47833c33-215a-4440-9940-86b48898b846","azureml-model-session":"d20260405225800-40f19e54","cache-control":"no-cache, no-store, must-revalidate","connection":"close","content-length":"1001","content-security-policy":"frame-ancestors 'self'","content-type":"application/json","date":"Sat, 25 Apr 2026 00:57:32 GMT","server":"Caddy","skip-error-remapping":"true","strict-transport-security":"max-age=31536000; includeSubDomains; preload","via":"1.1 Caddy","x-api-request-id":"202604250857302094686274swxQ5Kr","x-content-type-options":"nosniff","x-frame-options":"SAMEORIGIN","x-ms-is-spilled-over":"false","x-ms-rai-invoked":"false","x-ms-region":"East US 2","x-new-api-version":"0.5.1","x-oneapi-request-id":"202604250057253659481238268d9d6oUb7QANy","x-ratelimit-abusepenalty-active":"False","x-ratelimit-limit-requests":"4992","x-ratelimit-limit-tokens":"4992000","x-ratelimit-remaining-requests":"4991","x-ratelimit-remaining-tokens":"4990325","x-ratelimit-renewalperiod-requests":"60","x-ratelimit-renewalperiod-tokens":"60","x-ratelimit-reset-requests":"12","x-ratelimit-reset-tokens":"20","x-request-id":"72055845-ba1f-4c75-9fb2-1da8c8a29439"}</t>
        </is>
      </c>
      <c r="N76" t="inlineStr">
        <is>
          <t>Apple AirPods Max Orange Wireless Headphones feature premium anodized aluminum ear cups, breathable knit mesh headband, Active Noise Cancellation and Transparency Mode for immersive, stylish sound.</t>
        </is>
      </c>
      <c r="O76" t="inlineStr">
        <is>
          <t>{"id":"chatcmpl-DYM0wKCvTfw4LdGbKPZAM1APRws2Z","object":"chat.completion","created":1777080146,"model":"gpt-5-chat-2025-10-03","choices":[{"index":0,"message":{"role":"assistant","content":"Apple,Headphones,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87,"total_tokens":868,"prompt_tokens_details":{"cached_tokens":0,"audio_tokens":0},"completion_tokens_details":{"reasoning_tokens":0,"audio_tokens":0,"accepted_prediction_tokens":0,"rejected_prediction_tokens":0}},"service_tier":"default","system_fingerprint":"fp_ad66631dec"}</t>
        </is>
      </c>
      <c r="P76" t="inlineStr">
        <is>
          <t>Apple,Headphones,kakobuy,kakebuy2026,kekobuysheet,kakobuysheet2026,2026kakobuy,kakobuyspreadsheeet,kakobuylink,kakebuylist,Kakobuy MEGA Spreadsheet,kakobuysheetfind,kakobuysheetfind2026,2026kakobuysheetfind,kakobuysheet2026</t>
        </is>
      </c>
      <c r="Q76"/>
      <c r="R76" t="inlineStr">
        <is>
          <t>recvhju1CrnZAo</t>
        </is>
      </c>
      <c r="S76" t="inlineStr">
        <is>
          <t>apple-airpods-max-orange-recvhju1crnzao</t>
        </is>
      </c>
      <c r="T76"/>
      <c r="U76"/>
      <c r="V76"/>
      <c r="W76" t="inlineStr">
        <is>
          <t>{"choices":[{"finish_reason":"stop","index":0,"logprobs":null,"message":{"annotations":[],"content":"Apple：AirPods Max 橙色头戴式无线耳机，优质阳极氧化铝耳罩与透气针织网状头梁设计，融合现代极简科技美学。主动降噪与通透模式自由切换，带来沉浸式听觉体验，男女皆宜，彰显高端时尚品味。","refusal":null,"role":"assistant"}}],"created":1777019406,"id":"chatcmpl-DY6DGPWQgPY7kfmyLIszk76DDbmh5","model":"gpt-5-chat-latest","object":"chat.completion","service_tier":"default","system_fingerprint":"fp_ad66631dec","usage":{"completion_tokens":81,"completion_tokens_details":{"accepted_prediction_tokens":0,"audio_tokens":0,"reasoning_tokens":0,"rejected_prediction_tokens":0},"prompt_tokens":1297,"prompt_tokens_details":{"audio_tokens":0,"cached_tokens":0},"total_tokens":1378}}</t>
        </is>
      </c>
      <c r="X76" t="inlineStr">
        <is>
          <t>Apple：AirPods Max 橙色头戴式无线耳机，优质阳极氧化铝耳罩与透气针织网状头梁设计，融合现代极简科技美学。主动降噪与通透模式自由切换，带来沉浸式听觉体验，男女皆宜，彰显高端时尚品味。</t>
        </is>
      </c>
    </row>
    <row r="77" ht="25.5" customHeight="1">
      <c r="A77">
        <v>1654975475</v>
      </c>
      <c r="B77">
        <v>7617518279</v>
      </c>
      <c r="C77" s="2" t="str">
        <f>=HYPERLINK("https://weidian.com/item.html?itemID=7617518279", "https://weidian.com/item.html?itemID=7617518279")</f>
        <v>https://weidian.com/item.html?itemID=7617518279</v>
      </c>
      <c r="D77"/>
      <c r="E77" s="2" t="str">
        <f>=HYPERLINK("https://si.geilicdn.com/pcitem2014204438-3fad0000019ac497f2b30a2301b4_1442_1922.jpg?w=640&amp;h=640", "https://si.geilicdn.com/pcitem2014204438-3fad0000019ac497f2b30a2301b4_1442_1922.jpg?w=640&amp;h=640")</f>
        <v>https://si.geilicdn.com/pcitem2014204438-3fad0000019ac497f2b30a2301b4_1442_1922.jpg?w=640&amp;h=640</v>
      </c>
      <c r="F77" t="inlineStr">
        <is>
          <t>Electronic</t>
        </is>
      </c>
      <c r="G77" t="inlineStr">
        <is>
          <t>Bose</t>
        </is>
      </c>
      <c r="H77">
        <v>316</v>
      </c>
      <c r="I77">
        <v>45.8</v>
      </c>
      <c r="J77" t="inlineStr">
        <is>
          <t>{"id":"chatcmpl-DYLlAWBNrcEGMiujZEfcUuYFyZVvK","object":"chat.completion","created":1777079168,"model":"gpt-5-chat-latest","choices":[{"index":0,"message":{"role":"assistant","content":"Bose QuietComfort Ultra Headphones Black Noise Cancelling","refusal":null,"annotations":[]},"logprobs":null,"finish_reason":"stop"}],"usage":{"prompt_tokens":867,"completion_tokens":12,"total_tokens":879,"prompt_tokens_details":{"cached_tokens":0,"audio_tokens":0},"completion_tokens_details":{"reasoning_tokens":0,"audio_tokens":0,"accepted_prediction_tokens":0,"rejected_prediction_tokens":0}},"service_tier":"default","system_fingerprint":"fp_ad66631dec"}</t>
        </is>
      </c>
      <c r="K77" t="inlineStr">
        <is>
          <t>Bose QuietComfort Ultra Headphones Black Noise Cancelling</t>
        </is>
      </c>
      <c r="L77" t="inlineStr">
        <is>
          <t>{"id":"chatcmpl-DYLR5yq0pPtfOohWZxZAcacde9fgV","object":"chat.completion","created":1777077923,"model":"gpt-5-chat-latest","choices":[{"index":0,"message":{"role":"assistant","content":"Bose QuietComfort Ultra Headphones Black – Premium over-ear noise cancelling design with immersive sound and ultimate comfort, perfect for men and women, modern minimalist style.","refusal":null,"annotations":[]},"logprobs":null,"finish_reason":"stop"}],"usage":{"prompt_tokens":883,"completion_tokens":33,"total_tokens":916,"prompt_tokens_details":{"cached_tokens":0,"audio_tokens":0},"completion_tokens_details":{"reasoning_tokens":0,"audio_tokens":0,"accepted_prediction_tokens":0,"rejected_prediction_tokens":0}},"service_tier":"default","system_fingerprint":"fp_ad66631dec"}</t>
        </is>
      </c>
      <c r="M7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ma=2592000","apim-request-id":"c6bb8b4d-2014-4f22-a08d-4239b9521055","azureml-model-session":"d20260405234249-f9874baf","cache-control":"no-cache, no-store, must-revalidate","connection":"close","content-length":"984","content-security-policy":"frame-ancestors 'self'","content-type":"application/json","date":"Sat, 25 Apr 2026 00:45:24 GMT","server":"nginx","skip-error-remapping":"true","strict-transport-security":"max-age=31536000; includeSubDomains; preload","via":"1.1 Caddy, 1.1 Caddy","x-api-request-id":"2026042508452251008699EHpPY0rO","x-content-type-options":"nosniff","x-frame-options":"SAMEORIGIN","x-ms-is-spilled-over":"false","x-ms-rai-invoked":"false","x-ms-region":"East US 2","x-new-api-version":"0.5.1","x-oneapi-request-id":"202604250045218798181288268d9d6npSlseGb","x-ratelimit-abusepenalty-active":"False","x-ratelimit-limit-requests":"4992","x-ratelimit-limit-tokens":"4992000","x-ratelimit-remaining-requests":"4991","x-ratelimit-remaining-tokens":"4990355","x-ratelimit-renewalperiod-requests":"60","x-ratelimit-renewalperiod-tokens":"60","x-ratelimit-reset-requests":"12","x-ratelimit-reset-tokens":"19","x-request-id":"f66a58cc-1820-4766-bf90-2865d6053c53"}</t>
        </is>
      </c>
      <c r="N77" t="inlineStr">
        <is>
          <t>Bose QuietComfort Ultra Headphones Black – Premium over-ear noise cancelling design with immersive sound and ultimate comfort, perfect for men and women, modern minimalist style.</t>
        </is>
      </c>
      <c r="O77" t="inlineStr">
        <is>
          <t>{"id":"chatcmpl-DYLxBeybYLMuCE1dbR9Sy1hR1HWRf","object":"chat.completion","created":1777079913,"model":"gpt-5-chat-2025-10-03","choices":[{"index":0,"message":{"role":"assistant","content":"Bose,Headphon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77" t="inlineStr">
        <is>
          <t>Bose,Headphones,kakobuy,kakebuy2026,kekobuysheet,kakobuysheet2026,2026kakobuy,kakobuyspreadsheeet,kakobuylink,kakebuylist,Kakobuy MEGA Spreadsheet,kakobuysheetfind,kakobuysheetfind2026,2026kakobuysheetfind,kakobuysheet2026</t>
        </is>
      </c>
      <c r="Q77"/>
      <c r="R77" t="inlineStr">
        <is>
          <t>recvhju1Cr1OPU</t>
        </is>
      </c>
      <c r="S77" t="inlineStr">
        <is>
          <t>bose-quietcomfort-ultra-headphones-black-noise-cancelling-recvhju1cr1opu</t>
        </is>
      </c>
      <c r="T77"/>
      <c r="U77"/>
      <c r="V77"/>
      <c r="W77" t="inlineStr">
        <is>
          <t>{"choices":[{"finish_reason":"stop","index":0,"logprobs":null,"message":{"annotations":[],"content":"Bose: QuietComfort Ultra黑色降噪耳机，头戴式设计搭配优质材料，沉浸音效与舒适佩戴并存，男女通用，现代极简风格。","refusal":null,"role":"assistant"}}],"created":1777019513,"id":"chatcmpl-DY6Ezbsjukt2wa2wKHNXHMOo4zvQC","model":"gpt-5-chat-latest","object":"chat.completion","service_tier":"default","system_fingerprint":"fp_ad66631dec","usage":{"completion_tokens":48,"completion_tokens_details":{"accepted_prediction_tokens":0,"audio_tokens":0,"reasoning_tokens":0,"rejected_prediction_tokens":0},"prompt_tokens":1303,"prompt_tokens_details":{"audio_tokens":0,"cached_tokens":0},"total_tokens":1351}}</t>
        </is>
      </c>
      <c r="X77" t="inlineStr">
        <is>
          <t>Bose: QuietComfort Ultra黑色降噪耳机，头戴式设计搭配优质材料，沉浸音效与舒适佩戴并存，男女通用，现代极简风格。</t>
        </is>
      </c>
    </row>
    <row r="78" ht="25.5" customHeight="1">
      <c r="A78">
        <v>1654975475</v>
      </c>
      <c r="B78">
        <v>7620575672</v>
      </c>
      <c r="C78" s="2" t="str">
        <f>=HYPERLINK("https://weidian.com/item.html?itemID=7620575672", "https://weidian.com/item.html?itemID=7620575672")</f>
        <v>https://weidian.com/item.html?itemID=7620575672</v>
      </c>
      <c r="D78"/>
      <c r="E78" s="2" t="str">
        <f>=HYPERLINK("https://si.geilicdn.com/pcitem2014204438-443b0000019ac499d8090a2303ee_1179_1434.jpg?w=640&amp;h=640", "https://si.geilicdn.com/pcitem2014204438-443b0000019ac499d8090a2303ee_1179_1434.jpg?w=640&amp;h=640")</f>
        <v>https://si.geilicdn.com/pcitem2014204438-443b0000019ac499d8090a2303ee_1179_1434.jpg?w=640&amp;h=640</v>
      </c>
      <c r="F78" t="inlineStr">
        <is>
          <t>Electronic</t>
        </is>
      </c>
      <c r="G78" t="inlineStr">
        <is>
          <t xml:space="preserve"> Apple</t>
        </is>
      </c>
      <c r="H78">
        <v>316</v>
      </c>
      <c r="I78">
        <v>45.8</v>
      </c>
      <c r="J78" t="inlineStr">
        <is>
          <t>{"choices":[{"finish_reason":"stop","index":0,"logprobs":null,"message":{"annotations":[],"content":"Electronic Apple Wireless Noise Cancelling Over Ear Headphones","refusal":null,"role":"assistant"}}],"created":1777079087,"id":"chatcmpl-DYLjrd2TK6RhUXQT1rflHJ71IlOQU","model":"gpt-5-chat-latest","object":"chat.completion","service_tier":"default","system_fingerprint":"fp_ad66631dec","usage":{"completion_tokens":11,"completion_tokens_details":{"accepted_prediction_tokens":0,"audio_tokens":0,"reasoning_tokens":0,"rejected_prediction_tokens":0},"prompt_tokens":876,"prompt_tokens_details":{"audio_tokens":0,"cached_tokens":0},"total_tokens":887}}</t>
        </is>
      </c>
      <c r="K78" t="inlineStr">
        <is>
          <t>Electronic Apple Wireless Noise Cancelling Over Ear Headphones</t>
        </is>
      </c>
      <c r="L78" t="inlineStr">
        <is>
          <t>{"id":"chatcmpl-DYLXA8WLlejn3t9EksXGrWiDRZ2VX","object":"chat.completion","created":1777078300,"model":"gpt-5-chat-latest","choices":[{"index":0,"message":{"role":"assistant","content":"Electronic AppleApple wireless white noise-cancelling over-ear headphones, minimalist design, aluminum-fabric fusion, breathable cushions, adjustable headband, hi-fi sound for business or leisure style.","refusal":null,"annotations":[]},"logprobs":null,"finish_reason":"stop"}],"usage":{"prompt_tokens":922,"completion_tokens":38,"total_tokens":960,"prompt_tokens_details":{"cached_tokens":0,"audio_tokens":0},"completion_tokens_details":{"reasoning_tokens":0,"audio_tokens":0,"accepted_prediction_tokens":0,"rejected_prediction_tokens":0}},"service_tier":"default","system_fingerprint":"fp_ad66631dec"}</t>
        </is>
      </c>
      <c r="M7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ma=2592000","apim-request-id":"52cad325-8b37-4d8b-8ea0-de2eb41c2f16","azureml-model-session":"d20260405234249-f9874baf","cache-control":"no-cache, no-store, must-revalidate","connection":"close","content-length":"1006","content-security-policy":"frame-ancestors 'self'","content-type":"application/json","date":"Sat, 25 Apr 2026 00:51:42 GMT","server":"Caddy","skip-error-remapping":"true","strict-transport-security":"max-age=31536000; includeSubDomains; preload","via":"1.1 Caddy","x-api-request-id":"20260425085139263501870cInoGhfy","x-content-type-options":"nosniff","x-frame-options":"SAMEORIGIN","x-ms-is-spilled-over":"false","x-ms-rai-invoked":"false","x-ms-region":"Sweden Central","x-new-api-version":"0.5.1","x-oneapi-request-id":"202604250051389758902938268d9d6cLL0oBsJ","x-ratelimit-abusepenalty-active":"False","x-ratelimit-limit-requests":"4991","x-ratelimit-limit-tokens":"4991000","x-ratelimit-remaining-requests":"4990","x-ratelimit-remaining-tokens":"4989316","x-ratelimit-renewalperiod-requests":"60","x-ratelimit-renewalperiod-tokens":"60","x-ratelimit-reset-requests":"12","x-ratelimit-reset-tokens":"20","x-request-id":"9328ce39-5ad5-41c7-a3b5-04fa9f2fa6f3"}</t>
        </is>
      </c>
      <c r="N78" t="inlineStr">
        <is>
          <t>Electronic AppleApple wireless white noise-cancelling over-ear headphones, minimalist design, aluminum-fabric fusion, breathable cushions, adjustable headband, hi-fi sound for business or leisure style.</t>
        </is>
      </c>
      <c r="O78" t="inlineStr">
        <is>
          <t>{"id":"chatcmpl-DYM1Fjhan8W6EQcrYcmKEBee9UdyE","object":"chat.completion","created":1777080165,"model":"gpt-5-chat-2025-10-03","choices":[{"index":0,"message":{"role":"assistant","content":"Apple, headphones,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781,"completion_tokens":90,"total_tokens":871,"prompt_tokens_details":{"cached_tokens":0,"audio_tokens":0},"completion_tokens_details":{"reasoning_tokens":0,"audio_tokens":0,"accepted_prediction_tokens":0,"rejected_prediction_tokens":0}},"service_tier":"default","system_fingerprint":"fp_ad66631dec"}</t>
        </is>
      </c>
      <c r="P78" t="inlineStr">
        <is>
          <t>Apple, headphones, kakobuy, kakebuy2026, kekobuysheet, kakobuysheet2026, 2026kakobuy, kakobuyspreadsheeet, kakobuylink, kakebuylist, Kakobuy MEGA Spreadsheet, kakobuysheetfind, kakobuysheetfind2026, 2026kakobuysheetfind, kakobuysheet2026</t>
        </is>
      </c>
      <c r="Q78"/>
      <c r="R78" t="inlineStr">
        <is>
          <t>recvhju1Cr4zGQ</t>
        </is>
      </c>
      <c r="S78" t="inlineStr">
        <is>
          <t>electronic-apple-wireless-noise-cancelling-over-ear-headphones-recvhju1cr4zgq</t>
        </is>
      </c>
      <c r="T78"/>
      <c r="U78"/>
      <c r="V78"/>
      <c r="W78" t="inlineStr">
        <is>
          <t>{"id":"chatcmpl-DY6FnBrdsstVkEWc7NLgKRMfTyckf","object":"chat.completion","created":1777019563,"model":"gpt-5-chat-latest","choices":[{"index":0,"message":{"role":"assistant","content":"Apple：白色无线降噪头戴式耳机，极简流线设计，铝合金与织物材质融合，柔软透气耳罩搭配可调节头梁，呈现未来科技美学。高保真音效与主动降噪技术，适配男女通用，商务与休闲皆宜，兼具舒适佩戴与时尚格调。","refusal":null,"annotations":[]},"logprobs":null,"finish_reason":"stop"}],"usage":{"prompt_tokens":1297,"completion_tokens":90,"total_tokens":1387,"prompt_tokens_details":{"cached_tokens":0,"audio_tokens":0},"completion_tokens_details":{"reasoning_tokens":0,"audio_tokens":0,"accepted_prediction_tokens":0,"rejected_prediction_tokens":0}},"service_tier":"default","system_fingerprint":"fp_ad66631dec"}</t>
        </is>
      </c>
      <c r="X78" t="inlineStr">
        <is>
          <t>Apple：白色无线降噪头戴式耳机，极简流线设计，铝合金与织物材质融合，柔软透气耳罩搭配可调节头梁，呈现未来科技美学。高保真音效与主动降噪技术，适配男女通用，商务与休闲皆宜，兼具舒适佩戴与时尚格调。</t>
        </is>
      </c>
    </row>
    <row r="79" ht="25.5" customHeight="1">
      <c r="A79">
        <v>1654975475</v>
      </c>
      <c r="B79">
        <v>7617591797</v>
      </c>
      <c r="C79" s="2" t="str">
        <f>=HYPERLINK("https://weidian.com/item.html?itemID=7617591797", "https://weidian.com/item.html?itemID=7617591797")</f>
        <v>https://weidian.com/item.html?itemID=7617591797</v>
      </c>
      <c r="D79"/>
      <c r="E79" s="2" t="str">
        <f>=HYPERLINK("https://si.geilicdn.com/pcitem2014204438-37ea0000019ac49b99970a2396f4_1440_1920.jpg?w=640&amp;h=640", "https://si.geilicdn.com/pcitem2014204438-37ea0000019ac49b99970a2396f4_1440_1920.jpg?w=640&amp;h=640")</f>
        <v>https://si.geilicdn.com/pcitem2014204438-37ea0000019ac49b99970a2396f4_1440_1920.jpg?w=640&amp;h=640</v>
      </c>
      <c r="F79" t="inlineStr">
        <is>
          <t>Electronic</t>
        </is>
      </c>
      <c r="G79" t="inlineStr">
        <is>
          <t>Beats</t>
        </is>
      </c>
      <c r="H79">
        <v>360</v>
      </c>
      <c r="I79">
        <v>52.17</v>
      </c>
      <c r="J79" t="inlineStr">
        <is>
          <t>{"choices":[{"finish_reason":"stop","index":0,"logprobs":null,"message":{"annotations":[],"content":"ElectronicBeats Studio Buds Red Wireless Noise Cancelling Earbuds","refusal":null,"role":"assistant"}}],"created":1777079066,"id":"chatcmpl-DYLjWkFq94tHoFpIkHRllofCBqcYo","model":"gpt-5-chat-latest","object":"chat.completion","service_tier":"default","system_fingerprint":"fp_ad66631dec","usage":{"completion_tokens":14,"completion_tokens_details":{"accepted_prediction_tokens":0,"audio_tokens":0,"reasoning_tokens":0,"rejected_prediction_tokens":0},"prompt_tokens":879,"prompt_tokens_details":{"audio_tokens":0,"cached_tokens":0},"total_tokens":893}}</t>
        </is>
      </c>
      <c r="K79" t="inlineStr">
        <is>
          <t>ElectronicBeats Studio Buds Red Wireless Noise Cancelling Earbuds</t>
        </is>
      </c>
      <c r="L79" t="inlineStr">
        <is>
          <t>{"id":"chatcmpl-DYLalds1n7QnNwumUPABQb6RKU447","object":"chat.completion","created":1777078523,"model":"gpt-5-chat-latest","choices":[{"index":0,"message":{"role":"assistant","content":"ElectronicBeatsBeats Studio Buds Red: True wireless Bluetooth earbuds with sleek curved design, soft lightweight fit, active noise cancelling, transparency mode, immersive sound and modern style for all.","refusal":null,"annotations":[]},"logprobs":null,"finish_reason":"stop"}],"usage":{"prompt_tokens":899,"completion_tokens":39,"total_tokens":938,"prompt_tokens_details":{"cached_tokens":0,"audio_tokens":0},"completion_tokens_details":{"reasoning_tokens":0,"audio_tokens":0,"accepted_prediction_tokens":0,"rejected_prediction_tokens":0}},"service_tier":"default","system_fingerprint":"fp_ad66631dec"}</t>
        </is>
      </c>
      <c r="M7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ma=2592000","apim-request-id":"0f630148-eedb-4616-aabd-e574b3ff9b6e","azureml-model-session":"d20260402083108-57a85543","cache-control":"no-cache, no-store, must-revalidate","connection":"close","content-length":"1007","content-security-policy":"frame-ancestors 'self'","content-type":"application/json","date":"Sat, 25 Apr 2026 00:55:25 GMT","server":"nginx","skip-error-remapping":"true","strict-transport-security":"max-age=31536000; includeSubDomains; preload","via":"1.1 Caddy, 1.1 Caddy","x-api-request-id":"20260425085522515172519rnKYyNQZ","x-content-type-options":"nosniff","x-frame-options":"SAMEORIGIN","x-ms-is-spilled-over":"false","x-ms-rai-invoked":"false","x-ms-region":"East US 2","x-new-api-version":"0.5.1","x-oneapi-request-id":"202604250055222196963138268d9d6qtHD39qG","x-ratelimit-abusepenalty-active":"False","x-ratelimit-limit-requests":"4992","x-ratelimit-limit-tokens":"4992000","x-ratelimit-remaining-requests":"4991","x-ratelimit-remaining-tokens":"4990339","x-ratelimit-renewalperiod-requests":"60","x-ratelimit-renewalperiod-tokens":"60","x-ratelimit-reset-requests":"12","x-ratelimit-reset-tokens":"19","x-request-id":"1f17f821-5a5e-4568-b42c-923208abcf28"}</t>
        </is>
      </c>
      <c r="N79" t="inlineStr">
        <is>
          <t>ElectronicBeatsBeats Studio Buds Red: True wireless Bluetooth earbuds with sleek curved design, soft lightweight fit, active noise cancelling, transparency mode, immersive sound and modern style for all.</t>
        </is>
      </c>
      <c r="O79" t="inlineStr">
        <is>
          <t>{"id":"chatcmpl-DYM0Xc9YHuWxEtZT0fwyt0YeuO72u","object":"chat.completion","created":1777080121,"model":"gpt-5-chat-2025-10-03","choices":[{"index":0,"message":{"role":"assistant","content":"Beats, Earbuds,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92,"total_tokens":874,"prompt_tokens_details":{"cached_tokens":0,"audio_tokens":0},"completion_tokens_details":{"reasoning_tokens":0,"audio_tokens":0,"accepted_prediction_tokens":0,"rejected_prediction_tokens":0}},"service_tier":"default","system_fingerprint":"fp_ad66631dec"}</t>
        </is>
      </c>
      <c r="P79" t="inlineStr">
        <is>
          <t>Beats, Earbuds, kakobuy, kakebuy2026, kekobuysheet, kakobuysheet2026, 2026kakobuy, kakobuyspreadsheeet, kakobuylink, kakebuylist, Kakobuy MEGA Spreadsheet, kakobuysheetfind, kakobuysheetfind2026, 2026kakobuysheetfind, kakobuysheet2026</t>
        </is>
      </c>
      <c r="Q79"/>
      <c r="R79" t="inlineStr">
        <is>
          <t>recvhju1CribNW</t>
        </is>
      </c>
      <c r="S79" t="inlineStr">
        <is>
          <t>electronicbeats-studio-buds-red-recvhju1cribnw</t>
        </is>
      </c>
      <c r="T79"/>
      <c r="U79"/>
      <c r="V79"/>
      <c r="W79" t="inlineStr">
        <is>
          <t>{"choices":[{"finish_reason":"stop","index":0,"logprobs":null,"message":{"annotations":[],"content":"Beats：Studio Buds 红色真无线蓝牙耳机，简约曲线设计，轻盈亲肤材质，支持主动降噪与通透模式，沉浸音效结合现代科技感，男女皆宜，兼具时尚与高保真音质体验。","refusal":null,"role":"assistant"}}],"created":1777019902,"id":"chatcmpl-DY6LGNGdDRZvGXR9R9Iv9mt3DBC3r","model":"gpt-5-chat-latest","object":"chat.completion","service_tier":"default","system_fingerprint":"fp_ad66631dec","usage":{"completion_tokens":65,"completion_tokens_details":{"accepted_prediction_tokens":0,"audio_tokens":0,"reasoning_tokens":0,"rejected_prediction_tokens":0},"prompt_tokens":1301,"prompt_tokens_details":{"audio_tokens":0,"cached_tokens":0},"total_tokens":1366}}</t>
        </is>
      </c>
      <c r="X79" t="inlineStr">
        <is>
          <t>Beats：Studio Buds 红色真无线蓝牙耳机，简约曲线设计，轻盈亲肤材质，支持主动降噪与通透模式，沉浸音效结合现代科技感，男女皆宜，兼具时尚与高保真音质体验。</t>
        </is>
      </c>
    </row>
    <row r="80" ht="25.5" customHeight="1">
      <c r="A80">
        <v>1654975475</v>
      </c>
      <c r="B80">
        <v>7617579915</v>
      </c>
      <c r="C80" s="2" t="str">
        <f>=HYPERLINK("https://weidian.com/item.html?itemID=7617579915", "https://weidian.com/item.html?itemID=7617579915")</f>
        <v>https://weidian.com/item.html?itemID=7617579915</v>
      </c>
      <c r="D80"/>
      <c r="E80" s="2" t="str">
        <f>=HYPERLINK("https://si.geilicdn.com/pcitem2014204438-17ef0000019ac49cfb540a20e2c5_1074_1074.jpg?w=640&amp;h=640", "https://si.geilicdn.com/pcitem2014204438-17ef0000019ac49cfb540a20e2c5_1074_1074.jpg?w=640&amp;h=640")</f>
        <v>https://si.geilicdn.com/pcitem2014204438-17ef0000019ac49cfb540a20e2c5_1074_1074.jpg?w=640&amp;h=640</v>
      </c>
      <c r="F80" t="inlineStr">
        <is>
          <t>Electronic</t>
        </is>
      </c>
      <c r="G80" t="inlineStr">
        <is>
          <t>Sony</t>
        </is>
      </c>
      <c r="H80">
        <v>480</v>
      </c>
      <c r="I80">
        <v>69.5797101449275</v>
      </c>
      <c r="J80" t="inlineStr">
        <is>
          <t>{"id":"chatcmpl-DYLincYxxaRKKVrLfmyMGcx4wq805","object":"chat.completion","created":1777079021,"model":"gpt-5-chat-latest","choices":[{"index":0,"message":{"role":"assistant","content":"Sony Deep Gray Bluetooth Earbuds Magnetic Charging Case","refusal":null,"annotations":[]},"logprobs":null,"finish_reason":"stop"}],"usage":{"prompt_tokens":872,"completion_tokens":10,"total_tokens":882,"prompt_tokens_details":{"cached_tokens":0,"audio_tokens":0},"completion_tokens_details":{"reasoning_tokens":0,"audio_tokens":0,"accepted_prediction_tokens":0,"rejected_prediction_tokens":0}},"service_tier":"default","system_fingerprint":"fp_ad66631dec"}</t>
        </is>
      </c>
      <c r="K80" t="inlineStr">
        <is>
          <t>Sony Deep Gray Bluetooth Earbuds Magnetic Charging Case</t>
        </is>
      </c>
      <c r="L80" t="inlineStr">
        <is>
          <t>{"choices":[{"finish_reason":"stop","index":0,"logprobs":null,"message":{"annotations":[],"content":"Sony Deep Gray Metallic Wireless Bluetooth Earbuds with Magnetic Charging Case and Blue Light Design, Ergonomic Hi-Fi Sound, Comfortable Fit for Men and Women, Modern Minimal Tech Style.","refusal":null,"role":"assistant"}}],"created":1777077793,"id":"chatcmpl-DYLOzbu5OCCnBfdovlymCpahZcXoC","model":"gpt-5-chat-latest","object":"chat.completion","service_tier":"default","system_fingerprint":"fp_ad66631dec","usage":{"completion_tokens":36,"completion_tokens_details":{"accepted_prediction_tokens":0,"audio_tokens":0,"reasoning_tokens":0,"rejected_prediction_tokens":0},"prompt_tokens":905,"prompt_tokens_details":{"audio_tokens":0,"cached_tokens":0},"total_tokens":941}}</t>
        </is>
      </c>
      <c r="M80" t="inlineStr">
        <is>
          <t>{"alt-svc":"h3=\":443\"; ma=2592000","apim-request-id":"6ff3c924-cde8-4a12-a147-f858b57f9590","azureml-model-session":"d20260402083108-57a85543","cache-control":"no-cache","connection":"close","content-length":"774","content-security-policy":"frame-ancestors 'self'","content-type":"application/json","date":"Sat, 25 Apr 2026 00:43:14 GMT","server":"nginx","skip-error-remapping":"true","strict-transport-security":"max-age=31536000; includeSubDomains; preload","via":"1.1 Caddy, 1.1 Caddy","x-api-request-id":"202604250843113231594903a3yqddd","x-content-type-options":"nosniff","x-frame-options":"SAMEORIGIN","x-ms-client-request-id":"Not-Set","x-ms-is-spilled-over":"false","x-ms-rai-invoked":"true","x-ms-region":"East US 2","x-new-api-version":"0.5.1","x-oneapi-request-id":"202604250043108876714768268d9d6HbFzZ6fH","x-ratelimit-abusepenalty-active":"False","x-ratelimit-limit-requests":"50","x-ratelimit-limit-tokens":"50000","x-ratelimit-remaining-requests":"49","x-ratelimit-remaining-tokens":"-1554","x-ratelimit-renewalperiod-requests":"60","x-ratelimit-renewalperiod-tokens":"60","x-ratelimit-reset-requests":"1200","x-ratelimit-reset-tokens":"61864","x-request-id":"4ff73424-e820-47a5-a668-5f943947ba19"}</t>
        </is>
      </c>
      <c r="N80" t="inlineStr">
        <is>
          <t>Sony Deep Gray Metallic Wireless Bluetooth Earbuds with Magnetic Charging Case and Blue Light Design, Ergonomic Hi-Fi Sound, Comfortable Fit for Men and Women, Modern Minimal Tech Style.</t>
        </is>
      </c>
      <c r="O80" t="inlineStr">
        <is>
          <t>{"id":"chatcmpl-DYM21hmvV9lL8pWo7tSZJAVy6eXrm","object":"chat.completion","created":1777080213,"model":"gpt-5-chat-2025-10-03","choices":[{"index":0,"message":{"role":"assistant","content":"Sony,earbuds,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87,"total_tokens":868,"prompt_tokens_details":{"cached_tokens":0,"audio_tokens":0},"completion_tokens_details":{"reasoning_tokens":0,"audio_tokens":0,"accepted_prediction_tokens":0,"rejected_prediction_tokens":0}},"service_tier":"default","system_fingerprint":"fp_ad66631dec"}</t>
        </is>
      </c>
      <c r="P80" t="inlineStr">
        <is>
          <t>Sony,earbuds,kakobuy,kakebuy2026,kekobuysheet,kakobuysheet2026,2026kakobuy,kakobuyspreadsheeet,kakobuylink,kakebuylist,Kakobuy MEGA Spreadsheet,kakobuysheetfind,kakobuysheetfind2026,2026kakobuysheetfind,kakobuysheet2026</t>
        </is>
      </c>
      <c r="Q80"/>
      <c r="R80" t="inlineStr">
        <is>
          <t>recvhju1CrAVP0</t>
        </is>
      </c>
      <c r="S80" t="inlineStr">
        <is>
          <t>sony-deep-gray-bluetooth-earbuds-recvhju1cr
avp0</t>
        </is>
      </c>
      <c r="T80"/>
      <c r="U80"/>
      <c r="V80"/>
      <c r="W80" t="inlineStr">
        <is>
          <t>{"choices":[{"finish_reason":"stop","index":0,"logprobs":null,"message":{"annotations":[],"content":"Sony：深灰金属无线蓝牙耳机，配备磁吸充电舱与蓝光指示设计，简约科技风，人体工学入耳结构，兼具高保真音质与舒适佩戴体验，男女通用，现代感十足，彰显索尼创新美学。","refusal":null,"role":"assistant"}}],"created":1777019863,"id":"chatcmpl-DY6KdL49MLtLdcnK6jMEzMA0nLDLp","model":"gpt-5-chat-latest","object":"chat.completion","service_tier":"default","system_fingerprint":"fp_ad66631dec","usage":{"completion_tokens":71,"completion_tokens_details":{"accepted_prediction_tokens":0,"audio_tokens":0,"reasoning_tokens":0,"rejected_prediction_tokens":0},"prompt_tokens":1301,"prompt_tokens_details":{"audio_tokens":0,"cached_tokens":0},"total_tokens":1372}}</t>
        </is>
      </c>
      <c r="X80" t="inlineStr">
        <is>
          <t>Sony：深灰金属无线蓝牙耳机，配备磁吸充电舱与蓝光指示设计，简约科技风，人体工学入耳结构，兼具高保真音质与舒适佩戴体验，男女通用，现代感十足，彰显索尼创新美学。</t>
        </is>
      </c>
    </row>
    <row r="81" ht="25.5" customHeight="1">
      <c r="A81">
        <v>1654975475</v>
      </c>
      <c r="B81">
        <v>7617490853</v>
      </c>
      <c r="C81" s="2" t="str">
        <f>=HYPERLINK("https://weidian.com/item.html?itemID=7617490853", "https://weidian.com/item.html?itemID=7617490853")</f>
        <v>https://weidian.com/item.html?itemID=7617490853</v>
      </c>
      <c r="D81"/>
      <c r="E81" s="2" t="str">
        <f>=HYPERLINK("https://si.geilicdn.com/pcitem2014204438-3b5a0000019ac4993c3a0a2102c5_1442_1922.jpg?w=640&amp;h=640", "https://si.geilicdn.com/pcitem2014204438-3b5a0000019ac4993c3a0a2102c5_1442_1922.jpg?w=640&amp;h=640")</f>
        <v>https://si.geilicdn.com/pcitem2014204438-3b5a0000019ac4993c3a0a2102c5_1442_1922.jpg?w=640&amp;h=640</v>
      </c>
      <c r="F81" t="inlineStr">
        <is>
          <t>Electronic</t>
        </is>
      </c>
      <c r="G81" t="inlineStr">
        <is>
          <t>Sony</t>
        </is>
      </c>
      <c r="H81">
        <v>316</v>
      </c>
      <c r="I81">
        <v>45.8</v>
      </c>
      <c r="J81" t="inlineStr">
        <is>
          <t>{"id":"chatcmpl-DYLm4r8bg9obY6hajYo922sP7YBKh","object":"chat.completion","created":1777079224,"model":"gpt-5-chat-2025-10-03","choices":[{"index":0,"message":{"role":"assistant","content":"Sony WH‑1000XM5 Black Wireless Noise Cancelling Headphones","refusal":null,"annotations":[]},"logprobs":null,"finish_reason":"stop"}],"usage":{"prompt_tokens":876,"completion_tokens":15,"total_tokens":891,"prompt_tokens_details":{"cached_tokens":0,"audio_tokens":0},"completion_tokens_details":{"reasoning_tokens":0,"audio_tokens":0,"accepted_prediction_tokens":0,"rejected_prediction_tokens":0}},"service_tier":"default","system_fingerprint":"fp_ad66631dec"}</t>
        </is>
      </c>
      <c r="K81" t="inlineStr">
        <is>
          <t>Sony WH‑1000XM5 Black Wireless Noise Cancelling Headphones</t>
        </is>
      </c>
      <c r="L81" t="inlineStr">
        <is>
          <t>{"id":"chatcmpl-DYLT8MFGuNgBDN295Ok4JomkjOT6h","object":"chat.completion","created":1777078050,"model":"gpt-5-chat-latest","choices":[{"index":0,"message":{"role":"assistant","content":"Sony WH‑1000XM5 Black Wireless Noise Cancelling Headphones, lightweight and modern design, superior comfort, premium sound quality, perfect for urban style and high‑tech lifestyle.","refusal":null,"annotations":[]},"logprobs":null,"finish_reason":"stop"}],"usage":{"prompt_tokens":921,"completion_tokens":38,"total_tokens":959,"prompt_tokens_details":{"cached_tokens":0,"audio_tokens":0},"completion_tokens_details":{"reasoning_tokens":0,"audio_tokens":0,"accepted_prediction_tokens":0,"rejected_prediction_tokens":0}},"service_tier":"default","system_fingerprint":"fp_ad66631dec"}</t>
        </is>
      </c>
      <c r="M8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ma=2592000","apim-request-id":"43b88c96-6c34-4ad1-a294-03ebc3d12869","azureml-model-session":"d20260405234249-f9874baf","cache-control":"no-cache, no-store, must-revalidate","connection":"close","content-length":"988","content-security-policy":"frame-ancestors 'self'","content-type":"application/json","date":"Sat, 25 Apr 2026 00:47:32 GMT","server":"Caddy","skip-error-remapping":"true","strict-transport-security":"max-age=31536000; includeSubDomains; preload","via":"1.1 Caddy","x-api-request-id":"20260425084728381048588XK7RmyBx","x-content-type-options":"nosniff","x-frame-options":"SAMEORIGIN","x-ms-is-spilled-over":"false","x-ms-rai-invoked":"false","x-ms-region":"Sweden Central","x-new-api-version":"0.5.1","x-oneapi-request-id":"202604250047272865010598268d9d67W418srr","x-ratelimit-abusepenalty-active":"False","x-ratelimit-limit-requests":"4991","x-ratelimit-limit-tokens":"4991000","x-ratelimit-remaining-requests":"4990","x-ratelimit-remaining-tokens":"4989317","x-ratelimit-renewalperiod-requests":"60","x-ratelimit-renewalperiod-tokens":"60","x-ratelimit-reset-requests":"12","x-ratelimit-reset-tokens":"20","x-request-id":"84192ee7-9630-481a-8d04-a6364061fbc8"}</t>
        </is>
      </c>
      <c r="N81" t="inlineStr">
        <is>
          <t>Sony WH‑1000XM5 Black Wireless Noise Cancelling Headphones, lightweight and modern design, superior comfort, premium sound quality, perfect for urban style and high‑tech lifestyle.</t>
        </is>
      </c>
      <c r="O81" t="inlineStr">
        <is>
          <t>{"id":"chatcmpl-DYLu1MTEQyj7fN66PNIk1dFm5CyCR","object":"chat.completion","created":1777079717,"model":"gpt-5-chat-2025-10-03","choices":[{"index":0,"message":{"role":"assistant","content":"Sony, Headphones,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781,"completion_tokens":91,"total_tokens":872,"prompt_tokens_details":{"cached_tokens":0,"audio_tokens":0},"completion_tokens_details":{"reasoning_tokens":0,"audio_tokens":0,"accepted_prediction_tokens":0,"rejected_prediction_tokens":0}},"service_tier":"default","system_fingerprint":"fp_ad66631dec"}</t>
        </is>
      </c>
      <c r="P81" t="inlineStr">
        <is>
          <t>Sony, Headphones, kakobuy, kakebuy2026, kekobuysheet, kakobuysheet2026, 2026kakobuy, kakobuyspreadsheeet, kakobuylink, kakebuylist, Kakobuy MEGA Spreadsheet, kakobuysheetfind, kakobuysheetfind2026, 2026kakobuysheetfind, kakobuysheet2026</t>
        </is>
      </c>
      <c r="Q81"/>
      <c r="R81" t="inlineStr">
        <is>
          <t>recvhju1Cr13AH</t>
        </is>
      </c>
      <c r="S81" t="inlineStr">
        <is>
          <t>sony-wh-1000xm5-black-wireless-noise-cancelling-headphones-recvhju1cr13ah</t>
        </is>
      </c>
      <c r="T81"/>
      <c r="U81"/>
      <c r="V81"/>
      <c r="W81" t="inlineStr">
        <is>
          <t>{"choices":[{"finish_reason":"stop","index":0,"logprobs":null,"message":{"annotations":[],"content":"Sony：WH‑1000XM5 黑色无线降噪耳机，采用轻量材质与极简现代设计，头戴式结构贴合舒适，搭载业界领先的降噪与高解析音质技术，男女皆宜。都市时尚风格，完美融合音质与美学，彰显高端质感与科技品味。","refusal":null,"role":"assistant"}}],"created":1777019803,"id":"chatcmpl-DY6JfQTfONeVqQxPEt6R3X8MSlZzr","model":"gpt-5-chat-latest","object":"chat.completion","service_tier":"default","system_fingerprint":"fp_ad66631dec","usage":{"completion_tokens":84,"completion_tokens_details":{"accepted_prediction_tokens":0,"audio_tokens":0,"reasoning_tokens":0,"rejected_prediction_tokens":0},"prompt_tokens":1307,"prompt_tokens_details":{"audio_tokens":0,"cached_tokens":0},"total_tokens":1391}}</t>
        </is>
      </c>
      <c r="X81" t="inlineStr">
        <is>
          <t>Sony：WH‑1000XM5 黑色无线降噪耳机，采用轻量材质与极简现代设计，头戴式结构贴合舒适，搭载业界领先的降噪与高解析音质技术，男女皆宜。都市时尚风格，完美融合音质与美学，彰显高端质感与科技品味。</t>
        </is>
      </c>
    </row>
    <row r="82" ht="25.5" customHeight="1">
      <c r="A82">
        <v>1654975475</v>
      </c>
      <c r="B82">
        <v>7620559878</v>
      </c>
      <c r="C82" s="2" t="str">
        <f>=HYPERLINK("https://weidian.com/item.html?itemID=7620559878", "https://weidian.com/item.html?itemID=7620559878")</f>
        <v>https://weidian.com/item.html?itemID=7620559878</v>
      </c>
      <c r="D82"/>
      <c r="E82" s="2" t="str">
        <f>=HYPERLINK("https://si.geilicdn.com/pcitem2014204438-08240000019ac49ae56c0a231316_1440_1922.jpg?w=640&amp;h=640", "https://si.geilicdn.com/pcitem2014204438-08240000019ac49ae56c0a231316_1440_1922.jpg?w=640&amp;h=640")</f>
        <v>https://si.geilicdn.com/pcitem2014204438-08240000019ac49ae56c0a231316_1440_1922.jpg?w=640&amp;h=640</v>
      </c>
      <c r="F82" t="inlineStr">
        <is>
          <t>Electronic</t>
        </is>
      </c>
      <c r="G82" t="inlineStr">
        <is>
          <t>Beats</t>
        </is>
      </c>
      <c r="H82">
        <v>360</v>
      </c>
      <c r="I82">
        <v>52.17</v>
      </c>
      <c r="J82" t="inlineStr">
        <is>
          <t>{"id":"chatcmpl-DYLmBTepVkC1YvmJ8QY5YZLZwOWDR","object":"chat.completion","created":1777079231,"model":"gpt-5-chat-2025-10-03","choices":[{"index":0,"message":{"role":"assistant","content":"Beats Studio Buds Black Wireless Noise Canceling Earbuds","refusal":null,"annotations":[]},"logprobs":null,"finish_reason":"stop"}],"usage":{"prompt_tokens":875,"completion_tokens":13,"total_tokens":888,"prompt_tokens_details":{"cached_tokens":0,"audio_tokens":0},"completion_tokens_details":{"reasoning_tokens":0,"audio_tokens":0,"accepted_prediction_tokens":0,"rejected_prediction_tokens":0}},"service_tier":"default","system_fingerprint":"fp_ad66631dec"}</t>
        </is>
      </c>
      <c r="K82" t="inlineStr">
        <is>
          <t>Beats Studio Buds Black Wireless Noise Canceling Earbuds</t>
        </is>
      </c>
      <c r="L82" t="inlineStr">
        <is>
          <t>{"id":"chatcmpl-DYLX8V5FDn7up8KMJAp0z7XUBXwF8","object":"chat.completion","created":1777078298,"model":"gpt-5-chat-latest","choices":[{"index":0,"message":{"role":"assistant","content":"ElectronicBeatsBeats Studio Buds Black True Wireless ANC Earbuds with sleek matte design, switchable noise canceling and transparency modes, lightweight fit for daily commute and sports.","refusal":null,"annotations":[]},"logprobs":null,"finish_reason":"stop"}],"usage":{"prompt_tokens":897,"completion_tokens":37,"total_tokens":934,"prompt_tokens_details":{"cached_tokens":0,"audio_tokens":0},"completion_tokens_details":{"reasoning_tokens":0,"audio_tokens":0,"accepted_prediction_tokens":0,"rejected_prediction_tokens":0}},"service_tier":"default","system_fingerprint":"fp_ad66631dec"}</t>
        </is>
      </c>
      <c r="M8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ma=2592000","apim-request-id":"f549d708-8f69-452a-9e92-35b547545147","azureml-model-session":"d20260402084046-4209e968","cache-control":"no-cache, no-store, must-revalidate","connection":"close","content-length":"990","content-security-policy":"frame-ancestors 'self'","content-type":"application/json","date":"Sat, 25 Apr 2026 00:51:39 GMT","server":"Caddy","skip-error-remapping":"true","strict-transport-security":"max-age=31536000; includeSubDomains; preload","via":"1.1 Caddy","x-api-request-id":"2026042508513766509312fNCL0y5a","x-content-type-options":"nosniff","x-frame-options":"SAMEORIGIN","x-ms-is-spilled-over":"false","x-ms-rai-invoked":"false","x-ms-region":"East US 2","x-new-api-version":"0.5.1","x-oneapi-request-id":"202604250051349527184058268d9d6bDNb6pKy","x-ratelimit-abusepenalty-active":"False","x-ratelimit-limit-requests":"4992","x-ratelimit-limit-tokens":"4992000","x-ratelimit-remaining-requests":"4991","x-ratelimit-remaining-tokens":"4990341","x-ratelimit-renewalperiod-requests":"60","x-ratelimit-renewalperiod-tokens":"60","x-ratelimit-reset-requests":"12","x-ratelimit-reset-tokens":"19","x-request-id":"d3e3b31b-1c3f-4d3d-bba8-24623a720835"}</t>
        </is>
      </c>
      <c r="N82" t="inlineStr">
        <is>
          <t>ElectronicBeatsBeats Studio Buds Black True Wireless ANC Earbuds with sleek matte design, switchable noise canceling and transparency modes, lightweight fit for daily commute and sports.</t>
        </is>
      </c>
      <c r="O82" t="inlineStr">
        <is>
          <t>{"id":"chatcmpl-DYLtyjSIUts6Ay9A8U4VCHK6v5QMP","object":"chat.completion","created":1777079714,"model":"gpt-5-chat-2025-10-03","choices":[{"index":0,"message":{"role":"assistant","content":"Beats,earbud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82" t="inlineStr">
        <is>
          <t>Beats,earbuds,kakobuy,kakebuy2026,kekobuysheet,kakobuysheet2026,2026kakobuy,kakobuyspreadsheeet,kakobuylink,kakebuylist,Kakobuy MEGA Spreadsheet,kakobuysheetfind,kakobuysheetfind2026,2026kakobuysheetfind,kakobuysheet2026</t>
        </is>
      </c>
      <c r="Q82"/>
      <c r="R82" t="inlineStr">
        <is>
          <t>recvhju1CrR1Kn</t>
        </is>
      </c>
      <c r="S82" t="inlineStr">
        <is>
          <t>beats-studio-buds-black-recvhju1crr1kn</t>
        </is>
      </c>
      <c r="T82"/>
      <c r="U82"/>
      <c r="V82"/>
      <c r="W82" t="inlineStr">
        <is>
          <t>{"choices":[{"finish_reason":"stop","index":0,"logprobs":null,"message":{"annotations":[],"content":"Beats：Studio Buds 黑色真无线主动降噪耳机，流线型设计搭配磨砂质感外壳，支持通透与降噪模式切换，轻盈舒适适配男女日常通勤与运动，展现极简科技美学。","refusal":null,"role":"assistant"}}],"created":1777019652,"id":"chatcmpl-DY6HEA69ifgdDwDG54xD6c5WSFzYh","model":"gpt-5-chat-latest","object":"chat.completion","service_tier":"default","system_fingerprint":"fp_ad66631dec","usage":{"completion_tokens":65,"completion_tokens_details":{"accepted_prediction_tokens":0,"audio_tokens":0,"reasoning_tokens":0,"rejected_prediction_tokens":0},"prompt_tokens":1297,"prompt_tokens_details":{"audio_tokens":0,"cached_tokens":1280},"total_tokens":1362}}</t>
        </is>
      </c>
      <c r="X82" t="inlineStr">
        <is>
          <t>Beats：Studio Buds 黑色真无线主动降噪耳机，流线型设计搭配磨砂质感外壳，支持通透与降噪模式切换，轻盈舒适适配男女日常通勤与运动，展现极简科技美学。</t>
        </is>
      </c>
    </row>
    <row r="83" ht="25.5" customHeight="1">
      <c r="A83">
        <v>1654975475</v>
      </c>
      <c r="B83">
        <v>7617467421</v>
      </c>
      <c r="C83" s="2" t="str">
        <f>=HYPERLINK("https://weidian.com/item.html?itemID=7617467421", "https://weidian.com/item.html?itemID=7617467421")</f>
        <v>https://weidian.com/item.html?itemID=7617467421</v>
      </c>
      <c r="D83"/>
      <c r="E83" s="2" t="str">
        <f>=HYPERLINK("https://si.geilicdn.com/pcitem2014204438-43860000019ac49c567a0a8133cc_1440_1920.jpg?w=640&amp;h=640", "https://si.geilicdn.com/pcitem2014204438-43860000019ac49c567a0a8133cc_1440_1920.jpg?w=640&amp;h=640")</f>
        <v>https://si.geilicdn.com/pcitem2014204438-43860000019ac49c567a0a8133cc_1440_1920.jpg?w=640&amp;h=640</v>
      </c>
      <c r="F83" t="inlineStr">
        <is>
          <t>Electronic</t>
        </is>
      </c>
      <c r="G83" t="inlineStr">
        <is>
          <t>Beats</t>
        </is>
      </c>
      <c r="H83">
        <v>360</v>
      </c>
      <c r="I83">
        <v>52.17</v>
      </c>
      <c r="J83" t="inlineStr">
        <is>
          <t>{"id":"chatcmpl-DYLm7J5U37tLL7hzacKcaS7TfdrHQ","object":"chat.completion","created":1777079227,"model":"gpt-5-chat-2025-10-03","choices":[{"index":0,"message":{"role":"assistant","content":"Beats Studio Buds White Wireless Noise Cancelling Earphones","refusal":null,"annotations":[]},"logprobs":null,"finish_reason":"stop"}],"usage":{"prompt_tokens":879,"completion_tokens":13,"total_tokens":892,"prompt_tokens_details":{"cached_tokens":0,"audio_tokens":0},"completion_tokens_details":{"reasoning_tokens":0,"audio_tokens":0,"accepted_prediction_tokens":0,"rejected_prediction_tokens":0}},"service_tier":"default","system_fingerprint":"fp_ad66631dec"}</t>
        </is>
      </c>
      <c r="K83" t="inlineStr">
        <is>
          <t>Beats Studio Buds White Wireless Noise Cancelling Earphones</t>
        </is>
      </c>
      <c r="L83" t="inlineStr">
        <is>
          <t>{"id":"chatcmpl-DYLcJMVrtw4gr58gKYGXTSaKhZ5yW","object":"chat.completion","created":1777078619,"model":"gpt-5-chat-latest","choices":[{"index":0,"message":{"role":"assistant","content":"ElectronicBeats Beats Studio Buds White True Wireless Noise Cancelling Earphones, lightweight ergonomic design, premium composite material, pure rich sound, unisex minimalist style for high-end audio experience.","refusal":null,"annotations":[]},"logprobs":null,"finish_reason":"stop"}],"usage":{"prompt_tokens":892,"completion_tokens":39,"total_tokens":931,"prompt_tokens_details":{"cached_tokens":0,"audio_tokens":0},"completion_tokens_details":{"reasoning_tokens":0,"audio_tokens":0,"accepted_prediction_tokens":0,"rejected_prediction_tokens":0}},"service_tier":"default","system_fingerprint":"fp_ad66631dec"}</t>
        </is>
      </c>
      <c r="M8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ma=2592000","apim-request-id":"bd975acb-5ea4-4fdb-a2a8-7706273b70c2","azureml-model-session":"d20260405234249-f9874baf","cache-control":"no-cache, no-store, must-revalidate","connection":"close","content-length":"1015","content-security-policy":"frame-ancestors 'self'","content-type":"application/json","date":"Sat, 25 Apr 2026 00:57:00 GMT","server":"Caddy","skip-error-remapping":"true","strict-transport-security":"max-age=31536000; includeSubDomains; preload","via":"1.1 Caddy","x-api-request-id":"2026042508565836346091198Pwbuoh","x-content-type-options":"nosniff","x-frame-options":"SAMEORIGIN","x-ms-is-spilled-over":"false","x-ms-rai-invoked":"false","x-ms-region":"East US 2","x-new-api-version":"0.5.1","x-oneapi-request-id":"202604250056578758425518268d9d64jq38Dol","x-ratelimit-abusepenalty-active":"False","x-ratelimit-limit-requests":"4992","x-ratelimit-limit-tokens":"4992000","x-ratelimit-remaining-requests":"4991","x-ratelimit-remaining-tokens":"4990346","x-ratelimit-renewalperiod-requests":"60","x-ratelimit-renewalperiod-tokens":"60","x-ratelimit-reset-requests":"12","x-ratelimit-reset-tokens":"19","x-request-id":"9abe1fd3-6a27-4bc4-aaa1-e208adb4e053"}</t>
        </is>
      </c>
      <c r="N83" t="inlineStr">
        <is>
          <t>ElectronicBeats Beats Studio Buds White True Wireless Noise Cancelling Earphones, lightweight ergonomic design, premium composite material, pure rich sound, unisex minimalist style for high-end audio experience.</t>
        </is>
      </c>
      <c r="O83" t="inlineStr">
        <is>
          <t>{"id":"chatcmpl-DYLu2TBtPrq1KWXCO3J7Rajsk5SFu","object":"chat.completion","created":1777079718,"model":"gpt-5-chat-2025-10-03","choices":[{"index":0,"message":{"role":"assistant","content":"Beats,earbud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83" t="inlineStr">
        <is>
          <t>Beats,earbuds,kakobuy,kakebuy2026,kekobuysheet,kakobuysheet2026,2026kakobuy,kakobuyspreadsheeet,kakobuylink,kakebuylist,Kakobuy MEGA Spreadsheet,kakobuysheetfind,kakobuysheetfind2026,2026kakobuysheetfind,kakobuysheet2026</t>
        </is>
      </c>
      <c r="Q83"/>
      <c r="R83" t="inlineStr">
        <is>
          <t>recvhju1CrlQYM</t>
        </is>
      </c>
      <c r="S83" t="inlineStr">
        <is>
          <t>beats-studio-buds-white-recvhju1crlqym</t>
        </is>
      </c>
      <c r="T83"/>
      <c r="U83"/>
      <c r="V83"/>
      <c r="W83" t="inlineStr">
        <is>
          <t>{"choices":[{"finish_reason":"stop","index":0,"logprobs":null,"message":{"annotations":[],"content":"Beats：Studio Buds白色真无线降噪耳机，轻盈贴耳设计，优质复合材质打造，音质纯净饱满，男女通用，现代简约风格，随时展现高端听觉体验。","refusal":null,"role":"assistant"}}],"created":1777019550,"id":"chatcmpl-DY6FagpepDVRpFojSpdJ0OTi5t0bq","model":"gpt-5-chat-latest","object":"chat.completion","service_tier":"default","system_fingerprint":"fp_ad66631dec","usage":{"completion_tokens":59,"completion_tokens_details":{"accepted_prediction_tokens":0,"audio_tokens":0,"reasoning_tokens":0,"rejected_prediction_tokens":0},"prompt_tokens":1299,"prompt_tokens_details":{"audio_tokens":0,"cached_tokens":1280},"total_tokens":1358}}</t>
        </is>
      </c>
      <c r="X83" t="inlineStr">
        <is>
          <t>Beats：Studio Buds白色真无线降噪耳机，轻盈贴耳设计，优质复合材质打造，音质纯净饱满，男女通用，现代简约风格，随时展现高端听觉体验。</t>
        </is>
      </c>
    </row>
    <row r="84" ht="25.5" customHeight="1">
      <c r="A84">
        <v>1654975475</v>
      </c>
      <c r="B84">
        <v>7617523859</v>
      </c>
      <c r="C84" s="2" t="str">
        <f>=HYPERLINK("https://weidian.com/item.html?itemID=7617523859", "https://weidian.com/item.html?itemID=7617523859")</f>
        <v>https://weidian.com/item.html?itemID=7617523859</v>
      </c>
      <c r="D84"/>
      <c r="E84" s="2" t="str">
        <f>=HYPERLINK("https://si.geilicdn.com/pcitem2014204438-2f530000019ac4696ebf0a81347d_1080_1080.jpg?w=640&amp;h=640", "https://si.geilicdn.com/pcitem2014204438-2f530000019ac4696ebf0a81347d_1080_1080.jpg?w=640&amp;h=640")</f>
        <v>https://si.geilicdn.com/pcitem2014204438-2f530000019ac4696ebf0a81347d_1080_1080.jpg?w=640&amp;h=640</v>
      </c>
      <c r="F84" t="inlineStr">
        <is>
          <t>Electronic</t>
        </is>
      </c>
      <c r="G84" t="inlineStr">
        <is>
          <t>Marshall</t>
        </is>
      </c>
      <c r="H84">
        <v>690</v>
      </c>
      <c r="I84">
        <v>100</v>
      </c>
      <c r="J84" t="inlineStr">
        <is>
          <t>{"id":"chatcmpl-DYLmGUwXecsl35xGoWEGYt4us7MqR","object":"chat.completion","created":1777079236,"model":"gpt-5-chat-2025-10-03","choices":[{"index":0,"message":{"role":"assistant","content":"Marshall Major IV Wireless Bluetooth Headphones Black","refusal":null,"annotations":[]},"logprobs":null,"finish_reason":"stop"}],"usage":{"prompt_tokens":882,"completion_tokens":9,"total_tokens":891,"prompt_tokens_details":{"cached_tokens":0,"audio_tokens":0},"completion_tokens_details":{"reasoning_tokens":0,"audio_tokens":0,"accepted_prediction_tokens":0,"rejected_prediction_tokens":0}},"service_tier":"default","system_fingerprint":"fp_ad66631dec"}</t>
        </is>
      </c>
      <c r="K84" t="inlineStr">
        <is>
          <t>Marshall Major IV Wireless Bluetooth Headphones Black</t>
        </is>
      </c>
      <c r="L84" t="inlineStr">
        <is>
          <t>{"choices":[{"finish_reason":"stop","index":0,"logprobs":null,"message":{"annotations":[],"content":"Marshall Major IV Black Wireless Bluetooth Headphones feature 80+ hrs playtime, soft leather ear cushions, foldable design, classic rock style, modern sound, for men and women, portable freedom.","refusal":null,"role":"assistant"}}],"created":1777077800,"id":"chatcmpl-DYLP64iRwbNnAxqueD46qNQQD1zcB","model":"gpt-5-chat-latest","object":"chat.completion","service_tier":"default","system_fingerprint":"fp_ad66631dec","usage":{"completion_tokens":41,"completion_tokens_details":{"accepted_prediction_tokens":0,"audio_tokens":0,"reasoning_tokens":0,"rejected_prediction_tokens":0},"prompt_tokens":896,"prompt_tokens_details":{"audio_tokens":0,"cached_tokens":0},"total_tokens":937}}</t>
        </is>
      </c>
      <c r="M84" t="inlineStr">
        <is>
          <t>{"alt-svc":"h3=\":443\"; ma=2592000","apim-request-id":"32dbc8f2-774b-430e-a5de-e39209ce646a","azureml-model-session":"d20260402083108-57a85543","cache-control":"no-cache","connection":"close","content-length":"782","content-security-policy":"frame-ancestors 'self'","content-type":"application/json","date":"Sat, 25 Apr 2026 00:43:22 GMT","server":"nginx","skip-error-remapping":"true","strict-transport-security":"max-age=31536000; includeSubDomains; preload","via":"1.1 Caddy, 1.1 Caddy","x-api-request-id":"20260425084318766576620PoLo36Pc","x-content-type-options":"nosniff","x-frame-options":"SAMEORIGIN","x-ms-client-request-id":"Not-Set","x-ms-is-spilled-over":"false","x-ms-rai-invoked":"true","x-ms-region":"East US 2","x-new-api-version":"0.5.1","x-oneapi-request-id":"202604250043172097775058268d9d6Y5w7rXtB","x-ratelimit-abusepenalty-active":"False","x-ratelimit-limit-requests":"50","x-ratelimit-limit-tokens":"50000","x-ratelimit-remaining-requests":"49","x-ratelimit-remaining-tokens":"-561","x-ratelimit-renewalperiod-requests":"60","x-ratelimit-renewalperiod-tokens":"60","x-ratelimit-reset-requests":"1200","x-ratelimit-reset-tokens":"60672","x-request-id":"0be7c390-30ae-40ec-abb0-180d4a6fc3fa"}</t>
        </is>
      </c>
      <c r="N84" t="inlineStr">
        <is>
          <t>Marshall Major IV Black Wireless Bluetooth Headphones feature 80+ hrs playtime, soft leather ear cushions, foldable design, classic rock style, modern sound, for men and women, portable freedom.</t>
        </is>
      </c>
      <c r="O84" t="inlineStr">
        <is>
          <t>{"id":"chatcmpl-DYM27GWf1HfGg6K4qGW9r35QAsRKY","object":"chat.completion","created":1777080219,"model":"gpt-5-chat-2025-10-03","choices":[{"index":0,"message":{"role":"assistant","content":"Marshall,Headphones,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87,"total_tokens":868,"prompt_tokens_details":{"cached_tokens":0,"audio_tokens":0},"completion_tokens_details":{"reasoning_tokens":0,"audio_tokens":0,"accepted_prediction_tokens":0,"rejected_prediction_tokens":0}},"service_tier":"default","system_fingerprint":"fp_ad66631dec"}</t>
        </is>
      </c>
      <c r="P84" t="inlineStr">
        <is>
          <t>Marshall,Headphones,kakobuy,kakebuy2026,kekobuysheet,kakobuysheet2026,2026kakobuy,kakobuyspreadsheeet,kakobuylink,kakebuylist,Kakobuy MEGA Spreadsheet,kakobuysheetfind,kakobuysheetfind2026,2026kakobuysheetfind,kakobuysheet2026</t>
        </is>
      </c>
      <c r="Q84" t="inlineStr">
        <is>
          <t>Marshall, Black, Men's And Women's, Classic, Foldable</t>
        </is>
      </c>
      <c r="R84" t="inlineStr">
        <is>
          <t>recvhju1CrpxaY</t>
        </is>
      </c>
      <c r="S84" t="inlineStr">
        <is>
          <t>marshall-major-iv-wireless-bluetooth-headphones-black-recvhju1crpxay</t>
        </is>
      </c>
      <c r="T84"/>
      <c r="U84"/>
      <c r="V84"/>
      <c r="W84" t="inlineStr">
        <is>
          <t>{"choices":[{"finish_reason":"stop","index":0,"logprobs":null,"message":{"annotations":[],"content":"Marshall：Major Ⅳ 黑色无线蓝牙耳机，经典摇滚设计，皮质耳罩柔软舒适，续航超80小时，折叠便携，兼具复古与现代音质美学，男女皆宜，释放自由聆听体验。","refusal":null,"role":"assistant"}}],"created":1777019402,"id":"chatcmpl-DY6DCisyYibQ7xheaTvnxC5SrdCgj","model":"gpt-5-chat-latest","object":"chat.completion","service_tier":"default","system_fingerprint":"fp_ad66631dec","usage":{"completion_tokens":63,"completion_tokens_details":{"accepted_prediction_tokens":0,"audio_tokens":0,"reasoning_tokens":0,"rejected_prediction_tokens":0},"prompt_tokens":1299,"prompt_tokens_details":{"audio_tokens":0,"cached_tokens":0},"total_tokens":1362}}</t>
        </is>
      </c>
      <c r="X84" t="inlineStr">
        <is>
          <t>Marshall：Major Ⅳ 黑色无线蓝牙耳机，经典摇滚设计，皮质耳罩柔软舒适，续航超80小时，折叠便携，兼具复古与现代音质美学，男女皆宜，释放自由聆听体验。</t>
        </is>
      </c>
    </row>
    <row r="85" ht="25.5" customHeight="1">
      <c r="A85">
        <v>1654975475</v>
      </c>
      <c r="B85">
        <v>7620501888</v>
      </c>
      <c r="C85" s="2" t="str">
        <f>=HYPERLINK("https://weidian.com/item.html?itemID=7620501888", "https://weidian.com/item.html?itemID=7620501888")</f>
        <v>https://weidian.com/item.html?itemID=7620501888</v>
      </c>
      <c r="D85"/>
      <c r="E85" s="2" t="str">
        <f>=HYPERLINK("https://si.geilicdn.com/pcitem2014204438-30b00000019ac46e14320a23047e_1080_750.jpg?w=640&amp;h=640", "https://si.geilicdn.com/pcitem2014204438-30b00000019ac46e14320a23047e_1080_750.jpg?w=640&amp;h=640")</f>
        <v>https://si.geilicdn.com/pcitem2014204438-30b00000019ac46e14320a23047e_1080_750.jpg?w=640&amp;h=640</v>
      </c>
      <c r="F85" t="inlineStr">
        <is>
          <t>Electronic</t>
        </is>
      </c>
      <c r="G85" t="inlineStr">
        <is>
          <t>Beats</t>
        </is>
      </c>
      <c r="H85">
        <v>316</v>
      </c>
      <c r="I85">
        <v>45.8</v>
      </c>
      <c r="J85" t="inlineStr">
        <is>
          <t>{"id":"chatcmpl-DYLnR6PHC8bz30KJEKu6amXusr3Yd","object":"chat.completion","created":1777079309,"model":"gpt-5-chat-2025-10-03","choices":[{"index":0,"message":{"role":"assistant","content":"ElectronicBeats Solo Pro Red Wireless Noise Cancelling Headphones","refusal":null,"annotations":[]},"logprobs":null,"finish_reason":"stop"}],"usage":{"prompt_tokens":599,"completion_tokens":13,"total_tokens":612,"prompt_tokens_details":{"cached_tokens":0,"audio_tokens":0},"completion_tokens_details":{"reasoning_tokens":0,"audio_tokens":0,"accepted_prediction_tokens":0,"rejected_prediction_tokens":0}},"service_tier":"default","system_fingerprint":"fp_ad66631dec"}</t>
        </is>
      </c>
      <c r="K85" t="inlineStr">
        <is>
          <t>ElectronicBeats Solo Pro Red Wireless Noise Cancelling Headphones</t>
        </is>
      </c>
      <c r="L85" t="inlineStr">
        <is>
          <t>{"id":"chatcmpl-DYLWjvDCBeJyD9kahThTr0ap4vz8v","object":"chat.completion","created":1777078273,"model":"gpt-5-chat-latest","choices":[{"index":0,"message":{"role":"assistant","content":"ElectronicBeatsBeats Solo Pro Red Wireless Headphones feature active noise cancelling, pure rich sound, lightweight comfort fit, metal finish and minimalist style—perfect for modern urban trendsetters.","refusal":null,"annotations":[]},"logprobs":null,"finish_reason":"stop"}],"usage":{"prompt_tokens":619,"completion_tokens":39,"total_tokens":658,"prompt_tokens_details":{"cached_tokens":0,"audio_tokens":0},"completion_tokens_details":{"reasoning_tokens":0,"audio_tokens":0,"accepted_prediction_tokens":0,"rejected_prediction_tokens":0}},"service_tier":"default","system_fingerprint":"fp_ad66631dec"}</t>
        </is>
      </c>
      <c r="M8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ma=2592000","apim-request-id":"b1eada5f-42bc-43b2-855b-f6ecd2758979","azureml-model-session":"d20260402084046-4209e968","cache-control":"no-cache, no-store, must-revalidate","connection":"close","content-length":"1007","content-security-policy":"frame-ancestors 'self'","content-type":"application/json","date":"Sat, 25 Apr 2026 00:51:15 GMT","server":"nginx","skip-error-remapping":"true","strict-transport-security":"max-age=31536000; includeSubDomains; preload","via":"1.1 Caddy, 1.1 Caddy","x-api-request-id":"20260425085111624964998FNAUs2yU","x-content-type-options":"nosniff","x-frame-options":"SAMEORIGIN","x-ms-is-spilled-over":"false","x-ms-rai-invoked":"false","x-ms-region":"Sweden Central","x-new-api-version":"0.5.1","x-oneapi-request-id":"202604250051088941054248268d9d6U5uBc0yM","x-ratelimit-abusepenalty-active":"False","x-ratelimit-limit-requests":"4991","x-ratelimit-limit-tokens":"4991000","x-ratelimit-remaining-requests":"4990","x-ratelimit-remaining-tokens":"4989617","x-ratelimit-renewalperiod-requests":"60","x-ratelimit-renewalperiod-tokens":"60","x-ratelimit-reset-requests":"12","x-ratelimit-reset-tokens":"16","x-request-id":"a6de3d24-4ad3-4b47-b03c-d1e9aa97d272"}</t>
        </is>
      </c>
      <c r="N85" t="inlineStr">
        <is>
          <t>ElectronicBeatsBeats Solo Pro Red Wireless Headphones feature active noise cancelling, pure rich sound, lightweight comfort fit, metal finish and minimalist style—perfect for modern urban trendsetters.</t>
        </is>
      </c>
      <c r="O85" t="inlineStr">
        <is>
          <t>{"id":"chatcmpl-DYLvfZdlRC9lUUy5MuOdjCFjflrS7","object":"chat.completion","created":1777079819,"model":"gpt-5-chat-2025-10-03","choices":[{"index":0,"message":{"role":"assistant","content":"Beats, Headphones,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502,"completion_tokens":92,"total_tokens":594,"prompt_tokens_details":{"cached_tokens":0,"audio_tokens":0},"completion_tokens_details":{"reasoning_tokens":0,"audio_tokens":0,"accepted_prediction_tokens":0,"rejected_prediction_tokens":0}},"service_tier":"default","system_fingerprint":"fp_ad66631dec"}</t>
        </is>
      </c>
      <c r="P85" t="inlineStr">
        <is>
          <t>Beats, Headphones, kakobuy, kakebuy2026, kekobuysheet, kakobuysheet2026, 2026kakobuy, kakobuyspreadsheeet, kakobuylink, kakebuylist, Kakobuy MEGA Spreadsheet, kakobuysheetfind, kakobuysheetfind2026, 2026kakobuysheetfind, kakobuysheet2026</t>
        </is>
      </c>
      <c r="Q85"/>
      <c r="R85" t="inlineStr">
        <is>
          <t>recvhju1CrqS9t</t>
        </is>
      </c>
      <c r="S85" t="inlineStr">
        <is>
          <t>electronicbeats-solo-pro-red-wireless-noise-cancelling-headphones-recvhju1crq-s9t</t>
        </is>
      </c>
      <c r="T85"/>
      <c r="U85"/>
      <c r="V85"/>
      <c r="W85" t="inlineStr">
        <is>
          <t>{"id":"chatcmpl-DY6JFb4J0gHbV28ns6zurvhkiF0hw","object":"chat.completion","created":1777019777,"model":"gpt-5-chat-latest","choices":[{"index":0,"message":{"role":"assistant","content":"Beats：Solo Pro 红色主动降噪蓝牙头戴式耳机，金属质感搭配极简设计，音质纯净饱满，轻盈舒适贴合，兼具时尚与功能性，男女皆宜，诠释现代都市潮流品味。","refusal":null,"annotations":[]},"logprobs":null,"finish_reason":"stop"}],"usage":{"prompt_tokens":1017,"completion_tokens":67,"total_tokens":1084,"prompt_tokens_details":{"cached_tokens":0,"audio_tokens":0},"completion_tokens_details":{"reasoning_tokens":0,"audio_tokens":0,"accepted_prediction_tokens":0,"rejected_prediction_tokens":0}},"service_tier":"default","system_fingerprint":"fp_ad66631dec"}</t>
        </is>
      </c>
      <c r="X85" t="inlineStr">
        <is>
          <t>Beats：Solo Pro 红色主动降噪蓝牙头戴式耳机，金属质感搭配极简设计，音质纯净饱满，轻盈舒适贴合，兼具时尚与功能性，男女皆宜，诠释现代都市潮流品味。</t>
        </is>
      </c>
    </row>
    <row r="86" ht="25.5" customHeight="1">
      <c r="A86">
        <v>1654975475</v>
      </c>
      <c r="B86">
        <v>7617545813</v>
      </c>
      <c r="C86" s="2" t="str">
        <f>=HYPERLINK("https://weidian.com/item.html?itemID=7617545813", "https://weidian.com/item.html?itemID=7617545813")</f>
        <v>https://weidian.com/item.html?itemID=7617545813</v>
      </c>
      <c r="D86"/>
      <c r="E86" s="2" t="str">
        <f>=HYPERLINK("https://si.geilicdn.com/pcitem2014204438-2b080000019ac474e98c0a2396f4_1440_1920.jpg?w=640&amp;h=640", "https://si.geilicdn.com/pcitem2014204438-2b080000019ac474e98c0a2396f4_1440_1920.jpg?w=640&amp;h=640")</f>
        <v>https://si.geilicdn.com/pcitem2014204438-2b080000019ac474e98c0a2396f4_1440_1920.jpg?w=640&amp;h=640</v>
      </c>
      <c r="F86" t="inlineStr">
        <is>
          <t>Electronic</t>
        </is>
      </c>
      <c r="G86" t="inlineStr">
        <is>
          <t>Beats</t>
        </is>
      </c>
      <c r="H86">
        <v>700</v>
      </c>
      <c r="I86">
        <v>101.45</v>
      </c>
      <c r="J86" t="inlineStr">
        <is>
          <t>{"choices":[{"finish_reason":"stop","index":0,"logprobs":null,"message":{"annotations":[],"content":"ElectronicBeats Powerbeats Pro White Wireless Sport Earbuds","refusal":null,"role":"assistant"}}],"created":1777078915,"id":"chatcmpl-DYLh5B67RztBIoNWbXhQhX7bLU1jq","model":"gpt-5-chat-latest","object":"chat.completion","service_tier":"default","system_fingerprint":"fp_ad66631dec","usage":{"completion_tokens":12,"completion_tokens_details":{"accepted_prediction_tokens":0,"audio_tokens":0,"reasoning_tokens":0,"rejected_prediction_tokens":0},"prompt_tokens":873,"prompt_tokens_details":{"audio_tokens":0,"cached_tokens":0},"total_tokens":885}}</t>
        </is>
      </c>
      <c r="K86" t="inlineStr">
        <is>
          <t>ElectronicBeats Powerbeats Pro White Wireless Sport Earbuds</t>
        </is>
      </c>
      <c r="L86" t="inlineStr">
        <is>
          <t>{"id":"chatcmpl-DYLQ9J2OJDKNqJFb8V6VgeonS370n","object":"chat.completion","created":1777077865,"model":"gpt-5-chat-latest","choices":[{"index":0,"message":{"role":"assistant","content":"ElectronicBeats Powerbeats Pro White Wireless Sport Earbuds, sweat and water resistant, ergonomic ear hook fit, premium sound, stable Bluetooth, minimalist design for modern active lifestyle.","refusal":null,"annotations":[]},"logprobs":null,"finish_reason":"stop"}],"usage":{"prompt_tokens":898,"completion_tokens":36,"total_tokens":934,"prompt_tokens_details":{"cached_tokens":0,"audio_tokens":0},"completion_tokens_details":{"reasoning_tokens":0,"audio_tokens":0,"accepted_prediction_tokens":0,"rejected_prediction_tokens":0}},"service_tier":"default","system_fingerprint":"fp_ad66631dec"}</t>
        </is>
      </c>
      <c r="M8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ma=2592000","apim-request-id":"7645be97-e93f-4bc7-9392-a053509d4717","azureml-model-session":"d20260405221325-2e8d5e76","cache-control":"no-cache, no-store, must-revalidate","connection":"close","content-length":"995","content-security-policy":"frame-ancestors 'self'","content-type":"application/json","date":"Sat, 25 Apr 2026 00:44:28 GMT","server":"Caddy","skip-error-remapping":"true","strict-transport-security":"max-age=31536000; includeSubDomains; preload","via":"1.1 Caddy","x-api-request-id":"20260425084423708012999bGnk3Z5w","x-content-type-options":"nosniff","x-frame-options":"SAMEORIGIN","x-ms-is-spilled-over":"false","x-ms-rai-invoked":"false","x-ms-region":"Sweden Central","x-new-api-version":"0.5.1","x-oneapi-request-id":"202604250044226607277078268d9d6b5Q6YMSm","x-ratelimit-abusepenalty-active":"False","x-ratelimit-limit-requests":"4991","x-ratelimit-limit-tokens":"4991000","x-ratelimit-remaining-requests":"4989","x-ratelimit-remaining-tokens":"4988178","x-ratelimit-renewalperiod-requests":"60","x-ratelimit-renewalperiod-tokens":"60","x-ratelimit-reset-requests":"18","x-ratelimit-reset-tokens":"33","x-request-id":"c524c63d-8942-47cb-a91e-1efa706a38d5"}</t>
        </is>
      </c>
      <c r="N86" t="inlineStr">
        <is>
          <t>ElectronicBeats Powerbeats Pro White Wireless Sport Earbuds, sweat and water resistant, ergonomic ear hook fit, premium sound, stable Bluetooth, minimalist design for modern active lifestyle.</t>
        </is>
      </c>
      <c r="O86" t="inlineStr">
        <is>
          <t>{"id":"chatcmpl-DYLuCx4HnNb6EJCnPL6WAXyZwCaoZ","object":"chat.completion","created":1777079728,"model":"gpt-5-chat-2025-10-03","choices":[{"index":0,"message":{"role":"assistant","content":"Beats, Earphones,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92,"total_tokens":874,"prompt_tokens_details":{"cached_tokens":0,"audio_tokens":0},"completion_tokens_details":{"reasoning_tokens":0,"audio_tokens":0,"accepted_prediction_tokens":0,"rejected_prediction_tokens":0}},"service_tier":"default","system_fingerprint":"fp_ad66631dec"}</t>
        </is>
      </c>
      <c r="P86" t="inlineStr">
        <is>
          <t>Beats, Earphones, kakobuy, kakebuy2026, kekobuysheet, kakobuysheet2026, 2026kakobuy, kakobuyspreadsheeet, kakobuylink, kakebuylist, Kakobuy MEGA Spreadsheet, kakobuysheetfind, kakobuysheetfind2026, 2026kakobuysheetfind, kakobuysheet2026</t>
        </is>
      </c>
      <c r="Q86"/>
      <c r="R86" t="inlineStr">
        <is>
          <t>recvhju1Cr7FTd</t>
        </is>
      </c>
      <c r="S86" t="inlineStr">
        <is>
          <t>electronicbeats-powerbeats-pro-white-wireless-sport-earbuds-recvhju1cr7ftd</t>
        </is>
      </c>
      <c r="T86"/>
      <c r="U86"/>
      <c r="V86"/>
      <c r="W86" t="inlineStr">
        <is>
          <t>{"choices":[{"finish_reason":"stop","index":0,"logprobs":null,"message":{"annotations":[],"content":"Beats：Powerbeats Pro 白色真无线运动耳机，轻盈防汗防水设计，人体工学贴合耳挂，配备高效音质与稳固蓝牙连接，男女皆宜，时尚极简风格，彰显现代运动科技美学。","refusal":null,"role":"assistant"}}],"created":1777019836,"id":"chatcmpl-DY6KCMSNrNdUG094ISKZfK81CUfPS","model":"gpt-5-chat-latest","object":"chat.completion","service_tier":"default","system_fingerprint":"fp_ad66631dec","usage":{"completion_tokens":63,"completion_tokens_details":{"accepted_prediction_tokens":0,"audio_tokens":0,"reasoning_tokens":0,"rejected_prediction_tokens":0},"prompt_tokens":1303,"prompt_tokens_details":{"audio_tokens":0,"cached_tokens":0},"total_tokens":1366}}</t>
        </is>
      </c>
      <c r="X86" t="inlineStr">
        <is>
          <t>Beats：Powerbeats Pro 白色真无线运动耳机，轻盈防汗防水设计，人体工学贴合耳挂，配备高效音质与稳固蓝牙连接，男女皆宜，时尚极简风格，彰显现代运动科技美学。</t>
        </is>
      </c>
    </row>
    <row r="87" ht="25.5" customHeight="1">
      <c r="A87">
        <v>1654975475</v>
      </c>
      <c r="B87">
        <v>7620472596</v>
      </c>
      <c r="C87" s="2" t="str">
        <f>=HYPERLINK("https://weidian.com/item.html?itemID=7620472596", "https://weidian.com/item.html?itemID=7620472596")</f>
        <v>https://weidian.com/item.html?itemID=7620472596</v>
      </c>
      <c r="D87"/>
      <c r="E87" s="2" t="str">
        <f>=HYPERLINK("https://si.geilicdn.com/pcitem2014204438-7c880000019ac47742d20a231316_1442_1922.jpg?w=640&amp;h=640", "https://si.geilicdn.com/pcitem2014204438-7c880000019ac47742d20a231316_1442_1922.jpg?w=640&amp;h=640")</f>
        <v>https://si.geilicdn.com/pcitem2014204438-7c880000019ac47742d20a231316_1442_1922.jpg?w=640&amp;h=640</v>
      </c>
      <c r="F87" t="inlineStr">
        <is>
          <t>Electronic</t>
        </is>
      </c>
      <c r="G87" t="inlineStr">
        <is>
          <t>Marshall</t>
        </is>
      </c>
      <c r="H87">
        <v>736</v>
      </c>
      <c r="I87">
        <v>106.666666666666</v>
      </c>
      <c r="J87" t="inlineStr">
        <is>
          <t>{"id":"chatcmpl-DYLktcn8CUb6AiaQL1WeKexNRMkGK","object":"chat.completion","created":1777079151,"model":"gpt-5-chat-latest","choices":[{"index":0,"message":{"role":"assistant","content":"Marshall Major IV Black Bluetooth Headphones 40H Playtime","refusal":null,"annotations":[]},"logprobs":null,"finish_reason":"stop"}],"usage":{"prompt_tokens":880,"completion_tokens":13,"total_tokens":893,"prompt_tokens_details":{"cached_tokens":0,"audio_tokens":0},"completion_tokens_details":{"reasoning_tokens":0,"audio_tokens":0,"accepted_prediction_tokens":0,"rejected_prediction_tokens":0}},"service_tier":"default","system_fingerprint":"fp_ad66631dec"}</t>
        </is>
      </c>
      <c r="K87" t="inlineStr">
        <is>
          <t>Marshall Major IV Black Bluetooth Headphones 40H Playtime</t>
        </is>
      </c>
      <c r="L87" t="inlineStr">
        <is>
          <t>{"choices":[{"finish_reason":"stop","index":0,"logprobs":null,"message":{"annotations":[],"content":"Marshall Major IV Black Bluetooth Headphones – Premium leather texture, vintage rock design, 40+ hrs playtime, foldable, for Android &amp; iPhone, iconic British style &amp; classic sound.","refusal":null,"role":"assistant"}}],"created":1777077826,"id":"chatcmpl-DYLPWMyTyBJqhltAYYE1S7liPPcjg","model":"gpt-5-chat-latest","object":"chat.completion","service_tier":"default","system_fingerprint":"fp_ad66631dec","usage":{"completion_tokens":40,"completion_tokens_details":{"accepted_prediction_tokens":0,"audio_tokens":0,"reasoning_tokens":0,"rejected_prediction_tokens":0},"prompt_tokens":911,"prompt_tokens_details":{"audio_tokens":0,"cached_tokens":0},"total_tokens":951}}</t>
        </is>
      </c>
      <c r="M87" t="inlineStr">
        <is>
          <t>{"alt-svc":"h3=\":443\"; ma=2592000","apim-request-id":"69e5b7a1-4d46-4cb2-ba37-e87d0e9fe6db","azureml-model-session":"d20260405225800-40f19e54","cache-control":"no-cache","connection":"close","content-length":"780","content-security-policy":"frame-ancestors 'self'","content-type":"application/json","date":"Sat, 25 Apr 2026 00:43:47 GMT","server":"Caddy","skip-error-remapping":"true","strict-transport-security":"max-age=31536000; includeSubDomains; preload","via":"1.1 Caddy","x-api-request-id":"20260425084344123229659C3e6u20o","x-content-type-options":"nosniff","x-frame-options":"SAMEORIGIN","x-ms-client-request-id":"Not-Set","x-ms-is-spilled-over":"false","x-ms-rai-invoked":"true","x-ms-region":"East US 2","x-new-api-version":"0.5.1","x-oneapi-request-id":"202604250043418941301458268d9d6O7exVc9c","x-ratelimit-abusepenalty-active":"False","x-ratelimit-limit-requests":"50","x-ratelimit-limit-tokens":"50000","x-ratelimit-remaining-requests":"49","x-ratelimit-remaining-tokens":"-1303","x-ratelimit-renewalperiod-requests":"60","x-ratelimit-renewalperiod-tokens":"60","x-ratelimit-reset-requests":"1200","x-ratelimit-reset-tokens":"61563","x-request-id":"5c5be5a8-76ea-4b7f-9771-d73f34226bcf"}</t>
        </is>
      </c>
      <c r="N87" t="inlineStr">
        <is>
          <t>Marshall Major IV Black Bluetooth Headphones – Premium leather texture, vintage rock design, 40+ hrs playtime, foldable, for Android &amp; iPhone, iconic British style &amp; classic sound.</t>
        </is>
      </c>
      <c r="O87" t="inlineStr">
        <is>
          <t>{"id":"chatcmpl-DYM3JdeXqdN8wBsjcr7hwHp1RL2Os","object":"chat.completion","created":1777080293,"model":"gpt-5-chat-2025-10-03","choices":[{"index":0,"message":{"role":"assistant","content":"Marshall, headphones,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781,"completion_tokens":90,"total_tokens":871,"prompt_tokens_details":{"cached_tokens":0,"audio_tokens":0},"completion_tokens_details":{"reasoning_tokens":0,"audio_tokens":0,"accepted_prediction_tokens":0,"rejected_prediction_tokens":0}},"service_tier":"default","system_fingerprint":"fp_ad66631dec"}</t>
        </is>
      </c>
      <c r="P87" t="inlineStr">
        <is>
          <t>Marshall, headphones, kakobuy, kakebuy2026, kekobuysheet, kakobuysheet2026, 2026kakobuy, kakobuyspreadsheeet, kakobuylink, kakebuylist, Kakobuy MEGA Spreadsheet, kakobuysheetfind, kakobuysheetfind2026, 2026kakobuysheetfind, kakobuysheet2026</t>
        </is>
      </c>
      <c r="Q87" t="inlineStr">
        <is>
          <t>Marshall, Leather, Vintage, Foldable, Black</t>
        </is>
      </c>
      <c r="R87" t="inlineStr">
        <is>
          <t>recvhju1CrS2Jx</t>
        </is>
      </c>
      <c r="S87" t="inlineStr">
        <is>
          <t>marshall-major-iv-black-bluetooth-headphones-40h-recvhju1crS2Jx</t>
        </is>
      </c>
      <c r="T87"/>
      <c r="U87"/>
      <c r="V87"/>
      <c r="W87" t="inlineStr">
        <is>
          <t>{"choices":[{"finish_reason":"stop","index":0,"logprobs":null,"message":{"annotations":[],"content":"Marshall：MAJOR IV 黑色无线蓝牙耳机，采用优质皮革质感材质与复古摇滚设计，兼具经典音质与现代科技。支持安卓与苹果设备连接，续航超40小时，折叠便携，男女皆宜，彰显英伦街头潮流风格与标志性音乐态度。","refusal":null,"role":"assistant"}}],"created":1777019481,"id":"chatcmpl-DY6ETurrFgsBumMRKj1ALvZcK5nvk","model":"gpt-5-chat-latest","object":"chat.completion","service_tier":"default","system_fingerprint":"fp_ad66631dec","usage":{"completion_tokens":80,"completion_tokens_details":{"accepted_prediction_tokens":0,"audio_tokens":0,"reasoning_tokens":0,"rejected_prediction_tokens":0},"prompt_tokens":1295,"prompt_tokens_details":{"audio_tokens":0,"cached_tokens":0},"total_tokens":1375}}</t>
        </is>
      </c>
      <c r="X87" t="inlineStr">
        <is>
          <t>Marshall：MAJOR IV 黑色无线蓝牙耳机，采用优质皮革质感材质与复古摇滚设计，兼具经典音质与现代科技。支持安卓与苹果设备连接，续航超40小时，折叠便携，男女皆宜，彰显英伦街头潮流风格与标志性音乐态度。</t>
        </is>
      </c>
    </row>
    <row r="88" ht="25.5" customHeight="1">
      <c r="A88">
        <v>1654975475</v>
      </c>
      <c r="B88">
        <v>7617534015</v>
      </c>
      <c r="C88" s="2" t="str">
        <f>=HYPERLINK("https://weidian.com/item.html?itemID=7617534015", "https://weidian.com/item.html?itemID=7617534015")</f>
        <v>https://weidian.com/item.html?itemID=7617534015</v>
      </c>
      <c r="D88"/>
      <c r="E88" s="2" t="str">
        <f>=HYPERLINK("https://si.geilicdn.com/pcitem2014204438-2ff70000019ac479071c0a230115_1080_1440.jpg?w=640&amp;h=640", "https://si.geilicdn.com/pcitem2014204438-2ff70000019ac479071c0a230115_1080_1440.jpg?w=640&amp;h=640")</f>
        <v>https://si.geilicdn.com/pcitem2014204438-2ff70000019ac479071c0a230115_1080_1440.jpg?w=640&amp;h=640</v>
      </c>
      <c r="F88" t="inlineStr">
        <is>
          <t>Electronic</t>
        </is>
      </c>
      <c r="G88" t="inlineStr">
        <is>
          <t>Sony</t>
        </is>
      </c>
      <c r="H88">
        <v>900</v>
      </c>
      <c r="I88">
        <v>130.43</v>
      </c>
      <c r="J88" t="inlineStr">
        <is>
          <t>{"choices":[{"finish_reason":"stop","index":0,"logprobs":null,"message":{"annotations":[],"content":"Sony WH-1000XM5 Black Wireless Noise Cancelling Headphones","refusal":null,"role":"assistant"}}],"created":1777078927,"id":"chatcmpl-DYLhHbUuGTsudtTB197wWzGG042wj","model":"gpt-5-chat-latest","object":"chat.completion","service_tier":"default","system_fingerprint":"fp_ad66631dec","usage":{"completion_tokens":15,"completion_tokens_details":{"accepted_prediction_tokens":0,"audio_tokens":0,"reasoning_tokens":0,"rejected_prediction_tokens":0},"prompt_tokens":876,"prompt_tokens_details":{"audio_tokens":0,"cached_tokens":0},"total_tokens":891}}</t>
        </is>
      </c>
      <c r="K88" t="inlineStr">
        <is>
          <t>Sony WH-1000XM5 Black Wireless Noise Cancelling Headphones</t>
        </is>
      </c>
      <c r="L88" t="inlineStr">
        <is>
          <t>{"id":"chatcmpl-DYLUUFIE1tqSVhnbdtZC3LiHv70s9","object":"chat.completion","created":1777078134,"model":"gpt-5-chat-latest","choices":[{"index":0,"message":{"role":"assistant","content":"Sony WH-1000XM5 Black Wireless Noise Cancelling Headphones, lightweight eco-friendly design, superior sound, smart touch control, modern style, comfortable fit for men and women.","refusal":null,"annotations":[]},"logprobs":null,"finish_reason":"stop"}],"usage":{"prompt_tokens":893,"completion_tokens":38,"total_tokens":931,"prompt_tokens_details":{"cached_tokens":0,"audio_tokens":0},"completion_tokens_details":{"reasoning_tokens":0,"audio_tokens":0,"accepted_prediction_tokens":0,"rejected_prediction_tokens":0}},"service_tier":"default","system_fingerprint":"fp_ad66631dec"}</t>
        </is>
      </c>
      <c r="M8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ma=2592000","apim-request-id":"1ca2de1b-7c14-4db6-b14d-b1d319baacc8","azureml-model-session":"d20260402075109-1fc5a0ec","cache-control":"no-cache, no-store, must-revalidate","connection":"close","content-length":"982","content-security-policy":"frame-ancestors 'self'","content-type":"application/json","date":"Sat, 25 Apr 2026 00:48:55 GMT","server":"Caddy","skip-error-remapping":"true","strict-transport-security":"max-age=31536000; includeSubDomains; preload","via":"1.1 Caddy","x-api-request-id":"202604250848531529404U2z6viSO","x-content-type-options":"nosniff","x-frame-options":"SAMEORIGIN","x-ms-is-spilled-over":"false","x-ms-rai-invoked":"false","x-ms-region":"East US 2","x-new-api-version":"0.5.1","x-oneapi-request-id":"202604250048528209394778268d9d6PQoeMPnI","x-ratelimit-abusepenalty-active":"False","x-ratelimit-limit-requests":"4992","x-ratelimit-limit-tokens":"4992000","x-ratelimit-remaining-requests":"4991","x-ratelimit-remaining-tokens":"4990345","x-ratelimit-renewalperiod-requests":"60","x-ratelimit-renewalperiod-tokens":"60","x-ratelimit-reset-requests":"12","x-ratelimit-reset-tokens":"19","x-request-id":"45214d3c-3147-45eb-a372-5f72a0104939"}</t>
        </is>
      </c>
      <c r="N88" t="inlineStr">
        <is>
          <t>Sony WH-1000XM5 Black Wireless Noise Cancelling Headphones, lightweight eco-friendly design, superior sound, smart touch control, modern style, comfortable fit for men and women.</t>
        </is>
      </c>
      <c r="O88" t="inlineStr">
        <is>
          <t>{"id":"chatcmpl-DYM1WePnqpznwc6cObZOH86L87utG","object":"chat.completion","created":1777080182,"model":"gpt-5-chat-2025-10-03","choices":[{"index":0,"message":{"role":"assistant","content":"Sony,Headphones,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87,"total_tokens":868,"prompt_tokens_details":{"cached_tokens":0,"audio_tokens":0},"completion_tokens_details":{"reasoning_tokens":0,"audio_tokens":0,"accepted_prediction_tokens":0,"rejected_prediction_tokens":0}},"service_tier":"default","system_fingerprint":"fp_ad66631dec"}</t>
        </is>
      </c>
      <c r="P88" t="inlineStr">
        <is>
          <t>Sony,Headphones,kakobuy,kakebuy2026,kekobuysheet,kakobuysheet2026,2026kakobuy,kakobuyspreadsheeet,kakobuylink,kakebuylist,Kakobuy MEGA Spreadsheet,kakobuysheetfind,kakobuysheetfind2026,2026kakobuysheetfind,kakobuysheet2026</t>
        </is>
      </c>
      <c r="Q88"/>
      <c r="R88" t="inlineStr">
        <is>
          <t>recvhju1CrOCfd</t>
        </is>
      </c>
      <c r="S88" t="inlineStr">
        <is>
          <t>sony-wh-1000xm5-black-wireless-noise-cancelling-headphones-recvhju1cr</t>
        </is>
      </c>
      <c r="T88"/>
      <c r="U88"/>
      <c r="V88"/>
      <c r="W88" t="inlineStr">
        <is>
          <t>{"choices":[{"finish_reason":"stop","index":0,"logprobs":null,"message":{"annotations":[],"content":"Sony：WH-1000XM5黑色无线降噪耳机，轻质环保材质打造，简约流线设计，卓越音质与智能触控融合，男女皆宜，现代都市风格，兼具舒适佩戴与专业音频体验。","refusal":null,"role":"assistant"}}],"created":1777019800,"id":"chatcmpl-DY6Jciy21jxTyPSOhpKzwxaus5sc6","model":"gpt-5-chat-latest","object":"chat.completion","service_tier":"default","system_fingerprint":"fp_ad66631dec","usage":{"completion_tokens":62,"completion_tokens_details":{"accepted_prediction_tokens":0,"audio_tokens":0,"reasoning_tokens":0,"rejected_prediction_tokens":0},"prompt_tokens":1295,"prompt_tokens_details":{"audio_tokens":0,"cached_tokens":0},"total_tokens":1357}}</t>
        </is>
      </c>
      <c r="X88" t="inlineStr">
        <is>
          <t>Sony：WH-1000XM5黑色无线降噪耳机，轻质环保材质打造，简约流线设计，卓越音质与智能触控融合，男女皆宜，现代都市风格，兼具舒适佩戴与专业音频体验。</t>
        </is>
      </c>
    </row>
    <row r="89" ht="25.5" customHeight="1">
      <c r="A89">
        <v>1654975475</v>
      </c>
      <c r="B89">
        <v>7617551953</v>
      </c>
      <c r="C89" s="2" t="str">
        <f>=HYPERLINK("https://weidian.com/item.html?itemID=7617551953", "https://weidian.com/item.html?itemID=7617551953")</f>
        <v>https://weidian.com/item.html?itemID=7617551953</v>
      </c>
      <c r="D89"/>
      <c r="E89" s="2" t="str">
        <f>=HYPERLINK("https://si.geilicdn.com/pcitem2014204438-40ea0000019ac47c969b0a2315ef_1280_1706.jpg?w=640&amp;h=640", "https://si.geilicdn.com/pcitem2014204438-40ea0000019ac47c969b0a2315ef_1280_1706.jpg?w=640&amp;h=640")</f>
        <v>https://si.geilicdn.com/pcitem2014204438-40ea0000019ac47c969b0a2315ef_1280_1706.jpg?w=640&amp;h=640</v>
      </c>
      <c r="F89" t="inlineStr">
        <is>
          <t>Electronic</t>
        </is>
      </c>
      <c r="G89" t="inlineStr">
        <is>
          <t xml:space="preserve"> Apple</t>
        </is>
      </c>
      <c r="H89">
        <v>290</v>
      </c>
      <c r="I89">
        <v>42.03</v>
      </c>
      <c r="J89" t="inlineStr">
        <is>
          <t>{"id":"chatcmpl-DYLk8FntvDZ0zww6jzn8T67Co6v00","object":"chat.completion","created":1777079104,"model":"gpt-5-chat-latest","choices":[{"index":0,"message":{"role":"assistant","content":"AppleApple Silver Wireless Noise Cancelling Headphones Premium Sound","refusal":null,"annotations":[]},"logprobs":null,"finish_reason":"stop"}],"usage":{"prompt_tokens":878,"completion_tokens":12,"total_tokens":890,"prompt_tokens_details":{"cached_tokens":0,"audio_tokens":0},"completion_tokens_details":{"reasoning_tokens":0,"audio_tokens":0,"accepted_prediction_tokens":0,"rejected_prediction_tokens":0}},"service_tier":"default","system_fingerprint":"fp_ad66631dec"}</t>
        </is>
      </c>
      <c r="K89" t="inlineStr">
        <is>
          <t>AppleApple Silver Wireless Noise Cancelling Headphones Premium Sound</t>
        </is>
      </c>
      <c r="L89" t="inlineStr">
        <is>
          <t>{"id":"chatcmpl-DYLQbHEiD23tMP4ant4KURH3hwbyO","object":"chat.completion","created":1777077893,"model":"gpt-5-chat-latest","choices":[{"index":0,"message":{"role":"assistant","content":"AppleApple High-End Silver Wireless Noise Cancelling Headphones – Aluminum Alloy Body, Memory Foam Earcups, Minimalist Futuristic Design, Comfortable Fit &amp; Superior Sound for Smart Audio Lovers.","refusal":null,"annotations":[]},"logprobs":null,"finish_reason":"stop"}],"usage":{"prompt_tokens":898,"completion_tokens":39,"total_tokens":937,"prompt_tokens_details":{"cached_tokens":0,"audio_tokens":0},"completion_tokens_details":{"reasoning_tokens":0,"audio_tokens":0,"accepted_prediction_tokens":0,"rejected_prediction_tokens":0}},"service_tier":"default","system_fingerprint":"fp_ad66631dec"}</t>
        </is>
      </c>
      <c r="M8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ma=2592000","apim-request-id":"5e394626-0370-4ec8-8318-fe86a24e9b0d","azureml-model-session":"d20260405234249-f9874baf","cache-control":"no-cache, no-store, must-revalidate","connection":"close","content-length":"1000","content-security-policy":"frame-ancestors 'self'","content-type":"application/json","date":"Sat, 25 Apr 2026 00:44:54 GMT","server":"Caddy","skip-error-remapping":"true","strict-transport-security":"max-age=31536000; includeSubDomains; preload","via":"1.1 Caddy","x-api-request-id":"20260425084451576474438SDJdV39L","x-content-type-options":"nosniff","x-frame-options":"SAMEORIGIN","x-ms-is-spilled-over":"false","x-ms-rai-invoked":"false","x-ms-region":"East US 2","x-new-api-version":"0.5.1","x-oneapi-request-id":"202604250044512073831338268d9d6WC9stfcG","x-ratelimit-abusepenalty-active":"False","x-ratelimit-limit-requests":"4992","x-ratelimit-limit-tokens":"4992000","x-ratelimit-remaining-requests":"4991","x-ratelimit-remaining-tokens":"4990340","x-ratelimit-renewalperiod-requests":"60","x-ratelimit-renewalperiod-tokens":"60","x-ratelimit-reset-requests":"12","x-ratelimit-reset-tokens":"19","x-request-id":"2d0260ec-b881-480f-b217-b14b82aaf2fd"}</t>
        </is>
      </c>
      <c r="N89" t="inlineStr">
        <is>
          <t>AppleApple High-End Silver Wireless Noise Cancelling Headphones – Aluminum Alloy Body, Memory Foam Earcups, Minimalist Futuristic Design, Comfortable Fit &amp; Superior Sound for Smart Audio Lovers.</t>
        </is>
      </c>
      <c r="O89" t="inlineStr">
        <is>
          <t>{"id":"chatcmpl-DYM1As33Of2uCIt9WUtc6NinH4ZGv","object":"chat.completion","created":1777080160,"model":"gpt-5-chat-2025-10-03","choices":[{"index":0,"message":{"role":"assistant","content":"Apple, Headphones,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781,"completion_tokens":91,"total_tokens":872,"prompt_tokens_details":{"cached_tokens":0,"audio_tokens":0},"completion_tokens_details":{"reasoning_tokens":0,"audio_tokens":0,"accepted_prediction_tokens":0,"rejected_prediction_tokens":0}},"service_tier":"default","system_fingerprint":"fp_ad66631dec"}</t>
        </is>
      </c>
      <c r="P89" t="inlineStr">
        <is>
          <t>Apple, Headphones, kakobuy, kakebuy2026, kekobuysheet, kakobuysheet2026, 2026kakobuy, kakobuyspreadsheeet, kakobuylink, kakebuylist, Kakobuy MEGA Spreadsheet, kakobuysheetfind, kakobuysheetfind2026, 2026kakobuysheetfind, kakobuysheet2026</t>
        </is>
      </c>
      <c r="Q89"/>
      <c r="R89" t="inlineStr">
        <is>
          <t>recvhju1Crdm1D</t>
        </is>
      </c>
      <c r="S89" t="inlineStr">
        <is>
          <t>apple-silver-wireless-noise-cancelling-headphones-premium-sound-recvhju1crdm1d</t>
        </is>
      </c>
      <c r="T89"/>
      <c r="U89"/>
      <c r="V89"/>
      <c r="W89" t="inlineStr">
        <is>
          <t>{"choices":[{"finish_reason":"stop","index":0,"logprobs":null,"message":{"annotations":[],"content":"Apple：高端银白色无线降噪耳机，铝合金外壳搭配记忆泡棉耳罩，极简未来设计风格，男女皆宜，2020年代智能音频科技代表作，舒适佩戴与卓越音质兼备。","refusal":null,"role":"assistant"}}],"created":1777019931,"id":"chatcmpl-DY6LjcM8lLzXtY0p0ML8NYWfyL7Ny","model":"gpt-5-chat-latest","object":"chat.completion","service_tier":"default","system_fingerprint":"fp_ad66631dec","usage":{"completion_tokens":65,"completion_tokens_details":{"accepted_prediction_tokens":0,"audio_tokens":0,"reasoning_tokens":0,"rejected_prediction_tokens":0},"prompt_tokens":1299,"prompt_tokens_details":{"audio_tokens":0,"cached_tokens":1280},"total_tokens":1364}}</t>
        </is>
      </c>
      <c r="X89" t="inlineStr">
        <is>
          <t>Apple：高端银白色无线降噪耳机，铝合金外壳搭配记忆泡棉耳罩，极简未来设计风格，男女皆宜，2020年代智能音频科技代表作，舒适佩戴与卓越音质兼备。</t>
        </is>
      </c>
    </row>
    <row r="90" ht="25.5" customHeight="1">
      <c r="A90">
        <v>1654975475</v>
      </c>
      <c r="B90">
        <v>7617540055</v>
      </c>
      <c r="C90" s="2" t="str">
        <f>=HYPERLINK("https://weidian.com/item.html?itemID=7617540055", "https://weidian.com/item.html?itemID=7617540055")</f>
        <v>https://weidian.com/item.html?itemID=7617540055</v>
      </c>
      <c r="D90"/>
      <c r="E90" s="2" t="str">
        <f>=HYPERLINK("https://si.geilicdn.com/pcitem2014204438-0d310000019ac47c2e4b0a20e2c5_1080_1350.jpg?w=640&amp;h=640", "https://si.geilicdn.com/pcitem2014204438-0d310000019ac47c2e4b0a20e2c5_1080_1350.jpg?w=640&amp;h=640")</f>
        <v>https://si.geilicdn.com/pcitem2014204438-0d310000019ac47c2e4b0a20e2c5_1080_1350.jpg?w=640&amp;h=640</v>
      </c>
      <c r="F90" t="inlineStr">
        <is>
          <t>Electronic</t>
        </is>
      </c>
      <c r="G90" t="inlineStr">
        <is>
          <t xml:space="preserve"> Apple</t>
        </is>
      </c>
      <c r="H90">
        <v>290</v>
      </c>
      <c r="I90">
        <v>42.03</v>
      </c>
      <c r="J90" t="inlineStr">
        <is>
          <t>{"choices":[{"finish_reason":"stop","index":0,"logprobs":null,"message":{"annotations":[],"content":"Electronic Apple Silver Wireless Noise Cancelling Headphones","refusal":null,"role":"assistant"}}],"created":1777079018,"id":"chatcmpl-DYLikvHhKUdp4JtdTmmqYrH3zXuCq","model":"gpt-5-chat-latest","object":"chat.completion","service_tier":"default","system_fingerprint":"fp_ad66631dec","usage":{"completion_tokens":10,"completion_tokens_details":{"accepted_prediction_tokens":0,"audio_tokens":0,"reasoning_tokens":0,"rejected_prediction_tokens":0},"prompt_tokens":884,"prompt_tokens_details":{"audio_tokens":0,"cached_tokens":0},"total_tokens":894}}</t>
        </is>
      </c>
      <c r="K90" t="inlineStr">
        <is>
          <t>Electronic Apple Silver Wireless Noise Cancelling Headphones</t>
        </is>
      </c>
      <c r="L90" t="inlineStr">
        <is>
          <t>{"id":"chatcmpl-DYLRbdi4G7lxgvIPobwH6jvUFX735","object":"chat.completion","created":1777077955,"model":"gpt-5-chat-latest","choices":[{"index":0,"message":{"role":"assistant","content":"Electronic AppleApple Silver Wireless Noise Cancelling Headphones—crafted from anodized aluminum with a knit mesh headband, delivering hi-fi sound, deep immersion, and modern minimalist style for travel and daily use.","refusal":null,"annotations":[]},"logprobs":null,"finish_reason":"stop"}],"usage":{"prompt_tokens":915,"completion_tokens":42,"total_tokens":957,"prompt_tokens_details":{"cached_tokens":0,"audio_tokens":0},"completion_tokens_details":{"reasoning_tokens":0,"audio_tokens":0,"accepted_prediction_tokens":0,"rejected_prediction_tokens":0}},"service_tier":"default","system_fingerprint":"fp_ad66631dec"}</t>
        </is>
      </c>
      <c r="M9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ma=2592000","apim-request-id":"612f4cee-4f5b-4cfa-bd69-48bde6856b07","azureml-model-session":"d20260405221325-2e8d5e76","cache-control":"no-cache, no-store, must-revalidate","connection":"close","content-length":"1023","content-security-policy":"frame-ancestors 'self'","content-type":"application/json","date":"Sat, 25 Apr 2026 00:45:57 GMT","server":"Caddy","skip-error-remapping":"true","strict-transport-security":"max-age=31536000; includeSubDomains; preload","via":"1.1 Caddy","x-api-request-id":"20260425084554689132006yhFFngRX","x-content-type-options":"nosniff","x-frame-options":"SAMEORIGIN","x-ms-is-spilled-over":"false","x-ms-rai-invoked":"false","x-ms-region":"East US 2","x-new-api-version":"0.5.1","x-oneapi-request-id":"202604250045537021683248268d9d6L56G5Qi5","x-ratelimit-abusepenalty-active":"False","x-ratelimit-limit-requests":"4992","x-ratelimit-limit-tokens":"4992000","x-ratelimit-remaining-requests":"4991","x-ratelimit-remaining-tokens":"4990323","x-ratelimit-renewalperiod-requests":"60","x-ratelimit-renewalperiod-tokens":"60","x-ratelimit-reset-requests":"12","x-ratelimit-reset-tokens":"20","x-request-id":"706bb19e-4878-4ccf-9d02-a029aeba7b19"}</t>
        </is>
      </c>
      <c r="N90" t="inlineStr">
        <is>
          <t>Electronic AppleApple Silver Wireless Noise Cancelling Headphones—crafted from anodized aluminum with a knit mesh headband, delivering hi-fi sound, deep immersion, and modern minimalist style for travel and daily use.</t>
        </is>
      </c>
      <c r="O90" t="inlineStr">
        <is>
          <t>{"id":"chatcmpl-DYLwrHNjS3URE8RMl5RVmG2shR25m","object":"chat.completion","created":1777079893,"model":"gpt-5-chat-2025-10-03","choices":[{"index":0,"message":{"role":"assistant","content":"Apple,Headphones,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87,"total_tokens":868,"prompt_tokens_details":{"cached_tokens":0,"audio_tokens":0},"completion_tokens_details":{"reasoning_tokens":0,"audio_tokens":0,"accepted_prediction_tokens":0,"rejected_prediction_tokens":0}},"service_tier":"default","system_fingerprint":"fp_ad66631dec"}</t>
        </is>
      </c>
      <c r="P90" t="inlineStr">
        <is>
          <t>Apple,Headphones,kakobuy,kakebuy2026,kekobuysheet,kakobuysheet2026,2026kakobuy,kakobuyspreadsheeet,kakobuylink,kakebuylist,Kakobuy MEGA Spreadsheet,kakobuysheetfind,kakobuysheetfind2026,2026kakobuysheetfind,kakobuysheet2026</t>
        </is>
      </c>
      <c r="Q90"/>
      <c r="R90" t="inlineStr">
        <is>
          <t>recvhju1CrPPfJ</t>
        </is>
      </c>
      <c r="S90" t="inlineStr">
        <is>
          <t>apple-silver-wireless-noise-cancelling-headphones-recvhju1crppfj</t>
        </is>
      </c>
      <c r="T90"/>
      <c r="U90"/>
      <c r="V90"/>
      <c r="W90" t="inlineStr">
        <is>
          <t>{"id":"chatcmpl-DY6IgtgU4dIql37GkYuRInR3GX8sM","object":"chat.completion","created":1777019742,"model":"gpt-5-chat-latest","choices":[{"index":0,"message":{"role":"assistant","content":"Apple：银灰色无线降噪耳机，采用阳极氧化铝材质与针织网头带设计，展现极简现代风格。高保真音质与主动降噪功能，带来沉浸式听觉体验。男女通用款，适合旅行、通勤与日常休闲使用。","refusal":null,"annotations":[]},"logprobs":null,"finish_reason":"stop"}],"usage":{"prompt_tokens":1307,"completion_tokens":78,"total_tokens":1385,"prompt_tokens_details":{"cached_tokens":0,"audio_tokens":0},"completion_tokens_details":{"reasoning_tokens":0,"audio_tokens":0,"accepted_prediction_tokens":0,"rejected_prediction_tokens":0}},"service_tier":"default","system_fingerprint":"fp_ad66631dec"}</t>
        </is>
      </c>
      <c r="X90" t="inlineStr">
        <is>
          <t>Apple：银灰色无线降噪耳机，采用阳极氧化铝材质与针织网头带设计，展现极简现代风格。高保真音质与主动降噪功能，带来沉浸式听觉体验。男女通用款，适合旅行、通勤与日常休闲使用。</t>
        </is>
      </c>
    </row>
    <row r="91" ht="25.5" customHeight="1">
      <c r="A91">
        <v>1654975475</v>
      </c>
      <c r="B91">
        <v>7619997366</v>
      </c>
      <c r="C91" s="2" t="str">
        <f>=HYPERLINK("https://weidian.com/item.html?itemID=7619997366", "https://weidian.com/item.html?itemID=7619997366")</f>
        <v>https://weidian.com/item.html?itemID=7619997366</v>
      </c>
      <c r="D91"/>
      <c r="E91" s="2" t="str">
        <f>=HYPERLINK("https://si.geilicdn.com/pcitem2014204438-34050000019ac4833a790a8134f0_1440_1920.jpg?w=640&amp;h=640", "https://si.geilicdn.com/pcitem2014204438-34050000019ac4833a790a8134f0_1440_1920.jpg?w=640&amp;h=640")</f>
        <v>https://si.geilicdn.com/pcitem2014204438-34050000019ac4833a790a8134f0_1440_1920.jpg?w=640&amp;h=640</v>
      </c>
      <c r="F91" t="inlineStr">
        <is>
          <t>Electronic</t>
        </is>
      </c>
      <c r="G91" t="inlineStr">
        <is>
          <t>HeartBuds</t>
        </is>
      </c>
      <c r="H91">
        <v>220</v>
      </c>
      <c r="I91">
        <v>31.88</v>
      </c>
      <c r="J91" t="inlineStr">
        <is>
          <t>{"id":"chatcmpl-DYLj8AzDjjVsTmG0KZvxBFDT07L6S","object":"chat.completion","created":1777079042,"model":"gpt-5-chat-latest","choices":[{"index":0,"message":{"role":"assistant","content":"ElectronicHeartBuds Cream Beige Heart Wireless Bluetooth Earbuds","refusal":null,"annotations":[]},"logprobs":null,"finish_reason":"stop"}],"usage":{"prompt_tokens":890,"completion_tokens":12,"total_tokens":902,"prompt_tokens_details":{"cached_tokens":0,"audio_tokens":0},"completion_tokens_details":{"reasoning_tokens":0,"audio_tokens":0,"accepted_prediction_tokens":0,"rejected_prediction_tokens":0}},"service_tier":"default","system_fingerprint":"fp_ad66631dec"}</t>
        </is>
      </c>
      <c r="K91" t="inlineStr">
        <is>
          <t>ElectronicHeartBuds Cream Beige Heart Wireless Bluetooth Earbuds</t>
        </is>
      </c>
      <c r="L91" t="inlineStr">
        <is>
          <t>{"id":"chatcmpl-DYLR4RevvhNsBqhli3BfVW9DQ9BmE","object":"chat.completion","created":1777077922,"model":"gpt-5-chat-latest","choices":[{"index":0,"message":{"role":"assistant","content":"ElectronicHeartBuds HeartBuds Cream-Beige Heart-Shaped Wireless Bluetooth Earbuds, glossy ABS, portable, noise-cancelling, HD sound, minimalist design, sweet-cool style for men and women.","refusal":null,"annotations":[]},"logprobs":null,"finish_reason":"stop"}],"usage":{"prompt_tokens":897,"completion_tokens":44,"total_tokens":941,"prompt_tokens_details":{"cached_tokens":0,"audio_tokens":0},"completion_tokens_details":{"reasoning_tokens":0,"audio_tokens":0,"accepted_prediction_tokens":0,"rejected_prediction_tokens":0}},"service_tier":"default","system_fingerprint":"fp_ad66631dec"}</t>
        </is>
      </c>
      <c r="M9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ma=2592000","apim-request-id":"0ec2d8df-b29e-4668-a59f-05da4a96ffc9","azureml-model-session":"d20260405234249-f9874baf","cache-control":"no-cache, no-store, must-revalidate","connection":"close","content-length":"991","content-security-policy":"frame-ancestors 'self'","content-type":"application/json","date":"Sat, 25 Apr 2026 00:45:24 GMT","server":"nginx","skip-error-remapping":"true","strict-transport-security":"max-age=31536000; includeSubDomains; preload","via":"1.1 Caddy, 1.1 Caddy","x-api-request-id":"20260425084520684079510uABoYQ5z","x-content-type-options":"nosniff","x-frame-options":"SAMEORIGIN","x-ms-is-spilled-over":"false","x-ms-rai-invoked":"false","x-ms-region":"Sweden Central","x-new-api-version":"0.5.1","x-oneapi-request-id":"202604250045156632483768268d9d6dfB57MsP","x-ratelimit-abusepenalty-active":"False","x-ratelimit-limit-requests":"4991","x-ratelimit-limit-tokens":"4991000","x-ratelimit-remaining-requests":"4990","x-ratelimit-remaining-tokens":"4989341","x-ratelimit-renewalperiod-requests":"60","x-ratelimit-renewalperiod-tokens":"60","x-ratelimit-reset-requests":"12","x-ratelimit-reset-tokens":"19","x-request-id":"84c97e92-a005-4d88-8f5c-74e43e9edcec"}</t>
        </is>
      </c>
      <c r="N91" t="inlineStr">
        <is>
          <t>ElectronicHeartBuds HeartBuds Cream-Beige Heart-Shaped Wireless Bluetooth Earbuds, glossy ABS, portable, noise-cancelling, HD sound, minimalist design, sweet-cool style for men and women.</t>
        </is>
      </c>
      <c r="O91" t="inlineStr">
        <is>
          <t>{"id":"chatcmpl-DYLuRxLpRmskrjmhONj4bjGCqqXli","object":"chat.completion","created":1777079743,"model":"gpt-5-chat-2025-10-03","choices":[{"index":0,"message":{"role":"assistant","content":"ElectronicHeartBuds,earbud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90,"total_tokens":873,"prompt_tokens_details":{"cached_tokens":0,"audio_tokens":0},"completion_tokens_details":{"reasoning_tokens":0,"audio_tokens":0,"accepted_prediction_tokens":0,"rejected_prediction_tokens":0}},"service_tier":"default","system_fingerprint":"fp_ad66631dec"}</t>
        </is>
      </c>
      <c r="P91" t="inlineStr">
        <is>
          <t>ElectronicHeartBuds,earbuds,kakobuy,kakebuy2026,kekobuysheet,kakobuysheet2026,2026kakobuy,kakobuyspreadsheeet,kakobuylink,kakebuylist,Kakobuy MEGA Spreadsheet,kakobuysheetfind,kakobuysheetfind2026,2026kakobuysheetfind,kakobuysheet2026</t>
        </is>
      </c>
      <c r="Q91" t="inlineStr">
        <is>
          <t>Men's And Women's, Minimalist, Sweet, Beige, Cream</t>
        </is>
      </c>
      <c r="R91" t="inlineStr">
        <is>
          <t>recvhju1CroYVr</t>
        </is>
      </c>
      <c r="S91" t="inlineStr">
        <is>
          <t>electronic-heartbuds-cream-beige-recvhju1croyvr</t>
        </is>
      </c>
      <c r="T91"/>
      <c r="U91"/>
      <c r="V91"/>
      <c r="W91" t="inlineStr">
        <is>
          <t>{"id":"chatcmpl-DY6ICrIbTdtBPMhoCcs1s9pqG18gr","object":"chat.completion","created":1777019712,"model":"gpt-5-chat-latest","choices":[{"index":0,"message":{"role":"assistant","content":"HeartBuds：奶油米色心形无线蓝牙耳机，亮面ABS材质，小巧便携，独特爱心造型设计，支持降噪与高清音质，现代极简风格，男女皆宜，彰显甜酷时尚科技感。","refusal":null,"annotations":[]},"logprobs":null,"finish_reason":"stop"}],"usage":{"prompt_tokens":1301,"completion_tokens":63,"total_tokens":1364,"prompt_tokens_details":{"cached_tokens":0,"audio_tokens":0},"completion_tokens_details":{"reasoning_tokens":0,"audio_tokens":0,"accepted_prediction_tokens":0,"rejected_prediction_tokens":0}},"service_tier":"default","system_fingerprint":"fp_ad66631dec"}</t>
        </is>
      </c>
      <c r="X91" t="inlineStr">
        <is>
          <t>HeartBuds：奶油米色心形无线蓝牙耳机，亮面ABS材质，小巧便携，独特爱心造型设计，支持降噪与高清音质，现代极简风格，男女皆宜，彰显甜酷时尚科技感。</t>
        </is>
      </c>
    </row>
    <row r="92" ht="25.5" customHeight="1">
      <c r="A92">
        <v>1654975475</v>
      </c>
      <c r="B92">
        <v>7620005408</v>
      </c>
      <c r="C92" s="2" t="str">
        <f>=HYPERLINK("https://weidian.com/item.html?itemID=7620005408", "https://weidian.com/item.html?itemID=7620005408")</f>
        <v>https://weidian.com/item.html?itemID=7620005408</v>
      </c>
      <c r="D92"/>
      <c r="E92" s="2" t="str">
        <f>=HYPERLINK("https://si.geilicdn.com/pcitem2014204438-453d0000019ac489b7a10a2315ef_1080_1440.jpg?w=640&amp;h=640", "https://si.geilicdn.com/pcitem2014204438-453d0000019ac489b7a10a2315ef_1080_1440.jpg?w=640&amp;h=640")</f>
        <v>https://si.geilicdn.com/pcitem2014204438-453d0000019ac489b7a10a2315ef_1080_1440.jpg?w=640&amp;h=640</v>
      </c>
      <c r="F92" t="inlineStr">
        <is>
          <t>Electronic</t>
        </is>
      </c>
      <c r="G92" t="inlineStr">
        <is>
          <t>Bose</t>
        </is>
      </c>
      <c r="H92">
        <v>320</v>
      </c>
      <c r="I92">
        <v>46.38</v>
      </c>
      <c r="J92" t="inlineStr">
        <is>
          <t>{"id":"chatcmpl-DYLoamJ12Fm05DGQjruIKS4DCKi4v","object":"chat.completion","created":1777079380,"model":"gpt-5-chat-2025-10-03","choices":[{"index":0,"message":{"role":"assistant","content":"Bose QuietComfort Ultra Wireless Noise Cancelling Headphones Black","refusal":null,"annotations":[]},"logprobs":null,"finish_reason":"stop"}],"usage":{"prompt_tokens":887,"completion_tokens":13,"total_tokens":900,"prompt_tokens_details":{"cached_tokens":0,"audio_tokens":0},"completion_tokens_details":{"reasoning_tokens":0,"audio_tokens":0,"accepted_prediction_tokens":0,"rejected_prediction_tokens":0}},"service_tier":"default","system_fingerprint":"fp_ad66631dec"}</t>
        </is>
      </c>
      <c r="K92" t="inlineStr">
        <is>
          <t>Bose QuietComfort Ultra Wireless Noise Cancelling Headphones Black</t>
        </is>
      </c>
      <c r="L92" t="inlineStr">
        <is>
          <t>{"choices":[{"finish_reason":"stop","index":0,"logprobs":null,"message":{"annotations":[],"content":"Bose QuietComfort Ultra Wireless Noise Cancelling Headphones, black, with memory foam cushions, lightweight alloy headband, spatial audio, Bluetooth 5.3, minimal design, immersive high-fidelity sound.","refusal":null,"role":"assistant"}}],"created":1777077801,"id":"chatcmpl-DYLP7FpzihhIIucqyk60nU2r8erME","model":"gpt-5-chat-latest","object":"chat.completion","service_tier":"default","system_fingerprint":"fp_ad66631dec","usage":{"completion_tokens":43,"completion_tokens_details":{"accepted_prediction_tokens":0,"audio_tokens":0,"reasoning_tokens":0,"rejected_prediction_tokens":0},"prompt_tokens":911,"prompt_tokens_details":{"audio_tokens":0,"cached_tokens":0},"total_tokens":954}}</t>
        </is>
      </c>
      <c r="M92" t="inlineStr">
        <is>
          <t>{"alt-svc":"h3=\":443\"; ma=2592000","apim-request-id":"4b496354-5571-4ca5-8fb7-c21499a3814f","azureml-model-session":"d20260402074105-51db401e","cache-control":"no-cache","connection":"close","content-length":"788","content-security-policy":"frame-ancestors 'self'","content-type":"application/json","date":"Sat, 25 Apr 2026 00:43:23 GMT","server":"nginx","skip-error-remapping":"true","strict-transport-security":"max-age=31536000; includeSubDomains; preload","via":"1.1 Caddy, 1.1 Caddy","x-api-request-id":"202604250843193452605199g8teJFh","x-content-type-options":"nosniff","x-frame-options":"SAMEORIGIN","x-ms-client-request-id":"Not-Set","x-ms-is-spilled-over":"false","x-ms-rai-invoked":"true","x-ms-region":"East US 2","x-new-api-version":"0.5.1","x-oneapi-request-id":"202604250043152269457258268d9d6cQhF0KQb","x-ratelimit-abusepenalty-active":"False","x-ratelimit-limit-requests":"50","x-ratelimit-limit-tokens":"50000","x-ratelimit-remaining-requests":"49","x-ratelimit-remaining-tokens":"-1522","x-ratelimit-renewalperiod-requests":"60","x-ratelimit-renewalperiod-tokens":"60","x-ratelimit-reset-requests":"1545","x-ratelimit-reset-tokens":"61826","x-request-id":"4ce7f6f4-dbb9-49f7-a853-ed9459b5aa52"}</t>
        </is>
      </c>
      <c r="N92" t="inlineStr">
        <is>
          <t>Bose QuietComfort Ultra Wireless Noise Cancelling Headphones, black, with memory foam cushions, lightweight alloy headband, spatial audio, Bluetooth 5.3, minimal design, immersive high-fidelity sound.</t>
        </is>
      </c>
      <c r="O92" t="inlineStr">
        <is>
          <t>{"id":"chatcmpl-DYLtBk1fyJOWFkQiK3gJWuNaVZ2OE","object":"chat.completion","created":1777079665,"model":"gpt-5-chat-2025-10-03","choices":[{"index":0,"message":{"role":"assistant","content":"Bose,Headphon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92" t="inlineStr">
        <is>
          <t>Bose,Headphones,kakobuy,kakebuy2026,kekobuysheet,kakobuysheet2026,2026kakobuy,kakobuyspreadsheeet,kakobuylink,kakebuylist,Kakobuy MEGA Spreadsheet,kakobuysheetfind,kakobuysheetfind2026,2026kakobuysheetfind,kakobuysheet2026</t>
        </is>
      </c>
      <c r="Q92"/>
      <c r="R92" t="inlineStr">
        <is>
          <t>recvhju1CrGFYA</t>
        </is>
      </c>
      <c r="S92" t="inlineStr">
        <is>
          <t>bose-quietcomfort-ultra-recvhju1crgfya</t>
        </is>
      </c>
      <c r="T92"/>
      <c r="U92"/>
      <c r="V92"/>
      <c r="W92" t="inlineStr">
        <is>
          <t>{"id":"chatcmpl-DY6EkjvSBDqy1rvgsxuItte7m9Ne3","object":"chat.completion","created":1777019498,"model":"gpt-5-chat-latest","choices":[{"index":0,"message":{"role":"assistant","content":"Bose：QuietComfort Ultra 黑色无线主动降噪耳机，甄选舒适记忆海绵耳罩与轻盈合金头梁，搭载空间音效技术与蓝牙5.3连接，展现极简现代风格，男女皆宜，高保真音质塑造沉浸式听觉体验。","refusal":null,"annotations":[]},"logprobs":null,"finish_reason":"stop"}],"usage":{"prompt_tokens":1301,"completion_tokens":78,"total_tokens":1379,"prompt_tokens_details":{"cached_tokens":0,"audio_tokens":0},"completion_tokens_details":{"reasoning_tokens":0,"audio_tokens":0,"accepted_prediction_tokens":0,"rejected_prediction_tokens":0}},"service_tier":"default","system_fingerprint":"fp_ad66631dec"}</t>
        </is>
      </c>
      <c r="X92" t="inlineStr">
        <is>
          <t>Bose：QuietComfort Ultra 黑色无线主动降噪耳机，甄选舒适记忆海绵耳罩与轻盈合金头梁，搭载空间音效技术与蓝牙5.3连接，展现极简现代风格，男女皆宜，高保真音质塑造沉浸式听觉体验。</t>
        </is>
      </c>
    </row>
    <row r="93" ht="25.5" customHeight="1">
      <c r="A93">
        <v>1654975475</v>
      </c>
      <c r="B93">
        <v>7620565774</v>
      </c>
      <c r="C93" s="2" t="str">
        <f>=HYPERLINK("https://weidian.com/item.html?itemID=7620565774", "https://weidian.com/item.html?itemID=7620565774")</f>
        <v>https://weidian.com/item.html?itemID=7620565774</v>
      </c>
      <c r="D93"/>
      <c r="E93" s="2" t="str">
        <f>=HYPERLINK("https://si.geilicdn.com/pcitem2014204438-3c830000019ac48bbb140a23038e_1440_1920.jpg?w=640&amp;h=640", "https://si.geilicdn.com/pcitem2014204438-3c830000019ac48bbb140a23038e_1440_1920.jpg?w=640&amp;h=640")</f>
        <v>https://si.geilicdn.com/pcitem2014204438-3c830000019ac48bbb140a23038e_1440_1920.jpg?w=640&amp;h=640</v>
      </c>
      <c r="F93" t="inlineStr">
        <is>
          <t>Electronic</t>
        </is>
      </c>
      <c r="G93" t="inlineStr">
        <is>
          <t xml:space="preserve"> Apple</t>
        </is>
      </c>
      <c r="H93">
        <v>396</v>
      </c>
      <c r="I93">
        <v>57.391304347826</v>
      </c>
      <c r="J93" t="inlineStr">
        <is>
          <t>{"id":"chatcmpl-DYLgwRi9k2scLzEilR9LgYvzpldwt","object":"chat.completion","created":1777078906,"model":"gpt-5-chat-latest","choices":[{"index":0,"message":{"role":"assistant","content":"AppleApple White Bluetooth Noise Cancelling Earbuds","refusal":null,"annotations":[]},"logprobs":null,"finish_reason":"stop"}],"usage":{"prompt_tokens":878,"completion_tokens":10,"total_tokens":888,"prompt_tokens_details":{"cached_tokens":0,"audio_tokens":0},"completion_tokens_details":{"reasoning_tokens":0,"audio_tokens":0,"accepted_prediction_tokens":0,"rejected_prediction_tokens":0}},"service_tier":"default","system_fingerprint":"fp_ad66631dec"}</t>
        </is>
      </c>
      <c r="K93" t="inlineStr">
        <is>
          <t>AppleApple White Bluetooth Noise Cancelling Earbuds</t>
        </is>
      </c>
      <c r="L93" t="inlineStr">
        <is>
          <t>{"id":"chatcmpl-DYLUGcPvym2CVeD9ZWJ51DPRgV4g9","object":"chat.completion","created":1777078120,"model":"gpt-5-chat-latest","choices":[{"index":0,"message":{"role":"assistant","content":"AppleApple White Wireless Bluetooth Noise Cancelling Earbuds feature sleek glossy design, Hi-Fi audio, clear calls, long battery life, fast pairing, and modern minimalist style for men and women.","refusal":null,"annotations":[]},"logprobs":null,"finish_reason":"stop"}],"usage":{"prompt_tokens":920,"completion_tokens":39,"total_tokens":959,"prompt_tokens_details":{"cached_tokens":0,"audio_tokens":0},"completion_tokens_details":{"reasoning_tokens":0,"audio_tokens":0,"accepted_prediction_tokens":0,"rejected_prediction_tokens":0}},"service_tier":"default","system_fingerprint":"fp_ad66631dec"}</t>
        </is>
      </c>
      <c r="M9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ma=2592000","apim-request-id":"2ed90770-ad30-4abe-baf0-f9b30c9da4c3","azureml-model-session":"d20260402084046-4209e968","cache-control":"no-cache, no-store, must-revalidate","connection":"close","content-length":"999","content-security-policy":"frame-ancestors 'self'","content-type":"application/json","date":"Sat, 25 Apr 2026 00:48:41 GMT","server":"nginx","skip-error-remapping":"true","strict-transport-security":"max-age=31536000; includeSubDomains; preload","via":"1.1 Caddy, 1.1 Caddy","x-api-request-id":"20260425084839276961037tYZjtYGb","x-content-type-options":"nosniff","x-frame-options":"SAMEORIGIN","x-ms-is-spilled-over":"false","x-ms-rai-invoked":"false","x-ms-region":"East US 2","x-new-api-version":"0.5.1","x-oneapi-request-id":"202604250048354671144208268d9d6jxGSubcz","x-ratelimit-abusepenalty-active":"False","x-ratelimit-limit-requests":"4992","x-ratelimit-limit-tokens":"4992000","x-ratelimit-remaining-requests":"4991","x-ratelimit-remaining-tokens":"4990318","x-ratelimit-renewalperiod-requests":"60","x-ratelimit-renewalperiod-tokens":"60","x-ratelimit-reset-requests":"12","x-ratelimit-reset-tokens":"20","x-request-id":"d19324b1-f5be-4265-974b-1c8c7a517645"}</t>
        </is>
      </c>
      <c r="N93" t="inlineStr">
        <is>
          <t>AppleApple White Wireless Bluetooth Noise Cancelling Earbuds feature sleek glossy design, Hi-Fi audio, clear calls, long battery life, fast pairing, and modern minimalist style for men and women.</t>
        </is>
      </c>
      <c r="O93" t="inlineStr">
        <is>
          <t>{"id":"chatcmpl-DYM30SXRyMWtpgFiwj314K1aqhSUX","object":"chat.completion","created":1777080274,"model":"gpt-5-chat-2025-10-03","choices":[{"index":0,"message":{"role":"assistant","content":"Apple, Earphones,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781,"completion_tokens":91,"total_tokens":872,"prompt_tokens_details":{"cached_tokens":0,"audio_tokens":0},"completion_tokens_details":{"reasoning_tokens":0,"audio_tokens":0,"accepted_prediction_tokens":0,"rejected_prediction_tokens":0}},"service_tier":"default","system_fingerprint":"fp_ad66631dec"}</t>
        </is>
      </c>
      <c r="P93" t="inlineStr">
        <is>
          <t>Apple, Earphones, kakobuy, kakebuy2026, kekobuysheet, kakobuysheet2026, 2026kakobuy, kakobuyspreadsheeet, kakobuylink, kakebuylist, Kakobuy MEGA Spreadsheet, kakobuysheetfind, kakobuysheetfind2026, 2026kakobuysheetfind, kakobuysheet2026</t>
        </is>
      </c>
      <c r="Q93"/>
      <c r="R93" t="inlineStr">
        <is>
          <t>recvhju1CrEGEH</t>
        </is>
      </c>
      <c r="S93" t="inlineStr">
        <is>
          <t>apple-white-bluetooth-noise-cancelling-earbuds-recvhju1cregeh</t>
        </is>
      </c>
      <c r="T93"/>
      <c r="U93"/>
      <c r="V93"/>
      <c r="W93" t="inlineStr">
        <is>
          <t>{"id":"chatcmpl-DY6G2PaTsCq0qiuKyQAoYtwQCKjx2","object":"chat.completion","created":1777019578,"model":"gpt-5-chat-latest","choices":[{"index":0,"message":{"role":"assistant","content":"Apple：白色无线蓝牙降噪耳机，简约光泽外壳搭配细腻圆润设计，采用高保真音频技术与主动降噪功能，通话与音乐体验清晰出众。极简现代风格，男女皆宜，便携充电盒支持快速配对与长效续航，彰显Apple标志性科技美学。","refusal":null,"annotations":[]},"logprobs":null,"finish_reason":"stop"}],"usage":{"prompt_tokens":1295,"completion_tokens":89,"total_tokens":1384,"prompt_tokens_details":{"cached_tokens":0,"audio_tokens":0},"completion_tokens_details":{"reasoning_tokens":0,"audio_tokens":0,"accepted_prediction_tokens":0,"rejected_prediction_tokens":0}},"service_tier":"default","system_fingerprint":"fp_ad66631dec"}</t>
        </is>
      </c>
      <c r="X93" t="inlineStr">
        <is>
          <t>Apple：白色无线蓝牙降噪耳机，简约光泽外壳搭配细腻圆润设计，采用高保真音频技术与主动降噪功能，通话与音乐体验清晰出众。极简现代风格，男女皆宜，便携充电盒支持快速配对与长效续航，彰显Apple标志性科技美学。</t>
        </is>
      </c>
    </row>
    <row r="94" ht="25.5" customHeight="1">
      <c r="A94">
        <v>1654975475</v>
      </c>
      <c r="B94">
        <v>7620496096</v>
      </c>
      <c r="C94" s="2" t="str">
        <f>=HYPERLINK("https://weidian.com/item.html?itemID=7620496096", "https://weidian.com/item.html?itemID=7620496096")</f>
        <v>https://weidian.com/item.html?itemID=7620496096</v>
      </c>
      <c r="D94"/>
      <c r="E94" s="2" t="str">
        <f>=HYPERLINK("https://si.geilicdn.com/pcitem2014204438-0ca80000019ac47ac36a0a20e2c5_1440_1920.jpg?w=640&amp;h=640", "https://si.geilicdn.com/pcitem2014204438-0ca80000019ac47ac36a0a20e2c5_1440_1920.jpg?w=640&amp;h=640")</f>
        <v>https://si.geilicdn.com/pcitem2014204438-0ca80000019ac47ac36a0a20e2c5_1440_1920.jpg?w=640&amp;h=640</v>
      </c>
      <c r="F94" t="inlineStr">
        <is>
          <t>Electronic</t>
        </is>
      </c>
      <c r="G94" t="inlineStr">
        <is>
          <t>Bose</t>
        </is>
      </c>
      <c r="H94">
        <v>320</v>
      </c>
      <c r="I94">
        <v>46.38</v>
      </c>
      <c r="J94" t="inlineStr">
        <is>
          <t>{"choices":[{"finish_reason":"stop","index":0,"logprobs":null,"message":{"annotations":[],"content":"Bose Wooden Brown Wireless Noise Cancelling Earbuds","refusal":null,"role":"assistant"}}],"created":1777078910,"id":"chatcmpl-DYLh0dyiKTyBLYRGS4MfItff0dhI1","model":"gpt-5-chat-latest","object":"chat.completion","service_tier":"default","system_fingerprint":"fp_ad66631dec","usage":{"completion_tokens":11,"completion_tokens_details":{"accepted_prediction_tokens":0,"audio_tokens":0,"reasoning_tokens":0,"rejected_prediction_tokens":0},"prompt_tokens":875,"prompt_tokens_details":{"audio_tokens":0,"cached_tokens":0},"total_tokens":886}}</t>
        </is>
      </c>
      <c r="K94" t="inlineStr">
        <is>
          <t>Bose Wooden Brown Wireless Noise Cancelling Earbuds</t>
        </is>
      </c>
      <c r="L94" t="inlineStr">
        <is>
          <t>{"id":"chatcmpl-DYLXqBlNcdyiUd5V0R0ipR4slecCO","object":"chat.completion","created":1777078342,"model":"gpt-5-chat-latest","choices":[{"index":0,"message":{"role":"assistant","content":"ElectronicBoseBose Wooden Brown True Wireless Noise Cancelling Bluetooth Earbuds, metal finish with ergonomic ear hooks, pure immersive sound, modern minimalist design for daily commute and sports.","refusal":null,"annotations":[]},"logprobs":null,"finish_reason":"stop"}],"usage":{"prompt_tokens":906,"completion_tokens":37,"total_tokens":943,"prompt_tokens_details":{"cached_tokens":0,"audio_tokens":0},"completion_tokens_details":{"reasoning_tokens":0,"audio_tokens":0,"accepted_prediction_tokens":0,"rejected_prediction_tokens":0}},"service_tier":"default","system_fingerprint":"fp_ad66631dec"}</t>
        </is>
      </c>
      <c r="M9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ma=2592000","apim-request-id":"e42b689c-4410-43e6-b881-e72a21fc08bc","azureml-model-session":"d20260402084046-4209e968","cache-control":"no-cache, no-store, must-revalidate","connection":"close","content-length":"1001","content-security-policy":"frame-ancestors 'self'","content-type":"application/json","date":"Sat, 25 Apr 2026 00:52:24 GMT","server":"nginx","skip-error-remapping":"true","strict-transport-security":"max-age=31536000; includeSubDomains; preload","via":"1.1 Caddy, 1.1 Caddy","x-api-request-id":"20260425085220532251123hRvIBk3h","x-content-type-options":"nosniff","x-frame-options":"SAMEORIGIN","x-ms-is-spilled-over":"false","x-ms-rai-invoked":"false","x-ms-region":"Sweden Central","x-new-api-version":"0.5.1","x-oneapi-request-id":"202604250052199274892858268d9d6PTHn3mTj","x-ratelimit-abusepenalty-active":"False","x-ratelimit-limit-requests":"4991","x-ratelimit-limit-tokens":"4991000","x-ratelimit-remaining-requests":"4990","x-ratelimit-remaining-tokens":"4989332","x-ratelimit-renewalperiod-requests":"60","x-ratelimit-renewalperiod-tokens":"60","x-ratelimit-reset-requests":"12","x-ratelimit-reset-tokens":"20","x-request-id":"7d47e38c-fea6-42f4-908d-cc9f9ead3ab7"}</t>
        </is>
      </c>
      <c r="N94" t="inlineStr">
        <is>
          <t>ElectronicBoseBose Wooden Brown True Wireless Noise Cancelling Bluetooth Earbuds, metal finish with ergonomic ear hooks, pure immersive sound, modern minimalist design for daily commute and sports.</t>
        </is>
      </c>
      <c r="O94" t="inlineStr">
        <is>
          <t>{"id":"chatcmpl-DYLzjCjnZx5xePWP5NoniCWKHTUox","object":"chat.completion","created":1777080071,"model":"gpt-5-chat-2025-10-03","choices":[{"index":0,"message":{"role":"assistant","content":"Bose,earbud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94" t="inlineStr">
        <is>
          <t>Bose,earbuds,kakobuy,kakebuy2026,kekobuysheet,kakobuysheet2026,2026kakobuy,kakobuyspreadsheeet,kakobuylink,kakebuylist,Kakobuy MEGA Spreadsheet,kakobuysheetfind,kakobuysheetfind2026,2026kakobuysheetfind,kakobuysheet2026</t>
        </is>
      </c>
      <c r="Q94"/>
      <c r="R94" t="inlineStr">
        <is>
          <t>recvhju1Cr71ux</t>
        </is>
      </c>
      <c r="S94" t="inlineStr">
        <is>
          <t>bose-wooden-brown-wireless-noise-cancelling-earbuds-recvhju1cr71ux</t>
        </is>
      </c>
      <c r="T94"/>
      <c r="U94"/>
      <c r="V94"/>
      <c r="W94" t="inlineStr">
        <is>
          <t>{"choices":[{"finish_reason":"stop","index":0,"logprobs":null,"message":{"annotations":[],"content":"Bose：木纹棕色真无线降噪蓝牙耳机，金属质感外壳结合人体工学耳挂设计，音质纯净沉浸，现代简约风格，男女皆宜，适合日常通勤与运动使用，展现高端科技美学。","refusal":null,"role":"assistant"}}],"created":1777019514,"id":"chatcmpl-DY6F0BNzmrTirWm399riMObsQn6Vo","model":"gpt-5-chat-latest","object":"chat.completion","service_tier":"default","system_fingerprint":"fp_ad66631dec","usage":{"completion_tokens":70,"completion_tokens_details":{"accepted_prediction_tokens":0,"audio_tokens":0,"reasoning_tokens":0,"rejected_prediction_tokens":0},"prompt_tokens":1305,"prompt_tokens_details":{"audio_tokens":0,"cached_tokens":0},"total_tokens":1375}}</t>
        </is>
      </c>
      <c r="X94" t="inlineStr">
        <is>
          <t>Bose：木纹棕色真无线降噪蓝牙耳机，金属质感外壳结合人体工学耳挂设计，音质纯净沉浸，现代简约风格，男女皆宜，适合日常通勤与运动使用，展现高端科技美学。</t>
        </is>
      </c>
    </row>
    <row r="95" ht="25.5" customHeight="1">
      <c r="A95">
        <v>1654975475</v>
      </c>
      <c r="B95">
        <v>7620005384</v>
      </c>
      <c r="C95" s="2" t="str">
        <f>=HYPERLINK("https://weidian.com/item.html?itemID=7620005384", "https://weidian.com/item.html?itemID=7620005384")</f>
        <v>https://weidian.com/item.html?itemID=7620005384</v>
      </c>
      <c r="D95"/>
      <c r="E95" s="2" t="str">
        <f>=HYPERLINK("https://si.geilicdn.com/pcitem2014204438-374a0000019ac47bc55c0a23038e_750_1160.jpg?w=640&amp;h=640", "https://si.geilicdn.com/pcitem2014204438-374a0000019ac47bc55c0a23038e_750_1160.jpg?w=640&amp;h=640")</f>
        <v>https://si.geilicdn.com/pcitem2014204438-374a0000019ac47bc55c0a23038e_750_1160.jpg?w=640&amp;h=640</v>
      </c>
      <c r="F95" t="inlineStr">
        <is>
          <t>Electronic</t>
        </is>
      </c>
      <c r="G95" t="inlineStr">
        <is>
          <t>Bose</t>
        </is>
      </c>
      <c r="H95">
        <v>320</v>
      </c>
      <c r="I95">
        <v>46.38</v>
      </c>
      <c r="J95" t="inlineStr">
        <is>
          <t>{"id":"chatcmpl-DYLh7xCZk0wci82wtoMa2zqYkrek2","object":"chat.completion","created":1777078917,"model":"gpt-5-chat-latest","choices":[{"index":0,"message":{"role":"assistant","content":"Bose Black True Wireless Noise Cancelling Earbuds","refusal":null,"annotations":[]},"logprobs":null,"finish_reason":"stop"}],"usage":{"prompt_tokens":881,"completion_tokens":11,"total_tokens":892,"prompt_tokens_details":{"cached_tokens":0,"audio_tokens":0},"completion_tokens_details":{"reasoning_tokens":0,"audio_tokens":0,"accepted_prediction_tokens":0,"rejected_prediction_tokens":0}},"service_tier":"default","system_fingerprint":"fp_ad66631dec"}</t>
        </is>
      </c>
      <c r="K95" t="inlineStr">
        <is>
          <t>Bose Black True Wireless Noise Cancelling Earbuds</t>
        </is>
      </c>
      <c r="L95" t="inlineStr">
        <is>
          <t>{"id":"chatcmpl-DYLP9BJUZexQ4W6ALVzHuEsm2kG3g","object":"chat.completion","created":1777077803,"model":"gpt-5-chat-latest","choices":[{"index":0,"message":{"role":"assistant","content":"ElectronicBoseBose Black True Wireless Noise Cancelling Earbuds—crafted with premium acoustic materials, sleek modern design, easy touch control for music and calls, unisex style for immersive listening.","refusal":null,"annotations":[]},"logprobs":null,"finish_reason":"stop"}],"usage":{"prompt_tokens":891,"completion_tokens":40,"total_tokens":931,"prompt_tokens_details":{"cached_tokens":0,"audio_tokens":0},"completion_tokens_details":{"reasoning_tokens":0,"audio_tokens":0,"accepted_prediction_tokens":0,"rejected_prediction_tokens":0}},"service_tier":"default","system_fingerprint":"fp_ad66631dec"}</t>
        </is>
      </c>
      <c r="M9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ma=2592000","apim-request-id":"aeb02057-350d-43bc-b5ba-b07415f4b799","azureml-model-session":"d20260402075109-1fc5a0ec","cache-control":"no-cache, no-store, must-revalidate","connection":"close","content-length":"1009","content-security-policy":"frame-ancestors 'self'","content-type":"application/json","date":"Sat, 25 Apr 2026 00:43:25 GMT","server":"Caddy","skip-error-remapping":"true","strict-transport-security":"max-age=31536000; includeSubDomains; preload","via":"1.1 Caddy","x-api-request-id":"2026042508432130669717ChFvDKho","x-content-type-options":"nosniff","x-frame-options":"SAMEORIGIN","x-ms-is-spilled-over":"false","x-ms-rai-invoked":"false","x-ms-region":"Sweden Central","x-new-api-version":"0.5.1","x-oneapi-request-id":"202604250043157523473118268d9d6G2EsFG2E","x-ratelimit-abusepenalty-active":"False","x-ratelimit-limit-requests":"4991","x-ratelimit-limit-tokens":"4991000","x-ratelimit-remaining-requests":"4990","x-ratelimit-remaining-tokens":"4989347","x-ratelimit-renewalperiod-requests":"60","x-ratelimit-renewalperiod-tokens":"60","x-ratelimit-reset-requests":"12","x-ratelimit-reset-tokens":"19","x-request-id":"f9d04d28-89ee-4659-afad-9a45ee52c9bd"}</t>
        </is>
      </c>
      <c r="N95" t="inlineStr">
        <is>
          <t>ElectronicBoseBose Black True Wireless Noise Cancelling Earbuds—crafted with premium acoustic materials, sleek modern design, easy touch control for music and calls, unisex style for immersive listening.</t>
        </is>
      </c>
      <c r="O95" t="inlineStr">
        <is>
          <t>{"id":"chatcmpl-DYM0KCfY5dcYU9ojufKkFvEHuL9Sr","object":"chat.completion","created":1777080108,"model":"gpt-5-chat-2025-10-03","choices":[{"index":0,"message":{"role":"assistant","content":"Bose,earbud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95" t="inlineStr">
        <is>
          <t>Bose,earbuds,kakobuy,kakebuy2026,kekobuysheet,kakobuysheet2026,2026kakobuy,kakobuyspreadsheeet,kakobuylink,kakebuylist,Kakobuy MEGA Spreadsheet,kakobuysheetfind,kakobuysheetfind2026,2026kakobuysheetfind,kakobuysheet2026</t>
        </is>
      </c>
      <c r="Q95"/>
      <c r="R95" t="inlineStr">
        <is>
          <t>recvhju1Cr9029</t>
        </is>
      </c>
      <c r="S95" t="inlineStr">
        <is>
          <t>bose-black-true-wireless-noise-cancelling-earbuds-recvhju1cr9029</t>
        </is>
      </c>
      <c r="T95"/>
      <c r="U95"/>
      <c r="V95"/>
      <c r="W95" t="inlineStr">
        <is>
          <t>{"choices":[{"finish_reason":"stop","index":0,"logprobs":null,"message":{"annotations":[],"content":"Bose：黑色真无线降噪耳机，甄选高品质声学材料打造，简约现代设计风格，掌控播放与通话功能，男女皆宜，诠释科技美学与沉浸聆听体验。","refusal":null,"role":"assistant"}}],"created":1777019509,"id":"chatcmpl-DY6EvhxxFbSbc25R62oYGBh6nefSV","model":"gpt-5-chat-latest","object":"chat.completion","service_tier":"default","system_fingerprint":"fp_ad66631dec","usage":{"completion_tokens":58,"completion_tokens_details":{"accepted_prediction_tokens":0,"audio_tokens":0,"reasoning_tokens":0,"rejected_prediction_tokens":0},"prompt_tokens":1299,"prompt_tokens_details":{"audio_tokens":0,"cached_tokens":0},"total_tokens":1357}}</t>
        </is>
      </c>
      <c r="X95" t="inlineStr">
        <is>
          <t>Bose：黑色真无线降噪耳机，甄选高品质声学材料打造，简约现代设计风格，掌控播放与通话功能，男女皆宜，诠释科技美学与沉浸聆听体验。</t>
        </is>
      </c>
    </row>
    <row r="96" ht="25.5" customHeight="1">
      <c r="A96">
        <v>1654975475</v>
      </c>
      <c r="B96">
        <v>7620551750</v>
      </c>
      <c r="C96" s="2" t="str">
        <f>=HYPERLINK("https://weidian.com/item.html?itemID=7620551750", "https://weidian.com/item.html?itemID=7620551750")</f>
        <v>https://weidian.com/item.html?itemID=7620551750</v>
      </c>
      <c r="D96"/>
      <c r="E96" s="2" t="str">
        <f>=HYPERLINK("https://si.geilicdn.com/pcitem2014204438-37ab0000019ac480327f0a2301b4_1280_1706.jpg?w=640&amp;h=640", "https://si.geilicdn.com/pcitem2014204438-37ab0000019ac480327f0a2301b4_1280_1706.jpg?w=640&amp;h=640")</f>
        <v>https://si.geilicdn.com/pcitem2014204438-37ab0000019ac480327f0a2301b4_1280_1706.jpg?w=640&amp;h=640</v>
      </c>
      <c r="F96" t="inlineStr">
        <is>
          <t>Electronic</t>
        </is>
      </c>
      <c r="G96" t="inlineStr">
        <is>
          <t>Bose</t>
        </is>
      </c>
      <c r="H96">
        <v>900</v>
      </c>
      <c r="I96">
        <v>130.43</v>
      </c>
      <c r="J96" t="inlineStr">
        <is>
          <t>{"id":"chatcmpl-DYLnistZqE1IkLBriMG2V9UYKfb5j","object":"chat.completion","created":1777079326,"model":"gpt-5-chat-2025-10-03","choices":[{"index":0,"message":{"role":"assistant","content":"Apple AirPods Max Silver Wireless Headphones","refusal":null,"annotations":[]},"logprobs":null,"finish_reason":"stop"}],"usage":{"prompt_tokens":891,"completion_tokens":9,"total_tokens":900,"prompt_tokens_details":{"cached_tokens":0,"audio_tokens":0},"completion_tokens_details":{"reasoning_tokens":0,"audio_tokens":0,"accepted_prediction_tokens":0,"rejected_prediction_tokens":0}},"service_tier":"default","system_fingerprint":"fp_ad66631dec"}</t>
        </is>
      </c>
      <c r="K96" t="inlineStr">
        <is>
          <t>Apple AirPods Max Silver Wireless Headphones</t>
        </is>
      </c>
      <c r="L96" t="inlineStr">
        <is>
          <t>{"choices":[{"finish_reason":"stop","index":0,"logprobs":null,"message":{"annotations":[],"content":"ElectronicBoseApple AirPods Max Silver: premium aluminum build with soft memory foam cushions, advanced active noise canceling, immersive hi-fi sound, sleek modern design for men and women, 2020s tech elegance.","refusal":null,"role":"assistant"}}],"created":1777077972,"id":"chatcmpl-DYLRsenjonIqGw3MimWVPxom6h8xq","model":"gpt-5-chat-latest","object":"chat.completion","service_tier":"default","system_fingerprint":"fp_ad66631dec","usage":{"completion_tokens":45,"completion_tokens_details":{"accepted_prediction_tokens":0,"audio_tokens":0,"reasoning_tokens":0,"rejected_prediction_tokens":0},"prompt_tokens":898,"prompt_tokens_details":{"audio_tokens":0,"cached_tokens":0},"total_tokens":943}}</t>
        </is>
      </c>
      <c r="M96" t="inlineStr">
        <is>
          <t>{"alt-svc":"h3=\":443\"; ma=2592000","apim-request-id":"aa77c15e-a31e-4141-8f15-9d38a98ef719","azureml-model-session":"d20260405225800-40f19e54","cache-control":"no-cache","connection":"close","content-length":"798","content-security-policy":"frame-ancestors 'self'","content-type":"application/json","date":"Sat, 25 Apr 2026 00:46:14 GMT","server":"Caddy","skip-error-remapping":"true","strict-transport-security":"max-age=31536000; includeSubDomains; preload","via":"1.1 Caddy","x-api-request-id":"20260425084609889199506wiOgjjcH","x-content-type-options":"nosniff","x-frame-options":"SAMEORIGIN","x-ms-client-request-id":"Not-Set","x-ms-is-spilled-over":"false","x-ms-rai-invoked":"true","x-ms-region":"East US 2","x-new-api-version":"0.5.1","x-oneapi-request-id":"202604250046091259623958268d9d61QxGs3In","x-ratelimit-abusepenalty-active":"False","x-ratelimit-limit-requests":"50","x-ratelimit-limit-tokens":"50000","x-ratelimit-remaining-requests":"49","x-ratelimit-remaining-tokens":"-984","x-ratelimit-renewalperiod-requests":"60","x-ratelimit-renewalperiod-tokens":"60","x-ratelimit-reset-requests":"1200","x-ratelimit-reset-tokens":"61180","x-request-id":"c669b7b1-9de2-4a1f-a14d-94913fbc22d9"}</t>
        </is>
      </c>
      <c r="N96" t="inlineStr">
        <is>
          <t>ElectronicBoseApple AirPods Max Silver: premium aluminum build with soft memory foam cushions, advanced active noise canceling, immersive hi-fi sound, sleek modern design for men and women, 2020s tech elegance.</t>
        </is>
      </c>
      <c r="O96" t="inlineStr">
        <is>
          <t>{"id":"chatcmpl-DYM1lypGKzURPbl89OQ5PkOJDseFQ","object":"chat.completion","created":1777080197,"model":"gpt-5-chat-2025-10-03","choices":[{"index":0,"message":{"role":"assistant","content":"Apple,Headphon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96" t="inlineStr">
        <is>
          <t>Apple,Headphones,kakobuy,kakebuy2026,kekobuysheet,kakobuysheet2026,2026kakobuy,kakobuyspreadsheeet,kakobuylink,kakebuylist,Kakobuy MEGA Spreadsheet,kakobuysheetfind,kakobuysheetfind2026,2026kakobuysheetfind,kakobuysheet2026</t>
        </is>
      </c>
      <c r="Q96"/>
      <c r="R96" t="inlineStr">
        <is>
          <t>recvhju1CrDRNS</t>
        </is>
      </c>
      <c r="S96" t="inlineStr">
        <is>
          <t>apple-airpods-max-silver-recvhju1crdrns</t>
        </is>
      </c>
      <c r="T96"/>
      <c r="U96"/>
      <c r="V96"/>
      <c r="W96" t="inlineStr">
        <is>
          <t>{"choices":[{"finish_reason":"stop","index":0,"logprobs":null,"message":{"annotations":[],"content":"Apple：AirPods Max 银色主动降噪耳机，高级铝合金材质搭配柔软记忆耳垫，极简现代设计，音质震撼沉浸，男女皆宜，展现2020年代科技美学与时尚格调。","refusal":null,"role":"assistant"}}],"created":1777019658,"id":"chatcmpl-DY6HKoCzYJjJZGFeLEfC9UzxKxpcg","model":"gpt-5-chat-latest","object":"chat.completion","service_tier":"default","system_fingerprint":"fp_ad66631dec","usage":{"completion_tokens":64,"completion_tokens_details":{"accepted_prediction_tokens":0,"audio_tokens":0,"reasoning_tokens":0,"rejected_prediction_tokens":0},"prompt_tokens":1301,"prompt_tokens_details":{"audio_tokens":0,"cached_tokens":0},"total_tokens":1365}}</t>
        </is>
      </c>
      <c r="X96" t="inlineStr">
        <is>
          <t>Apple：AirPods Max 银色主动降噪耳机，高级铝合金材质搭配柔软记忆耳垫，极简现代设计，音质震撼沉浸，男女皆宜，展现2020年代科技美学与时尚格调。</t>
        </is>
      </c>
    </row>
    <row r="97" ht="25.5" customHeight="1">
      <c r="A97">
        <v>1654975475</v>
      </c>
      <c r="B97">
        <v>7617583713</v>
      </c>
      <c r="C97" s="2" t="str">
        <f>=HYPERLINK("https://weidian.com/item.html?itemID=7617583713", "https://weidian.com/item.html?itemID=7617583713")</f>
        <v>https://weidian.com/item.html?itemID=7617583713</v>
      </c>
      <c r="D97"/>
      <c r="E97" s="2" t="str">
        <f>=HYPERLINK("https://si.geilicdn.com/pcitem2014204438-29ce0000019ac480ec040a239646_1284_2778.jpg?w=640&amp;h=640", "https://si.geilicdn.com/pcitem2014204438-29ce0000019ac480ec040a239646_1284_2778.jpg?w=640&amp;h=640")</f>
        <v>https://si.geilicdn.com/pcitem2014204438-29ce0000019ac480ec040a239646_1284_2778.jpg?w=640&amp;h=640</v>
      </c>
      <c r="F97" t="inlineStr">
        <is>
          <t>Electronic</t>
        </is>
      </c>
      <c r="G97" t="inlineStr">
        <is>
          <t>Sony</t>
        </is>
      </c>
      <c r="H97">
        <v>270</v>
      </c>
      <c r="I97">
        <v>39.13</v>
      </c>
      <c r="J97" t="inlineStr">
        <is>
          <t>{"id":"chatcmpl-DYLkxIcwcbkfIWLvts7K6NN8xuJDw","object":"chat.completion","created":1777079155,"model":"gpt-5-chat-latest","choices":[{"index":0,"message":{"role":"assistant","content":"Sony Ivory True Wireless Noise Cancelling Earbuds HD Sound","refusal":null,"annotations":[]},"logprobs":null,"finish_reason":"stop"}],"usage":{"prompt_tokens":1162,"completion_tokens":12,"total_tokens":1174,"prompt_tokens_details":{"cached_tokens":0,"audio_tokens":0},"completion_tokens_details":{"reasoning_tokens":0,"audio_tokens":0,"accepted_prediction_tokens":0,"rejected_prediction_tokens":0}},"service_tier":"default","system_fingerprint":"fp_ad66631dec"}</t>
        </is>
      </c>
      <c r="K97" t="inlineStr">
        <is>
          <t>Sony Ivory True Wireless Noise Cancelling Earbuds HD Sound</t>
        </is>
      </c>
      <c r="L97" t="inlineStr">
        <is>
          <t>{"choices":[{"finish_reason":"stop","index":0,"logprobs":null,"message":{"annotations":[],"content":"Sony Ivory True Wireless Noise Cancelling Earbuds with matte finish, compact design, smart touch control, and HD sound. Luxurious minimalist style for both men and women, ideal for commute or sports.","refusal":null,"role":"assistant"}}],"created":1777077883,"id":"chatcmpl-DYLQRGRuz7ZcntVHxjMDk0Rdxpkn8","model":"gpt-5-chat-latest","object":"chat.completion","service_tier":"default","system_fingerprint":"fp_ad66631dec","usage":{"completion_tokens":41,"completion_tokens_details":{"accepted_prediction_tokens":0,"audio_tokens":0,"reasoning_tokens":0,"rejected_prediction_tokens":0},"prompt_tokens":1172,"prompt_tokens_details":{"audio_tokens":0,"cached_tokens":1152},"total_tokens":1213}}</t>
        </is>
      </c>
      <c r="M97" t="inlineStr">
        <is>
          <t>{"alt-svc":"h3=\":443\"; ma=2592000","apim-request-id":"97b6e3e6-084d-426d-89df-fed3744455cf","azureml-model-session":"d20260402083108-57a85543","cache-control":"no-cache","connection":"close","content-length":"792","content-security-policy":"frame-ancestors 'self'","content-type":"application/json","date":"Sat, 25 Apr 2026 00:44:44 GMT","server":"Caddy","skip-error-remapping":"true","strict-transport-security":"max-age=31536000; includeSubDomains; preload","via":"1.1 Caddy","x-api-request-id":"20260425084440367781571J3PWp7Br","x-content-type-options":"nosniff","x-frame-options":"SAMEORIGIN","x-ms-client-request-id":"Not-Set","x-ms-is-spilled-over":"false","x-ms-rai-invoked":"true","x-ms-region":"East US 2","x-new-api-version":"0.5.1","x-oneapi-request-id":"202604250044376966633718268d9d6OU8Wh8JI","x-ratelimit-abusepenalty-active":"False","x-ratelimit-limit-requests":"50","x-ratelimit-limit-tokens":"50000","x-ratelimit-remaining-requests":"49","x-ratelimit-remaining-tokens":"-1756","x-ratelimit-renewalperiod-requests":"60","x-ratelimit-renewalperiod-tokens":"60","x-ratelimit-reset-requests":"1200","x-ratelimit-reset-tokens":"62107","x-request-id":"43a78a7a-1fc4-4980-ad12-ed95e53e7a1b"}</t>
        </is>
      </c>
      <c r="N97" t="inlineStr">
        <is>
          <t>Sony Ivory True Wireless Noise Cancelling Earbuds with matte finish, compact design, smart touch control, and HD sound. Luxurious minimalist style for both men and women, ideal for commute or sports.</t>
        </is>
      </c>
      <c r="O97" t="inlineStr">
        <is>
          <t>{"id":"chatcmpl-DYLtXDzKnqz3NA4Gcr66bFLnTBCfe","object":"chat.completion","created":1777079687,"model":"gpt-5-chat-2025-10-03","choices":[{"index":0,"message":{"role":"assistant","content":"Sony,earbuds,kakobuy,kakebuy2026,kekobuysheet,kakobuysheet2026,2026kakobuy,kakobuyspreadsheeet,kakobuylink,kakebuylist,Kakobuy MEGA Spreadsheet,kakobuysheetfind,kakobuysheetfind2026,2026kakobuysheetfind,kakobuysheet2026","refusal":null,"annotations":[]},"logprobs":null,"finish_reason":"stop"}],"usage":{"prompt_tokens":1061,"completion_tokens":87,"total_tokens":1148,"prompt_tokens_details":{"cached_tokens":1024,"audio_tokens":0},"completion_tokens_details":{"reasoning_tokens":0,"audio_tokens":0,"accepted_prediction_tokens":0,"rejected_prediction_tokens":0}},"service_tier":"default","system_fingerprint":"fp_ad66631dec"}</t>
        </is>
      </c>
      <c r="P97" t="inlineStr">
        <is>
          <t>Sony,earbuds,kakobuy,kakebuy2026,kekobuysheet,kakobuysheet2026,2026kakobuy,kakobuyspreadsheeet,kakobuylink,kakebuylist,Kakobuy MEGA Spreadsheet,kakobuysheetfind,kakobuysheetfind2026,2026kakobuysheetfind,kakobuysheet2026</t>
        </is>
      </c>
      <c r="Q97"/>
      <c r="R97" t="inlineStr">
        <is>
          <t>recvhju1CrLC4b</t>
        </is>
      </c>
      <c r="S97" t="inlineStr">
        <is>
          <t>sony-ivory-true-wireless-noise-cancelling-earbuds-hd-sound-recvhju1crlc4b</t>
        </is>
      </c>
      <c r="T97"/>
      <c r="U97"/>
      <c r="V97"/>
      <c r="W97" t="inlineStr">
        <is>
          <t>{"choices":[{"finish_reason":"stop","index":0,"logprobs":null,"message":{"annotations":[],"content":"Sony：米白色真无线蓝牙降噪耳机，圆润磨砂质感机身，小巧便携设计，搭载智能触控与高清音质，轻奢简约风格，男女皆宜，适合现代都市通勤与运动使用。","refusal":null,"role":"assistant"}}],"created":1777019425,"id":"chatcmpl-DY6DZGacyZtbepmssgbbGCoFYmPia","model":"gpt-5-chat-latest","object":"chat.completion","service_tier":"default","system_fingerprint":"fp_ad66631dec","usage":{"completion_tokens":62,"completion_tokens_details":{"accepted_prediction_tokens":0,"audio_tokens":0,"reasoning_tokens":0,"rejected_prediction_tokens":0},"prompt_tokens":1573,"prompt_tokens_details":{"audio_tokens":0,"cached_tokens":0},"total_tokens":1635}}</t>
        </is>
      </c>
      <c r="X97" t="inlineStr">
        <is>
          <t>Sony：米白色真无线蓝牙降噪耳机，圆润磨砂质感机身，小巧便携设计，搭载智能触控与高清音质，轻奢简约风格，男女皆宜，适合现代都市通勤与运动使用。</t>
        </is>
      </c>
    </row>
    <row r="98" ht="25.5" customHeight="1">
      <c r="A98">
        <v>1654975475</v>
      </c>
      <c r="B98">
        <v>7620541856</v>
      </c>
      <c r="C98" s="2" t="str">
        <f>=HYPERLINK("https://weidian.com/item.html?itemID=7620541856", "https://weidian.com/item.html?itemID=7620541856")</f>
        <v>https://weidian.com/item.html?itemID=7620541856</v>
      </c>
      <c r="D98"/>
      <c r="E98" s="2" t="str">
        <f>=HYPERLINK("https://si.geilicdn.com/pcitem2014204438-390d0000019ac481e9840a20e284_1440_1920.jpg?w=640&amp;h=640", "https://si.geilicdn.com/pcitem2014204438-390d0000019ac481e9840a20e284_1440_1920.jpg?w=640&amp;h=640")</f>
        <v>https://si.geilicdn.com/pcitem2014204438-390d0000019ac481e9840a20e284_1440_1920.jpg?w=640&amp;h=640</v>
      </c>
      <c r="F98" t="inlineStr">
        <is>
          <t>Electronic</t>
        </is>
      </c>
      <c r="G98" t="inlineStr">
        <is>
          <t>Beats</t>
        </is>
      </c>
      <c r="H98">
        <v>398</v>
      </c>
      <c r="I98">
        <v>57.68</v>
      </c>
      <c r="J98" t="inlineStr">
        <is>
          <t>{"id":"chatcmpl-DYLgYufjZlSEGQW5lQeWuMQd1fBPg","object":"chat.completion","created":1777078882,"model":"gpt-5-chat-latest","choices":[{"index":0,"message":{"role":"assistant","content":"Beats Studio Buds+ Black Gold Wireless Earbuds","refusal":null,"annotations":[]},"logprobs":null,"finish_reason":"stop"}],"usage":{"prompt_tokens":881,"completion_tokens":12,"total_tokens":893,"prompt_tokens_details":{"cached_tokens":0,"audio_tokens":0},"completion_tokens_details":{"reasoning_tokens":0,"audio_tokens":0,"accepted_prediction_tokens":0,"rejected_prediction_tokens":0}},"service_tier":"default","system_fingerprint":"fp_ad66631dec"}</t>
        </is>
      </c>
      <c r="K98" t="inlineStr">
        <is>
          <t>Beats Studio Buds+ Black Gold Wireless Earbuds</t>
        </is>
      </c>
      <c r="L98" t="inlineStr">
        <is>
          <t>{"id":"chatcmpl-DYLR45LMNguGa8jXh3HiQVhajRHnA","object":"chat.completion","created":1777077922,"model":"gpt-5-chat-latest","choices":[{"index":0,"message":{"role":"assistant","content":"Beats Studio Buds+ Black Gold: True wireless earbuds with active noise cancelling, transparency mode, long battery life, lightweight design, Hi-Fi sound, comfy silicone tips and modern minimalist style.","refusal":null,"annotations":[]},"logprobs":null,"finish_reason":"stop"}],"usage":{"prompt_tokens":911,"completion_tokens":40,"total_tokens":951,"prompt_tokens_details":{"cached_tokens":0,"audio_tokens":0},"completion_tokens_details":{"reasoning_tokens":0,"audio_tokens":0,"accepted_prediction_tokens":0,"rejected_prediction_tokens":0}},"service_tier":"default","system_fingerprint":"fp_ad66631dec"}</t>
        </is>
      </c>
      <c r="M9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ma=2592000","apim-request-id":"19ce4f0b-2779-40e2-85a8-356f11273024","azureml-model-session":"d20260405212659-a9daa006","cache-control":"no-cache, no-store, must-revalidate","connection":"close","content-length":"1006","content-security-policy":"frame-ancestors 'self'","content-type":"application/json","date":"Sat, 25 Apr 2026 00:45:24 GMT","server":"Caddy","skip-error-remapping":"true","strict-transport-security":"max-age=31536000; includeSubDomains; preload","via":"1.1 Caddy","x-api-request-id":"20260425084520681070825qFLVAtCM","x-content-type-options":"nosniff","x-frame-options":"SAMEORIGIN","x-ms-is-spilled-over":"false","x-ms-rai-invoked":"false","x-ms-region":"Sweden Central","x-new-api-version":"0.5.1","x-oneapi-request-id":"202604250045204080515978268d9d68RE2q35L","x-ratelimit-abusepenalty-active":"False","x-ratelimit-limit-requests":"4991","x-ratelimit-limit-tokens":"4991000","x-ratelimit-remaining-requests":"4990","x-ratelimit-remaining-tokens":"4989327","x-ratelimit-renewalperiod-requests":"60","x-ratelimit-renewalperiod-tokens":"60","x-ratelimit-reset-requests":"12","x-ratelimit-reset-tokens":"20","x-request-id":"19a40b02-0b63-4e14-a3ce-f75917f65d9f"}</t>
        </is>
      </c>
      <c r="N98" t="inlineStr">
        <is>
          <t>Beats Studio Buds+ Black Gold: True wireless earbuds with active noise cancelling, transparency mode, long battery life, lightweight design, Hi-Fi sound, comfy silicone tips and modern minimalist style.</t>
        </is>
      </c>
      <c r="O98" t="inlineStr">
        <is>
          <t>{"id":"chatcmpl-DYM212Rjf3mvvsjiz5sa3JiG4YwB7","object":"chat.completion","created":1777080213,"model":"gpt-5-chat-2025-10-03","choices":[{"index":0,"message":{"role":"assistant","content":"Beats,earbud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98" t="inlineStr">
        <is>
          <t>Beats,earbuds,kakobuy,kakebuy2026,kekobuysheet,kakobuysheet2026,2026kakobuy,kakobuyspreadsheeet,kakobuylink,kakebuylist,Kakobuy MEGA Spreadsheet,kakobuysheetfind,kakobuysheetfind2026,2026kakobuysheetfind,kakobuysheet2026</t>
        </is>
      </c>
      <c r="Q98" t="inlineStr">
        <is>
          <t>Black Gold, Minimalist, Lightweight</t>
        </is>
      </c>
      <c r="R98" t="inlineStr">
        <is>
          <t>recvhju1Cr0qbo</t>
        </is>
      </c>
      <c r="S98" t="inlineStr">
        <is>
          <t>beats-studio-buds-black-gold-recvhju1cr0qbo</t>
        </is>
      </c>
      <c r="T98"/>
      <c r="U98"/>
      <c r="V98"/>
      <c r="W98" t="inlineStr">
        <is>
          <t>{"choices":[{"finish_reason":"stop","index":0,"logprobs":null,"message":{"annotations":[],"content":"Beats：Studio Buds+ 黑金色真无线降噪耳机，轻盈设计搭配高保真音质与舒适硅胶耳塞，融合现代极简科技风格，支持主动降噪与通透模式，配备长续航充电盒，男女皆宜，打造沉浸聆听体验。","refusal":null,"role":"assistant"}}],"created":1777019734,"id":"chatcmpl-DY6IY6Hg0pcZlSJUHHtlluu4RIsiN","model":"gpt-5-chat-latest","object":"chat.completion","service_tier":"default","system_fingerprint":"fp_ad66631dec","usage":{"completion_tokens":78,"completion_tokens_details":{"accepted_prediction_tokens":0,"audio_tokens":0,"reasoning_tokens":0,"rejected_prediction_tokens":0},"prompt_tokens":1299,"prompt_tokens_details":{"audio_tokens":0,"cached_tokens":0},"total_tokens":1377}}</t>
        </is>
      </c>
      <c r="X98" t="inlineStr">
        <is>
          <t>Beats：Studio Buds+ 黑金色真无线降噪耳机，轻盈设计搭配高保真音质与舒适硅胶耳塞，融合现代极简科技风格，支持主动降噪与通透模式，配备长续航充电盒，男女皆宜，打造沉浸聆听体验。</t>
        </is>
      </c>
    </row>
    <row r="99" ht="25.5" customHeight="1">
      <c r="A99">
        <v>1654975475</v>
      </c>
      <c r="B99">
        <v>7620508184</v>
      </c>
      <c r="C99" s="2" t="str">
        <f>=HYPERLINK("https://weidian.com/item.html?itemID=7620508184", "https://weidian.com/item.html?itemID=7620508184")</f>
        <v>https://weidian.com/item.html?itemID=7620508184</v>
      </c>
      <c r="D99"/>
      <c r="E99" s="2" t="str">
        <f>=HYPERLINK("https://si.geilicdn.com/pcitem2014204438-3b480000019ac48ad2770a2301b4_1080_1440.jpg?w=640&amp;h=640", "https://si.geilicdn.com/pcitem2014204438-3b480000019ac48ad2770a2301b4_1080_1440.jpg?w=640&amp;h=640")</f>
        <v>https://si.geilicdn.com/pcitem2014204438-3b480000019ac48ad2770a2301b4_1080_1440.jpg?w=640&amp;h=640</v>
      </c>
      <c r="F99" t="inlineStr">
        <is>
          <t>Electronic</t>
        </is>
      </c>
      <c r="G99" t="inlineStr">
        <is>
          <t>Bose</t>
        </is>
      </c>
      <c r="H99">
        <v>320</v>
      </c>
      <c r="I99">
        <v>46.38</v>
      </c>
      <c r="J99" t="inlineStr">
        <is>
          <t>{"id":"chatcmpl-DYLk2C33OStYGoj5oJXHLIc2dVB4s","object":"chat.completion","created":1777079098,"model":"gpt-5-chat-latest","choices":[{"index":0,"message":{"role":"assistant","content":"Bose QuietComfort Ultra White Wireless Noise Cancelling Headphones","refusal":null,"annotations":[]},"logprobs":null,"finish_reason":"stop"}],"usage":{"prompt_tokens":875,"completion_tokens":13,"total_tokens":888,"prompt_tokens_details":{"cached_tokens":0,"audio_tokens":0},"completion_tokens_details":{"reasoning_tokens":0,"audio_tokens":0,"accepted_prediction_tokens":0,"rejected_prediction_tokens":0}},"service_tier":"default","system_fingerprint":"fp_ad66631dec"}</t>
        </is>
      </c>
      <c r="K99" t="inlineStr">
        <is>
          <t>Bose QuietComfort Ultra White Wireless Noise Cancelling Headphones</t>
        </is>
      </c>
      <c r="L99" t="inlineStr">
        <is>
          <t>{"choices":[{"finish_reason":"stop","index":0,"logprobs":null,"message":{"annotations":[],"content":"Bose QuietComfort Ultra White Wireless Noise Cancelling Headphones offer premium comfort, ergonomic fit, immersive sound, and advanced ANC—perfect for travel, commuting, and everyday listening.","refusal":null,"role":"assistant"}}],"created":1777077953,"id":"chatcmpl-DYLRZRCOMstvTT7NFMzzDFoLc9WQY","model":"gpt-5-chat-latest","object":"chat.completion","service_tier":"default","system_fingerprint":"fp_ad66631dec","usage":{"completion_tokens":37,"completion_tokens_details":{"accepted_prediction_tokens":0,"audio_tokens":0,"reasoning_tokens":0,"rejected_prediction_tokens":0},"prompt_tokens":919,"prompt_tokens_details":{"audio_tokens":0,"cached_tokens":0},"total_tokens":956}}</t>
        </is>
      </c>
      <c r="M99" t="inlineStr">
        <is>
          <t>{"alt-svc":"h3=\":443\"; ma=2592000","apim-request-id":"df1e0b07-8a2d-46be-ace6-28965f182f8b","azureml-model-session":"d20260402083108-57a85543","cache-control":"no-cache","connection":"close","content-length":"783","content-security-policy":"frame-ancestors 'self'","content-type":"application/json","date":"Sat, 25 Apr 2026 00:45:54 GMT","server":"Caddy","skip-error-remapping":"true","strict-transport-security":"max-age=31536000; includeSubDomains; preload","via":"1.1 Caddy","x-api-request-id":"202604250845511210184824A8z41jZ","x-content-type-options":"nosniff","x-frame-options":"SAMEORIGIN","x-ms-client-request-id":"Not-Set","x-ms-is-spilled-over":"false","x-ms-rai-invoked":"true","x-ms-region":"East US 2","x-new-api-version":"0.5.1","x-oneapi-request-id":"202604250045507110003428268d9d6d11o4ItO","x-ratelimit-abusepenalty-active":"False","x-ratelimit-limit-requests":"50","x-ratelimit-limit-tokens":"50000","x-ratelimit-remaining-requests":"49","x-ratelimit-remaining-tokens":"-747","x-ratelimit-renewalperiod-requests":"60","x-ratelimit-renewalperiod-tokens":"60","x-ratelimit-reset-requests":"1200","x-ratelimit-reset-tokens":"60896","x-request-id":"0a854150-981b-41a8-918e-d21242370077"}</t>
        </is>
      </c>
      <c r="N99" t="inlineStr">
        <is>
          <t>Bose QuietComfort Ultra White Wireless Noise Cancelling Headphones offer premium comfort, ergonomic fit, immersive sound, and advanced ANC—perfect for travel, commuting, and everyday listening.</t>
        </is>
      </c>
      <c r="O99" t="inlineStr">
        <is>
          <t>{"id":"chatcmpl-DYLzbSP7dAggI4drXbsk1uirWRx8Q","object":"chat.completion","created":1777080063,"model":"gpt-5-chat-2025-10-03","choices":[{"index":0,"message":{"role":"assistant","content":"Bose,Headphon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99" t="inlineStr">
        <is>
          <t>Bose,Headphones,kakobuy,kakebuy2026,kekobuysheet,kakobuysheet2026,2026kakobuy,kakobuyspreadsheeet,kakobuylink,kakebuylist,Kakobuy MEGA Spreadsheet,kakobuysheetfind,kakobuysheetfind2026,2026kakobuysheetfind,kakobuysheet2026</t>
        </is>
      </c>
      <c r="Q99"/>
      <c r="R99" t="inlineStr">
        <is>
          <t>recvhju1CrbaBg</t>
        </is>
      </c>
      <c r="S99" t="inlineStr">
        <is>
          <t>bose-quietcomfort-ultra-white-recvhju1crbabg</t>
        </is>
      </c>
      <c r="T99"/>
      <c r="U99"/>
      <c r="V99"/>
      <c r="W99" t="inlineStr">
        <is>
          <t>{"choices":[{"finish_reason":"stop","index":0,"logprobs":null,"message":{"annotations":[],"content":"Bose：QuietComfort Ultra白色无线降噪耳机，采用优质复合材质与人体工学设计，佩戴舒适贴合，搭载主动降噪与高清音频技术，呈现沉浸式聆听体验。简约现代风格，男女皆宜，是旅行通勤及日常音乐爱好者的理想之选。","refusal":null,"role":"assistant"}}],"created":1777019841,"id":"chatcmpl-DY6KH0NbSyoKHP6bk1FkgsysmPWDz","model":"gpt-5-chat-latest","object":"chat.completion","service_tier":"default","system_fingerprint":"fp_ad66631dec","usage":{"completion_tokens":85,"completion_tokens_details":{"accepted_prediction_tokens":0,"audio_tokens":0,"reasoning_tokens":0,"rejected_prediction_tokens":0},"prompt_tokens":1301,"prompt_tokens_details":{"audio_tokens":0,"cached_tokens":0},"total_tokens":1386}}</t>
        </is>
      </c>
      <c r="X99" t="inlineStr">
        <is>
          <t>Bose：QuietComfort Ultra白色无线降噪耳机，采用优质复合材质与人体工学设计，佩戴舒适贴合，搭载主动降噪与高清音频技术，呈现沉浸式聆听体验。简约现代风格，男女皆宜，是旅行通勤及日常音乐爱好者的理想之选。</t>
        </is>
      </c>
    </row>
    <row r="100" ht="25.5" customHeight="1">
      <c r="A100">
        <v>1654975475</v>
      </c>
      <c r="B100">
        <v>7617521999</v>
      </c>
      <c r="C100" s="2" t="str">
        <f>=HYPERLINK("https://weidian.com/item.html?itemID=7617521999", "https://weidian.com/item.html?itemID=7617521999")</f>
        <v>https://weidian.com/item.html?itemID=7617521999</v>
      </c>
      <c r="D100"/>
      <c r="E100" s="2" t="str">
        <f>=HYPERLINK("https://si.geilicdn.com/pcitem2014204438-11dd0000019ac48b49aa0a2304aa_750_1000.jpg?w=640&amp;h=640", "https://si.geilicdn.com/pcitem2014204438-11dd0000019ac48b49aa0a2304aa_750_1000.jpg?w=640&amp;h=640")</f>
        <v>https://si.geilicdn.com/pcitem2014204438-11dd0000019ac48b49aa0a2304aa_750_1000.jpg?w=640&amp;h=640</v>
      </c>
      <c r="F100" t="inlineStr">
        <is>
          <t>Electronic</t>
        </is>
      </c>
      <c r="G100" t="inlineStr">
        <is>
          <t>Beats</t>
        </is>
      </c>
      <c r="H100">
        <v>360</v>
      </c>
      <c r="I100">
        <v>52.17</v>
      </c>
      <c r="J100" t="inlineStr">
        <is>
          <t>{"id":"chatcmpl-DYLkjXs62PPGahA3e8hzvGwJDJZeZ","object":"chat.completion","created":1777079141,"model":"gpt-5-chat-latest","choices":[{"index":0,"message":{"role":"assistant","content":"Beats Fit Pro Desert Orange Noise Cancelling Earbuds","refusal":null,"annotations":[]},"logprobs":null,"finish_reason":"stop"}],"usage":{"prompt_tokens":875,"completion_tokens":12,"total_tokens":887,"prompt_tokens_details":{"cached_tokens":0,"audio_tokens":0},"completion_tokens_details":{"reasoning_tokens":0,"audio_tokens":0,"accepted_prediction_tokens":0,"rejected_prediction_tokens":0}},"service_tier":"default","system_fingerprint":"fp_ad66631dec"}</t>
        </is>
      </c>
      <c r="K100" t="inlineStr">
        <is>
          <t>Beats Fit Pro Desert Orange Noise Cancelling Earbuds</t>
        </is>
      </c>
      <c r="L100" t="inlineStr">
        <is>
          <t>{"id":"chatcmpl-DYLb4X4W1Qf9fYFE8CfHH9dmx8P4Z","object":"chat.completion","created":1777078542,"model":"gpt-5-chat-latest","choices":[{"index":0,"message":{"role":"assistant","content":"ElectronicBeatsBeats Fit Pro Desert Orange True Wireless Earbuds feature matte texture, minimalist design, active noise cancelling, spatial audio, and ergonomic comfort for a modern premium look.","refusal":null,"annotations":[]},"logprobs":null,"finish_reason":"stop"}],"usage":{"prompt_tokens":907,"completion_tokens":37,"total_tokens":944,"prompt_tokens_details":{"cached_tokens":0,"audio_tokens":0},"completion_tokens_details":{"reasoning_tokens":0,"audio_tokens":0,"accepted_prediction_tokens":0,"rejected_prediction_tokens":0}},"service_tier":"default","system_fingerprint":"fp_ad66631dec"}</t>
        </is>
      </c>
      <c r="M10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ma=2592000","apim-request-id":"c1280138-2f5f-4a76-90fe-28a460344d5f","azureml-model-session":"d20260402084046-4209e968","cache-control":"no-cache, no-store, must-revalidate","connection":"close","content-length":"999","content-security-policy":"frame-ancestors 'self'","content-type":"application/json","date":"Sat, 25 Apr 2026 00:55:43 GMT","server":"Caddy","skip-error-remapping":"true","strict-transport-security":"max-age=31536000; includeSubDomains; preload","via":"1.1 Caddy","x-api-request-id":"20260425085540875872544RRGxYS14","x-content-type-options":"nosniff","x-frame-options":"SAMEORIGIN","x-ms-is-spilled-over":"false","x-ms-rai-invoked":"false","x-ms-region":"East US 2","x-new-api-version":"0.5.1","x-oneapi-request-id":"202604250055388798940608268d9d66myEqwnF","x-ratelimit-abusepenalty-active":"False","x-ratelimit-limit-requests":"4992","x-ratelimit-limit-tokens":"4992000","x-ratelimit-remaining-requests":"4991","x-ratelimit-remaining-tokens":"4990331","x-ratelimit-renewalperiod-requests":"60","x-ratelimit-renewalperiod-tokens":"60","x-ratelimit-reset-requests":"12","x-ratelimit-reset-tokens":"20","x-request-id":"929a0888-b918-4058-9fac-854b3dfa7de0"}</t>
        </is>
      </c>
      <c r="N100" t="inlineStr">
        <is>
          <t>ElectronicBeatsBeats Fit Pro Desert Orange True Wireless Earbuds feature matte texture, minimalist design, active noise cancelling, spatial audio, and ergonomic comfort for a modern premium look.</t>
        </is>
      </c>
      <c r="O100" t="inlineStr">
        <is>
          <t>{"id":"chatcmpl-DYLtgugZtZClxfEdlv7tzspWq1N2y","object":"chat.completion","created":1777079696,"model":"gpt-5-chat-2025-10-03","choices":[{"index":0,"message":{"role":"assistant","content":"Beats,earphones,kakobuy,kakebuy2026,kekobuysheet,kakobuysheet2026,2026kakobuy,kakobuyspreadsheeet,kakobuylink,kakebuylist,Kakobuy MEGA Spreadsheet,kakobuysheetfind,kakobuysheetfind2026,2026kakobuysheetfind,kakobuy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00" t="inlineStr">
        <is>
          <t>Beats,earphones,kakobuy,kakebuy2026,kekobuysheet,kakobuysheet2026,2026kakobuy,kakobuyspreadsheeet,kakobuylink,kakebuylist,Kakobuy MEGA Spreadsheet,kakobuysheetfind,kakobuysheetfind2026,2026kakobuysheetfind,kakobuyheet2026</t>
        </is>
      </c>
      <c r="Q100"/>
      <c r="R100" t="inlineStr">
        <is>
          <t>recvhju1Crj2ju</t>
        </is>
      </c>
      <c r="S100" t="inlineStr">
        <is>
          <t>beats-fit-pro-desert-orange-recvhju1crj2ju</t>
        </is>
      </c>
      <c r="T100"/>
      <c r="U100"/>
      <c r="V100"/>
      <c r="W100" t="inlineStr">
        <is>
          <t>{"choices":[{"finish_reason":"stop","index":0,"logprobs":null,"message":{"annotations":[],"content":"Beats：Fit Pro 沙漠橘色真无线降噪耳机，哑光质感外壳融合极简设计，灵感源于自然色调，支持主动降噪与空间音效，佩戴舒适贴合，男女皆宜，先锋现代风格尽显高端科技美学。","refusal":null,"role":"assistant"}}],"created":1777019615,"id":"chatcmpl-DY6GdaeNYNG41cm5lbUTl0VAyWL3L","model":"gpt-5-chat-latest","object":"chat.completion","service_tier":"default","system_fingerprint":"fp_ad66631dec","usage":{"completion_tokens":74,"completion_tokens_details":{"accepted_prediction_tokens":0,"audio_tokens":0,"reasoning_tokens":0,"rejected_prediction_tokens":0},"prompt_tokens":1299,"prompt_tokens_details":{"audio_tokens":0,"cached_tokens":1280},"total_tokens":1373}}</t>
        </is>
      </c>
      <c r="X100" t="inlineStr">
        <is>
          <t>Beats：Fit Pro 沙漠橘色真无线降噪耳机，哑光质感外壳融合极简设计，灵感源于自然色调，支持主动降噪与空间音效，佩戴舒适贴合，男女皆宜，先锋现代风格尽显高端科技美学。</t>
        </is>
      </c>
    </row>
    <row r="101" ht="25.5" customHeight="1">
      <c r="A101">
        <v>1654975475</v>
      </c>
      <c r="B101">
        <v>7617589747</v>
      </c>
      <c r="C101" s="2" t="str">
        <f>=HYPERLINK("https://weidian.com/item.html?itemID=7617589747", "https://weidian.com/item.html?itemID=7617589747")</f>
        <v>https://weidian.com/item.html?itemID=7617589747</v>
      </c>
      <c r="D101"/>
      <c r="E101" s="2" t="str">
        <f>=HYPERLINK("https://si.geilicdn.com/pcitem2014204438-3c4f0000019ac48c43e80a207569_1440_1920.jpg?w=640&amp;h=640", "https://si.geilicdn.com/pcitem2014204438-3c4f0000019ac48c43e80a207569_1440_1920.jpg?w=640&amp;h=640")</f>
        <v>https://si.geilicdn.com/pcitem2014204438-3c4f0000019ac48c43e80a207569_1440_1920.jpg?w=640&amp;h=640</v>
      </c>
      <c r="F101" t="inlineStr">
        <is>
          <t>Electronic</t>
        </is>
      </c>
      <c r="G101" t="inlineStr">
        <is>
          <t>Beats</t>
        </is>
      </c>
      <c r="H101">
        <v>370</v>
      </c>
      <c r="I101">
        <v>53.62</v>
      </c>
      <c r="J101" t="inlineStr">
        <is>
          <t>{"id":"chatcmpl-DYLnpybv1VMHHOtsLqDxTHhu9DbfP","object":"chat.completion","created":1777079333,"model":"gpt-5-chat-2025-10-03","choices":[{"index":0,"message":{"role":"assistant","content":"ElectronicBeats Beats Black Wireless Noise Cancelling Earbuds","refusal":null,"annotations":[]},"logprobs":null,"finish_reason":"stop"}],"usage":{"prompt_tokens":885,"completion_tokens":12,"total_tokens":897,"prompt_tokens_details":{"cached_tokens":0,"audio_tokens":0},"completion_tokens_details":{"reasoning_tokens":0,"audio_tokens":0,"accepted_prediction_tokens":0,"rejected_prediction_tokens":0}},"service_tier":"default","system_fingerprint":"fp_ad66631dec"}</t>
        </is>
      </c>
      <c r="K101" t="inlineStr">
        <is>
          <t>ElectronicBeats Beats Black Wireless Noise Cancelling Earbuds</t>
        </is>
      </c>
      <c r="L101" t="inlineStr">
        <is>
          <t>{"id":"chatcmpl-DYLPgiXrPMZx9iJ4UdoOZJrLLbnh5","object":"chat.completion","created":1777077836,"model":"gpt-5-chat-latest","choices":[{"index":0,"message":{"role":"assistant","content":"ElectronicBeatsBeats Black True Wireless Noise Cancelling Earbuds feature a matte finish, ergonomic fit, high-fidelity sound, active noise cancelling, and a portable charging case for travel and daily use.","refusal":null,"annotations":[]},"logprobs":null,"finish_reason":"stop"}],"usage":{"prompt_tokens":939,"completion_tokens":42,"total_tokens":981,"prompt_tokens_details":{"cached_tokens":0,"audio_tokens":0},"completion_tokens_details":{"reasoning_tokens":0,"audio_tokens":0,"accepted_prediction_tokens":0,"rejected_prediction_tokens":0}},"service_tier":"default","system_fingerprint":"fp_ad66631dec"}</t>
        </is>
      </c>
      <c r="M10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ma=2592000","apim-request-id":"7dcec861-ddd2-40bc-8bff-6c4e49793919","azureml-model-session":"d20260402075109-1fc5a0ec","cache-control":"no-cache, no-store, must-revalidate","connection":"close","content-length":"1009","content-security-policy":"frame-ancestors 'self'","content-type":"application/json","date":"Sat, 25 Apr 2026 00:43:58 GMT","server":"Caddy","skip-error-remapping":"true","strict-transport-security":"max-age=31536000; includeSubDomains; preload","via":"1.1 Caddy","x-api-request-id":"20260425084354699210997ZEDby3JK","x-content-type-options":"nosniff","x-frame-options":"SAMEORIGIN","x-ms-is-spilled-over":"false","x-ms-rai-invoked":"false","x-ms-region":"Sweden Central","x-new-api-version":"0.5.1","x-oneapi-request-id":"202604250043538812314828268d9d621ransLH","x-ratelimit-abusepenalty-active":"False","x-ratelimit-limit-requests":"4991","x-ratelimit-limit-tokens":"4991000","x-ratelimit-remaining-requests":"4990","x-ratelimit-remaining-tokens":"4989299","x-ratelimit-renewalperiod-requests":"60","x-ratelimit-renewalperiod-tokens":"60","x-ratelimit-reset-requests":"12","x-ratelimit-reset-tokens":"20","x-request-id":"970bd313-053c-4879-9097-57f56e8b3883"}</t>
        </is>
      </c>
      <c r="N101" t="inlineStr">
        <is>
          <t>ElectronicBeatsBeats Black True Wireless Noise Cancelling Earbuds feature a matte finish, ergonomic fit, high-fidelity sound, active noise cancelling, and a portable charging case for travel and daily use.</t>
        </is>
      </c>
      <c r="O101" t="inlineStr">
        <is>
          <t>{"id":"chatcmpl-DYLvD9uJt4spBEmkw4xhwTxAXlQJd","object":"chat.completion","created":1777079791,"model":"gpt-5-chat-2025-10-03","choices":[{"index":0,"message":{"role":"assistant","content":"Beats,earbud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01" t="inlineStr">
        <is>
          <t>Beats,earbuds,kakobuy,kakebuy2026,kekobuysheet,kakobuysheet2026,2026kakobuy,kakobuyspreadsheeet,kakobuylink,kakebuylist,Kakobuy MEGA Spreadsheet,kakobuysheetfind,kakobuysheetfind2026,2026kakobuysheetfind,kakobuysheet2026</t>
        </is>
      </c>
      <c r="Q101"/>
      <c r="R101" t="inlineStr">
        <is>
          <t>recvhju1Crs6dc</t>
        </is>
      </c>
      <c r="S101" t="inlineStr">
        <is>
          <t>electronicbeats-beats-black-wireless-noise-cancelling-earbuds-recvhju1crs6dc</t>
        </is>
      </c>
      <c r="T101"/>
      <c r="U101"/>
      <c r="V101"/>
      <c r="W101" t="inlineStr">
        <is>
          <t>{"id":"chatcmpl-DY6FZa0FXjyqL71pMmXyedGMwUIaD","object":"chat.completion","created":1777019549,"model":"gpt-5-chat-latest","choices":[{"index":0,"message":{"role":"assistant","content":"Beats：黑色降噪真无线蓝牙耳机，磨砂质感外壳搭配红色品牌标识，人体工学设计稳固贴合耳型，提供持久舒适佩戴体验。高保真音质与主动降噪技术结合，沉浸聆听无干扰。充电盒轻盈便携，适合男女日常通勤、运动与旅行使用，彰显现代简约科技美感。","refusal":null,"annotations":[]},"logprobs":null,"finish_reason":"stop"}],"usage":{"prompt_tokens":1303,"completion_tokens":104,"total_tokens":1407,"prompt_tokens_details":{"cached_tokens":0,"audio_tokens":0},"completion_tokens_details":{"reasoning_tokens":0,"audio_tokens":0,"accepted_prediction_tokens":0,"rejected_prediction_tokens":0}},"service_tier":"default","system_fingerprint":"fp_ad66631dec"}</t>
        </is>
      </c>
      <c r="X101" t="inlineStr">
        <is>
          <t>Beats：黑色降噪真无线蓝牙耳机，磨砂质感外壳搭配红色品牌标识，人体工学设计稳固贴合耳型，提供持久舒适佩戴体验。高保真音质与主动降噪技术结合，沉浸聆听无干扰。充电盒轻盈便携，适合男女日常通勤、运动与旅行使用，彰显现代简约科技美感。</t>
        </is>
      </c>
    </row>
    <row r="102" ht="25.5" customHeight="1">
      <c r="A102">
        <v>1654975475</v>
      </c>
      <c r="B102">
        <v>7620478388</v>
      </c>
      <c r="C102" s="2" t="str">
        <f>=HYPERLINK("https://weidian.com/item.html?itemID=7620478388", "https://weidian.com/item.html?itemID=7620478388")</f>
        <v>https://weidian.com/item.html?itemID=7620478388</v>
      </c>
      <c r="D102"/>
      <c r="E102" s="2" t="str">
        <f>=HYPERLINK("https://si.geilicdn.com/pcitem2014204438-279c0000019ac479f4cf0a20e273_1260_1652.jpg?w=640&amp;h=640", "https://si.geilicdn.com/pcitem2014204438-279c0000019ac479f4cf0a20e273_1260_1652.jpg?w=640&amp;h=640")</f>
        <v>https://si.geilicdn.com/pcitem2014204438-279c0000019ac479f4cf0a20e273_1260_1652.jpg?w=640&amp;h=640</v>
      </c>
      <c r="F102" t="inlineStr">
        <is>
          <t>Electronic</t>
        </is>
      </c>
      <c r="G102" t="inlineStr">
        <is>
          <t>Sony</t>
        </is>
      </c>
      <c r="H102">
        <v>900</v>
      </c>
      <c r="I102">
        <v>130.43</v>
      </c>
      <c r="J102" t="inlineStr">
        <is>
          <t>{"id":"chatcmpl-DYLkwTd9cEPJH1jy35d0eUhfMdfwo","object":"chat.completion","created":1777079154,"model":"gpt-5-chat-latest","choices":[{"index":0,"message":{"role":"assistant","content":"Sony WH-1000XM5 Black Wireless Noise Cancelling Headphones","refusal":null,"annotations":[]},"logprobs":null,"finish_reason":"stop"}],"usage":{"prompt_tokens":886,"completion_tokens":15,"total_tokens":901,"prompt_tokens_details":{"cached_tokens":0,"audio_tokens":0},"completion_tokens_details":{"reasoning_tokens":0,"audio_tokens":0,"accepted_prediction_tokens":0,"rejected_prediction_tokens":0}},"service_tier":"default","system_fingerprint":"fp_ad66631dec"}</t>
        </is>
      </c>
      <c r="K102" t="inlineStr">
        <is>
          <t>Sony WH-1000XM5 Black Wireless Noise Cancelling Headphones</t>
        </is>
      </c>
      <c r="L102" t="inlineStr">
        <is>
          <t>{"id":"chatcmpl-DYLZuxixtiwT4I71j9DfhMEl1YR02","object":"chat.completion","created":1777078470,"model":"gpt-5-chat-latest","choices":[{"index":0,"message":{"role":"assistant","content":"Sony WH-1000XM5 Black Wireless Noise Cancelling Headphones, lightweight leather earpads, superb sound and ANC, modern minimalist style, perfect for commuting, travel, comfort, and premium design.","refusal":null,"annotations":[]},"logprobs":null,"finish_reason":"stop"}],"usage":{"prompt_tokens":898,"completion_tokens":43,"total_tokens":941,"prompt_tokens_details":{"cached_tokens":0,"audio_tokens":0},"completion_tokens_details":{"reasoning_tokens":0,"audio_tokens":0,"accepted_prediction_tokens":0,"rejected_prediction_tokens":0}},"service_tier":"default","system_fingerprint":"fp_ad66631dec"}</t>
        </is>
      </c>
      <c r="M10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ma=2592000","apim-request-id":"3ac7624a-841d-4d13-9045-03ef1a00229e","azureml-model-session":"d20260402084046-4209e968","cache-control":"no-cache, no-store, must-revalidate","connection":"close","content-length":"999","content-security-policy":"frame-ancestors 'self'","content-type":"application/json","date":"Sat, 25 Apr 2026 00:54:32 GMT","server":"Caddy","skip-error-remapping":"true","strict-transport-security":"max-age=31536000; includeSubDomains; preload","via":"1.1 Caddy","x-api-request-id":"20260425085428426233594oHcFRfTf","x-content-type-options":"nosniff","x-frame-options":"SAMEORIGIN","x-ms-is-spilled-over":"false","x-ms-rai-invoked":"false","x-ms-region":"Sweden Central","x-new-api-version":"0.5.1","x-oneapi-request-id":"202604250054281073984808268d9d69zuS5JGw","x-ratelimit-abusepenalty-active":"False","x-ratelimit-limit-requests":"4991","x-ratelimit-limit-tokens":"4991000","x-ratelimit-remaining-requests":"4990","x-ratelimit-remaining-tokens":"4989340","x-ratelimit-renewalperiod-requests":"60","x-ratelimit-renewalperiod-tokens":"60","x-ratelimit-reset-requests":"12","x-ratelimit-reset-tokens":"19","x-request-id":"c3a11853-d1a9-4a42-b649-b63c185af22f"}</t>
        </is>
      </c>
      <c r="N102" t="inlineStr">
        <is>
          <t>Sony WH-1000XM5 Black Wireless Noise Cancelling Headphones, lightweight leather earpads, superb sound and ANC, modern minimalist style, perfect for commuting, travel, comfort, and premium design.</t>
        </is>
      </c>
      <c r="O102" t="inlineStr">
        <is>
          <t>{"id":"chatcmpl-DYLtJD3B4KRLD0mu9Ipfoo6nukGjX","object":"chat.completion","created":1777079673,"model":"gpt-5-chat-2025-10-03","choices":[{"index":0,"message":{"role":"assistant","content":"Sony,Headphones,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87,"total_tokens":868,"prompt_tokens_details":{"cached_tokens":0,"audio_tokens":0},"completion_tokens_details":{"reasoning_tokens":0,"audio_tokens":0,"accepted_prediction_tokens":0,"rejected_prediction_tokens":0}},"service_tier":"default","system_fingerprint":"fp_ad66631dec"}</t>
        </is>
      </c>
      <c r="P102" t="inlineStr">
        <is>
          <t>Sony,Headphones,kakobuy,kakebuy2026,kekobuysheet,kakobuysheet2026,2026kakobuy,kakobuyspreadsheeet,kakobuylink,kakebuylist,Kakobuy MEGA Spreadsheet,kakobuysheetfind,kakobuysheetfind2026,2026kakobuysheetfind,kakobuysheet2026</t>
        </is>
      </c>
      <c r="Q102"/>
      <c r="R102" t="inlineStr">
        <is>
          <t>recvhju1CrODl9</t>
        </is>
      </c>
      <c r="S102" t="inlineStr">
        <is>
          <t>sony-wh-1000xm5-black-wireless-noise-cancelling-headphones-recvhju1CrODl9</t>
        </is>
      </c>
      <c r="T102"/>
      <c r="U102"/>
      <c r="V102"/>
      <c r="W102" t="inlineStr">
        <is>
          <t>{"choices":[{"finish_reason":"stop","index":0,"logprobs":null,"message":{"annotations":[],"content":"Sony：WH-1000XM5 黑色无线降噪耳机，轻盈皮质耳垫设计，卓越主动降噪与音质表现，现代简约风格，男女皆宜，适合通勤与旅行，兼具舒适与高端质感。","refusal":null,"role":"assistant"}}],"created":1777019938,"id":"chatcmpl-DY6LqN0wNOUVP20qF4ZVNmecYjqYt","model":"gpt-5-chat-latest","object":"chat.completion","service_tier":"default","system_fingerprint":"fp_ad66631dec","usage":{"completion_tokens":65,"completion_tokens_details":{"accepted_prediction_tokens":0,"audio_tokens":0,"reasoning_tokens":0,"rejected_prediction_tokens":0},"prompt_tokens":1299,"prompt_tokens_details":{"audio_tokens":0,"cached_tokens":0},"total_tokens":1364}}</t>
        </is>
      </c>
      <c r="X102" t="inlineStr">
        <is>
          <t>Sony：WH-1000XM5 黑色无线降噪耳机，轻盈皮质耳垫设计，卓越主动降噪与音质表现，现代简约风格，男女皆宜，适合通勤与旅行，兼具舒适与高端质感。</t>
        </is>
      </c>
    </row>
    <row r="103" ht="25.5" customHeight="1">
      <c r="A103">
        <v>1654975475</v>
      </c>
      <c r="B103">
        <v>7617031385</v>
      </c>
      <c r="C103" s="2" t="str">
        <f>=HYPERLINK("https://weidian.com/item.html?itemID=7617031385", "https://weidian.com/item.html?itemID=7617031385")</f>
        <v>https://weidian.com/item.html?itemID=7617031385</v>
      </c>
      <c r="D103"/>
      <c r="E103" s="2" t="str">
        <f>=HYPERLINK("https://si.geilicdn.com/pcitem2014204438-36d20000019ac47a6cf60a23038e_750_1258.jpg?w=640&amp;h=640", "https://si.geilicdn.com/pcitem2014204438-36d20000019ac47a6cf60a23038e_750_1258.jpg?w=640&amp;h=640")</f>
        <v>https://si.geilicdn.com/pcitem2014204438-36d20000019ac47a6cf60a23038e_750_1258.jpg?w=640&amp;h=640</v>
      </c>
      <c r="F103" t="inlineStr">
        <is>
          <t>Electronic</t>
        </is>
      </c>
      <c r="G103" t="inlineStr">
        <is>
          <t>Bose</t>
        </is>
      </c>
      <c r="H103">
        <v>320</v>
      </c>
      <c r="I103">
        <v>46.38</v>
      </c>
      <c r="J103" t="inlineStr">
        <is>
          <t>{"id":"chatcmpl-DYLiToxKLIhAxahDpNwHLv5fP7wlN","object":"chat.completion","created":1777079001,"model":"gpt-5-chat-latest","choices":[{"index":0,"message":{"role":"assistant","content":"Bose Ultra Open Gray Silver Wireless Earbuds","refusal":null,"annotations":[]},"logprobs":null,"finish_reason":"stop"}],"usage":{"prompt_tokens":1159,"completion_tokens":10,"total_tokens":1169,"prompt_tokens_details":{"cached_tokens":0,"audio_tokens":0},"completion_tokens_details":{"reasoning_tokens":0,"audio_tokens":0,"accepted_prediction_tokens":0,"rejected_prediction_tokens":0}},"service_tier":"default","system_fingerprint":"fp_ad66631dec"}</t>
        </is>
      </c>
      <c r="K103" t="inlineStr">
        <is>
          <t>Bose Ultra Open Gray Silver Wireless Earbuds</t>
        </is>
      </c>
      <c r="L103" t="inlineStr">
        <is>
          <t>{"choices":[{"finish_reason":"stop","index":0,"logprobs":null,"message":{"annotations":[],"content":"ElectronicBoseBose Ultra Open Gray Silver Wireless Open-Ear Earbuds feature a lightweight metal design, curved ear hooks, open listening comfort, minimalist style, for daily music and commuting.","refusal":null,"role":"assistant"}}],"created":1777078580,"id":"chatcmpl-DYLbgdtQ5DbWthgrD4PFEFltQ1qjj","model":"gpt-5-chat-latest","object":"chat.completion","service_tier":"default","system_fingerprint":"fp_ad66631dec","usage":{"completion_tokens":39,"completion_tokens_details":{"accepted_prediction_tokens":0,"audio_tokens":0,"reasoning_tokens":0,"rejected_prediction_tokens":0},"prompt_tokens":1182,"prompt_tokens_details":{"audio_tokens":0,"cached_tokens":0},"total_tokens":1221}}</t>
        </is>
      </c>
      <c r="M103" t="inlineStr">
        <is>
          <t>{"alt-svc":"h3=\":443\"; ma=2592000","apim-request-id":"e830445e-d7e7-42a0-aaf1-956212e99a49","azureml-model-session":"d20260402083108-57a85543","cache-control":"no-cache","connection":"close","content-length":"784","content-security-policy":"frame-ancestors 'self'","content-type":"application/json","date":"Sat, 25 Apr 2026 00:56:21 GMT","server":"nginx","skip-error-remapping":"true","strict-transport-security":"max-age=31536000; includeSubDomains; preload","via":"1.1 Caddy, 1.1 Caddy","x-api-request-id":"20260425085618252670474gDPd1jkh","x-content-type-options":"nosniff","x-frame-options":"SAMEORIGIN","x-ms-client-request-id":"Not-Set","x-ms-is-spilled-over":"false","x-ms-rai-invoked":"true","x-ms-region":"East US 2","x-new-api-version":"0.5.1","x-oneapi-request-id":"202604250056181843597368268d9d6WOXH6cMZ","x-ratelimit-abusepenalty-active":"False","x-ratelimit-limit-requests":"50","x-ratelimit-limit-tokens":"50000","x-ratelimit-remaining-requests":"47","x-ratelimit-remaining-tokens":"-685","x-ratelimit-renewalperiod-requests":"60","x-ratelimit-renewalperiod-tokens":"60","x-ratelimit-reset-requests":"3341","x-ratelimit-reset-tokens":"60822","x-request-id":"f76bdfb7-30f2-4a20-9988-56afe7879585"}</t>
        </is>
      </c>
      <c r="N103" t="inlineStr">
        <is>
          <t>ElectronicBoseBose Ultra Open Gray Silver Wireless Open-Ear Earbuds feature a lightweight metal design, curved ear hooks, open listening comfort, minimalist style, for daily music and commuting.</t>
        </is>
      </c>
      <c r="O103" t="inlineStr">
        <is>
          <t>{"id":"chatcmpl-DYLwCC4ZPCPdbmQu8DIPW4TI1Bej6","object":"chat.completion","created":1777079852,"model":"gpt-5-chat-2025-10-03","choices":[{"index":0,"message":{"role":"assistant","content":"bose,earbuds,kakobuy,kakebuy2026,kekobuysheet,kakobuysheet2026,2026kakobuy,kakobuyspreadsheeet,kakobuylink,kakebuylist,Kakobuy MEGA Spreadsheet,kakobuysheetfind,kakobuysheetfind2026,2026kakobuysheetfind,kakobuysheet2026","refusal":null,"annotations":[]},"logprobs":null,"finish_reason":"stop"}],"usage":{"prompt_tokens":1062,"completion_tokens":88,"total_tokens":1150,"prompt_tokens_details":{"cached_tokens":0,"audio_tokens":0},"completion_tokens_details":{"reasoning_tokens":0,"audio_tokens":0,"accepted_prediction_tokens":0,"rejected_prediction_tokens":0}},"service_tier":"default","system_fingerprint":"fp_ad66631dec"}</t>
        </is>
      </c>
      <c r="P103" t="inlineStr">
        <is>
          <t>bose,earbuds,kakobuy,kakebuy2026,kekobuysheet,kakobuysheet2026,2026kakobuy,kakobuyspreadsheeet,kakobuylink,kakebuylist,Kakobuy MEGA Spreadsheet,kakobuysheetfind,kakobuysheetfind2026,2026kakobuysheetfind,kakobuysheet2026</t>
        </is>
      </c>
      <c r="Q103"/>
      <c r="R103" t="inlineStr">
        <is>
          <t>recvhju1CrEbTZ</t>
        </is>
      </c>
      <c r="S103" t="inlineStr">
        <is>
          <t>bose-ultra-open-gray-silver-recvhju1crEbtz</t>
        </is>
      </c>
      <c r="T103"/>
      <c r="U103"/>
      <c r="V103"/>
      <c r="W103" t="inlineStr">
        <is>
          <t>{"choices":[{"finish_reason":"stop","index":0,"logprobs":null,"message":{"annotations":[],"content":"Bose：Ultra Open灰银色真无线开放式耳机，采用轻质金属质感材质与弧形挂耳设计，开放聆听体验融合时尚极简风格，兼具舒适与科技感，男女皆宜，适合通勤与日常音乐享受。","refusal":null,"role":"assistant"}}],"created":1777019805,"id":"chatcmpl-DY6JheFsQSdeJxc6Etc6cwMbtXbsq","model":"gpt-5-chat-latest","object":"chat.completion","service_tier":"default","system_fingerprint":"fp_ad66631dec","usage":{"completion_tokens":69,"completion_tokens_details":{"accepted_prediction_tokens":0,"audio_tokens":0,"reasoning_tokens":0,"rejected_prediction_tokens":0},"prompt_tokens":1579,"prompt_tokens_details":{"audio_tokens":0,"cached_tokens":0},"total_tokens":1648}}</t>
        </is>
      </c>
      <c r="X103" t="inlineStr">
        <is>
          <t>Bose：Ultra Open灰银色真无线开放式耳机，采用轻质金属质感材质与弧形挂耳设计，开放聆听体验融合时尚极简风格，兼具舒适与科技感，男女皆宜，适合通勤与日常音乐享受。</t>
        </is>
      </c>
    </row>
    <row r="104" ht="25.5" customHeight="1">
      <c r="A104">
        <v>1654975475</v>
      </c>
      <c r="B104">
        <v>7620523970</v>
      </c>
      <c r="C104" s="2" t="str">
        <f>=HYPERLINK("https://weidian.com/item.html?itemID=7620523970", "https://weidian.com/item.html?itemID=7620523970")</f>
        <v>https://weidian.com/item.html?itemID=7620523970</v>
      </c>
      <c r="D104"/>
      <c r="E104" s="2" t="str">
        <f>=HYPERLINK("https://si.geilicdn.com/pcitem2014204438-31680000019ac47b644d0a2102c5_1440_1920.jpg?w=640&amp;h=640", "https://si.geilicdn.com/pcitem2014204438-31680000019ac47b644d0a2102c5_1440_1920.jpg?w=640&amp;h=640")</f>
        <v>https://si.geilicdn.com/pcitem2014204438-31680000019ac47b644d0a2102c5_1440_1920.jpg?w=640&amp;h=640</v>
      </c>
      <c r="F104" t="inlineStr">
        <is>
          <t>Electronic</t>
        </is>
      </c>
      <c r="G104" t="inlineStr">
        <is>
          <t>Bose</t>
        </is>
      </c>
      <c r="H104">
        <v>320</v>
      </c>
      <c r="I104">
        <v>46.38</v>
      </c>
      <c r="J104" t="inlineStr">
        <is>
          <t>{"id":"chatcmpl-DYLoOYVIYDqSCB27TmcMwn9DRUYqV","object":"chat.completion","created":1777079368,"model":"gpt-5-chat-2025-10-03","choices":[{"index":0,"message":{"role":"assistant","content":"Bose Lavender Wireless Noise Cancelling HiFi Earbuds","refusal":null,"annotations":[]},"logprobs":null,"finish_reason":"stop"}],"usage":{"prompt_tokens":875,"completion_tokens":12,"total_tokens":887,"prompt_tokens_details":{"cached_tokens":0,"audio_tokens":0},"completion_tokens_details":{"reasoning_tokens":0,"audio_tokens":0,"accepted_prediction_tokens":0,"rejected_prediction_tokens":0}},"service_tier":"default","system_fingerprint":"fp_ad66631dec"}</t>
        </is>
      </c>
      <c r="K104" t="inlineStr">
        <is>
          <t>Bose Lavender Wireless Noise Cancelling HiFi Earbuds</t>
        </is>
      </c>
      <c r="L104" t="inlineStr">
        <is>
          <t>{"id":"chatcmpl-DYLPaA3QBEzBq3z7XGR6zCnuMVasc","object":"chat.completion","created":1777077830,"model":"gpt-5-chat-latest","choices":[{"index":0,"message":{"role":"assistant","content":"ElectronicBoseBose Lavender Wireless Noise Cancelling Earbuds, lightweight matte finish, ergonomic arc design, futuristic minimalist style, hi-fi sound, stylish comfort for men and women.","refusal":null,"annotations":[]},"logprobs":null,"finish_reason":"stop"}],"usage":{"prompt_tokens":905,"completion_tokens":37,"total_tokens":942,"prompt_tokens_details":{"cached_tokens":0,"audio_tokens":0},"completion_tokens_details":{"reasoning_tokens":0,"audio_tokens":0,"accepted_prediction_tokens":0,"rejected_prediction_tokens":0}},"service_tier":"default","system_fingerprint":"fp_ad66631dec"}</t>
        </is>
      </c>
      <c r="M10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ma=2592000","apim-request-id":"76a6d504-784a-4f63-906c-58eef2cdbc90","azureml-model-session":"d20260405234249-f9874baf","cache-control":"no-cache, no-store, must-revalidate","connection":"close","content-length":"991","content-security-policy":"frame-ancestors 'self'","content-type":"application/json","date":"Sat, 25 Apr 2026 00:43:51 GMT","server":"Caddy","skip-error-remapping":"true","strict-transport-security":"max-age=31536000; includeSubDomains; preload","via":"1.1 Caddy","x-api-request-id":"2026042508434926147266tk3JZM8z","x-content-type-options":"nosniff","x-frame-options":"SAMEORIGIN","x-ms-is-spilled-over":"false","x-ms-rai-invoked":"false","x-ms-region":"East US 2","x-new-api-version":"0.5.1","x-oneapi-request-id":"202604250043452929530278268d9d6GEARwGeI","x-ratelimit-abusepenalty-active":"False","x-ratelimit-limit-requests":"4992","x-ratelimit-limit-tokens":"4992000","x-ratelimit-remaining-requests":"4991","x-ratelimit-remaining-tokens":"4990333","x-ratelimit-renewalperiod-requests":"60","x-ratelimit-renewalperiod-tokens":"60","x-ratelimit-reset-requests":"12","x-ratelimit-reset-tokens":"20","x-request-id":"f394fad2-f6c1-4d3a-8af8-700dc2f94541"}</t>
        </is>
      </c>
      <c r="N104" t="inlineStr">
        <is>
          <t>ElectronicBoseBose Lavender Wireless Noise Cancelling Earbuds, lightweight matte finish, ergonomic arc design, futuristic minimalist style, hi-fi sound, stylish comfort for men and women.</t>
        </is>
      </c>
      <c r="O104" t="inlineStr">
        <is>
          <t>{"id":"chatcmpl-DYLt8k9e8IjhIla8laO5YMqC9dorb","object":"chat.completion","created":1777079662,"model":"gpt-5-chat-2025-10-03","choices":[{"index":0,"message":{"role":"assistant","content":"Bose,earbud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04" t="inlineStr">
        <is>
          <t>Bose,earbuds,kakobuy,kakebuy2026,kekobuysheet,kakobuysheet2026,2026kakobuy,kakobuyspreadsheeet,kakobuylink,kakebuylist,Kakobuy MEGA Spreadsheet,kakobuysheetfind,kakobuysheetfind2026,2026kakobuysheetfind,kakobuysheet2026</t>
        </is>
      </c>
      <c r="Q104"/>
      <c r="R104" t="inlineStr">
        <is>
          <t>recvhju1CrsOVX</t>
        </is>
      </c>
      <c r="S104" t="inlineStr">
        <is>
          <t>bose-lavender-wireless-noise-cancelling-hifi-earbuds-recvhju1crsovx</t>
        </is>
      </c>
      <c r="T104"/>
      <c r="U104"/>
      <c r="V104"/>
      <c r="W104" t="inlineStr">
        <is>
          <t>{"id":"chatcmpl-DY6E55eHeurnrDq2RFEIfy6hG5Hgy","object":"chat.completion","created":1777019457,"model":"gpt-5-chat-latest","choices":[{"index":0,"message":{"role":"assistant","content":"Bose：淡紫色真无线降噪耳机，采用轻盈磨砂质感外壳，人体工学弧形设计贴合耳朵，呈现未来极简风格，男女皆宜，融合现代声学科技与高保真音质，兼具时尚与舒适。","refusal":null,"annotations":[]},"logprobs":null,"finish_reason":"stop"}],"usage":{"prompt_tokens":1301,"completion_tokens":71,"total_tokens":1372,"prompt_tokens_details":{"cached_tokens":0,"audio_tokens":0},"completion_tokens_details":{"reasoning_tokens":0,"audio_tokens":0,"accepted_prediction_tokens":0,"rejected_prediction_tokens":0}},"service_tier":"default","system_fingerprint":"fp_ad66631dec"}</t>
        </is>
      </c>
      <c r="X104" t="inlineStr">
        <is>
          <t>Bose：淡紫色真无线降噪耳机，采用轻盈磨砂质感外壳，人体工学弧形设计贴合耳朵，呈现未来极简风格，男女皆宜，融合现代声学科技与高保真音质，兼具时尚与舒适。</t>
        </is>
      </c>
    </row>
    <row r="105" ht="25.5" customHeight="1">
      <c r="A105">
        <v>1654975475</v>
      </c>
      <c r="B105">
        <v>7617518139</v>
      </c>
      <c r="C105" s="2" t="str">
        <f>=HYPERLINK("https://weidian.com/item.html?itemID=7617518139", "https://weidian.com/item.html?itemID=7617518139")</f>
        <v>https://weidian.com/item.html?itemID=7617518139</v>
      </c>
      <c r="D105"/>
      <c r="E105" s="2" t="str">
        <f>=HYPERLINK("https://si.geilicdn.com/pcitem2014204438-36ee0000019ac4807b260a81347d_1284_2778.jpg?w=640&amp;h=640", "https://si.geilicdn.com/pcitem2014204438-36ee0000019ac4807b260a81347d_1284_2778.jpg?w=640&amp;h=640")</f>
        <v>https://si.geilicdn.com/pcitem2014204438-36ee0000019ac4807b260a81347d_1284_2778.jpg?w=640&amp;h=640</v>
      </c>
      <c r="F105" t="inlineStr">
        <is>
          <t>Electronic</t>
        </is>
      </c>
      <c r="G105" t="inlineStr">
        <is>
          <t>Sony</t>
        </is>
      </c>
      <c r="H105">
        <v>270</v>
      </c>
      <c r="I105">
        <v>39.13</v>
      </c>
      <c r="J105" t="inlineStr">
        <is>
          <t>{"id":"chatcmpl-DYLhrhq3IpgTE6eCQYgCO9tTk6AH9","object":"chat.completion","created":1777078963,"model":"gpt-5-chat-latest","choices":[{"index":0,"message":{"role":"assistant","content":"Sony Gray Wireless Noise Cancelling Bluetooth Earbuds","refusal":null,"annotations":[]},"logprobs":null,"finish_reason":"stop"}],"usage":{"prompt_tokens":1156,"completion_tokens":10,"total_tokens":1166,"prompt_tokens_details":{"cached_tokens":0,"audio_tokens":0},"completion_tokens_details":{"reasoning_tokens":0,"audio_tokens":0,"accepted_prediction_tokens":0,"rejected_prediction_tokens":0}},"service_tier":"default","system_fingerprint":"fp_ad66631dec"}</t>
        </is>
      </c>
      <c r="K105" t="inlineStr">
        <is>
          <t>Sony Gray Wireless Noise Cancelling Bluetooth Earbuds</t>
        </is>
      </c>
      <c r="L105" t="inlineStr">
        <is>
          <t>{"id":"chatcmpl-DYLbC1O69i7ydKzuRPU0BQDJ6iXx0","object":"chat.completion","created":1777078550,"model":"gpt-5-chat-latest","choices":[{"index":0,"message":{"role":"assistant","content":"Sony Gray True Wireless Noise Cancelling Bluetooth Earbuds with glossy metallic finish, smart touch control, and HD sound. Sleek design for men and women, blending modern tech and style.","refusal":null,"annotations":[]},"logprobs":null,"finish_reason":"stop"}],"usage":{"prompt_tokens":1177,"completion_tokens":38,"total_tokens":1215,"prompt_tokens_details":{"cached_tokens":0,"audio_tokens":0},"completion_tokens_details":{"reasoning_tokens":0,"audio_tokens":0,"accepted_prediction_tokens":0,"rejected_prediction_tokens":0}},"service_tier":"default","system_fingerprint":"fp_ad66631dec"}</t>
        </is>
      </c>
      <c r="M10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ma=2592000","apim-request-id":"93564ff1-8240-4b84-b7bf-a8925df61897","azureml-model-session":"d20260402083108-57a85543","cache-control":"no-cache, no-store, must-revalidate","connection":"close","content-length":"992","content-security-policy":"frame-ancestors 'self'","content-type":"application/json","date":"Sat, 25 Apr 2026 00:55:52 GMT","server":"nginx","skip-error-remapping":"true","strict-transport-security":"max-age=31536000; includeSubDomains; preload","via":"1.1 Caddy, 1.1 Caddy","x-api-request-id":"202604250855486427088439qJ4Sepf","x-content-type-options":"nosniff","x-frame-options":"SAMEORIGIN","x-ms-is-spilled-over":"false","x-ms-rai-invoked":"false","x-ms-region":"Sweden Central","x-new-api-version":"0.5.1","x-oneapi-request-id":"202604250055479517321208268d9d6fKtMFP6y","x-ratelimit-abusepenalty-active":"False","x-ratelimit-limit-requests":"4991","x-ratelimit-limit-tokens":"4991000","x-ratelimit-remaining-requests":"4990","x-ratelimit-remaining-tokens":"4989060","x-ratelimit-renewalperiod-requests":"60","x-ratelimit-renewalperiod-tokens":"60","x-ratelimit-reset-requests":"12","x-ratelimit-reset-tokens":"23","x-request-id":"4be9f3a8-0153-45a9-a72e-c5e40c7303ab"}</t>
        </is>
      </c>
      <c r="N105" t="inlineStr">
        <is>
          <t>Sony Gray True Wireless Noise Cancelling Bluetooth Earbuds with glossy metallic finish, smart touch control, and HD sound. Sleek design for men and women, blending modern tech and style.</t>
        </is>
      </c>
      <c r="O105" t="inlineStr">
        <is>
          <t>{"id":"chatcmpl-DYLtMQCn6orTce6Bif4mYMflXTtqQ","object":"chat.completion","created":1777079676,"model":"gpt-5-chat-2025-10-03","choices":[{"index":0,"message":{"role":"assistant","content":"Sony,earbuds,kakobuy,kakebuy2026,kekobuysheet,kakobuysheet2026,2026kakobuy,kakobuyspreadsheeet,kakobuylink,kakebuylist,Kakobuy MEGA Spreadsheet,kakobuysheetfind,kakobuysheetfind2026,2026kakobuysheetfind,kakobuysheet2026","refusal":null,"annotations":[]},"logprobs":null,"finish_reason":"stop"}],"usage":{"prompt_tokens":1061,"completion_tokens":87,"total_tokens":1148,"prompt_tokens_details":{"cached_tokens":0,"audio_tokens":0},"completion_tokens_details":{"reasoning_tokens":0,"audio_tokens":0,"accepted_prediction_tokens":0,"rejected_prediction_tokens":0}},"service_tier":"default","system_fingerprint":"fp_ad66631dec"}</t>
        </is>
      </c>
      <c r="P105" t="inlineStr">
        <is>
          <t>Sony,earbuds,kakobuy,kakebuy2026,kekobuysheet,kakobuysheet2026,2026kakobuy,kakobuyspreadsheeet,kakobuylink,kakebuylist,Kakobuy MEGA Spreadsheet,kakobuysheetfind,kakobuysheetfind2026,2026kakobuysheetfind,kakobuysheet2026</t>
        </is>
      </c>
      <c r="Q105"/>
      <c r="R105" t="inlineStr">
        <is>
          <t>recvhju1CrIe9h</t>
        </is>
      </c>
      <c r="S105" t="inlineStr">
        <is>
          <t>sony-gray-wireless-noise-cancelling-bluetooth-earbuds-recvhju1crie9h</t>
        </is>
      </c>
      <c r="T105"/>
      <c r="U105"/>
      <c r="V105"/>
      <c r="W105" t="inlineStr">
        <is>
          <t>{"id":"chatcmpl-DY6KDHS71vshIi0D0hq84ksMULoPe","object":"chat.completion","created":1777019837,"model":"gpt-5-chat-latest","choices":[{"index":0,"message":{"role":"assistant","content":"Sony：灰色真无线蓝牙降噪耳机，采用高光金属质感外壳，简约流线设计，搭载智能触控与高清音质技术，男女皆宜，现代科技风格，尽显时尚品味与卓越音效体验。","refusal":null,"annotations":[]},"logprobs":null,"finish_reason":"stop"}],"usage":{"prompt_tokens":1577,"completion_tokens":65,"total_tokens":1642,"prompt_tokens_details":{"cached_tokens":0,"audio_tokens":0},"completion_tokens_details":{"reasoning_tokens":0,"audio_tokens":0,"accepted_prediction_tokens":0,"rejected_prediction_tokens":0}},"service_tier":"default","system_fingerprint":"fp_ad66631dec"}</t>
        </is>
      </c>
      <c r="X105" t="inlineStr">
        <is>
          <t>Sony：灰色真无线蓝牙降噪耳机，采用高光金属质感外壳，简约流线设计，搭载智能触控与高清音质技术，男女皆宜，现代科技风格，尽显时尚品味与卓越音效体验。</t>
        </is>
      </c>
    </row>
    <row r="106" ht="25.5" customHeight="1">
      <c r="A106">
        <v>1654975475</v>
      </c>
      <c r="B106">
        <v>7620514088</v>
      </c>
      <c r="C106" s="2" t="str">
        <f>=HYPERLINK("https://weidian.com/item.html?itemID=7620514088", "https://weidian.com/item.html?itemID=7620514088")</f>
        <v>https://weidian.com/item.html?itemID=7620514088</v>
      </c>
      <c r="D106"/>
      <c r="E106" s="2" t="str">
        <f>=HYPERLINK("https://si.geilicdn.com/pcitem2014204438-37290000019ac481516e0a23047e_1284_2778.jpg?w=640&amp;h=640", "https://si.geilicdn.com/pcitem2014204438-37290000019ac481516e0a23047e_1284_2778.jpg?w=640&amp;h=640")</f>
        <v>https://si.geilicdn.com/pcitem2014204438-37290000019ac481516e0a23047e_1284_2778.jpg?w=640&amp;h=640</v>
      </c>
      <c r="F106" t="inlineStr">
        <is>
          <t>Electronic</t>
        </is>
      </c>
      <c r="G106" t="inlineStr">
        <is>
          <t>Sony</t>
        </is>
      </c>
      <c r="H106">
        <v>270</v>
      </c>
      <c r="I106">
        <v>39.13</v>
      </c>
      <c r="J106" t="inlineStr">
        <is>
          <t>{"id":"chatcmpl-DYLlN1LxooFyAJ2FhAcxmh7vL5Zad","object":"chat.completion","created":1777079181,"model":"gpt-5-chat-latest","choices":[{"index":0,"message":{"role":"assistant","content":"Sony Wireless Bluetooth Earbuds Noise Canceling HD Sound","refusal":null,"annotations":[]},"logprobs":null,"finish_reason":"stop"}],"usage":{"prompt_tokens":1164,"completion_tokens":11,"total_tokens":1175,"prompt_tokens_details":{"cached_tokens":0,"audio_tokens":0},"completion_tokens_details":{"reasoning_tokens":0,"audio_tokens":0,"accepted_prediction_tokens":0,"rejected_prediction_tokens":0}},"service_tier":"default","system_fingerprint":"fp_ad66631dec"}</t>
        </is>
      </c>
      <c r="K106" t="inlineStr">
        <is>
          <t>Sony Wireless Bluetooth Earbuds Noise Canceling HD Sound</t>
        </is>
      </c>
      <c r="L106" t="inlineStr">
        <is>
          <t>{"id":"chatcmpl-DYLaZe5sTKGbPukWMqJAl6VYjOQqR","object":"chat.completion","created":1777078511,"model":"gpt-5-chat-latest","choices":[{"index":0,"message":{"role":"assistant","content":"Sony True Wireless Bluetooth Earbuds – sleek black metallic design with glossy charging case, featuring active noise canceling, HD sound, long battery life, and touch controls for commute, sport, or daily use.","refusal":null,"annotations":[]},"logprobs":null,"finish_reason":"stop"}],"usage":{"prompt_tokens":1186,"completion_tokens":42,"total_tokens":1228,"prompt_tokens_details":{"cached_tokens":0,"audio_tokens":0},"completion_tokens_details":{"reasoning_tokens":0,"audio_tokens":0,"accepted_prediction_tokens":0,"rejected_prediction_tokens":0}},"service_tier":"default","system_fingerprint":"fp_ad66631dec"}</t>
        </is>
      </c>
      <c r="M10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ma=2592000","apim-request-id":"9569d6f8-85a0-412f-a843-f195166b111f","azureml-model-session":"d20260405234249-f9874baf","cache-control":"no-cache, no-store, must-revalidate","connection":"close","content-length":"1017","content-security-policy":"frame-ancestors 'self'","content-type":"application/json","date":"Sat, 25 Apr 2026 00:55:14 GMT","server":"Caddy","skip-error-remapping":"true","strict-transport-security":"max-age=31536000; includeSubDomains; preload","via":"1.1 Caddy","x-api-request-id":"20260425085509550748575r0YImCpp","x-content-type-options":"nosniff","x-frame-options":"SAMEORIGIN","x-ms-is-spilled-over":"false","x-ms-rai-invoked":"false","x-ms-region":"Sweden Central","x-new-api-version":"0.5.1","x-oneapi-request-id":"202604250055065225589478268d9d6fqMkaB6B","x-ratelimit-abusepenalty-active":"False","x-ratelimit-limit-requests":"4991","x-ratelimit-limit-tokens":"4991000","x-ratelimit-remaining-requests":"4990","x-ratelimit-remaining-tokens":"4989051","x-ratelimit-renewalperiod-requests":"60","x-ratelimit-renewalperiod-tokens":"60","x-ratelimit-reset-requests":"12","x-ratelimit-reset-tokens":"23","x-request-id":"1095f122-aea4-4599-b562-68e357b949ea"}</t>
        </is>
      </c>
      <c r="N106" t="inlineStr">
        <is>
          <t>Sony True Wireless Bluetooth Earbuds – sleek black metallic design with glossy charging case, featuring active noise canceling, HD sound, long battery life, and touch controls for commute, sport, or daily use.</t>
        </is>
      </c>
      <c r="O106" t="inlineStr">
        <is>
          <t>{"id":"chatcmpl-DYLvNzKs3aYlRoN42aUDfPgdlFJ3q","object":"chat.completion","created":1777079801,"model":"gpt-5-chat-2025-10-03","choices":[{"index":0,"message":{"role":"assistant","content":"Sony,earbuds,kakobuy,kakebuy2026,kekobuysheet,kakobuysheet2026,2026kakobuy,kakobuyspreadsheeet,kakobuylink,kakebuylist,Kakobuy MEGA Spreadsheet,kakobuysheetfind,kakobuysheetfind2026,2026kakobuysheetfind,kakobuysheet2026","refusal":null,"annotations":[]},"logprobs":null,"finish_reason":"stop"}],"usage":{"prompt_tokens":1061,"completion_tokens":87,"total_tokens":1148,"prompt_tokens_details":{"cached_tokens":0,"audio_tokens":0},"completion_tokens_details":{"reasoning_tokens":0,"audio_tokens":0,"accepted_prediction_tokens":0,"rejected_prediction_tokens":0}},"service_tier":"default","system_fingerprint":"fp_ad66631dec"}</t>
        </is>
      </c>
      <c r="P106" t="inlineStr">
        <is>
          <t>Sony,earbuds,kakobuy,kakebuy2026,kekobuysheet,kakobuysheet2026,2026kakobuy,kakobuyspreadsheeet,kakobuylink,kakebuylist,Kakobuy MEGA Spreadsheet,kakobuysheetfind,kakobuysheetfind2026,2026kakobuysheetfind,kakobuysheet2026</t>
        </is>
      </c>
      <c r="Q106"/>
      <c r="R106" t="inlineStr">
        <is>
          <t>recvhju1CrblMj</t>
        </is>
      </c>
      <c r="S106" t="inlineStr">
        <is>
          <t>sony-wireless-bluetooth-earbuds-noise-canceling-hd-sound-recvhju1crblm</t>
        </is>
      </c>
      <c r="T106"/>
      <c r="U106"/>
      <c r="V106"/>
      <c r="W106" t="inlineStr">
        <is>
          <t>{"choices":[{"finish_reason":"stop","index":0,"logprobs":null,"message":{"annotations":[],"content":"Sony：黑色真无线蓝牙耳机，金属质感机身搭配亮面充电盒，简约现代设计，配备主动降噪与高清音质，支持长效续航与触控操作，男女皆宜，展现时尚科技美学，适合通勤、运动与日常使用。","refusal":null,"role":"assistant"}}],"created":1777019756,"id":"chatcmpl-DY6Iultjgm8EIcd7RXUzsjV5EY2gK","model":"gpt-5-chat-latest","object":"chat.completion","service_tier":"default","system_fingerprint":"fp_ad66631dec","usage":{"completion_tokens":75,"completion_tokens_details":{"accepted_prediction_tokens":0,"audio_tokens":0,"reasoning_tokens":0,"rejected_prediction_tokens":0},"prompt_tokens":1575,"prompt_tokens_details":{"audio_tokens":0,"cached_tokens":0},"total_tokens":1650}}</t>
        </is>
      </c>
      <c r="X106" t="inlineStr">
        <is>
          <t>Sony：黑色真无线蓝牙耳机，金属质感机身搭配亮面充电盒，简约现代设计，配备主动降噪与高清音质，支持长效续航与触控操作，男女皆宜，展现时尚科技美学，适合通勤、运动与日常使用。</t>
        </is>
      </c>
    </row>
    <row r="107" ht="25.5" customHeight="1">
      <c r="A107">
        <v>1654975475</v>
      </c>
      <c r="B107">
        <v>7617569811</v>
      </c>
      <c r="C107" s="2" t="str">
        <f>=HYPERLINK("https://weidian.com/item.html?itemID=7617569811", "https://weidian.com/item.html?itemID=7617569811")</f>
        <v>https://weidian.com/item.html?itemID=7617569811</v>
      </c>
      <c r="D107"/>
      <c r="E107" s="2" t="str">
        <f>=HYPERLINK("https://si.geilicdn.com/pcitem2014204438-3df60000019ac4828d7b0a23041a_1440_1920.jpg?w=640&amp;h=640", "https://si.geilicdn.com/pcitem2014204438-3df60000019ac4828d7b0a23041a_1440_1920.jpg?w=640&amp;h=640")</f>
        <v>https://si.geilicdn.com/pcitem2014204438-3df60000019ac4828d7b0a23041a_1440_1920.jpg?w=640&amp;h=640</v>
      </c>
      <c r="F107" t="inlineStr">
        <is>
          <t>Electronic</t>
        </is>
      </c>
      <c r="G107" t="inlineStr">
        <is>
          <t>Beats</t>
        </is>
      </c>
      <c r="H107">
        <v>398</v>
      </c>
      <c r="I107">
        <v>57.68</v>
      </c>
      <c r="J107" t="inlineStr">
        <is>
          <t>{"id":"chatcmpl-DYLhzmKeTKRWbbVLUtsJ0Vo10JTYJ","object":"chat.completion","created":1777078971,"model":"gpt-5-chat-latest","choices":[{"index":0,"message":{"role":"assistant","content":"Beats Studio Buds+ Pearl White Wireless Earbuds","refusal":null,"annotations":[]},"logprobs":null,"finish_reason":"stop"}],"usage":{"prompt_tokens":873,"completion_tokens":12,"total_tokens":885,"prompt_tokens_details":{"cached_tokens":0,"audio_tokens":0},"completion_tokens_details":{"reasoning_tokens":0,"audio_tokens":0,"accepted_prediction_tokens":0,"rejected_prediction_tokens":0}},"service_tier":"default","system_fingerprint":"fp_ad66631dec"}</t>
        </is>
      </c>
      <c r="K107" t="inlineStr">
        <is>
          <t>Beats Studio Buds+ Pearl White Wireless Earbuds</t>
        </is>
      </c>
      <c r="L107" t="inlineStr">
        <is>
          <t>{"choices":[{"finish_reason":"stop","index":0,"logprobs":null,"message":{"annotations":[],"content":"Beats Studio Buds+ Pearl White true wireless earbuds with active noise cancelling, transparency mode, and lightweight modern design for high-fidelity sound and stylish, portable everyday use.","refusal":null,"role":"assistant"}}],"created":1777077863,"id":"chatcmpl-DYLQ7IAteC70GByut3XFVr4jHOUB1","model":"gpt-5-chat-latest","object":"chat.completion","service_tier":"default","system_fingerprint":"fp_ad66631dec","usage":{"completion_tokens":36,"completion_tokens_details":{"accepted_prediction_tokens":0,"audio_tokens":0,"reasoning_tokens":0,"rejected_prediction_tokens":0},"prompt_tokens":893,"prompt_tokens_details":{"audio_tokens":0,"cached_tokens":0},"total_tokens":929}}</t>
        </is>
      </c>
      <c r="M107" t="inlineStr">
        <is>
          <t>{"alt-svc":"h3=\":443\"; ma=2592000","apim-request-id":"bfc723c4-32b2-43ee-af84-6f52455130cc","azureml-model-session":"d20260402083108-57a85543","cache-control":"no-cache","connection":"close","content-length":"779","content-security-policy":"frame-ancestors 'self'","content-type":"application/json","date":"Sat, 25 Apr 2026 00:44:25 GMT","server":"Caddy","skip-error-remapping":"true","strict-transport-security":"max-age=31536000; includeSubDomains; preload","via":"1.1 Caddy","x-api-request-id":"2026042508442126068636iltVz4Wx","x-content-type-options":"nosniff","x-frame-options":"SAMEORIGIN","x-ms-client-request-id":"Not-Set","x-ms-is-spilled-over":"false","x-ms-rai-invoked":"true","x-ms-region":"East US 2","x-new-api-version":"0.5.1","x-oneapi-request-id":"202604250044185636386498268d9d68kn5IXdE","x-ratelimit-abusepenalty-active":"False","x-ratelimit-limit-requests":"50","x-ratelimit-limit-tokens":"50000","x-ratelimit-remaining-requests":"49","x-ratelimit-remaining-tokens":"-823","x-ratelimit-renewalperiod-requests":"60","x-ratelimit-renewalperiod-tokens":"60","x-ratelimit-reset-requests":"1200","x-ratelimit-reset-tokens":"60987","x-request-id":"1202ffb3-6089-4552-b544-fc4cf096274b"}</t>
        </is>
      </c>
      <c r="N107" t="inlineStr">
        <is>
          <t>Beats Studio Buds+ Pearl White true wireless earbuds with active noise cancelling, transparency mode, and lightweight modern design for high-fidelity sound and stylish, portable everyday use.</t>
        </is>
      </c>
      <c r="O107" t="inlineStr">
        <is>
          <t>{"id":"chatcmpl-DYM1SfVeK41dVWXAoXfZyr0aGcwOS","object":"chat.completion","created":1777080178,"model":"gpt-5-chat-2025-10-03","choices":[{"index":0,"message":{"role":"assistant","content":"Beats,earbud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07" t="inlineStr">
        <is>
          <t>Beats,earbuds,kakobuy,kakebuy2026,kekobuysheet,kakobuysheet2026,2026kakobuy,kakobuyspreadsheeet,kakobuylink,kakebuylist,Kakobuy MEGA Spreadsheet,kakobuysheetfind,kakobuysheetfind2026,2026kakobuysheetfind,kakobuysheet2026</t>
        </is>
      </c>
      <c r="Q107"/>
      <c r="R107" t="inlineStr">
        <is>
          <t>recvhju1Cr7Thq</t>
        </is>
      </c>
      <c r="S107" t="inlineStr">
        <is>
          <t>beats-studio-buds-pearl-white-recvhju1cr7thq</t>
        </is>
      </c>
      <c r="T107"/>
      <c r="U107"/>
      <c r="V107"/>
      <c r="W107" t="inlineStr">
        <is>
          <t>{"choices":[{"finish_reason":"stop","index":0,"logprobs":null,"message":{"annotations":[],"content":"Beats：Studio Buds+珍珠白真无线降噪耳机，轻质材质搭载主动降噪与通透模式，现代极简设计，男女皆宜，专为高保真音效与时尚便携生活打造。","refusal":null,"role":"assistant"}}],"created":1777019837,"id":"chatcmpl-DY6KDGFJxmSBJOUhSjUWx0mC4K6E1","model":"gpt-5-chat-latest","object":"chat.completion","service_tier":"default","system_fingerprint":"fp_ad66631dec","usage":{"completion_tokens":58,"completion_tokens_details":{"accepted_prediction_tokens":0,"audio_tokens":0,"reasoning_tokens":0,"rejected_prediction_tokens":0},"prompt_tokens":1303,"prompt_tokens_details":{"audio_tokens":0,"cached_tokens":0},"total_tokens":1361}}</t>
        </is>
      </c>
      <c r="X107" t="inlineStr">
        <is>
          <t>Beats：Studio Buds+珍珠白真无线降噪耳机，轻质材质搭载主动降噪与通透模式，现代极简设计，男女皆宜，专为高保真音效与时尚便携生活打造。</t>
        </is>
      </c>
    </row>
    <row r="108" ht="25.5" customHeight="1">
      <c r="A108">
        <v>1654975475</v>
      </c>
      <c r="B108">
        <v>7617459547</v>
      </c>
      <c r="C108" s="2" t="str">
        <f>=HYPERLINK("https://weidian.com/item.html?itemID=7617459547", "https://weidian.com/item.html?itemID=7617459547")</f>
        <v>https://weidian.com/item.html?itemID=7617459547</v>
      </c>
      <c r="D108"/>
      <c r="E108" s="2" t="str">
        <f>=HYPERLINK("https://si.geilicdn.com/pcitem2014204438-0fae0000019ac483a67b0a20e2c5_1440_1440.jpg?w=640&amp;h=640", "https://si.geilicdn.com/pcitem2014204438-0fae0000019ac483a67b0a20e2c5_1440_1440.jpg?w=640&amp;h=640")</f>
        <v>https://si.geilicdn.com/pcitem2014204438-0fae0000019ac483a67b0a20e2c5_1440_1440.jpg?w=640&amp;h=640</v>
      </c>
      <c r="F108" t="inlineStr">
        <is>
          <t>Electronic</t>
        </is>
      </c>
      <c r="G108" t="inlineStr">
        <is>
          <t xml:space="preserve"> Apple</t>
        </is>
      </c>
      <c r="H108">
        <v>396</v>
      </c>
      <c r="I108">
        <v>57.391304347826</v>
      </c>
      <c r="J108" t="inlineStr">
        <is>
          <t>{"id":"chatcmpl-DYLhQCoyzJIqaYgJRc39yCNlzYdFL","object":"chat.completion","created":1777078936,"model":"gpt-5-chat-latest","choices":[{"index":0,"message":{"role":"assistant","content":"Apple AirPods White Wireless Bluetooth Noise Cancelling Earphones","refusal":null,"annotations":[]},"logprobs":null,"finish_reason":"stop"}],"usage":{"prompt_tokens":876,"completion_tokens":12,"total_tokens":888,"prompt_tokens_details":{"cached_tokens":0,"audio_tokens":0},"completion_tokens_details":{"reasoning_tokens":0,"audio_tokens":0,"accepted_prediction_tokens":0,"rejected_prediction_tokens":0}},"service_tier":"default","system_fingerprint":"fp_ad66631dec"}</t>
        </is>
      </c>
      <c r="K108" t="inlineStr">
        <is>
          <t>Apple AirPods White Wireless Bluetooth Noise Cancelling Earphones</t>
        </is>
      </c>
      <c r="L108" t="inlineStr">
        <is>
          <t>{"id":"chatcmpl-DYLRUlZCeF96e8CxmpUMOGR3eQ2Wj","object":"chat.completion","created":1777077948,"model":"gpt-5-chat-latest","choices":[{"index":0,"message":{"role":"assistant","content":"Apple AirPods White Wireless Bluetooth Earphones, lightweight streamlined design, high-fidelity sound, active noise cancellation, easy touch control, compatible with iPhone and more, modern minimal style.","refusal":null,"annotations":[]},"logprobs":null,"finish_reason":"stop"}],"usage":{"prompt_tokens":895,"completion_tokens":38,"total_tokens":933,"prompt_tokens_details":{"cached_tokens":0,"audio_tokens":0},"completion_tokens_details":{"reasoning_tokens":0,"audio_tokens":0,"accepted_prediction_tokens":0,"rejected_prediction_tokens":0}},"service_tier":"default","system_fingerprint":"fp_ad66631dec"}</t>
        </is>
      </c>
      <c r="M10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ma=2592000","apim-request-id":"21cfb8f4-8c6e-4363-ab19-b53af89c51a8","azureml-model-session":"d20260402083108-57a85543","cache-control":"no-cache, no-store, must-revalidate","connection":"close","content-length":"1008","content-security-policy":"frame-ancestors 'self'","content-type":"application/json","date":"Sat, 25 Apr 2026 00:45:50 GMT","server":"nginx","skip-error-remapping":"true","strict-transport-security":"max-age=31536000; includeSubDomains; preload","via":"1.1 Caddy, 1.1 Caddy","x-api-request-id":"20260425084547220822144Hs36NLJa","x-content-type-options":"nosniff","x-frame-options":"SAMEORIGIN","x-ms-is-spilled-over":"false","x-ms-rai-invoked":"false","x-ms-region":"Sweden Central","x-new-api-version":"0.5.1","x-oneapi-request-id":"202604250045454066557838268d9d6gARjGPUD","x-ratelimit-abusepenalty-active":"False","x-ratelimit-limit-requests":"4991","x-ratelimit-limit-tokens":"4991000","x-ratelimit-remaining-requests":"4990","x-ratelimit-remaining-tokens":"4989343","x-ratelimit-renewalperiod-requests":"60","x-ratelimit-renewalperiod-tokens":"60","x-ratelimit-reset-requests":"12","x-ratelimit-reset-tokens":"19","x-request-id":"65a76f75-6eb5-442e-847e-60abbddc52df"}</t>
        </is>
      </c>
      <c r="N108" t="inlineStr">
        <is>
          <t>Apple AirPods White Wireless Bluetooth Earphones, lightweight streamlined design, high-fidelity sound, active noise cancellation, easy touch control, compatible with iPhone and more, modern minimal style.</t>
        </is>
      </c>
      <c r="O108" t="inlineStr">
        <is>
          <t>{"id":"chatcmpl-DYLzA4UBZFElMWlLLoOZryOHFdyAw","object":"chat.completion","created":1777080036,"model":"gpt-5-chat-2025-10-03","choices":[{"index":0,"message":{"role":"assistant","content":"Apple, Earphones,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781,"completion_tokens":91,"total_tokens":872,"prompt_tokens_details":{"cached_tokens":0,"audio_tokens":0},"completion_tokens_details":{"reasoning_tokens":0,"audio_tokens":0,"accepted_prediction_tokens":0,"rejected_prediction_tokens":0}},"service_tier":"default","system_fingerprint":"fp_ad66631dec"}</t>
        </is>
      </c>
      <c r="P108" t="inlineStr">
        <is>
          <t>Apple, Earphones, kakobuy, kakebuy2026, kekobuysheet, kakobuysheet2026, 2026kakobuy, kakobuyspreadsheeet, kakobuylink, kakebuylist, Kakobuy MEGA Spreadsheet, kakobuysheetfind, kakobuysheetfind2026, 2026kakobuysheetfind, kakobuysheet2026</t>
        </is>
      </c>
      <c r="Q108"/>
      <c r="R108" t="inlineStr">
        <is>
          <t>recvhju1CrTZQ9</t>
        </is>
      </c>
      <c r="S108" t="inlineStr">
        <is>
          <t>apple-airpods-white-wireless-bluetooth-noise-cancelling-earphones-recvhju1crtzq9</t>
        </is>
      </c>
      <c r="T108"/>
      <c r="U108"/>
      <c r="V108"/>
      <c r="W108" t="inlineStr">
        <is>
          <t>{"choices":[{"finish_reason":"stop","index":0,"logprobs":null,"message":{"annotations":[],"content":"Apple：AirPods白色无线蓝牙耳机，轻盈流线设计，高保真音质与主动降噪，触控操作便捷，兼容iPhone与多设备，现代简约风格，男女皆宜，彰显科技美学。","refusal":null,"role":"assistant"}}],"created":1777019640,"id":"chatcmpl-DY6H2joWHjK2lPRXybKFcDg0gVVJy","model":"gpt-5-chat-latest","object":"chat.completion","service_tier":"default","system_fingerprint":"fp_ad66631dec","usage":{"completion_tokens":60,"completion_tokens_details":{"accepted_prediction_tokens":0,"audio_tokens":0,"reasoning_tokens":0,"rejected_prediction_tokens":0},"prompt_tokens":1305,"prompt_tokens_details":{"audio_tokens":0,"cached_tokens":0},"total_tokens":1365}}</t>
        </is>
      </c>
      <c r="X108" t="inlineStr">
        <is>
          <t>Apple：AirPods白色无线蓝牙耳机，轻盈流线设计，高保真音质与主动降噪，触控操作便捷，兼容iPhone与多设备，现代简约风格，男女皆宜，彰显科技美学。</t>
        </is>
      </c>
    </row>
    <row r="109" ht="25.5" customHeight="1">
      <c r="A109">
        <v>1654975475</v>
      </c>
      <c r="B109">
        <v>7620437578</v>
      </c>
      <c r="C109" s="2" t="str">
        <f>=HYPERLINK("https://weidian.com/item.html?itemID=7620437578", "https://weidian.com/item.html?itemID=7620437578")</f>
        <v>https://weidian.com/item.html?itemID=7620437578</v>
      </c>
      <c r="D109"/>
      <c r="E109" s="2" t="str">
        <f>=HYPERLINK("https://si.geilicdn.com/pcitem2014204438-3f140000019ac48a3f300a23057e_1080_1440.jpg?w=640&amp;h=640", "https://si.geilicdn.com/pcitem2014204438-3f140000019ac48a3f300a23057e_1080_1440.jpg?w=640&amp;h=640")</f>
        <v>https://si.geilicdn.com/pcitem2014204438-3f140000019ac48a3f300a23057e_1080_1440.jpg?w=640&amp;h=640</v>
      </c>
      <c r="F109" t="inlineStr">
        <is>
          <t>Electronic</t>
        </is>
      </c>
      <c r="G109" t="inlineStr">
        <is>
          <t>Bose</t>
        </is>
      </c>
      <c r="H109">
        <v>320</v>
      </c>
      <c r="I109">
        <v>46.38</v>
      </c>
      <c r="J109" t="inlineStr">
        <is>
          <t>{"id":"chatcmpl-DYLiDG6ZWkBC8oVzZDtCRxRHIYRdA","object":"chat.completion","created":1777078985,"model":"gpt-5-chat-latest","choices":[{"index":0,"message":{"role":"assistant","content":"Bose QuietComfort Ultra Black Wireless Headphones","refusal":null,"annotations":[]},"logprobs":null,"finish_reason":"stop"}],"usage":{"prompt_tokens":885,"completion_tokens":10,"total_tokens":895,"prompt_tokens_details":{"cached_tokens":0,"audio_tokens":0},"completion_tokens_details":{"reasoning_tokens":0,"audio_tokens":0,"accepted_prediction_tokens":0,"rejected_prediction_tokens":0}},"service_tier":"default","system_fingerprint":"fp_ad66631dec"}</t>
        </is>
      </c>
      <c r="K109" t="inlineStr">
        <is>
          <t>Bose QuietComfort Ultra Black Wireless Headphones</t>
        </is>
      </c>
      <c r="L109" t="inlineStr">
        <is>
          <t>{"id":"chatcmpl-DYLaoUBO7COWT7a4lbuMHDHQF21G2","object":"chat.completion","created":1777078526,"model":"gpt-5-chat-latest","choices":[{"index":0,"message":{"role":"assistant","content":"Bose QuietComfort Ultra Black Wireless Noise Cancelling Headphones feature protein leather ear cushions, aluminum alloy headband, ergonomic minimalist design, Bluetooth connectivity, and high-fidelity sound for travel or daily use.","refusal":null,"annotations":[]},"logprobs":null,"finish_reason":"stop"}],"usage":{"prompt_tokens":928,"completion_tokens":42,"total_tokens":970,"prompt_tokens_details":{"cached_tokens":0,"audio_tokens":0},"completion_tokens_details":{"reasoning_tokens":0,"audio_tokens":0,"accepted_prediction_tokens":0,"rejected_prediction_tokens":0}},"service_tier":"default","system_fingerprint":"fp_ad66631dec"}</t>
        </is>
      </c>
      <c r="M10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ma=2592000","apim-request-id":"03d7db8d-36ad-4d86-8903-d125b6a74930","azureml-model-session":"d20260402084046-4209e968","cache-control":"no-cache, no-store, must-revalidate","connection":"close","content-length":"1035","content-security-policy":"frame-ancestors 'self'","content-type":"application/json","date":"Sat, 25 Apr 2026 00:55:28 GMT","server":"Caddy","skip-error-remapping":"true","strict-transport-security":"max-age=31536000; includeSubDomains; preload","vary":"Accept-Encoding","via":"1.1 Caddy","x-api-request-id":"20260425085524348017410kXpRk6T9","x-content-type-options":"nosniff","x-frame-options":"SAMEORIGIN","x-ms-is-spilled-over":"false","x-ms-rai-invoked":"false","x-ms-region":"Sweden Central","x-new-api-version":"0.5.1","x-oneapi-request-id":"202604250055222867604068268d9d6F9xz1twU","x-ratelimit-abusepenalty-active":"False","x-ratelimit-limit-requests":"4991","x-ratelimit-limit-tokens":"4991000","x-ratelimit-remaining-requests":"4990","x-ratelimit-remaining-tokens":"4989310","x-ratelimit-renewalperiod-requests":"60","x-ratelimit-renewalperiod-tokens":"60","x-ratelimit-reset-requests":"12","x-ratelimit-reset-tokens":"20","x-request-id":"03f0f08a-7fd8-4a8a-ac9b-38e07bb87587"}</t>
        </is>
      </c>
      <c r="N109" t="inlineStr">
        <is>
          <t>Bose QuietComfort Ultra Black Wireless Noise Cancelling Headphones feature protein leather ear cushions, aluminum alloy headband, ergonomic minimalist design, Bluetooth connectivity, and high-fidelity sound for travel or daily use.</t>
        </is>
      </c>
      <c r="O109" t="inlineStr">
        <is>
          <t>{"id":"chatcmpl-DYLx5U4Gu9Qdq1O91BVoetBlwnqpE","object":"chat.completion","created":1777079907,"model":"gpt-5-chat-2025-10-03","choices":[{"index":0,"message":{"role":"assistant","content":"Bose,Headphon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09" t="inlineStr">
        <is>
          <t>Bose,Headphones,kakobuy,kakebuy2026,kekobuysheet,kakobuysheet2026,2026kakobuy,kakobuyspreadsheeet,kakobuylink,kakebuylist,Kakobuy MEGA Spreadsheet,kakobuysheetfind,kakobuysheetfind2026,2026kakobuysheetfind,kakobuysheet2026</t>
        </is>
      </c>
      <c r="Q109"/>
      <c r="R109" t="inlineStr">
        <is>
          <t>recvhju1Cr82nb</t>
        </is>
      </c>
      <c r="S109" t="inlineStr">
        <is>
          <t>bose-quietcomfort-ultra-black-wireless-headphones-recvhju1cr82nb</t>
        </is>
      </c>
      <c r="T109"/>
      <c r="U109"/>
      <c r="V109"/>
      <c r="W109" t="inlineStr">
        <is>
          <t>{"choices":[{"finish_reason":"stop","index":0,"logprobs":null,"message":{"annotations":[],"content":"Bose：QuietComfort Ultra 黑色无线降噪耳机，采用高品质蛋白皮耳罩与铝合金头梁，融合人体工学设计与现代极简风格，佩戴舒适稳固。支持蓝牙连接与主动降噪技术，适合男女日常通勤及旅行使用，延续品牌高保真音质传统，尽显科技与时尚并存魅力。","refusal":null,"role":"assistant"}}],"created":1777019629,"id":"chatcmpl-DY6GrAqhPkGb5XGVZQCRfEF92zDvg","model":"gpt-5-chat-latest","object":"chat.completion","service_tier":"default","system_fingerprint":"fp_ad66631dec","usage":{"completion_tokens":94,"completion_tokens_details":{"accepted_prediction_tokens":0,"audio_tokens":0,"reasoning_tokens":0,"rejected_prediction_tokens":0},"prompt_tokens":1301,"prompt_tokens_details":{"audio_tokens":0,"cached_tokens":0},"total_tokens":1395}}</t>
        </is>
      </c>
      <c r="X109" t="inlineStr">
        <is>
          <t>Bose：QuietComfort Ultra 黑色无线降噪耳机，采用高品质蛋白皮耳罩与铝合金头梁，融合人体工学设计与现代极简风格，佩戴舒适稳固。支持蓝牙连接与主动降噪技术，适合男女日常通勤及旅行使用，延续品牌高保真音质传统，尽显科技与时尚并存魅力。</t>
        </is>
      </c>
    </row>
    <row r="110" ht="25.5" customHeight="1">
      <c r="A110">
        <v>1654975475</v>
      </c>
      <c r="B110">
        <v>7617546055</v>
      </c>
      <c r="C110" s="2" t="str">
        <f>=HYPERLINK("https://weidian.com/item.html?itemID=7617546055", "https://weidian.com/item.html?itemID=7617546055")</f>
        <v>https://weidian.com/item.html?itemID=7617546055</v>
      </c>
      <c r="D110"/>
      <c r="E110" s="2" t="str">
        <f>=HYPERLINK("https://si.geilicdn.com/pcitem2014204438-2fb40000019ac48cf43c0a239846_1440_1920.jpg?w=640&amp;h=640", "https://si.geilicdn.com/pcitem2014204438-2fb40000019ac48cf43c0a239846_1440_1920.jpg?w=640&amp;h=640")</f>
        <v>https://si.geilicdn.com/pcitem2014204438-2fb40000019ac48cf43c0a239846_1440_1920.jpg?w=640&amp;h=640</v>
      </c>
      <c r="F110" t="inlineStr">
        <is>
          <t>Electronic</t>
        </is>
      </c>
      <c r="G110" t="inlineStr">
        <is>
          <t>Beats</t>
        </is>
      </c>
      <c r="H110">
        <v>370</v>
      </c>
      <c r="I110">
        <v>53.62</v>
      </c>
      <c r="J110" t="inlineStr">
        <is>
          <t>{"id":"chatcmpl-DYLho4TRT5gk8DZky5qcnZIFSgugG","object":"chat.completion","created":1777078960,"model":"gpt-5-chat-latest","choices":[{"index":0,"message":{"role":"assistant","content":"Beats Fit Pro Mist Green Wireless Earbuds ANC","refusal":null,"annotations":[]},"logprobs":null,"finish_reason":"stop"}],"usage":{"prompt_tokens":881,"completion_tokens":11,"total_tokens":892,"prompt_tokens_details":{"cached_tokens":0,"audio_tokens":0},"completion_tokens_details":{"reasoning_tokens":0,"audio_tokens":0,"accepted_prediction_tokens":0,"rejected_prediction_tokens":0}},"service_tier":"default","system_fingerprint":"fp_ad66631dec"}</t>
        </is>
      </c>
      <c r="K110" t="inlineStr">
        <is>
          <t>Beats Fit Pro Mist Green Wireless Earbuds ANC</t>
        </is>
      </c>
      <c r="L110" t="inlineStr">
        <is>
          <t>{"id":"chatcmpl-DYLbchuQ8IuvEvEZX6YrO4td5qamo","object":"chat.completion","created":1777078576,"model":"gpt-5-chat-latest","choices":[{"index":0,"message":{"role":"assistant","content":"ElectronicBeats Beats Fit Pro Mist Green True Wireless Earbuds with Active Noise Cancelling, Transparency Mode, Spatial Audio, ergonomic secure fit, matte style for sport, commute, and daily fashion.","refusal":null,"annotations":[]},"logprobs":null,"finish_reason":"stop"}],"usage":{"prompt_tokens":914,"completion_tokens":40,"total_tokens":954,"prompt_tokens_details":{"cached_tokens":0,"audio_tokens":0},"completion_tokens_details":{"reasoning_tokens":0,"audio_tokens":0,"accepted_prediction_tokens":0,"rejected_prediction_tokens":0}},"service_tier":"default","system_fingerprint":"fp_ad66631dec"}</t>
        </is>
      </c>
      <c r="M11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ma=2592000","apim-request-id":"6d24b408-2156-4bec-9c0a-d32237b0c95d","azureml-model-session":"d20260405221325-2e8d5e76","cache-control":"no-cache, no-store, must-revalidate","connection":"close","content-length":"1003","content-security-policy":"frame-ancestors 'self'","content-type":"application/json","date":"Sat, 25 Apr 2026 00:56:17 GMT","server":"Caddy","skip-error-remapping":"true","strict-transport-security":"max-age=31536000; includeSubDomains; preload","via":"1.1 Caddy","x-api-request-id":"20260425085615336395417AgrBqz2v","x-content-type-options":"nosniff","x-frame-options":"SAMEORIGIN","x-ms-is-spilled-over":"false","x-ms-rai-invoked":"false","x-ms-region":"East US 2","x-new-api-version":"0.5.1","x-oneapi-request-id":"202604250056126117456108268d9d6EAyg818a","x-ratelimit-abusepenalty-active":"False","x-ratelimit-limit-requests":"4992","x-ratelimit-limit-tokens":"4992000","x-ratelimit-remaining-requests":"4991","x-ratelimit-remaining-tokens":"4990324","x-ratelimit-renewalperiod-requests":"60","x-ratelimit-renewalperiod-tokens":"60","x-ratelimit-reset-requests":"12","x-ratelimit-reset-tokens":"20","x-request-id":"b9e85615-b08a-421c-9668-7ee46e6174e3"}</t>
        </is>
      </c>
      <c r="N110" t="inlineStr">
        <is>
          <t>ElectronicBeats Beats Fit Pro Mist Green True Wireless Earbuds with Active Noise Cancelling, Transparency Mode, Spatial Audio, ergonomic secure fit, matte style for sport, commute, and daily fashion.</t>
        </is>
      </c>
      <c r="O110" t="inlineStr">
        <is>
          <t>{"id":"chatcmpl-DYM1MyaHpbmmzTWgTXIxOgnIcqFQT","object":"chat.completion","created":1777080172,"model":"gpt-5-chat-2025-10-03","choices":[{"index":0,"message":{"role":"assistant","content":"Beats, Earbuds,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92,"total_tokens":874,"prompt_tokens_details":{"cached_tokens":0,"audio_tokens":0},"completion_tokens_details":{"reasoning_tokens":0,"audio_tokens":0,"accepted_prediction_tokens":0,"rejected_prediction_tokens":0}},"service_tier":"default","system_fingerprint":"fp_ad66631dec"}</t>
        </is>
      </c>
      <c r="P110" t="inlineStr">
        <is>
          <t>Beats, Earbuds, kakobuy, kakebuy2026, kekobuysheet, kakobuysheet2026, 2026kakobuy, kakobuyspreadsheeet, kakobuylink, kakebuylist, Kakobuy MEGA Spreadsheet, kakobuysheetfind, kakobuysheetfind2026, 2026kakobuysheetfind, kakobuysheet2026</t>
        </is>
      </c>
      <c r="Q110"/>
      <c r="R110" t="inlineStr">
        <is>
          <t>recvhju1Cra6z9</t>
        </is>
      </c>
      <c r="S110" t="inlineStr">
        <is>
          <t>beats-fit-pro-mist-green-recvhju1cra6z9</t>
        </is>
      </c>
      <c r="T110"/>
      <c r="U110"/>
      <c r="V110"/>
      <c r="W110" t="inlineStr">
        <is>
          <t>{"choices":[{"finish_reason":"stop","index":0,"logprobs":null,"message":{"annotations":[],"content":"Beats：Fit Pro雾绿色真无线降噪耳机，人体工学设计贴合稳固，哑光质感外壳简约时尚，内置主动降噪与通透模式，搭载空间音频技术，运动与通勤皆宜，男女皆可佩戴，展现现代科技与潮流美学融合。","refusal":null,"role":"assistant"}}],"created":1777019698,"id":"chatcmpl-DY6HyyJttqgt0tUhD2pHyMV5p9YoE","model":"gpt-5-chat-latest","object":"chat.completion","service_tier":"default","system_fingerprint":"fp_ad66631dec","usage":{"completion_tokens":81,"completion_tokens_details":{"accepted_prediction_tokens":0,"audio_tokens":0,"reasoning_tokens":0,"rejected_prediction_tokens":0},"prompt_tokens":1299,"prompt_tokens_details":{"audio_tokens":0,"cached_tokens":0},"total_tokens":1380}}</t>
        </is>
      </c>
      <c r="X110" t="inlineStr">
        <is>
          <t>Beats：Fit Pro雾绿色真无线降噪耳机，人体工学设计贴合稳固，哑光质感外壳简约时尚，内置主动降噪与通透模式，搭载空间音频技术，运动与通勤皆宜，男女皆可佩戴，展现现代科技与潮流美学融合。</t>
        </is>
      </c>
    </row>
    <row r="111" ht="25.5" customHeight="1">
      <c r="A111">
        <v>1654975475</v>
      </c>
      <c r="B111">
        <v>7620005354</v>
      </c>
      <c r="C111" s="2" t="str">
        <f>=HYPERLINK("https://weidian.com/item.html?itemID=7620005354", "https://weidian.com/item.html?itemID=7620005354")</f>
        <v>https://weidian.com/item.html?itemID=7620005354</v>
      </c>
      <c r="D111"/>
      <c r="E111" s="2" t="str">
        <f>=HYPERLINK("https://si.geilicdn.com/pcitem2014204438-31090000019ac468df410a23038e_1080_2349.jpg?w=640&amp;h=640", "https://si.geilicdn.com/pcitem2014204438-31090000019ac468df410a23038e_1080_2349.jpg?w=640&amp;h=640")</f>
        <v>https://si.geilicdn.com/pcitem2014204438-31090000019ac468df410a23038e_1080_2349.jpg?w=640&amp;h=640</v>
      </c>
      <c r="F111" t="inlineStr">
        <is>
          <t>Electronic</t>
        </is>
      </c>
      <c r="G111" t="inlineStr">
        <is>
          <t>Beats</t>
        </is>
      </c>
      <c r="H111">
        <v>396</v>
      </c>
      <c r="I111">
        <v>57.39</v>
      </c>
      <c r="J111" t="inlineStr">
        <is>
          <t>{"id":"chatcmpl-DYLifqOOxwE8IDYrhFO2AGcaWNZ4b","object":"chat.completion","created":1777079013,"model":"gpt-5-chat-latest","choices":[{"index":0,"message":{"role":"assistant","content":"ElectronicBeats Powerbeats Pro 2 Orange Wireless Sport Earbuds","refusal":null,"annotations":[]},"logprobs":null,"finish_reason":"stop"}],"usage":{"prompt_tokens":1163,"completion_tokens":14,"total_tokens":1177,"prompt_tokens_details":{"cached_tokens":0,"audio_tokens":0},"completion_tokens_details":{"reasoning_tokens":0,"audio_tokens":0,"accepted_prediction_tokens":0,"rejected_prediction_tokens":0}},"service_tier":"default","system_fingerprint":"fp_ad66631dec"}</t>
        </is>
      </c>
      <c r="K111" t="inlineStr">
        <is>
          <t>ElectronicBeats Powerbeats Pro 2 Orange Wireless Sport Earbuds</t>
        </is>
      </c>
      <c r="L111" t="inlineStr">
        <is>
          <t>{"choices":[{"finish_reason":"stop","index":0,"logprobs":null,"message":{"annotations":[],"content":"ElectronicBeatsBeats Powerbeats Pro 2 Orange wireless sport earbuds, lightweight silicone fit, ergonomic ear hook design, noise-canceling, sweat-resistant, perfect for workouts and outdoor fitness style.","refusal":null,"role":"assistant"}}],"created":1777078079,"id":"chatcmpl-DYLTbEfXGTlN42YhkJxbytozeDUNa","model":"gpt-5-chat-latest","object":"chat.completion","service_tier":"default","system_fingerprint":"fp_ad66631dec","usage":{"completion_tokens":41,"completion_tokens_details":{"accepted_prediction_tokens":0,"audio_tokens":0,"reasoning_tokens":0,"rejected_prediction_tokens":0},"prompt_tokens":1196,"prompt_tokens_details":{"audio_tokens":0,"cached_tokens":0},"total_tokens":1237}}</t>
        </is>
      </c>
      <c r="M111" t="inlineStr">
        <is>
          <t>{"alt-svc":"h3=\":443\"; ma=2592000","apim-request-id":"60eb1973-0296-4c3c-801b-cb18511e6c85","azureml-model-session":"d20260402083108-57a85543","cache-control":"no-cache","connection":"close","content-length":"793","content-security-policy":"frame-ancestors 'self'","content-type":"application/json","date":"Sat, 25 Apr 2026 00:48:00 GMT","server":"nginx","skip-error-remapping":"true","strict-transport-security":"max-age=31536000; includeSubDomains; preload","via":"1.1 Caddy, 1.1 Caddy","x-api-request-id":"20260425084756731484994P847Asrv","x-content-type-options":"nosniff","x-frame-options":"SAMEORIGIN","x-ms-client-request-id":"Not-Set","x-ms-is-spilled-over":"false","x-ms-rai-invoked":"true","x-ms-region":"East US 2","x-new-api-version":"0.5.1","x-oneapi-request-id":"202604250047561693932858268d9d6UHa5ZQEb","x-ratelimit-abusepenalty-active":"False","x-ratelimit-limit-requests":"50","x-ratelimit-limit-tokens":"50000","x-ratelimit-remaining-requests":"49","x-ratelimit-remaining-tokens":"-916","x-ratelimit-renewalperiod-requests":"60","x-ratelimit-renewalperiod-tokens":"60","x-ratelimit-reset-requests":"1200","x-ratelimit-reset-tokens":"61099","x-request-id":"4158655b-2818-4900-b327-37c67590ae13"}</t>
        </is>
      </c>
      <c r="N111" t="inlineStr">
        <is>
          <t>ElectronicBeatsBeats Powerbeats Pro 2 Orange wireless sport earbuds, lightweight silicone fit, ergonomic ear hook design, noise-canceling, sweat-resistant, perfect for workouts and outdoor fitness style.</t>
        </is>
      </c>
      <c r="O111" t="inlineStr">
        <is>
          <t>{"id":"chatcmpl-DYM1nGvsHO3AhrXPlB6dCjGYfmRW7","object":"chat.completion","created":1777080199,"model":"gpt-5-chat-2025-10-03","choices":[{"index":0,"message":{"role":"assistant","content":"Beats, Earphones, kakobuy, kakebuy2026, kekobuysheet, kakobuysheet2026, 2026kakobuy, kakobuyspreadsheeet, kakobuylink, kakebuylist, Kakobuy MEGA Spreadsheet, kakobuysheetfind, kakobuysheetfind2026, 2026kakobuysheetfind, kakobuysheet2026","refusal":null,"annotations":[]},"logprobs":null,"finish_reason":"stop"}],"usage":{"prompt_tokens":1062,"completion_tokens":92,"total_tokens":1154,"prompt_tokens_details":{"cached_tokens":0,"audio_tokens":0},"completion_tokens_details":{"reasoning_tokens":0,"audio_tokens":0,"accepted_prediction_tokens":0,"rejected_prediction_tokens":0}},"service_tier":"default","system_fingerprint":"fp_ad66631dec"}</t>
        </is>
      </c>
      <c r="P111" t="inlineStr">
        <is>
          <t>Beats, Earphones, kakobuy, kakebuy2026, kekobuysheet, kakobuysheet2026, 2026kakobuy, kakobuyspreadsheeet, kakobuylink, kakebuylist, Kakobuy MEGA Spreadsheet, kakobuysheetfind, kakobuysheetfind2026, 2026kakobuysheetfind, kakobuysheet2026</t>
        </is>
      </c>
      <c r="Q111"/>
      <c r="R111" t="inlineStr">
        <is>
          <t>recvhju1CrLB4S</t>
        </is>
      </c>
      <c r="S111" t="inlineStr">
        <is>
          <t>electronicbeats-powerbeats-pro-2-orange-sport-earbuds-recvhju1crlb4s</t>
        </is>
      </c>
      <c r="T111"/>
      <c r="U111"/>
      <c r="V111"/>
      <c r="W111" t="inlineStr">
        <is>
          <t>{"choices":[{"finish_reason":"stop","index":0,"logprobs":null,"message":{"annotations":[],"content":"Beats：Powerbeats Pro 2 橙色真无线运动耳机，轻盈硅胶材质贴合耳廓，弧形挂耳设计稳固舒适，灵感源自极简科技风格，搭载降噪与防汗功能，适合男女日常健身及户外运动佩戴，彰显现代动感美学。","refusal":null,"role":"assistant"}}],"created":1777019715,"id":"chatcmpl-DY6IFz6NokFoD4NElGdJPLvcQyhkS","model":"gpt-5-chat-latest","object":"chat.completion","service_tier":"default","system_fingerprint":"fp_ad66631dec","usage":{"completion_tokens":85,"completion_tokens_details":{"accepted_prediction_tokens":0,"audio_tokens":0,"reasoning_tokens":0,"rejected_prediction_tokens":0},"prompt_tokens":1575,"prompt_tokens_details":{"audio_tokens":0,"cached_tokens":1536},"total_tokens":1660}}</t>
        </is>
      </c>
      <c r="X111" t="inlineStr">
        <is>
          <t>Beats：Powerbeats Pro 2 橙色真无线运动耳机，轻盈硅胶材质贴合耳廓，弧形挂耳设计稳固舒适，灵感源自极简科技风格，搭载降噪与防汗功能，适合男女日常健身及户外运动佩戴，彰显现代动感美学。</t>
        </is>
      </c>
    </row>
    <row r="112" ht="25.5" customHeight="1">
      <c r="A112">
        <v>1654975475</v>
      </c>
      <c r="B112">
        <v>7617492447</v>
      </c>
      <c r="C112" s="2" t="str">
        <f>=HYPERLINK("https://weidian.com/item.html?itemID=7617492447", "https://weidian.com/item.html?itemID=7617492447")</f>
        <v>https://weidian.com/item.html?itemID=7617492447</v>
      </c>
      <c r="D112"/>
      <c r="E112" s="2" t="str">
        <f>=HYPERLINK("https://si.geilicdn.com/pcitem2014204438-31650000019ac47046fc0a81347d_800_800.jpg?w=640&amp;h=640", "https://si.geilicdn.com/pcitem2014204438-31650000019ac47046fc0a81347d_800_800.jpg?w=640&amp;h=640")</f>
        <v>https://si.geilicdn.com/pcitem2014204438-31650000019ac47046fc0a81347d_800_800.jpg?w=640&amp;h=640</v>
      </c>
      <c r="F112" t="inlineStr">
        <is>
          <t>Electronic</t>
        </is>
      </c>
      <c r="G112" t="inlineStr">
        <is>
          <t>Bose</t>
        </is>
      </c>
      <c r="H112">
        <v>316</v>
      </c>
      <c r="I112">
        <v>45.8</v>
      </c>
      <c r="J112" t="inlineStr">
        <is>
          <t>{"id":"chatcmpl-DYLhJgSOBeowNBd5katxnSkTy5krA","object":"chat.completion","created":1777078929,"model":"gpt-5-chat-latest","choices":[{"index":0,"message":{"role":"assistant","content":"ElectronicBose Black Wireless Noise Cancelling Headphones Hi-Fi Sound","refusal":null,"annotations":[]},"logprobs":null,"finish_reason":"stop"}],"usage":{"prompt_tokens":881,"completion_tokens":14,"total_tokens":895,"prompt_tokens_details":{"cached_tokens":0,"audio_tokens":0},"completion_tokens_details":{"reasoning_tokens":0,"audio_tokens":0,"accepted_prediction_tokens":0,"rejected_prediction_tokens":0}},"service_tier":"default","system_fingerprint":"fp_ad66631dec"}</t>
        </is>
      </c>
      <c r="K112" t="inlineStr">
        <is>
          <t>ElectronicBose Black Wireless Noise Cancelling Headphones Hi-Fi Sound</t>
        </is>
      </c>
      <c r="L112" t="inlineStr">
        <is>
          <t>{"id":"chatcmpl-DYLU4A7fQT51ti7GGsqFTDpd67DIq","object":"chat.completion","created":1777078108,"model":"gpt-5-chat-latest","choices":[{"index":0,"message":{"role":"assistant","content":"ElectronicBoseBose Black Wireless Noise Cancelling Headphones, lightweight synthetic design, immersive stereo sound, modern minimalist style, comfy fit, hi-fi audio for work, travel, daily music.","refusal":null,"annotations":[]},"logprobs":null,"finish_reason":"stop"}],"usage":{"prompt_tokens":894,"completion_tokens":40,"total_tokens":934,"prompt_tokens_details":{"cached_tokens":0,"audio_tokens":0},"completion_tokens_details":{"reasoning_tokens":0,"audio_tokens":0,"accepted_prediction_tokens":0,"rejected_prediction_tokens":0}},"service_tier":"default","system_fingerprint":"fp_ad66631dec"}</t>
        </is>
      </c>
      <c r="M11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ma=2592000","apim-request-id":"9a307e91-90c0-4f5d-9ee8-bd14b250f7c3","azureml-model-session":"d20260402084046-4209e968","cache-control":"no-cache, no-store, must-revalidate","connection":"close","content-length":"999","content-security-policy":"frame-ancestors 'self'","content-type":"application/json","date":"Sat, 25 Apr 2026 00:48:30 GMT","server":"Caddy","skip-error-remapping":"true","strict-transport-security":"max-age=31536000; includeSubDomains; preload","via":"1.1 Caddy","x-api-request-id":"202604250848273664935684hXk6yFN","x-content-type-options":"nosniff","x-frame-options":"SAMEORIGIN","x-ms-is-spilled-over":"false","x-ms-rai-invoked":"false","x-ms-region":"Sweden Central","x-new-api-version":"0.5.1","x-oneapi-request-id":"202604250048252081879538268d9d6yEGpA5G7","x-ratelimit-abusepenalty-active":"False","x-ratelimit-limit-requests":"4991","x-ratelimit-limit-tokens":"4991000","x-ratelimit-remaining-requests":"4990","x-ratelimit-remaining-tokens":"4989344","x-ratelimit-renewalperiod-requests":"60","x-ratelimit-renewalperiod-tokens":"60","x-ratelimit-reset-requests":"12","x-ratelimit-reset-tokens":"19","x-request-id":"d4e94f9e-47a8-96eb-9b79-9b731de570e5"}</t>
        </is>
      </c>
      <c r="N112" t="inlineStr">
        <is>
          <t>ElectronicBoseBose Black Wireless Noise Cancelling Headphones, lightweight synthetic design, immersive stereo sound, modern minimalist style, comfy fit, hi-fi audio for work, travel, daily music.</t>
        </is>
      </c>
      <c r="O112" t="inlineStr">
        <is>
          <t>{"id":"chatcmpl-DYLwMuZJoV15OTgMV2sbC4PPyLlLT","object":"chat.completion","created":1777079862,"model":"gpt-5-chat-2025-10-03","choices":[{"index":0,"message":{"role":"assistant","content":"Bose,Headphon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12" t="inlineStr">
        <is>
          <t>Bose,Headphones,kakobuy,kakebuy2026,kekobuysheet,kakobuysheet2026,2026kakobuy,kakobuyspreadsheeet,kakobuylink,kakebuylist,Kakobuy MEGA Spreadsheet,kakobuysheetfind,kakobuysheetfind2026,2026kakobuysheetfind,kakobuysheet2026</t>
        </is>
      </c>
      <c r="Q112"/>
      <c r="R112" t="inlineStr">
        <is>
          <t>recvhju1CrJOmh</t>
        </is>
      </c>
      <c r="S112" t="inlineStr">
        <is>
          <t>bose-black-wireless-noise-cancelling-headphones-hi-fi-sound-recvhju1crjomh</t>
        </is>
      </c>
      <c r="T112"/>
      <c r="U112"/>
      <c r="V112"/>
      <c r="W112" t="inlineStr">
        <is>
          <t>{"id":"chatcmpl-DY6GQhBEMz7NJzB7FgJVFmYcoZBAv","object":"chat.completion","created":1777019602,"model":"gpt-5-chat-latest","choices":[{"index":0,"message":{"role":"assistant","content":"Bose：黑色无线主动降噪耳机，轻盈合成材质打造，环绕立体声设计，现代极简风格，男女皆宜，兼具舒适佩戴与高保真音质，适合商务通勤与日常音乐享受。","refusal":null,"annotations":[]},"logprobs":null,"finish_reason":"stop"}],"usage":{"prompt_tokens":1293,"completion_tokens":64,"total_tokens":1357,"prompt_tokens_details":{"cached_tokens":0,"audio_tokens":0},"completion_tokens_details":{"reasoning_tokens":0,"audio_tokens":0,"accepted_prediction_tokens":0,"rejected_prediction_tokens":0}},"service_tier":"default","system_fingerprint":"fp_ad66631dec"}</t>
        </is>
      </c>
      <c r="X112" t="inlineStr">
        <is>
          <t>Bose：黑色无线主动降噪耳机，轻盈合成材质打造，环绕立体声设计，现代极简风格，男女皆宜，兼具舒适佩戴与高保真音质，适合商务通勤与日常音乐享受。</t>
        </is>
      </c>
    </row>
    <row r="113" ht="25.5" customHeight="1">
      <c r="A113">
        <v>1654975475</v>
      </c>
      <c r="B113">
        <v>7617453515</v>
      </c>
      <c r="C113" s="2" t="str">
        <f>=HYPERLINK("https://weidian.com/item.html?itemID=7617453515", "https://weidian.com/item.html?itemID=7617453515")</f>
        <v>https://weidian.com/item.html?itemID=7617453515</v>
      </c>
      <c r="D113"/>
      <c r="E113" s="2" t="str">
        <f>=HYPERLINK("https://si.geilicdn.com/pcitem2014204438-34c80000019ac47481290a23038e_1440_1920.jpg?w=640&amp;h=640", "https://si.geilicdn.com/pcitem2014204438-34c80000019ac47481290a23038e_1440_1920.jpg?w=640&amp;h=640")</f>
        <v>https://si.geilicdn.com/pcitem2014204438-34c80000019ac47481290a23038e_1440_1920.jpg?w=640&amp;h=640</v>
      </c>
      <c r="F113" t="inlineStr">
        <is>
          <t>Electronic</t>
        </is>
      </c>
      <c r="G113" t="inlineStr">
        <is>
          <t>Beats</t>
        </is>
      </c>
      <c r="H113">
        <v>700</v>
      </c>
      <c r="I113">
        <v>101.45</v>
      </c>
      <c r="J113" t="inlineStr">
        <is>
          <t>{"id":"chatcmpl-DYLk3ydvxawIpFg23PRLliiAbKX27","object":"chat.completion","created":1777079099,"model":"gpt-5-chat-latest","choices":[{"index":0,"message":{"role":"assistant","content":"Beats Powerbeats Pro Black Wireless Sport Earphones","refusal":null,"annotations":[]},"logprobs":null,"finish_reason":"stop"}],"usage":{"prompt_tokens":881,"completion_tokens":11,"total_tokens":892,"prompt_tokens_details":{"cached_tokens":0,"audio_tokens":0},"completion_tokens_details":{"reasoning_tokens":0,"audio_tokens":0,"accepted_prediction_tokens":0,"rejected_prediction_tokens":0}},"service_tier":"default","system_fingerprint":"fp_ad66631dec"}</t>
        </is>
      </c>
      <c r="K113" t="inlineStr">
        <is>
          <t>Beats Powerbeats Pro Black Wireless Sport Earphones</t>
        </is>
      </c>
      <c r="L113" t="inlineStr">
        <is>
          <t>{"id":"chatcmpl-DYLW2mON4dnaoXDh3JNdgRsdpaiHR","object":"chat.completion","created":1777078230,"model":"gpt-5-chat-latest","choices":[{"index":0,"message":{"role":"assistant","content":"ElectronicBeatsBeats Powerbeats Pro Black Wireless Earphones feature ear-hook and in-ear design, sweat and water resistance, deep bass, stylish look, and secure lightweight fit for sports lovers.","refusal":null,"annotations":[]},"logprobs":null,"finish_reason":"stop"}],"usage":{"prompt_tokens":900,"completion_tokens":40,"total_tokens":940,"prompt_tokens_details":{"cached_tokens":0,"audio_tokens":0},"completion_tokens_details":{"reasoning_tokens":0,"audio_tokens":0,"accepted_prediction_tokens":0,"rejected_prediction_tokens":0}},"service_tier":"default","system_fingerprint":"fp_ad66631dec"}</t>
        </is>
      </c>
      <c r="M11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ma=2592000","apim-request-id":"d1ab71e5-57c1-4154-adaf-321d5091f960","azureml-model-session":"d20260405234249-f9874baf","cache-control":"no-cache, no-store, must-revalidate","connection":"close","content-length":"999","content-security-policy":"frame-ancestors 'self'","content-type":"application/json","date":"Sat, 25 Apr 2026 00:50:33 GMT","server":"nginx","skip-error-remapping":"true","strict-transport-security":"max-age=31536000; includeSubDomains; preload","via":"1.1 Caddy, 1.1 Caddy","x-api-request-id":"202604250850292175321304dkVblzP","x-content-type-options":"nosniff","x-frame-options":"SAMEORIGIN","x-ms-is-spilled-over":"false","x-ms-rai-invoked":"false","x-ms-region":"Sweden Central","x-new-api-version":"0.5.1","x-oneapi-request-id":"20260425005027189459918268d9d64lcECMJ8","x-ratelimit-abusepenalty-active":"False","x-ratelimit-limit-requests":"4991","x-ratelimit-limit-tokens":"4991000","x-ratelimit-remaining-requests":"4990","x-ratelimit-remaining-tokens":"4989338","x-ratelimit-renewalperiod-requests":"60","x-ratelimit-renewalperiod-tokens":"60","x-ratelimit-reset-requests":"12","x-ratelimit-reset-tokens":"19","x-request-id":"a1ab2f02-7eff-4c91-bbc1-db37a4c23d24"}</t>
        </is>
      </c>
      <c r="N113" t="inlineStr">
        <is>
          <t>ElectronicBeatsBeats Powerbeats Pro Black Wireless Earphones feature ear-hook and in-ear design, sweat and water resistance, deep bass, stylish look, and secure lightweight fit for sports lovers.</t>
        </is>
      </c>
      <c r="O113" t="inlineStr">
        <is>
          <t>{"id":"chatcmpl-DYLtukeTbEVVLyisUYabdrhQd946n","object":"chat.completion","created":1777079710,"model":"gpt-5-chat-2025-10-03","choices":[{"index":0,"message":{"role":"assistant","content":"Beats,Powerbeats Pro,kakobuy,kakebuy2026,kekobuysheet,kakobuysheet2026,2026kakobuy,kakobuyspreadsheeet,kakobuylink,kakebuylist,Kakobuy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89,"total_tokens":871,"prompt_tokens_details":{"cached_tokens":0,"audio_tokens":0},"completion_tokens_details":{"reasoning_tokens":0,"audio_tokens":0,"accepted_prediction_tokens":0,"rejected_prediction_tokens":0}},"service_tier":"default","system_fingerprint":"fp_ad66631dec"}</t>
        </is>
      </c>
      <c r="P113" t="inlineStr">
        <is>
          <t>Beats,Powerbeats Pro,kakobuy,kakebuy2026,kekobuysheet,kakobuysheet2026,2026kakobuy,kakobuyspreadsheeet,kakobuylink,kakebuylist,Kakobuy MEGA Spreadsheet,kakobuysheetfind,kakobuysheetfind2026,2026kakobuysheetfind,kakobuysheet2026</t>
        </is>
      </c>
      <c r="Q113"/>
      <c r="R113" t="inlineStr">
        <is>
          <t>recvhju1CrPHDg</t>
        </is>
      </c>
      <c r="S113" t="inlineStr">
        <is>
          <t>beats-powerbeats-pro-black-wireless-sport-earphones-recvhju1crphdg</t>
        </is>
      </c>
      <c r="T113"/>
      <c r="U113"/>
      <c r="V113"/>
      <c r="W113" t="inlineStr">
        <is>
          <t>{"id":"chatcmpl-DY6Ijcg80NR9YvMMqg6B2Bw4kIn6U","object":"chat.completion","created":1777019745,"model":"gpt-5-chat-latest","choices":[{"index":0,"message":{"role":"assistant","content":"Beats：Powerbeats Pro 黑色无线蓝牙运动耳机，采用耳挂与入耳式结合设计，轻盈贴合防汗防水，音质澎湃低音强劲，专为男女运动爱好者打造，兼具时尚科技感与舒适佩戴体验。","refusal":null,"annotations":[]},"logprobs":null,"finish_reason":"stop"}],"usage":{"prompt_tokens":1297,"completion_tokens":68,"total_tokens":1365,"prompt_tokens_details":{"cached_tokens":0,"audio_tokens":0},"completion_tokens_details":{"reasoning_tokens":0,"audio_tokens":0,"accepted_prediction_tokens":0,"rejected_prediction_tokens":0}},"service_tier":"default","system_fingerprint":"fp_ad66631dec"}</t>
        </is>
      </c>
      <c r="X113" t="inlineStr">
        <is>
          <t>Beats：Powerbeats Pro 黑色无线蓝牙运动耳机，采用耳挂与入耳式结合设计，轻盈贴合防汗防水，音质澎湃低音强劲，专为男女运动爱好者打造，兼具时尚科技感与舒适佩戴体验。</t>
        </is>
      </c>
    </row>
    <row r="114" ht="25.5" customHeight="1">
      <c r="A114">
        <v>1654975475</v>
      </c>
      <c r="B114">
        <v>7617459339</v>
      </c>
      <c r="C114" s="2" t="str">
        <f>=HYPERLINK("https://weidian.com/item.html?itemID=7617459339", "https://weidian.com/item.html?itemID=7617459339")</f>
        <v>https://weidian.com/item.html?itemID=7617459339</v>
      </c>
      <c r="D114"/>
      <c r="E114" s="2" t="str">
        <f>=HYPERLINK("https://si.geilicdn.com/pcitem2014204438-2ec90000019ac4741d8a0a8134f0_1080_2347.jpg?w=640&amp;h=640", "https://si.geilicdn.com/pcitem2014204438-2ec90000019ac4741d8a0a8134f0_1080_2347.jpg?w=640&amp;h=640")</f>
        <v>https://si.geilicdn.com/pcitem2014204438-2ec90000019ac4741d8a0a8134f0_1080_2347.jpg?w=640&amp;h=640</v>
      </c>
      <c r="F114" t="inlineStr">
        <is>
          <t>Electronic</t>
        </is>
      </c>
      <c r="G114" t="inlineStr">
        <is>
          <t>Sony</t>
        </is>
      </c>
      <c r="H114">
        <v>316</v>
      </c>
      <c r="I114">
        <v>45.8</v>
      </c>
      <c r="J114" t="inlineStr">
        <is>
          <t>{"id":"chatcmpl-DYLk0l2otE1bVBvidkF6SBdddiKS7","object":"chat.completion","created":1777079096,"model":"gpt-5-chat-latest","choices":[{"index":0,"message":{"role":"assistant","content":"Sony WH-1000XM4 Matte Gray Wireless Noise Cancelling Headphones","refusal":null,"annotations":[]},"logprobs":null,"finish_reason":"stop"}],"usage":{"prompt_tokens":1158,"completion_tokens":16,"total_tokens":1174,"prompt_tokens_details":{"cached_tokens":0,"audio_tokens":0},"completion_tokens_details":{"reasoning_tokens":0,"audio_tokens":0,"accepted_prediction_tokens":0,"rejected_prediction_tokens":0}},"service_tier":"default","system_fingerprint":"fp_ad66631dec"}</t>
        </is>
      </c>
      <c r="K114" t="inlineStr">
        <is>
          <t>Sony WH-1000XM4 Matte Gray Wireless Noise Cancelling Headphones</t>
        </is>
      </c>
      <c r="L114" t="inlineStr">
        <is>
          <t>{"id":"chatcmpl-DYLa0CjmZPGH0wLx7xlTMtBd4ovs5","object":"chat.completion","created":1777078476,"model":"gpt-5-chat-latest","choices":[{"index":0,"message":{"role":"assistant","content":"Sony WH-1000XM4 Matte Gray Wireless Noise Cancelling Headphones, lightweight and skin-friendly, offer superior comfort, smart touch control, multi-device pairing, and immersive premium sound.","refusal":null,"annotations":[]},"logprobs":null,"finish_reason":"stop"}],"usage":{"prompt_tokens":1199,"completion_tokens":39,"total_tokens":1238,"prompt_tokens_details":{"cached_tokens":0,"audio_tokens":0},"completion_tokens_details":{"reasoning_tokens":0,"audio_tokens":0,"accepted_prediction_tokens":0,"rejected_prediction_tokens":0}},"service_tier":"default","system_fingerprint":"fp_ad66631dec"}</t>
        </is>
      </c>
      <c r="M11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ma=2592000","apim-request-id":"6fb5587c-5bbe-49b5-9e57-9bac33cceb53","azureml-model-session":"d20260402084046-4209e968","cache-control":"no-cache, no-store, must-revalidate","connection":"close","content-length":"997","content-security-policy":"frame-ancestors 'self'","content-type":"application/json","date":"Sat, 25 Apr 2026 00:54:37 GMT","server":"nginx","skip-error-remapping":"true","strict-transport-security":"max-age=31536000; includeSubDomains; preload","via":"1.1 Caddy, 1.1 Caddy","x-api-request-id":"20260425085435253526833GjZKgkrU","x-content-type-options":"nosniff","x-frame-options":"SAMEORIGIN","x-ms-is-spilled-over":"false","x-ms-rai-invoked":"false","x-ms-region":"East US 2","x-new-api-version":"0.5.1","x-oneapi-request-id":"202604250054311519104008268d9d6sHGQx6di","x-ratelimit-abusepenalty-active":"False","x-ratelimit-limit-requests":"4992","x-ratelimit-limit-tokens":"4992000","x-ratelimit-remaining-requests":"4991","x-ratelimit-remaining-tokens":"4990038","x-ratelimit-renewalperiod-requests":"60","x-ratelimit-renewalperiod-tokens":"60","x-ratelimit-reset-requests":"12","x-ratelimit-reset-tokens":"23","x-request-id":"80db71fb-50ef-4a81-aea0-6da4a50dd3e9"}</t>
        </is>
      </c>
      <c r="N114" t="inlineStr">
        <is>
          <t>Sony WH-1000XM4 Matte Gray Wireless Noise Cancelling Headphones, lightweight and skin-friendly, offer superior comfort, smart touch control, multi-device pairing, and immersive premium sound.</t>
        </is>
      </c>
      <c r="O114" t="inlineStr">
        <is>
          <t>{"id":"chatcmpl-DYLxZWVYRapIn7wWyAo4TCghmICLR","object":"chat.completion","created":1777079937,"model":"gpt-5-chat-2025-10-03","choices":[{"index":0,"message":{"role":"assistant","content":"Sony,Headphones,kakobuy,kakebuy2026,kekobuysheet,kakobuysheet2026,2026kakobuy,kakobuyspreadsheeet,kakobuylink,kakebuylist,Kakobuy MEGA Spreadsheet,kakobuysheetfind,kakobuysheetfind2026,2026kakobuysheetfind,kakobuysheet2026","refusal":null,"annotations":[]},"logprobs":null,"finish_reason":"stop"}],"usage":{"prompt_tokens":1061,"completion_tokens":87,"total_tokens":1148,"prompt_tokens_details":{"cached_tokens":0,"audio_tokens":0},"completion_tokens_details":{"reasoning_tokens":0,"audio_tokens":0,"accepted_prediction_tokens":0,"rejected_prediction_tokens":0}},"service_tier":"default","system_fingerprint":"fp_ad66631dec"}</t>
        </is>
      </c>
      <c r="P114" t="inlineStr">
        <is>
          <t>Sony,Headphones,kakobuy,kakebuy2026,kekobuysheet,kakobuysheet2026,2026kakobuy,kakobuyspreadsheeet,kakobuylink,kakebuylist,Kakobuy MEGA Spreadsheet,kakobuysheetfind,kakobuysheetfind2026,2026kakobuysheetfind,kakobuysheet2026</t>
        </is>
      </c>
      <c r="Q114"/>
      <c r="R114" t="inlineStr">
        <is>
          <t>recvhju1CrMWNv</t>
        </is>
      </c>
      <c r="S114" t="inlineStr">
        <is>
          <t>sony-wh-1000xm4-matte-gray-headphones-recvhju1crmwnv</t>
        </is>
      </c>
      <c r="T114"/>
      <c r="U114"/>
      <c r="V114"/>
      <c r="W114" t="inlineStr">
        <is>
          <t>{"choices":[{"finish_reason":"stop","index":0,"logprobs":null,"message":{"annotations":[],"content":"Sony：WH-1000XM4 哑灰色无线降噪耳机，轻盈亲肤材质，佩戴舒适稳固。简约现代设计结合卓越主动降噪与智能触控功能，支持多点连接与语音助手，男女皆宜，打造高品质沉浸式聆听体验，展现极简科技美学。","refusal":null,"role":"assistant"}}],"created":1777019478,"id":"chatcmpl-DY6EQH49adWVPsxE1SoumXTCOl5Gi","model":"gpt-5-chat-latest","object":"chat.completion","service_tier":"default","system_fingerprint":"fp_ad66631dec","usage":{"completion_tokens":84,"completion_tokens_details":{"accepted_prediction_tokens":0,"audio_tokens":0,"reasoning_tokens":0,"rejected_prediction_tokens":0},"prompt_tokens":1583,"prompt_tokens_details":{"audio_tokens":0,"cached_tokens":1536},"total_tokens":1667}}</t>
        </is>
      </c>
      <c r="X114" t="inlineStr">
        <is>
          <t>Sony：WH-1000XM4 哑灰色无线降噪耳机，轻盈亲肤材质，佩戴舒适稳固。简约现代设计结合卓越主动降噪与智能触控功能，支持多点连接与语音助手，男女皆宜，打造高品质沉浸式聆听体验，展现极简科技美学。</t>
        </is>
      </c>
    </row>
    <row r="115" ht="25.5" customHeight="1">
      <c r="A115">
        <v>1654975475</v>
      </c>
      <c r="B115">
        <v>7617486239</v>
      </c>
      <c r="C115" s="2" t="str">
        <f>=HYPERLINK("https://weidian.com/item.html?itemID=7617486239", "https://weidian.com/item.html?itemID=7617486239")</f>
        <v>https://weidian.com/item.html?itemID=7617486239</v>
      </c>
      <c r="D115"/>
      <c r="E115" s="2" t="str">
        <f>=HYPERLINK("https://si.geilicdn.com/pcitem2014204438-22bc0000019ac476613a0a231177_750_1000.jpg?w=640&amp;h=640", "https://si.geilicdn.com/pcitem2014204438-22bc0000019ac476613a0a231177_750_1000.jpg?w=640&amp;h=640")</f>
        <v>https://si.geilicdn.com/pcitem2014204438-22bc0000019ac476613a0a231177_750_1000.jpg?w=640&amp;h=640</v>
      </c>
      <c r="F115" t="inlineStr">
        <is>
          <t>Electronic</t>
        </is>
      </c>
      <c r="G115" t="inlineStr">
        <is>
          <t>Bose</t>
        </is>
      </c>
      <c r="H115">
        <v>390</v>
      </c>
      <c r="I115">
        <v>56.52</v>
      </c>
      <c r="J115" t="inlineStr">
        <is>
          <t>{"id":"chatcmpl-DYLnAuXiB2JxFGPHNYS3igWjCWauv","object":"chat.completion","created":1777079292,"model":"gpt-5-chat-2025-10-03","choices":[{"index":0,"message":{"role":"assistant","content":"ElectronicBose Ultra Open Wireless Earbuds Ivory Noise Cancelling","refusal":null,"annotations":[]},"logprobs":null,"finish_reason":"stop"}],"usage":{"prompt_tokens":889,"completion_tokens":13,"total_tokens":902,"prompt_tokens_details":{"cached_tokens":0,"audio_tokens":0},"completion_tokens_details":{"reasoning_tokens":0,"audio_tokens":0,"accepted_prediction_tokens":0,"rejected_prediction_tokens":0}},"service_tier":"default","system_fingerprint":"fp_ad66631dec"}</t>
        </is>
      </c>
      <c r="K115" t="inlineStr">
        <is>
          <t>ElectronicBose Ultra Open Wireless Earbuds Ivory Noise Cancelling</t>
        </is>
      </c>
      <c r="L115" t="inlineStr">
        <is>
          <t>{"id":"chatcmpl-DYLVz9Qk1rhIS0WlYcfr8i6NxUycp","object":"chat.completion","created":1777078227,"model":"gpt-5-chat-latest","choices":[{"index":0,"message":{"role":"assistant","content":"ElectronicBoseBose Ultra Open Wireless Earbuds: sleek ivory metal finish, ergonomic fit, advanced noise cancellation, immersive 3D sound, perfect for sports, travel, and daily use with modern minimalist style.","refusal":null,"annotations":[]},"logprobs":null,"finish_reason":"stop"}],"usage":{"prompt_tokens":930,"completion_tokens":44,"total_tokens":974,"prompt_tokens_details":{"cached_tokens":0,"audio_tokens":0},"completion_tokens_details":{"reasoning_tokens":0,"audio_tokens":0,"accepted_prediction_tokens":0,"rejected_prediction_tokens":0}},"service_tier":"default","system_fingerprint":"fp_ad66631dec"}</t>
        </is>
      </c>
      <c r="M11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ma=2592000","apim-request-id":"e4bede95-06d2-4bd2-a106-a3f42d9df706","azureml-model-session":"d20260405234249-f9874baf","cache-control":"no-cache, no-store, must-revalidate","connection":"close","content-length":"1013","content-security-policy":"frame-ancestors 'self'","content-type":"application/json","date":"Sat, 25 Apr 2026 00:50:30 GMT","server":"nginx","skip-error-remapping":"true","strict-transport-security":"max-age=31536000; includeSubDomains; preload","via":"1.1 Caddy, 1.1 Caddy","x-api-request-id":"20260425085025622311536e5vrc592","x-content-type-options":"nosniff","x-frame-options":"SAMEORIGIN","x-ms-is-spilled-over":"false","x-ms-rai-invoked":"false","x-ms-region":"Sweden Central","x-new-api-version":"0.5.1","x-oneapi-request-id":"202604250050216546583858268d9d6OXsyFJ8a","x-ratelimit-abusepenalty-active":"False","x-ratelimit-limit-requests":"4991","x-ratelimit-limit-tokens":"4991000","x-ratelimit-remaining-requests":"4990","x-ratelimit-remaining-tokens":"4989308","x-ratelimit-renewalperiod-requests":"60","x-ratelimit-renewalperiod-tokens":"60","x-ratelimit-reset-requests":"12","x-ratelimit-reset-tokens":"20","x-request-id":"7c2be5e3-c230-4333-9d3a-a6666bb78f62"}</t>
        </is>
      </c>
      <c r="N115" t="inlineStr">
        <is>
          <t>ElectronicBoseBose Ultra Open Wireless Earbuds: sleek ivory metal finish, ergonomic fit, advanced noise cancellation, immersive 3D sound, perfect for sports, travel, and daily use with modern minimalist style.</t>
        </is>
      </c>
      <c r="O115" t="inlineStr">
        <is>
          <t>{"id":"chatcmpl-DYLxDqci5K56gy6ltMyRhzyxuqbIm","object":"chat.completion","created":1777079915,"model":"gpt-5-chat-2025-10-03","choices":[{"index":0,"message":{"role":"assistant","content":"Bose, Earbuds,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92,"total_tokens":874,"prompt_tokens_details":{"cached_tokens":0,"audio_tokens":0},"completion_tokens_details":{"reasoning_tokens":0,"audio_tokens":0,"accepted_prediction_tokens":0,"rejected_prediction_tokens":0}},"service_tier":"default","system_fingerprint":"fp_ad66631dec"}</t>
        </is>
      </c>
      <c r="P115" t="inlineStr">
        <is>
          <t>Bose, Earbuds, kakobuy, kakebuy2026, kekobuysheet, kakobuysheet2026, 2026kakobuy, kakobuyspreadsheeet, kakobuylink, kakebuylist, Kakobuy MEGA Spreadsheet, kakobuysheetfind, kakobuysheetfind2026, 2026kakobuysheetfind, kakobuysheet2026</t>
        </is>
      </c>
      <c r="Q115"/>
      <c r="R115" t="inlineStr">
        <is>
          <t>recvhju1CrQw96</t>
        </is>
      </c>
      <c r="S115" t="inlineStr">
        <is>
          <t>bose-ultra-open-wireless-earbuds-ivory-noise-cancelling-recvhju1crqw96</t>
        </is>
      </c>
      <c r="T115"/>
      <c r="U115"/>
      <c r="V115"/>
      <c r="W115" t="inlineStr">
        <is>
          <t>{"id":"chatcmpl-DY6HlzHZsgFAKwfRfXr4UxeDGQYGz","object":"chat.completion","created":1777019685,"model":"gpt-5-chat-latest","choices":[{"index":0,"message":{"role":"assistant","content":"Bose：Ultra开放式真无线蓝牙耳机，米白色金属质感外观，融入流线设计与人体工学结构，佩戴舒适稳固。采用先进音频技术与降噪算法，呈现沉浸立体音效。现代简约风格，男女皆宜，适合运动、通勤及日常休闲，彰显科技与时尚兼具的高端品味。","refusal":null,"annotations":[]},"logprobs":null,"finish_reason":"stop"}],"usage":{"prompt_tokens":1295,"completion_tokens":99,"total_tokens":1394,"prompt_tokens_details":{"cached_tokens":0,"audio_tokens":0},"completion_tokens_details":{"reasoning_tokens":0,"audio_tokens":0,"accepted_prediction_tokens":0,"rejected_prediction_tokens":0}},"service_tier":"default","system_fingerprint":"fp_ad66631dec"}</t>
        </is>
      </c>
      <c r="X115" t="inlineStr">
        <is>
          <t>Bose：Ultra开放式真无线蓝牙耳机，米白色金属质感外观，融入流线设计与人体工学结构，佩戴舒适稳固。采用先进音频技术与降噪算法，呈现沉浸立体音效。现代简约风格，男女皆宜，适合运动、通勤及日常休闲，彰显科技与时尚兼具的高端品味。</t>
        </is>
      </c>
    </row>
    <row r="116" ht="25.5" customHeight="1">
      <c r="A116">
        <v>1654975475</v>
      </c>
      <c r="B116">
        <v>7619997352</v>
      </c>
      <c r="C116" s="2" t="str">
        <f>=HYPERLINK("https://weidian.com/item.html?itemID=7619997352", "https://weidian.com/item.html?itemID=7619997352")</f>
        <v>https://weidian.com/item.html?itemID=7619997352</v>
      </c>
      <c r="D116"/>
      <c r="E116" s="2" t="str">
        <f>=HYPERLINK("https://si.geilicdn.com/pcitem2014204438-34da0000019ac47796530a23037f_1260_1659.jpg?w=640&amp;h=640", "https://si.geilicdn.com/pcitem2014204438-34da0000019ac47796530a23037f_1260_1659.jpg?w=640&amp;h=640")</f>
        <v>https://si.geilicdn.com/pcitem2014204438-34da0000019ac47796530a23037f_1260_1659.jpg?w=640&amp;h=640</v>
      </c>
      <c r="F116" t="inlineStr">
        <is>
          <t>Electronic</t>
        </is>
      </c>
      <c r="G116" t="inlineStr">
        <is>
          <t>Sony</t>
        </is>
      </c>
      <c r="H116">
        <v>900</v>
      </c>
      <c r="I116">
        <v>130.43</v>
      </c>
      <c r="J116" t="inlineStr">
        <is>
          <t>{"id":"chatcmpl-DYLlR72fYfZPd1x7cju4FEB0pYFRj","object":"chat.completion","created":1777079185,"model":"gpt-5-chat-latest","choices":[{"index":0,"message":{"role":"assistant","content":"Sony WH-1000XM5 Wireless Noise Cancelling Bluetooth Headphones","refusal":null,"annotations":[]},"logprobs":null,"finish_reason":"stop"}],"usage":{"prompt_tokens":882,"completion_tokens":15,"total_tokens":897,"prompt_tokens_details":{"cached_tokens":0,"audio_tokens":0},"completion_tokens_details":{"reasoning_tokens":0,"audio_tokens":0,"accepted_prediction_tokens":0,"rejected_prediction_tokens":0}},"service_tier":"default","system_fingerprint":"fp_ad66631dec"}</t>
        </is>
      </c>
      <c r="K116" t="inlineStr">
        <is>
          <t>Sony WH-1000XM5 Wireless Noise Cancelling Bluetooth Headphones</t>
        </is>
      </c>
      <c r="L116" t="inlineStr">
        <is>
          <t>{"choices":[{"finish_reason":"stop","index":0,"logprobs":null,"message":{"annotations":[],"content":"Sony WH-1000XM5 Wireless Noise Cancelling Headphones, sleek black minimalist design, lightweight comfort, Bluetooth &amp; Hi-Res Audio support for premium urban listening, ideal for men and women.","refusal":null,"role":"assistant"}}],"created":1777077897,"id":"chatcmpl-DYLQfeAzPK6qtNAWcJYeBx01g2as1","model":"gpt-5-chat-latest","object":"chat.completion","service_tier":"default","system_fingerprint":"fp_ad66631dec","usage":{"completion_tokens":41,"completion_tokens_details":{"accepted_prediction_tokens":0,"audio_tokens":0,"reasoning_tokens":0,"rejected_prediction_tokens":0},"prompt_tokens":889,"prompt_tokens_details":{"audio_tokens":0,"cached_tokens":0},"total_tokens":930}}</t>
        </is>
      </c>
      <c r="M116" t="inlineStr">
        <is>
          <t>{"alt-svc":"h3=\":443\"; ma=2592000","apim-request-id":"b83a1513-1f06-4eca-9701-83fa5fc4336e","azureml-model-session":"d20260405225800-40f19e54","cache-control":"no-cache","connection":"close","content-length":"785","content-security-policy":"frame-ancestors 'self'","content-type":"application/json","date":"Sat, 25 Apr 2026 00:44:58 GMT","server":"nginx","skip-error-remapping":"true","strict-transport-security":"max-age=31536000; includeSubDomains; preload","via":"1.1 Caddy, 1.1 Caddy","x-api-request-id":"20260425084455176732558Adv7ISFm","x-content-type-options":"nosniff","x-frame-options":"SAMEORIGIN","x-ms-client-request-id":"Not-Set","x-ms-is-spilled-over":"false","x-ms-rai-invoked":"true","x-ms-region":"East US 2","x-new-api-version":"0.5.1","x-oneapi-request-id":"202604250044529996579938268d9d6KT631ujK","x-ratelimit-abusepenalty-active":"False","x-ratelimit-limit-requests":"50","x-ratelimit-limit-tokens":"50000","x-ratelimit-remaining-requests":"49","x-ratelimit-remaining-tokens":"-1016","x-ratelimit-renewalperiod-requests":"60","x-ratelimit-renewalperiod-tokens":"60","x-ratelimit-reset-requests":"1200","x-ratelimit-reset-tokens":"61219","x-request-id":"2383a798-f412-4972-b453-f8500df491a2"}</t>
        </is>
      </c>
      <c r="N116" t="inlineStr">
        <is>
          <t>Sony WH-1000XM5 Wireless Noise Cancelling Headphones, sleek black minimalist design, lightweight comfort, Bluetooth &amp; Hi-Res Audio support for premium urban listening, ideal for men and women.</t>
        </is>
      </c>
      <c r="O116" t="inlineStr">
        <is>
          <t>{"id":"chatcmpl-DYM0NkMpRekl4au89p3BlMS1Men8j","object":"chat.completion","created":1777080111,"model":"gpt-5-chat-2025-10-03","choices":[{"index":0,"message":{"role":"assistant","content":"Sony,Headphones,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87,"total_tokens":868,"prompt_tokens_details":{"cached_tokens":0,"audio_tokens":0},"completion_tokens_details":{"reasoning_tokens":0,"audio_tokens":0,"accepted_prediction_tokens":0,"rejected_prediction_tokens":0}},"service_tier":"default","system_fingerprint":"fp_ad66631dec"}</t>
        </is>
      </c>
      <c r="P116" t="inlineStr">
        <is>
          <t>Sony,Headphones,kakobuy,kakebuy2026,kekobuysheet,kakobuysheet2026,2026kakobuy,kakobuyspreadsheeet,kakobuylink,kakebuylist,Kakobuy MEGA Spreadsheet,kakobuysheetfind,kakobuysheetfind2026,2026kakobuysheetfind,kakobuysheet2026</t>
        </is>
      </c>
      <c r="Q116"/>
      <c r="R116" t="inlineStr">
        <is>
          <t>recvhju1CrCGhJ</t>
        </is>
      </c>
      <c r="S116" t="inlineStr">
        <is>
          <t>sony-wh-1000xm5-recvhju1crcghj</t>
        </is>
      </c>
      <c r="T116"/>
      <c r="U116"/>
      <c r="V116"/>
      <c r="W116" t="inlineStr">
        <is>
          <t>{"choices":[{"finish_reason":"stop","index":0,"logprobs":null,"message":{"annotations":[],"content":"Sony：WH-1000XM5 黑色无线降噪耳机，极简设计搭配轻质材质，融合现代都市风格，支持蓝牙与高解析度音频，男女通用，专为高端聆听体验打造。","refusal":null,"role":"assistant"}}],"created":1777019879,"id":"chatcmpl-DY6KtXYM9nik0xaykW9HY5UYaX98b","model":"gpt-5-chat-latest","object":"chat.completion","service_tier":"default","system_fingerprint":"fp_ad66631dec","usage":{"completion_tokens":58,"completion_tokens_details":{"accepted_prediction_tokens":0,"audio_tokens":0,"reasoning_tokens":0,"rejected_prediction_tokens":0},"prompt_tokens":1295,"prompt_tokens_details":{"audio_tokens":0,"cached_tokens":0},"total_tokens":1353}}</t>
        </is>
      </c>
      <c r="X116" t="inlineStr">
        <is>
          <t>Sony：WH-1000XM5 黑色无线降噪耳机，极简设计搭配轻质材质，融合现代都市风格，支持蓝牙与高解析度音频，男女通用，专为高端聆听体验打造。</t>
        </is>
      </c>
    </row>
    <row r="117" ht="25.5" customHeight="1">
      <c r="A117">
        <v>1654975475</v>
      </c>
      <c r="B117">
        <v>7620511708</v>
      </c>
      <c r="C117" s="2" t="str">
        <f>=HYPERLINK("https://weidian.com/item.html?itemID=7620511708", "https://weidian.com/item.html?itemID=7620511708")</f>
        <v>https://weidian.com/item.html?itemID=7620511708</v>
      </c>
      <c r="D117"/>
      <c r="E117" s="2" t="str">
        <f>=HYPERLINK("https://si.geilicdn.com/pcitem2014204438-2f7a0000019ac466508e0a210256_1440_1920.jpg?w=640&amp;h=640", "https://si.geilicdn.com/pcitem2014204438-2f7a0000019ac466508e0a210256_1440_1920.jpg?w=640&amp;h=640")</f>
        <v>https://si.geilicdn.com/pcitem2014204438-2f7a0000019ac466508e0a210256_1440_1920.jpg?w=640&amp;h=640</v>
      </c>
      <c r="F117" t="inlineStr">
        <is>
          <t>Electronic</t>
        </is>
      </c>
      <c r="G117" t="inlineStr">
        <is>
          <t>Bose</t>
        </is>
      </c>
      <c r="H117">
        <v>400</v>
      </c>
      <c r="I117">
        <v>57.97</v>
      </c>
      <c r="J117" t="inlineStr">
        <is>
          <t>{"id":"chatcmpl-DYLhl6z28oyULxImTjsYF8DoCUAFg","object":"chat.completion","created":1777078957,"model":"gpt-5-chat-latest","choices":[{"index":0,"message":{"role":"assistant","content":"Bose Sound Ultra Lilac Wireless Noise Cancelling Earbuds","refusal":null,"annotations":[]},"logprobs":null,"finish_reason":"stop"}],"usage":{"prompt_tokens":883,"completion_tokens":13,"total_tokens":896,"prompt_tokens_details":{"cached_tokens":0,"audio_tokens":0},"completion_tokens_details":{"reasoning_tokens":0,"audio_tokens":0,"accepted_prediction_tokens":0,"rejected_prediction_tokens":0}},"service_tier":"default","system_fingerprint":"fp_ad66631dec"}</t>
        </is>
      </c>
      <c r="K117" t="inlineStr">
        <is>
          <t>Bose Sound Ultra Lilac Wireless Noise Cancelling Earbuds</t>
        </is>
      </c>
      <c r="L117" t="inlineStr">
        <is>
          <t>{"id":"chatcmpl-DYLTRqAZ8sVmYfgB2DXYCOEmORkfT","object":"chat.completion","created":1777078069,"model":"gpt-5-chat-latest","choices":[{"index":0,"message":{"role":"assistant","content":"Bose Sound Ultra True Wireless Noise Cancelling Earbuds in Lilac, featuring ergonomic in-ear design, matte finish case, high-fidelity audio, and modern luxury style for comfortable all-day wear.","refusal":null,"annotations":[]},"logprobs":null,"finish_reason":"stop"}],"usage":{"prompt_tokens":905,"completion_tokens":41,"total_tokens":946,"prompt_tokens_details":{"cached_tokens":0,"audio_tokens":0},"completion_tokens_details":{"reasoning_tokens":0,"audio_tokens":0,"accepted_prediction_tokens":0,"rejected_prediction_tokens":0}},"service_tier":"default","system_fingerprint":"fp_ad66631dec"}</t>
        </is>
      </c>
      <c r="M11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ma=2592000","apim-request-id":"fe9d14c5-4c7f-4707-9c27-5eb715bb3e7c","azureml-model-session":"d20260405221325-2e8d5e76","cache-control":"no-cache, no-store, must-revalidate","connection":"close","content-length":"998","content-security-policy":"frame-ancestors 'self'","content-type":"application/json","date":"Sat, 25 Apr 2026 00:47:50 GMT","server":"nginx","skip-error-remapping":"true","strict-transport-security":"max-age=31536000; includeSubDomains; preload","via":"1.1 Caddy, 1.1 Caddy","x-api-request-id":"20260425084748190752475niJxjoLW","x-content-type-options":"nosniff","x-frame-options":"SAMEORIGIN","x-ms-is-spilled-over":"false","x-ms-rai-invoked":"false","x-ms-region":"East US 2","x-new-api-version":"0.5.1","x-oneapi-request-id":"202604250047441055449268268d9d6ODXgdpeQ","x-ratelimit-abusepenalty-active":"False","x-ratelimit-limit-requests":"4992","x-ratelimit-limit-tokens":"4992000","x-ratelimit-remaining-requests":"4991","x-ratelimit-remaining-tokens":"4990333","x-ratelimit-renewalperiod-requests":"60","x-ratelimit-renewalperiod-tokens":"60","x-ratelimit-reset-requests":"12","x-ratelimit-reset-tokens":"20","x-request-id":"3369739e-eaa5-44a2-9eea-0043ad6038a6"}</t>
        </is>
      </c>
      <c r="N117" t="inlineStr">
        <is>
          <t>Bose Sound Ultra True Wireless Noise Cancelling Earbuds in Lilac, featuring ergonomic in-ear design, matte finish case, high-fidelity audio, and modern luxury style for comfortable all-day wear.</t>
        </is>
      </c>
      <c r="O117" t="inlineStr">
        <is>
          <t>{"id":"chatcmpl-DYLvVqMwycAqADFXPkOn4lUpDePoh","object":"chat.completion","created":1777079809,"model":"gpt-5-chat-2025-10-03","choices":[{"index":0,"message":{"role":"assistant","content":"Bose, Earbuds,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92,"total_tokens":874,"prompt_tokens_details":{"cached_tokens":0,"audio_tokens":0},"completion_tokens_details":{"reasoning_tokens":0,"audio_tokens":0,"accepted_prediction_tokens":0,"rejected_prediction_tokens":0}},"service_tier":"default","system_fingerprint":"fp_ad66631dec"}</t>
        </is>
      </c>
      <c r="P117" t="inlineStr">
        <is>
          <t>Bose, Earbuds, kakobuy, kakebuy2026, kekobuysheet, kakobuysheet2026, 2026kakobuy, kakobuyspreadsheeet, kakobuylink, kakebuylist, Kakobuy MEGA Spreadsheet, kakobuysheetfind, kakobuysheetfind2026, 2026kakobuysheetfind, kakobuysheet2026</t>
        </is>
      </c>
      <c r="Q117"/>
      <c r="R117" t="inlineStr">
        <is>
          <t>recvhju1Crns1j</t>
        </is>
      </c>
      <c r="S117" t="inlineStr">
        <is>
          <t>bose-sound-ultra-lilac-recvhju1crns1j</t>
        </is>
      </c>
      <c r="T117"/>
      <c r="U117"/>
      <c r="V117"/>
      <c r="W117" t="inlineStr">
        <is>
          <t>{"choices":[{"finish_reason":"stop","index":0,"logprobs":null,"message":{"annotations":[],"content":"Bose：Sound Ultra系列淡紫色真无线降噪耳机，采用光滑磨砂质感外壳，人体工学入耳设计，兼具高保真音质与舒适佩戴体验。轻奢现代风格，适合男女通用，展现简约科技美感。","refusal":null,"role":"assistant"}}],"created":1777019547,"id":"chatcmpl-DY6FXo7ad5bp4uc16tavH49FHOeab","model":"gpt-5-chat-latest","object":"chat.completion","service_tier":"default","system_fingerprint":"fp_ad66631dec","usage":{"completion_tokens":71,"completion_tokens_details":{"accepted_prediction_tokens":0,"audio_tokens":0,"reasoning_tokens":0,"rejected_prediction_tokens":0},"prompt_tokens":1301,"prompt_tokens_details":{"audio_tokens":0,"cached_tokens":0},"total_tokens":1372}}</t>
        </is>
      </c>
      <c r="X117" t="inlineStr">
        <is>
          <t>Bose：Sound Ultra系列淡紫色真无线降噪耳机，采用光滑磨砂质感外壳，人体工学入耳设计，兼具高保真音质与舒适佩戴体验。轻奢现代风格，适合男女通用，展现简约科技美感。</t>
        </is>
      </c>
    </row>
    <row r="118" ht="25.5" customHeight="1">
      <c r="A118">
        <v>1654975475</v>
      </c>
      <c r="B118">
        <v>7620497826</v>
      </c>
      <c r="C118" s="2" t="str">
        <f>=HYPERLINK("https://weidian.com/item.html?itemID=7620497826", "https://weidian.com/item.html?itemID=7620497826")</f>
        <v>https://weidian.com/item.html?itemID=7620497826</v>
      </c>
      <c r="D118"/>
      <c r="E118" s="2" t="str">
        <f>=HYPERLINK("https://si.geilicdn.com/pcitem2014204438-69930000019ac46817400a21146b_1440_1920.jpg?w=640&amp;h=640", "https://si.geilicdn.com/pcitem2014204438-69930000019ac46817400a21146b_1440_1920.jpg?w=640&amp;h=640")</f>
        <v>https://si.geilicdn.com/pcitem2014204438-69930000019ac46817400a21146b_1440_1920.jpg?w=640&amp;h=640</v>
      </c>
      <c r="F118" t="inlineStr">
        <is>
          <t>Electronic</t>
        </is>
      </c>
      <c r="G118" t="inlineStr">
        <is>
          <t>Bose</t>
        </is>
      </c>
      <c r="H118">
        <v>400</v>
      </c>
      <c r="I118">
        <v>57.97</v>
      </c>
      <c r="J118" t="inlineStr">
        <is>
          <t>{"id":"chatcmpl-DYLg9DjD9N3tLgUNCh3SYENxVgv7M","object":"chat.completion","created":1777078857,"model":"gpt-5-chat-latest","choices":[{"index":0,"message":{"role":"assistant","content":"Bose Ultra Black Open Wireless Noise Cancelling Earbuds","refusal":null,"annotations":[]},"logprobs":null,"finish_reason":"stop"}],"usage":{"prompt_tokens":883,"completion_tokens":12,"total_tokens":895,"prompt_tokens_details":{"cached_tokens":0,"audio_tokens":0},"completion_tokens_details":{"reasoning_tokens":0,"audio_tokens":0,"accepted_prediction_tokens":0,"rejected_prediction_tokens":0}},"service_tier":"default","system_fingerprint":"fp_ad66631dec"}</t>
        </is>
      </c>
      <c r="K118" t="inlineStr">
        <is>
          <t>Bose Ultra Black Open Wireless Noise Cancelling Earbuds</t>
        </is>
      </c>
      <c r="L118" t="inlineStr">
        <is>
          <t>{"choices":[{"finish_reason":"stop","index":0,"logprobs":null,"message":{"annotations":[],"content":"ElectronicBoseBose Ultra Black Open Wireless Earbuds feature a sleek matte finish, ergonomic fit, Hi-Fi sound, active noise cancellation, long battery life, and smart touch for commute or workouts.","refusal":null,"role":"assistant"}}],"created":1777077864,"id":"chatcmpl-DYLQ8tsv0D0YTqjoqYPaah49O86iP","model":"gpt-5-chat-latest","object":"chat.completion","service_tier":"default","system_fingerprint":"fp_ad66631dec","usage":{"completion_tokens":41,"completion_tokens_details":{"accepted_prediction_tokens":0,"audio_tokens":0,"reasoning_tokens":0,"rejected_prediction_tokens":0},"prompt_tokens":913,"prompt_tokens_details":{"audio_tokens":0,"cached_tokens":0},"total_tokens":954}}</t>
        </is>
      </c>
      <c r="M118" t="inlineStr">
        <is>
          <t>{"alt-svc":"h3=\":443\"; ma=2592000","apim-request-id":"e2cb00dc-0653-4df1-96a5-1b6691a872c7","azureml-model-session":"d20260402075109-1fc5a0ec","cache-control":"no-cache","connection":"close","content-length":"785","content-security-policy":"frame-ancestors 'self'","content-type":"application/json","date":"Sat, 25 Apr 2026 00:44:27 GMT","server":"Caddy","skip-error-remapping":"true","strict-transport-security":"max-age=31536000; includeSubDomains; preload","via":"1.1 Caddy","x-api-request-id":"20260425084422191691104rYlNZQnA","x-content-type-options":"nosniff","x-frame-options":"SAMEORIGIN","x-ms-client-request-id":"Not-Set","x-ms-is-spilled-over":"false","x-ms-rai-invoked":"true","x-ms-region":"East US 2","x-new-api-version":"0.5.1","x-oneapi-request-id":"202604250044196431050878268d9d6Le7p0RTL","x-ratelimit-abusepenalty-active":"False","x-ratelimit-limit-requests":"50","x-ratelimit-limit-tokens":"50000","x-ratelimit-remaining-requests":"49","x-ratelimit-remaining-tokens":"-1442","x-ratelimit-renewalperiod-requests":"60","x-ratelimit-renewalperiod-tokens":"60","x-ratelimit-reset-requests":"1200","x-ratelimit-reset-tokens":"61730","x-request-id":"928dc141-680a-4522-9368-4e9b0c21afd7"}</t>
        </is>
      </c>
      <c r="N118" t="inlineStr">
        <is>
          <t>ElectronicBoseBose Ultra Black Open Wireless Earbuds feature a sleek matte finish, ergonomic fit, Hi-Fi sound, active noise cancellation, long battery life, and smart touch for commute or workouts.</t>
        </is>
      </c>
      <c r="O118" t="inlineStr">
        <is>
          <t>{"id":"chatcmpl-DYM0dVnyupZQddZ13djQsu1SLmMHX","object":"chat.completion","created":1777080127,"model":"gpt-5-chat-2025-10-03","choices":[{"index":0,"message":{"role":"assistant","content":"Bose, Earbuds,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92,"total_tokens":874,"prompt_tokens_details":{"cached_tokens":0,"audio_tokens":0},"completion_tokens_details":{"reasoning_tokens":0,"audio_tokens":0,"accepted_prediction_tokens":0,"rejected_prediction_tokens":0}},"service_tier":"default","system_fingerprint":"fp_ad66631dec"}</t>
        </is>
      </c>
      <c r="P118" t="inlineStr">
        <is>
          <t>Bose, Earbuds, kakobuy, kakebuy2026, kekobuysheet, kakobuysheet2026, 2026kakobuy, kakobuyspreadsheeet, kakobuylink, kakebuylist, Kakobuy MEGA Spreadsheet, kakobuysheetfind, kakobuysheetfind2026, 2026kakobuysheetfind, kakobuysheet2026</t>
        </is>
      </c>
      <c r="Q118"/>
      <c r="R118" t="inlineStr">
        <is>
          <t>recvhju1CrjzPy</t>
        </is>
      </c>
      <c r="S118" t="inlineStr">
        <is>
          <t>bose-ultra-black-open-wireless-noise-cancelling-earbuds-recvhju1crjzpy</t>
        </is>
      </c>
      <c r="T118"/>
      <c r="U118"/>
      <c r="V118"/>
      <c r="W118" t="inlineStr">
        <is>
          <t>{"id":"chatcmpl-DY6FZH3XYWxpt7soEPAW0X0qkKGj9","object":"chat.completion","created":1777019549,"model":"gpt-5-chat-latest","choices":[{"index":0,"message":{"role":"assistant","content":"Bose：Ultra系列黑色开放式无线耳机，轻盈哑光质感外壳，人体工学设计带来舒适稳固佩戴体验，支持高保真音质与主动降噪功能，搭载持久续航与智能触控，适合男女日常通勤与运动使用，展现极简科技风格。","refusal":null,"annotations":[]},"logprobs":null,"finish_reason":"stop"}],"usage":{"prompt_tokens":1295,"completion_tokens":82,"total_tokens":1377,"prompt_tokens_details":{"cached_tokens":0,"audio_tokens":0},"completion_tokens_details":{"reasoning_tokens":0,"audio_tokens":0,"accepted_prediction_tokens":0,"rejected_prediction_tokens":0}},"service_tier":"default","system_fingerprint":"fp_ad66631dec"}</t>
        </is>
      </c>
      <c r="X118" t="inlineStr">
        <is>
          <t>Bose：Ultra系列黑色开放式无线耳机，轻盈哑光质感外壳，人体工学设计带来舒适稳固佩戴体验，支持高保真音质与主动降噪功能，搭载持久续航与智能触控，适合男女日常通勤与运动使用，展现极简科技风格。</t>
        </is>
      </c>
    </row>
    <row r="119" ht="25.5" customHeight="1">
      <c r="A119">
        <v>1654975475</v>
      </c>
      <c r="B119">
        <v>7617480281</v>
      </c>
      <c r="C119" s="2" t="str">
        <f>=HYPERLINK("https://weidian.com/item.html?itemID=7617480281", "https://weidian.com/item.html?itemID=7617480281")</f>
        <v>https://weidian.com/item.html?itemID=7617480281</v>
      </c>
      <c r="D119"/>
      <c r="E119" s="2" t="str">
        <f>=HYPERLINK("https://si.geilicdn.com/pcitem2014204438-31210000019ac46a05d20a20e284_1080_1440.jpg?w=640&amp;h=640", "https://si.geilicdn.com/pcitem2014204438-31210000019ac46a05d20a20e284_1080_1440.jpg?w=640&amp;h=640")</f>
        <v>https://si.geilicdn.com/pcitem2014204438-31210000019ac46a05d20a20e284_1080_1440.jpg?w=640&amp;h=640</v>
      </c>
      <c r="F119" t="inlineStr">
        <is>
          <t>Electronic</t>
        </is>
      </c>
      <c r="G119" t="inlineStr">
        <is>
          <t>Beats</t>
        </is>
      </c>
      <c r="H119">
        <v>396</v>
      </c>
      <c r="I119">
        <v>57.39</v>
      </c>
      <c r="J119" t="inlineStr">
        <is>
          <t>{"id":"chatcmpl-DYLlQ8wY2nT5z6T0Wy2Ao5cy4kJ03","object":"chat.completion","created":1777079184,"model":"gpt-5-chat-latest","choices":[{"index":0,"message":{"role":"assistant","content":"Beats Powerbeats Pro 2 Black Wireless Sport Earbuds","refusal":null,"annotations":[]},"logprobs":null,"finish_reason":"stop"}],"usage":{"prompt_tokens":881,"completion_tokens":13,"total_tokens":894,"prompt_tokens_details":{"cached_tokens":0,"audio_tokens":0},"completion_tokens_details":{"reasoning_tokens":0,"audio_tokens":0,"accepted_prediction_tokens":0,"rejected_prediction_tokens":0}},"service_tier":"default","system_fingerprint":"fp_ad66631dec"}</t>
        </is>
      </c>
      <c r="K119" t="inlineStr">
        <is>
          <t>Beats Powerbeats Pro 2 Black Wireless Sport Earbuds</t>
        </is>
      </c>
      <c r="L119" t="inlineStr">
        <is>
          <t>{"choices":[{"finish_reason":"stop","index":0,"logprobs":null,"message":{"annotations":[],"content":"ElectronicBeatsBeats Powerbeats Pro 2 Black True Wireless Sport Earbuds, lightweight with secure ear hooks, sweat &amp; water resistant, long battery life, minimalist design for men and women.","refusal":null,"role":"assistant"}}],"created":1777077830,"id":"chatcmpl-DYLPa0ji807bJfprvn2wBgmSAqQtg","model":"gpt-5-chat-latest","object":"chat.completion","service_tier":"default","system_fingerprint":"fp_ad66631dec","usage":{"completion_tokens":40,"completion_tokens_details":{"accepted_prediction_tokens":0,"audio_tokens":0,"reasoning_tokens":0,"rejected_prediction_tokens":0},"prompt_tokens":891,"prompt_tokens_details":{"audio_tokens":0,"cached_tokens":0},"total_tokens":931}}</t>
        </is>
      </c>
      <c r="M119" t="inlineStr">
        <is>
          <t>{"alt-svc":"h3=\":443\"; ma=2592000","apim-request-id":"bcbfc484-9dbb-4b5f-97ec-cf2dce446fbd","azureml-model-session":"d20260402083108-57a85543","cache-control":"no-cache","connection":"close","content-length":"781","content-security-policy":"frame-ancestors 'self'","content-type":"application/json","date":"Sat, 25 Apr 2026 00:43:51 GMT","server":"nginx","skip-error-remapping":"true","strict-transport-security":"max-age=31536000; includeSubDomains; preload","via":"1.1 Caddy, 1.1 Caddy","x-api-request-id":"20260425084348377992531wBgZekIZ","x-content-type-options":"nosniff","x-frame-options":"SAMEORIGIN","x-ms-client-request-id":"Not-Set","x-ms-is-spilled-over":"false","x-ms-rai-invoked":"true","x-ms-region":"East US 2","x-new-api-version":"0.5.1","x-oneapi-request-id":"202604250043468278335348268d9d6mjSId1s9","x-ratelimit-abusepenalty-active":"False","x-ratelimit-limit-requests":"50","x-ratelimit-limit-tokens":"50000","x-ratelimit-remaining-requests":"49","x-ratelimit-remaining-tokens":"-1297","x-ratelimit-renewalperiod-requests":"60","x-ratelimit-renewalperiod-tokens":"60","x-ratelimit-reset-requests":"1200","x-ratelimit-reset-tokens":"61556","x-request-id":"f2cd6e44-316f-4d08-b605-95305b784d5a"}</t>
        </is>
      </c>
      <c r="N119" t="inlineStr">
        <is>
          <t>ElectronicBeatsBeats Powerbeats Pro 2 Black True Wireless Sport Earbuds, lightweight with secure ear hooks, sweat &amp; water resistant, long battery life, minimalist design for men and women.</t>
        </is>
      </c>
      <c r="O119" t="inlineStr">
        <is>
          <t>{"id":"chatcmpl-DYLulINydbNap9MvPBB4zewok45B0","object":"chat.completion","created":1777079763,"model":"gpt-5-chat-2025-10-03","choices":[{"index":0,"message":{"role":"assistant","content":"Beats, earphones,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92,"total_tokens":874,"prompt_tokens_details":{"cached_tokens":0,"audio_tokens":0},"completion_tokens_details":{"reasoning_tokens":0,"audio_tokens":0,"accepted_prediction_tokens":0,"rejected_prediction_tokens":0}},"service_tier":"default","system_fingerprint":"fp_ad66631dec"}</t>
        </is>
      </c>
      <c r="P119" t="inlineStr">
        <is>
          <t>Beats, earphones, kakobuy, kakebuy2026, kekobuysheet, kakobuysheet2026, 2026kakobuy, kakobuyspreadsheeet, kakobuylink, kakebuylist, Kakobuy MEGA Spreadsheet, kakobuysheetfind, kakobuysheetfind2026, 2026kakobuysheetfind, kakobuysheet2026</t>
        </is>
      </c>
      <c r="Q119"/>
      <c r="R119" t="inlineStr">
        <is>
          <t>recvhju1Cr6h9O</t>
        </is>
      </c>
      <c r="S119" t="inlineStr">
        <is>
          <t>beats-powerbeats-pro-2-black-wireless-sport-earbuds-recvhju1cr6h9o</t>
        </is>
      </c>
      <c r="T119"/>
      <c r="U119"/>
      <c r="V119"/>
      <c r="W119" t="inlineStr">
        <is>
          <t>{"choices":[{"finish_reason":"stop","index":0,"logprobs":null,"message":{"annotations":[],"content":"Beats：Powerbeats Pro 2 黑色运动真无线耳机，轻盈材质搭配稳固耳挂设计，极简科技风格，男女皆宜，支持防汗防水与长续航功能，展现现代动感美学。","refusal":null,"role":"assistant"}}],"created":1777019635,"id":"chatcmpl-DY6GxcoVDbHCc6APluEBCJSwuGEf9","model":"gpt-5-chat-latest","object":"chat.completion","service_tier":"default","system_fingerprint":"fp_ad66631dec","usage":{"completion_tokens":58,"completion_tokens_details":{"accepted_prediction_tokens":0,"audio_tokens":0,"reasoning_tokens":0,"rejected_prediction_tokens":0},"prompt_tokens":1299,"prompt_tokens_details":{"audio_tokens":0,"cached_tokens":0},"total_tokens":1357}}</t>
        </is>
      </c>
      <c r="X119" t="inlineStr">
        <is>
          <t>Beats：Powerbeats Pro 2 黑色运动真无线耳机，轻盈材质搭配稳固耳挂设计，极简科技风格，男女皆宜，支持防汗防水与长续航功能，展现现代动感美学。</t>
        </is>
      </c>
    </row>
    <row r="120" ht="25.5" customHeight="1">
      <c r="A120">
        <v>1654975475</v>
      </c>
      <c r="B120">
        <v>7617482197</v>
      </c>
      <c r="C120" s="2" t="str">
        <f>=HYPERLINK("https://weidian.com/item.html?itemID=7617482197", "https://weidian.com/item.html?itemID=7617482197")</f>
        <v>https://weidian.com/item.html?itemID=7617482197</v>
      </c>
      <c r="D120"/>
      <c r="E120" s="2" t="str">
        <f>=HYPERLINK("https://si.geilicdn.com/pcitem2014204438-78fb0000019ac46dbb370a811411_1080_1080.jpg?w=640&amp;h=640", "https://si.geilicdn.com/pcitem2014204438-78fb0000019ac46dbb370a811411_1080_1080.jpg?w=640&amp;h=640")</f>
        <v>https://si.geilicdn.com/pcitem2014204438-78fb0000019ac46dbb370a811411_1080_1080.jpg?w=640&amp;h=640</v>
      </c>
      <c r="F120" t="inlineStr">
        <is>
          <t>Electronic</t>
        </is>
      </c>
      <c r="G120" t="inlineStr">
        <is>
          <t>Beats</t>
        </is>
      </c>
      <c r="H120">
        <v>316</v>
      </c>
      <c r="I120">
        <v>45.8</v>
      </c>
      <c r="J120" t="inlineStr">
        <is>
          <t>{"choices":[{"finish_reason":"stop","index":0,"logprobs":null,"message":{"annotations":[],"content":"ElectronicBeats Red Bluetooth Headphones Noise Canceling Wireless","refusal":null,"role":"assistant"}}],"created":1777078999,"id":"chatcmpl-DYLiRIXV9xniomM80m9MI4FDEvaST","model":"gpt-5-chat-latest","object":"chat.completion","service_tier":"default","system_fingerprint":"fp_ad66631dec","usage":{"completion_tokens":12,"completion_tokens_details":{"accepted_prediction_tokens":0,"audio_tokens":0,"reasoning_tokens":0,"rejected_prediction_tokens":0},"prompt_tokens":879,"prompt_tokens_details":{"audio_tokens":0,"cached_tokens":0},"total_tokens":891}}</t>
        </is>
      </c>
      <c r="K120" t="inlineStr">
        <is>
          <t>ElectronicBeats Red Bluetooth Headphones Noise Canceling Wireless</t>
        </is>
      </c>
      <c r="L120" t="inlineStr">
        <is>
          <t>{"id":"chatcmpl-DYLSYbE8HoNalZsemx5wBory1YJfo","object":"chat.completion","created":1777078014,"model":"gpt-5-chat-latest","choices":[{"index":0,"message":{"role":"assistant","content":"ElectronicBeatsBeats Red Wireless Bluetooth Headphones – Matte finish, lightweight and portable, minimalist modern design, unisex, noise-canceling, long battery life, trendy tech aesthetic.","refusal":null,"annotations":[]},"logprobs":null,"finish_reason":"stop"}],"usage":{"prompt_tokens":889,"completion_tokens":39,"total_tokens":928,"prompt_tokens_details":{"cached_tokens":0,"audio_tokens":0},"completion_tokens_details":{"reasoning_tokens":0,"audio_tokens":0,"accepted_prediction_tokens":0,"rejected_prediction_tokens":0}},"service_tier":"default","system_fingerprint":"fp_ad66631dec"}</t>
        </is>
      </c>
      <c r="M12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ma=2592000","apim-request-id":"34ebd883-f5ca-4bc5-8f32-713240e152eb","azureml-model-session":"d20260405221325-2e8d5e76","cache-control":"no-cache, no-store, must-revalidate","connection":"close","content-length":"995","content-security-policy":"frame-ancestors 'self'","content-type":"application/json","date":"Sat, 25 Apr 2026 00:46:57 GMT","server":"Caddy","skip-error-remapping":"true","strict-transport-security":"max-age=31536000; includeSubDomains; preload","via":"1.1 Caddy","x-api-request-id":"20260425084653486754423UhrPzZWR","x-content-type-options":"nosniff","x-frame-options":"SAMEORIGIN","x-ms-is-spilled-over":"false","x-ms-rai-invoked":"false","x-ms-region":"Sweden Central","x-new-api-version":"0.5.1","x-oneapi-request-id":"202604250046514882373988268d9d678Pe895D","x-ratelimit-abusepenalty-active":"False","x-ratelimit-limit-requests":"4991","x-ratelimit-limit-tokens":"4991000","x-ratelimit-remaining-requests":"4990","x-ratelimit-remaining-tokens":"4989349","x-ratelimit-renewalperiod-requests":"60","x-ratelimit-renewalperiod-tokens":"60","x-ratelimit-reset-requests":"12","x-ratelimit-reset-tokens":"19","x-request-id":"2557bcd5-c0ee-4d31-b3ba-542ac7be8f75"}</t>
        </is>
      </c>
      <c r="N120" t="inlineStr">
        <is>
          <t>ElectronicBeatsBeats Red Wireless Bluetooth Headphones – Matte finish, lightweight and portable, minimalist modern design, unisex, noise-canceling, long battery life, trendy tech aesthetic.</t>
        </is>
      </c>
      <c r="O120" t="inlineStr">
        <is>
          <t>{"id":"chatcmpl-DYLxKfGe1nDwDgc83kKbsMc3zvWGt","object":"chat.completion","created":1777079922,"model":"gpt-5-chat-2025-10-03","choices":[{"index":0,"message":{"role":"assistant","content":"Beats,Headphon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20" t="inlineStr">
        <is>
          <t>Beats,Headphones,kakobuy,kakebuy2026,kekobuysheet,kakobuysheet2026,2026kakobuy,kakobuyspreadsheeet,kakobuylink,kakebuylist,Kakobuy MEGA Spreadsheet,kakobuysheetfind,kakobuysheetfind2026,2026kakobuysheetfind,kakobuysheet2026</t>
        </is>
      </c>
      <c r="Q120"/>
      <c r="R120" t="inlineStr">
        <is>
          <t>recvhju1CrZR2v</t>
        </is>
      </c>
      <c r="S120" t="inlineStr">
        <is>
          <t>electronicbeats-red-bluetooth-headphones-noise-canceling-wireless-recvhju1crzr2v</t>
        </is>
      </c>
      <c r="T120"/>
      <c r="U120"/>
      <c r="V120"/>
      <c r="W120" t="inlineStr">
        <is>
          <t>{"id":"chatcmpl-DY6EYCOfc4nVydrDnQY4dKzM5xo5u","object":"chat.completion","created":1777019486,"model":"gpt-5-chat-latest","choices":[{"index":0,"message":{"role":"assistant","content":"Beats：红色无线头戴式蓝牙耳机，哑光质感材质，轻盈便携设计，融合简约现代风格，男女通用，支持降噪与长续航，尽显潮流科技美学。","refusal":null,"annotations":[]},"logprobs":null,"finish_reason":"stop"}],"usage":{"prompt_tokens":1297,"completion_tokens":57,"total_tokens":1354,"prompt_tokens_details":{"cached_tokens":0,"audio_tokens":0},"completion_tokens_details":{"reasoning_tokens":0,"audio_tokens":0,"accepted_prediction_tokens":0,"rejected_prediction_tokens":0}},"service_tier":"default","system_fingerprint":"fp_ad66631dec"}</t>
        </is>
      </c>
      <c r="X120" t="inlineStr">
        <is>
          <t>Beats：红色无线头戴式蓝牙耳机，哑光质感材质，轻盈便携设计，融合简约现代风格，男女通用，支持降噪与长续航，尽显潮流科技美学。</t>
        </is>
      </c>
    </row>
    <row r="121" ht="25.5" customHeight="1">
      <c r="A121">
        <v>1654975475</v>
      </c>
      <c r="B121">
        <v>7617506039</v>
      </c>
      <c r="C121" s="2" t="str">
        <f>=HYPERLINK("https://weidian.com/item.html?itemID=7617506039", "https://weidian.com/item.html?itemID=7617506039")</f>
        <v>https://weidian.com/item.html?itemID=7617506039</v>
      </c>
      <c r="D121"/>
      <c r="E121" s="2" t="str">
        <f>=HYPERLINK("https://si.geilicdn.com/pcitem2014204438-242e0000019ac46fb6b10a20e273_1442_1922.jpg?w=640&amp;h=640", "https://si.geilicdn.com/pcitem2014204438-242e0000019ac46fb6b10a20e273_1442_1922.jpg?w=640&amp;h=640")</f>
        <v>https://si.geilicdn.com/pcitem2014204438-242e0000019ac46fb6b10a20e273_1442_1922.jpg?w=640&amp;h=640</v>
      </c>
      <c r="F121" t="inlineStr">
        <is>
          <t>Electronic</t>
        </is>
      </c>
      <c r="G121" t="inlineStr">
        <is>
          <t>Bose</t>
        </is>
      </c>
      <c r="H121">
        <v>316</v>
      </c>
      <c r="I121">
        <v>45.8</v>
      </c>
      <c r="J121" t="inlineStr">
        <is>
          <t>{"choices":[{"finish_reason":"stop","index":0,"logprobs":null,"message":{"annotations":[],"content":"Bose Black Bluetooth Noise Cancelling Headphones Wireless","refusal":null,"role":"assistant"}}],"created":1777079025,"id":"chatcmpl-DYLirc3SoW8g7lxl6hOs3xAZX1L8Y","model":"gpt-5-chat-latest","object":"chat.completion","service_tier":"default","system_fingerprint":"fp_ad66631dec","usage":{"completion_tokens":11,"completion_tokens_details":{"accepted_prediction_tokens":0,"audio_tokens":0,"reasoning_tokens":0,"rejected_prediction_tokens":0},"prompt_tokens":873,"prompt_tokens_details":{"audio_tokens":0,"cached_tokens":0},"total_tokens":884}}</t>
        </is>
      </c>
      <c r="K121" t="inlineStr">
        <is>
          <t>Bose Black Bluetooth Noise Cancelling Headphones Wireless</t>
        </is>
      </c>
      <c r="L121" t="inlineStr">
        <is>
          <t>{"id":"chatcmpl-DYLbplhJ0sstNHBypSpvlrUQzp0yq","object":"chat.completion","created":1777078589,"model":"gpt-5-chat-latest","choices":[{"index":0,"message":{"role":"assistant","content":"ElectronicBoseBose Black Active Noise Cancelling Bluetooth Headphones with soft leather ear cushions, ergonomic fit, immersive sound, and modern minimalist style for premium comfort and fashion.","refusal":null,"annotations":[]},"logprobs":null,"finish_reason":"stop"}],"usage":{"prompt_tokens":904,"completion_tokens":36,"total_tokens":940,"prompt_tokens_details":{"cached_tokens":0,"audio_tokens":0},"completion_tokens_details":{"reasoning_tokens":0,"audio_tokens":0,"accepted_prediction_tokens":0,"rejected_prediction_tokens":0}},"service_tier":"default","system_fingerprint":"fp_ad66631dec"}</t>
        </is>
      </c>
      <c r="M12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ma=2592000","apim-request-id":"5a94d820-87cd-49ad-bcc2-d76b6b66fdd3","azureml-model-session":"d20260405234249-f9874baf","cache-control":"no-cache, no-store, must-revalidate","connection":"close","content-length":"998","content-security-policy":"frame-ancestors 'self'","content-type":"application/json","date":"Sat, 25 Apr 2026 00:56:32 GMT","server":"Caddy","skip-error-remapping":"true","strict-transport-security":"max-age=31536000; includeSubDomains; preload","via":"1.1 Caddy","x-api-request-id":"20260425085628497077766vldGysPw","x-content-type-options":"nosniff","x-frame-options":"SAMEORIGIN","x-ms-is-spilled-over":"false","x-ms-rai-invoked":"false","x-ms-region":"Sweden Central","x-new-api-version":"0.5.1","x-oneapi-request-id":"202604250056267396251098268d9d6f6w3mazJ","x-ratelimit-abusepenalty-active":"False","x-ratelimit-limit-requests":"4991","x-ratelimit-limit-tokens":"4991000","x-ratelimit-remaining-requests":"4990","x-ratelimit-remaining-tokens":"4989334","x-ratelimit-renewalperiod-requests":"60","x-ratelimit-renewalperiod-tokens":"60","x-ratelimit-reset-requests":"12","x-ratelimit-reset-tokens":"20","x-request-id":"01e3637e-8066-4412-a629-35d1c0f8e414"}</t>
        </is>
      </c>
      <c r="N121" t="inlineStr">
        <is>
          <t>ElectronicBoseBose Black Active Noise Cancelling Bluetooth Headphones with soft leather ear cushions, ergonomic fit, immersive sound, and modern minimalist style for premium comfort and fashion.</t>
        </is>
      </c>
      <c r="O121" t="inlineStr">
        <is>
          <t>{"id":"chatcmpl-DYM0qpPvkn4WVgzXSjrIQkXG2zure","object":"chat.completion","created":1777080140,"model":"gpt-5-chat-2025-10-03","choices":[{"index":0,"message":{"role":"assistant","content":"Bose,Headphon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21" t="inlineStr">
        <is>
          <t>Bose,Headphones,kakobuy,kakebuy2026,kekobuysheet,kakobuysheet2026,2026kakobuy,kakobuyspreadsheeet,kakobuylink,kakebuylist,Kakobuy MEGA Spreadsheet,kakobuysheetfind,kakobuysheetfind2026,2026kakobuysheetfind,kakobuysheet2026</t>
        </is>
      </c>
      <c r="Q121"/>
      <c r="R121" t="inlineStr">
        <is>
          <t>recvhju1CrP2gm</t>
        </is>
      </c>
      <c r="S121" t="inlineStr">
        <is>
          <t>bose-black-bluetooth-noise-cancelling-headphones-wireless-recvhju1crp2gm</t>
        </is>
      </c>
      <c r="T121"/>
      <c r="U121"/>
      <c r="V121"/>
      <c r="W121" t="inlineStr">
        <is>
          <t>{"id":"chatcmpl-DY6F3v2fRBqbChFrMLjj3Hs3LKerI","object":"chat.completion","created":1777019517,"model":"gpt-5-chat-latest","choices":[{"index":0,"message":{"role":"assistant","content":"Bose：黑色主动降噪蓝牙耳机，采用轻盈柔软皮革耳垫与人体工学设计，提供沉浸式音质体验。极简现代风格，适合男女通用，时尚与舒适并重，完美呈现高端科技质感。","refusal":null,"annotations":[]},"logprobs":null,"finish_reason":"stop"}],"usage":{"prompt_tokens":1301,"completion_tokens":70,"total_tokens":1371,"prompt_tokens_details":{"cached_tokens":0,"audio_tokens":0},"completion_tokens_details":{"reasoning_tokens":0,"audio_tokens":0,"accepted_prediction_tokens":0,"rejected_prediction_tokens":0}},"service_tier":"default","system_fingerprint":"fp_ad66631dec"}</t>
        </is>
      </c>
      <c r="X121" t="inlineStr">
        <is>
          <t>Bose：黑色主动降噪蓝牙耳机，采用轻盈柔软皮革耳垫与人体工学设计，提供沉浸式音质体验。极简现代风格，适合男女通用，时尚与舒适并重，完美呈现高端科技质感。</t>
        </is>
      </c>
    </row>
    <row r="122" ht="25.5" customHeight="1">
      <c r="A122">
        <v>1654975475</v>
      </c>
      <c r="B122">
        <v>7620468474</v>
      </c>
      <c r="C122" s="2" t="str">
        <f>=HYPERLINK("https://weidian.com/item.html?itemID=7620468474", "https://weidian.com/item.html?itemID=7620468474")</f>
        <v>https://weidian.com/item.html?itemID=7620468474</v>
      </c>
      <c r="D122"/>
      <c r="E122" s="2" t="str">
        <f>=HYPERLINK("https://si.geilicdn.com/pcitem2014204438-2cc20000019ac4724f050a20e672_1442_1922.jpg?w=640&amp;h=640", "https://si.geilicdn.com/pcitem2014204438-2cc20000019ac4724f050a20e672_1442_1922.jpg?w=640&amp;h=640")</f>
        <v>https://si.geilicdn.com/pcitem2014204438-2cc20000019ac4724f050a20e672_1442_1922.jpg?w=640&amp;h=640</v>
      </c>
      <c r="F122" t="inlineStr">
        <is>
          <t>Electronic</t>
        </is>
      </c>
      <c r="G122" t="inlineStr">
        <is>
          <t>Beats</t>
        </is>
      </c>
      <c r="H122">
        <v>316</v>
      </c>
      <c r="I122">
        <v>45.8</v>
      </c>
      <c r="J122" t="inlineStr">
        <is>
          <t>{"id":"chatcmpl-DYLmbojwlHB1JWr6zV14QpZkkhXta","object":"chat.completion","created":1777079257,"model":"gpt-5-chat-2025-10-03","choices":[{"index":0,"message":{"role":"assistant","content":"Beats Studio Pro Brown Wireless Headphones","refusal":null,"annotations":[]},"logprobs":null,"finish_reason":"stop"}],"usage":{"prompt_tokens":879,"completion_tokens":9,"total_tokens":888,"prompt_tokens_details":{"cached_tokens":0,"audio_tokens":0},"completion_tokens_details":{"reasoning_tokens":0,"audio_tokens":0,"accepted_prediction_tokens":0,"rejected_prediction_tokens":0}},"service_tier":"default","system_fingerprint":"fp_ad66631dec"}</t>
        </is>
      </c>
      <c r="K122" t="inlineStr">
        <is>
          <t>Beats Studio Pro Brown Wireless Headphones</t>
        </is>
      </c>
      <c r="L122" t="inlineStr">
        <is>
          <t>{"choices":[{"finish_reason":"stop","index":0,"logprobs":null,"message":{"annotations":[],"content":"Beats Studio Pro Brown Headphones feature a modern minimalist design, matte finish, soft leather ear cushions, Active Noise Cancelling, and Spatial Audio for premium comfort and high-end sound style.","refusal":null,"role":"assistant"}}],"created":1777078037,"id":"chatcmpl-DYLSv7sq6SKXj8MsYOyj1MRR2fg97","model":"gpt-5-chat-latest","object":"chat.completion","service_tier":"default","system_fingerprint":"fp_ad66631dec","usage":{"completion_tokens":39,"completion_tokens_details":{"accepted_prediction_tokens":0,"audio_tokens":0,"reasoning_tokens":0,"rejected_prediction_tokens":0},"prompt_tokens":910,"prompt_tokens_details":{"audio_tokens":0,"cached_tokens":0},"total_tokens":949}}</t>
        </is>
      </c>
      <c r="M122" t="inlineStr">
        <is>
          <t>{"alt-svc":"h3=\":443\"; ma=2592000","apim-request-id":"decb0237-b918-4e9e-b200-f67699b23fbe","azureml-model-session":"d20260402083108-57a85543","cache-control":"no-cache","connection":"close","content-length":"787","content-security-policy":"frame-ancestors 'self'","content-type":"application/json","date":"Sat, 25 Apr 2026 00:47:18 GMT","server":"Caddy","skip-error-remapping":"true","strict-transport-security":"max-age=31536000; includeSubDomains; preload","via":"1.1 Caddy","x-api-request-id":"20260425084715150080889KnS9QHK1","x-content-type-options":"nosniff","x-frame-options":"SAMEORIGIN","x-ms-client-request-id":"Not-Set","x-ms-is-spilled-over":"false","x-ms-rai-invoked":"true","x-ms-region":"East US 2","x-new-api-version":"0.5.1","x-oneapi-request-id":"202604250047149064201728268d9d6mi5dO2eu","x-ratelimit-abusepenalty-active":"False","x-ratelimit-limit-requests":"50","x-ratelimit-limit-tokens":"50000","x-ratelimit-remaining-requests":"47","x-ratelimit-remaining-tokens":"-1570","x-ratelimit-renewalperiod-requests":"60","x-ratelimit-renewalperiod-tokens":"60","x-ratelimit-reset-requests":"3428","x-ratelimit-reset-tokens":"61884","x-request-id":"e751016d-0ecd-44d0-a3a4-7075f029b8a9"}</t>
        </is>
      </c>
      <c r="N122" t="inlineStr">
        <is>
          <t>Beats Studio Pro Brown Headphones feature a modern minimalist design, matte finish, soft leather ear cushions, Active Noise Cancelling, and Spatial Audio for premium comfort and high-end sound style.</t>
        </is>
      </c>
      <c r="O122" t="inlineStr">
        <is>
          <t>{"id":"chatcmpl-DYLvkCi1Qxvgki6jFSs5QRzGp3qmg","object":"chat.completion","created":1777079824,"model":"gpt-5-chat-2025-10-03","choices":[{"index":0,"message":{"role":"assistant","content":"Beats,Headphon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22" t="inlineStr">
        <is>
          <t>Beats,Headphones,kakobuy,kakebuy2026,kekobuysheet,kakobuysheet2026,2026kakobuy,kakobuyspreadsheeet,kakobuylink,kakebuylist,Kakobuy MEGA Spreadsheet,kakobuysheetfind,kakobuysheetfind2026,2026kakobuysheetfind,kakobuysheet2026</t>
        </is>
      </c>
      <c r="Q122"/>
      <c r="R122" t="inlineStr">
        <is>
          <t>recvhju1CrYZYQ</t>
        </is>
      </c>
      <c r="S122" t="inlineStr">
        <is>
          <t>beats-studio-pro-brown-wireless-headphones-recvhju1cryzyq</t>
        </is>
      </c>
      <c r="T122"/>
      <c r="U122"/>
      <c r="V122"/>
      <c r="W122" t="inlineStr">
        <is>
          <t>{"id":"chatcmpl-DY6E9fdE6tyjh5m0bTFJGwMEihC9S","object":"chat.completion","created":1777019461,"model":"gpt-5-chat-latest","choices":[{"index":0,"message":{"role":"assistant","content":"Beats Studio Pro 棕色头戴式耳机，呈现简约现代设计风格，高级哑光质感外壳搭配柔软皮质耳垫，支持主动降噪与空间音频技术，舒适贴合，男女皆宜，诠释高端音质美学与时尚格调。","refusal":null,"annotations":[]},"logprobs":null,"finish_reason":"stop"}],"usage":{"prompt_tokens":1299,"completion_tokens":77,"total_tokens":1376,"prompt_tokens_details":{"cached_tokens":0,"audio_tokens":0},"completion_tokens_details":{"reasoning_tokens":0,"audio_tokens":0,"accepted_prediction_tokens":0,"rejected_prediction_tokens":0}},"service_tier":"default","system_fingerprint":"fp_ad66631dec"}</t>
        </is>
      </c>
      <c r="X122" t="inlineStr">
        <is>
          <t>Beats Studio Pro 棕色头戴式耳机，呈现简约现代设计风格，高级哑光质感外壳搭配柔软皮质耳垫，支持主动降噪与空间音频技术，舒适贴合，男女皆宜，诠释高端音质美学与时尚格调。</t>
        </is>
      </c>
    </row>
    <row r="123" ht="25.5" customHeight="1">
      <c r="A123">
        <v>1654975475</v>
      </c>
      <c r="B123">
        <v>7617512045</v>
      </c>
      <c r="C123" s="2" t="str">
        <f>=HYPERLINK("https://weidian.com/item.html?itemID=7617512045", "https://weidian.com/item.html?itemID=7617512045")</f>
        <v>https://weidian.com/item.html?itemID=7617512045</v>
      </c>
      <c r="D123"/>
      <c r="E123" s="2" t="str">
        <f>=HYPERLINK("https://si.geilicdn.com/pcitem2014204438-34820000019ac473bc2a0a23038e_1080_1440.jpg?w=640&amp;h=640", "https://si.geilicdn.com/pcitem2014204438-34820000019ac473bc2a0a23038e_1080_1440.jpg?w=640&amp;h=640")</f>
        <v>https://si.geilicdn.com/pcitem2014204438-34820000019ac473bc2a0a23038e_1080_1440.jpg?w=640&amp;h=640</v>
      </c>
      <c r="F123" t="inlineStr">
        <is>
          <t>Electronic</t>
        </is>
      </c>
      <c r="G123" t="inlineStr">
        <is>
          <t>Sony</t>
        </is>
      </c>
      <c r="H123">
        <v>316</v>
      </c>
      <c r="I123">
        <v>45.8</v>
      </c>
      <c r="J123" t="inlineStr">
        <is>
          <t>{"id":"chatcmpl-DYLmpt00K4sDEJ6Hw9Om1lGemUekW","object":"chat.completion","created":1777079271,"model":"gpt-5-chat-2025-10-03","choices":[{"index":0,"message":{"role":"assistant","content":"Sony WH-1000XM4 Beige Wireless Noise Cancelling Headphones","refusal":null,"annotations":[]},"logprobs":null,"finish_reason":"stop"}],"usage":{"prompt_tokens":874,"completion_tokens":15,"total_tokens":889,"prompt_tokens_details":{"cached_tokens":0,"audio_tokens":0},"completion_tokens_details":{"reasoning_tokens":0,"audio_tokens":0,"accepted_prediction_tokens":0,"rejected_prediction_tokens":0}},"service_tier":"default","system_fingerprint":"fp_ad66631dec"}</t>
        </is>
      </c>
      <c r="K123" t="inlineStr">
        <is>
          <t>Sony WH-1000XM4 Beige Wireless Noise Cancelling Headphones</t>
        </is>
      </c>
      <c r="L123" t="inlineStr">
        <is>
          <t>{"id":"chatcmpl-DYLT85GwmkyunPomRziyr0LKauHTA","object":"chat.completion","created":1777078050,"model":"gpt-5-chat-latest","choices":[{"index":0,"message":{"role":"assistant","content":"Sony WH-1000XM4 Champagne Beige Wireless Noise Cancelling Headphones, sleek matte finish, lightweight comfort, premium sound, minimalist design for modern style and all-day wear.","refusal":null,"annotations":[]},"logprobs":null,"finish_reason":"stop"}],"usage":{"prompt_tokens":892,"completion_tokens":37,"total_tokens":929,"prompt_tokens_details":{"cached_tokens":0,"audio_tokens":0},"completion_tokens_details":{"reasoning_tokens":0,"audio_tokens":0,"accepted_prediction_tokens":0,"rejected_prediction_tokens":0}},"service_tier":"default","system_fingerprint":"fp_ad66631dec"}</t>
        </is>
      </c>
      <c r="M12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ma=2592000","apim-request-id":"3851ff13-2c1c-4507-ae7b-46bde9ff6892","azureml-model-session":"d20260405212659-a9daa006","cache-control":"no-cache, no-store, must-revalidate","connection":"close","content-length":"982","content-security-policy":"frame-ancestors 'self'","content-type":"application/json","date":"Sat, 25 Apr 2026 00:47:33 GMT","server":"nginx","skip-error-remapping":"true","strict-transport-security":"max-age=31536000; includeSubDomains; preload","via":"1.1 Caddy, 1.1 Caddy","x-api-request-id":"20260425084729448416619S4nQWm41","x-content-type-options":"nosniff","x-frame-options":"SAMEORIGIN","x-ms-is-spilled-over":"false","x-ms-rai-invoked":"false","x-ms-region":"Sweden Central","x-new-api-version":"0.5.1","x-oneapi-request-id":"202604250047243435745098268d9d6M9SYETcE","x-ratelimit-abusepenalty-active":"False","x-ratelimit-limit-requests":"4991","x-ratelimit-limit-tokens":"4991000","x-ratelimit-remaining-requests":"4990","x-ratelimit-remaining-tokens":"4989346","x-ratelimit-renewalperiod-requests":"60","x-ratelimit-renewalperiod-tokens":"60","x-ratelimit-reset-requests":"12","x-ratelimit-reset-tokens":"19","x-request-id":"e2fe849f-bff1-4a18-b3d1-05514447d1af"}</t>
        </is>
      </c>
      <c r="N123" t="inlineStr">
        <is>
          <t>Sony WH-1000XM4 Champagne Beige Wireless Noise Cancelling Headphones, sleek matte finish, lightweight comfort, premium sound, minimalist design for modern style and all-day wear.</t>
        </is>
      </c>
      <c r="O123" t="inlineStr">
        <is>
          <t>{"id":"chatcmpl-DYLwQY974ypduLli25SvssRGhd6kp","object":"chat.completion","created":1777079866,"model":"gpt-5-chat-2025-10-03","choices":[{"index":0,"message":{"role":"assistant","content":"Sony, Headphones,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781,"completion_tokens":91,"total_tokens":872,"prompt_tokens_details":{"cached_tokens":0,"audio_tokens":0},"completion_tokens_details":{"reasoning_tokens":0,"audio_tokens":0,"accepted_prediction_tokens":0,"rejected_prediction_tokens":0}},"service_tier":"default","system_fingerprint":"fp_ad66631dec"}</t>
        </is>
      </c>
      <c r="P123" t="inlineStr">
        <is>
          <t>Sony, Headphones, kakobuy, kakebuy2026, kekobuysheet, kakobuysheet2026, 2026kakobuy, kakobuyspreadsheeet, kakobuylink, kakebuylist, Kakobuy MEGA Spreadsheet, kakobuysheetfind, kakobuysheetfind2026, 2026kakobuysheetfind, kakobuysheet2026</t>
        </is>
      </c>
      <c r="Q123"/>
      <c r="R123" t="inlineStr">
        <is>
          <t>recvhju1Crobqy</t>
        </is>
      </c>
      <c r="S123" t="inlineStr">
        <is>
          <t>sony-wh-1000xm4-beige-recvhju1crobqy</t>
        </is>
      </c>
      <c r="T123"/>
      <c r="U123"/>
      <c r="V123"/>
      <c r="W123" t="inlineStr">
        <is>
          <t>{"choices":[{"finish_reason":"stop","index":0,"logprobs":null,"message":{"annotations":[],"content":"Sony：WH-1000XM4香槟米色无线降噪耳机，采用柔滑哑光质感材质与简约包耳设计，音质卓越，轻盈舒适适配男女，呈现现代极简科技美学。","refusal":null,"role":"assistant"}}],"created":1777019824,"id":"chatcmpl-DY6K0cG7zeEHk2ff2PUeTeqTq7ck5","model":"gpt-5-chat-latest","object":"chat.completion","service_tier":"default","system_fingerprint":"fp_ad66631dec","usage":{"completion_tokens":60,"completion_tokens_details":{"accepted_prediction_tokens":0,"audio_tokens":0,"reasoning_tokens":0,"rejected_prediction_tokens":0},"prompt_tokens":1297,"prompt_tokens_details":{"audio_tokens":0,"cached_tokens":0},"total_tokens":1357}}</t>
        </is>
      </c>
      <c r="X123" t="inlineStr">
        <is>
          <t>Sony：WH-1000XM4香槟米色无线降噪耳机，采用柔滑哑光质感材质与简约包耳设计，音质卓越，轻盈舒适适配男女，呈现现代极简科技美学。</t>
        </is>
      </c>
    </row>
    <row r="124" ht="25.5" customHeight="1">
      <c r="A124">
        <v>1654975475</v>
      </c>
      <c r="B124">
        <v>7617486135</v>
      </c>
      <c r="C124" s="2" t="str">
        <f>=HYPERLINK("https://weidian.com/item.html?itemID=7617486135", "https://weidian.com/item.html?itemID=7617486135")</f>
        <v>https://weidian.com/item.html?itemID=7617486135</v>
      </c>
      <c r="D124"/>
      <c r="E124" s="2" t="str">
        <f>=HYPERLINK("https://si.geilicdn.com/pcitem2014204438-06d50000019ac46a9ac40a2304aa_1080_1080.jpg?w=640&amp;h=640", "https://si.geilicdn.com/pcitem2014204438-06d50000019ac46a9ac40a2304aa_1080_1080.jpg?w=640&amp;h=640")</f>
        <v>https://si.geilicdn.com/pcitem2014204438-06d50000019ac46a9ac40a2304aa_1080_1080.jpg?w=640&amp;h=640</v>
      </c>
      <c r="F124" t="inlineStr">
        <is>
          <t>Electronic</t>
        </is>
      </c>
      <c r="G124" t="inlineStr">
        <is>
          <t>Marshall</t>
        </is>
      </c>
      <c r="H124">
        <v>690</v>
      </c>
      <c r="I124">
        <v>100</v>
      </c>
      <c r="J124" t="inlineStr">
        <is>
          <t>{"id":"chatcmpl-DYLoH7rbS1EfNgkVsybnHoykvZ32V","object":"chat.completion","created":1777079361,"model":"gpt-5-chat-2025-10-03","choices":[{"index":0,"message":{"role":"assistant","content":"Marshall Major IV Black Bluetooth Headphones Vintage Style","refusal":null,"annotations":[]},"logprobs":null,"finish_reason":"stop"}],"usage":{"prompt_tokens":882,"completion_tokens":10,"total_tokens":892,"prompt_tokens_details":{"cached_tokens":0,"audio_tokens":0},"completion_tokens_details":{"reasoning_tokens":0,"audio_tokens":0,"accepted_prediction_tokens":0,"rejected_prediction_tokens":0}},"service_tier":"default","system_fingerprint":"fp_ad66631dec"}</t>
        </is>
      </c>
      <c r="K124" t="inlineStr">
        <is>
          <t>Marshall Major IV Black Bluetooth Headphones Vintage Style</t>
        </is>
      </c>
      <c r="L124" t="inlineStr">
        <is>
          <t>{"id":"chatcmpl-DYLbd8uArJ7k9qextyHqPG6dZu15B","object":"chat.completion","created":1777078577,"model":"gpt-5-chat-latest","choices":[{"index":0,"message":{"role":"assistant","content":"Marshall Major IV Black Bluetooth Headphones – vintage leather design with metal accents, ultra‑long battery life, fast charging, foldable and portable, premium hi‑fi sound, classic British rock style.","refusal":null,"annotations":[]},"logprobs":null,"finish_reason":"stop"}],"usage":{"prompt_tokens":905,"completion_tokens":41,"total_tokens":946,"prompt_tokens_details":{"cached_tokens":0,"audio_tokens":0},"completion_tokens_details":{"reasoning_tokens":0,"audio_tokens":0,"accepted_prediction_tokens":0,"rejected_prediction_tokens":0}},"service_tier":"default","system_fingerprint":"fp_ad66631dec"}</t>
        </is>
      </c>
      <c r="M12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ma=2592000","apim-request-id":"9ae4d12c-6ec5-43bc-be07-f4ef8877306c","azureml-model-session":"d20260405221325-2e8d5e76","cache-control":"no-cache, no-store, must-revalidate","connection":"close","content-length":"1011","content-security-policy":"frame-ancestors 'self'","content-type":"application/json","date":"Sat, 25 Apr 2026 00:56:18 GMT","server":"nginx","skip-error-remapping":"true","strict-transport-security":"max-age=31536000; includeSubDomains; preload","via":"1.1 Caddy, 1.1 Caddy","x-api-request-id":"20260425085616209623699CIz6EEVI","x-content-type-options":"nosniff","x-frame-options":"SAMEORIGIN","x-ms-is-spilled-over":"false","x-ms-rai-invoked":"false","x-ms-region":"East US 2","x-new-api-version":"0.5.1","x-oneapi-request-id":"20260425005616764093988268d9d6XdEsvviY","x-ratelimit-abusepenalty-active":"False","x-ratelimit-limit-requests":"4992","x-ratelimit-limit-tokens":"4992000","x-ratelimit-remaining-requests":"4991","x-ratelimit-remaining-tokens":"4990333","x-ratelimit-renewalperiod-requests":"60","x-ratelimit-renewalperiod-tokens":"60","x-ratelimit-reset-requests":"12","x-ratelimit-reset-tokens":"20","x-request-id":"97d70360-d7d7-4941-a51a-63543b90bd04"}</t>
        </is>
      </c>
      <c r="N124" t="inlineStr">
        <is>
          <t>Marshall Major IV Black Bluetooth Headphones – vintage leather design with metal accents, ultra‑long battery life, fast charging, foldable and portable, premium hi‑fi sound, classic British rock style.</t>
        </is>
      </c>
      <c r="O124" t="inlineStr">
        <is>
          <t>{"id":"chatcmpl-DYM03bGHWV8yDnBs0OL72rFVN1GP1","object":"chat.completion","created":1777080091,"model":"gpt-5-chat-2025-10-03","choices":[{"index":0,"message":{"role":"assistant","content":"Marshall,Headphones,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87,"total_tokens":868,"prompt_tokens_details":{"cached_tokens":0,"audio_tokens":0},"completion_tokens_details":{"reasoning_tokens":0,"audio_tokens":0,"accepted_prediction_tokens":0,"rejected_prediction_tokens":0}},"service_tier":"default","system_fingerprint":"fp_ad66631dec"}</t>
        </is>
      </c>
      <c r="P124" t="inlineStr">
        <is>
          <t>Marshall,Headphones,kakobuy,kakebuy2026,kekobuysheet,kakobuysheet2026,2026kakobuy,kakobuyspreadsheeet,kakobuylink,kakebuylist,Kakobuy MEGA Spreadsheet,kakobuysheetfind,kakobuysheetfind2026,2026kakobuysheetfind,kakobuysheet2026</t>
        </is>
      </c>
      <c r="Q124" t="inlineStr">
        <is>
          <t>Marshall, Vintage, Leather, Foldable, Black</t>
        </is>
      </c>
      <c r="R124" t="inlineStr">
        <is>
          <t>recvhju1CrcBY9</t>
        </is>
      </c>
      <c r="S124" t="inlineStr">
        <is>
          <t>marshall-major-iv-black-bluetooth-headphones-vintage-style-recvhju1crcby9</t>
        </is>
      </c>
      <c r="T124"/>
      <c r="U124"/>
      <c r="V124"/>
      <c r="W124" t="inlineStr">
        <is>
          <t>{"choices":[{"finish_reason":"stop","index":0,"logprobs":null,"message":{"annotations":[],"content":"Marshall：Major IV 黑色无线蓝牙耳机，复古皮革材质搭配标志性金属细节，支持超长续航与快充设计，折叠便携，男女皆宜，英伦摇滚风格彰显经典音响美学，尽享高保真音质体验。","refusal":null,"role":"assistant"}}],"created":1777019529,"id":"chatcmpl-DY6FFPL0nRmYlz4CKvjxZv7ggaweJ","model":"gpt-5-chat-latest","object":"chat.completion","service_tier":"default","system_fingerprint":"fp_ad66631dec","usage":{"completion_tokens":72,"completion_tokens_details":{"accepted_prediction_tokens":0,"audio_tokens":0,"reasoning_tokens":0,"rejected_prediction_tokens":0},"prompt_tokens":1299,"prompt_tokens_details":{"audio_tokens":0,"cached_tokens":0},"total_tokens":1371}}</t>
        </is>
      </c>
      <c r="X124" t="inlineStr">
        <is>
          <t>Marshall：Major IV 黑色无线蓝牙耳机，复古皮革材质搭配标志性金属细节，支持超长续航与快充设计，折叠便携，男女皆宜，英伦摇滚风格彰显经典音响美学，尽享高保真音质体验。</t>
        </is>
      </c>
    </row>
    <row r="125" ht="25.5" customHeight="1">
      <c r="A125">
        <v>1654975475</v>
      </c>
      <c r="B125">
        <v>7620395562</v>
      </c>
      <c r="C125" s="2" t="str">
        <f>=HYPERLINK("https://weidian.com/item.html?itemID=7620395562", "https://weidian.com/item.html?itemID=7620395562")</f>
        <v>https://weidian.com/item.html?itemID=7620395562</v>
      </c>
      <c r="D125"/>
      <c r="E125" s="2" t="str">
        <f>=HYPERLINK("https://si.geilicdn.com/pcitem2014204438-797b0000019ac46f23720a811411_1442_1922.jpg?w=640&amp;h=640", "https://si.geilicdn.com/pcitem2014204438-797b0000019ac46f23720a811411_1442_1922.jpg?w=640&amp;h=640")</f>
        <v>https://si.geilicdn.com/pcitem2014204438-797b0000019ac46f23720a811411_1442_1922.jpg?w=640&amp;h=640</v>
      </c>
      <c r="F125" t="inlineStr">
        <is>
          <t>Electronic</t>
        </is>
      </c>
      <c r="G125" t="inlineStr">
        <is>
          <t>Bose</t>
        </is>
      </c>
      <c r="H125">
        <v>316</v>
      </c>
      <c r="I125">
        <v>45.8</v>
      </c>
      <c r="J125" t="inlineStr">
        <is>
          <t>{"id":"chatcmpl-DYLiDE2IIKQe8DiwU3lMhG9aZa6p9","object":"chat.completion","created":1777078985,"model":"gpt-5-chat-latest","choices":[{"index":0,"message":{"role":"assistant","content":"Bose QuietComfort 45 White Wireless Noise Cancelling Headphones","refusal":null,"annotations":[]},"logprobs":null,"finish_reason":"stop"}],"usage":{"prompt_tokens":873,"completion_tokens":14,"total_tokens":887,"prompt_tokens_details":{"cached_tokens":0,"audio_tokens":0},"completion_tokens_details":{"reasoning_tokens":0,"audio_tokens":0,"accepted_prediction_tokens":0,"rejected_prediction_tokens":0}},"service_tier":"default","system_fingerprint":"fp_ad66631dec"}</t>
        </is>
      </c>
      <c r="K125" t="inlineStr">
        <is>
          <t>Bose QuietComfort 45 White Wireless Noise Cancelling Headphones</t>
        </is>
      </c>
      <c r="L125" t="inlineStr">
        <is>
          <t>{"id":"chatcmpl-DYLPj3zVpa84jWU3cJmwas4wl4Z9q","object":"chat.completion","created":1777077839,"model":"gpt-5-chat-latest","choices":[{"index":0,"message":{"role":"assistant","content":"Bose QuietComfort 45 White Wireless Noise Cancelling Headphones – lightweight, soft leather ear cushions, modern minimalist design, premium sound, ideal for travel and daily commuting.","refusal":null,"annotations":[]},"logprobs":null,"finish_reason":"stop"}],"usage":{"prompt_tokens":889,"completion_tokens":36,"total_tokens":925,"prompt_tokens_details":{"cached_tokens":0,"audio_tokens":0},"completion_tokens_details":{"reasoning_tokens":0,"audio_tokens":0,"accepted_prediction_tokens":0,"rejected_prediction_tokens":0}},"service_tier":"default","system_fingerprint":"fp_ad66631dec"}</t>
        </is>
      </c>
      <c r="M12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ma=2592000","apim-request-id":"544e0aef-4bb0-488a-a3e5-696a5359b272","azureml-model-session":"d20260405234249-f9874baf","cache-control":"no-cache, no-store, must-revalidate","connection":"close","content-length":"990","content-security-policy":"frame-ancestors 'self'","content-type":"application/json","date":"Sat, 25 Apr 2026 00:44:00 GMT","server":"Caddy","skip-error-remapping":"true","strict-transport-security":"max-age=31536000; includeSubDomains; preload","via":"1.1 Caddy","x-api-request-id":"20260425084358268647292ZW8sz9aM","x-content-type-options":"nosniff","x-frame-options":"SAMEORIGIN","x-ms-is-spilled-over":"false","x-ms-rai-invoked":"false","x-ms-region":"East US 2","x-new-api-version":"0.5.1","x-oneapi-request-id":"202604250043536350283128268d9d6hqaSmNxA","x-ratelimit-abusepenalty-active":"False","x-ratelimit-limit-requests":"4992","x-ratelimit-limit-tokens":"4992000","x-ratelimit-remaining-requests":"4991","x-ratelimit-remaining-tokens":"4990349","x-ratelimit-renewalperiod-requests":"60","x-ratelimit-renewalperiod-tokens":"60","x-ratelimit-reset-requests":"12","x-ratelimit-reset-tokens":"19","x-request-id":"9779140f-f84b-45d2-9ca9-39724a8ecd9e"}</t>
        </is>
      </c>
      <c r="N125" t="inlineStr">
        <is>
          <t>Bose QuietComfort 45 White Wireless Noise Cancelling Headphones – lightweight, soft leather ear cushions, modern minimalist design, premium sound, ideal for travel and daily commuting.</t>
        </is>
      </c>
      <c r="O125" t="inlineStr">
        <is>
          <t>{"id":"chatcmpl-DYLvlAMb3dIIEANrif2iKwBkpzjMK","object":"chat.completion","created":1777079825,"model":"gpt-5-chat-2025-10-03","choices":[{"index":0,"message":{"role":"assistant","content":"Bose,Headphon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25" t="inlineStr">
        <is>
          <t>Bose,Headphones,kakobuy,kakebuy2026,kekobuysheet,kakobuysheet2026,2026kakobuy,kakobuyspreadsheeet,kakobuylink,kakebuylist,Kakobuy MEGA Spreadsheet,kakobuysheetfind,kakobuysheetfind2026,2026kakobuysheetfind,kakobuysheet2026</t>
        </is>
      </c>
      <c r="Q125"/>
      <c r="R125" t="inlineStr">
        <is>
          <t>recvhju1CrqBCF</t>
        </is>
      </c>
      <c r="S125" t="inlineStr">
        <is>
          <t>bose-quietcomfort-45-white-recvhju1crqbc</t>
        </is>
      </c>
      <c r="T125"/>
      <c r="U125"/>
      <c r="V125"/>
      <c r="W125" t="inlineStr">
        <is>
          <t>{"choices":[{"finish_reason":"stop","index":0,"logprobs":null,"message":{"annotations":[],"content":"Bose：QuietComfort 45 白色无线降噪耳机，轻盈柔软皮质耳垫，简约现代设计风格，男女皆宜，提供卓越音质与舒适体验，适合都市通勤与旅行使用。","refusal":null,"role":"assistant"}}],"created":1777019913,"id":"chatcmpl-DY6LRT38zQsZx6VLZpWvbAUsVicez","model":"gpt-5-chat-latest","object":"chat.completion","service_tier":"default","system_fingerprint":"fp_ad66631dec","usage":{"completion_tokens":57,"completion_tokens_details":{"accepted_prediction_tokens":0,"audio_tokens":0,"reasoning_tokens":0,"rejected_prediction_tokens":0},"prompt_tokens":1297,"prompt_tokens_details":{"audio_tokens":0,"cached_tokens":1280},"total_tokens":1354}}</t>
        </is>
      </c>
      <c r="X125" t="inlineStr">
        <is>
          <t>Bose：QuietComfort 45 白色无线降噪耳机，轻盈柔软皮质耳垫，简约现代设计风格，男女皆宜，提供卓越音质与舒适体验，适合都市通勤与旅行使用。</t>
        </is>
      </c>
    </row>
    <row r="126" ht="25.5" customHeight="1">
      <c r="A126">
        <v>1654975475</v>
      </c>
      <c r="B126">
        <v>7620490084</v>
      </c>
      <c r="C126" s="2" t="str">
        <f>=HYPERLINK("https://weidian.com/item.html?itemID=7620490084", "https://weidian.com/item.html?itemID=7620490084")</f>
        <v>https://weidian.com/item.html?itemID=7620490084</v>
      </c>
      <c r="D126"/>
      <c r="E126" s="2" t="str">
        <f>=HYPERLINK("https://si.geilicdn.com/pcitem2014204438-332a0000019ac47574f40a81347d_1440_1920.jpg?w=640&amp;h=640", "https://si.geilicdn.com/pcitem2014204438-332a0000019ac47574f40a81347d_1440_1920.jpg?w=640&amp;h=640")</f>
        <v>https://si.geilicdn.com/pcitem2014204438-332a0000019ac47574f40a81347d_1440_1920.jpg?w=640&amp;h=640</v>
      </c>
      <c r="F126" t="inlineStr">
        <is>
          <t>Electronic</t>
        </is>
      </c>
      <c r="G126" t="inlineStr">
        <is>
          <t>Beats</t>
        </is>
      </c>
      <c r="H126">
        <v>700</v>
      </c>
      <c r="I126">
        <v>101.45</v>
      </c>
      <c r="J126" t="inlineStr">
        <is>
          <t>{"id":"chatcmpl-DYLhzJBu6XPCdFHwGuN9gn2yGTfFh","object":"chat.completion","created":1777078971,"model":"gpt-5-chat-latest","choices":[{"index":0,"message":{"role":"assistant","content":"ElectronicBeats Powerbeats Pro Ice Blue Wireless Sport Earbuds","refusal":null,"annotations":[]},"logprobs":null,"finish_reason":"stop"}],"usage":{"prompt_tokens":883,"completion_tokens":13,"total_tokens":896,"prompt_tokens_details":{"cached_tokens":0,"audio_tokens":0},"completion_tokens_details":{"reasoning_tokens":0,"audio_tokens":0,"accepted_prediction_tokens":0,"rejected_prediction_tokens":0}},"service_tier":"default","system_fingerprint":"fp_ad66631dec"}</t>
        </is>
      </c>
      <c r="K126" t="inlineStr">
        <is>
          <t>ElectronicBeats Powerbeats Pro Ice Blue Wireless Sport Earbuds</t>
        </is>
      </c>
      <c r="L126" t="inlineStr">
        <is>
          <t>{"id":"chatcmpl-DYLRbzfjWduRrhiEQzKfZ8vSmGfTZ","object":"chat.completion","created":1777077955,"model":"gpt-5-chat-latest","choices":[{"index":0,"message":{"role":"assistant","content":"ElectronicBeats Powerbeats Pro Ice Blue True Wireless Sport Earphones, ergonomic ear-hook design, sweat &amp; water resistant, hi-fi sound, long battery life, perfect for men and women fitness style.","refusal":null,"annotations":[]},"logprobs":null,"finish_reason":"stop"}],"usage":{"prompt_tokens":880,"completion_tokens":41,"total_tokens":921,"prompt_tokens_details":{"cached_tokens":0,"audio_tokens":0},"completion_tokens_details":{"reasoning_tokens":0,"audio_tokens":0,"accepted_prediction_tokens":0,"rejected_prediction_tokens":0}},"service_tier":"default","system_fingerprint":"fp_ad66631dec"}</t>
        </is>
      </c>
      <c r="M12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ma=2592000","apim-request-id":"8192d3d4-fcd6-4bbd-aa53-f7e5fcb3d577","azureml-model-session":"d20260405234249-f9874baf","cache-control":"no-cache, no-store, must-revalidate","connection":"close","content-length":"999","content-security-policy":"frame-ancestors 'self'","content-type":"application/json","date":"Sat, 25 Apr 2026 00:45:57 GMT","server":"Caddy","skip-error-remapping":"true","strict-transport-security":"max-age=31536000; includeSubDomains; preload","via":"1.1 Caddy","x-api-request-id":"2026042508455364059833306JFsBDs","x-content-type-options":"nosniff","x-frame-options":"SAMEORIGIN","x-ms-is-spilled-over":"false","x-ms-rai-invoked":"false","x-ms-region":"Sweden Central","x-new-api-version":"0.5.1","x-oneapi-request-id":"202604250045493433421338268d9d6dRUWxtKe","x-ratelimit-abusepenalty-active":"False","x-ratelimit-limit-requests":"4991","x-ratelimit-limit-tokens":"4991000","x-ratelimit-remaining-requests":"4990","x-ratelimit-remaining-tokens":"4989358","x-ratelimit-renewalperiod-requests":"60","x-ratelimit-renewalperiod-tokens":"60","x-ratelimit-reset-requests":"12","x-ratelimit-reset-tokens":"19","x-request-id":"26756927-a0ec-4725-800c-23bfbb72d468"}</t>
        </is>
      </c>
      <c r="N126" t="inlineStr">
        <is>
          <t>ElectronicBeats Powerbeats Pro Ice Blue True Wireless Sport Earphones, ergonomic ear-hook design, sweat &amp; water resistant, hi-fi sound, long battery life, perfect for men and women fitness style.</t>
        </is>
      </c>
      <c r="O126" t="inlineStr">
        <is>
          <t>{"id":"chatcmpl-DYLvHOeo6Vqg8D7TBBwLWKnjPoDTC","object":"chat.completion","created":1777079795,"model":"gpt-5-chat-2025-10-03","choices":[{"index":0,"message":{"role":"assistant","content":"Beats, Earphones,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92,"total_tokens":874,"prompt_tokens_details":{"cached_tokens":0,"audio_tokens":0},"completion_tokens_details":{"reasoning_tokens":0,"audio_tokens":0,"accepted_prediction_tokens":0,"rejected_prediction_tokens":0}},"service_tier":"default","system_fingerprint":"fp_ad66631dec"}</t>
        </is>
      </c>
      <c r="P126" t="inlineStr">
        <is>
          <t>Beats, Earphones, kakobuy, kakebuy2026, kekobuysheet, kakobuysheet2026, 2026kakobuy, kakobuyspreadsheeet, kakobuylink, kakebuylist, Kakobuy MEGA Spreadsheet, kakobuysheetfind, kakobuysheetfind2026, 2026kakobuysheetfind, kakobuysheet2026</t>
        </is>
      </c>
      <c r="Q126"/>
      <c r="R126" t="inlineStr">
        <is>
          <t>recvhju1CrvDga</t>
        </is>
      </c>
      <c r="S126" t="inlineStr">
        <is>
          <t>electronicbeats-powerbeats-pro-ice-blue-sport-earbuds-recvhju1crvdga</t>
        </is>
      </c>
      <c r="T126"/>
      <c r="U126"/>
      <c r="V126"/>
      <c r="W126" t="inlineStr">
        <is>
          <t>{"choices":[{"finish_reason":"stop","index":0,"logprobs":null,"message":{"annotations":[],"content":"Beats: Powerbeats Pro 冰蓝色真无线运动耳机，人体工学挂耳设计，防汗防水，高保真音质，持久续航适合男女运动潮流穿搭。","refusal":null,"role":"assistant"}}],"created":1777019678,"id":"chatcmpl-DY6HevXccIepfuQhav1f3gUe5HGLc","model":"gpt-5-chat-latest","object":"chat.completion","service_tier":"default","system_fingerprint":"fp_ad66631dec","usage":{"completion_tokens":48,"completion_tokens_details":{"accepted_prediction_tokens":0,"audio_tokens":0,"reasoning_tokens":0,"rejected_prediction_tokens":0},"prompt_tokens":1299,"prompt_tokens_details":{"audio_tokens":0,"cached_tokens":0},"total_tokens":1347}}</t>
        </is>
      </c>
      <c r="X126" t="inlineStr">
        <is>
          <t>Beats: Powerbeats Pro 冰蓝色真无线运动耳机，人体工学挂耳设计，防汗防水，高保真音质，持久续航适合男女运动潮流穿搭。</t>
        </is>
      </c>
    </row>
    <row r="127" ht="25.5" customHeight="1">
      <c r="A127">
        <v>1654975475</v>
      </c>
      <c r="B127">
        <v>7620472584</v>
      </c>
      <c r="C127" s="2" t="str">
        <f>=HYPERLINK("https://weidian.com/item.html?itemID=7620472584", "https://weidian.com/item.html?itemID=7620472584")</f>
        <v>https://weidian.com/item.html?itemID=7620472584</v>
      </c>
      <c r="D127"/>
      <c r="E127" s="2" t="str">
        <f>=HYPERLINK("https://si.geilicdn.com/pcitem2014204438-2fdd0000019ac476c6f90a2102c5_1442_1922.jpg?w=640&amp;h=640", "https://si.geilicdn.com/pcitem2014204438-2fdd0000019ac476c6f90a2102c5_1442_1922.jpg?w=640&amp;h=640")</f>
        <v>https://si.geilicdn.com/pcitem2014204438-2fdd0000019ac476c6f90a2102c5_1442_1922.jpg?w=640&amp;h=640</v>
      </c>
      <c r="F127" t="inlineStr">
        <is>
          <t>Electronic</t>
        </is>
      </c>
      <c r="G127" t="inlineStr">
        <is>
          <t>Bose</t>
        </is>
      </c>
      <c r="H127">
        <v>390</v>
      </c>
      <c r="I127">
        <v>56.52</v>
      </c>
      <c r="J127" t="inlineStr">
        <is>
          <t>{"id":"chatcmpl-DYLiyqDwExGwlZD8uVd3k6VgT5fP1","object":"chat.completion","created":1777079032,"model":"gpt-5-chat-latest","choices":[{"index":0,"message":{"role":"assistant","content":"Bose Red Metallic Wireless Noise Cancelling Earbuds","refusal":null,"annotations":[]},"logprobs":null,"finish_reason":"stop"}],"usage":{"prompt_tokens":875,"completion_tokens":11,"total_tokens":886,"prompt_tokens_details":{"cached_tokens":0,"audio_tokens":0},"completion_tokens_details":{"reasoning_tokens":0,"audio_tokens":0,"accepted_prediction_tokens":0,"rejected_prediction_tokens":0}},"service_tier":"default","system_fingerprint":"fp_ad66631dec"}</t>
        </is>
      </c>
      <c r="K127" t="inlineStr">
        <is>
          <t>Bose Red Metallic Wireless Noise Cancelling Earbuds</t>
        </is>
      </c>
      <c r="L127" t="inlineStr">
        <is>
          <t>{"id":"chatcmpl-DYLah9ztwcjh0V2KdT0PynL2sY3wH","object":"chat.completion","created":1777078519,"model":"gpt-5-chat-latest","choices":[{"index":0,"message":{"role":"assistant","content":"ElectronicBoseBose Red Metallic True Wireless Noise Cancelling Earbuds – Dynamic streamlined design with modern tech aesthetics, delivering pure, powerful sound for men and women with premium style.","refusal":null,"annotations":[]},"logprobs":null,"finish_reason":"stop"}],"usage":{"prompt_tokens":888,"completion_tokens":37,"total_tokens":925,"prompt_tokens_details":{"cached_tokens":0,"audio_tokens":0},"completion_tokens_details":{"reasoning_tokens":0,"audio_tokens":0,"accepted_prediction_tokens":0,"rejected_prediction_tokens":0}},"service_tier":"default","system_fingerprint":"fp_ad66631dec"}</t>
        </is>
      </c>
      <c r="M12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ma=2592000","apim-request-id":"2f20f991-e657-4b2f-a186-34b916206523","azureml-model-session":"d20260402075109-1fc5a0ec","cache-control":"no-cache, no-store, must-revalidate","connection":"close","content-length":"1004","content-security-policy":"frame-ancestors 'self'","content-type":"application/json","date":"Sat, 25 Apr 2026 00:55:20 GMT","server":"Caddy","skip-error-remapping":"true","strict-transport-security":"max-age=31536000; includeSubDomains; preload","via":"1.1 Caddy","x-api-request-id":"20260425085518369965237yQ2XxPyZ","x-content-type-options":"nosniff","x-frame-options":"SAMEORIGIN","x-ms-is-spilled-over":"false","x-ms-rai-invoked":"false","x-ms-region":"East US 2","x-new-api-version":"0.5.1","x-oneapi-request-id":"202604250055136642864948268d9d6X1dnAEb5","x-ratelimit-abusepenalty-active":"False","x-ratelimit-limit-requests":"4992","x-ratelimit-limit-tokens":"4992000","x-ratelimit-remaining-requests":"4991","x-ratelimit-remaining-tokens":"4990350","x-ratelimit-renewalperiod-requests":"60","x-ratelimit-renewalperiod-tokens":"60","x-ratelimit-reset-requests":"12","x-ratelimit-reset-tokens":"19","x-request-id":"b71a2975-fa6a-4f70-87dc-ba0a835bc81d"}</t>
        </is>
      </c>
      <c r="N127" t="inlineStr">
        <is>
          <t>ElectronicBoseBose Red Metallic True Wireless Noise Cancelling Earbuds – Dynamic streamlined design with modern tech aesthetics, delivering pure, powerful sound for men and women with premium style.</t>
        </is>
      </c>
      <c r="O127" t="inlineStr">
        <is>
          <t>{"id":"chatcmpl-DYLtLnBqdxqsphZRUjgmspT0rI8Cy","object":"chat.completion","created":1777079675,"model":"gpt-5-chat-2025-10-03","choices":[{"index":0,"message":{"role":"assistant","content":"Bose,earbud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27" t="inlineStr">
        <is>
          <t>Bose,earbuds,kakobuy,kakebuy2026,kekobuysheet,kakobuysheet2026,2026kakobuy,kakobuyspreadsheeet,kakobuylink,kakebuylist,Kakobuy MEGA Spreadsheet,kakobuysheetfind,kakobuysheetfind2026,2026kakobuysheetfind,kakobuysheet2026</t>
        </is>
      </c>
      <c r="Q127"/>
      <c r="R127" t="inlineStr">
        <is>
          <t>recvhju1CrEOfI</t>
        </is>
      </c>
      <c r="S127" t="inlineStr">
        <is>
          <t>bose-red-metallic-wireless-noise-cancelling-earbuds-recvhju1creofi</t>
        </is>
      </c>
      <c r="T127"/>
      <c r="U127"/>
      <c r="V127"/>
      <c r="W127" t="inlineStr">
        <is>
          <t>{"id":"chatcmpl-DY6IDmUYFwzw1Ap3ewRFTZOyM3BLQ","object":"chat.completion","created":1777019713,"model":"gpt-5-chat-latest","choices":[{"index":0,"message":{"role":"assistant","content":"Bose：红色金属质感真无线降噪耳机，灵动流线设计融合现代科技美学，音质纯净震撼，适合男女通用，彰显高端时尚品味。","refusal":null,"annotations":[]},"logprobs":null,"finish_reason":"stop"}],"usage":{"prompt_tokens":1305,"completion_tokens":52,"total_tokens":1357,"prompt_tokens_details":{"cached_tokens":0,"audio_tokens":0},"completion_tokens_details":{"reasoning_tokens":0,"audio_tokens":0,"accepted_prediction_tokens":0,"rejected_prediction_tokens":0}},"service_tier":"default","system_fingerprint":"fp_ad66631dec"}</t>
        </is>
      </c>
      <c r="X127" t="inlineStr">
        <is>
          <t>Bose：红色金属质感真无线降噪耳机，灵动流线设计融合现代科技美学，音质纯净震撼，适合男女通用，彰显高端时尚品味。</t>
        </is>
      </c>
    </row>
    <row r="128" ht="25.5" customHeight="1">
      <c r="A128">
        <v>1654975475</v>
      </c>
      <c r="B128">
        <v>7617472287</v>
      </c>
      <c r="C128" s="2" t="str">
        <f>=HYPERLINK("https://weidian.com/item.html?itemID=7617472287", "https://weidian.com/item.html?itemID=7617472287")</f>
        <v>https://weidian.com/item.html?itemID=7617472287</v>
      </c>
      <c r="D128"/>
      <c r="E128" s="2" t="str">
        <f>=HYPERLINK("https://si.geilicdn.com/pcitem2014204438-20990000019ac4647e910a20e273_1440_1920.jpg?w=640&amp;h=640", "https://si.geilicdn.com/pcitem2014204438-20990000019ac4647e910a20e273_1440_1920.jpg?w=640&amp;h=640")</f>
        <v>https://si.geilicdn.com/pcitem2014204438-20990000019ac4647e910a20e273_1440_1920.jpg?w=640&amp;h=640</v>
      </c>
      <c r="F128" t="inlineStr">
        <is>
          <t>Electronic</t>
        </is>
      </c>
      <c r="G128" t="inlineStr">
        <is>
          <t>Bose</t>
        </is>
      </c>
      <c r="H128">
        <v>400</v>
      </c>
      <c r="I128">
        <v>57.97</v>
      </c>
      <c r="J128" t="inlineStr">
        <is>
          <t>{"id":"chatcmpl-DYLkdZlowPUdWg6pwPmmQNrjn0sef","object":"chat.completion","created":1777079135,"model":"gpt-5-chat-latest","choices":[{"index":0,"message":{"role":"assistant","content":"Bose Ultra Berry Red Wireless Noise Cancelling Earbuds","refusal":null,"annotations":[]},"logprobs":null,"finish_reason":"stop"}],"usage":{"prompt_tokens":885,"completion_tokens":12,"total_tokens":897,"prompt_tokens_details":{"cached_tokens":0,"audio_tokens":0},"completion_tokens_details":{"reasoning_tokens":0,"audio_tokens":0,"accepted_prediction_tokens":0,"rejected_prediction_tokens":0}},"service_tier":"default","system_fingerprint":"fp_ad66631dec"}</t>
        </is>
      </c>
      <c r="K128" t="inlineStr">
        <is>
          <t>Bose Ultra Berry Red Wireless Noise Cancelling Earbuds</t>
        </is>
      </c>
      <c r="L128" t="inlineStr">
        <is>
          <t>{"id":"chatcmpl-DYLWcyJ5LxCo937cUZdEGG146MyAq","object":"chat.completion","created":1777078266,"model":"gpt-5-chat-latest","choices":[{"index":0,"message":{"role":"assistant","content":"ElectronicBoseBose Ultra Series Berry Red Open Wireless Earbuds—sleek metallic design, secure fit, HD noise cancelling, immersive sound, modern minimal style for men and women, fashion meets technology.","refusal":null,"annotations":[]},"logprobs":null,"finish_reason":"stop"}],"usage":{"prompt_tokens":898,"completion_tokens":42,"total_tokens":940,"prompt_tokens_details":{"cached_tokens":0,"audio_tokens":0},"completion_tokens_details":{"reasoning_tokens":0,"audio_tokens":0,"accepted_prediction_tokens":0,"rejected_prediction_tokens":0}},"service_tier":"default","system_fingerprint":"fp_ad66631dec"}</t>
        </is>
      </c>
      <c r="M12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ma=2592000","apim-request-id":"e8e4e617-e94d-43dc-bc01-61435ecfb522","azureml-model-session":"d20260405221325-2e8d5e76","cache-control":"no-cache, no-store, must-revalidate","connection":"close","content-length":"1008","content-security-policy":"frame-ancestors 'self'","content-type":"application/json","date":"Sat, 25 Apr 2026 00:51:07 GMT","server":"nginx","skip-error-remapping":"true","strict-transport-security":"max-age=31536000; includeSubDomains; preload","via":"1.1 Caddy, 1.1 Caddy","x-api-request-id":"20260425085104922589743X1UY2mVP","x-content-type-options":"nosniff","x-frame-options":"SAMEORIGIN","x-ms-is-spilled-over":"false","x-ms-rai-invoked":"false","x-ms-region":"East US 2","x-new-api-version":"0.5.1","x-oneapi-request-id":"202604250051005965092438268d9d6iM4inCbE","x-ratelimit-abusepenalty-active":"False","x-ratelimit-limit-requests":"4992","x-ratelimit-limit-tokens":"4992000","x-ratelimit-remaining-requests":"4991","x-ratelimit-remaining-tokens":"4990340","x-ratelimit-renewalperiod-requests":"60","x-ratelimit-renewalperiod-tokens":"60","x-ratelimit-reset-requests":"12","x-ratelimit-reset-tokens":"19","x-request-id":"aa7ab641-0c72-4a00-8386-9b55590d01e7"}</t>
        </is>
      </c>
      <c r="N128" t="inlineStr">
        <is>
          <t>ElectronicBoseBose Ultra Series Berry Red Open Wireless Earbuds—sleek metallic design, secure fit, HD noise cancelling, immersive sound, modern minimal style for men and women, fashion meets technology.</t>
        </is>
      </c>
      <c r="O128" t="inlineStr">
        <is>
          <t>{"id":"chatcmpl-DYM1kULCXQYg6DEsLeWYwEabIfYD8","object":"chat.completion","created":1777080196,"model":"gpt-5-chat-2025-10-03","choices":[{"index":0,"message":{"role":"assistant","content":"Bose,earbud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28" t="inlineStr">
        <is>
          <t>Bose,earbuds,kakobuy,kakebuy2026,kekobuysheet,kakobuysheet2026,2026kakobuy,kakobuyspreadsheeet,kakobuylink,kakebuylist,Kakobuy MEGA Spreadsheet,kakobuysheetfind,kakobuysheetfind2026,2026kakobuysheetfind,kakobuysheet2026</t>
        </is>
      </c>
      <c r="Q128"/>
      <c r="R128" t="inlineStr">
        <is>
          <t>recvhju1CrCOpA</t>
        </is>
      </c>
      <c r="S128" t="inlineStr">
        <is>
          <t>bose-ultra-berry-red-earbuds-recvhju1crcoppa</t>
        </is>
      </c>
      <c r="T128"/>
      <c r="U128"/>
      <c r="V128"/>
      <c r="W128" t="inlineStr">
        <is>
          <t>{"id":"chatcmpl-DY6IUYqMXfttL9cuwj1X9ifkPyNrc","object":"chat.completion","created":1777019730,"model":"gpt-5-chat-latest","choices":[{"index":0,"message":{"role":"assistant","content":"Bose：Ultra系列莓红开放式真无线耳机，流线型金属质感设计，舒适稳固贴合，搭载高清降噪与沉浸声效体验，兼顾时尚与科技质感，男女皆宜，展现现代极简风格。","refusal":null,"annotations":[]},"logprobs":null,"finish_reason":"stop"}],"usage":{"prompt_tokens":1297,"completion_tokens":66,"total_tokens":1363,"prompt_tokens_details":{"cached_tokens":0,"audio_tokens":0},"completion_tokens_details":{"reasoning_tokens":0,"audio_tokens":0,"accepted_prediction_tokens":0,"rejected_prediction_tokens":0}},"service_tier":"default","system_fingerprint":"fp_ad66631dec"}</t>
        </is>
      </c>
      <c r="X128" t="inlineStr">
        <is>
          <t>Bose：Ultra系列莓红开放式真无线耳机，流线型金属质感设计，舒适稳固贴合，搭载高清降噪与沉浸声效体验，兼顾时尚与科技质感，男女皆宜，展现现代极简风格。</t>
        </is>
      </c>
    </row>
    <row r="129" ht="25.5" customHeight="1">
      <c r="A129">
        <v>1654975475</v>
      </c>
      <c r="B129">
        <v>7617427433</v>
      </c>
      <c r="C129" s="2" t="str">
        <f>=HYPERLINK("https://weidian.com/item.html?itemID=7617427433", "https://weidian.com/item.html?itemID=7617427433")</f>
        <v>https://weidian.com/item.html?itemID=7617427433</v>
      </c>
      <c r="D129"/>
      <c r="E129" s="2" t="str">
        <f>=HYPERLINK("https://si.geilicdn.com/pcitem2014204438-05240000019ac4656c290a2304aa_1440_1920.jpg?w=640&amp;h=640", "https://si.geilicdn.com/pcitem2014204438-05240000019ac4656c290a2304aa_1440_1920.jpg?w=640&amp;h=640")</f>
        <v>https://si.geilicdn.com/pcitem2014204438-05240000019ac4656c290a2304aa_1440_1920.jpg?w=640&amp;h=640</v>
      </c>
      <c r="F129" t="inlineStr">
        <is>
          <t>Electronic</t>
        </is>
      </c>
      <c r="G129" t="inlineStr">
        <is>
          <t>Bose</t>
        </is>
      </c>
      <c r="H129">
        <v>400</v>
      </c>
      <c r="I129">
        <v>57.97</v>
      </c>
      <c r="J129" t="inlineStr">
        <is>
          <t>{"id":"chatcmpl-DYLkR4PTSjca3zdB7JAMSZdD8NfEZ","object":"chat.completion","created":1777079123,"model":"gpt-5-chat-latest","choices":[{"index":0,"message":{"role":"assistant","content":"Bose SoundWear Rose Gold Wireless Noise Cancelling Earbuds","refusal":null,"annotations":[]},"logprobs":null,"finish_reason":"stop"}],"usage":{"prompt_tokens":881,"completion_tokens":13,"total_tokens":894,"prompt_tokens_details":{"cached_tokens":0,"audio_tokens":0},"completion_tokens_details":{"reasoning_tokens":0,"audio_tokens":0,"accepted_prediction_tokens":0,"rejected_prediction_tokens":0}},"service_tier":"default","system_fingerprint":"fp_ad66631dec"}</t>
        </is>
      </c>
      <c r="K129" t="inlineStr">
        <is>
          <t>Bose SoundWear Rose Gold Wireless Noise Cancelling Earbuds</t>
        </is>
      </c>
      <c r="L129" t="inlineStr">
        <is>
          <t>{"id":"chatcmpl-DYLWTknQqT9Q6s0H1iDT1xMVeZyrQ","object":"chat.completion","created":1777078257,"model":"gpt-5-chat-latest","choices":[{"index":0,"message":{"role":"assistant","content":"ElectronicBoseBose SoundWear Rose Gold True Wireless Noise Cancelling Earbuds, ergonomic design, metallic finish, modern minimalist style, hi-fi sound, comfort fit, tech elegance for all.","refusal":null,"annotations":[]},"logprobs":null,"finish_reason":"stop"}],"usage":{"prompt_tokens":893,"completion_tokens":40,"total_tokens":933,"prompt_tokens_details":{"cached_tokens":0,"audio_tokens":0},"completion_tokens_details":{"reasoning_tokens":0,"audio_tokens":0,"accepted_prediction_tokens":0,"rejected_prediction_tokens":0}},"service_tier":"default","system_fingerprint":"fp_ad66631dec"}</t>
        </is>
      </c>
      <c r="M12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ma=2592000","apim-request-id":"e73689f2-7724-4c54-8ad2-542df58d9cb7","azureml-model-session":"d20260405234249-f9874baf","cache-control":"no-cache, no-store, must-revalidate","connection":"close","content-length":"991","content-security-policy":"frame-ancestors 'self'","content-type":"application/json","date":"Sat, 25 Apr 2026 00:50:59 GMT","server":"nginx","skip-error-remapping":"true","strict-transport-security":"max-age=31536000; includeSubDomains; preload","via":"1.1 Caddy, 1.1 Caddy","x-api-request-id":"20260425085056612463252wE8KSho5","x-content-type-options":"nosniff","x-frame-options":"SAMEORIGIN","x-ms-is-spilled-over":"false","x-ms-rai-invoked":"false","x-ms-region":"East US 2","x-new-api-version":"0.5.1","x-oneapi-request-id":"202604250050546179041598268d9d6WBiaAXYT","x-ratelimit-abusepenalty-active":"False","x-ratelimit-limit-requests":"4992","x-ratelimit-limit-tokens":"4992000","x-ratelimit-remaining-requests":"4991","x-ratelimit-remaining-tokens":"4990345","x-ratelimit-renewalperiod-requests":"60","x-ratelimit-renewalperiod-tokens":"60","x-ratelimit-reset-requests":"12","x-ratelimit-reset-tokens":"19","x-request-id":"d68f57b0-b316-4739-9469-4d0f7299c696"}</t>
        </is>
      </c>
      <c r="N129" t="inlineStr">
        <is>
          <t>ElectronicBoseBose SoundWear Rose Gold True Wireless Noise Cancelling Earbuds, ergonomic design, metallic finish, modern minimalist style, hi-fi sound, comfort fit, tech elegance for all.</t>
        </is>
      </c>
      <c r="O129" t="inlineStr">
        <is>
          <t>{"id":"chatcmpl-DYLyZV3Y3DeX5iu0iftDJ1yKFcQXv","object":"chat.completion","created":1777079999,"model":"gpt-5-chat-2025-10-03","choices":[{"index":0,"message":{"role":"assistant","content":"Bose, Earbuds,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92,"total_tokens":874,"prompt_tokens_details":{"cached_tokens":0,"audio_tokens":0},"completion_tokens_details":{"reasoning_tokens":0,"audio_tokens":0,"accepted_prediction_tokens":0,"rejected_prediction_tokens":0}},"service_tier":"default","system_fingerprint":"fp_ad66631dec"}</t>
        </is>
      </c>
      <c r="P129" t="inlineStr">
        <is>
          <t>Bose, Earbuds, kakobuy, kakebuy2026, kekobuysheet, kakobuysheet2026, 2026kakobuy, kakobuyspreadsheeet, kakobuylink, kakebuylist, Kakobuy MEGA Spreadsheet, kakobuysheetfind, kakobuysheetfind2026, 2026kakobuysheetfind, kakobuysheet2026</t>
        </is>
      </c>
      <c r="Q129" t="inlineStr">
        <is>
          <t>Modern, Minimalist, Comfort, All Seasons</t>
        </is>
      </c>
      <c r="R129" t="inlineStr">
        <is>
          <t>recvhju1Cr7ebC</t>
        </is>
      </c>
      <c r="S129" t="inlineStr">
        <is>
          <t>bose-soundwear-rose-gold-wireless-noise-cancelling-earbuds-recvhju1cr7ebc</t>
        </is>
      </c>
      <c r="T129"/>
      <c r="U129"/>
      <c r="V129"/>
      <c r="W129" t="inlineStr">
        <is>
          <t>{"choices":[{"finish_reason":"stop","index":0,"logprobs":null,"message":{"annotations":[],"content":"Bose：SoundWear系列玫瑰金真无线降噪耳机，金属质感配色，人体工学设计，融合现代简约风格，高保真音质与舒适佩戴兼具，男女皆宜，彰显科技美学。","refusal":null,"role":"assistant"}}],"created":1777019623,"id":"chatcmpl-DY6Glg65AOuCR0fg7fiJxVTYbMLOm","model":"gpt-5-chat-latest","object":"chat.completion","service_tier":"default","system_fingerprint":"fp_ad66631dec","usage":{"completion_tokens":62,"completion_tokens_details":{"accepted_prediction_tokens":0,"audio_tokens":0,"reasoning_tokens":0,"rejected_prediction_tokens":0},"prompt_tokens":1297,"prompt_tokens_details":{"audio_tokens":0,"cached_tokens":0},"total_tokens":1359}}</t>
        </is>
      </c>
      <c r="X129" t="inlineStr">
        <is>
          <t>Bose：SoundWear系列玫瑰金真无线降噪耳机，金属质感配色，人体工学设计，融合现代简约风格，高保真音质与舒适佩戴兼具，男女皆宜，彰显科技美学。</t>
        </is>
      </c>
    </row>
    <row r="130" ht="25.5" customHeight="1">
      <c r="A130">
        <v>1654975475</v>
      </c>
      <c r="B130">
        <v>7617433465</v>
      </c>
      <c r="C130" s="2" t="str">
        <f>=HYPERLINK("https://weidian.com/item.html?itemID=7617433465", "https://weidian.com/item.html?itemID=7617433465")</f>
        <v>https://weidian.com/item.html?itemID=7617433465</v>
      </c>
      <c r="D130"/>
      <c r="E130" s="2" t="str">
        <f>=HYPERLINK("https://si.geilicdn.com/pcitem2014204438-334d0000019ac46731c50a23057e_1440_1920.jpg?w=640&amp;h=640", "https://si.geilicdn.com/pcitem2014204438-334d0000019ac46731c50a23057e_1440_1920.jpg?w=640&amp;h=640")</f>
        <v>https://si.geilicdn.com/pcitem2014204438-334d0000019ac46731c50a23057e_1440_1920.jpg?w=640&amp;h=640</v>
      </c>
      <c r="F130" t="inlineStr">
        <is>
          <t>Electronic</t>
        </is>
      </c>
      <c r="G130" t="inlineStr">
        <is>
          <t>Bose</t>
        </is>
      </c>
      <c r="H130">
        <v>400</v>
      </c>
      <c r="I130">
        <v>57.97</v>
      </c>
      <c r="J130" t="inlineStr">
        <is>
          <t>{"id":"chatcmpl-DYLofcuYt7mAP9jTiT3Hy97R0LBag","object":"chat.completion","created":1777079385,"model":"gpt-5-chat-2025-10-03","choices":[{"index":0,"message":{"role":"assistant","content":"Bose Ultra Silver Open Wireless Noise Cancel Earbuds","refusal":null,"annotations":[]},"logprobs":null,"finish_reason":"stop"}],"usage":{"prompt_tokens":879,"completion_tokens":11,"total_tokens":890,"prompt_tokens_details":{"cached_tokens":0,"audio_tokens":0},"completion_tokens_details":{"reasoning_tokens":0,"audio_tokens":0,"accepted_prediction_tokens":0,"rejected_prediction_tokens":0}},"service_tier":"default","system_fingerprint":"fp_ad66631dec"}</t>
        </is>
      </c>
      <c r="K130" t="inlineStr">
        <is>
          <t>Bose Ultra Silver Open Wireless Noise Cancel Earbuds</t>
        </is>
      </c>
      <c r="L130" t="inlineStr">
        <is>
          <t>{"id":"chatcmpl-DYLQ4QKH4CibNqDsM4olFfm2sVY9j","object":"chat.completion","created":1777077860,"model":"gpt-5-chat-latest","choices":[{"index":0,"message":{"role":"assistant","content":"ElectronicBoseBose Ultra Silver Open True Wireless Earbuds, lightweight aluminum design with spatial audio and noise cancellation, ergonomic fit, stylish minimal look, delivering immersive high‑fidelity sound.","refusal":null,"annotations":[]},"logprobs":null,"finish_reason":"stop"}],"usage":{"prompt_tokens":907,"completion_tokens":39,"total_tokens":946,"prompt_tokens_details":{"cached_tokens":0,"audio_tokens":0},"completion_tokens_details":{"reasoning_tokens":0,"audio_tokens":0,"accepted_prediction_tokens":0,"rejected_prediction_tokens":0}},"service_tier":"default","system_fingerprint":"fp_ad66631dec"}</t>
        </is>
      </c>
      <c r="M13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ma=2592000","apim-request-id":"db08001f-c904-4c6f-9014-d327b85332f5","azureml-model-session":"d20260405234249-f9874baf","cache-control":"no-cache, no-store, must-revalidate","connection":"close","content-length":"1015","content-security-policy":"frame-ancestors 'self'","content-type":"application/json","date":"Sat, 25 Apr 2026 00:44:22 GMT","server":"Caddy","skip-error-remapping":"true","strict-transport-security":"max-age=31536000; includeSubDomains; preload","via":"1.1 Caddy","x-api-request-id":"2026042508441944845943894MTaGRs","x-content-type-options":"nosniff","x-frame-options":"SAMEORIGIN","x-ms-is-spilled-over":"false","x-ms-rai-invoked":"false","x-ms-region":"East US 2","x-new-api-version":"0.5.1","x-oneapi-request-id":"20260425004417884972078268d9d68U3X8StJ","x-ratelimit-abusepenalty-active":"False","x-ratelimit-limit-requests":"4992","x-ratelimit-limit-tokens":"4992000","x-ratelimit-remaining-requests":"4991","x-ratelimit-remaining-tokens":"4990331","x-ratelimit-renewalperiod-requests":"60","x-ratelimit-renewalperiod-tokens":"60","x-ratelimit-reset-requests":"12","x-ratelimit-reset-tokens":"20","x-request-id":"43798925-b493-4e6e-9387-553260b8ffbb"}</t>
        </is>
      </c>
      <c r="N130" t="inlineStr">
        <is>
          <t>ElectronicBoseBose Ultra Silver Open True Wireless Earbuds, lightweight aluminum design with spatial audio and noise cancellation, ergonomic fit, stylish minimal look, delivering immersive high‑fidelity sound.</t>
        </is>
      </c>
      <c r="O130" t="inlineStr">
        <is>
          <t>{"id":"chatcmpl-DYLtTcWSQAQ1LvZS6wQcuvmx3PMj2","object":"chat.completion","created":1777079683,"model":"gpt-5-chat-2025-10-03","choices":[{"index":0,"message":{"role":"assistant","content":"Bose, Earbuds,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92,"total_tokens":874,"prompt_tokens_details":{"cached_tokens":0,"audio_tokens":0},"completion_tokens_details":{"reasoning_tokens":0,"audio_tokens":0,"accepted_prediction_tokens":0,"rejected_prediction_tokens":0}},"service_tier":"default","system_fingerprint":"fp_ad66631dec"}</t>
        </is>
      </c>
      <c r="P130" t="inlineStr">
        <is>
          <t>Bose, Earbuds, kakobuy, kakebuy2026, kekobuysheet, kakobuysheet2026, 2026kakobuy, kakobuyspreadsheeet, kakobuylink, kakebuylist, Kakobuy MEGA Spreadsheet, kakobuysheetfind, kakobuysheetfind2026, 2026kakobuysheetfind, kakobuysheet2026</t>
        </is>
      </c>
      <c r="Q130"/>
      <c r="R130" t="inlineStr">
        <is>
          <t>recvhju1CryKHY</t>
        </is>
      </c>
      <c r="S130" t="inlineStr">
        <is>
          <t>bose-ultra-silver-open-wireless-noise-cancel-earbuds-recvhju1crykhy</t>
        </is>
      </c>
      <c r="T130"/>
      <c r="U130"/>
      <c r="V130"/>
      <c r="W130" t="inlineStr">
        <is>
          <t>{"choices":[{"finish_reason":"stop","index":0,"logprobs":null,"message":{"annotations":[],"content":"Bose：Ultra银白色开放式真无线蓝牙耳机，轻盈铝质设计，配备空间音效与降噪技术，呈现沉浸级听觉体验，人体工学贴耳结构，男女皆宜，现代极简风格，兼具时尚与高保真音质表现。","refusal":null,"role":"assistant"}}],"created":1777019426,"id":"chatcmpl-DY6Daojypo6CPnxvo6PrXT163zK8p","model":"gpt-5-chat-latest","object":"chat.completion","service_tier":"default","system_fingerprint":"fp_ad66631dec","usage":{"completion_tokens":74,"completion_tokens_details":{"accepted_prediction_tokens":0,"audio_tokens":0,"reasoning_tokens":0,"rejected_prediction_tokens":0},"prompt_tokens":1299,"prompt_tokens_details":{"audio_tokens":0,"cached_tokens":1280},"total_tokens":1373}}</t>
        </is>
      </c>
      <c r="X130" t="inlineStr">
        <is>
          <t>Bose：Ultra银白色开放式真无线蓝牙耳机，轻盈铝质设计，配备空间音效与降噪技术，呈现沉浸级听觉体验，人体工学贴耳结构，男女皆宜，现代极简风格，兼具时尚与高保真音质表现。</t>
        </is>
      </c>
    </row>
    <row r="131" ht="25.5" customHeight="1">
      <c r="A131">
        <v>1654975475</v>
      </c>
      <c r="B131">
        <v>7617453423</v>
      </c>
      <c r="C131" s="2" t="str">
        <f>=HYPERLINK("https://weidian.com/item.html?itemID=7617453423", "https://weidian.com/item.html?itemID=7617453423")</f>
        <v>https://weidian.com/item.html?itemID=7617453423</v>
      </c>
      <c r="D131"/>
      <c r="E131" s="2" t="str">
        <f>=HYPERLINK("https://si.geilicdn.com/pcitem2014204438-23cc0000019ac46e90280a20e273_1442_1922.jpg?w=640&amp;h=640", "https://si.geilicdn.com/pcitem2014204438-23cc0000019ac46e90280a20e273_1442_1922.jpg?w=640&amp;h=640")</f>
        <v>https://si.geilicdn.com/pcitem2014204438-23cc0000019ac46e90280a20e273_1442_1922.jpg?w=640&amp;h=640</v>
      </c>
      <c r="F131" t="inlineStr">
        <is>
          <t>Electronic</t>
        </is>
      </c>
      <c r="G131" t="inlineStr">
        <is>
          <t>Beats</t>
        </is>
      </c>
      <c r="H131">
        <v>316</v>
      </c>
      <c r="I131">
        <v>45.8</v>
      </c>
      <c r="J131" t="inlineStr">
        <is>
          <t>{"id":"chatcmpl-DYLkTw1pmsC2InL9IOyW73bWSXHI3","object":"chat.completion","created":1777079125,"model":"gpt-5-chat-latest","choices":[{"index":0,"message":{"role":"assistant","content":"ElectronicBeats Beats Solo Pro White Bluetooth Noise Cancelling Headphones","refusal":null,"annotations":[]},"logprobs":null,"finish_reason":"stop"}],"usage":{"prompt_tokens":879,"completion_tokens":14,"total_tokens":893,"prompt_tokens_details":{"cached_tokens":0,"audio_tokens":0},"completion_tokens_details":{"reasoning_tokens":0,"audio_tokens":0,"accepted_prediction_tokens":0,"rejected_prediction_tokens":0}},"service_tier":"default","system_fingerprint":"fp_ad66631dec"}</t>
        </is>
      </c>
      <c r="K131" t="inlineStr">
        <is>
          <t>ElectronicBeats Beats Solo Pro White Bluetooth Noise Cancelling Headphones</t>
        </is>
      </c>
      <c r="L131" t="inlineStr">
        <is>
          <t>{"id":"chatcmpl-DYLSlyVnh7K8saSxNkxZBvSghDvjA","object":"chat.completion","created":1777078027,"model":"gpt-5-chat-latest","choices":[{"index":0,"message":{"role":"assistant","content":"ElectronicBeatsBeats Solo Pro White Active Noise Cancelling Bluetooth Headphones, premium metal and soft leather design, foldable, stylish, modern, unisex for urban tech sound experience.","refusal":null,"annotations":[]},"logprobs":null,"finish_reason":"stop"}],"usage":{"prompt_tokens":897,"completion_tokens":39,"total_tokens":936,"prompt_tokens_details":{"cached_tokens":0,"audio_tokens":0},"completion_tokens_details":{"reasoning_tokens":0,"audio_tokens":0,"accepted_prediction_tokens":0,"rejected_prediction_tokens":0}},"service_tier":"default","system_fingerprint":"fp_ad66631dec"}</t>
        </is>
      </c>
      <c r="M13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ma=2592000","apim-request-id":"4937448f-0c7d-4f16-a8fc-b13cc8ef39b9","azureml-model-session":"d20260402084046-4209e968","cache-control":"no-cache, no-store, must-revalidate","connection":"close","content-length":"991","content-security-policy":"frame-ancestors 'self'","content-type":"application/json","date":"Sat, 25 Apr 2026 00:47:10 GMT","server":"Caddy","skip-error-remapping":"true","strict-transport-security":"max-age=31536000; includeSubDomains; preload","via":"1.1 Caddy","x-api-request-id":"20260425084706232831336foTPRIAe","x-content-type-options":"nosniff","x-frame-options":"SAMEORIGIN","x-ms-is-spilled-over":"false","x-ms-rai-invoked":"false","x-ms-region":"Sweden Central","x-new-api-version":"0.5.1","x-oneapi-request-id":"202604250047051922970758268d9d6tXGAZDj2","x-ratelimit-abusepenalty-active":"False","x-ratelimit-limit-requests":"4991","x-ratelimit-limit-tokens":"4991000","x-ratelimit-remaining-requests":"4990","x-ratelimit-remaining-tokens":"4989341","x-ratelimit-renewalperiod-requests":"60","x-ratelimit-renewalperiod-tokens":"60","x-ratelimit-reset-requests":"12","x-ratelimit-reset-tokens":"19","x-request-id":"5d899b29-54ac-4844-a132-43f50fb6a129"}</t>
        </is>
      </c>
      <c r="N131" t="inlineStr">
        <is>
          <t>ElectronicBeatsBeats Solo Pro White Active Noise Cancelling Bluetooth Headphones, premium metal and soft leather design, foldable, stylish, modern, unisex for urban tech sound experience.</t>
        </is>
      </c>
      <c r="O131" t="inlineStr">
        <is>
          <t>{"id":"chatcmpl-DYM2bByc38OKjcRdpM0laXvC7p9cv","object":"chat.completion","created":1777080249,"model":"gpt-5-chat-2025-10-03","choices":[{"index":0,"message":{"role":"assistant","content":"Beats,Headphon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31" t="inlineStr">
        <is>
          <t>Beats,Headphones,kakobuy,kakebuy2026,kekobuysheet,kakobuysheet2026,2026kakobuy,kakobuyspreadsheeet,kakobuylink,kakebuylist,Kakobuy MEGA Spreadsheet,kakobuysheetfind,kakobuysheetfind2026,2026kakobuysheetfind,kakobuysheet2026</t>
        </is>
      </c>
      <c r="Q131"/>
      <c r="R131" t="inlineStr">
        <is>
          <t>recvhju1Cr7E6r</t>
        </is>
      </c>
      <c r="S131" t="inlineStr">
        <is>
          <t>electronicbeats-beats-solo-pro-white-recvhju1cr7e6r</t>
        </is>
      </c>
      <c r="T131"/>
      <c r="U131"/>
      <c r="V131"/>
      <c r="W131" t="inlineStr">
        <is>
          <t>{"choices":[{"finish_reason":"stop","index":0,"logprobs":null,"message":{"annotations":[],"content":"Beats：Solo Pro 白色主动降噪蓝牙耳机，采用高强度金属与柔软皮革耳垫材质，折叠设计便携时尚，简约现代风格，适合男女通用，呈现都市科技感音质体验。","refusal":null,"role":"assistant"}}],"created":1777019804,"id":"chatcmpl-DY6JgJgybpSnzxoDqjkFTfaE5M1Rv","model":"gpt-5-chat-latest","object":"chat.completion","service_tier":"default","system_fingerprint":"fp_ad66631dec","usage":{"completion_tokens":64,"completion_tokens_details":{"accepted_prediction_tokens":0,"audio_tokens":0,"reasoning_tokens":0,"rejected_prediction_tokens":0},"prompt_tokens":1299,"prompt_tokens_details":{"audio_tokens":0,"cached_tokens":0},"total_tokens":1363}}</t>
        </is>
      </c>
      <c r="X131" t="inlineStr">
        <is>
          <t>Beats：Solo Pro 白色主动降噪蓝牙耳机，采用高强度金属与柔软皮革耳垫材质，折叠设计便携时尚，简约现代风格，适合男女通用，呈现都市科技感音质体验。</t>
        </is>
      </c>
    </row>
    <row r="132" ht="25.5" customHeight="1">
      <c r="A132">
        <v>1654975475</v>
      </c>
      <c r="B132">
        <v>7620464162</v>
      </c>
      <c r="C132" s="2" t="str">
        <f>=HYPERLINK("https://weidian.com/item.html?itemID=7620464162", "https://weidian.com/item.html?itemID=7620464162")</f>
        <v>https://weidian.com/item.html?itemID=7620464162</v>
      </c>
      <c r="D132"/>
      <c r="E132" s="2" t="str">
        <f>=HYPERLINK("https://si.geilicdn.com/pcitem2014204438-32f20000019ac470974c0a207569_1080_1080.jpg?w=640&amp;h=640", "https://si.geilicdn.com/pcitem2014204438-32f20000019ac470974c0a207569_1080_1080.jpg?w=640&amp;h=640")</f>
        <v>https://si.geilicdn.com/pcitem2014204438-32f20000019ac470974c0a207569_1080_1080.jpg?w=640&amp;h=640</v>
      </c>
      <c r="F132" t="inlineStr">
        <is>
          <t>Electronic</t>
        </is>
      </c>
      <c r="G132" t="inlineStr">
        <is>
          <t>Sony</t>
        </is>
      </c>
      <c r="H132">
        <v>316</v>
      </c>
      <c r="I132">
        <v>45.8</v>
      </c>
      <c r="J132" t="inlineStr">
        <is>
          <t>{"id":"chatcmpl-DYLoAJaRHnmm26Qt0I5KQspE1cOgJ","object":"chat.completion","created":1777079354,"model":"gpt-5-chat-2025-10-03","choices":[{"index":0,"message":{"role":"assistant","content":"Sony WH-1000XM4 Gray Wireless Noise Canceling Headphones","refusal":null,"annotations":[]},"logprobs":null,"finish_reason":"stop"}],"usage":{"prompt_tokens":884,"completion_tokens":15,"total_tokens":899,"prompt_tokens_details":{"cached_tokens":0,"audio_tokens":0},"completion_tokens_details":{"reasoning_tokens":0,"audio_tokens":0,"accepted_prediction_tokens":0,"rejected_prediction_tokens":0}},"service_tier":"default","system_fingerprint":"fp_ad66631dec"}</t>
        </is>
      </c>
      <c r="K132" t="inlineStr">
        <is>
          <t>Sony WH-1000XM4 Gray Wireless Noise Canceling Headphones</t>
        </is>
      </c>
      <c r="L132" t="inlineStr">
        <is>
          <t>{"id":"chatcmpl-DYLTFrUBUx0ninP8jQ3rRarav5dyM","object":"chat.completion","created":1777078057,"model":"gpt-5-chat-latest","choices":[{"index":0,"message":{"role":"assistant","content":"Sony WH-1000XM4 Gray Wireless Bluetooth Noise-Canceling Headphones, lightweight skin-friendly design, smart touch control, long battery life, stylish for men and women, premium urban audio experience.","refusal":null,"annotations":[]},"logprobs":null,"finish_reason":"stop"}],"usage":{"prompt_tokens":892,"completion_tokens":42,"total_tokens":934,"prompt_tokens_details":{"cached_tokens":0,"audio_tokens":0},"completion_tokens_details":{"reasoning_tokens":0,"audio_tokens":0,"accepted_prediction_tokens":0,"rejected_prediction_tokens":0}},"service_tier":"default","system_fingerprint":"fp_ad66631dec"}</t>
        </is>
      </c>
      <c r="M13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ma=2592000","apim-request-id":"f1b27e98-65a7-4b16-9bc3-58d8585cf744","azureml-model-session":"d20260405221325-2e8d5e76","cache-control":"no-cache, no-store, must-revalidate","connection":"close","content-length":"1004","content-security-policy":"frame-ancestors 'self'","content-type":"application/json","date":"Sat, 25 Apr 2026 00:47:39 GMT","server":"nginx","skip-error-remapping":"true","strict-transport-security":"max-age=31536000; includeSubDomains; preload","via":"1.1 Caddy, 1.1 Caddy","x-api-request-id":"20260425084735831266321e5OpNJ93","x-content-type-options":"nosniff","x-frame-options":"SAMEORIGIN","x-ms-is-spilled-over":"false","x-ms-rai-invoked":"false","x-ms-region":"Sweden Central","x-new-api-version":"0.5.1","x-oneapi-request-id":"20260425004732484141948268d9d6rBS4xOOf","x-ratelimit-abusepenalty-active":"False","x-ratelimit-limit-requests":"4991","x-ratelimit-limit-tokens":"4991000","x-ratelimit-remaining-requests":"4990","x-ratelimit-remaining-tokens":"4989346","x-ratelimit-renewalperiod-requests":"60","x-ratelimit-renewalperiod-tokens":"60","x-ratelimit-reset-requests":"12","x-ratelimit-reset-tokens":"19","x-request-id":"cc1ed5f6-4321-4359-9edc-4c4580512bba"}</t>
        </is>
      </c>
      <c r="N132" t="inlineStr">
        <is>
          <t>Sony WH-1000XM4 Gray Wireless Bluetooth Noise-Canceling Headphones, lightweight skin-friendly design, smart touch control, long battery life, stylish for men and women, premium urban audio experience.</t>
        </is>
      </c>
      <c r="O132" t="inlineStr">
        <is>
          <t>{"id":"chatcmpl-DYM24lNdAExsFpnoCgRjdcnAzYbfg","object":"chat.completion","created":1777080216,"model":"gpt-5-chat-2025-10-03","choices":[{"index":0,"message":{"role":"assistant","content":"Sony,Headphones,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87,"total_tokens":868,"prompt_tokens_details":{"cached_tokens":0,"audio_tokens":0},"completion_tokens_details":{"reasoning_tokens":0,"audio_tokens":0,"accepted_prediction_tokens":0,"rejected_prediction_tokens":0}},"service_tier":"default","system_fingerprint":"fp_ad66631dec"}</t>
        </is>
      </c>
      <c r="P132" t="inlineStr">
        <is>
          <t>Sony,Headphones,kakobuy,kakebuy2026,kekobuysheet,kakobuysheet2026,2026kakobuy,kakobuyspreadsheeet,kakobuylink,kakebuylist,Kakobuy MEGA Spreadsheet,kakobuysheetfind,kakobuysheetfind2026,2026kakobuysheetfind,kakobuysheet2026</t>
        </is>
      </c>
      <c r="Q132"/>
      <c r="R132" t="inlineStr">
        <is>
          <t>recvhju1CrXBxj</t>
        </is>
      </c>
      <c r="S132" t="inlineStr">
        <is>
          <t>sony-wh-1000xm4-gray-wireless-noise-canceling-headphones-recvhju1crxbxj</t>
        </is>
      </c>
      <c r="T132"/>
      <c r="U132"/>
      <c r="V132"/>
      <c r="W132" t="inlineStr">
        <is>
          <t>{"id":"chatcmpl-DY6FpTOSl0yWyb9UqxEHKh4AGg7K8","object":"chat.completion","created":1777019565,"model":"gpt-5-chat-latest","choices":[{"index":0,"message":{"role":"assistant","content":"Sony：WH-1000XM4灰色无线蓝牙降噪耳机，采用轻质亲肤材质与时尚简约设计，搭载智能触控与长效续航功能，男女皆宜，呈现现代都市高端音频美学。","refusal":null,"annotations":[]},"logprobs":null,"finish_reason":"stop"}],"usage":{"prompt_tokens":1295,"completion_tokens":61,"total_tokens":1356,"prompt_tokens_details":{"cached_tokens":0,"audio_tokens":0},"completion_tokens_details":{"reasoning_tokens":0,"audio_tokens":0,"accepted_prediction_tokens":0,"rejected_prediction_tokens":0}},"service_tier":"default","system_fingerprint":"fp_ad66631dec"}</t>
        </is>
      </c>
      <c r="X132" t="inlineStr">
        <is>
          <t>Sony：WH-1000XM4灰色无线蓝牙降噪耳机，采用轻质亲肤材质与时尚简约设计，搭载智能触控与长效续航功能，男女皆宜，呈现现代都市高端音频美学。</t>
        </is>
      </c>
    </row>
    <row r="133" ht="25.5" customHeight="1">
      <c r="A133">
        <v>1654975475</v>
      </c>
      <c r="B133">
        <v>7619999350</v>
      </c>
      <c r="C133" s="2" t="str">
        <f>=HYPERLINK("https://weidian.com/item.html?itemID=7619999350", "https://weidian.com/item.html?itemID=7619999350")</f>
        <v>https://weidian.com/item.html?itemID=7619999350</v>
      </c>
      <c r="D133"/>
      <c r="E133" s="2" t="str">
        <f>=HYPERLINK("https://si.geilicdn.com/pcitem2014204438-26f10000019ac472c6ff0a239846_1442_1922.jpg?w=640&amp;h=640", "https://si.geilicdn.com/pcitem2014204438-26f10000019ac472c6ff0a239846_1442_1922.jpg?w=640&amp;h=640")</f>
        <v>https://si.geilicdn.com/pcitem2014204438-26f10000019ac472c6ff0a239846_1442_1922.jpg?w=640&amp;h=640</v>
      </c>
      <c r="F133" t="inlineStr">
        <is>
          <t>Electronic</t>
        </is>
      </c>
      <c r="G133" t="inlineStr">
        <is>
          <t>Beats</t>
        </is>
      </c>
      <c r="H133">
        <v>316</v>
      </c>
      <c r="I133">
        <v>45.8</v>
      </c>
      <c r="J133" t="inlineStr">
        <is>
          <t>{"id":"chatcmpl-DYLgcFVWsSqBFdxB8lf1vIGKPU8hH","object":"chat.completion","created":1777078886,"model":"gpt-5-chat-latest","choices":[{"index":0,"message":{"role":"assistant","content":"ElectronicBeats Studio Pro Wireless Noise Cancelling Headphones","refusal":null,"annotations":[]},"logprobs":null,"finish_reason":"stop"}],"usage":{"prompt_tokens":865,"completion_tokens":12,"total_tokens":877,"prompt_tokens_details":{"cached_tokens":0,"audio_tokens":0},"completion_tokens_details":{"reasoning_tokens":0,"audio_tokens":0,"accepted_prediction_tokens":0,"rejected_prediction_tokens":0}},"service_tier":"default","system_fingerprint":"fp_ad66631dec"}</t>
        </is>
      </c>
      <c r="K133" t="inlineStr">
        <is>
          <t>ElectronicBeats Studio Pro Wireless Noise Cancelling Headphones</t>
        </is>
      </c>
      <c r="L133" t="inlineStr">
        <is>
          <t>{"id":"chatcmpl-DYLZTk6wDWrV21BmCcww8jROlCwNs","object":"chat.completion","created":1777078443,"model":"gpt-5-chat-latest","choices":[{"index":0,"message":{"role":"assistant","content":"ElectronicBeats Studio Pro Matte Black Noise Cancelling Wireless Bluetooth Headphones – lightweight design, pure powerful sound, modern unisex style for urban audio aesthetics.","refusal":null,"annotations":[]},"logprobs":null,"finish_reason":"stop"}],"usage":{"prompt_tokens":893,"completion_tokens":32,"total_tokens":925,"prompt_tokens_details":{"cached_tokens":0,"audio_tokens":0},"completion_tokens_details":{"reasoning_tokens":0,"audio_tokens":0,"accepted_prediction_tokens":0,"rejected_prediction_tokens":0}},"service_tier":"default","system_fingerprint":"fp_ad66631dec"}</t>
        </is>
      </c>
      <c r="M13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ma=2592000","apim-request-id":"d068b822-0458-42e3-9f25-d01ebc5d3424","azureml-model-session":"d20260405221325-2e8d5e76","cache-control":"no-cache, no-store, must-revalidate","connection":"close","content-length":"982","content-security-policy":"frame-ancestors 'self'","content-type":"application/json","date":"Sat, 25 Apr 2026 00:54:05 GMT","server":"nginx","skip-error-remapping":"true","strict-transport-security":"max-age=31536000; includeSubDomains; preload","via":"1.1 Caddy, 1.1 Caddy","x-api-request-id":"20260425085401183561796gmPQGBSy","x-content-type-options":"nosniff","x-frame-options":"SAMEORIGIN","x-ms-is-spilled-over":"false","x-ms-rai-invoked":"false","x-ms-region":"Sweden Central","x-new-api-version":"0.5.1","x-oneapi-request-id":"20260425005359711142718268d9d604eupRCg","x-ratelimit-abusepenalty-active":"False","x-ratelimit-limit-requests":"4991","x-ratelimit-limit-tokens":"4991000","x-ratelimit-remaining-requests":"4990","x-ratelimit-remaining-tokens":"4989345","x-ratelimit-renewalperiod-requests":"60","x-ratelimit-renewalperiod-tokens":"60","x-ratelimit-reset-requests":"12","x-ratelimit-reset-tokens":"19","x-request-id":"90965759-31f5-459f-a5c0-894415ac9b4c"}</t>
        </is>
      </c>
      <c r="N133" t="inlineStr">
        <is>
          <t>ElectronicBeats Studio Pro Matte Black Noise Cancelling Wireless Bluetooth Headphones – lightweight design, pure powerful sound, modern unisex style for urban audio aesthetics.</t>
        </is>
      </c>
      <c r="O133" t="inlineStr">
        <is>
          <t>{"id":"chatcmpl-DYLwYu1AFbDDnt3nbxPpSbzex0d6W","object":"chat.completion","created":1777079874,"model":"gpt-5-chat-2025-10-03","choices":[{"index":0,"message":{"role":"assistant","content":"Beats,Headphon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33" t="inlineStr">
        <is>
          <t>Beats,Headphones,kakobuy,kakebuy2026,kekobuysheet,kakobuysheet2026,2026kakobuy,kakobuyspreadsheeet,kakobuylink,kakebuylist,Kakobuy MEGA Spreadsheet,kakobuysheetfind,kakobuysheetfind2026,2026kakobuysheetfind,kakobuysheet2026</t>
        </is>
      </c>
      <c r="Q133" t="inlineStr">
        <is>
          <t>Lightweight, Unisex, Modern</t>
        </is>
      </c>
      <c r="R133" t="inlineStr">
        <is>
          <t>recvhju1CrVuci</t>
        </is>
      </c>
      <c r="S133" t="inlineStr">
        <is>
          <t>electronicbeats-studio-pro-wireless-noise-cancelling-headphones-recvhju1crvuci</t>
        </is>
      </c>
      <c r="T133"/>
      <c r="U133"/>
      <c r="V133"/>
      <c r="W133" t="inlineStr">
        <is>
          <t>{"id":"chatcmpl-DY6DByuyNDbgiLhPjB9FAgiPBlmi3","object":"chat.completion","created":1777019401,"model":"gpt-5-chat-latest","choices":[{"index":0,"message":{"role":"assistant","content":"Beats：Studio Pro哑光黑降噪头戴式无线蓝牙耳机，融合轻盈材质与极简设计，音质震撼纯净，适合男女通用，都市潮流风格演绎现代听觉美学。","refusal":null,"annotations":[]},"logprobs":null,"finish_reason":"stop"}],"usage":{"prompt_tokens":1299,"completion_tokens":60,"total_tokens":1359,"prompt_tokens_details":{"cached_tokens":0,"audio_tokens":0},"completion_tokens_details":{"reasoning_tokens":0,"audio_tokens":0,"accepted_prediction_tokens":0,"rejected_prediction_tokens":0}},"service_tier":"default","system_fingerprint":"fp_ad66631dec"}</t>
        </is>
      </c>
      <c r="X133" t="inlineStr">
        <is>
          <t>Beats：Studio Pro哑光黑降噪头戴式无线蓝牙耳机，融合轻盈材质与极简设计，音质震撼纯净，适合男女通用，都市潮流风格演绎现代听觉美学。</t>
        </is>
      </c>
    </row>
    <row r="134" ht="25.5" customHeight="1">
      <c r="A134">
        <v>1654975475</v>
      </c>
      <c r="B134">
        <v>7617496401</v>
      </c>
      <c r="C134" s="2" t="str">
        <f>=HYPERLINK("https://weidian.com/item.html?itemID=7617496401", "https://weidian.com/item.html?itemID=7617496401")</f>
        <v>https://weidian.com/item.html?itemID=7617496401</v>
      </c>
      <c r="D134"/>
      <c r="E134" s="2" t="str">
        <f>=HYPERLINK("https://si.geilicdn.com/pcitem2014204438-381e0000019ac475fa690a23057e_750_1283.jpg?w=640&amp;h=640", "https://si.geilicdn.com/pcitem2014204438-381e0000019ac475fa690a23057e_750_1283.jpg?w=640&amp;h=640")</f>
        <v>https://si.geilicdn.com/pcitem2014204438-381e0000019ac475fa690a23057e_750_1283.jpg?w=640&amp;h=640</v>
      </c>
      <c r="F134" t="inlineStr">
        <is>
          <t>Electronic</t>
        </is>
      </c>
      <c r="G134" t="inlineStr">
        <is>
          <t>Bose</t>
        </is>
      </c>
      <c r="H134">
        <v>390</v>
      </c>
      <c r="I134">
        <v>56.52</v>
      </c>
      <c r="J134" t="inlineStr">
        <is>
          <t>{"id":"chatcmpl-DYLnL6NaEmk7wllleV3DTniUq3kdV","object":"chat.completion","created":1777079303,"model":"gpt-5-chat-2025-10-03","choices":[{"index":0,"message":{"role":"assistant","content":"Bose Silver True Wireless Noise Cancelling Earbuds","refusal":null,"annotations":[]},"logprobs":null,"finish_reason":"stop"}],"usage":{"prompt_tokens":1157,"completion_tokens":11,"total_tokens":1168,"prompt_tokens_details":{"cached_tokens":0,"audio_tokens":0},"completion_tokens_details":{"reasoning_tokens":0,"audio_tokens":0,"accepted_prediction_tokens":0,"rejected_prediction_tokens":0}},"service_tier":"default","system_fingerprint":"fp_ad66631dec"}</t>
        </is>
      </c>
      <c r="K134" t="inlineStr">
        <is>
          <t>Bose Silver True Wireless Noise Cancelling Earbuds</t>
        </is>
      </c>
      <c r="L134" t="inlineStr">
        <is>
          <t>{"id":"chatcmpl-DYLSU3zLtHvysksLn6SojoLTAknnA","object":"chat.completion","created":1777078010,"model":"gpt-5-chat-latest","choices":[{"index":0,"message":{"role":"assistant","content":"ElectronicBoseBose Silver True Wireless Noise Cancelling Earbuds feature premium metallic design, superior sound, and ergonomic fit for men and women, embodying futuristic minimalist style and comfort.","refusal":null,"annotations":[]},"logprobs":null,"finish_reason":"stop"}],"usage":{"prompt_tokens":1164,"completion_tokens":38,"total_tokens":1202,"prompt_tokens_details":{"cached_tokens":1152,"audio_tokens":0},"completion_tokens_details":{"reasoning_tokens":0,"audio_tokens":0,"accepted_prediction_tokens":0,"rejected_prediction_tokens":0}},"service_tier":"default","system_fingerprint":"fp_ad66631dec"}</t>
        </is>
      </c>
      <c r="M13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ma=2592000","apim-request-id":"d100238e-b741-4fed-906c-10399c40c70b","azureml-model-session":"d20260405234249-f9874baf","cache-control":"no-cache, no-store, must-revalidate","connection":"close","content-length":"1010","content-security-policy":"frame-ancestors 'self'","content-type":"application/json","date":"Sat, 25 Apr 2026 00:46:53 GMT","server":"nginx","skip-error-remapping":"true","strict-transport-security":"max-age=31536000; includeSubDomains; preload","via":"1.1 Caddy, 1.1 Caddy","x-api-request-id":"20260425084648343942750X84a3li0","x-content-type-options":"nosniff","x-frame-options":"SAMEORIGIN","x-ms-is-spilled-over":"false","x-ms-rai-invoked":"false","x-ms-region":"Sweden Central","x-new-api-version":"0.5.1","x-oneapi-request-id":"202604250046479216148288268d9d6VkA9lxDA","x-ratelimit-abusepenalty-active":"False","x-ratelimit-limit-requests":"4991","x-ratelimit-limit-tokens":"4991000","x-ratelimit-remaining-requests":"4990","x-ratelimit-remaining-tokens":"4989073","x-ratelimit-renewalperiod-requests":"60","x-ratelimit-renewalperiod-tokens":"60","x-ratelimit-reset-requests":"12","x-ratelimit-reset-tokens":"23","x-request-id":"85f2996b-1a33-4e45-87f4-161bf1197bda"}</t>
        </is>
      </c>
      <c r="N134" t="inlineStr">
        <is>
          <t>ElectronicBoseBose Silver True Wireless Noise Cancelling Earbuds feature premium metallic design, superior sound, and ergonomic fit for men and women, embodying futuristic minimalist style and comfort.</t>
        </is>
      </c>
      <c r="O134" t="inlineStr">
        <is>
          <t>{"id":"chatcmpl-DYLztWt170H14XwaGPQvjdfJeWKng","object":"chat.completion","created":1777080081,"model":"gpt-5-chat-2025-10-03","choices":[{"index":0,"message":{"role":"assistant","content":"ElectronicBose,earphones,kakobuy,kakebuy2026,kekobuysheet,kakobuysheet2026,2026kakobuy,kakobuyspreadsheeet,kakobuylink,kakebuylist,Kakobuy MEGA Spreadsheet,kakobuysheetfind,kakobuysheetfind2026,2026kakobuysheetfind,kakobuysheet2026","refusal":null,"annotations":[]},"logprobs":null,"finish_reason":"stop"}],"usage":{"prompt_tokens":1062,"completion_tokens":89,"total_tokens":1151,"prompt_tokens_details":{"cached_tokens":0,"audio_tokens":0},"completion_tokens_details":{"reasoning_tokens":0,"audio_tokens":0,"accepted_prediction_tokens":0,"rejected_prediction_tokens":0}},"service_tier":"default","system_fingerprint":"fp_ad66631dec"}</t>
        </is>
      </c>
      <c r="P134" t="inlineStr">
        <is>
          <t>ElectronicBose,earphones,kakobuy,kakebuy2026,kekobuysheet,kakobuysheet2026,2026kakobuy,kakobuyspreadsheeet,kakobuylink,kakebuylist,Kakobuy MEGA Spreadsheet,kakobuysheetfind,kakobuysheetfind2026,2026kakobuysheetfind,kakobuysheet2026</t>
        </is>
      </c>
      <c r="Q134"/>
      <c r="R134" t="inlineStr">
        <is>
          <t>recvhju1CrPqaf</t>
        </is>
      </c>
      <c r="S134" t="inlineStr">
        <is>
          <t>bose-silver-true-wireless-noise-cancelling-earbuds-recvhju1crpqaf</t>
        </is>
      </c>
      <c r="T134"/>
      <c r="U134"/>
      <c r="V134"/>
      <c r="W134" t="inlineStr">
        <is>
          <t>{"choices":[{"finish_reason":"stop","index":0,"logprobs":null,"message":{"annotations":[],"content":"Bose 银色真无线降噪耳机，采用高端金属质感设计，具备卓越音质与舒适佩戴体验，现代极简风格，男女皆宜，演绎未来科技美学。","refusal":null,"role":"assistant"}}],"created":1777019613,"id":"chatcmpl-DY6Gbn5c9if5GL0GG1Ajn2ViEoj9K","model":"gpt-5-chat-latest","object":"chat.completion","service_tier":"default","system_fingerprint":"fp_ad66631dec","usage":{"completion_tokens":53,"completion_tokens_details":{"accepted_prediction_tokens":0,"audio_tokens":0,"reasoning_tokens":0,"rejected_prediction_tokens":0},"prompt_tokens":1575,"prompt_tokens_details":{"audio_tokens":0,"cached_tokens":0},"total_tokens":1628}}</t>
        </is>
      </c>
      <c r="X134" t="inlineStr">
        <is>
          <t>Bose 银色真无线降噪耳机，采用高端金属质感设计，具备卓越音质与舒适佩戴体验，现代极简风格，男女皆宜，演绎未来科技美学。</t>
        </is>
      </c>
    </row>
    <row r="135" ht="25.5" customHeight="1">
      <c r="A135">
        <v>1654975475</v>
      </c>
      <c r="B135">
        <v>7620007450</v>
      </c>
      <c r="C135" s="2" t="str">
        <f>=HYPERLINK("https://weidian.com/item.html?itemID=7620007450", "https://weidian.com/item.html?itemID=7620007450")</f>
        <v>https://weidian.com/item.html?itemID=7620007450</v>
      </c>
      <c r="D135"/>
      <c r="E135" s="2" t="str">
        <f>=HYPERLINK("https://si.geilicdn.com/pcitem2014204438-30ba0000019ac4797eef0a8134f0_1260_1659.jpg?w=640&amp;h=640", "https://si.geilicdn.com/pcitem2014204438-30ba0000019ac4797eef0a8134f0_1260_1659.jpg?w=640&amp;h=640")</f>
        <v>https://si.geilicdn.com/pcitem2014204438-30ba0000019ac4797eef0a8134f0_1260_1659.jpg?w=640&amp;h=640</v>
      </c>
      <c r="F135" t="inlineStr">
        <is>
          <t>Electronic</t>
        </is>
      </c>
      <c r="G135" t="inlineStr">
        <is>
          <t>Sony</t>
        </is>
      </c>
      <c r="H135">
        <v>900</v>
      </c>
      <c r="I135">
        <v>130.43</v>
      </c>
      <c r="J135" t="inlineStr">
        <is>
          <t>{"id":"chatcmpl-DYLgSXlGb9wyQ5LFmzVfuH3GTdCwM","object":"chat.completion","created":1777078876,"model":"gpt-5-chat-latest","choices":[{"index":0,"message":{"role":"assistant","content":"Sony WH-1000XM5 Black Wireless Noise Cancelling Headphones","refusal":null,"annotations":[]},"logprobs":null,"finish_reason":"stop"}],"usage":{"prompt_tokens":894,"completion_tokens":15,"total_tokens":909,"prompt_tokens_details":{"cached_tokens":0,"audio_tokens":0},"completion_tokens_details":{"reasoning_tokens":0,"audio_tokens":0,"accepted_prediction_tokens":0,"rejected_prediction_tokens":0}},"service_tier":"default","system_fingerprint":"fp_ad66631dec"}</t>
        </is>
      </c>
      <c r="K135" t="inlineStr">
        <is>
          <t>Sony WH-1000XM5 Black Wireless Noise Cancelling Headphones</t>
        </is>
      </c>
      <c r="L135" t="inlineStr">
        <is>
          <t>{"id":"chatcmpl-DYLTdhyFw4KYleSrI3njdgTwf5nNl","object":"chat.completion","created":1777078081,"model":"gpt-5-chat-latest","choices":[{"index":0,"message":{"role":"assistant","content":"Sony WH-1000XM5 Black Wireless Noise Cancelling Headphones with soft leather ear pads, sleek minimalist design, Hi-Res Audio, 360 Reality Sound, smart noise reduction, Bluetooth, perfect for travel or commute.","refusal":null,"annotations":[]},"logprobs":null,"finish_reason":"stop"}],"usage":{"prompt_tokens":913,"completion_tokens":47,"total_tokens":960,"prompt_tokens_details":{"cached_tokens":0,"audio_tokens":0},"completion_tokens_details":{"reasoning_tokens":0,"audio_tokens":0,"accepted_prediction_tokens":0,"rejected_prediction_tokens":0}},"service_tier":"default","system_fingerprint":"fp_ad66631dec"}</t>
        </is>
      </c>
      <c r="M13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ma=2592000","apim-request-id":"61e71d0c-90f7-44ae-8083-aff9a3bdadee","azureml-model-session":"d20260402074105-51db401e","cache-control":"no-cache, no-store, must-revalidate","connection":"close","content-length":"1013","content-security-policy":"frame-ancestors 'self'","content-type":"application/json","date":"Sat, 25 Apr 2026 00:48:03 GMT","server":"nginx","skip-error-remapping":"true","strict-transport-security":"max-age=31536000; includeSubDomains; preload","via":"1.1 Caddy, 1.1 Caddy","x-api-request-id":"202604250848002327235297wotx4lZ","x-content-type-options":"nosniff","x-frame-options":"SAMEORIGIN","x-ms-is-spilled-over":"false","x-ms-rai-invoked":"false","x-ms-region":"East US 2","x-new-api-version":"0.5.1","x-oneapi-request-id":"202604250047573468054728268d9d6szVBQjk5","x-ratelimit-abusepenalty-active":"False","x-ratelimit-limit-requests":"4992","x-ratelimit-limit-tokens":"4992000","x-ratelimit-remaining-requests":"4991","x-ratelimit-remaining-tokens":"4990325","x-ratelimit-renewalperiod-requests":"60","x-ratelimit-renewalperiod-tokens":"60","x-ratelimit-reset-requests":"12","x-ratelimit-reset-tokens":"20","x-request-id":"bc228a29-0e02-448a-b006-d131c7cd96a8"}</t>
        </is>
      </c>
      <c r="N135" t="inlineStr">
        <is>
          <t>Sony WH-1000XM5 Black Wireless Noise Cancelling Headphones with soft leather ear pads, sleek minimalist design, Hi-Res Audio, 360 Reality Sound, smart noise reduction, Bluetooth, perfect for travel or commute.</t>
        </is>
      </c>
      <c r="O135" t="inlineStr">
        <is>
          <t>{"id":"chatcmpl-DYLtFTP2NilQWwPkwDDCguKE4JiNv","object":"chat.completion","created":1777079669,"model":"gpt-5-chat-2025-10-03","choices":[{"index":0,"message":{"role":"assistant","content":"Sony,Headphones,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87,"total_tokens":868,"prompt_tokens_details":{"cached_tokens":0,"audio_tokens":0},"completion_tokens_details":{"reasoning_tokens":0,"audio_tokens":0,"accepted_prediction_tokens":0,"rejected_prediction_tokens":0}},"service_tier":"default","system_fingerprint":"fp_ad66631dec"}</t>
        </is>
      </c>
      <c r="P135" t="inlineStr">
        <is>
          <t>Sony,Headphones,kakobuy,kakebuy2026,kekobuysheet,kakobuysheet2026,2026kakobuy,kakobuyspreadsheeet,kakobuylink,kakebuylist,Kakobuy MEGA Spreadsheet,kakobuysheetfind,kakobuysheetfind2026,2026kakobuysheetfind,kakobuysheet2026</t>
        </is>
      </c>
      <c r="Q135"/>
      <c r="R135" t="inlineStr">
        <is>
          <t>recvhju1CrciRr</t>
        </is>
      </c>
      <c r="S135" t="inlineStr">
        <is>
          <t>sony-wh-1000xm5-black-wireless-noise-cancelling-headphones-recvhju1crci rr</t>
        </is>
      </c>
      <c r="T135"/>
      <c r="U135"/>
      <c r="V135"/>
      <c r="W135" t="inlineStr">
        <is>
          <t>{"choices":[{"finish_reason":"stop","index":0,"logprobs":null,"message":{"annotations":[],"content":"Sony：WH-1000XM5黑色无线降噪耳机，轻盈柔软皮质耳罩搭配极简流线设计，高解析音质与360环绕声效，内建智能降噪芯片，支持蓝牙连接，适合男女日常通勤与旅行使用，现代都市风格高端数码配件。","refusal":null,"role":"assistant"}}],"created":1777019457,"id":"chatcmpl-DY6E5x3o5wIXs8oboCkIhLtxNiXu3","model":"gpt-5-chat-latest","object":"chat.completion","service_tier":"default","system_fingerprint":"fp_ad66631dec","usage":{"completion_tokens":81,"completion_tokens_details":{"accepted_prediction_tokens":0,"audio_tokens":0,"reasoning_tokens":0,"rejected_prediction_tokens":0},"prompt_tokens":1299,"prompt_tokens_details":{"audio_tokens":0,"cached_tokens":1280},"total_tokens":1380}}</t>
        </is>
      </c>
      <c r="X135" t="inlineStr">
        <is>
          <t>Sony：WH-1000XM5黑色无线降噪耳机，轻盈柔软皮质耳罩搭配极简流线设计，高解析音质与360环绕声效，内建智能降噪芯片，支持蓝牙连接，适合男女日常通勤与旅行使用，现代都市风格高端数码配件。</t>
        </is>
      </c>
    </row>
    <row r="136" ht="25.5" customHeight="1">
      <c r="A136">
        <v>1654975475</v>
      </c>
      <c r="B136">
        <v>7620484448</v>
      </c>
      <c r="C136" s="2" t="str">
        <f>=HYPERLINK("https://weidian.com/item.html?itemID=7620484448", "https://weidian.com/item.html?itemID=7620484448")</f>
        <v>https://weidian.com/item.html?itemID=7620484448</v>
      </c>
      <c r="D136"/>
      <c r="E136" s="2" t="str">
        <f>=HYPERLINK("https://si.geilicdn.com/pcitem2014204438-42ad0000019ac49ff5000a207569_1440_1920.jpg?w=640&amp;h=640", "https://si.geilicdn.com/pcitem2014204438-42ad0000019ac49ff5000a207569_1440_1920.jpg?w=640&amp;h=640")</f>
        <v>https://si.geilicdn.com/pcitem2014204438-42ad0000019ac49ff5000a207569_1440_1920.jpg?w=640&amp;h=640</v>
      </c>
      <c r="F136" t="inlineStr">
        <is>
          <t>Electronic</t>
        </is>
      </c>
      <c r="G136" t="inlineStr">
        <is>
          <t xml:space="preserve"> Apple</t>
        </is>
      </c>
      <c r="H136">
        <v>900</v>
      </c>
      <c r="I136">
        <v>130.43</v>
      </c>
      <c r="J136" t="inlineStr">
        <is>
          <t>{"id":"chatcmpl-DYLjcPuhzWS3CwxQGOb8jgh3PIiJI","object":"chat.completion","created":1777079072,"model":"gpt-5-chat-latest","choices":[{"index":0,"message":{"role":"assistant","content":"Apple AirPods Max Champagne Gold Wireless Headphones","refusal":null,"annotations":[]},"logprobs":null,"finish_reason":"stop"}],"usage":{"prompt_tokens":878,"completion_tokens":10,"total_tokens":888,"prompt_tokens_details":{"cached_tokens":0,"audio_tokens":0},"completion_tokens_details":{"reasoning_tokens":0,"audio_tokens":0,"accepted_prediction_tokens":0,"rejected_prediction_tokens":0}},"service_tier":"default","system_fingerprint":"fp_ad66631dec"}</t>
        </is>
      </c>
      <c r="K136" t="inlineStr">
        <is>
          <t>Apple AirPods Max Champagne Gold Wireless Headphones</t>
        </is>
      </c>
      <c r="L136" t="inlineStr">
        <is>
          <t>{"id":"chatcmpl-DYLS2Cnf4RbNRObqTtOXVRQ6HRaHu","object":"chat.completion","created":1777077982,"model":"gpt-5-chat-latest","choices":[{"index":0,"message":{"role":"assistant","content":"Apple AirPods Max Champagne Gold Wireless Over-Ear Headphones feature anodized aluminum design, soft fabric mesh, premium sound, active noise cancellation, and transparency mode for ultimate style and comfort.","refusal":null,"annotations":[]},"logprobs":null,"finish_reason":"stop"}],"usage":{"prompt_tokens":904,"completion_tokens":39,"total_tokens":943,"prompt_tokens_details":{"cached_tokens":0,"audio_tokens":0},"completion_tokens_details":{"reasoning_tokens":0,"audio_tokens":0,"accepted_prediction_tokens":0,"rejected_prediction_tokens":0}},"service_tier":"default","system_fingerprint":"fp_ad66631dec"}</t>
        </is>
      </c>
      <c r="M13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ma=2592000","apim-request-id":"385fe069-c5fd-4cf2-9a94-051db862da19","azureml-model-session":"d20260405234249-f9874baf","cache-control":"no-cache, no-store, must-revalidate","connection":"close","content-length":"1013","content-security-policy":"frame-ancestors 'self'","content-type":"application/json","date":"Sat, 25 Apr 2026 00:46:25 GMT","server":"nginx","skip-error-remapping":"true","strict-transport-security":"max-age=31536000; includeSubDomains; preload","via":"1.1 Caddy, 1.1 Caddy","x-api-request-id":"20260425084621193080802cYLScA6h","x-content-type-options":"nosniff","x-frame-options":"SAMEORIGIN","x-ms-is-spilled-over":"false","x-ms-rai-invoked":"false","x-ms-region":"Sweden Central","x-new-api-version":"0.5.1","x-oneapi-request-id":"202604250046205718770808268d9d6lY5kDdl9","x-ratelimit-abusepenalty-active":"False","x-ratelimit-limit-requests":"4991","x-ratelimit-limit-tokens":"4991000","x-ratelimit-remaining-requests":"4990","x-ratelimit-remaining-tokens":"4989334","x-ratelimit-renewalperiod-requests":"60","x-ratelimit-renewalperiod-tokens":"60","x-ratelimit-reset-requests":"12","x-ratelimit-reset-tokens":"20","x-request-id":"d6b63210-e166-4e91-bb73-3d53f410a4da"}</t>
        </is>
      </c>
      <c r="N136" t="inlineStr">
        <is>
          <t>Apple AirPods Max Champagne Gold Wireless Over-Ear Headphones feature anodized aluminum design, soft fabric mesh, premium sound, active noise cancellation, and transparency mode for ultimate style and comfort.</t>
        </is>
      </c>
      <c r="O136" t="inlineStr">
        <is>
          <t>{"id":"chatcmpl-DYLuobGUeJ9w20BqoA9YN4G4vJGzr","object":"chat.completion","created":1777079766,"model":"gpt-5-chat-2025-10-03","choices":[{"index":0,"message":{"role":"assistant","content":"Apple,Headphones,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87,"total_tokens":868,"prompt_tokens_details":{"cached_tokens":0,"audio_tokens":0},"completion_tokens_details":{"reasoning_tokens":0,"audio_tokens":0,"accepted_prediction_tokens":0,"rejected_prediction_tokens":0}},"service_tier":"default","system_fingerprint":"fp_ad66631dec"}</t>
        </is>
      </c>
      <c r="P136" t="inlineStr">
        <is>
          <t>Apple,Headphones,kakobuy,kakebuy2026,kekobuysheet,kakobuysheet2026,2026kakobuy,kakobuyspreadsheeet,kakobuylink,kakebuylist,Kakobuy MEGA Spreadsheet,kakobuysheetfind,kakobuysheetfind2026,2026kakobuysheetfind,kakobuysheet2026</t>
        </is>
      </c>
      <c r="Q136"/>
      <c r="R136" t="inlineStr">
        <is>
          <t>recvhju1CrzdZR</t>
        </is>
      </c>
      <c r="S136" t="inlineStr">
        <is>
          <t>apple-airpods-max-champagne-gold-recvhju1crzdzr</t>
        </is>
      </c>
      <c r="T136"/>
      <c r="U136"/>
      <c r="V136"/>
      <c r="W136" t="inlineStr">
        <is>
          <t>{"choices":[{"finish_reason":"stop","index":0,"logprobs":null,"message":{"annotations":[],"content":"Apple：AirPods Max 香槟金色无线头戴式耳机，采用阳极氧化铝与柔软织物网面设计，融合现代极简美学与出众音质表现，主动降噪与通透模式自由切换，男女皆宜，彰显高端科技时尚品味。","refusal":null,"role":"assistant"}}],"created":1777019893,"id":"chatcmpl-DY6L7DQa5fwAqABooem82ug60Lda7","model":"gpt-5-chat-latest","object":"chat.completion","service_tier":"default","system_fingerprint":"fp_ad66631dec","usage":{"completion_tokens":73,"completion_tokens_details":{"accepted_prediction_tokens":0,"audio_tokens":0,"reasoning_tokens":0,"rejected_prediction_tokens":0},"prompt_tokens":1295,"prompt_tokens_details":{"audio_tokens":0,"cached_tokens":0},"total_tokens":1368}}</t>
        </is>
      </c>
      <c r="X136" t="inlineStr">
        <is>
          <t>Apple：AirPods Max 香槟金色无线头戴式耳机，采用阳极氧化铝与柔软织物网面设计，融合现代极简美学与出众音质表现，主动降噪与通透模式自由切换，男女皆宜，彰显高端科技时尚品味。</t>
        </is>
      </c>
    </row>
    <row r="137" ht="25.5" customHeight="1">
      <c r="A137">
        <v>1654975475</v>
      </c>
      <c r="B137">
        <v>7617569987</v>
      </c>
      <c r="C137" s="2" t="str">
        <f>=HYPERLINK("https://weidian.com/item.html?itemID=7617569987", "https://weidian.com/item.html?itemID=7617569987")</f>
        <v>https://weidian.com/item.html?itemID=7617569987</v>
      </c>
      <c r="D137"/>
      <c r="E137" s="2" t="str">
        <f>=HYPERLINK("https://si.geilicdn.com/pcitem2014204438-438e0000019ac4a2bc210a207569_1260_1659.jpg?w=640&amp;h=640", "https://si.geilicdn.com/pcitem2014204438-438e0000019ac4a2bc210a207569_1260_1659.jpg?w=640&amp;h=640")</f>
        <v>https://si.geilicdn.com/pcitem2014204438-438e0000019ac4a2bc210a207569_1260_1659.jpg?w=640&amp;h=640</v>
      </c>
      <c r="F137" t="inlineStr">
        <is>
          <t>Electronic</t>
        </is>
      </c>
      <c r="G137" t="inlineStr">
        <is>
          <t>Marshall</t>
        </is>
      </c>
      <c r="H137">
        <v>680</v>
      </c>
      <c r="I137">
        <v>98.55</v>
      </c>
      <c r="J137" t="inlineStr">
        <is>
          <t>{"id":"chatcmpl-DYLmQ6nIJ3ylgMGvONbcmi4Gam9nX","object":"chat.completion","created":1777079246,"model":"gpt-5-chat-2025-10-03","choices":[{"index":0,"message":{"role":"assistant","content":"Marshall Vintage Black Bluetooth Stereo Headphones","refusal":null,"annotations":[]},"logprobs":null,"finish_reason":"stop"}],"usage":{"prompt_tokens":876,"completion_tokens":8,"total_tokens":884,"prompt_tokens_details":{"cached_tokens":0,"audio_tokens":0},"completion_tokens_details":{"reasoning_tokens":0,"audio_tokens":0,"accepted_prediction_tokens":0,"rejected_prediction_tokens":0}},"service_tier":"default","system_fingerprint":"fp_ad66631dec"}</t>
        </is>
      </c>
      <c r="K137" t="inlineStr">
        <is>
          <t>Marshall Vintage Black Bluetooth Stereo Headphones</t>
        </is>
      </c>
      <c r="L137" t="inlineStr">
        <is>
          <t>{"choices":[{"finish_reason":"stop","index":0,"logprobs":null,"message":{"annotations":[],"content":"Marshall Vintage Black Bluetooth Headphones with leather-textured shell and metal accents. Delivering high-fidelity stereo sound, adjustable comfort headband, and foldable design for stylish daily use.","refusal":null,"role":"assistant"}}],"created":1777078010,"id":"chatcmpl-DYLSU9vis3KTFF8orRerXCJxoDQag","model":"gpt-5-chat-latest","object":"chat.completion","service_tier":"default","system_fingerprint":"fp_ad66631dec","usage":{"completion_tokens":38,"completion_tokens_details":{"accepted_prediction_tokens":0,"audio_tokens":0,"reasoning_tokens":0,"rejected_prediction_tokens":0},"prompt_tokens":910,"prompt_tokens_details":{"audio_tokens":0,"cached_tokens":0},"total_tokens":948}}</t>
        </is>
      </c>
      <c r="M137" t="inlineStr">
        <is>
          <t>{"alt-svc":"h3=\":443\"; ma=2592000","apim-request-id":"f2a77119-4a8a-4aed-b423-bc5f30421679","azureml-model-session":"d20260402083108-57a85543","cache-control":"no-cache","connection":"close","content-length":"789","content-security-policy":"frame-ancestors 'self'","content-type":"application/json","date":"Sat, 25 Apr 2026 00:46:52 GMT","server":"Caddy","skip-error-remapping":"true","strict-transport-security":"max-age=31536000; includeSubDomains; preload","via":"1.1 Caddy","x-api-request-id":"20260425084648561849414kSbZ02Pt","x-content-type-options":"nosniff","x-frame-options":"SAMEORIGIN","x-ms-client-request-id":"Not-Set","x-ms-is-spilled-over":"false","x-ms-rai-invoked":"true","x-ms-region":"East US 2","x-new-api-version":"0.5.1","x-oneapi-request-id":"202604250046468461973228268d9d6GtkBnmBL","x-ratelimit-abusepenalty-active":"False","x-ratelimit-limit-requests":"50","x-ratelimit-limit-tokens":"50000","x-ratelimit-remaining-requests":"49","x-ratelimit-remaining-tokens":"-1415","x-ratelimit-renewalperiod-requests":"60","x-ratelimit-renewalperiod-tokens":"60","x-ratelimit-reset-requests":"1200","x-ratelimit-reset-tokens":"61698","x-request-id":"eb596c28-b50b-47be-80fb-9b3a08413b6d"}</t>
        </is>
      </c>
      <c r="N137" t="inlineStr">
        <is>
          <t>Marshall Vintage Black Bluetooth Headphones with leather-textured shell and metal accents. Delivering high-fidelity stereo sound, adjustable comfort headband, and foldable design for stylish daily use.</t>
        </is>
      </c>
      <c r="O137" t="inlineStr">
        <is>
          <t>{"id":"chatcmpl-DYM3KQ39gTujWW17DzOPn6mTHxPre","object":"chat.completion","created":1777080294,"model":"gpt-5-chat-2025-10-03","choices":[{"index":0,"message":{"role":"assistant","content":"Marshall,headphones,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87,"total_tokens":868,"prompt_tokens_details":{"cached_tokens":0,"audio_tokens":0},"completion_tokens_details":{"reasoning_tokens":0,"audio_tokens":0,"accepted_prediction_tokens":0,"rejected_prediction_tokens":0}},"service_tier":"default","system_fingerprint":"fp_ad66631dec"}</t>
        </is>
      </c>
      <c r="P137" t="inlineStr">
        <is>
          <t>Marshall,headphones,kakobuy,kakebuy2026,kekobuysheet,kakobuysheet2026,2026kakobuy,kakobuyspreadsheeet,kakobuylink,kakebuylist,Kakobuy MEGA Spreadsheet,kakobuysheetfind,kakobuysheetfind2026,2026kakobuysheetfind,kakobuysheet2026</t>
        </is>
      </c>
      <c r="Q137" t="inlineStr">
        <is>
          <t>Marshall, Vintage, Black, Leather Look, Foldable</t>
        </is>
      </c>
      <c r="R137" t="inlineStr">
        <is>
          <t>recvhju1CrJoB5</t>
        </is>
      </c>
      <c r="S137" t="inlineStr">
        <is>
          <t>marshall-vintage-black-bluetooth-stereo-headphones-recvhju1crjob5</t>
        </is>
      </c>
      <c r="T137"/>
      <c r="U137"/>
      <c r="V137"/>
      <c r="W137" t="inlineStr">
        <is>
          <t>{"choices":[{"finish_reason":"stop","index":0,"logprobs":null,"message":{"annotations":[],"content":"Marshall：黑色复古蓝牙无线耳机，皮革纹理质感外壳搭配金属细节，展现经典英伦摇滚风。高保真立体声体验，配备可调节舒适头梁与折叠设计，兼具便携与时尚，适合男女日常音乐享受。","refusal":null,"role":"assistant"}}],"created":1777019557,"id":"chatcmpl-DY6FhObMtFxhL9eKf287pcVA6CfAM","model":"gpt-5-chat-latest","object":"chat.completion","service_tier":"default","system_fingerprint":"fp_ad66631dec","usage":{"completion_tokens":78,"completion_tokens_details":{"accepted_prediction_tokens":0,"audio_tokens":0,"reasoning_tokens":0,"rejected_prediction_tokens":0},"prompt_tokens":1297,"prompt_tokens_details":{"audio_tokens":0,"cached_tokens":1280},"total_tokens":1375}}</t>
        </is>
      </c>
      <c r="X137" t="inlineStr">
        <is>
          <t>Marshall：黑色复古蓝牙无线耳机，皮革纹理质感外壳搭配金属细节，展现经典英伦摇滚风。高保真立体声体验，配备可调节舒适头梁与折叠设计，兼具便携与时尚，适合男女日常音乐享受。</t>
        </is>
      </c>
    </row>
    <row r="138" ht="25.5" customHeight="1">
      <c r="A138">
        <v>1654975475</v>
      </c>
      <c r="B138">
        <v>7619997422</v>
      </c>
      <c r="C138" s="2" t="str">
        <f>=HYPERLINK("https://weidian.com/item.html?itemID=7619997422", "https://weidian.com/item.html?itemID=7619997422")</f>
        <v>https://weidian.com/item.html?itemID=7619997422</v>
      </c>
      <c r="D138"/>
      <c r="E138" s="2" t="str">
        <f>=HYPERLINK("https://si.geilicdn.com/pcitem2014204438-31f30000019ac4a486670a231177_1440_1920.jpg?w=640&amp;h=640", "https://si.geilicdn.com/pcitem2014204438-31f30000019ac4a486670a231177_1440_1920.jpg?w=640&amp;h=640")</f>
        <v>https://si.geilicdn.com/pcitem2014204438-31f30000019ac4a486670a231177_1440_1920.jpg?w=640&amp;h=640</v>
      </c>
      <c r="F138" t="inlineStr">
        <is>
          <t>Electronic</t>
        </is>
      </c>
      <c r="G138" t="inlineStr">
        <is>
          <t>Beats</t>
        </is>
      </c>
      <c r="H138">
        <v>420</v>
      </c>
      <c r="I138">
        <v>60.87</v>
      </c>
      <c r="J138" t="inlineStr">
        <is>
          <t>{"id":"chatcmpl-DYLllb6cOlSFsFv3QtysT6WhedtR8","object":"chat.completion","created":1777079205,"model":"gpt-5-chat-2025-10-03","choices":[{"index":0,"message":{"role":"assistant","content":"ElectronicBeats Red Wireless Noise Cancelling Earbuds","refusal":null,"annotations":[]},"logprobs":null,"finish_reason":"stop"}],"usage":{"prompt_tokens":873,"completion_tokens":11,"total_tokens":884,"prompt_tokens_details":{"cached_tokens":0,"audio_tokens":0},"completion_tokens_details":{"reasoning_tokens":0,"audio_tokens":0,"accepted_prediction_tokens":0,"rejected_prediction_tokens":0}},"service_tier":"default","system_fingerprint":"fp_ad66631dec"}</t>
        </is>
      </c>
      <c r="K138" t="inlineStr">
        <is>
          <t>ElectronicBeats Red Wireless Noise Cancelling Earbuds</t>
        </is>
      </c>
      <c r="L138" t="inlineStr">
        <is>
          <t>{"id":"chatcmpl-DYLUCKLg93imNjj6LudbA5A7pT1xU","object":"chat.completion","created":1777078116,"model":"gpt-5-chat-latest","choices":[{"index":0,"message":{"role":"assistant","content":"ElectronicBeatsBeats Red Wireless Noise Cancelling Earbuds – Lightweight silicone design, deep immersive sound, modern minimalist style, perfect for men and women seeking trendy tech aesthetics.","refusal":null,"annotations":[]},"logprobs":null,"finish_reason":"stop"}],"usage":{"prompt_tokens":881,"completion_tokens":36,"total_tokens":917,"prompt_tokens_details":{"cached_tokens":0,"audio_tokens":0},"completion_tokens_details":{"reasoning_tokens":0,"audio_tokens":0,"accepted_prediction_tokens":0,"rejected_prediction_tokens":0}},"service_tier":"default","system_fingerprint":"fp_ad66631dec"}</t>
        </is>
      </c>
      <c r="M13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ma=2592000","apim-request-id":"542a563c-d404-419e-adf4-3eb0d2ff084e","azureml-model-session":"d20260405234249-f9874baf","cache-control":"no-cache, no-store, must-revalidate","connection":"close","content-length":"1000","content-security-policy":"frame-ancestors 'self'","content-type":"application/json","date":"Sat, 25 Apr 2026 00:48:38 GMT","server":"nginx","skip-error-remapping":"true","strict-transport-security":"max-age=31536000; includeSubDomains; preload","via":"1.1 Caddy, 1.1 Caddy","x-api-request-id":"20260425084835633003713mZQNTvpE","x-content-type-options":"nosniff","x-frame-options":"SAMEORIGIN","x-ms-is-spilled-over":"false","x-ms-rai-invoked":"false","x-ms-region":"East US 2","x-new-api-version":"0.5.1","x-oneapi-request-id":"202604250048309333035278268d9d6YNCrEnEQ","x-ratelimit-abusepenalty-active":"False","x-ratelimit-limit-requests":"4992","x-ratelimit-limit-tokens":"4992000","x-ratelimit-remaining-requests":"4991","x-ratelimit-remaining-tokens":"4990357","x-ratelimit-renewalperiod-requests":"60","x-ratelimit-renewalperiod-tokens":"60","x-ratelimit-reset-requests":"12","x-ratelimit-reset-tokens":"19","x-request-id":"faacdb26-4533-4d2c-a063-69e5b8a8e532"}</t>
        </is>
      </c>
      <c r="N138" t="inlineStr">
        <is>
          <t>ElectronicBeatsBeats Red Wireless Noise Cancelling Earbuds – Lightweight silicone design, deep immersive sound, modern minimalist style, perfect for men and women seeking trendy tech aesthetics.</t>
        </is>
      </c>
      <c r="O138" t="inlineStr">
        <is>
          <t>{"id":"chatcmpl-DYM0wMrxGeRLc8dVIjM4YF2Q6Bjjl","object":"chat.completion","created":1777080146,"model":"gpt-5-chat-2025-10-03","choices":[{"index":0,"message":{"role":"assistant","content":"Beats,earbud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38" t="inlineStr">
        <is>
          <t>Beats,earbuds,kakobuy,kakebuy2026,kekobuysheet,kakobuysheet2026,2026kakobuy,kakobuyspreadsheeet,kakobuylink,kakebuylist,Kakobuy MEGA Spreadsheet,kakobuysheetfind,kakobuysheetfind2026,2026kakobuysheetfind,kakobuysheet2026</t>
        </is>
      </c>
      <c r="Q138"/>
      <c r="R138" t="inlineStr">
        <is>
          <t>recvhju1CrFJVE</t>
        </is>
      </c>
      <c r="S138" t="inlineStr">
        <is>
          <t>electronicbeats-red-wireless-noise-cancelling-earbuds-recvhju1crfjve</t>
        </is>
      </c>
      <c r="T138"/>
      <c r="U138"/>
      <c r="V138"/>
      <c r="W138" t="inlineStr">
        <is>
          <t>{"id":"chatcmpl-DY6Jzy2n7JyTsEA8KUGWQfWUQMsyU","object":"chat.completion","created":1777019823,"model":"gpt-5-chat-latest","choices":[{"index":0,"message":{"role":"assistant","content":"Beats: 红色无线降噪耳机，采用轻质硅胶材质与现代简约设计，音质澎湃沉浸，男女皆宜，彰显潮流科技美学。","refusal":null,"annotations":[]},"logprobs":null,"finish_reason":"stop"}],"usage":{"prompt_tokens":1297,"completion_tokens":49,"total_tokens":1346,"prompt_tokens_details":{"cached_tokens":0,"audio_tokens":0},"completion_tokens_details":{"reasoning_tokens":0,"audio_tokens":0,"accepted_prediction_tokens":0,"rejected_prediction_tokens":0}},"service_tier":"default","system_fingerprint":"fp_ad66631dec"}</t>
        </is>
      </c>
      <c r="X138" t="inlineStr">
        <is>
          <t>Beats: 红色无线降噪耳机，采用轻质硅胶材质与现代简约设计，音质澎湃沉浸，男女皆宜，彰显潮流科技美学。</t>
        </is>
      </c>
    </row>
    <row r="139" ht="25.5" customHeight="1">
      <c r="A139">
        <v>1654975475</v>
      </c>
      <c r="B139">
        <v>7617516397</v>
      </c>
      <c r="C139" s="2" t="str">
        <f>=HYPERLINK("https://weidian.com/item.html?itemID=7617516397", "https://weidian.com/item.html?itemID=7617516397")</f>
        <v>https://weidian.com/item.html?itemID=7617516397</v>
      </c>
      <c r="D139"/>
      <c r="E139" s="2" t="str">
        <f>=HYPERLINK("https://si.geilicdn.com/pcitem2014204438-1a0e0000019ac4a4fd490a2304aa_1440_1920.jpg?w=640&amp;h=640", "https://si.geilicdn.com/pcitem2014204438-1a0e0000019ac4a4fd490a2304aa_1440_1920.jpg?w=640&amp;h=640")</f>
        <v>https://si.geilicdn.com/pcitem2014204438-1a0e0000019ac4a4fd490a2304aa_1440_1920.jpg?w=640&amp;h=640</v>
      </c>
      <c r="F139" t="inlineStr">
        <is>
          <t>Electronic</t>
        </is>
      </c>
      <c r="G139" t="inlineStr">
        <is>
          <t>Beats</t>
        </is>
      </c>
      <c r="H139">
        <v>420</v>
      </c>
      <c r="I139">
        <v>60.87</v>
      </c>
      <c r="J139" t="inlineStr">
        <is>
          <t>{"id":"chatcmpl-DYLkJZdWLZFI0tt7QdRKZvZIidHRB","object":"chat.completion","created":1777079115,"model":"gpt-5-chat-latest","choices":[{"index":0,"message":{"role":"assistant","content":"ElectronicBeats Beats Solo Buds Red Wireless Earphones","refusal":null,"annotations":[]},"logprobs":null,"finish_reason":"stop"}],"usage":{"prompt_tokens":881,"completion_tokens":12,"total_tokens":893,"prompt_tokens_details":{"cached_tokens":0,"audio_tokens":0},"completion_tokens_details":{"reasoning_tokens":0,"audio_tokens":0,"accepted_prediction_tokens":0,"rejected_prediction_tokens":0}},"service_tier":"default","system_fingerprint":"fp_ad66631dec"}</t>
        </is>
      </c>
      <c r="K139" t="inlineStr">
        <is>
          <t>ElectronicBeats Beats Solo Buds Red Wireless Earphones</t>
        </is>
      </c>
      <c r="L139" t="inlineStr">
        <is>
          <t>{"id":"chatcmpl-DYLT2MStIWOza3cbFrVkzpMYu5tLA","object":"chat.completion","created":1777078044,"model":"gpt-5-chat-latest","choices":[{"index":0,"message":{"role":"assistant","content":"ElectronicBeats Beats Solo Buds Red: Compact true wireless earbuds with hi-fi sound, noise cancellation, ergonomic in-ear fit, long battery life, and stylish transparent case for modern minimalist design.","refusal":null,"annotations":[]},"logprobs":null,"finish_reason":"stop"}],"usage":{"prompt_tokens":905,"completion_tokens":40,"total_tokens":945,"prompt_tokens_details":{"cached_tokens":0,"audio_tokens":0},"completion_tokens_details":{"reasoning_tokens":0,"audio_tokens":0,"accepted_prediction_tokens":0,"rejected_prediction_tokens":0}},"service_tier":"default","system_fingerprint":"fp_ad66631dec"}</t>
        </is>
      </c>
      <c r="M13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ma=2592000","apim-request-id":"f9a0e55e-26e1-46db-ae56-b6c05a4e84ac","azureml-model-session":"d20260405221325-2e8d5e76","cache-control":"no-cache, no-store, must-revalidate","connection":"close","content-length":"1008","content-security-policy":"frame-ancestors 'self'","content-type":"application/json","date":"Sat, 25 Apr 2026 00:47:26 GMT","server":"nginx","skip-error-remapping":"true","strict-transport-security":"max-age=31536000; includeSubDomains; preload","via":"1.1 Caddy, 1.1 Caddy","x-api-request-id":"20260425084723416954646BQ4dt7WC","x-content-type-options":"nosniff","x-frame-options":"SAMEORIGIN","x-ms-is-spilled-over":"false","x-ms-rai-invoked":"false","x-ms-region":"East US 2","x-new-api-version":"0.5.1","x-oneapi-request-id":"202604250047203308741148268d9d6MvnkXRri","x-ratelimit-abusepenalty-active":"False","x-ratelimit-limit-requests":"4992","x-ratelimit-limit-tokens":"4992000","x-ratelimit-remaining-requests":"4991","x-ratelimit-remaining-tokens":"4990333","x-ratelimit-renewalperiod-requests":"60","x-ratelimit-renewalperiod-tokens":"60","x-ratelimit-reset-requests":"12","x-ratelimit-reset-tokens":"20","x-request-id":"b42bfb8e-6da6-4dd2-9b14-ba5277c06df5"}</t>
        </is>
      </c>
      <c r="N139" t="inlineStr">
        <is>
          <t>ElectronicBeats Beats Solo Buds Red: Compact true wireless earbuds with hi-fi sound, noise cancellation, ergonomic in-ear fit, long battery life, and stylish transparent case for modern minimalist design.</t>
        </is>
      </c>
      <c r="O139" t="inlineStr">
        <is>
          <t>{"id":"chatcmpl-DYM3HNcMNuM2LwlG943XxNUanoIz9","object":"chat.completion","created":1777080291,"model":"gpt-5-chat-2025-10-03","choices":[{"index":0,"message":{"role":"assistant","content":"Beats,earbud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39" t="inlineStr">
        <is>
          <t>Beats,earbuds,kakobuy,kakebuy2026,kekobuysheet,kakobuysheet2026,2026kakobuy,kakobuyspreadsheeet,kakobuylink,kakebuylist,Kakobuy MEGA Spreadsheet,kakobuysheetfind,kakobuysheetfind2026,2026kakobuysheetfind,kakobuysheet2026</t>
        </is>
      </c>
      <c r="Q139"/>
      <c r="R139" t="inlineStr">
        <is>
          <t>recvhju1CrcMwf</t>
        </is>
      </c>
      <c r="S139" t="inlineStr">
        <is>
          <t>electronicbeats-solo-buds-red-recvhju1crcmwf</t>
        </is>
      </c>
      <c r="T139"/>
      <c r="U139"/>
      <c r="V139"/>
      <c r="W139" t="inlineStr">
        <is>
          <t>{"choices":[{"finish_reason":"stop","index":0,"logprobs":null,"message":{"annotations":[],"content":"Beats：Solo Buds 红色真无线蓝牙耳机，紧凑轻盈设计，支持高保真音质与降噪功能，人体工学入耳式结构，持久续航搭配时尚透明充电盒，男女皆宜，展现都市极简科技美学。","refusal":null,"role":"assistant"}}],"created":1777019869,"id":"chatcmpl-DY6KjLSoSyro3zhRPXio7HGDIMJVN","model":"gpt-5-chat-latest","object":"chat.completion","service_tier":"default","system_fingerprint":"fp_ad66631dec","usage":{"completion_tokens":69,"completion_tokens_details":{"accepted_prediction_tokens":0,"audio_tokens":0,"reasoning_tokens":0,"rejected_prediction_tokens":0},"prompt_tokens":1305,"prompt_tokens_details":{"audio_tokens":0,"cached_tokens":0},"total_tokens":1374}}</t>
        </is>
      </c>
      <c r="X139" t="inlineStr">
        <is>
          <t>Beats：Solo Buds 红色真无线蓝牙耳机，紧凑轻盈设计，支持高保真音质与降噪功能，人体工学入耳式结构，持久续航搭配时尚透明充电盒，男女皆宜，展现都市极简科技美学。</t>
        </is>
      </c>
    </row>
    <row r="140" ht="25.5" customHeight="1">
      <c r="A140">
        <v>1654975475</v>
      </c>
      <c r="B140">
        <v>7617520399</v>
      </c>
      <c r="C140" s="2" t="str">
        <f>=HYPERLINK("https://weidian.com/item.html?itemID=7617520399", "https://weidian.com/item.html?itemID=7617520399")</f>
        <v>https://weidian.com/item.html?itemID=7617520399</v>
      </c>
      <c r="D140"/>
      <c r="E140" s="2" t="str">
        <f>=HYPERLINK("https://si.geilicdn.com/pcitem2014204438-451b0000019ac4a796c00a207569_1512_2016.jpg?w=640&amp;h=640", "https://si.geilicdn.com/pcitem2014204438-451b0000019ac4a796c00a207569_1512_2016.jpg?w=640&amp;h=640")</f>
        <v>https://si.geilicdn.com/pcitem2014204438-451b0000019ac4a796c00a207569_1512_2016.jpg?w=640&amp;h=640</v>
      </c>
      <c r="F140" t="inlineStr">
        <is>
          <t>Electronic</t>
        </is>
      </c>
      <c r="G140" t="inlineStr">
        <is>
          <t>Louis Vuitton</t>
        </is>
      </c>
      <c r="H140">
        <v>900</v>
      </c>
      <c r="I140">
        <v>130.43</v>
      </c>
      <c r="J140" t="inlineStr">
        <is>
          <t>{"id":"chatcmpl-DYLiH2oTzfBHwwoN3jWkFop9WtNSA","object":"chat.completion","created":1777078989,"model":"gpt-5-chat-latest","choices":[{"index":0,"message":{"role":"assistant","content":"Louis Vuitton Horizon Black Wireless Earphones Luxury Tech","refusal":null,"annotations":[]},"logprobs":null,"finish_reason":"stop"}],"usage":{"prompt_tokens":885,"completion_tokens":10,"total_tokens":895,"prompt_tokens_details":{"cached_tokens":0,"audio_tokens":0},"completion_tokens_details":{"reasoning_tokens":0,"audio_tokens":0,"accepted_prediction_tokens":0,"rejected_prediction_tokens":0}},"service_tier":"default","system_fingerprint":"fp_ad66631dec"}</t>
        </is>
      </c>
      <c r="K140" t="inlineStr">
        <is>
          <t>Louis Vuitton Horizon Black Wireless Earphones Luxury Tech</t>
        </is>
      </c>
      <c r="L140" t="inlineStr">
        <is>
          <t>{"id":"chatcmpl-DYLPc7qwbJvLa6CwBQKzp0C8Lcqz6","object":"chat.completion","created":1777077832,"model":"gpt-5-chat-latest","choices":[{"index":0,"message":{"role":"assistant","content":"Louis Vuitton Horizon Black True Wireless Earphones, designed by Marc Newsom, feature high-gloss resin and metal, Monogram pattern, pure layered sound, magnetic charging case, unisex luxury tech style.","refusal":null,"annotations":[]},"logprobs":null,"finish_reason":"stop"}],"usage":{"prompt_tokens":931,"completion_tokens":42,"total_tokens":973,"prompt_tokens_details":{"cached_tokens":0,"audio_tokens":0},"completion_tokens_details":{"reasoning_tokens":0,"audio_tokens":0,"accepted_prediction_tokens":0,"rejected_prediction_tokens":0}},"service_tier":"default","system_fingerprint":"fp_ad66631dec"}</t>
        </is>
      </c>
      <c r="M14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ma=2592000","apim-request-id":"0ff8d8cb-297e-4146-b1c1-b965ed55dbbd","azureml-model-session":"d20260402084046-4209e968","cache-control":"no-cache, no-store, must-revalidate","connection":"close","content-length":"1005","content-security-policy":"frame-ancestors 'self'","content-type":"application/json","date":"Sat, 25 Apr 2026 00:43:55 GMT","server":"Caddy","skip-error-remapping":"true","strict-transport-security":"max-age=31536000; includeSubDomains; preload","via":"1.1 Caddy","x-api-request-id":"20260425084351194353951tGLz2WGe","x-content-type-options":"nosniff","x-frame-options":"SAMEORIGIN","x-ms-is-spilled-over":"false","x-ms-rai-invoked":"false","x-ms-region":"Sweden Central","x-new-api-version":"0.5.1","x-oneapi-request-id":"202604250043504005227228268d9d6VHIkC1fR","x-ratelimit-abusepenalty-active":"False","x-ratelimit-limit-requests":"4991","x-ratelimit-limit-tokens":"4991000","x-ratelimit-remaining-requests":"4990","x-ratelimit-remaining-tokens":"4989307","x-ratelimit-renewalperiod-requests":"60","x-ratelimit-renewalperiod-tokens":"60","x-ratelimit-reset-requests":"12","x-ratelimit-reset-tokens":"20","x-request-id":"2595f951-c270-4e3c-8545-e6647621e976"}</t>
        </is>
      </c>
      <c r="N140" t="inlineStr">
        <is>
          <t>Louis Vuitton Horizon Black True Wireless Earphones, designed by Marc Newsom, feature high-gloss resin and metal, Monogram pattern, pure layered sound, magnetic charging case, unisex luxury tech style.</t>
        </is>
      </c>
      <c r="O140" t="inlineStr">
        <is>
          <t>{"id":"chatcmpl-DYM2PtEmqp2ItbsYKvgowdEPBu5Gc","object":"chat.completion","created":1777080237,"model":"gpt-5-chat-2025-10-03","choices":[{"index":0,"message":{"role":"assistant","content":"Louis Vuitton, Earphones,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92,"total_tokens":874,"prompt_tokens_details":{"cached_tokens":0,"audio_tokens":0},"completion_tokens_details":{"reasoning_tokens":0,"audio_tokens":0,"accepted_prediction_tokens":0,"rejected_prediction_tokens":0}},"service_tier":"default","system_fingerprint":"fp_ad66631dec"}</t>
        </is>
      </c>
      <c r="P140" t="inlineStr">
        <is>
          <t>Louis Vuitton, Earphones, kakobuy, kakebuy2026, kekobuysheet, kakobuysheet2026, 2026kakobuy, kakobuyspreadsheeet, kakobuylink, kakebuylist, Kakobuy MEGA Spreadsheet, kakobuysheetfind, kakobuysheetfind2026, 2026kakobuysheetfind, kakobuysheet2026</t>
        </is>
      </c>
      <c r="Q140"/>
      <c r="R140" t="inlineStr">
        <is>
          <t>recvhju1Cr1sRI</t>
        </is>
      </c>
      <c r="S140" t="inlineStr">
        <is>
          <t>louis-vuitton-horizon-black-wireless-earphones-recvhju1cr1sri</t>
        </is>
      </c>
      <c r="T140"/>
      <c r="U140"/>
      <c r="V140"/>
      <c r="W140" t="inlineStr">
        <is>
          <t>{"choices":[{"finish_reason":"stop","index":0,"logprobs":null,"message":{"annotations":[],"content":"Louis Vuitton：Horizon黑色真无线蓝牙耳机，精选高光树脂与金属材质，饰以经典LV Monogram图腾，展现极简奢华风格。由Marc Newsom操刀设计，音质纯净层次分明，搭配磁吸充电盒与品牌标识包装，兼具科技感与时尚魅力，男女皆宜，彰显现代奢华格调。","refusal":null,"role":"assistant"}}],"created":1777019428,"id":"chatcmpl-DY6DcOPZuGN6sX112vbUFw9SBwufV","model":"gpt-5-chat-latest","object":"chat.completion","service_tier":"default","system_fingerprint":"fp_ad66631dec","usage":{"completion_tokens":98,"completion_tokens_details":{"accepted_prediction_tokens":0,"audio_tokens":0,"reasoning_tokens":0,"rejected_prediction_tokens":0},"prompt_tokens":1299,"prompt_tokens_details":{"audio_tokens":0,"cached_tokens":0},"total_tokens":1397}}</t>
        </is>
      </c>
      <c r="X140" t="inlineStr">
        <is>
          <t>Louis Vuitton：Horizon黑色真无线蓝牙耳机，精选高光树脂与金属材质，饰以经典LV Monogram图腾，展现极简奢华风格。由Marc Newsom操刀设计，音质纯净层次分明，搭配磁吸充电盒与品牌标识包装，兼具科技感与时尚魅力，男女皆宜，彰显现代奢华格调。</t>
        </is>
      </c>
    </row>
    <row r="141" ht="25.5" customHeight="1">
      <c r="A141">
        <v>1654975475</v>
      </c>
      <c r="B141">
        <v>7617532307</v>
      </c>
      <c r="C141" s="2" t="str">
        <f>=HYPERLINK("https://weidian.com/item.html?itemID=7617532307", "https://weidian.com/item.html?itemID=7617532307")</f>
        <v>https://weidian.com/item.html?itemID=7617532307</v>
      </c>
      <c r="D141"/>
      <c r="E141" s="2" t="str">
        <f>=HYPERLINK("https://si.geilicdn.com/pcitem2014204438-36140000019ac4a06dc50a20e7c7_1440_1920.jpg?w=640&amp;h=640", "https://si.geilicdn.com/pcitem2014204438-36140000019ac4a06dc50a20e7c7_1440_1920.jpg?w=640&amp;h=640")</f>
        <v>https://si.geilicdn.com/pcitem2014204438-36140000019ac4a06dc50a20e7c7_1440_1920.jpg?w=640&amp;h=640</v>
      </c>
      <c r="F141" t="inlineStr">
        <is>
          <t>Electronic</t>
        </is>
      </c>
      <c r="G141" t="inlineStr">
        <is>
          <t xml:space="preserve"> Apple</t>
        </is>
      </c>
      <c r="H141">
        <v>900</v>
      </c>
      <c r="I141">
        <v>130.43</v>
      </c>
      <c r="J141" t="inlineStr">
        <is>
          <t>{"id":"chatcmpl-DYLn26GMygOyWM6CTwWUKPJLmLKwB","object":"chat.completion","created":1777079284,"model":"gpt-5-chat-2025-10-03","choices":[{"index":0,"message":{"role":"assistant","content":"Apple AirPods Max Purple Wireless Noise Cancelling Headphones","refusal":null,"annotations":[]},"logprobs":null,"finish_reason":"stop"}],"usage":{"prompt_tokens":874,"completion_tokens":12,"total_tokens":886,"prompt_tokens_details":{"cached_tokens":0,"audio_tokens":0},"completion_tokens_details":{"reasoning_tokens":0,"audio_tokens":0,"accepted_prediction_tokens":0,"rejected_prediction_tokens":0}},"service_tier":"default","system_fingerprint":"fp_ad66631dec"}</t>
        </is>
      </c>
      <c r="K141" t="inlineStr">
        <is>
          <t>Apple AirPods Max Purple Wireless Noise Cancelling Headphones</t>
        </is>
      </c>
      <c r="L141" t="inlineStr">
        <is>
          <t>{"id":"chatcmpl-DYLQeafkmzqabxRaJfNoJnrkQhw7S","object":"chat.completion","created":1777077896,"model":"gpt-5-chat-latest","choices":[{"index":0,"message":{"role":"assistant","content":"Apple AirPods Max Purple–High-Fidelity Wireless Noise Cancelling Headphones, Aluminum &amp; Memory Foam Build, Minimalist Modern Design for Men &amp; Women, Premium Sound &amp; Style.","refusal":null,"annotations":[]},"logprobs":null,"finish_reason":"stop"}],"usage":{"prompt_tokens":886,"completion_tokens":37,"total_tokens":923,"prompt_tokens_details":{"cached_tokens":0,"audio_tokens":0},"completion_tokens_details":{"reasoning_tokens":0,"audio_tokens":0,"accepted_prediction_tokens":0,"rejected_prediction_tokens":0}},"service_tier":"default","system_fingerprint":"fp_ad66631dec"}</t>
        </is>
      </c>
      <c r="M14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ma=2592000","apim-request-id":"c49189d6-abe6-4439-973e-4be6476f2073","azureml-model-session":"d20260402084046-4209e968","cache-control":"no-cache, no-store, must-revalidate","connection":"close","content-length":"977","content-security-policy":"frame-ancestors 'self'","content-type":"application/json","date":"Sat, 25 Apr 2026 00:44:58 GMT","server":"Caddy","skip-error-remapping":"true","strict-transport-security":"max-age=31536000; includeSubDomains; preload","via":"1.1 Caddy","x-api-request-id":"20260425084455131476514otX3rElX","x-content-type-options":"nosniff","x-frame-options":"SAMEORIGIN","x-ms-is-spilled-over":"false","x-ms-rai-invoked":"false","x-ms-region":"Sweden Central","x-new-api-version":"0.5.1","x-oneapi-request-id":"202604250044526402126128268d9d64RaUoXNT","x-ratelimit-abusepenalty-active":"False","x-ratelimit-limit-requests":"4991","x-ratelimit-limit-tokens":"4991000","x-ratelimit-remaining-requests":"4990","x-ratelimit-remaining-tokens":"4989352","x-ratelimit-renewalperiod-requests":"60","x-ratelimit-renewalperiod-tokens":"60","x-ratelimit-reset-requests":"12","x-ratelimit-reset-tokens":"19","x-request-id":"d0dd04fa-92d4-4a34-b4f6-62097ef0bc43"}</t>
        </is>
      </c>
      <c r="N141" t="inlineStr">
        <is>
          <t>Apple AirPods Max Purple–High-Fidelity Wireless Noise Cancelling Headphones, Aluminum &amp; Memory Foam Build, Minimalist Modern Design for Men &amp; Women, Premium Sound &amp; Style.</t>
        </is>
      </c>
      <c r="O141" t="inlineStr">
        <is>
          <t>{"id":"chatcmpl-DYM1JOiBPyIVLluzbCNehU2oVdoKn","object":"chat.completion","created":1777080169,"model":"gpt-5-chat-2025-10-03","choices":[{"index":0,"message":{"role":"assistant","content":"Apple,Headphones,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87,"total_tokens":868,"prompt_tokens_details":{"cached_tokens":0,"audio_tokens":0},"completion_tokens_details":{"reasoning_tokens":0,"audio_tokens":0,"accepted_prediction_tokens":0,"rejected_prediction_tokens":0}},"service_tier":"default","system_fingerprint":"fp_ad66631dec"}</t>
        </is>
      </c>
      <c r="P141" t="inlineStr">
        <is>
          <t>Apple,Headphones,kakobuy,kakebuy2026,kekobuysheet,kakobuysheet2026,2026kakobuy,kakobuyspreadsheeet,kakobuylink,kakebuylist,Kakobuy MEGA Spreadsheet,kakobuysheetfind,kakobuysheetfind2026,2026kakobuysheetfind,kakobuysheet2026</t>
        </is>
      </c>
      <c r="Q141"/>
      <c r="R141" t="inlineStr">
        <is>
          <t>recvhju1CrFCx1</t>
        </is>
      </c>
      <c r="S141" t="inlineStr">
        <is>
          <t>apple-airpods-max-purple-recvhju1crfcx1</t>
        </is>
      </c>
      <c r="T141"/>
      <c r="U141"/>
      <c r="V141"/>
      <c r="W141" t="inlineStr">
        <is>
          <t>{"choices":[{"finish_reason":"stop","index":0,"logprobs":null,"message":{"annotations":[],"content":"Apple：AirPods Max 紫色高保真无线降噪耳机，铝合金与记忆海绵材质，极简现代设计，男女通用，高端听觉体验与时尚美学并存。","refusal":null,"role":"assistant"}}],"created":1777019638,"id":"chatcmpl-DY6H0v7XR8nhaSFb6VWxbCUVdXHXn","model":"gpt-5-chat-latest","object":"chat.completion","service_tier":"default","system_fingerprint":"fp_ad66631dec","usage":{"completion_tokens":52,"completion_tokens_details":{"accepted_prediction_tokens":0,"audio_tokens":0,"reasoning_tokens":0,"rejected_prediction_tokens":0},"prompt_tokens":1301,"prompt_tokens_details":{"audio_tokens":0,"cached_tokens":0},"total_tokens":1353}}</t>
        </is>
      </c>
      <c r="X141" t="inlineStr">
        <is>
          <t>Apple：AirPods Max 紫色高保真无线降噪耳机，铝合金与记忆海绵材质，极简现代设计，男女通用，高端听觉体验与时尚美学并存。</t>
        </is>
      </c>
    </row>
    <row r="142" ht="25.5" customHeight="1">
      <c r="A142">
        <v>1654975475</v>
      </c>
      <c r="B142">
        <v>7620512266</v>
      </c>
      <c r="C142" s="2" t="str">
        <f>=HYPERLINK("https://weidian.com/item.html?itemID=7620512266", "https://weidian.com/item.html?itemID=7620512266")</f>
        <v>https://weidian.com/item.html?itemID=7620512266</v>
      </c>
      <c r="D142"/>
      <c r="E142" s="2" t="str">
        <f>=HYPERLINK("https://si.geilicdn.com/pcitem2014204438-36340000019ac4a182c10a239846_1440_1920.jpg?w=640&amp;h=640", "https://si.geilicdn.com/pcitem2014204438-36340000019ac4a182c10a239846_1440_1920.jpg?w=640&amp;h=640")</f>
        <v>https://si.geilicdn.com/pcitem2014204438-36340000019ac4a182c10a239846_1440_1920.jpg?w=640&amp;h=640</v>
      </c>
      <c r="F142" t="inlineStr">
        <is>
          <t>Electronic</t>
        </is>
      </c>
      <c r="G142" t="inlineStr">
        <is>
          <t>Beats</t>
        </is>
      </c>
      <c r="H142">
        <v>900</v>
      </c>
      <c r="I142">
        <v>130.43</v>
      </c>
      <c r="J142" t="inlineStr">
        <is>
          <t>{"id":"chatcmpl-DYLg9CFL28xtXwAGrrQQnCHSYp7sE","object":"chat.completion","created":1777078857,"model":"gpt-5-chat-latest","choices":[{"index":0,"message":{"role":"assistant","content":"ElectronicBeats Beats Black Gold Wireless Noise Cancelling Headphones","refusal":null,"annotations":[]},"logprobs":null,"finish_reason":"stop"}],"usage":{"prompt_tokens":875,"completion_tokens":13,"total_tokens":888,"prompt_tokens_details":{"cached_tokens":0,"audio_tokens":0},"completion_tokens_details":{"reasoning_tokens":0,"audio_tokens":0,"accepted_prediction_tokens":0,"rejected_prediction_tokens":0}},"service_tier":"default","system_fingerprint":"fp_ad66631dec"}</t>
        </is>
      </c>
      <c r="K142" t="inlineStr">
        <is>
          <t>ElectronicBeats Beats Black Gold Wireless Noise Cancelling Headphones</t>
        </is>
      </c>
      <c r="L142" t="inlineStr">
        <is>
          <t>{"id":"chatcmpl-DYLYjSyi9pJUr6angbaUXuBiALLwV","object":"chat.completion","created":1777078397,"model":"gpt-5-chat-latest","choices":[{"index":0,"message":{"role":"assistant","content":"ElectronicBeatsBeats Black Gold Wireless Bluetooth Headphones with matte metal finish, active noise cancelling, immersive sound, sleek modern design for daily commute, sports, and urban style.","refusal":null,"annotations":[]},"logprobs":null,"finish_reason":"stop"}],"usage":{"prompt_tokens":897,"completion_tokens":37,"total_tokens":934,"prompt_tokens_details":{"cached_tokens":0,"audio_tokens":0},"completion_tokens_details":{"reasoning_tokens":0,"audio_tokens":0,"accepted_prediction_tokens":0,"rejected_prediction_tokens":0}},"service_tier":"default","system_fingerprint":"fp_ad66631dec"}</t>
        </is>
      </c>
      <c r="M14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ma=2592000","apim-request-id":"c70b0435-de82-42ba-a908-59d28541c391","azureml-model-session":"d20260405225800-40f19e54","cache-control":"no-cache, no-store, must-revalidate","connection":"close","content-length":"996","content-security-policy":"frame-ancestors 'self'","content-type":"application/json","date":"Sat, 25 Apr 2026 00:53:19 GMT","server":"Caddy","skip-error-remapping":"true","strict-transport-security":"max-age=31536000; includeSubDomains; preload","via":"1.1 Caddy","x-api-request-id":"20260425085315870838089omqUxL8V","x-content-type-options":"nosniff","x-frame-options":"SAMEORIGIN","x-ms-is-spilled-over":"false","x-ms-rai-invoked":"false","x-ms-region":"Sweden Central","x-new-api-version":"0.5.1","x-oneapi-request-id":"202604250053099545324558268d9d6yFnaIsZn","x-ratelimit-abusepenalty-active":"False","x-ratelimit-limit-requests":"4991","x-ratelimit-limit-tokens":"4991000","x-ratelimit-remaining-requests":"4990","x-ratelimit-remaining-tokens":"4989341","x-ratelimit-renewalperiod-requests":"60","x-ratelimit-renewalperiod-tokens":"60","x-ratelimit-reset-requests":"12","x-ratelimit-reset-tokens":"19","x-request-id":"78acc614-59b0-4b5c-b142-2ba5bf5d37a6"}</t>
        </is>
      </c>
      <c r="N142" t="inlineStr">
        <is>
          <t>ElectronicBeatsBeats Black Gold Wireless Bluetooth Headphones with matte metal finish, active noise cancelling, immersive sound, sleek modern design for daily commute, sports, and urban style.</t>
        </is>
      </c>
      <c r="O142" t="inlineStr">
        <is>
          <t>{"id":"chatcmpl-DYLuc4NnKYnvX7ajjoPphyZ3Mq2ec","object":"chat.completion","created":1777079754,"model":"gpt-5-chat-2025-10-03","choices":[{"index":0,"message":{"role":"assistant","content":"Beats,Headphon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42" t="inlineStr">
        <is>
          <t>Beats,Headphones,kakobuy,kakebuy2026,kekobuysheet,kakobuysheet2026,2026kakobuy,kakobuyspreadsheeet,kakobuylink,kakebuylist,Kakobuy MEGA Spreadsheet,kakobuysheetfind,kakobuysheetfind2026,2026kakobuysheetfind,kakobuysheet2026</t>
        </is>
      </c>
      <c r="Q142"/>
      <c r="R142" t="inlineStr">
        <is>
          <t>recvhju1CrUC3c</t>
        </is>
      </c>
      <c r="S142" t="inlineStr">
        <is>
          <t>electronicbeats-black-gold-wireless-noise-cancelling-headphones-recvhju1cr uc3c</t>
        </is>
      </c>
      <c r="T142"/>
      <c r="U142"/>
      <c r="V142"/>
      <c r="W142" t="inlineStr">
        <is>
          <t>{"id":"chatcmpl-DY6L05vpROglpL6JKOnWtiH5oFCLq","object":"chat.completion","created":1777019886,"model":"gpt-5-chat-latest","choices":[{"index":0,"message":{"role":"assistant","content":"Beats：黑金色无线蓝牙头戴式耳机，哑光金属质感外观融合极简现代设计，搭载主动降噪与沉浸式音效，适合男女日常通勤与运动使用，展现都市潮流科技美学。","refusal":null,"annotations":[]},"logprobs":null,"finish_reason":"stop"}],"usage":{"prompt_tokens":1297,"completion_tokens":65,"total_tokens":1362,"prompt_tokens_details":{"cached_tokens":0,"audio_tokens":0},"completion_tokens_details":{"reasoning_tokens":0,"audio_tokens":0,"accepted_prediction_tokens":0,"rejected_prediction_tokens":0}},"service_tier":"default","system_fingerprint":"fp_ad66631dec"}</t>
        </is>
      </c>
      <c r="X142" t="inlineStr">
        <is>
          <t>Beats：黑金色无线蓝牙头戴式耳机，哑光金属质感外观融合极简现代设计，搭载主动降噪与沉浸式音效，适合男女日常通勤与运动使用，展现都市潮流科技美学。</t>
        </is>
      </c>
    </row>
    <row r="143" ht="25.5" customHeight="1">
      <c r="A143">
        <v>1654975475</v>
      </c>
      <c r="B143">
        <v>7617569983</v>
      </c>
      <c r="C143" s="2" t="str">
        <f>=HYPERLINK("https://weidian.com/item.html?itemID=7617569983", "https://weidian.com/item.html?itemID=7617569983")</f>
        <v>https://weidian.com/item.html?itemID=7617569983</v>
      </c>
      <c r="D143"/>
      <c r="E143" s="2" t="str">
        <f>=HYPERLINK("https://si.geilicdn.com/pcitem2014204438-13730000019ac4a220990a210139_1442_1922.jpg?w=640&amp;h=640", "https://si.geilicdn.com/pcitem2014204438-13730000019ac4a220990a210139_1442_1922.jpg?w=640&amp;h=640")</f>
        <v>https://si.geilicdn.com/pcitem2014204438-13730000019ac4a220990a210139_1442_1922.jpg?w=640&amp;h=640</v>
      </c>
      <c r="F143" t="inlineStr">
        <is>
          <t>Electronic</t>
        </is>
      </c>
      <c r="G143" t="inlineStr">
        <is>
          <t>Bose</t>
        </is>
      </c>
      <c r="H143">
        <v>316</v>
      </c>
      <c r="I143">
        <v>45.8</v>
      </c>
      <c r="J143" t="inlineStr">
        <is>
          <t>{"id":"chatcmpl-DYLo0nJXnP2NkNQoXj200V5YwXdPQ","object":"chat.completion","created":1777079344,"model":"gpt-5-chat-2025-10-03","choices":[{"index":0,"message":{"role":"assistant","content":"Bose QuietComfort Black Wireless Noise Cancelling Headphones","refusal":null,"annotations":[]},"logprobs":null,"finish_reason":"stop"}],"usage":{"prompt_tokens":881,"completion_tokens":12,"total_tokens":893,"prompt_tokens_details":{"cached_tokens":0,"audio_tokens":0},"completion_tokens_details":{"reasoning_tokens":0,"audio_tokens":0,"accepted_prediction_tokens":0,"rejected_prediction_tokens":0}},"service_tier":"default","system_fingerprint":"fp_ad66631dec"}</t>
        </is>
      </c>
      <c r="K143" t="inlineStr">
        <is>
          <t>Bose QuietComfort Black Wireless Noise Cancelling Headphones</t>
        </is>
      </c>
      <c r="L143" t="inlineStr">
        <is>
          <t>{"id":"chatcmpl-DYLYMxBN9proaMNjz8ec6fqSSqK4j","object":"chat.completion","created":1777078374,"model":"gpt-5-chat-latest","choices":[{"index":0,"message":{"role":"assistant","content":"Bose QuietComfort Black Wireless Noise Cancelling Headphones feature a sleek metal finish, soft leather headband, high-fidelity sound, and smart touch controls—perfect for travel and daily commuting.","refusal":null,"annotations":[]},"logprobs":null,"finish_reason":"stop"}],"usage":{"prompt_tokens":897,"completion_tokens":40,"total_tokens":937,"prompt_tokens_details":{"cached_tokens":0,"audio_tokens":0},"completion_tokens_details":{"reasoning_tokens":0,"audio_tokens":0,"accepted_prediction_tokens":0,"rejected_prediction_tokens":0}},"service_tier":"default","system_fingerprint":"fp_ad66631dec"}</t>
        </is>
      </c>
      <c r="M14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ma=2592000","apim-request-id":"232f56e4-5558-4b20-8e5b-f9543734ec02","azureml-model-session":"d20260402075109-1fc5a0ec","cache-control":"no-cache, no-store, must-revalidate","connection":"close","content-length":"1005","content-security-policy":"frame-ancestors 'self'","content-type":"application/json","date":"Sat, 25 Apr 2026 00:52:56 GMT","server":"nginx","skip-error-remapping":"true","strict-transport-security":"max-age=31536000; includeSubDomains; preload","via":"1.1 Caddy, 1.1 Caddy","x-api-request-id":"20260425085253117089035bzIfr0ZU","x-content-type-options":"nosniff","x-frame-options":"SAMEORIGIN","x-ms-is-spilled-over":"false","x-ms-rai-invoked":"false","x-ms-region":"Sweden Central","x-new-api-version":"0.5.1","x-oneapi-request-id":"202604250052518081824428268d9d6fviW3E8d","x-ratelimit-abusepenalty-active":"False","x-ratelimit-limit-requests":"4991","x-ratelimit-limit-tokens":"4991000","x-ratelimit-remaining-requests":"4990","x-ratelimit-remaining-tokens":"4989341","x-ratelimit-renewalperiod-requests":"60","x-ratelimit-renewalperiod-tokens":"60","x-ratelimit-reset-requests":"12","x-ratelimit-reset-tokens":"19","x-request-id":"a84ea3d0-5b35-4bf6-8fe5-d8b55df321ec"}</t>
        </is>
      </c>
      <c r="N143" t="inlineStr">
        <is>
          <t>Bose QuietComfort Black Wireless Noise Cancelling Headphones feature a sleek metal finish, soft leather headband, high-fidelity sound, and smart touch controls—perfect for travel and daily commuting.</t>
        </is>
      </c>
      <c r="O143" t="inlineStr">
        <is>
          <t>{"id":"chatcmpl-DYLyLRrBb5wxwtXb6tZ6ewkrXzLRL","object":"chat.completion","created":1777079985,"model":"gpt-5-chat-2025-10-03","choices":[{"index":0,"message":{"role":"assistant","content":"Bose,Headphon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43" t="inlineStr">
        <is>
          <t>Bose,Headphones,kakobuy,kakebuy2026,kekobuysheet,kakobuysheet2026,2026kakobuy,kakobuyspreadsheeet,kakobuylink,kakebuylist,Kakobuy MEGA Spreadsheet,kakobuysheetfind,kakobuysheetfind2026,2026kakobuysheetfind,kakobuysheet2026</t>
        </is>
      </c>
      <c r="Q143"/>
      <c r="R143" t="inlineStr">
        <is>
          <t>recvhju1CrL4u8</t>
        </is>
      </c>
      <c r="S143" t="inlineStr">
        <is>
          <t>bose-quietcomfort-black-wireless-noise-cancelling-headphones-recvhju1cr4u8</t>
        </is>
      </c>
      <c r="T143"/>
      <c r="U143"/>
      <c r="V143"/>
      <c r="W143" t="inlineStr">
        <is>
          <t>{"id":"chatcmpl-DY6EL82fbBkNreerYaiBZfe08Wn7q","object":"chat.completion","created":1777019473,"model":"gpt-5-chat-latest","choices":[{"index":0,"message":{"role":"assistant","content":"Bose：QuietComfort系列黑色无线主动降噪耳机，金属质感外观搭配皮质头梁设计，现代简约风格，佩戴舒适，兼具高保真音质与智能触控功能，适合男女日常通勤及旅行使用。","refusal":null,"annotations":[]},"logprobs":null,"finish_reason":"stop"}],"usage":{"prompt_tokens":1295,"completion_tokens":66,"total_tokens":1361,"prompt_tokens_details":{"cached_tokens":0,"audio_tokens":0},"completion_tokens_details":{"reasoning_tokens":0,"audio_tokens":0,"accepted_prediction_tokens":0,"rejected_prediction_tokens":0}},"service_tier":"default","system_fingerprint":"fp_ad66631dec"}</t>
        </is>
      </c>
      <c r="X143" t="inlineStr">
        <is>
          <t>Bose：QuietComfort系列黑色无线主动降噪耳机，金属质感外观搭配皮质头梁设计，现代简约风格，佩戴舒适，兼具高保真音质与智能触控功能，适合男女日常通勤及旅行使用。</t>
        </is>
      </c>
    </row>
    <row r="144" ht="25.5" customHeight="1">
      <c r="A144">
        <v>1654975475</v>
      </c>
      <c r="B144">
        <v>7617520361</v>
      </c>
      <c r="C144" s="2" t="str">
        <f>=HYPERLINK("https://weidian.com/item.html?itemID=7617520361", "https://weidian.com/item.html?itemID=7617520361")</f>
        <v>https://weidian.com/item.html?itemID=7617520361</v>
      </c>
      <c r="D144"/>
      <c r="E144" s="2" t="str">
        <f>=HYPERLINK("https://si.geilicdn.com/pcitem2014204438-0ad90000019ac4a3c3b30a231316_750_1000.jpg?w=640&amp;h=640", "https://si.geilicdn.com/pcitem2014204438-0ad90000019ac4a3c3b30a231316_750_1000.jpg?w=640&amp;h=640")</f>
        <v>https://si.geilicdn.com/pcitem2014204438-0ad90000019ac4a3c3b30a231316_750_1000.jpg?w=640&amp;h=640</v>
      </c>
      <c r="F144" t="inlineStr">
        <is>
          <t>Electronic</t>
        </is>
      </c>
      <c r="G144" t="inlineStr">
        <is>
          <t>Beats</t>
        </is>
      </c>
      <c r="H144">
        <v>360</v>
      </c>
      <c r="I144">
        <v>52.17</v>
      </c>
      <c r="J144" t="inlineStr">
        <is>
          <t>{"id":"chatcmpl-DYLiPnNKY6wiRL6QFuzMsSMRsgQE4","object":"chat.completion","created":1777078997,"model":"gpt-5-chat-latest","choices":[{"index":0,"message":{"role":"assistant","content":"Beats Fit Pro Dark Gray Wireless Noise Cancelling Earbuds","refusal":null,"annotations":[]},"logprobs":null,"finish_reason":"stop"}],"usage":{"prompt_tokens":883,"completion_tokens":13,"total_tokens":896,"prompt_tokens_details":{"cached_tokens":0,"audio_tokens":0},"completion_tokens_details":{"reasoning_tokens":0,"audio_tokens":0,"accepted_prediction_tokens":0,"rejected_prediction_tokens":0}},"service_tier":"default","system_fingerprint":"fp_ad66631dec"}</t>
        </is>
      </c>
      <c r="K144" t="inlineStr">
        <is>
          <t>Beats Fit Pro Dark Gray Wireless Noise Cancelling Earbuds</t>
        </is>
      </c>
      <c r="L144" t="inlineStr">
        <is>
          <t>{"choices":[{"finish_reason":"stop","index":0,"logprobs":null,"message":{"annotations":[],"content":"Beats Fit Pro Dark Gray True Wireless Noise Cancelling Earbuds with flexible wing tips, Active Noise Cancelling &amp; Transparency Mode, Apple H1 Chip, powerful sound, lightweight, stylish for all.","refusal":null,"role":"assistant"}}],"created":1777077916,"id":"chatcmpl-DYLQyVwfR9VgeHDcCXw0aMpKcLnMC","model":"gpt-5-chat-latest","object":"chat.completion","service_tier":"default","system_fingerprint":"fp_ad66631dec","usage":{"completion_tokens":41,"completion_tokens_details":{"accepted_prediction_tokens":0,"audio_tokens":0,"reasoning_tokens":0,"rejected_prediction_tokens":0},"prompt_tokens":915,"prompt_tokens_details":{"audio_tokens":0,"cached_tokens":0},"total_tokens":956}}</t>
        </is>
      </c>
      <c r="M144" t="inlineStr">
        <is>
          <t>{"alt-svc":"h3=\":443\"; ma=2592000","apim-request-id":"5bd103ff-dc27-4571-be0e-448150c0ffa8","azureml-model-session":"d20260405225800-40f19e54","cache-control":"no-cache","connection":"close","content-length":"786","content-security-policy":"frame-ancestors 'self'","content-type":"application/json","date":"Sat, 25 Apr 2026 00:45:18 GMT","server":"Caddy","skip-error-remapping":"true","strict-transport-security":"max-age=31536000; includeSubDomains; preload","via":"1.1 Caddy","x-api-request-id":"20260425084514547108202QwZQd2On","x-content-type-options":"nosniff","x-frame-options":"SAMEORIGIN","x-ms-client-request-id":"Not-Set","x-ms-is-spilled-over":"false","x-ms-rai-invoked":"true","x-ms-region":"East US 2","x-new-api-version":"0.5.1","x-oneapi-request-id":"202604250045142873738238268d9d693fDPeu7","x-ratelimit-abusepenalty-active":"False","x-ratelimit-limit-requests":"50","x-ratelimit-limit-tokens":"50000","x-ratelimit-remaining-requests":"49","x-ratelimit-remaining-tokens":"-1470","x-ratelimit-renewalperiod-requests":"60","x-ratelimit-renewalperiod-tokens":"60","x-ratelimit-reset-requests":"1200","x-ratelimit-reset-tokens":"61764","x-request-id":"5ff73241-761b-41d7-b944-b2c0893607f2"}</t>
        </is>
      </c>
      <c r="N144" t="inlineStr">
        <is>
          <t>Beats Fit Pro Dark Gray True Wireless Noise Cancelling Earbuds with flexible wing tips, Active Noise Cancelling &amp; Transparency Mode, Apple H1 Chip, powerful sound, lightweight, stylish for all.</t>
        </is>
      </c>
      <c r="O144" t="inlineStr">
        <is>
          <t>{"id":"chatcmpl-DYM2cdPF16Mw9Yb7P8KNziaVi9ot4","object":"chat.completion","created":1777080250,"model":"gpt-5-chat-2025-10-03","choices":[{"index":0,"message":{"role":"assistant","content":"Beats,earbud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44" t="inlineStr">
        <is>
          <t>Beats,earbuds,kakobuy,kakebuy2026,kekobuysheet,kakobuysheet2026,2026kakobuy,kakobuyspreadsheeet,kakobuylink,kakebuylist,Kakobuy MEGA Spreadsheet,kakobuysheetfind,kakobuysheetfind2026,2026kakobuysheetfind,kakobuysheet2026</t>
        </is>
      </c>
      <c r="Q144"/>
      <c r="R144" t="inlineStr">
        <is>
          <t>recvhju1CrcFJa</t>
        </is>
      </c>
      <c r="S144" t="inlineStr">
        <is>
          <t>beats-fit-pro-dark-gray-recvhju1crcfja</t>
        </is>
      </c>
      <c r="T144"/>
      <c r="U144"/>
      <c r="V144"/>
      <c r="W144" t="inlineStr">
        <is>
          <t>{"choices":[{"finish_reason":"stop","index":0,"logprobs":null,"message":{"annotations":[],"content":"Beats：Fit Pro暗灰色真无线降噪运动耳机，柔韧翼尖设计稳固贴合，支持主动降噪与通透模式，搭载Apple H1芯片，音质清晰震撼。轻量机身兼具时尚与功能，男女皆宜，彰显现代科技美学与运动活力。","refusal":null,"role":"assistant"}}],"created":1777019771,"id":"chatcmpl-DY6J93I2aEEcsejuJcNJwWGQ3bGmA","model":"gpt-5-chat-latest","object":"chat.completion","service_tier":"default","system_fingerprint":"fp_ad66631dec","usage":{"completion_tokens":81,"completion_tokens_details":{"accepted_prediction_tokens":0,"audio_tokens":0,"reasoning_tokens":0,"rejected_prediction_tokens":0},"prompt_tokens":1301,"prompt_tokens_details":{"audio_tokens":0,"cached_tokens":0},"total_tokens":1382}}</t>
        </is>
      </c>
      <c r="X144" t="inlineStr">
        <is>
          <t>Beats：Fit Pro暗灰色真无线降噪运动耳机，柔韧翼尖设计稳固贴合，支持主动降噪与通透模式，搭载Apple H1芯片，音质清晰震撼。轻量机身兼具时尚与功能，男女皆宜，彰显现代科技美学与运动活力。</t>
        </is>
      </c>
    </row>
    <row r="145" ht="25.5" customHeight="1">
      <c r="A145">
        <v>1654975475</v>
      </c>
      <c r="B145">
        <v>7617027445</v>
      </c>
      <c r="C145" s="2" t="str">
        <f>=HYPERLINK("https://weidian.com/item.html?itemID=7617027445", "https://weidian.com/item.html?itemID=7617027445")</f>
        <v>https://weidian.com/item.html?itemID=7617027445</v>
      </c>
      <c r="D145"/>
      <c r="E145" s="2" t="str">
        <f>=HYPERLINK("https://si.geilicdn.com/pcitem2014204438-327a0000019ac4a611870a231177_1260_1657.jpg?w=640&amp;h=640", "https://si.geilicdn.com/pcitem2014204438-327a0000019ac4a611870a231177_1260_1657.jpg?w=640&amp;h=640")</f>
        <v>https://si.geilicdn.com/pcitem2014204438-327a0000019ac4a611870a231177_1260_1657.jpg?w=640&amp;h=640</v>
      </c>
      <c r="F145" t="inlineStr">
        <is>
          <t>Electronic</t>
        </is>
      </c>
      <c r="G145" t="inlineStr">
        <is>
          <t>Marshall</t>
        </is>
      </c>
      <c r="H145">
        <v>690</v>
      </c>
      <c r="I145">
        <v>100</v>
      </c>
      <c r="J145" t="inlineStr">
        <is>
          <t>{"id":"chatcmpl-DYLinIDolZo26CzapiR0nQ9enPAMp","object":"chat.completion","created":1777079021,"model":"gpt-5-chat-latest","choices":[{"index":0,"message":{"role":"assistant","content":"ElectronicMarshall Vintage Black Bluetooth Foldable Headphones","refusal":null,"annotations":[]},"logprobs":null,"finish_reason":"stop"}],"usage":{"prompt_tokens":872,"completion_tokens":10,"total_tokens":882,"prompt_tokens_details":{"cached_tokens":0,"audio_tokens":0},"completion_tokens_details":{"reasoning_tokens":0,"audio_tokens":0,"accepted_prediction_tokens":0,"rejected_prediction_tokens":0}},"service_tier":"default","system_fingerprint":"fp_ad66631dec"}</t>
        </is>
      </c>
      <c r="K145" t="inlineStr">
        <is>
          <t>ElectronicMarshall Vintage Black Bluetooth Foldable Headphones</t>
        </is>
      </c>
      <c r="L145" t="inlineStr">
        <is>
          <t>{"id":"chatcmpl-DYLUQTAFzXWaIDJitEYpyPiubcDUB","object":"chat.completion","created":1777078130,"model":"gpt-5-chat-latest","choices":[{"index":0,"message":{"role":"assistant","content":"ElectronicMarshall Black Portable Bluetooth Headphones with soft leather earcups and vintage round folding design, delivering rich bass, crisp treble, and British rock style for modern music lovers.","refusal":null,"annotations":[]},"logprobs":null,"finish_reason":"stop"}],"usage":{"prompt_tokens":909,"completion_tokens":36,"total_tokens":945,"prompt_tokens_details":{"cached_tokens":0,"audio_tokens":0},"completion_tokens_details":{"reasoning_tokens":0,"audio_tokens":0,"accepted_prediction_tokens":0,"rejected_prediction_tokens":0}},"service_tier":"default","system_fingerprint":"fp_ad66631dec"}</t>
        </is>
      </c>
      <c r="M14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ma=2592000","apim-request-id":"85759b52-7315-463d-9797-fd3438441680","azureml-model-session":"d20260405221325-2e8d5e76","cache-control":"no-cache, no-store, must-revalidate","connection":"close","content-length":"1002","content-security-policy":"frame-ancestors 'self'","content-type":"application/json","date":"Sat, 25 Apr 2026 00:48:52 GMT","server":"Caddy","skip-error-remapping":"true","strict-transport-security":"max-age=31536000; includeSubDomains; preload","via":"1.1 Caddy","x-api-request-id":"20260425084848985689481DTXjC7a4","x-content-type-options":"nosniff","x-frame-options":"SAMEORIGIN","x-ms-is-spilled-over":"false","x-ms-rai-invoked":"false","x-ms-region":"Sweden Central","x-new-api-version":"0.5.1","x-oneapi-request-id":"202604250048458154229878268d9d6nd2X9Q3L","x-ratelimit-abusepenalty-active":"False","x-ratelimit-limit-requests":"4991","x-ratelimit-limit-tokens":"4991000","x-ratelimit-remaining-requests":"4990","x-ratelimit-remaining-tokens":"4989329","x-ratelimit-renewalperiod-requests":"60","x-ratelimit-renewalperiod-tokens":"60","x-ratelimit-reset-requests":"12","x-ratelimit-reset-tokens":"20","x-request-id":"3d6fdbc6-7583-47b8-b962-b47ea8bb977d"}</t>
        </is>
      </c>
      <c r="N145" t="inlineStr">
        <is>
          <t>ElectronicMarshall Black Portable Bluetooth Headphones with soft leather earcups and vintage round folding design, delivering rich bass, crisp treble, and British rock style for modern music lovers.</t>
        </is>
      </c>
      <c r="O145" t="inlineStr">
        <is>
          <t>{"id":"chatcmpl-DYLxhAyIQGwUjEvBjhah20YunLXOv","object":"chat.completion","created":1777079945,"model":"gpt-5-chat-2025-10-03","choices":[{"index":0,"message":{"role":"assistant","content":"Marshall,Headphones,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87,"total_tokens":868,"prompt_tokens_details":{"cached_tokens":0,"audio_tokens":0},"completion_tokens_details":{"reasoning_tokens":0,"audio_tokens":0,"accepted_prediction_tokens":0,"rejected_prediction_tokens":0}},"service_tier":"default","system_fingerprint":"fp_ad66631dec"}</t>
        </is>
      </c>
      <c r="P145" t="inlineStr">
        <is>
          <t>Marshall,Headphones,kakobuy,kakebuy2026,kekobuysheet,kakobuysheet2026,2026kakobuy,kakobuyspreadsheeet,kakobuylink,kakebuylist,Kakobuy MEGA Spreadsheet,kakobuysheetfind,kakobuysheetfind2026,2026kakobuysheetfind,kakobuysheet2026</t>
        </is>
      </c>
      <c r="Q145" t="inlineStr">
        <is>
          <t>Marshall, Leather, Vintage, Black, All Seasons</t>
        </is>
      </c>
      <c r="R145" t="inlineStr">
        <is>
          <t>recvhju1CriYeQ</t>
        </is>
      </c>
      <c r="S145" t="inlineStr">
        <is>
          <t>electronicmarshall-vintage-black-bluetooth-foldable-headphones-recvhju1criyeq</t>
        </is>
      </c>
      <c r="T145"/>
      <c r="U145"/>
      <c r="V145"/>
      <c r="W145" t="inlineStr">
        <is>
          <t>{"choices":[{"finish_reason":"stop","index":0,"logprobs":null,"message":{"annotations":[],"content":"Marshall：黑色便携头戴式蓝牙耳机，柔软皮质耳罩与复古圆形折叠设计结合，展现英伦摇滚风格。精密音效调校，低频醇厚高音清晰，兼具时尚与功能，男女皆宜，适合现代城市音乐爱好者。","refusal":null,"role":"assistant"}}],"created":1777019688,"id":"chatcmpl-DY6HovttLuXO6JM2bZn3k2UVqbdmq","model":"gpt-5-chat-latest","object":"chat.completion","service_tier":"default","system_fingerprint":"fp_ad66631dec","usage":{"completion_tokens":78,"completion_tokens_details":{"accepted_prediction_tokens":0,"audio_tokens":0,"reasoning_tokens":0,"rejected_prediction_tokens":0},"prompt_tokens":1295,"prompt_tokens_details":{"audio_tokens":0,"cached_tokens":0},"total_tokens":1373}}</t>
        </is>
      </c>
      <c r="X145" t="inlineStr">
        <is>
          <t>Marshall：黑色便携头戴式蓝牙耳机，柔软皮质耳罩与复古圆形折叠设计结合，展现英伦摇滚风格。精密音效调校，低频醇厚高音清晰，兼具时尚与功能，男女皆宜，适合现代城市音乐爱好者。</t>
        </is>
      </c>
    </row>
    <row r="146" ht="25.5" customHeight="1">
      <c r="A146">
        <v>1654975475</v>
      </c>
      <c r="B146">
        <v>7617508569</v>
      </c>
      <c r="C146" s="2" t="str">
        <f>=HYPERLINK("https://weidian.com/item.html?itemID=7617508569", "https://weidian.com/item.html?itemID=7617508569")</f>
        <v>https://weidian.com/item.html?itemID=7617508569</v>
      </c>
      <c r="D146"/>
      <c r="E146" s="2" t="str">
        <f>=HYPERLINK("https://si.geilicdn.com/pcitem2014204438-43d10000019ac4a840670a81347d_1442_1922.jpg?w=640&amp;h=640", "https://si.geilicdn.com/pcitem2014204438-43d10000019ac4a840670a81347d_1442_1922.jpg?w=640&amp;h=640")</f>
        <v>https://si.geilicdn.com/pcitem2014204438-43d10000019ac4a840670a81347d_1442_1922.jpg?w=640&amp;h=640</v>
      </c>
      <c r="F146" t="inlineStr">
        <is>
          <t>Electronic</t>
        </is>
      </c>
      <c r="G146" t="inlineStr">
        <is>
          <t xml:space="preserve"> Apple</t>
        </is>
      </c>
      <c r="H146">
        <v>920</v>
      </c>
      <c r="I146">
        <v>133.33</v>
      </c>
      <c r="J146" t="inlineStr">
        <is>
          <t>{"choices":[{"finish_reason":"stop","index":0,"logprobs":null,"message":{"annotations":[],"content":"Apple AirPods Max Space Gray Wireless Noise Canceling Headphones","refusal":null,"role":"assistant"}}],"created":1777079182,"id":"chatcmpl-DYLlObypYAJ31scOYyxzvOyKcwdhF","model":"gpt-5-chat-latest","object":"chat.completion","service_tier":"default","system_fingerprint":"fp_ad66631dec","usage":{"completion_tokens":13,"completion_tokens_details":{"accepted_prediction_tokens":0,"audio_tokens":0,"reasoning_tokens":0,"rejected_prediction_tokens":0},"prompt_tokens":882,"prompt_tokens_details":{"audio_tokens":0,"cached_tokens":0},"total_tokens":895}}</t>
        </is>
      </c>
      <c r="K146" t="inlineStr">
        <is>
          <t>Apple AirPods Max Space Gray Wireless Noise Canceling Headphones</t>
        </is>
      </c>
      <c r="L146" t="inlineStr">
        <is>
          <t>{"id":"chatcmpl-DYLb17KsAmszGcj7E1VJq3UYquDCN","object":"chat.completion","created":1777078539,"model":"gpt-5-chat-latest","choices":[{"index":0,"message":{"role":"assistant","content":"Apple AirPods Max Space Gray Wireless Over-Ear Headphones with Active Noise Cancellation, Transparency Mode, Aluminum Ear Cups, Breathable Mesh Headband, Premium Comfort, Immersive Hi-Fi Sound.","refusal":null,"annotations":[]},"logprobs":null,"finish_reason":"stop"}],"usage":{"prompt_tokens":909,"completion_tokens":41,"total_tokens":950,"prompt_tokens_details":{"cached_tokens":0,"audio_tokens":0},"completion_tokens_details":{"reasoning_tokens":0,"audio_tokens":0,"accepted_prediction_tokens":0,"rejected_prediction_tokens":0}},"service_tier":"default","system_fingerprint":"fp_ad66631dec"}</t>
        </is>
      </c>
      <c r="M14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ma=2592000","apim-request-id":"914188a4-14d2-4b03-aed7-349cac486e70","azureml-model-session":"d20260405234249-f9874baf","cache-control":"no-cache, no-store, must-revalidate","connection":"close","content-length":"997","content-security-policy":"frame-ancestors 'self'","content-type":"application/json","date":"Sat, 25 Apr 2026 00:55:41 GMT","server":"Caddy","skip-error-remapping":"true","strict-transport-security":"max-age=31536000; includeSubDomains; preload","via":"1.1 Caddy","x-api-request-id":"20260425085537697259322xtQSMUMV","x-content-type-options":"nosniff","x-frame-options":"SAMEORIGIN","x-ms-is-spilled-over":"false","x-ms-rai-invoked":"false","x-ms-region":"Sweden Central","x-new-api-version":"0.5.1","x-oneapi-request-id":"202604250055332828551778268d9d64Lt0MtnM","x-ratelimit-abusepenalty-active":"False","x-ratelimit-limit-requests":"4991","x-ratelimit-limit-tokens":"4991000","x-ratelimit-remaining-requests":"4990","x-ratelimit-remaining-tokens":"4989329","x-ratelimit-renewalperiod-requests":"60","x-ratelimit-renewalperiod-tokens":"60","x-ratelimit-reset-requests":"12","x-ratelimit-reset-tokens":"20","x-request-id":"2ee6ec4c-61b9-4098-94f1-a43a47a6ec49"}</t>
        </is>
      </c>
      <c r="N146" t="inlineStr">
        <is>
          <t>Apple AirPods Max Space Gray Wireless Over-Ear Headphones with Active Noise Cancellation, Transparency Mode, Aluminum Ear Cups, Breathable Mesh Headband, Premium Comfort, Immersive Hi-Fi Sound.</t>
        </is>
      </c>
      <c r="O146" t="inlineStr">
        <is>
          <t>{"id":"chatcmpl-DYLveDvtGUGw8u8RGsahBu8XRr8UL","object":"chat.completion","created":1777079818,"model":"gpt-5-chat-2025-10-03","choices":[{"index":0,"message":{"role":"assistant","content":"Apple,Headphones,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87,"total_tokens":868,"prompt_tokens_details":{"cached_tokens":0,"audio_tokens":0},"completion_tokens_details":{"reasoning_tokens":0,"audio_tokens":0,"accepted_prediction_tokens":0,"rejected_prediction_tokens":0}},"service_tier":"default","system_fingerprint":"fp_ad66631dec"}</t>
        </is>
      </c>
      <c r="P146" t="inlineStr">
        <is>
          <t>Apple,Headphones,kakobuy,kakebuy2026,kekobuysheet,kakobuysheet2026,2026kakobuy,kakobuyspreadsheeet,kakobuylink,kakebuylist,Kakobuy MEGA Spreadsheet,kakobuysheetfind,kakobuysheetfind2026,2026kakobuysheetfind,kakobuysheet2026</t>
        </is>
      </c>
      <c r="Q146"/>
      <c r="R146" t="inlineStr">
        <is>
          <t>recvhju1CrcIWa</t>
        </is>
      </c>
      <c r="S146" t="inlineStr">
        <is>
          <t>apple-airpods-max-space-gray-recvhju1crcIWa</t>
        </is>
      </c>
      <c r="T146"/>
      <c r="U146"/>
      <c r="V146"/>
      <c r="W146" t="inlineStr">
        <is>
          <t>{"id":"chatcmpl-DY6G5C56YXqMGNh7uEJZ42aKn9KxU","object":"chat.completion","created":1777019581,"model":"gpt-5-chat-latest","choices":[{"index":0,"message":{"role":"assistant","content":"Apple：AirPods Max 深空灰色头戴式无线降噪耳机，铝合金耳罩搭配透气网状头梁设计，展现极简现代美学，支持主动降噪与通透模式，沉浸音效兼顾舒适佩戴，男女皆宜，彰显高端科技品质。","refusal":null,"annotations":[]},"logprobs":null,"finish_reason":"stop"}],"usage":{"prompt_tokens":1297,"completion_tokens":77,"total_tokens":1374,"prompt_tokens_details":{"cached_tokens":0,"audio_tokens":0},"completion_tokens_details":{"reasoning_tokens":0,"audio_tokens":0,"accepted_prediction_tokens":0,"rejected_prediction_tokens":0}},"service_tier":"default","system_fingerprint":"fp_ad66631dec"}</t>
        </is>
      </c>
      <c r="X146" t="inlineStr">
        <is>
          <t>Apple：AirPods Max 深空灰色头戴式无线降噪耳机，铝合金耳罩搭配透气网状头梁设计，展现极简现代美学，支持主动降噪与通透模式，沉浸音效兼顾舒适佩戴，男女皆宜，彰显高端科技品质。</t>
        </is>
      </c>
    </row>
    <row r="147" ht="25.5" customHeight="1">
      <c r="A147">
        <v>1654975475</v>
      </c>
      <c r="B147">
        <v>7617526403</v>
      </c>
      <c r="C147" s="2" t="str">
        <f>=HYPERLINK("https://weidian.com/item.html?itemID=7617526403", "https://weidian.com/item.html?itemID=7617526403")</f>
        <v>https://weidian.com/item.html?itemID=7617526403</v>
      </c>
      <c r="D147"/>
      <c r="E147" s="2" t="str">
        <f>=HYPERLINK("https://si.geilicdn.com/pcitem2014204438-43fe0000019ac4a8db1f0a81347d_1442_1922.jpg?w=640&amp;h=640", "https://si.geilicdn.com/pcitem2014204438-43fe0000019ac4a8db1f0a81347d_1442_1922.jpg?w=640&amp;h=640")</f>
        <v>https://si.geilicdn.com/pcitem2014204438-43fe0000019ac4a8db1f0a81347d_1442_1922.jpg?w=640&amp;h=640</v>
      </c>
      <c r="F147" t="inlineStr">
        <is>
          <t>Electronic</t>
        </is>
      </c>
      <c r="G147" t="inlineStr">
        <is>
          <t xml:space="preserve"> Apple</t>
        </is>
      </c>
      <c r="H147">
        <v>920</v>
      </c>
      <c r="I147">
        <v>133.33</v>
      </c>
      <c r="J147" t="inlineStr">
        <is>
          <t>{"id":"chatcmpl-DYLhS7wRphAF4BnhTp7CIqRClX1ro","object":"chat.completion","created":1777078938,"model":"gpt-5-chat-latest","choices":[{"index":0,"message":{"role":"assistant","content":"Apple AirPods Max Orange Wireless Noise Cancelling Headphones","refusal":null,"annotations":[]},"logprobs":null,"finish_reason":"stop"}],"usage":{"prompt_tokens":874,"completion_tokens":12,"total_tokens":886,"prompt_tokens_details":{"cached_tokens":0,"audio_tokens":0},"completion_tokens_details":{"reasoning_tokens":0,"audio_tokens":0,"accepted_prediction_tokens":0,"rejected_prediction_tokens":0}},"service_tier":"default","system_fingerprint":"fp_ad66631dec"}</t>
        </is>
      </c>
      <c r="K147" t="inlineStr">
        <is>
          <t>Apple AirPods Max Orange Wireless Noise Cancelling Headphones</t>
        </is>
      </c>
      <c r="L147" t="inlineStr">
        <is>
          <t>{"id":"chatcmpl-DYLR2r5ghYxdUgzjXU472hP3ZVyXz","object":"chat.completion","created":1777077920,"model":"gpt-5-chat-latest","choices":[{"index":0,"message":{"role":"assistant","content":"Apple AirPods Max Orange wireless noise-cancelling headphones combine aluminum and breathable knit mesh for comfort, with memory foam ear cushions and adaptive EQ delivering immersive high‑fidelity sound.","refusal":null,"annotations":[]},"logprobs":null,"finish_reason":"stop"}],"usage":{"prompt_tokens":931,"completion_tokens":37,"total_tokens":968,"prompt_tokens_details":{"cached_tokens":0,"audio_tokens":0},"completion_tokens_details":{"reasoning_tokens":0,"audio_tokens":0,"accepted_prediction_tokens":0,"rejected_prediction_tokens":0}},"service_tier":"default","system_fingerprint":"fp_ad66631dec"}</t>
        </is>
      </c>
      <c r="M14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ma=2592000","apim-request-id":"6868daf5-768b-450b-970a-852de897f8f2","azureml-model-session":"d20260402075109-1fc5a0ec","cache-control":"no-cache, no-store, must-revalidate","connection":"close","content-length":"1010","content-security-policy":"frame-ancestors 'self'","content-type":"application/json","date":"Sat, 25 Apr 2026 00:45:22 GMT","server":"nginx","skip-error-remapping":"true","strict-transport-security":"max-age=31536000; includeSubDomains; preload","via":"1.1 Caddy, 1.1 Caddy","x-api-request-id":"20260425084519466002080yE8QCPaV","x-content-type-options":"nosniff","x-frame-options":"SAMEORIGIN","x-ms-is-spilled-over":"false","x-ms-rai-invoked":"false","x-ms-region":"Sweden Central","x-new-api-version":"0.5.1","x-oneapi-request-id":"202604250045156092728278268d9d6fWnW8y0Y","x-ratelimit-abusepenalty-active":"False","x-ratelimit-limit-requests":"4991","x-ratelimit-limit-tokens":"4991000","x-ratelimit-remaining-requests":"4990","x-ratelimit-remaining-tokens":"4989307","x-ratelimit-renewalperiod-requests":"60","x-ratelimit-renewalperiod-tokens":"60","x-ratelimit-reset-requests":"12","x-ratelimit-reset-tokens":"20","x-request-id":"debb2e1b-1dff-4d92-a62c-994939df9de0"}</t>
        </is>
      </c>
      <c r="N147" t="inlineStr">
        <is>
          <t>Apple AirPods Max Orange wireless noise-cancelling headphones combine aluminum and breathable knit mesh for comfort, with memory foam ear cushions and adaptive EQ delivering immersive high‑fidelity sound.</t>
        </is>
      </c>
      <c r="O147" t="inlineStr">
        <is>
          <t>{"id":"chatcmpl-DYM3B5kaX6nVHD3lC7zCqDF91FPDx","object":"chat.completion","created":1777080285,"model":"gpt-5-chat-2025-10-03","choices":[{"index":0,"message":{"role":"assistant","content":"Apple,Headphones,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87,"total_tokens":868,"prompt_tokens_details":{"cached_tokens":0,"audio_tokens":0},"completion_tokens_details":{"reasoning_tokens":0,"audio_tokens":0,"accepted_prediction_tokens":0,"rejected_prediction_tokens":0}},"service_tier":"default","system_fingerprint":"fp_ad66631dec"}</t>
        </is>
      </c>
      <c r="P147" t="inlineStr">
        <is>
          <t>Apple,Headphones,kakobuy,kakebuy2026,kekobuysheet,kakobuysheet2026,2026kakobuy,kakobuyspreadsheeet,kakobuylink,kakebuylist,Kakobuy MEGA Spreadsheet,kakobuysheetfind,kakobuysheetfind2026,2026kakobuysheetfind,kakobuysheet2026</t>
        </is>
      </c>
      <c r="Q147"/>
      <c r="R147" t="inlineStr">
        <is>
          <t>recvhju1Cr39VZ</t>
        </is>
      </c>
      <c r="S147" t="inlineStr">
        <is>
          <t>apple-airpods-max-orange-recvhju1cr39vz</t>
        </is>
      </c>
      <c r="T147"/>
      <c r="U147"/>
      <c r="V147"/>
      <c r="W147" t="inlineStr">
        <is>
          <t>{"choices":[{"finish_reason":"stop","index":0,"logprobs":null,"message":{"annotations":[],"content":"Apple：AirPods Max 橙色无线降噪耳机，铝合金与透气针织网材质结合，佩戴舒适贴合。高级记忆泡沫耳垫搭配自适应均衡技术，呈现沉浸式高保真音质。简约流线设计，时尚现代风格，男女皆宜，兼具卓越音效与美学质感。","refusal":null,"role":"assistant"}}],"created":1777019460,"id":"chatcmpl-DY6E8Njt290euJMzuRkqr9RmxKU4V","model":"gpt-5-chat-latest","object":"chat.completion","service_tier":"default","system_fingerprint":"fp_ad66631dec","usage":{"completion_tokens":96,"completion_tokens_details":{"accepted_prediction_tokens":0,"audio_tokens":0,"reasoning_tokens":0,"rejected_prediction_tokens":0},"prompt_tokens":1303,"prompt_tokens_details":{"audio_tokens":0,"cached_tokens":0},"total_tokens":1399}}</t>
        </is>
      </c>
      <c r="X147" t="inlineStr">
        <is>
          <t>Apple：AirPods Max 橙色无线降噪耳机，铝合金与透气针织网材质结合，佩戴舒适贴合。高级记忆泡沫耳垫搭配自适应均衡技术，呈现沉浸式高保真音质。简约流线设计，时尚现代风格，男女皆宜，兼具卓越音效与美学质感。</t>
        </is>
      </c>
    </row>
    <row r="148" ht="25.5" customHeight="1">
      <c r="A148">
        <v>1654975475</v>
      </c>
      <c r="B148">
        <v>7620454588</v>
      </c>
      <c r="C148" s="2" t="str">
        <f>=HYPERLINK("https://weidian.com/item.html?itemID=7620454588", "https://weidian.com/item.html?itemID=7620454588")</f>
        <v>https://weidian.com/item.html?itemID=7620454588</v>
      </c>
      <c r="D148"/>
      <c r="E148" s="2" t="str">
        <f>=HYPERLINK("https://si.geilicdn.com/pcitem2014204438-360a0000019ac4a0e5d70a239846_1440_1920.jpg?w=640&amp;h=640", "https://si.geilicdn.com/pcitem2014204438-360a0000019ac4a0e5d70a239846_1440_1920.jpg?w=640&amp;h=640")</f>
        <v>https://si.geilicdn.com/pcitem2014204438-360a0000019ac4a0e5d70a239846_1440_1920.jpg?w=640&amp;h=640</v>
      </c>
      <c r="F148" t="inlineStr">
        <is>
          <t>Electronic</t>
        </is>
      </c>
      <c r="G148" t="inlineStr">
        <is>
          <t xml:space="preserve"> Apple</t>
        </is>
      </c>
      <c r="H148">
        <v>900</v>
      </c>
      <c r="I148">
        <v>130.43</v>
      </c>
      <c r="J148" t="inlineStr">
        <is>
          <t>{"id":"chatcmpl-DYLoQ2PN7NShXlxHg7iVzsmmCxSfd","object":"chat.completion","created":1777079370,"model":"gpt-5-chat-2025-10-03","choices":[{"index":0,"message":{"role":"assistant","content":"Apple AirPods Max Space Gray Wireless Headphones","refusal":null,"annotations":[]},"logprobs":null,"finish_reason":"stop"}],"usage":{"prompt_tokens":874,"completion_tokens":10,"total_tokens":884,"prompt_tokens_details":{"cached_tokens":0,"audio_tokens":0},"completion_tokens_details":{"reasoning_tokens":0,"audio_tokens":0,"accepted_prediction_tokens":0,"rejected_prediction_tokens":0}},"service_tier":"default","system_fingerprint":"fp_ad66631dec"}</t>
        </is>
      </c>
      <c r="K148" t="inlineStr">
        <is>
          <t>Apple AirPods Max Space Gray Wireless Headphones</t>
        </is>
      </c>
      <c r="L148" t="inlineStr">
        <is>
          <t>{"id":"chatcmpl-DYLSlSnL2sERU4f6UfPpSwfr8AmnN","object":"chat.completion","created":1777078027,"model":"gpt-5-chat-latest","choices":[{"index":0,"message":{"role":"assistant","content":"Apple AirPods Max Space Gray Wireless Noise Cancelling Headphones, aluminum build with memory foam cushions, modern minimalist design, high-fidelity audio and dynamic spatial sound for immersive listening.","refusal":null,"annotations":[]},"logprobs":null,"finish_reason":"stop"}],"usage":{"prompt_tokens":904,"completion_tokens":37,"total_tokens":941,"prompt_tokens_details":{"cached_tokens":0,"audio_tokens":0},"completion_tokens_details":{"reasoning_tokens":0,"audio_tokens":0,"accepted_prediction_tokens":0,"rejected_prediction_tokens":0}},"service_tier":"default","system_fingerprint":"fp_ad66631dec"}</t>
        </is>
      </c>
      <c r="M14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ma=2592000","apim-request-id":"e63e1d05-ad8e-4d2f-8667-c8ca215fe911","azureml-model-session":"d20260402075109-1fc5a0ec","cache-control":"no-cache, no-store, must-revalidate","connection":"close","content-length":"1009","content-security-policy":"frame-ancestors 'self'","content-type":"application/json","date":"Sat, 25 Apr 2026 00:47:09 GMT","server":"Caddy","skip-error-remapping":"true","strict-transport-security":"max-age=31536000; includeSubDomains; preload","via":"1.1 Caddy","x-api-request-id":"20260425084704915071818hGr2UwpQ","x-content-type-options":"nosniff","x-frame-options":"SAMEORIGIN","x-ms-is-spilled-over":"false","x-ms-rai-invoked":"false","x-ms-region":"Sweden Central","x-new-api-version":"0.5.1","x-oneapi-request-id":"202604250047039204983468268d9d6La7VHBv1","x-ratelimit-abusepenalty-active":"False","x-ratelimit-limit-requests":"4991","x-ratelimit-limit-tokens":"4991000","x-ratelimit-remaining-requests":"4990","x-ratelimit-remaining-tokens":"4989334","x-ratelimit-renewalperiod-requests":"60","x-ratelimit-renewalperiod-tokens":"60","x-ratelimit-reset-requests":"12","x-ratelimit-reset-tokens":"20","x-request-id":"dfa50cab-2f3f-4f43-8cae-f59f797e2291"}</t>
        </is>
      </c>
      <c r="N148" t="inlineStr">
        <is>
          <t>Apple AirPods Max Space Gray Wireless Noise Cancelling Headphones, aluminum build with memory foam cushions, modern minimalist design, high-fidelity audio and dynamic spatial sound for immersive listening.</t>
        </is>
      </c>
      <c r="O148" t="inlineStr">
        <is>
          <t>{"id":"chatcmpl-DYLyqHR4BQm1KlN1CQRNZV4QAACYo","object":"chat.completion","created":1777080016,"model":"gpt-5-chat-2025-10-03","choices":[{"index":0,"message":{"role":"assistant","content":"Apple, Headphones,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781,"completion_tokens":91,"total_tokens":872,"prompt_tokens_details":{"cached_tokens":0,"audio_tokens":0},"completion_tokens_details":{"reasoning_tokens":0,"audio_tokens":0,"accepted_prediction_tokens":0,"rejected_prediction_tokens":0}},"service_tier":"default","system_fingerprint":"fp_ad66631dec"}</t>
        </is>
      </c>
      <c r="P148" t="inlineStr">
        <is>
          <t>Apple, Headphones, kakobuy, kakebuy2026, kekobuysheet, kakobuysheet2026, 2026kakobuy, kakobuyspreadsheeet, kakobuylink, kakebuylist, Kakobuy MEGA Spreadsheet, kakobuysheetfind, kakobuysheetfind2026, 2026kakobuysheetfind, kakobuysheet2026</t>
        </is>
      </c>
      <c r="Q148"/>
      <c r="R148" t="inlineStr">
        <is>
          <t>recvhju1Cr1su3</t>
        </is>
      </c>
      <c r="S148" t="inlineStr">
        <is>
          <t>apple-airpods-max-space-gray-recvhju1cr1su3</t>
        </is>
      </c>
      <c r="T148"/>
      <c r="U148"/>
      <c r="V148"/>
      <c r="W148" t="inlineStr">
        <is>
          <t>{"id":"chatcmpl-DY6JCw0IYssQ59axD9umxjdI7J0kx","object":"chat.completion","created":1777019774,"model":"gpt-5-chat-latest","choices":[{"index":0,"message":{"role":"assistant","content":"Apple：AirPods Max 深空灰色头戴式蓝牙降噪耳机，铝合金材质搭配记忆泡棉耳罩，呈现极简现代设计风格，男女皆宜，高保真音质与动态空间声效，打造沉浸式聆听体验。","refusal":null,"annotations":[]},"logprobs":null,"finish_reason":"stop"}],"usage":{"prompt_tokens":1301,"completion_tokens":70,"total_tokens":1371,"prompt_tokens_details":{"cached_tokens":1280,"audio_tokens":0},"completion_tokens_details":{"reasoning_tokens":0,"audio_tokens":0,"accepted_prediction_tokens":0,"rejected_prediction_tokens":0}},"service_tier":"default","system_fingerprint":"fp_ad66631dec"}</t>
        </is>
      </c>
      <c r="X148" t="inlineStr">
        <is>
          <t>Apple：AirPods Max 深空灰色头戴式蓝牙降噪耳机，铝合金材质搭配记忆泡棉耳罩，呈现极简现代设计风格，男女皆宜，高保真音质与动态空间声效，打造沉浸式聆听体验。</t>
        </is>
      </c>
    </row>
    <row r="149" ht="25.5" customHeight="1">
      <c r="A149">
        <v>1654975475</v>
      </c>
      <c r="B149">
        <v>7620536100</v>
      </c>
      <c r="C149" s="2" t="str">
        <f>=HYPERLINK("https://weidian.com/item.html?itemID=7620536100", "https://weidian.com/item.html?itemID=7620536100")</f>
        <v>https://weidian.com/item.html?itemID=7620536100</v>
      </c>
      <c r="D149"/>
      <c r="E149" s="2" t="str">
        <f>=HYPERLINK("https://si.geilicdn.com/pcitem2014204438-431a0000019ac4a34eb80a210256_1512_2016.jpg?w=640&amp;h=640", "https://si.geilicdn.com/pcitem2014204438-431a0000019ac4a34eb80a210256_1512_2016.jpg?w=640&amp;h=640")</f>
        <v>https://si.geilicdn.com/pcitem2014204438-431a0000019ac4a34eb80a210256_1512_2016.jpg?w=640&amp;h=640</v>
      </c>
      <c r="F149" t="inlineStr">
        <is>
          <t>Electronic</t>
        </is>
      </c>
      <c r="G149" t="inlineStr">
        <is>
          <t>Marshall</t>
        </is>
      </c>
      <c r="H149">
        <v>350</v>
      </c>
      <c r="I149">
        <v>50.72</v>
      </c>
      <c r="J149" t="inlineStr">
        <is>
          <t>{"id":"chatcmpl-DYLnw9nxYLRi9zK4aD29evGu9W0ra","object":"chat.completion","created":1777079340,"model":"gpt-5-chat-2025-10-03","choices":[{"index":0,"message":{"role":"assistant","content":"Marshall Black Leather Bluetooth Earphones Retro 3D Sound","refusal":null,"annotations":[]},"logprobs":null,"finish_reason":"stop"}],"usage":{"prompt_tokens":872,"completion_tokens":12,"total_tokens":884,"prompt_tokens_details":{"cached_tokens":0,"audio_tokens":0},"completion_tokens_details":{"reasoning_tokens":0,"audio_tokens":0,"accepted_prediction_tokens":0,"rejected_prediction_tokens":0}},"service_tier":"default","system_fingerprint":"fp_ad66631dec"}</t>
        </is>
      </c>
      <c r="K149" t="inlineStr">
        <is>
          <t>Marshall Black Leather Bluetooth Earphones Retro 3D Sound</t>
        </is>
      </c>
      <c r="L149" t="inlineStr">
        <is>
          <t>{"id":"chatcmpl-DYLPcMoS85dZiUImziYz5cnoE4YLA","object":"chat.completion","created":1777077832,"model":"gpt-5-chat-latest","choices":[{"index":0,"message":{"role":"assistant","content":"Marshall Black Leather Bluetooth Earphones – Retro meets modern design, compact and portable with powerful 3D sound, perfect for daily commuting and music lovers seeking true British rock style.","refusal":null,"annotations":[]},"logprobs":null,"finish_reason":"stop"}],"usage":{"prompt_tokens":896,"completion_tokens":36,"total_tokens":932,"prompt_tokens_details":{"cached_tokens":0,"audio_tokens":0},"completion_tokens_details":{"reasoning_tokens":0,"audio_tokens":0,"accepted_prediction_tokens":0,"rejected_prediction_tokens":0}},"service_tier":"default","system_fingerprint":"fp_ad66631dec"}</t>
        </is>
      </c>
      <c r="M14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ma=2592000","apim-request-id":"a995e24c-ac92-425c-8fda-9ef55b648540","azureml-model-session":"d20260402084046-4209e968","cache-control":"no-cache, no-store, must-revalidate","connection":"close","content-length":"1000","content-security-policy":"frame-ancestors 'self'","content-type":"application/json","date":"Sat, 25 Apr 2026 00:43:54 GMT","server":"Caddy","skip-error-remapping":"true","strict-transport-security":"max-age=31536000; includeSubDomains; preload","via":"1.1 Caddy","x-api-request-id":"20260425084351118861284Q9r2BLX3","x-content-type-options":"nosniff","x-frame-options":"SAMEORIGIN","x-ms-is-spilled-over":"false","x-ms-rai-invoked":"false","x-ms-region":"Sweden Central","x-new-api-version":"0.5.1","x-oneapi-request-id":"202604250043482156122848268d9d6da6M5CXx","x-ratelimit-abusepenalty-active":"False","x-ratelimit-limit-requests":"4991","x-ratelimit-limit-tokens":"4991000","x-ratelimit-remaining-requests":"4990","x-ratelimit-remaining-tokens":"4989342","x-ratelimit-renewalperiod-requests":"60","x-ratelimit-renewalperiod-tokens":"60","x-ratelimit-reset-requests":"12","x-ratelimit-reset-tokens":"19","x-request-id":"b2a6a7b1-978c-4a1d-ab5c-60af7443ba74"}</t>
        </is>
      </c>
      <c r="N149" t="inlineStr">
        <is>
          <t>Marshall Black Leather Bluetooth Earphones – Retro meets modern design, compact and portable with powerful 3D sound, perfect for daily commuting and music lovers seeking true British rock style.</t>
        </is>
      </c>
      <c r="O149" t="inlineStr">
        <is>
          <t>{"id":"chatcmpl-DYLu86dDRgLF9v6WJyCCe6YTOy9PA","object":"chat.completion","created":1777079724,"model":"gpt-5-chat-2025-10-03","choices":[{"index":0,"message":{"role":"assistant","content":"Marshall,earbuds,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87,"total_tokens":868,"prompt_tokens_details":{"cached_tokens":0,"audio_tokens":0},"completion_tokens_details":{"reasoning_tokens":0,"audio_tokens":0,"accepted_prediction_tokens":0,"rejected_prediction_tokens":0}},"service_tier":"default","system_fingerprint":"fp_ad66631dec"}</t>
        </is>
      </c>
      <c r="P149" t="inlineStr">
        <is>
          <t>Marshall,earbuds,kakobuy,kakebuy2026,kekobuysheet,kakobuysheet2026,2026kakobuy,kakobuyspreadsheeet,kakobuylink,kakebuylist,Kakobuy MEGA Spreadsheet,kakobuysheetfind,kakobuysheetfind2026,2026kakobuysheetfind,kakobuysheet2026</t>
        </is>
      </c>
      <c r="Q149" t="inlineStr">
        <is>
          <t>Marshall, Leather, Retro, Black</t>
        </is>
      </c>
      <c r="R149" t="inlineStr">
        <is>
          <t>recvhju1CrhBAw</t>
        </is>
      </c>
      <c r="S149" t="inlineStr">
        <is>
          <t>marshall-black-leather-bluetooth-earphones-retro-3d-sound-recvhju1crhbaw</t>
        </is>
      </c>
      <c r="T149"/>
      <c r="U149"/>
      <c r="V149"/>
      <c r="W149" t="inlineStr">
        <is>
          <t>{"choices":[{"finish_reason":"stop","index":0,"logprobs":null,"message":{"annotations":[],"content":"Marshall：黑色真皮纹蓝牙耳机，复古与现代融合设计，紧凑便携造型，立体音效强劲震撼，男女皆宜，彰显英伦摇滚风格，适合日常通勤与音乐发烧友使用。","refusal":null,"role":"assistant"}}],"created":1777019483,"id":"chatcmpl-DY6EV6bGtB2esctp22ygFMw9DjRaz","model":"gpt-5-chat-latest","object":"chat.completion","service_tier":"default","system_fingerprint":"fp_ad66631dec","usage":{"completion_tokens":64,"completion_tokens_details":{"accepted_prediction_tokens":0,"audio_tokens":0,"reasoning_tokens":0,"rejected_prediction_tokens":0},"prompt_tokens":1297,"prompt_tokens_details":{"audio_tokens":0,"cached_tokens":0},"total_tokens":1361}}</t>
        </is>
      </c>
      <c r="X149" t="inlineStr">
        <is>
          <t>Marshall：黑色真皮纹蓝牙耳机，复古与现代融合设计，紧凑便携造型，立体音效强劲震撼，男女皆宜，彰显英伦摇滚风格，适合日常通勤与音乐发烧友使用。</t>
        </is>
      </c>
    </row>
    <row r="150" ht="25.5" customHeight="1">
      <c r="A150">
        <v>1654975475</v>
      </c>
      <c r="B150">
        <v>7620445496</v>
      </c>
      <c r="C150" s="2" t="str">
        <f>=HYPERLINK("https://weidian.com/item.html?itemID=7620445496", "https://weidian.com/item.html?itemID=7620445496")</f>
        <v>https://weidian.com/item.html?itemID=7620445496</v>
      </c>
      <c r="D150"/>
      <c r="E150" s="2" t="str">
        <f>=HYPERLINK("https://si.geilicdn.com/pcitem2014204438-43e50000019ac4a6663f0a2301b4_1440_1920.jpg?w=640&amp;h=640", "https://si.geilicdn.com/pcitem2014204438-43e50000019ac4a6663f0a2301b4_1440_1920.jpg?w=640&amp;h=640")</f>
        <v>https://si.geilicdn.com/pcitem2014204438-43e50000019ac4a6663f0a2301b4_1440_1920.jpg?w=640&amp;h=640</v>
      </c>
      <c r="F150" t="inlineStr">
        <is>
          <t>Electronic</t>
        </is>
      </c>
      <c r="G150" t="inlineStr">
        <is>
          <t>Bose</t>
        </is>
      </c>
      <c r="H150">
        <v>450</v>
      </c>
      <c r="I150">
        <v>65.22</v>
      </c>
      <c r="J150" t="inlineStr">
        <is>
          <t>{"id":"chatcmpl-DYLn4ON0Djr5OcHzF8VMqaMvvfJlh","object":"chat.completion","created":1777079286,"model":"gpt-5-chat-2025-10-03","choices":[{"index":0,"message":{"role":"assistant","content":"Bose Electronic White Noise Cancelling Wireless Earbuds","refusal":null,"annotations":[]},"logprobs":null,"finish_reason":"stop"}],"usage":{"prompt_tokens":877,"completion_tokens":11,"total_tokens":888,"prompt_tokens_details":{"cached_tokens":0,"audio_tokens":0},"completion_tokens_details":{"reasoning_tokens":0,"audio_tokens":0,"accepted_prediction_tokens":0,"rejected_prediction_tokens":0}},"service_tier":"default","system_fingerprint":"fp_ad66631dec"}</t>
        </is>
      </c>
      <c r="K150" t="inlineStr">
        <is>
          <t>Bose Electronic White Noise Cancelling Wireless Earbuds</t>
        </is>
      </c>
      <c r="L150" t="inlineStr">
        <is>
          <t>{"id":"chatcmpl-DYLYbSBrK63BWbd78tAqIShAz6MbC","object":"chat.completion","created":1777078389,"model":"gpt-5-chat-latest","choices":[{"index":0,"message":{"role":"assistant","content":"ElectronicBoseBose White Noise Cancelling True Wireless Earbuds feature premium composite materials and sleek design, delivering pure rich sound with modern minimal style for a high-end tech fashion experience.","refusal":null,"annotations":[]},"logprobs":null,"finish_reason":"stop"}],"usage":{"prompt_tokens":899,"completion_tokens":38,"total_tokens":937,"prompt_tokens_details":{"cached_tokens":0,"audio_tokens":0},"completion_tokens_details":{"reasoning_tokens":0,"audio_tokens":0,"accepted_prediction_tokens":0,"rejected_prediction_tokens":0}},"service_tier":"default","system_fingerprint":"fp_ad66631dec"}</t>
        </is>
      </c>
      <c r="M15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ma=2592000","apim-request-id":"67ef1418-2876-4e2d-b5e7-dfbcf21faf82","azureml-model-session":"d20260405234249-f9874baf","cache-control":"no-cache, no-store, must-revalidate","connection":"close","content-length":"1014","content-security-policy":"frame-ancestors 'self'","content-type":"application/json","date":"Sat, 25 Apr 2026 00:53:10 GMT","server":"Caddy","skip-error-remapping":"true","strict-transport-security":"max-age=31536000; includeSubDomains; preload","via":"1.1 Caddy","x-api-request-id":"20260425085308485195912hzt39RVI","x-content-type-options":"nosniff","x-frame-options":"SAMEORIGIN","x-ms-is-spilled-over":"false","x-ms-rai-invoked":"false","x-ms-region":"East US 2","x-new-api-version":"0.5.1","x-oneapi-request-id":"20260425005308571555148268d9d6zzpv1sg4","x-ratelimit-abusepenalty-active":"False","x-ratelimit-limit-requests":"4992","x-ratelimit-limit-tokens":"4992000","x-ratelimit-remaining-requests":"4991","x-ratelimit-remaining-tokens":"4990339","x-ratelimit-renewalperiod-requests":"60","x-ratelimit-renewalperiod-tokens":"60","x-ratelimit-reset-requests":"12","x-ratelimit-reset-tokens":"19","x-request-id":"1690b5c7-7e0f-4a52-af4b-46481eda581f"}</t>
        </is>
      </c>
      <c r="N150" t="inlineStr">
        <is>
          <t>ElectronicBoseBose White Noise Cancelling True Wireless Earbuds feature premium composite materials and sleek design, delivering pure rich sound with modern minimal style for a high-end tech fashion experience.</t>
        </is>
      </c>
      <c r="O150" t="inlineStr">
        <is>
          <t>{"id":"chatcmpl-DYLvGMVwGxUqYVqLHSb1kNroRSgq6","object":"chat.completion","created":1777079794,"model":"gpt-5-chat-2025-10-03","choices":[{"index":0,"message":{"role":"assistant","content":"Bose,earbud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50" t="inlineStr">
        <is>
          <t>Bose,earbuds,kakobuy,kakebuy2026,kekobuysheet,kakobuysheet2026,2026kakobuy,kakobuyspreadsheeet,kakobuylink,kakebuylist,Kakobuy MEGA Spreadsheet,kakobuysheetfind,kakobuysheetfind2026,2026kakobuysheetfind,kakobuysheet2026</t>
        </is>
      </c>
      <c r="Q150"/>
      <c r="R150" t="inlineStr">
        <is>
          <t>recvhju1CrwY94</t>
        </is>
      </c>
      <c r="S150" t="inlineStr">
        <is>
          <t>bose-white-noise-cancelling-earbuds-recvhju1crwy94</t>
        </is>
      </c>
      <c r="T150"/>
      <c r="U150"/>
      <c r="V150"/>
      <c r="W150" t="inlineStr">
        <is>
          <t>{"choices":[{"finish_reason":"stop","index":0,"logprobs":null,"message":{"annotations":[],"content":"Bose：白色降噪真无线蓝牙耳机，采用高性能复合材质与流线型设计，音质纯净饱满，搭配极简现代风格，男女皆宜，彰显科技与时尚融合的高端听觉体验。","refusal":null,"role":"assistant"}}],"created":1777019429,"id":"chatcmpl-DY6DdUmxbhFY30sMO9xIKlynlnaI6","model":"gpt-5-chat-latest","object":"chat.completion","service_tier":"default","system_fingerprint":"fp_ad66631dec","usage":{"completion_tokens":63,"completion_tokens_details":{"accepted_prediction_tokens":0,"audio_tokens":0,"reasoning_tokens":0,"rejected_prediction_tokens":0},"prompt_tokens":1305,"prompt_tokens_details":{"audio_tokens":0,"cached_tokens":0},"total_tokens":1368}}</t>
        </is>
      </c>
      <c r="X150" t="inlineStr">
        <is>
          <t>Bose：白色降噪真无线蓝牙耳机，采用高性能复合材质与流线型设计，音质纯净饱满，搭配极简现代风格，男女皆宜，彰显科技与时尚融合的高端听觉体验。</t>
        </is>
      </c>
    </row>
    <row r="151" ht="25.5" customHeight="1">
      <c r="A151">
        <v>1654975475</v>
      </c>
      <c r="B151">
        <v>7617597793</v>
      </c>
      <c r="C151" s="2" t="str">
        <f>=HYPERLINK("https://weidian.com/item.html?itemID=7617597793", "https://weidian.com/item.html?itemID=7617597793")</f>
        <v>https://weidian.com/item.html?itemID=7617597793</v>
      </c>
      <c r="D151"/>
      <c r="E151" s="2" t="str">
        <f>=HYPERLINK("https://si.geilicdn.com/pcitem2014204438-44270000019ac4a968c80a81347d_1442_1922.jpg?w=640&amp;h=640", "https://si.geilicdn.com/pcitem2014204438-44270000019ac4a968c80a81347d_1442_1922.jpg?w=640&amp;h=640")</f>
        <v>https://si.geilicdn.com/pcitem2014204438-44270000019ac4a968c80a81347d_1442_1922.jpg?w=640&amp;h=640</v>
      </c>
      <c r="F151" t="inlineStr">
        <is>
          <t>Electronic</t>
        </is>
      </c>
      <c r="G151" t="inlineStr">
        <is>
          <t xml:space="preserve"> Apple</t>
        </is>
      </c>
      <c r="H151">
        <v>920</v>
      </c>
      <c r="I151">
        <v>133.33</v>
      </c>
      <c r="J151" t="inlineStr">
        <is>
          <t>{"id":"chatcmpl-DYLl2hQev0d6KRXOQGf9sjAcfDAoZ","object":"chat.completion","created":1777079160,"model":"gpt-5-chat-latest","choices":[{"index":0,"message":{"role":"assistant","content":"Apple AirPods Max Green Noise Cancelling Headphones","refusal":null,"annotations":[]},"logprobs":null,"finish_reason":"stop"}],"usage":{"prompt_tokens":872,"completion_tokens":11,"total_tokens":883,"prompt_tokens_details":{"cached_tokens":0,"audio_tokens":0},"completion_tokens_details":{"reasoning_tokens":0,"audio_tokens":0,"accepted_prediction_tokens":0,"rejected_prediction_tokens":0}},"service_tier":"default","system_fingerprint":"fp_ad66631dec"}</t>
        </is>
      </c>
      <c r="K151" t="inlineStr">
        <is>
          <t>Apple AirPods Max Green Noise Cancelling Headphones</t>
        </is>
      </c>
      <c r="L151" t="inlineStr">
        <is>
          <t>{"choices":[{"finish_reason":"stop","index":0,"logprobs":null,"message":{"annotations":[],"content":"Apple AirPods Max Green high-fidelity noise-cancelling headphones, crafted from aluminum and memory foam, minimalist design for men and women, embodying premium modern audio aesthetics.","refusal":null,"role":"assistant"}}],"created":1777078437,"id":"chatcmpl-DYLZNMBHqORhaj9HhrN6wa3dsjm6L","model":"gpt-5-chat-latest","object":"chat.completion","service_tier":"default","system_fingerprint":"fp_ad66631dec","usage":{"completion_tokens":36,"completion_tokens_details":{"accepted_prediction_tokens":0,"audio_tokens":0,"reasoning_tokens":0,"rejected_prediction_tokens":0},"prompt_tokens":880,"prompt_tokens_details":{"audio_tokens":0,"cached_tokens":0},"total_tokens":916}}</t>
        </is>
      </c>
      <c r="M151" t="inlineStr">
        <is>
          <t>{"alt-svc":"h3=\":443\"; ma=2592000","apim-request-id":"82e97779-5fd4-4bd0-8a07-1f7c18c4936a","azureml-model-session":"d20260405225800-40f19e54","cache-control":"no-cache","connection":"close","content-length":"773","content-security-policy":"frame-ancestors 'self'","content-type":"application/json","date":"Sat, 25 Apr 2026 00:53:58 GMT","server":"Caddy","skip-error-remapping":"true","strict-transport-security":"max-age=31536000; includeSubDomains; preload","via":"1.1 Caddy","x-api-request-id":"202604250853552072616523FWRrkh9","x-content-type-options":"nosniff","x-frame-options":"SAMEORIGIN","x-ms-client-request-id":"Not-Set","x-ms-is-spilled-over":"false","x-ms-rai-invoked":"true","x-ms-region":"East US 2","x-new-api-version":"0.5.1","x-oneapi-request-id":"202604250053551388797458268d9d6LCsoEj1G","x-ratelimit-abusepenalty-active":"False","x-ratelimit-limit-requests":"50","x-ratelimit-limit-tokens":"50000","x-ratelimit-remaining-requests":"49","x-ratelimit-remaining-tokens":"-1539","x-ratelimit-renewalperiod-requests":"60","x-ratelimit-renewalperiod-tokens":"60","x-ratelimit-reset-requests":"1200","x-ratelimit-reset-tokens":"61846","x-request-id":"fefb440e-3c6a-4172-9db4-42ec89505267"}</t>
        </is>
      </c>
      <c r="N151" t="inlineStr">
        <is>
          <t>Apple AirPods Max Green high-fidelity noise-cancelling headphones, crafted from aluminum and memory foam, minimalist design for men and women, embodying premium modern audio aesthetics.</t>
        </is>
      </c>
      <c r="O151" t="inlineStr">
        <is>
          <t>{"id":"chatcmpl-DYLuqDMeP59K5J4OK8QbK58YLbOsK","object":"chat.completion","created":1777079768,"model":"gpt-5-chat-2025-10-03","choices":[{"index":0,"message":{"role":"assistant","content":"Apple,Headphones,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87,"total_tokens":868,"prompt_tokens_details":{"cached_tokens":0,"audio_tokens":0},"completion_tokens_details":{"reasoning_tokens":0,"audio_tokens":0,"accepted_prediction_tokens":0,"rejected_prediction_tokens":0}},"service_tier":"default","system_fingerprint":"fp_ad66631dec"}</t>
        </is>
      </c>
      <c r="P151" t="inlineStr">
        <is>
          <t>Apple,Headphones,kakobuy,kakebuy2026,kekobuysheet,kakobuysheet2026,2026kakobuy,kakobuyspreadsheeet,kakobuylink,kakebuylist,Kakobuy MEGA Spreadsheet,kakobuysheetfind,kakobuysheetfind2026,2026kakobuysheetfind,kakobuysheet2026</t>
        </is>
      </c>
      <c r="Q151"/>
      <c r="R151" t="inlineStr">
        <is>
          <t>recvhju1Cr435N</t>
        </is>
      </c>
      <c r="S151" t="inlineStr">
        <is>
          <t>apple-airpods-max-green-noise-cancelling-headphones-recvhju1cr435n</t>
        </is>
      </c>
      <c r="T151"/>
      <c r="U151"/>
      <c r="V151"/>
      <c r="W151" t="inlineStr">
        <is>
          <t>{"choices":[{"finish_reason":"stop","index":0,"logprobs":null,"message":{"annotations":[],"content":"Apple：AirPods Max 绿色高保真降噪耳机，铝合金与记忆泡沫材质，极简现代设计，男女皆宜，展现高端音频美学。","refusal":null,"role":"assistant"}}],"created":1777019649,"id":"chatcmpl-DY6HBJ4HJCFNWXIcLAB2wBjBVWTGa","model":"gpt-5-chat-latest","object":"chat.completion","service_tier":"default","system_fingerprint":"fp_ad66631dec","usage":{"completion_tokens":48,"completion_tokens_details":{"accepted_prediction_tokens":0,"audio_tokens":0,"reasoning_tokens":0,"rejected_prediction_tokens":0},"prompt_tokens":1297,"prompt_tokens_details":{"audio_tokens":0,"cached_tokens":0},"total_tokens":1345}}</t>
        </is>
      </c>
      <c r="X151" t="inlineStr">
        <is>
          <t>Apple：AirPods Max 绿色高保真降噪耳机，铝合金与记忆泡沫材质，极简现代设计，男女皆宜，展现高端音频美学。</t>
        </is>
      </c>
    </row>
    <row r="152" ht="25.5" customHeight="1">
      <c r="A152">
        <v>1654975475</v>
      </c>
      <c r="B152">
        <v>7620524250</v>
      </c>
      <c r="C152" s="2" t="str">
        <f>=HYPERLINK("https://weidian.com/item.html?itemID=7620524250", "https://weidian.com/item.html?itemID=7620524250")</f>
        <v>https://weidian.com/item.html?itemID=7620524250</v>
      </c>
      <c r="D152"/>
      <c r="E152" s="2" t="str">
        <f>=HYPERLINK("https://si.geilicdn.com/pcitem2014204438-4abc0000019ac4aa078b0a23041a_1442_1922.jpg?w=640&amp;h=640", "https://si.geilicdn.com/pcitem2014204438-4abc0000019ac4aa078b0a23041a_1442_1922.jpg?w=640&amp;h=640")</f>
        <v>https://si.geilicdn.com/pcitem2014204438-4abc0000019ac4aa078b0a23041a_1442_1922.jpg?w=640&amp;h=640</v>
      </c>
      <c r="F152" t="inlineStr">
        <is>
          <t>Electronic</t>
        </is>
      </c>
      <c r="G152" t="inlineStr">
        <is>
          <t xml:space="preserve"> Apple</t>
        </is>
      </c>
      <c r="H152">
        <v>920</v>
      </c>
      <c r="I152">
        <v>133.33</v>
      </c>
      <c r="J152" t="inlineStr">
        <is>
          <t>{"id":"chatcmpl-DYLhmBcT8tpGsfov2f30Zi9C9ksVE","object":"chat.completion","created":1777078958,"model":"gpt-5-chat-latest","choices":[{"index":0,"message":{"role":"assistant","content":"Apple AirPods Max Blue Wireless Headphones","refusal":null,"annotations":[]},"logprobs":null,"finish_reason":"stop"}],"usage":{"prompt_tokens":874,"completion_tokens":9,"total_tokens":883,"prompt_tokens_details":{"cached_tokens":0,"audio_tokens":0},"completion_tokens_details":{"reasoning_tokens":0,"audio_tokens":0,"accepted_prediction_tokens":0,"rejected_prediction_tokens":0}},"service_tier":"default","system_fingerprint":"fp_ad66631dec"}</t>
        </is>
      </c>
      <c r="K152" t="inlineStr">
        <is>
          <t>Apple AirPods Max Blue Wireless Headphones</t>
        </is>
      </c>
      <c r="L152" t="inlineStr">
        <is>
          <t>{"id":"chatcmpl-DYLUJG6IjCReIcWoKbZgpttI89mXH","object":"chat.completion","created":1777078123,"model":"gpt-5-chat-latest","choices":[{"index":0,"message":{"role":"assistant","content":"Apple AirPods Max Blue Wireless Headphones feature aluminum build, mesh headband, active noise cancellation, and spatial audio for premium sound and style on the go for men and women.","refusal":null,"annotations":[]},"logprobs":null,"finish_reason":"stop"}],"usage":{"prompt_tokens":904,"completion_tokens":37,"total_tokens":941,"prompt_tokens_details":{"cached_tokens":0,"audio_tokens":0},"completion_tokens_details":{"reasoning_tokens":0,"audio_tokens":0,"accepted_prediction_tokens":0,"rejected_prediction_tokens":0}},"service_tier":"default","system_fingerprint":"fp_ad66631dec"}</t>
        </is>
      </c>
      <c r="M15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ma=2592000","apim-request-id":"423f77c9-6641-46fd-b4b8-7f1c74a28de3","azureml-model-session":"d20260402084046-4209e968","cache-control":"no-cache, no-store, must-revalidate","connection":"close","content-length":"987","content-security-policy":"frame-ancestors 'self'","content-type":"application/json","date":"Sat, 25 Apr 2026 00:48:44 GMT","server":"nginx","skip-error-remapping":"true","strict-transport-security":"max-age=31536000; includeSubDomains; preload","via":"1.1 Caddy, 1.1 Caddy","x-api-request-id":"2026042508484224358919aFtugxsW","x-content-type-options":"nosniff","x-frame-options":"SAMEORIGIN","x-ms-is-spilled-over":"false","x-ms-rai-invoked":"false","x-ms-region":"East US 2","x-new-api-version":"0.5.1","x-oneapi-request-id":"20260425004840859028898268d9d6vnDZgG0y","x-ratelimit-abusepenalty-active":"False","x-ratelimit-limit-requests":"4992","x-ratelimit-limit-tokens":"4992000","x-ratelimit-remaining-requests":"4991","x-ratelimit-remaining-tokens":"4990334","x-ratelimit-renewalperiod-requests":"60","x-ratelimit-renewalperiod-tokens":"60","x-ratelimit-reset-requests":"12","x-ratelimit-reset-tokens":"20","x-request-id":"d4b2d586-da39-4fcf-85e0-dc7ab7a75891"}</t>
        </is>
      </c>
      <c r="N152" t="inlineStr">
        <is>
          <t>Apple AirPods Max Blue Wireless Headphones feature aluminum build, mesh headband, active noise cancellation, and spatial audio for premium sound and style on the go for men and women.</t>
        </is>
      </c>
      <c r="O152" t="inlineStr">
        <is>
          <t>{"id":"chatcmpl-DYLtXOFAKqReSOiwCFK5UKSVz5hmi","object":"chat.completion","created":1777079687,"model":"gpt-5-chat-2025-10-03","choices":[{"index":0,"message":{"role":"assistant","content":"Apple, headphones,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781,"completion_tokens":90,"total_tokens":871,"prompt_tokens_details":{"cached_tokens":0,"audio_tokens":0},"completion_tokens_details":{"reasoning_tokens":0,"audio_tokens":0,"accepted_prediction_tokens":0,"rejected_prediction_tokens":0}},"service_tier":"default","system_fingerprint":"fp_ad66631dec"}</t>
        </is>
      </c>
      <c r="P152" t="inlineStr">
        <is>
          <t>Apple, headphones, kakobuy, kakebuy2026, kekobuysheet, kakobuysheet2026, 2026kakobuy, kakobuyspreadsheeet, kakobuylink, kakebuylist, Kakobuy MEGA Spreadsheet, kakobuysheetfind, kakobuysheetfind2026, 2026kakobuysheetfind, kakobuysheet2026</t>
        </is>
      </c>
      <c r="Q152"/>
      <c r="R152" t="inlineStr">
        <is>
          <t>recvhju1Cr5EzW</t>
        </is>
      </c>
      <c r="S152" t="inlineStr">
        <is>
          <t>apple-airpods-max-blue-recvhju1cr5ezw</t>
        </is>
      </c>
      <c r="T152"/>
      <c r="U152"/>
      <c r="V152"/>
      <c r="W152" t="inlineStr">
        <is>
          <t>{"choices":[{"finish_reason":"stop","index":0,"logprobs":null,"message":{"annotations":[],"content":"Apple：AirPods Max 蓝色无线头戴式耳机，铝合金材质搭配高弹网布头梁设计，融合现代极简风格与人体工学结构，支持主动降噪与空间音频功能，男女通用，适合高品质音乐享受与时尚出行。","refusal":null,"role":"assistant"}}],"created":1777019467,"id":"chatcmpl-DY6EFgMO5h2ZeYUt2XAL1LolcGggs","model":"gpt-5-chat-latest","object":"chat.completion","service_tier":"default","system_fingerprint":"fp_ad66631dec","usage":{"completion_tokens":71,"completion_tokens_details":{"accepted_prediction_tokens":0,"audio_tokens":0,"reasoning_tokens":0,"rejected_prediction_tokens":0},"prompt_tokens":1299,"prompt_tokens_details":{"audio_tokens":0,"cached_tokens":0},"total_tokens":1370}}</t>
        </is>
      </c>
      <c r="X152" t="inlineStr">
        <is>
          <t>Apple：AirPods Max 蓝色无线头戴式耳机，铝合金材质搭配高弹网布头梁设计，融合现代极简风格与人体工学结构，支持主动降噪与空间音频功能，男女通用，适合高品质音乐享受与时尚出行。</t>
        </is>
      </c>
    </row>
    <row r="153" ht="25.5" customHeight="1">
      <c r="A153">
        <v>1654975475</v>
      </c>
      <c r="B153">
        <v>7617514525</v>
      </c>
      <c r="C153" s="2" t="str">
        <f>=HYPERLINK("https://weidian.com/item.html?itemID=7617514525", "https://weidian.com/item.html?itemID=7617514525")</f>
        <v>https://weidian.com/item.html?itemID=7617514525</v>
      </c>
      <c r="D153"/>
      <c r="E153" s="2" t="str">
        <f>=HYPERLINK("https://si.geilicdn.com/pcitem2014204438-0cdb0000019ac4aa82950a231316_1080_1080.jpg?w=640&amp;h=640", "https://si.geilicdn.com/pcitem2014204438-0cdb0000019ac4aa82950a231316_1080_1080.jpg?w=640&amp;h=640")</f>
        <v>https://si.geilicdn.com/pcitem2014204438-0cdb0000019ac4aa82950a231316_1080_1080.jpg?w=640&amp;h=640</v>
      </c>
      <c r="F153" t="inlineStr">
        <is>
          <t>Electronic</t>
        </is>
      </c>
      <c r="G153" t="inlineStr">
        <is>
          <t>Louis Vuitton</t>
        </is>
      </c>
      <c r="H153">
        <v>860</v>
      </c>
      <c r="I153">
        <v>124.64</v>
      </c>
      <c r="J153" t="inlineStr">
        <is>
          <t>{"id":"chatcmpl-DYLkddelSmJXY2RjfFiP1hzCrumM3","object":"chat.completion","created":1777079135,"model":"gpt-5-chat-latest","choices":[{"index":0,"message":{"role":"assistant","content":"Louis Vuitton Black Gold Bluetooth Smart Earphones","refusal":null,"annotations":[]},"logprobs":null,"finish_reason":"stop"}],"usage":{"prompt_tokens":869,"completion_tokens":9,"total_tokens":878,"prompt_tokens_details":{"cached_tokens":0,"audio_tokens":0},"completion_tokens_details":{"reasoning_tokens":0,"audio_tokens":0,"accepted_prediction_tokens":0,"rejected_prediction_tokens":0}},"service_tier":"default","system_fingerprint":"fp_ad66631dec"}</t>
        </is>
      </c>
      <c r="K153" t="inlineStr">
        <is>
          <t>Louis Vuitton Black Gold Bluetooth Smart Earphones</t>
        </is>
      </c>
      <c r="L153" t="inlineStr">
        <is>
          <t>{"id":"chatcmpl-DYLR8t98D36EdsGY7GPiitB6z6h6S","object":"chat.completion","created":1777077926,"model":"gpt-5-chat-latest","choices":[{"index":0,"message":{"role":"assistant","content":"Louis Vuitton Monogram Black Gold Smart Bluetooth Earphones, luxury metallic design with touch control and HD sound, unisex fashion tech accessory for a modern, stylish lifestyle.","refusal":null,"annotations":[]},"logprobs":null,"finish_reason":"stop"}],"usage":{"prompt_tokens":891,"completion_tokens":34,"total_tokens":925,"prompt_tokens_details":{"cached_tokens":0,"audio_tokens":0},"completion_tokens_details":{"reasoning_tokens":0,"audio_tokens":0,"accepted_prediction_tokens":0,"rejected_prediction_tokens":0}},"service_tier":"default","system_fingerprint":"fp_ad66631dec"}</t>
        </is>
      </c>
      <c r="M15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ma=2592000","apim-request-id":"9e3cc322-0650-42ed-9783-eca36e60c3e2","azureml-model-session":"d20260402075109-1fc5a0ec","cache-control":"no-cache, no-store, must-revalidate","connection":"close","content-length":"983","content-security-policy":"frame-ancestors 'self'","content-type":"application/json","date":"Sat, 25 Apr 2026 00:45:28 GMT","server":"Caddy","skip-error-remapping":"true","strict-transport-security":"max-age=31536000; includeSubDomains; preload","via":"1.1 Caddy","x-api-request-id":"2026042508452574945910qzQPbFg5","x-content-type-options":"nosniff","x-frame-options":"SAMEORIGIN","x-ms-is-spilled-over":"false","x-ms-rai-invoked":"false","x-ms-region":"Sweden Central","x-new-api-version":"0.5.1","x-oneapi-request-id":"202604250045227615893698268d9d6WBUnpE7I","x-ratelimit-abusepenalty-active":"False","x-ratelimit-limit-requests":"4991","x-ratelimit-limit-tokens":"4991000","x-ratelimit-remaining-requests":"4990","x-ratelimit-remaining-tokens":"4989347","x-ratelimit-renewalperiod-requests":"60","x-ratelimit-renewalperiod-tokens":"60","x-ratelimit-reset-requests":"12","x-ratelimit-reset-tokens":"19","x-request-id":"ae4dce37-bc3e-4c1f-b442-c437bb3cfd08"}</t>
        </is>
      </c>
      <c r="N153" t="inlineStr">
        <is>
          <t>Louis Vuitton Monogram Black Gold Smart Bluetooth Earphones, luxury metallic design with touch control and HD sound, unisex fashion tech accessory for a modern, stylish lifestyle.</t>
        </is>
      </c>
      <c r="O153" t="inlineStr">
        <is>
          <t>{"id":"chatcmpl-DYM1tyVoiH3mQL3kUZ2ZIgXnc4G8F","object":"chat.completion","created":1777080205,"model":"gpt-5-chat-2025-10-03","choices":[{"index":0,"message":{"role":"assistant","content":"Louis Vuitton, Bluetooth Earphones,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93,"total_tokens":875,"prompt_tokens_details":{"cached_tokens":0,"audio_tokens":0},"completion_tokens_details":{"reasoning_tokens":0,"audio_tokens":0,"accepted_prediction_tokens":0,"rejected_prediction_tokens":0}},"service_tier":"default","system_fingerprint":"fp_ad66631dec"}</t>
        </is>
      </c>
      <c r="P153" t="inlineStr">
        <is>
          <t>Louis Vuitton, Bluetooth Earphones, kakobuy, kakebuy2026, kekobuysheet, kakobuysheet2026, 2026kakobuy, kakobuyspreadsheeet, kakobuylink, kakebuylist, Kakobuy MEGA Spreadsheet, kakobuysheetfind, kakobuysheetfind2026, 2026kakobuysheetfind, kakobuysheet2026</t>
        </is>
      </c>
      <c r="Q153" t="inlineStr">
        <is>
          <t>LV, Black Gold, Unisex, High End, Modern, Fashion</t>
        </is>
      </c>
      <c r="R153" t="inlineStr">
        <is>
          <t>recvhju1CrpVEb</t>
        </is>
      </c>
      <c r="S153" t="inlineStr">
        <is>
          <t>louis-vuitton-black-gold-bluetooth-smart-earphones-recvhju1crpveb</t>
        </is>
      </c>
      <c r="T153"/>
      <c r="U153"/>
      <c r="V153"/>
      <c r="W153" t="inlineStr">
        <is>
          <t>{"choices":[{"finish_reason":"stop","index":0,"logprobs":null,"message":{"annotations":[],"content":"Louis Vuitton：Monogram黑金智能蓝牙耳机，融合品牌标志性花纹与金属质感，奢华现代设计，支持触控操作与高清音效，男女皆宜，时尚科技风格，彰显先锋格调。","refusal":null,"role":"assistant"}}],"created":1777019631,"id":"chatcmpl-DY6GtXgpfn1emgWuAzhnn5ZeA5W8X","model":"gpt-5-chat-latest","object":"chat.completion","service_tier":"default","system_fingerprint":"fp_ad66631dec","usage":{"completion_tokens":58,"completion_tokens_details":{"accepted_prediction_tokens":0,"audio_tokens":0,"reasoning_tokens":0,"rejected_prediction_tokens":0},"prompt_tokens":1299,"prompt_tokens_details":{"audio_tokens":0,"cached_tokens":0},"total_tokens":1357}}</t>
        </is>
      </c>
      <c r="X153" t="inlineStr">
        <is>
          <t>Louis Vuitton：Monogram黑金智能蓝牙耳机，融合品牌标志性花纹与金属质感，奢华现代设计，支持触控操作与高清音效，男女皆宜，时尚科技风格，彰显先锋格调。</t>
        </is>
      </c>
    </row>
    <row r="154" ht="25.5" customHeight="1">
      <c r="A154">
        <v>1654975475</v>
      </c>
      <c r="B154">
        <v>7617031467</v>
      </c>
      <c r="C154" s="2" t="str">
        <f>=HYPERLINK("https://weidian.com/item.html?itemID=7617031467", "https://weidian.com/item.html?itemID=7617031467")</f>
        <v>https://weidian.com/item.html?itemID=7617031467</v>
      </c>
      <c r="D154"/>
      <c r="E154" s="2" t="str">
        <f>=HYPERLINK("https://si.geilicdn.com/pcitem2014204438-40e40000019ac4aaf3970a8134f0_1080_1080.jpg?w=640&amp;h=640", "https://si.geilicdn.com/pcitem2014204438-40e40000019ac4aaf3970a8134f0_1080_1080.jpg?w=640&amp;h=640")</f>
        <v>https://si.geilicdn.com/pcitem2014204438-40e40000019ac4aaf3970a8134f0_1080_1080.jpg?w=640&amp;h=640</v>
      </c>
      <c r="F154" t="inlineStr">
        <is>
          <t>Electronic</t>
        </is>
      </c>
      <c r="G154" t="inlineStr">
        <is>
          <t>Louis Vuitton</t>
        </is>
      </c>
      <c r="H154">
        <v>860</v>
      </c>
      <c r="I154">
        <v>124.64</v>
      </c>
      <c r="J154" t="inlineStr">
        <is>
          <t>{"id":"chatcmpl-DYLkO1Dqe8ZVuwXCUnK0wxLIuY2lF","object":"chat.completion","created":1777079120,"model":"gpt-5-chat-latest","choices":[{"index":0,"message":{"role":"assistant","content":"Louis Vuitton Black Gold Smart Aroma Diffuser","refusal":null,"annotations":[]},"logprobs":null,"finish_reason":"stop"}],"usage":{"prompt_tokens":875,"completion_tokens":9,"total_tokens":884,"prompt_tokens_details":{"cached_tokens":0,"audio_tokens":0},"completion_tokens_details":{"reasoning_tokens":0,"audio_tokens":0,"accepted_prediction_tokens":0,"rejected_prediction_tokens":0}},"service_tier":"default","system_fingerprint":"fp_ad66631dec"}</t>
        </is>
      </c>
      <c r="K154" t="inlineStr">
        <is>
          <t>Louis Vuitton Black Gold Smart Aroma Diffuser</t>
        </is>
      </c>
      <c r="L154" t="inlineStr">
        <is>
          <t>{"choices":[{"content_filter_result":{"error":{"code":"content_filter_error","message":"The contents are not filtered"}},"finish_reason":"stop","index":0,"logprobs":null,"message":{"annotations":[],"content":"Louis Vuitton Limited Edition Black Gold Smart Electronic Aroma Diffuser, sleek round design with metal finish, blends luxury and technology, perfect for home décor or unique gift for him or her.","refusal":null,"role":"assistant"}}],"created":1777078485,"id":"chatcmpl-DYLa9OKyiM9Xe1dilHH5pre26vamm","model":"gpt-5-chat-latest","object":"chat.completion","service_tier":"default","system_fingerprint":"fp_ad66631dec","usage":{"completion_tokens":37,"completion_tokens_details":{"accepted_prediction_tokens":0,"audio_tokens":0,"reasoning_tokens":0,"rejected_prediction_tokens":0},"prompt_tokens":894,"prompt_tokens_details":{"audio_tokens":0,"cached_tokens":0},"total_tokens":931}}</t>
        </is>
      </c>
      <c r="M154" t="inlineStr">
        <is>
          <t>{"alt-svc":"h3=\":443\"; ma=2592000","apim-request-id":"f972b307-dcdc-4a6a-95b2-7d43acf25fd4","azureml-model-session":"d20260405225800-40f19e54","cache-control":"no-cache","connection":"close","content-length":"892","content-security-policy":"frame-ancestors 'self'","content-type":"application/json","date":"Sat, 25 Apr 2026 00:54:47 GMT","server":"Caddy","skip-error-remapping":"true","strict-transport-security":"max-age=31536000; includeSubDomains; preload","via":"1.1 Caddy","x-api-request-id":"202604250854441224858568O1GOmRa","x-content-type-options":"nosniff","x-frame-options":"SAMEORIGIN","x-ms-client-request-id":"Not-Set","x-ms-is-spilled-over":"false","x-ms-rai-invoked":"true","x-ms-region":"East US 2","x-new-api-version":"0.5.1","x-oneapi-request-id":"202604250054433819354248268d9d67xjFc0q8","x-ratelimit-abusepenalty-active":"False","x-ratelimit-limit-requests":"50","x-ratelimit-limit-tokens":"50000","x-ratelimit-remaining-requests":"48","x-ratelimit-remaining-tokens":"-1650","x-ratelimit-renewalperiod-requests":"60","x-ratelimit-renewalperiod-tokens":"60","x-ratelimit-reset-requests":"2120","x-ratelimit-reset-tokens":"61979","x-request-id":"9ec48248-c368-4d8b-99a0-8394b0feedb3"}</t>
        </is>
      </c>
      <c r="N154" t="inlineStr">
        <is>
          <t>Louis Vuitton Limited Edition Black Gold Smart Electronic Aroma Diffuser, sleek round design with metal finish, blends luxury and technology, perfect for home décor or unique gift for him or her.</t>
        </is>
      </c>
      <c r="O154" t="inlineStr">
        <is>
          <t>{"id":"chatcmpl-DYM2VgPkDPbsIP3maqJRcM6h0bnlk","object":"chat.completion","created":1777080243,"model":"gpt-5-chat-2025-10-03","choices":[{"index":0,"message":{"role":"assistant","content":"Louis Vuitton, Electronics,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54" t="inlineStr">
        <is>
          <t>Louis Vuitton, Electronics, kakobuy, kakebuy2026, kekobuysheet, kakobuysheet2026, 2026kakobuy, kakobuyspreadsheeet, kakobuylink, kakebuylist, Kakobuy MEGA Spreadsheet, kakobuysheetfind, kakobuysheetfind2026, 2026kakobuysheetfind, kakobuysheet2026</t>
        </is>
      </c>
      <c r="Q154" t="inlineStr">
        <is>
          <t>LV, Black Gold, High End, Unisex</t>
        </is>
      </c>
      <c r="R154" t="inlineStr">
        <is>
          <t>recvhju1CrRgkr</t>
        </is>
      </c>
      <c r="S154" t="inlineStr">
        <is>
          <t>louis-vuitton-black-gold-smart-aroma-diffuser-recvhju1crrgkr</t>
        </is>
      </c>
      <c r="T154"/>
      <c r="U154"/>
      <c r="V154"/>
      <c r="W154" t="inlineStr">
        <is>
          <t>{"choices":[{"finish_reason":"stop","index":0,"logprobs":null,"message":{"annotations":[],"content":"Louis Vuitton：限量版黑金智能电子香薰仪，采用金属材质与LV经典奢华设计，圆形极简造型融入时代科技美学，适合男女皆宜，高端家居与个性礼赠之选。","refusal":null,"role":"assistant"}}],"created":1777019685,"id":"chatcmpl-DY6Hl1vrnPpdd144jm7Im3TwL2T5I","model":"gpt-5-chat-latest","object":"chat.completion","service_tier":"default","system_fingerprint":"fp_ad66631dec","usage":{"completion_tokens":59,"completion_tokens_details":{"accepted_prediction_tokens":0,"audio_tokens":0,"reasoning_tokens":0,"rejected_prediction_tokens":0},"prompt_tokens":1303,"prompt_tokens_details":{"audio_tokens":0,"cached_tokens":0},"total_tokens":1362}}</t>
        </is>
      </c>
      <c r="X154" t="inlineStr">
        <is>
          <t>Louis Vuitton：限量版黑金智能电子香薰仪，采用金属材质与LV经典奢华设计，圆形极简造型融入时代科技美学，适合男女皆宜，高端家居与个性礼赠之选。</t>
        </is>
      </c>
    </row>
    <row r="155" ht="25.5" customHeight="1">
      <c r="A155">
        <v>1654975475</v>
      </c>
      <c r="B155">
        <v>7622450034</v>
      </c>
      <c r="C155" s="2" t="str">
        <f>=HYPERLINK("https://weidian.com/item.html?itemID=7622450034", "https://weidian.com/item.html?itemID=7622450034")</f>
        <v>https://weidian.com/item.html?itemID=7622450034</v>
      </c>
      <c r="D155"/>
      <c r="E155" s="2" t="str">
        <f>=HYPERLINK("https://si.geilicdn.com/pcitem2014204438-234c0000019acec2dee10a23037f_1440_1920.jpg?w=640&amp;h=640", "https://si.geilicdn.com/pcitem2014204438-234c0000019acec2dee10a23037f_1440_1920.jpg?w=640&amp;h=640")</f>
        <v>https://si.geilicdn.com/pcitem2014204438-234c0000019acec2dee10a23037f_1440_1920.jpg?w=640&amp;h=640</v>
      </c>
      <c r="F155" t="inlineStr">
        <is>
          <t>Accessories</t>
        </is>
      </c>
      <c r="G155" t="inlineStr">
        <is>
          <t>Gucci</t>
        </is>
      </c>
      <c r="H155">
        <v>460</v>
      </c>
      <c r="I155">
        <v>66.67</v>
      </c>
      <c r="J155" t="inlineStr">
        <is>
          <t>{"id":"chatcmpl-DYLnx5tZ7V7PSca9KtgXO55ZEiBdI","object":"chat.completion","created":1777079341,"model":"gpt-5-chat-2025-10-03","choices":[{"index":0,"message":{"role":"assistant","content":"Gucci GG Supreme Black Leather Belt 3.5cm","refusal":null,"annotations":[]},"logprobs":null,"finish_reason":"stop"}],"usage":{"prompt_tokens":875,"completion_tokens":13,"total_tokens":888,"prompt_tokens_details":{"cached_tokens":0,"audio_tokens":0},"completion_tokens_details":{"reasoning_tokens":0,"audio_tokens":0,"accepted_prediction_tokens":0,"rejected_prediction_tokens":0}},"service_tier":"default","system_fingerprint":"fp_ad66631dec"}</t>
        </is>
      </c>
      <c r="K155" t="inlineStr">
        <is>
          <t>Gucci GG Supreme Black Leather Belt 3.5cm</t>
        </is>
      </c>
      <c r="L155" t="inlineStr">
        <is>
          <t>{"id":"chatcmpl-DYLchOwrh1fEkQiPVjLOU8FHCpx5x","object":"chat.completion","created":1777078643,"model":"gpt-5-chat-latest","choices":[{"index":0,"message":{"role":"assistant","content":"Gucci GG Supreme Gray Black Leather Belt with Double G Silver Buckle, 3.5cm Wide, Vintage Unisex Design, Elegant and Stylish for Daily or Business Wear.","refusal":null,"annotations":[]},"logprobs":null,"finish_reason":"stop"}],"usage":{"prompt_tokens":896,"completion_tokens":37,"total_tokens":933,"prompt_tokens_details":{"cached_tokens":0,"audio_tokens":0},"completion_tokens_details":{"reasoning_tokens":0,"audio_tokens":0,"accepted_prediction_tokens":0,"rejected_prediction_tokens":0}},"service_tier":"default","system_fingerprint":"fp_ad66631dec"}</t>
        </is>
      </c>
      <c r="M15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ma=2592000","apim-request-id":"03be491d-01df-4d99-8066-7855cbe48f47","azureml-model-session":"d20260402075109-1fc5a0ec","cache-control":"no-cache, no-store, must-revalidate","connection":"close","content-length":"956","content-security-policy":"frame-ancestors 'self'","content-type":"application/json","date":"Sat, 25 Apr 2026 00:57:24 GMT","server":"nginx","skip-error-remapping":"true","strict-transport-security":"max-age=31536000; includeSubDomains; preload","via":"1.1 Caddy, 1.1 Caddy","x-api-request-id":"2026042508572239779589CzzB068P","x-content-type-options":"nosniff","x-frame-options":"SAMEORIGIN","x-ms-is-spilled-over":"false","x-ms-rai-invoked":"false","x-ms-region":"East US 2","x-new-api-version":"0.5.1","x-oneapi-request-id":"202604250057167178262228268d9d6xqeDGETJ","x-ratelimit-abusepenalty-active":"False","x-ratelimit-limit-requests":"4992","x-ratelimit-limit-tokens":"4992000","x-ratelimit-remaining-requests":"4991","x-ratelimit-remaining-tokens":"4990342","x-ratelimit-renewalperiod-requests":"60","x-ratelimit-renewalperiod-tokens":"60","x-ratelimit-reset-requests":"12","x-ratelimit-reset-tokens":"19","x-request-id":"1c9ab6d9-fbb4-4a4a-baa3-5e3cd6198aff"}</t>
        </is>
      </c>
      <c r="N155" t="inlineStr">
        <is>
          <t>Gucci GG Supreme Gray Black Leather Belt with Double G Silver Buckle, 3.5cm Wide, Vintage Unisex Design, Elegant and Stylish for Daily or Business Wear.</t>
        </is>
      </c>
      <c r="O155" t="inlineStr">
        <is>
          <t>{"id":"chatcmpl-DYM0TAq1bAjuqaQ9xOh9uEioE9s0Z","object":"chat.completion","created":1777080117,"model":"gpt-5-chat-2025-10-03","choices":[{"index":0,"message":{"role":"assistant","content":"Gucci,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55" t="inlineStr">
        <is>
          <t>Gucci, belt, kakobuy, kakebuy2026, kekobuysheet, kakobuysheet2026, 2026kakobuy, kakobuyspreadsheeet, kakobuylink, kakebuylist, Kakobuy MEGA Spreadsheet, kakobuysheetfind, kakobuysheetfind2026, 2026kakobuysheetfind, kakobuysheet2026</t>
        </is>
      </c>
      <c r="Q155" t="inlineStr">
        <is>
          <t>Leather, Unisex, Elegant, Business, Silver, Vintage</t>
        </is>
      </c>
      <c r="R155" t="inlineStr">
        <is>
          <t>recvhju1CrjaZB</t>
        </is>
      </c>
      <c r="S155" t="inlineStr">
        <is>
          <t>gucci-gg-supreme-black-leather-belt-3-5cm-recvhju1crjazb</t>
        </is>
      </c>
      <c r="T155"/>
      <c r="U155"/>
      <c r="V155"/>
      <c r="W155" t="inlineStr">
        <is>
          <t>{"choices":[{"finish_reason":"stop","index":0,"logprobs":null,"message":{"annotations":[],"content":"Gucci：经典灰黑GG Supreme系列双G银扣皮带，优质皮革材质，简约雅致设计，复古时尚中性风格，3.5cm宽度尽显品牌精致质感，适合男女日常与商务穿搭。","refusal":null,"role":"assistant"}}],"created":1777019701,"id":"chatcmpl-DY6I1MRASTFxd0L40Pb51LaXmsNNo","model":"gpt-5-chat-latest","object":"chat.completion","service_tier":"default","system_fingerprint":"fp_ad66631dec","usage":{"completion_tokens":63,"completion_tokens_details":{"accepted_prediction_tokens":0,"audio_tokens":0,"reasoning_tokens":0,"rejected_prediction_tokens":0},"prompt_tokens":1299,"prompt_tokens_details":{"audio_tokens":0,"cached_tokens":0},"total_tokens":1362}}</t>
        </is>
      </c>
      <c r="X155" t="inlineStr">
        <is>
          <t>Gucci：经典灰黑GG Supreme系列双G银扣皮带，优质皮革材质，简约雅致设计，复古时尚中性风格，3.5cm宽度尽显品牌精致质感，适合男女日常与商务穿搭。</t>
        </is>
      </c>
    </row>
    <row r="156" ht="25.5" customHeight="1">
      <c r="A156">
        <v>1654975475</v>
      </c>
      <c r="B156">
        <v>7622481230</v>
      </c>
      <c r="C156" s="2" t="str">
        <f>=HYPERLINK("https://weidian.com/item.html?itemID=7622481230", "https://weidian.com/item.html?itemID=7622481230")</f>
        <v>https://weidian.com/item.html?itemID=7622481230</v>
      </c>
      <c r="D156"/>
      <c r="E156" s="2" t="str">
        <f>=HYPERLINK("https://si.geilicdn.com/pcitem2014204438-768a0000019acfc286f20a23057e_1080_1080.jpg?w=640&amp;h=640", "https://si.geilicdn.com/pcitem2014204438-768a0000019acfc286f20a23057e_1080_1080.jpg?w=640&amp;h=640")</f>
        <v>https://si.geilicdn.com/pcitem2014204438-768a0000019acfc286f20a23057e_1080_1080.jpg?w=640&amp;h=640</v>
      </c>
      <c r="F156" t="inlineStr">
        <is>
          <t>Accessories</t>
        </is>
      </c>
      <c r="G156" t="inlineStr">
        <is>
          <t>Dior</t>
        </is>
      </c>
      <c r="H156">
        <v>480</v>
      </c>
      <c r="I156">
        <v>69.5797101449275</v>
      </c>
      <c r="J156" t="inlineStr">
        <is>
          <t>{"id":"chatcmpl-DYLiVxgpXTJiXCeeQgmE6XdFbCZH4","object":"chat.completion","created":1777079003,"model":"gpt-5-chat-latest","choices":[{"index":0,"message":{"role":"assistant","content":"Dior Light Green Leather Belt Double D Buckle","refusal":null,"annotations":[]},"logprobs":null,"finish_reason":"stop"}],"usage":{"prompt_tokens":877,"completion_tokens":11,"total_tokens":888,"prompt_tokens_details":{"cached_tokens":0,"audio_tokens":0},"completion_tokens_details":{"reasoning_tokens":0,"audio_tokens":0,"accepted_prediction_tokens":0,"rejected_prediction_tokens":0}},"service_tier":"default","system_fingerprint":"fp_ad66631dec"}</t>
        </is>
      </c>
      <c r="K156" t="inlineStr">
        <is>
          <t>Dior Light Green Leather Belt Double D Buckle</t>
        </is>
      </c>
      <c r="L156" t="inlineStr">
        <is>
          <t>{"id":"chatcmpl-DYLQYHlJmTibgR3mi5sbbiwb2iJNw","object":"chat.completion","created":1777077890,"model":"gpt-5-chat-latest","choices":[{"index":0,"message":{"role":"assistant","content":"Dior Light Green Printed Leather Belt, crafted from premium cowhide, featuring iconic metal Double D buckle, blending vintage charm with modern elegance, ideal for daily or business unisex style.","refusal":null,"annotations":[]},"logprobs":null,"finish_reason":"stop"}],"usage":{"prompt_tokens":903,"completion_tokens":38,"total_tokens":941,"prompt_tokens_details":{"cached_tokens":0,"audio_tokens":0},"completion_tokens_details":{"reasoning_tokens":0,"audio_tokens":0,"accepted_prediction_tokens":0,"rejected_prediction_tokens":0}},"service_tier":"default","system_fingerprint":"fp_ad66631dec"}</t>
        </is>
      </c>
      <c r="M15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ma=2592000","apim-request-id":"caacedba-a236-44cd-be54-8385e73fd041","azureml-model-session":"d20260405221325-2e8d5e76","cache-control":"no-cache, no-store, must-revalidate","connection":"close","content-length":"999","content-security-policy":"frame-ancestors 'self'","content-type":"application/json","date":"Sat, 25 Apr 2026 00:44:51 GMT","server":"nginx","skip-error-remapping":"true","strict-transport-security":"max-age=31536000; includeSubDomains; preload","via":"1.1 Caddy, 1.1 Caddy","x-api-request-id":"20260425084449402705713iD8788KA","x-content-type-options":"nosniff","x-frame-options":"SAMEORIGIN","x-ms-is-spilled-over":"false","x-ms-rai-invoked":"false","x-ms-region":"East US 2","x-new-api-version":"0.5.1","x-oneapi-request-id":"20260425004445521323108268d9d6s8XUPOfY","x-ratelimit-abusepenalty-active":"False","x-ratelimit-limit-requests":"4992","x-ratelimit-limit-tokens":"4992000","x-ratelimit-remaining-requests":"4991","x-ratelimit-remaining-tokens":"4990335","x-ratelimit-renewalperiod-requests":"60","x-ratelimit-renewalperiod-tokens":"60","x-ratelimit-reset-requests":"12","x-ratelimit-reset-tokens":"20","x-request-id":"9ad9f593-7a09-48a0-94b9-94fd46784bfa"}</t>
        </is>
      </c>
      <c r="N156" t="inlineStr">
        <is>
          <t>Dior Light Green Printed Leather Belt, crafted from premium cowhide, featuring iconic metal Double D buckle, blending vintage charm with modern elegance, ideal for daily or business unisex style.</t>
        </is>
      </c>
      <c r="O156" t="inlineStr">
        <is>
          <t>{"id":"chatcmpl-DYLuRWStjHjBgf8khxszFKZqYdCPU","object":"chat.completion","created":1777079743,"model":"gpt-5-chat-2025-10-03","choices":[{"index":0,"message":{"role":"assistant","content":"Dior,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56" t="inlineStr">
        <is>
          <t>Dior, belt, kakobuy, kakebuy2026, kekobuysheet, kakobuysheet2026, 2026kakobuy, kakobuyspreadsheeet, kakobuylink, kakebuylist, Kakobuy MEGA Spreadsheet, kakobuysheetfind, kakobuysheetfind2026, 2026kakobuysheetfind, kakobuysheet2026</t>
        </is>
      </c>
      <c r="Q156" t="inlineStr">
        <is>
          <t>Dior, Cowhide, Leather, Vintage, Unisex, Business</t>
        </is>
      </c>
      <c r="R156" t="inlineStr">
        <is>
          <t>recvhju1CrMCNL</t>
        </is>
      </c>
      <c r="S156" t="inlineStr">
        <is>
          <t>dior-light-green-leather-belt-double-d-buckle-recvhju1crmcnl</t>
        </is>
      </c>
      <c r="T156"/>
      <c r="U156"/>
      <c r="V156"/>
      <c r="W156" t="inlineStr">
        <is>
          <t>{"choices":[{"finish_reason":"stop","index":0,"logprobs":null,"message":{"annotations":[],"content":"Dior：草绿色印花皮革腰带，选用优质牛皮材质，配经典金属双D徽标扣，彰显法式优雅格调。简约又奢华设计，适合男女通用，复古与现代融合，日常与商务造型皆宜。","refusal":null,"role":"assistant"}}],"created":1777019590,"id":"chatcmpl-DY6GEFTk2hw5l1J2naEePm3OXmKuu","model":"gpt-5-chat-latest","object":"chat.completion","service_tier":"default","system_fingerprint":"fp_ad66631dec","usage":{"completion_tokens":70,"completion_tokens_details":{"accepted_prediction_tokens":0,"audio_tokens":0,"reasoning_tokens":0,"rejected_prediction_tokens":0},"prompt_tokens":1299,"prompt_tokens_details":{"audio_tokens":0,"cached_tokens":0},"total_tokens":1369}}</t>
        </is>
      </c>
      <c r="X156" t="inlineStr">
        <is>
          <t>Dior：草绿色印花皮革腰带，选用优质牛皮材质，配经典金属双D徽标扣，彰显法式优雅格调。简约又奢华设计，适合男女通用，复古与现代融合，日常与商务造型皆宜。</t>
        </is>
      </c>
    </row>
    <row r="157" ht="25.5" customHeight="1">
      <c r="A157">
        <v>1654975475</v>
      </c>
      <c r="B157">
        <v>7622599842</v>
      </c>
      <c r="C157" s="2" t="str">
        <f>=HYPERLINK("https://weidian.com/item.html?itemID=7622599842", "https://weidian.com/item.html?itemID=7622599842")</f>
        <v>https://weidian.com/item.html?itemID=7622599842</v>
      </c>
      <c r="D157"/>
      <c r="E157" s="2" t="str">
        <f>=HYPERLINK("https://si.geilicdn.com/pcitem2014204438-11100000019ad006c2950a23041a_1080_1080.jpg?w=640&amp;h=640", "https://si.geilicdn.com/pcitem2014204438-11100000019ad006c2950a23041a_1080_1080.jpg?w=640&amp;h=640")</f>
        <v>https://si.geilicdn.com/pcitem2014204438-11100000019ad006c2950a23041a_1080_1080.jpg?w=640&amp;h=640</v>
      </c>
      <c r="F157" t="inlineStr">
        <is>
          <t>Accessories</t>
        </is>
      </c>
      <c r="G157" t="inlineStr">
        <is>
          <t>Louis Vuitton</t>
        </is>
      </c>
      <c r="H157">
        <v>460</v>
      </c>
      <c r="I157">
        <v>66.67</v>
      </c>
      <c r="J157" t="inlineStr">
        <is>
          <t>{"id":"chatcmpl-DYLnYiKa6qkKtYI8UzH2gsjXIqHvi","object":"chat.completion","created":1777079316,"model":"gpt-5-chat-2025-10-03","choices":[{"index":0,"message":{"role":"assistant","content":"Louis Vuitton Burgundy Leather LV Buckle Belt","refusal":null,"annotations":[]},"logprobs":null,"finish_reason":"stop"}],"usage":{"prompt_tokens":869,"completion_tokens":9,"total_tokens":878,"prompt_tokens_details":{"cached_tokens":0,"audio_tokens":0},"completion_tokens_details":{"reasoning_tokens":0,"audio_tokens":0,"accepted_prediction_tokens":0,"rejected_prediction_tokens":0}},"service_tier":"default","system_fingerprint":"fp_ad66631dec"}</t>
        </is>
      </c>
      <c r="K157" t="inlineStr">
        <is>
          <t>Louis Vuitton Burgundy Leather LV Buckle Belt</t>
        </is>
      </c>
      <c r="L157" t="inlineStr">
        <is>
          <t>{"id":"chatcmpl-DYLRHIC7DS0uTefq1DB0YRZ9Nkxjo","object":"chat.completion","created":1777077935,"model":"gpt-5-chat-latest","choices":[{"index":0,"message":{"role":"assistant","content":"Louis Vuitton Monogram Burgundy Leather Belt with Signature LV Metal Buckle, crafted from premium grained calfskin, unisex luxury accessory perfect for casual or formal outfits.","refusal":null,"annotations":[]},"logprobs":null,"finish_reason":"stop"}],"usage":{"prompt_tokens":901,"completion_tokens":34,"total_tokens":935,"prompt_tokens_details":{"cached_tokens":0,"audio_tokens":0},"completion_tokens_details":{"reasoning_tokens":0,"audio_tokens":0,"accepted_prediction_tokens":0,"rejected_prediction_tokens":0}},"service_tier":"default","system_fingerprint":"fp_ad66631dec"}</t>
        </is>
      </c>
      <c r="M15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ma=2592000","apim-request-id":"c4e5d5c9-788a-42f1-8f1d-05aadf21ae04","azureml-model-session":"d20260405234249-f9874baf","cache-control":"no-cache, no-store, must-revalidate","connection":"close","content-length":"981","content-security-policy":"frame-ancestors 'self'","content-type":"application/json","date":"Sat, 25 Apr 2026 00:45:37 GMT","server":"nginx","skip-error-remapping":"true","strict-transport-security":"max-age=31536000; includeSubDomains; preload","via":"1.1 Caddy, 1.1 Caddy","x-api-request-id":"20260425084533622136997uIGJZx2H","x-content-type-options":"nosniff","x-frame-options":"SAMEORIGIN","x-ms-is-spilled-over":"false","x-ms-rai-invoked":"false","x-ms-region":"Sweden Central","x-new-api-version":"0.5.1","x-oneapi-request-id":"202604250045333312385248268d9d6cBVNVV9o","x-ratelimit-abusepenalty-active":"False","x-ratelimit-limit-requests":"4991","x-ratelimit-limit-tokens":"4991000","x-ratelimit-remaining-requests":"4990","x-ratelimit-remaining-tokens":"4989337","x-ratelimit-renewalperiod-requests":"60","x-ratelimit-renewalperiod-tokens":"60","x-ratelimit-reset-requests":"12","x-ratelimit-reset-tokens":"19","x-request-id":"84ee501c-bf5d-40d1-a3e7-f27dcdedd2d0"}</t>
        </is>
      </c>
      <c r="N157" t="inlineStr">
        <is>
          <t>Louis Vuitton Monogram Burgundy Leather Belt with Signature LV Metal Buckle, crafted from premium grained calfskin, unisex luxury accessory perfect for casual or formal outfits.</t>
        </is>
      </c>
      <c r="O157" t="inlineStr">
        <is>
          <t>{"id":"chatcmpl-DYM13yQTx18rMznwqCjPYm2ZmqDs2","object":"chat.completion","created":1777080153,"model":"gpt-5-chat-2025-10-03","choices":[{"index":0,"message":{"role":"assistant","content":"Louis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57" t="inlineStr">
        <is>
          <t>Louis Vuitton, Accessories, kakobuy, kakebuy2026, kekobuysheet, kakobuysheet2026, 2026kakobuy, kakobuyspreadsheeet, kakobuylink, kakebuylist, Kakobuy MEGA Spreadsheet, kakobuysheetfind, kakobuysheetfind2026, 2026kakobuysheetfind, kakobuysheet2026</t>
        </is>
      </c>
      <c r="Q157" t="inlineStr">
        <is>
          <t>LV, Burgundy, Leather, Unisex</t>
        </is>
      </c>
      <c r="R157" t="inlineStr">
        <is>
          <t>recvhju1CreBVq</t>
        </is>
      </c>
      <c r="S157" t="inlineStr">
        <is>
          <t>louis-vuitton-burgundy-leather-lv-buckle-belt-recvhju1crebvq</t>
        </is>
      </c>
      <c r="T157"/>
      <c r="U157"/>
      <c r="V157"/>
      <c r="W157" t="inlineStr">
        <is>
          <t>{"choices":[{"finish_reason":"stop","index":0,"logprobs":null,"message":{"annotations":[],"content":"Louis Vuitton：Monogram系列酒红色真皮腰带，搭配标志性金属LV字母扣，简约奢华设计彰显品牌格调，甄选粒面牛皮质感细腻，男女皆宜，休闲与正装皆可轻松驾驭。","refusal":null,"role":"assistant"}}],"created":1777019675,"id":"chatcmpl-DY6HbxXmsvsXo5YKKUI2CwA3z2jza","model":"gpt-5-chat-latest","object":"chat.completion","service_tier":"default","system_fingerprint":"fp_ad66631dec","usage":{"completion_tokens":69,"completion_tokens_details":{"accepted_prediction_tokens":0,"audio_tokens":0,"reasoning_tokens":0,"rejected_prediction_tokens":0},"prompt_tokens":1297,"prompt_tokens_details":{"audio_tokens":0,"cached_tokens":0},"total_tokens":1366}}</t>
        </is>
      </c>
      <c r="X157" t="inlineStr">
        <is>
          <t>Louis Vuitton：Monogram系列酒红色真皮腰带，搭配标志性金属LV字母扣，简约奢华设计彰显品牌格调，甄选粒面牛皮质感细腻，男女皆宜，休闲与正装皆可轻松驾驭。</t>
        </is>
      </c>
    </row>
    <row r="158" ht="25.5" customHeight="1">
      <c r="A158">
        <v>1654975475</v>
      </c>
      <c r="B158">
        <v>7622585644</v>
      </c>
      <c r="C158" s="2" t="str">
        <f>=HYPERLINK("https://weidian.com/item.html?itemID=7622585644", "https://weidian.com/item.html?itemID=7622585644")</f>
        <v>https://weidian.com/item.html?itemID=7622585644</v>
      </c>
      <c r="D158"/>
      <c r="E158" s="2" t="str">
        <f>=HYPERLINK("https://si.geilicdn.com/pcitem2014204438-71640000019acfbef87f0a207569_1080_1080.jpg?w=640&amp;h=640", "https://si.geilicdn.com/pcitem2014204438-71640000019acfbef87f0a207569_1080_1080.jpg?w=640&amp;h=640")</f>
        <v>https://si.geilicdn.com/pcitem2014204438-71640000019acfbef87f0a207569_1080_1080.jpg?w=640&amp;h=640</v>
      </c>
      <c r="F158" t="inlineStr">
        <is>
          <t>Accessories</t>
        </is>
      </c>
      <c r="G158" t="inlineStr">
        <is>
          <t>Louis Vuitton</t>
        </is>
      </c>
      <c r="H158">
        <v>520</v>
      </c>
      <c r="I158">
        <v>75.36</v>
      </c>
      <c r="J158" t="inlineStr">
        <is>
          <t>{"id":"chatcmpl-DYLnNOdY2Z9OJwu1xcTcJSZDHem09","object":"chat.completion","created":1777079305,"model":"gpt-5-chat-2025-10-03","choices":[{"index":0,"message":{"role":"assistant","content":"Louis Vuitton Black Leather Belt Set","refusal":null,"annotations":[]},"logprobs":null,"finish_reason":"stop"}],"usage":{"prompt_tokens":865,"completion_tokens":7,"total_tokens":872,"prompt_tokens_details":{"cached_tokens":0,"audio_tokens":0},"completion_tokens_details":{"reasoning_tokens":0,"audio_tokens":0,"accepted_prediction_tokens":0,"rejected_prediction_tokens":0}},"service_tier":"default","system_fingerprint":"fp_ad66631dec"}</t>
        </is>
      </c>
      <c r="K158" t="inlineStr">
        <is>
          <t>Louis Vuitton Black Leather Belt Set</t>
        </is>
      </c>
      <c r="L158" t="inlineStr">
        <is>
          <t>{"choices":[{"finish_reason":"stop","index":0,"logprobs":null,"message":{"annotations":[],"content":"Louis Vuitton classic black leather interchangeable buckle belt set, crafted from premium cowhide with iconic LV metal logo, sleek luxury design for both business and casual wear.","refusal":null,"role":"assistant"}}],"created":1777078553,"id":"chatcmpl-DYLbFNNzRrJ9ziUVHIfC1TsOj1cKo","model":"gpt-5-chat-latest","object":"chat.completion","service_tier":"default","system_fingerprint":"fp_ad66631dec","usage":{"completion_tokens":32,"completion_tokens_details":{"accepted_prediction_tokens":0,"audio_tokens":0,"reasoning_tokens":0,"rejected_prediction_tokens":0},"prompt_tokens":903,"prompt_tokens_details":{"audio_tokens":0,"cached_tokens":0},"total_tokens":935}}</t>
        </is>
      </c>
      <c r="M158" t="inlineStr">
        <is>
          <t>{"alt-svc":"h3=\":443\"; ma=2592000","apim-request-id":"3acbdf44-e0e9-468c-9a85-909e3e19ae3f","azureml-model-session":"d20260402083108-57a85543","cache-control":"no-cache","connection":"close","content-length":"767","content-security-policy":"frame-ancestors 'self'","content-type":"application/json","date":"Sat, 25 Apr 2026 00:55:54 GMT","server":"Caddy","skip-error-remapping":"true","strict-transport-security":"max-age=31536000; includeSubDomains; preload","via":"1.1 Caddy","x-api-request-id":"202604250855523473532918HVaxDWE","x-content-type-options":"nosniff","x-frame-options":"SAMEORIGIN","x-ms-client-request-id":"Not-Set","x-ms-is-spilled-over":"false","x-ms-rai-invoked":"true","x-ms-region":"East US 2","x-new-api-version":"0.5.1","x-oneapi-request-id":"20260425005552526709418268d9d6cbJBlqcF","x-ratelimit-abusepenalty-active":"False","x-ratelimit-limit-requests":"50","x-ratelimit-limit-tokens":"50000","x-ratelimit-remaining-requests":"49","x-ratelimit-remaining-tokens":"-1240","x-ratelimit-renewalperiod-requests":"60","x-ratelimit-renewalperiod-tokens":"60","x-ratelimit-reset-requests":"1200","x-ratelimit-reset-tokens":"61487","x-request-id":"87b01f78-e942-4eee-a939-98a30ea91201"}</t>
        </is>
      </c>
      <c r="N158" t="inlineStr">
        <is>
          <t>Louis Vuitton classic black leather interchangeable buckle belt set, crafted from premium cowhide with iconic LV metal logo, sleek luxury design for both business and casual wear.</t>
        </is>
      </c>
      <c r="O158" t="inlineStr">
        <is>
          <t>{"id":"chatcmpl-DYLwSKxGh2rDbIZDpiNS6xBPv8vsI","object":"chat.completion","created":1777079868,"model":"gpt-5-chat-2025-10-03","choices":[{"index":0,"message":{"role":"assistant","content":"Louis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58" t="inlineStr">
        <is>
          <t>Louis Vuitton, Accessories, kakobuy, kakebuy2026, kekobuysheet, kakobuysheet2026, 2026kakobuy, kakobuyspreadsheeet, kakobuylink, kakebuylist, Kakobuy MEGA Spreadsheet, kakobuysheetfind, kakobuysheetfind2026, 2026kakobuysheetfind, kakobuysheet2026</t>
        </is>
      </c>
      <c r="Q158" t="inlineStr">
        <is>
          <t>LV, Leather, Black, Business, Leather Shoes</t>
        </is>
      </c>
      <c r="R158" t="inlineStr">
        <is>
          <t>recvhju1Crtl3X</t>
        </is>
      </c>
      <c r="S158" t="inlineStr">
        <is>
          <t>louis-vuitton-black-leather-belt-recvhju1crtl3x</t>
        </is>
      </c>
      <c r="T158"/>
      <c r="U158"/>
      <c r="V158"/>
      <c r="W158" t="inlineStr">
        <is>
          <t>{"choices":[{"finish_reason":"stop","index":0,"logprobs":null,"message":{"annotations":[],"content":"Louis Vuitton：经典系列黑色皮质可替换扣腰带套装，甄选细腻牛皮材质，配以金属LV字母标志扣，现代简约设计融合奢华质感，展现优雅格调，适合男女商务与休闲场合穿搭。","refusal":null,"role":"assistant"}}],"created":1777019858,"id":"chatcmpl-DY6KYqY2SpmftbNrYiyOII846dSrD","model":"gpt-5-chat-latest","object":"chat.completion","service_tier":"default","system_fingerprint":"fp_ad66631dec","usage":{"completion_tokens":71,"completion_tokens_details":{"accepted_prediction_tokens":0,"audio_tokens":0,"reasoning_tokens":0,"rejected_prediction_tokens":0},"prompt_tokens":1297,"prompt_tokens_details":{"audio_tokens":0,"cached_tokens":1280},"total_tokens":1368}}</t>
        </is>
      </c>
      <c r="X158" t="inlineStr">
        <is>
          <t>Louis Vuitton：经典系列黑色皮质可替换扣腰带套装，甄选细腻牛皮材质，配以金属LV字母标志扣，现代简约设计融合奢华质感，展现优雅格调，适合男女商务与休闲场合穿搭。</t>
        </is>
      </c>
    </row>
    <row r="159" ht="25.5" customHeight="1">
      <c r="A159">
        <v>1654975475</v>
      </c>
      <c r="B159">
        <v>7622440280</v>
      </c>
      <c r="C159" s="2" t="str">
        <f>=HYPERLINK("https://weidian.com/item.html?itemID=7622440280", "https://weidian.com/item.html?itemID=7622440280")</f>
        <v>https://weidian.com/item.html?itemID=7622440280</v>
      </c>
      <c r="D159"/>
      <c r="E159" s="2" t="str">
        <f>=HYPERLINK("https://si.geilicdn.com/pcitem2014204438-66d60000019acebf40520a811411_1080_1080.jpg?w=640&amp;h=640", "https://si.geilicdn.com/pcitem2014204438-66d60000019acebf40520a811411_1080_1080.jpg?w=640&amp;h=640")</f>
        <v>https://si.geilicdn.com/pcitem2014204438-66d60000019acebf40520a811411_1080_1080.jpg?w=640&amp;h=640</v>
      </c>
      <c r="F159" t="inlineStr">
        <is>
          <t>Accessories</t>
        </is>
      </c>
      <c r="G159" t="inlineStr">
        <is>
          <t>Montblanc</t>
        </is>
      </c>
      <c r="H159">
        <v>460</v>
      </c>
      <c r="I159">
        <v>66.67</v>
      </c>
      <c r="J159" t="inlineStr">
        <is>
          <t>{"choices":[{"finish_reason":"stop","index":0,"logprobs":null,"message":{"annotations":[],"content":"Montblanc Black Leather Belt Silver M Buckle","refusal":null,"role":"assistant"}}],"created":1777079082,"id":"chatcmpl-DYLjm9eLmJHwur7eIjjh2Kku9IyEv","model":"gpt-5-chat-latest","object":"chat.completion","service_tier":"default","system_fingerprint":"fp_ad66631dec","usage":{"completion_tokens":11,"completion_tokens_details":{"accepted_prediction_tokens":0,"audio_tokens":0,"reasoning_tokens":0,"rejected_prediction_tokens":0},"prompt_tokens":855,"prompt_tokens_details":{"audio_tokens":0,"cached_tokens":0},"total_tokens":866}}</t>
        </is>
      </c>
      <c r="K159" t="inlineStr">
        <is>
          <t>Montblanc Black Leather Belt Silver M Buckle</t>
        </is>
      </c>
      <c r="L159" t="inlineStr">
        <is>
          <t>{"id":"chatcmpl-DYLXYAoRU5tVja9JUyECliyC8oOOl","object":"chat.completion","created":1777078324,"model":"gpt-5-chat-latest","choices":[{"index":0,"message":{"role":"assistant","content":"Montblanc Black Geometric Pattern Leather Belt with Silver “M” Buckle, Modern Minimalist Design for Elegant Business Men","refusal":null,"annotations":[]},"logprobs":null,"finish_reason":"stop"}],"usage":{"prompt_tokens":876,"completion_tokens":26,"total_tokens":902,"prompt_tokens_details":{"cached_tokens":0,"audio_tokens":0},"completion_tokens_details":{"reasoning_tokens":0,"audio_tokens":0,"accepted_prediction_tokens":0,"rejected_prediction_tokens":0}},"service_tier":"default","system_fingerprint":"fp_ad66631dec"}</t>
        </is>
      </c>
      <c r="M15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ma=2592000","apim-request-id":"f02fcf32-348e-4251-bd49-b1ce90569745","azureml-model-session":"d20260405221325-2e8d5e76","cache-control":"no-cache, no-store, must-revalidate","connection":"close","content-length":"928","content-security-policy":"frame-ancestors 'self'","content-type":"application/json","date":"Sat, 25 Apr 2026 00:52:06 GMT","server":"nginx","skip-error-remapping":"true","strict-transport-security":"max-age=31536000; includeSubDomains; preload","via":"1.1 Caddy, 1.1 Caddy","x-api-request-id":"20260425085203848365885SJP3vT7Y","x-content-type-options":"nosniff","x-frame-options":"SAMEORIGIN","x-ms-is-spilled-over":"false","x-ms-rai-invoked":"false","x-ms-region":"East US 2","x-new-api-version":"0.5.1","x-oneapi-request-id":"202604250052012208721068268d9d6h0VZ9JBt","x-ratelimit-abusepenalty-active":"False","x-ratelimit-limit-requests":"4992","x-ratelimit-limit-tokens":"4992000","x-ratelimit-remaining-requests":"4991","x-ratelimit-remaining-tokens":"4990362","x-ratelimit-renewalperiod-requests":"60","x-ratelimit-renewalperiod-tokens":"60","x-ratelimit-reset-requests":"12","x-ratelimit-reset-tokens":"19","x-request-id":"41ef4193-560c-4a6a-b144-f3c3383dfc06"}</t>
        </is>
      </c>
      <c r="N159" t="inlineStr">
        <is>
          <t>Montblanc Black Geometric Pattern Leather Belt with Silver “M” Buckle, Modern Minimalist Design for Elegant Business Men</t>
        </is>
      </c>
      <c r="O159" t="inlineStr">
        <is>
          <t>{"id":"chatcmpl-DYM33pgg0S3RUnAVHfmK1wpqPhJg5","object":"chat.completion","created":1777080277,"model":"gpt-5-chat-2025-10-03","choices":[{"index":0,"message":{"role":"assistant","content":"Montblanc,Bel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59" t="inlineStr">
        <is>
          <t>Montblanc,Belt,kakobuy,kakebuy2026,kekobuysheet,kakobuysheet2026,2026kakobuy,kakobuyspreadsheeet,kakobuylink,kakebuylist,Kakobuy MEGA Spreadsheet,kakobuysheetfind,kakobuysheetfind2026,2026kakobuysheetfind,kakobuysheet2026</t>
        </is>
      </c>
      <c r="Q159" t="inlineStr">
        <is>
          <t>Black, Leather, Modern, Minimalist, Business, Men</t>
        </is>
      </c>
      <c r="R159" t="inlineStr">
        <is>
          <t>recvhju1CrFyDB</t>
        </is>
      </c>
      <c r="S159" t="inlineStr">
        <is>
          <t>montblanc-black-leather-belt-silver-m-buckle-recvhju1crfydb</t>
        </is>
      </c>
      <c r="T159"/>
      <c r="U159"/>
      <c r="V159"/>
      <c r="W159" t="inlineStr">
        <is>
          <t>{"id":"chatcmpl-DY6F7AigSyOJgGRJG8CRJ2OenCzc3","object":"chat.completion","created":1777019521,"model":"gpt-5-chat-latest","choices":[{"index":0,"message":{"role":"assistant","content":"Montblanc：黑色几何纹理皮质腰带，搭配银色“M”字金属扣，彰显现代简约格调，优雅商务男士必备款。","refusal":null,"annotations":[]},"logprobs":null,"finish_reason":"stop"}],"usage":{"prompt_tokens":1297,"completion_tokens":44,"total_tokens":1341,"prompt_tokens_details":{"cached_tokens":1280,"audio_tokens":0},"completion_tokens_details":{"reasoning_tokens":0,"audio_tokens":0,"accepted_prediction_tokens":0,"rejected_prediction_tokens":0}},"service_tier":"default","system_fingerprint":"fp_ad66631dec"}</t>
        </is>
      </c>
      <c r="X159" t="inlineStr">
        <is>
          <t>Montblanc：黑色几何纹理皮质腰带，搭配银色“M”字金属扣，彰显现代简约格调，优雅商务男士必备款。</t>
        </is>
      </c>
    </row>
    <row r="160" ht="25.5" customHeight="1">
      <c r="A160">
        <v>1654975475</v>
      </c>
      <c r="B160">
        <v>7619591739</v>
      </c>
      <c r="C160" s="2" t="str">
        <f>=HYPERLINK("https://weidian.com/item.html?itemID=7619591739", "https://weidian.com/item.html?itemID=7619591739")</f>
        <v>https://weidian.com/item.html?itemID=7619591739</v>
      </c>
      <c r="D160"/>
      <c r="E160" s="2" t="str">
        <f>=HYPERLINK("https://si.geilicdn.com/pcitem2014204438-6d750000019acfb33d780a2301b4_1074_1074.jpg?w=640&amp;h=640", "https://si.geilicdn.com/pcitem2014204438-6d750000019acfb33d780a2301b4_1074_1074.jpg?w=640&amp;h=640")</f>
        <v>https://si.geilicdn.com/pcitem2014204438-6d750000019acfb33d780a2301b4_1074_1074.jpg?w=640&amp;h=640</v>
      </c>
      <c r="F160" t="inlineStr">
        <is>
          <t>Accessories</t>
        </is>
      </c>
      <c r="G160" t="inlineStr">
        <is>
          <t>Gucci</t>
        </is>
      </c>
      <c r="H160">
        <v>460</v>
      </c>
      <c r="I160">
        <v>66.67</v>
      </c>
      <c r="J160" t="inlineStr">
        <is>
          <t>{"choices":[{"finish_reason":"stop","index":0,"logprobs":null,"message":{"annotations":[],"content":"Gucci Black GG Leather Belt Double G Buckle","refusal":null,"role":"assistant"}}],"created":1777079044,"id":"chatcmpl-DYLjAErpd4lA7jI1Mc5XI6Eu71QYj","model":"gpt-5-chat-latest","object":"chat.completion","service_tier":"default","system_fingerprint":"fp_ad66631dec","usage":{"completion_tokens":11,"completion_tokens_details":{"accepted_prediction_tokens":0,"audio_tokens":0,"reasoning_tokens":0,"rejected_prediction_tokens":0},"prompt_tokens":887,"prompt_tokens_details":{"audio_tokens":0,"cached_tokens":0},"total_tokens":898}}</t>
        </is>
      </c>
      <c r="K160" t="inlineStr">
        <is>
          <t>Gucci Black GG Leather Belt Double G Buckle</t>
        </is>
      </c>
      <c r="L160" t="inlineStr">
        <is>
          <t>{"id":"chatcmpl-DYLQoKAoUuQpsN7K4hYC8h7IxHmhW","object":"chat.completion","created":1777077906,"model":"gpt-5-chat-latest","choices":[{"index":0,"message":{"role":"assistant","content":"Gucci Classic Black GG Embossed Leather Belt with Iconic Double G Metal Buckle, Crafted from Premium Cowhide, Unisex Design Blends Vintage and Modern Style, Timeless Italian Luxury Elegance.","refusal":null,"annotations":[]},"logprobs":null,"finish_reason":"stop"}],"usage":{"prompt_tokens":911,"completion_tokens":43,"total_tokens":954,"prompt_tokens_details":{"cached_tokens":0,"audio_tokens":0},"completion_tokens_details":{"reasoning_tokens":0,"audio_tokens":0,"accepted_prediction_tokens":0,"rejected_prediction_tokens":0}},"service_tier":"default","system_fingerprint":"fp_ad66631dec"}</t>
        </is>
      </c>
      <c r="M16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ma=2592000","apim-request-id":"d356d6bf-5236-4155-a323-ab8db4548a63","azureml-model-session":"d20260405234249-f9874baf","cache-control":"no-cache, no-store, must-revalidate","connection":"close","content-length":"994","content-security-policy":"frame-ancestors 'self'","content-type":"application/json","date":"Sat, 25 Apr 2026 00:45:08 GMT","server":"Caddy","skip-error-remapping":"true","strict-transport-security":"max-age=31536000; includeSubDomains; preload","via":"1.1 Caddy","x-api-request-id":"20260425084505937746377V5VA98Gs","x-content-type-options":"nosniff","x-frame-options":"SAMEORIGIN","x-ms-is-spilled-over":"false","x-ms-rai-invoked":"false","x-ms-region":"East US 2","x-new-api-version":"0.5.1","x-oneapi-request-id":"202604250045053796233608268d9d636wXmBp1","x-ratelimit-abusepenalty-active":"False","x-ratelimit-limit-requests":"4992","x-ratelimit-limit-tokens":"4992000","x-ratelimit-remaining-requests":"4991","x-ratelimit-remaining-tokens":"4990327","x-ratelimit-renewalperiod-requests":"60","x-ratelimit-renewalperiod-tokens":"60","x-ratelimit-reset-requests":"12","x-ratelimit-reset-tokens":"20","x-request-id":"73c06a64-7284-4b06-9162-d9c02125e27f"}</t>
        </is>
      </c>
      <c r="N160" t="inlineStr">
        <is>
          <t>Gucci Classic Black GG Embossed Leather Belt with Iconic Double G Metal Buckle, Crafted from Premium Cowhide, Unisex Design Blends Vintage and Modern Style, Timeless Italian Luxury Elegance.</t>
        </is>
      </c>
      <c r="O160" t="inlineStr">
        <is>
          <t>{"id":"chatcmpl-DYM2PFtIFpxfvYtPX5NHL6a7orghK","object":"chat.completion","created":1777080237,"model":"gpt-5-chat-2025-10-03","choices":[{"index":0,"message":{"role":"assistant","content":"Gucci,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60" t="inlineStr">
        <is>
          <t>Gucci, Belt, kakobuy, kakebuy2026, kekobuysheet, kakobuysheet2026, 2026kakobuy, kakobuyspreadsheeet, kakobuylink, kakebuylist, Kakobuy MEGA Spreadsheet, kakobuysheetfind, kakobuysheetfind2026, 2026kakobuysheetfind, kakobuysheet2026</t>
        </is>
      </c>
      <c r="Q160" t="inlineStr">
        <is>
          <t>Black, Leather, Cowhide, Vintage, Modern, Unisex</t>
        </is>
      </c>
      <c r="R160" t="inlineStr">
        <is>
          <t>recvhju1CrJcm8</t>
        </is>
      </c>
      <c r="S160" t="inlineStr">
        <is>
          <t>gucci-black-gg-leather-belt-double-g-buckle-recvhju1crjcm8</t>
        </is>
      </c>
      <c r="T160"/>
      <c r="U160"/>
      <c r="V160"/>
      <c r="W160" t="inlineStr">
        <is>
          <t>{"choices":[{"finish_reason":"stop","index":0,"logprobs":null,"message":{"annotations":[],"content":"Gucci：经典黑色GG压纹皮带，甄选优质牛皮材质，搭配标志性双G金属圆形扣设计，复古与现代融合，低调奢华质感。简约风格适合男女通用，展现意式精致格调与永恒时尚魅力。","refusal":null,"role":"assistant"}}],"created":1777019743,"id":"chatcmpl-DY6IhinYMUxNhIiLOBBZDWNMK1das","model":"gpt-5-chat-latest","object":"chat.completion","service_tier":"default","system_fingerprint":"fp_ad66631dec","usage":{"completion_tokens":77,"completion_tokens_details":{"accepted_prediction_tokens":0,"audio_tokens":0,"reasoning_tokens":0,"rejected_prediction_tokens":0},"prompt_tokens":1301,"prompt_tokens_details":{"audio_tokens":0,"cached_tokens":0},"total_tokens":1378}}</t>
        </is>
      </c>
      <c r="X160" t="inlineStr">
        <is>
          <t>Gucci：经典黑色GG压纹皮带，甄选优质牛皮材质，搭配标志性双G金属圆形扣设计，复古与现代融合，低调奢华质感。简约风格适合男女通用，展现意式精致格调与永恒时尚魅力。</t>
        </is>
      </c>
    </row>
    <row r="161" ht="25.5" customHeight="1">
      <c r="A161">
        <v>1654975475</v>
      </c>
      <c r="B161">
        <v>7619495293</v>
      </c>
      <c r="C161" s="2" t="str">
        <f>=HYPERLINK("https://weidian.com/item.html?itemID=7619495293", "https://weidian.com/item.html?itemID=7619495293")</f>
        <v>https://weidian.com/item.html?itemID=7619495293</v>
      </c>
      <c r="D161"/>
      <c r="E161" s="2" t="str">
        <f>=HYPERLINK("https://si.geilicdn.com/pcitem2014204438-77a40000019acfba10a40a23111a_1440_1920.jpg?w=640&amp;h=640", "https://si.geilicdn.com/pcitem2014204438-77a40000019acfba10a40a23111a_1440_1920.jpg?w=640&amp;h=640")</f>
        <v>https://si.geilicdn.com/pcitem2014204438-77a40000019acfba10a40a23111a_1440_1920.jpg?w=640&amp;h=640</v>
      </c>
      <c r="F161" t="inlineStr">
        <is>
          <t>Accessories</t>
        </is>
      </c>
      <c r="G161" t="inlineStr">
        <is>
          <t>Montblanc</t>
        </is>
      </c>
      <c r="H161">
        <v>490</v>
      </c>
      <c r="I161">
        <v>71.01</v>
      </c>
      <c r="J161" t="inlineStr">
        <is>
          <t>{"id":"chatcmpl-DYLl2dyrOJiV95gnJg24GRadox08g","object":"chat.completion","created":1777079160,"model":"gpt-5-chat-latest","choices":[{"index":0,"message":{"role":"assistant","content":"Montblanc Men Black Leather Belt Silver M Buckle","refusal":null,"annotations":[]},"logprobs":null,"finish_reason":"stop"}],"usage":{"prompt_tokens":870,"completion_tokens":12,"total_tokens":882,"prompt_tokens_details":{"cached_tokens":0,"audio_tokens":0},"completion_tokens_details":{"reasoning_tokens":0,"audio_tokens":0,"accepted_prediction_tokens":0,"rejected_prediction_tokens":0}},"service_tier":"default","system_fingerprint":"fp_ad66631dec"}</t>
        </is>
      </c>
      <c r="K161" t="inlineStr">
        <is>
          <t>Montblanc Men Black Leather Belt Silver M Buckle</t>
        </is>
      </c>
      <c r="L161" t="inlineStr">
        <is>
          <t>{"id":"chatcmpl-DYLYW8c3mwuJpg2g4pwuASI4pF0u5","object":"chat.completion","created":1777078384,"model":"gpt-5-chat-latest","choices":[{"index":0,"message":{"role":"assistant","content":"Montblanc Men’s Black Leather Belt with Silver “M” Buckle, refined texture and elegant design for modern luxury style, perfect for business and daily wear.","refusal":null,"annotations":[]},"logprobs":null,"finish_reason":"stop"}],"usage":{"prompt_tokens":889,"completion_tokens":34,"total_tokens":923,"prompt_tokens_details":{"cached_tokens":0,"audio_tokens":0},"completion_tokens_details":{"reasoning_tokens":0,"audio_tokens":0,"accepted_prediction_tokens":0,"rejected_prediction_tokens":0}},"service_tier":"default","system_fingerprint":"fp_ad66631dec"}</t>
        </is>
      </c>
      <c r="M16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ma=2592000","apim-request-id":"c9b881e1-450c-410c-8e67-7f2770f04cd0","azureml-model-session":"d20260405225800-40f19e54","cache-control":"no-cache, no-store, must-revalidate","connection":"close","content-length":"965","content-security-policy":"frame-ancestors 'self'","content-type":"application/json","date":"Sat, 25 Apr 2026 00:53:07 GMT","server":"nginx","skip-error-remapping":"true","strict-transport-security":"max-age=31536000; includeSubDomains; preload","via":"1.1 Caddy, 1.1 Caddy","x-api-request-id":"20260425085302823277393Sau9tosA","x-content-type-options":"nosniff","x-frame-options":"SAMEORIGIN","x-ms-is-spilled-over":"false","x-ms-rai-invoked":"false","x-ms-region":"Sweden Central","x-new-api-version":"0.5.1","x-oneapi-request-id":"202604250053024867225658268d9d6X2MYi3t3","x-ratelimit-abusepenalty-active":"False","x-ratelimit-limit-requests":"4991","x-ratelimit-limit-tokens":"4991000","x-ratelimit-remaining-requests":"4990","x-ratelimit-remaining-tokens":"4989349","x-ratelimit-renewalperiod-requests":"60","x-ratelimit-renewalperiod-tokens":"60","x-ratelimit-reset-requests":"12","x-ratelimit-reset-tokens":"19","x-request-id":"e45f54ad-80c3-485e-870e-9d0f834fb074"}</t>
        </is>
      </c>
      <c r="N161" t="inlineStr">
        <is>
          <t>Montblanc Men’s Black Leather Belt with Silver “M” Buckle, refined texture and elegant design for modern luxury style, perfect for business and daily wear.</t>
        </is>
      </c>
      <c r="O161" t="inlineStr">
        <is>
          <t>{"id":"chatcmpl-DYLyY0IKAnK4RMFszsqXkD6N988Tu","object":"chat.completion","created":1777079998,"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61" t="inlineStr">
        <is>
          <t>Montblanc,Accessories,kakobuy,kakebuy2026,kekobuysheet,kakobuysheet2026,2026kakobuy,kakobuyspreadsheeet,kakobuylink,kakebuylist,Kakobuy MEGA Spreadsheet,kakobuysheetfind,kakobuysheetfind2026,2026kakobuysheetfind,kakobuysheet2026</t>
        </is>
      </c>
      <c r="Q161" t="inlineStr">
        <is>
          <t>Black, Leather, Elegant, Business, Men, Casual Shoes</t>
        </is>
      </c>
      <c r="R161" t="inlineStr">
        <is>
          <t>recvhju1CrJwDc</t>
        </is>
      </c>
      <c r="S161" t="inlineStr">
        <is>
          <t>montblanc-men-black-leather-belt-silver-m-buckle-recvhju1crjwdc</t>
        </is>
      </c>
      <c r="T161"/>
      <c r="U161"/>
      <c r="V161"/>
      <c r="W161" t="inlineStr">
        <is>
          <t>{"choices":[{"finish_reason":"stop","index":0,"logprobs":null,"message":{"annotations":[],"content":"Montblanc：黑色真皮男士腰带，配以银色“M”字母金属扣设计，质感细腻典雅，彰显现代商务奢华格调，适合日常与正装造型。","refusal":null,"role":"assistant"}}],"created":1777019397,"id":"chatcmpl-DY6D7cbOn5Iw11pevamlgQojyQP1y","model":"gpt-5-chat-latest","object":"chat.completion","service_tier":"default","system_fingerprint":"fp_ad66631dec","usage":{"completion_tokens":55,"completion_tokens_details":{"accepted_prediction_tokens":0,"audio_tokens":0,"reasoning_tokens":0,"rejected_prediction_tokens":0},"prompt_tokens":1301,"prompt_tokens_details":{"audio_tokens":0,"cached_tokens":0},"total_tokens":1356}}</t>
        </is>
      </c>
      <c r="X161" t="inlineStr">
        <is>
          <t>Montblanc：黑色真皮男士腰带，配以银色“M”字母金属扣设计，质感细腻典雅，彰显现代商务奢华格调，适合日常与正装造型。</t>
        </is>
      </c>
    </row>
    <row r="162" ht="25.5" customHeight="1">
      <c r="A162">
        <v>1654975475</v>
      </c>
      <c r="B162">
        <v>7619593797</v>
      </c>
      <c r="C162" s="2" t="str">
        <f>=HYPERLINK("https://weidian.com/item.html?itemID=7619593797", "https://weidian.com/item.html?itemID=7619593797")</f>
        <v>https://weidian.com/item.html?itemID=7619593797</v>
      </c>
      <c r="D162"/>
      <c r="E162" s="2" t="str">
        <f>=HYPERLINK("https://si.geilicdn.com/pcitem2014204438-639e0000019acfc225a00a20e273_1080_1080.jpg?w=750&amp;h=750&amp;cp=1", "https://si.geilicdn.com/pcitem2014204438-639e0000019acfc225a00a20e273_1080_1080.jpg?w=750&amp;h=750&amp;cp=1")</f>
        <v>https://si.geilicdn.com/pcitem2014204438-639e0000019acfc225a00a20e273_1080_1080.jpg?w=750&amp;h=750&amp;cp=1</v>
      </c>
      <c r="F162" t="inlineStr">
        <is>
          <t>Accessories</t>
        </is>
      </c>
      <c r="G162" t="inlineStr">
        <is>
          <t>Salvatore Ferragamo</t>
        </is>
      </c>
      <c r="H162">
        <v>490</v>
      </c>
      <c r="I162">
        <v>71.01</v>
      </c>
      <c r="J162" t="inlineStr">
        <is>
          <t>{"id":"chatcmpl-DYLgIxpUfGg6tzrWVe2gjC9CVVkym","object":"chat.completion","created":1777078866,"model":"gpt-5-chat-latest","choices":[{"index":0,"message":{"role":"assistant","content":"Salvatore Ferragamo Black Gancini Crocodile Leather Belt Men","refusal":null,"annotations":[]},"logprobs":null,"finish_reason":"stop"}],"usage":{"prompt_tokens":890,"completion_tokens":16,"total_tokens":906,"prompt_tokens_details":{"cached_tokens":0,"audio_tokens":0},"completion_tokens_details":{"reasoning_tokens":0,"audio_tokens":0,"accepted_prediction_tokens":0,"rejected_prediction_tokens":0}},"service_tier":"default","system_fingerprint":"fp_ad66631dec"}</t>
        </is>
      </c>
      <c r="K162" t="inlineStr">
        <is>
          <t>Salvatore Ferragamo Black Gancini Crocodile Leather Belt Men</t>
        </is>
      </c>
      <c r="L162" t="inlineStr">
        <is>
          <t>{"id":"chatcmpl-DYLba0HHqblKb0h5Dnhrerf4ARsMA","object":"chat.completion","created":1777078574,"model":"gpt-5-chat-latest","choices":[{"index":0,"message":{"role":"assistant","content":"Salvatore Ferragamo Classic Black Gancini Men’s Belt in Crocodile-Embossed Leather, featuring signature double-ring metal buckle for a refined Italian style, perfect for business or casual wear.","refusal":null,"annotations":[]},"logprobs":null,"finish_reason":"stop"}],"usage":{"prompt_tokens":903,"completion_tokens":43,"total_tokens":946,"prompt_tokens_details":{"cached_tokens":0,"audio_tokens":0},"completion_tokens_details":{"reasoning_tokens":0,"audio_tokens":0,"accepted_prediction_tokens":0,"rejected_prediction_tokens":0}},"service_tier":"default","system_fingerprint":"fp_ad66631dec"}</t>
        </is>
      </c>
      <c r="M16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ma=2592000","apim-request-id":"dd296cf0-8e03-4da0-bf57-203d55a5e11f","azureml-model-session":"d20260405234249-f9874baf","cache-control":"no-cache, no-store, must-revalidate","connection":"close","content-length":"1000","content-security-policy":"frame-ancestors 'self'","content-type":"application/json","date":"Sat, 25 Apr 2026 00:56:15 GMT","server":"nginx","skip-error-remapping":"true","strict-transport-security":"max-age=31536000; includeSubDomains; preload","via":"1.1 Caddy, 1.1 Caddy","x-api-request-id":"20260425085613492206593YdnuG9YT","x-content-type-options":"nosniff","x-frame-options":"SAMEORIGIN","x-ms-is-spilled-over":"false","x-ms-rai-invoked":"false","x-ms-region":"East US 2","x-new-api-version":"0.5.1","x-oneapi-request-id":"202604250056132173982258268d9d6JnG3Vyor","x-ratelimit-abusepenalty-active":"False","x-ratelimit-limit-requests":"4992","x-ratelimit-limit-tokens":"4992000","x-ratelimit-remaining-requests":"4991","x-ratelimit-remaining-tokens":"4990335","x-ratelimit-renewalperiod-requests":"60","x-ratelimit-renewalperiod-tokens":"60","x-ratelimit-reset-requests":"12","x-ratelimit-reset-tokens":"20","x-request-id":"36d4e40d-8dda-44a2-96b0-13dd34ff8662"}</t>
        </is>
      </c>
      <c r="N162" t="inlineStr">
        <is>
          <t>Salvatore Ferragamo Classic Black Gancini Men’s Belt in Crocodile-Embossed Leather, featuring signature double-ring metal buckle for a refined Italian style, perfect for business or casual wear.</t>
        </is>
      </c>
      <c r="O162" t="inlineStr">
        <is>
          <t>{"id":"chatcmpl-DYM1iWdV2SUvoAsBiBPAY8wyCQGvb","object":"chat.completion","created":1777080194,"model":"gpt-5-chat-2025-10-03","choices":[{"index":0,"message":{"role":"assistant","content":"Salvatore Ferragamo,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162" t="inlineStr">
        <is>
          <t>Salvatore Ferragamo, Accessories, kakobuy, kakebuy2026, kekobuysheet, kakobuysheet2026, 2026kakobuy, kakobuyspreadsheeet, kakobuylink, kakebuylist, Kakobuy MEGA Spreadsheet, kakobuysheetfind, kakobuysheetfind2026, 2026kakobuysheetfind, kakobuysheet2026</t>
        </is>
      </c>
      <c r="Q162" t="inlineStr">
        <is>
          <t>Black, Leather, Business, Business Casual, Men</t>
        </is>
      </c>
      <c r="R162" t="inlineStr">
        <is>
          <t>recvhju1CrgHbr</t>
        </is>
      </c>
      <c r="S162" t="inlineStr">
        <is>
          <t>ferragamo-black-gancini-crocodile-leather-belt-men-recvhju1crghbr</t>
        </is>
      </c>
      <c r="T162"/>
      <c r="U162"/>
      <c r="V162"/>
      <c r="W162" t="inlineStr">
        <is>
          <t>{"id":"chatcmpl-DY6Gkl42XbWeRm01Sqwi8XAG80rYV","object":"chat.completion","created":1777019622,"model":"gpt-5-chat-latest","choices":[{"index":0,"message":{"role":"assistant","content":"Salvatore Ferragamo：经典黑色Gancini系列男士腰带，甄选鳄鱼纹真皮材质，搭配标志性双环金属扣，简约优雅彰显现代意式格调，适合商务与休闲场合。","refusal":null,"annotations":[]},"logprobs":null,"finish_reason":"stop"}],"usage":{"prompt_tokens":1313,"completion_tokens":63,"total_tokens":1376,"prompt_tokens_details":{"cached_tokens":1280,"audio_tokens":0},"completion_tokens_details":{"reasoning_tokens":0,"audio_tokens":0,"accepted_prediction_tokens":0,"rejected_prediction_tokens":0}},"service_tier":"default","system_fingerprint":"fp_ad66631dec"}</t>
        </is>
      </c>
      <c r="X162" t="inlineStr">
        <is>
          <t>Salvatore Ferragamo：经典黑色Gancini系列男士腰带，甄选鳄鱼纹真皮材质，搭配标志性双环金属扣，简约优雅彰显现代意式格调，适合商务与休闲场合。</t>
        </is>
      </c>
    </row>
    <row r="163" ht="25.5" customHeight="1">
      <c r="A163">
        <v>1654975475</v>
      </c>
      <c r="B163">
        <v>7622623614</v>
      </c>
      <c r="C163" s="2" t="str">
        <f>=HYPERLINK("https://weidian.com/item.html?itemID=7622623614", "https://weidian.com/item.html?itemID=7622623614")</f>
        <v>https://weidian.com/item.html?itemID=7622623614</v>
      </c>
      <c r="D163"/>
      <c r="E163" s="2" t="str">
        <f>=HYPERLINK("https://si.geilicdn.com/pcitem2014204438-62ad0000019ad00b38a20a2304aa_1440_1920.jpg?w=640&amp;h=640", "https://si.geilicdn.com/pcitem2014204438-62ad0000019ad00b38a20a2304aa_1440_1920.jpg?w=640&amp;h=640")</f>
        <v>https://si.geilicdn.com/pcitem2014204438-62ad0000019ad00b38a20a2304aa_1440_1920.jpg?w=640&amp;h=640</v>
      </c>
      <c r="F163" t="inlineStr">
        <is>
          <t>Accessories</t>
        </is>
      </c>
      <c r="G163" t="inlineStr">
        <is>
          <t>Louis Vuitton</t>
        </is>
      </c>
      <c r="H163">
        <v>460</v>
      </c>
      <c r="I163">
        <v>66.67</v>
      </c>
      <c r="J163" t="inlineStr">
        <is>
          <t>{"id":"chatcmpl-DYLjReVGQSzqORi3weF9BFlhYngg3","object":"chat.completion","created":1777079061,"model":"gpt-5-chat-latest","choices":[{"index":0,"message":{"role":"assistant","content":"Louis Vuitton LV Initiales Black Leather Men Belt","refusal":null,"annotations":[]},"logprobs":null,"finish_reason":"stop"}],"usage":{"prompt_tokens":875,"completion_tokens":10,"total_tokens":885,"prompt_tokens_details":{"cached_tokens":0,"audio_tokens":0},"completion_tokens_details":{"reasoning_tokens":0,"audio_tokens":0,"accepted_prediction_tokens":0,"rejected_prediction_tokens":0}},"service_tier":"default","system_fingerprint":"fp_ad66631dec"}</t>
        </is>
      </c>
      <c r="K163" t="inlineStr">
        <is>
          <t>Louis Vuitton LV Initiales Black Leather Men Belt</t>
        </is>
      </c>
      <c r="L163" t="inlineStr">
        <is>
          <t>{"id":"chatcmpl-DYLP28LpVG3Qzk3E1iwVTUij81v4b","object":"chat.completion","created":1777077796,"model":"gpt-5-chat-latest","choices":[{"index":0,"message":{"role":"assistant","content":"Louis Vuitton LV Initiales black and gray men's leather belt with gold-tone buckle, fine textured cowhide, stylish and luxurious for business or casual wear, exuding modern French elegance.","refusal":null,"annotations":[]},"logprobs":null,"finish_reason":"stop"}],"usage":{"prompt_tokens":901,"completion_tokens":37,"total_tokens":938,"prompt_tokens_details":{"cached_tokens":0,"audio_tokens":0},"completion_tokens_details":{"reasoning_tokens":0,"audio_tokens":0,"accepted_prediction_tokens":0,"rejected_prediction_tokens":0}},"service_tier":"default","system_fingerprint":"fp_ad66631dec"}</t>
        </is>
      </c>
      <c r="M16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ma=2592000","apim-request-id":"e8c6de23-4c45-4fc1-9917-496888fe4b2b","azureml-model-session":"d20260405212659-a9daa006","cache-control":"no-cache, no-store, must-revalidate","connection":"close","content-length":"993","content-security-policy":"frame-ancestors 'self'","content-type":"application/json","date":"Sat, 25 Apr 2026 00:43:19 GMT","server":"nginx","skip-error-remapping":"true","strict-transport-security":"max-age=31536000; includeSubDomains; preload","via":"1.1 Caddy, 1.1 Caddy","x-api-request-id":"202604250843156152903770v6Kp5v","x-content-type-options":"nosniff","x-frame-options":"SAMEORIGIN","x-ms-is-spilled-over":"false","x-ms-rai-invoked":"false","x-ms-region":"Sweden Central","x-new-api-version":"0.5.1","x-oneapi-request-id":"202604250043139580098768268d9d6Y6vmnzCU","x-ratelimit-abusepenalty-active":"False","x-ratelimit-limit-requests":"4991","x-ratelimit-limit-tokens":"4991000","x-ratelimit-remaining-requests":"4990","x-ratelimit-remaining-tokens":"4989337","x-ratelimit-renewalperiod-requests":"60","x-ratelimit-renewalperiod-tokens":"60","x-ratelimit-reset-requests":"12","x-ratelimit-reset-tokens":"19","x-request-id":"6b2de655-76ca-4d67-a1e1-d38a3dc2e68a"}</t>
        </is>
      </c>
      <c r="N163" t="inlineStr">
        <is>
          <t>Louis Vuitton LV Initiales black and gray men's leather belt with gold-tone buckle, fine textured cowhide, stylish and luxurious for business or casual wear, exuding modern French elegance.</t>
        </is>
      </c>
      <c r="O163" t="inlineStr">
        <is>
          <t>{"id":"chatcmpl-DYLyQu7sI9XOMe3eg8mhxBnIYZGba","object":"chat.completion","created":1777079990,"model":"gpt-5-chat-2025-10-03","choices":[{"index":0,"message":{"role":"assistant","content":"Louis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63" t="inlineStr">
        <is>
          <t>Louis Vuitton, Accessories, kakobuy, kakebuy2026, kekobuysheet, kakobuysheet2026, 2026kakobuy, kakobuyspreadsheeet, kakobuylink, kakebuylist, Kakobuy MEGA Spreadsheet, kakobuysheetfind, kakobuysheetfind2026, 2026kakobuysheetfind, kakobuysheet2026</t>
        </is>
      </c>
      <c r="Q163" t="inlineStr">
        <is>
          <t>LV, Leather, Black, Grey, Business, Men</t>
        </is>
      </c>
      <c r="R163" t="inlineStr">
        <is>
          <t>recvhju1CrgBlK</t>
        </is>
      </c>
      <c r="S163" t="inlineStr">
        <is>
          <t>lv-initiales-black-leather-men-belt-recvhju1crgblk</t>
        </is>
      </c>
      <c r="T163"/>
      <c r="U163"/>
      <c r="V163"/>
      <c r="W163" t="inlineStr">
        <is>
          <t>{"id":"chatcmpl-DY6KShBLBLVTb9yOsmwcBuBIXFEbq","object":"chat.completion","created":1777019852,"model":"gpt-5-chat-latest","choices":[{"index":0,"message":{"role":"assistant","content":"Louis Vuitton：经典LV Initiales系列黑灰色男士牛皮腰带，配以金色金属字母扣设计，皮质纹理高级细腻，展现奢华与力量感，商务休闲皆宜，彰显低调优雅的现代法式格调。","refusal":null,"annotations":[]},"logprobs":null,"finish_reason":"stop"}],"usage":{"prompt_tokens":1301,"completion_tokens":67,"total_tokens":1368,"prompt_tokens_details":{"cached_tokens":0,"audio_tokens":0},"completion_tokens_details":{"reasoning_tokens":0,"audio_tokens":0,"accepted_prediction_tokens":0,"rejected_prediction_tokens":0}},"service_tier":"default","system_fingerprint":"fp_ad66631dec"}</t>
        </is>
      </c>
      <c r="X163" t="inlineStr">
        <is>
          <t>Louis Vuitton：经典LV Initiales系列黑灰色男士牛皮腰带，配以金色金属字母扣设计，皮质纹理高级细腻，展现奢华与力量感，商务休闲皆宜，彰显低调优雅的现代法式格调。</t>
        </is>
      </c>
    </row>
    <row r="164" ht="25.5" customHeight="1">
      <c r="A164">
        <v>1654975475</v>
      </c>
      <c r="B164">
        <v>7619549981</v>
      </c>
      <c r="C164" s="2" t="str">
        <f>=HYPERLINK("https://weidian.com/item.html?itemID=7619549981", "https://weidian.com/item.html?itemID=7619549981")</f>
        <v>https://weidian.com/item.html?itemID=7619549981</v>
      </c>
      <c r="D164"/>
      <c r="E164" s="2" t="str">
        <f>=HYPERLINK("https://si.geilicdn.com/pcitem2014204438-12da0000019ad00900f40a23111a_1080_1080.jpg?w=640&amp;h=640", "https://si.geilicdn.com/pcitem2014204438-12da0000019ad00900f40a23111a_1080_1080.jpg?w=640&amp;h=640")</f>
        <v>https://si.geilicdn.com/pcitem2014204438-12da0000019ad00900f40a23111a_1080_1080.jpg?w=640&amp;h=640</v>
      </c>
      <c r="F164" t="inlineStr">
        <is>
          <t>Accessories</t>
        </is>
      </c>
      <c r="G164" t="inlineStr">
        <is>
          <t>Salvatore Ferragamo</t>
        </is>
      </c>
      <c r="H164">
        <v>520</v>
      </c>
      <c r="I164">
        <v>75.36</v>
      </c>
      <c r="J164" t="inlineStr">
        <is>
          <t>{"choices":[{"finish_reason":"stop","index":0,"logprobs":null,"message":{"annotations":[],"content":"Salvatore Ferragamo Gold Buckle Black Leather Belt","refusal":null,"role":"assistant"}}],"created":1777079011,"id":"chatcmpl-DYLiddUwvBDhHd5HP7uBT9kULXO56","model":"gpt-5-chat-latest","object":"chat.completion","service_tier":"default","system_fingerprint":"fp_ad66631dec","usage":{"completion_tokens":12,"completion_tokens_details":{"accepted_prediction_tokens":0,"audio_tokens":0,"reasoning_tokens":0,"rejected_prediction_tokens":0},"prompt_tokens":874,"prompt_tokens_details":{"audio_tokens":0,"cached_tokens":0},"total_tokens":886}}</t>
        </is>
      </c>
      <c r="K164" t="inlineStr">
        <is>
          <t>Salvatore Ferragamo Gold Buckle Black Leather Belt</t>
        </is>
      </c>
      <c r="L164" t="inlineStr">
        <is>
          <t>{"id":"chatcmpl-DYLS1WfT3cpS5L7mwygZ9q9vRthbt","object":"chat.completion","created":1777077981,"model":"gpt-5-chat-latest","choices":[{"index":0,"message":{"role":"assistant","content":"Salvatore Ferragamo Gold Gancini Buckle Black Top-Grain Leather Belt, Italian Luxury Design, Elegant Texture, Ideal for Men’s Business or Casual Wear.","refusal":null,"annotations":[]},"logprobs":null,"finish_reason":"stop"}],"usage":{"prompt_tokens":881,"completion_tokens":35,"total_tokens":916,"prompt_tokens_details":{"cached_tokens":0,"audio_tokens":0},"completion_tokens_details":{"reasoning_tokens":0,"audio_tokens":0,"accepted_prediction_tokens":0,"rejected_prediction_tokens":0}},"service_tier":"default","system_fingerprint":"fp_ad66631dec"}</t>
        </is>
      </c>
      <c r="M16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ma=2592000","apim-request-id":"9951c5b1-036a-42da-87f3-02e69b81f95c","azureml-model-session":"d20260402083108-57a85543","cache-control":"no-cache, no-store, must-revalidate","connection":"close","content-length":"956","content-security-policy":"frame-ancestors 'self'","content-type":"application/json","date":"Sat, 25 Apr 2026 00:46:23 GMT","server":"nginx","skip-error-remapping":"true","strict-transport-security":"max-age=31536000; includeSubDomains; preload","via":"1.1 Caddy, 1.1 Caddy","x-api-request-id":"20260425084620311225198VEfxNuIJ","x-content-type-options":"nosniff","x-frame-options":"SAMEORIGIN","x-ms-is-spilled-over":"false","x-ms-rai-invoked":"false","x-ms-region":"Sweden Central","x-new-api-version":"0.5.1","x-oneapi-request-id":"202604250046198306116558268d9d61os9sm52","x-ratelimit-abusepenalty-active":"False","x-ratelimit-limit-requests":"4991","x-ratelimit-limit-tokens":"4991000","x-ratelimit-remaining-requests":"4990","x-ratelimit-remaining-tokens":"4989357","x-ratelimit-renewalperiod-requests":"60","x-ratelimit-renewalperiod-tokens":"60","x-ratelimit-reset-requests":"12","x-ratelimit-reset-tokens":"19","x-request-id":"3bcd8c32-1237-44cb-a269-eba11f34177b"}</t>
        </is>
      </c>
      <c r="N164" t="inlineStr">
        <is>
          <t>Salvatore Ferragamo Gold Gancini Buckle Black Top-Grain Leather Belt, Italian Luxury Design, Elegant Texture, Ideal for Men’s Business or Casual Wear.</t>
        </is>
      </c>
      <c r="O164" t="inlineStr">
        <is>
          <t>{"id":"chatcmpl-DYLxJEoLtFy2o4WoQB0EUB6rs8kqQ","object":"chat.completion","created":1777079921,"model":"gpt-5-chat-2025-10-03","choices":[{"index":0,"message":{"role":"assistant","content":"Salvatore Ferragamo,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164" t="inlineStr">
        <is>
          <t>Salvatore Ferragamo, Accessories, kakobuy, kakebuy2026, kekobuysheet, kakobuysheet2026, 2026kakobuy, kakobuyspreadsheeet, kakobuylink, kakebuylist, Kakobuy MEGA Spreadsheet, kakobuysheetfind, kakobuysheetfind2026, 2026kakobuysheetfind, kakobuysheet2026</t>
        </is>
      </c>
      <c r="Q164" t="inlineStr">
        <is>
          <t>Black, Leather, Elegant, Business, Business Casual, Men</t>
        </is>
      </c>
      <c r="R164" t="inlineStr">
        <is>
          <t>recvhju1Cr3fO4</t>
        </is>
      </c>
      <c r="S164" t="inlineStr">
        <is>
          <t>ferragamo-gold-buckle-black-leather-belt-recvhju1cr3fo4</t>
        </is>
      </c>
      <c r="T164"/>
      <c r="U164"/>
      <c r="V164"/>
      <c r="W164" t="inlineStr">
        <is>
          <t>{"id":"chatcmpl-DY6E3cJ8G8IPUGvIO6PlwNfUc9mfX","object":"chat.completion","created":1777019455,"model":"gpt-5-chat-latest","choices":[{"index":0,"message":{"role":"assistant","content":"Salvatore Ferragamo：金色Gancini钢扣黑色头层牛皮腰带，意式奢华设计，质感典雅，男士商务休闲百搭之选。","refusal":null,"annotations":[]},"logprobs":null,"finish_reason":"stop"}],"usage":{"prompt_tokens":1305,"completion_tokens":45,"total_tokens":1350,"prompt_tokens_details":{"cached_tokens":0,"audio_tokens":0},"completion_tokens_details":{"reasoning_tokens":0,"audio_tokens":0,"accepted_prediction_tokens":0,"rejected_prediction_tokens":0}},"service_tier":"default","system_fingerprint":"fp_ad66631dec"}</t>
        </is>
      </c>
      <c r="X164" t="inlineStr">
        <is>
          <t>Salvatore Ferragamo：金色Gancini钢扣黑色头层牛皮腰带，意式奢华设计，质感典雅，男士商务休闲百搭之选。</t>
        </is>
      </c>
    </row>
    <row r="165" ht="25.5" customHeight="1">
      <c r="A165">
        <v>1654975475</v>
      </c>
      <c r="B165">
        <v>7619384469</v>
      </c>
      <c r="C165" s="2" t="str">
        <f>=HYPERLINK("https://weidian.com/item.html?itemID=7619384469", "https://weidian.com/item.html?itemID=7619384469")</f>
        <v>https://weidian.com/item.html?itemID=7619384469</v>
      </c>
      <c r="D165"/>
      <c r="E165" s="2" t="str">
        <f>=HYPERLINK("https://si.geilicdn.com/pcitem2014204438-47630000019acda07ffa0a207569_1290_1612.jpg?w=640&amp;h=640", "https://si.geilicdn.com/pcitem2014204438-47630000019acda07ffa0a207569_1290_1612.jpg?w=640&amp;h=640")</f>
        <v>https://si.geilicdn.com/pcitem2014204438-47630000019acda07ffa0a207569_1290_1612.jpg?w=640&amp;h=640</v>
      </c>
      <c r="F165" t="inlineStr">
        <is>
          <t>Accessories</t>
        </is>
      </c>
      <c r="G165" t="inlineStr">
        <is>
          <t>Fendi</t>
        </is>
      </c>
      <c r="H165">
        <v>490</v>
      </c>
      <c r="I165">
        <v>71.01</v>
      </c>
      <c r="J165" t="inlineStr">
        <is>
          <t>{"id":"chatcmpl-DYLlveoreidKl6kAl83nZ6BoGrF1h","object":"chat.completion","created":1777079215,"model":"gpt-5-chat-2025-10-03","choices":[{"index":0,"message":{"role":"assistant","content":"Fendi FF Reversible Leather Belt Brown Black Unisex","refusal":null,"annotations":[]},"logprobs":null,"finish_reason":"stop"}],"usage":{"prompt_tokens":875,"completion_tokens":12,"total_tokens":887,"prompt_tokens_details":{"cached_tokens":0,"audio_tokens":0},"completion_tokens_details":{"reasoning_tokens":0,"audio_tokens":0,"accepted_prediction_tokens":0,"rejected_prediction_tokens":0}},"service_tier":"default","system_fingerprint":"fp_ad66631dec"}</t>
        </is>
      </c>
      <c r="K165" t="inlineStr">
        <is>
          <t>Fendi FF Reversible Leather Belt Brown Black Unisex</t>
        </is>
      </c>
      <c r="L165" t="inlineStr">
        <is>
          <t>{"id":"chatcmpl-DYLaRNfajOTjhVaSaUWuRD8OlCa01","object":"chat.completion","created":1777078503,"model":"gpt-5-chat-latest","choices":[{"index":0,"message":{"role":"assistant","content":"Fendi FF Series reversible belt in dark brown and black grain leather, features signature logo print, metal double F buckle, unisex design, blending luxury Italian style with modern elegance.","refusal":null,"annotations":[]},"logprobs":null,"finish_reason":"stop"}],"usage":{"prompt_tokens":902,"completion_tokens":37,"total_tokens":939,"prompt_tokens_details":{"cached_tokens":0,"audio_tokens":0},"completion_tokens_details":{"reasoning_tokens":0,"audio_tokens":0,"accepted_prediction_tokens":0,"rejected_prediction_tokens":0}},"service_tier":"default","system_fingerprint":"fp_ad66631dec"}</t>
        </is>
      </c>
      <c r="M16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ma=2592000","apim-request-id":"50688eb7-b49e-4efc-b74e-a04996ac3926","azureml-model-session":"d20260402075109-1fc5a0ec","cache-control":"no-cache, no-store, must-revalidate","connection":"close","content-length":"995","content-security-policy":"frame-ancestors 'self'","content-type":"application/json","date":"Sat, 25 Apr 2026 00:55:05 GMT","server":"Caddy","skip-error-remapping":"true","strict-transport-security":"max-age=31536000; includeSubDomains; preload","via":"1.1 Caddy","x-api-request-id":"20260425085502838662797gyqWtb8g","x-content-type-options":"nosniff","x-frame-options":"SAMEORIGIN","x-ms-is-spilled-over":"false","x-ms-rai-invoked":"false","x-ms-region":"East US 2","x-new-api-version":"0.5.1","x-oneapi-request-id":"202604250055019507599418268d9d6Cps6cLnd","x-ratelimit-abusepenalty-active":"False","x-ratelimit-limit-requests":"4992","x-ratelimit-limit-tokens":"4992000","x-ratelimit-remaining-requests":"4991","x-ratelimit-remaining-tokens":"4990336","x-ratelimit-renewalperiod-requests":"60","x-ratelimit-renewalperiod-tokens":"60","x-ratelimit-reset-requests":"12","x-ratelimit-reset-tokens":"20","x-request-id":"066becf7-b1d6-441e-8f2c-e6ac0ae9212d"}</t>
        </is>
      </c>
      <c r="N165" t="inlineStr">
        <is>
          <t>Fendi FF Series reversible belt in dark brown and black grain leather, features signature logo print, metal double F buckle, unisex design, blending luxury Italian style with modern elegance.</t>
        </is>
      </c>
      <c r="O165" t="inlineStr">
        <is>
          <t>{"id":"chatcmpl-DYLuyiUxpyMB2LQDq4638DPsw0tHK","object":"chat.completion","created":1777079776,"model":"gpt-5-chat-2025-10-03","choices":[{"index":0,"message":{"role":"assistant","content":"Fend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65" t="inlineStr">
        <is>
          <t>Fendi,Accessories,kakobuy,kakebuy2026,kekobuysheet,kakobuysheet2026,2026kakobuy,kakobuyspreadsheeet,kakobuylink,kakebuylist,Kakobuy MEGA Spreadsheet,kakobuysheetfind,kakobuysheetfind2026,2026kakobuysheetfind,kakobuysheet2026</t>
        </is>
      </c>
      <c r="Q165" t="inlineStr">
        <is>
          <t>Dark Brown, Black, Leather, Unisex, High End, Elegant</t>
        </is>
      </c>
      <c r="R165" t="inlineStr">
        <is>
          <t>recvhju1CrRRpd</t>
        </is>
      </c>
      <c r="S165" t="inlineStr">
        <is>
          <t>fendi-ff-reversible-leather-belt-brown-black-recvhju1crrrpd</t>
        </is>
      </c>
      <c r="T165"/>
      <c r="U165"/>
      <c r="V165"/>
      <c r="W165" t="inlineStr">
        <is>
          <t>{"choices":[{"finish_reason":"stop","index":0,"logprobs":null,"message":{"annotations":[],"content":"Fendi：FF系列深棕拼黑色双面皮革腰带，采用优质粒面牛皮与经典字母印花设计，配金属双F扣头，彰显奢华意式格调，男女皆宜，呈现现代简约与复古融合的时尚品味。","refusal":null,"role":"assistant"}}],"created":1777019495,"id":"chatcmpl-DY6EheOxGebwNfG7fG1MJqv3Z6X9G","model":"gpt-5-chat-latest","object":"chat.completion","service_tier":"default","system_fingerprint":"fp_ad66631dec","usage":{"completion_tokens":71,"completion_tokens_details":{"accepted_prediction_tokens":0,"audio_tokens":0,"reasoning_tokens":0,"rejected_prediction_tokens":0},"prompt_tokens":1295,"prompt_tokens_details":{"audio_tokens":0,"cached_tokens":0},"total_tokens":1366}}</t>
        </is>
      </c>
      <c r="X165" t="inlineStr">
        <is>
          <t>Fendi：FF系列深棕拼黑色双面皮革腰带，采用优质粒面牛皮与经典字母印花设计，配金属双F扣头，彰显奢华意式格调，男女皆宜，呈现现代简约与复古融合的时尚品味。</t>
        </is>
      </c>
    </row>
    <row r="166" ht="25.5" customHeight="1">
      <c r="A166">
        <v>1654975475</v>
      </c>
      <c r="B166">
        <v>7622567880</v>
      </c>
      <c r="C166" s="2" t="str">
        <f>=HYPERLINK("https://weidian.com/item.html?itemID=7622567880", "https://weidian.com/item.html?itemID=7622567880")</f>
        <v>https://weidian.com/item.html?itemID=7622567880</v>
      </c>
      <c r="D166"/>
      <c r="E166" s="2" t="str">
        <f>=HYPERLINK("https://si.geilicdn.com/pcitem2014204438-6aaf0000019acfd724240a20e273_1512_2016.jpg?w=640&amp;h=640", "https://si.geilicdn.com/pcitem2014204438-6aaf0000019acfd724240a20e273_1512_2016.jpg?w=640&amp;h=640")</f>
        <v>https://si.geilicdn.com/pcitem2014204438-6aaf0000019acfd724240a20e273_1512_2016.jpg?w=640&amp;h=640</v>
      </c>
      <c r="F166" t="inlineStr">
        <is>
          <t>Accessories</t>
        </is>
      </c>
      <c r="G166" t="inlineStr">
        <is>
          <t>Dior</t>
        </is>
      </c>
      <c r="H166">
        <v>480</v>
      </c>
      <c r="I166">
        <v>69.5797101449275</v>
      </c>
      <c r="J166" t="inlineStr">
        <is>
          <t>{"id":"chatcmpl-DYLkx9KYbF4TqEQYKNDEJdV7vq4pX","object":"chat.completion","created":1777079155,"model":"gpt-5-chat-latest","choices":[{"index":0,"message":{"role":"assistant","content":"Dior Men Blue Oblique Leather CD Buckle Belt","refusal":null,"annotations":[]},"logprobs":null,"finish_reason":"stop"}],"usage":{"prompt_tokens":877,"completion_tokens":12,"total_tokens":889,"prompt_tokens_details":{"cached_tokens":0,"audio_tokens":0},"completion_tokens_details":{"reasoning_tokens":0,"audio_tokens":0,"accepted_prediction_tokens":0,"rejected_prediction_tokens":0}},"service_tier":"default","system_fingerprint":"fp_ad66631dec"}</t>
        </is>
      </c>
      <c r="K166" t="inlineStr">
        <is>
          <t>Dior Men Blue Oblique Leather CD Buckle Belt</t>
        </is>
      </c>
      <c r="L166" t="inlineStr">
        <is>
          <t>{"id":"chatcmpl-DYLSz0VTQYULZHSE53RO8PNb0vAGP","object":"chat.completion","created":1777078041,"model":"gpt-5-chat-latest","choices":[{"index":0,"message":{"role":"assistant","content":"Dior Men’s Blue Oblique Print Leather Belt, crafted from premium calfskin with a silver CD buckle, blending classic French elegance and modern sophistication—perfect for business or casual style.","refusal":null,"annotations":[]},"logprobs":null,"finish_reason":"stop"}],"usage":{"prompt_tokens":897,"completion_tokens":38,"total_tokens":935,"prompt_tokens_details":{"cached_tokens":0,"audio_tokens":0},"completion_tokens_details":{"reasoning_tokens":0,"audio_tokens":0,"accepted_prediction_tokens":0,"rejected_prediction_tokens":0}},"service_tier":"default","system_fingerprint":"fp_ad66631dec"}</t>
        </is>
      </c>
      <c r="M16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ma=2592000","apim-request-id":"db107d62-7a11-43cd-8709-e85c1278d79a","azureml-model-session":"d20260402075109-1fc5a0ec","cache-control":"no-cache, no-store, must-revalidate","connection":"close","content-length":"1003","content-security-policy":"frame-ancestors 'self'","content-type":"application/json","date":"Sat, 25 Apr 2026 00:47:23 GMT","server":"Caddy","skip-error-remapping":"true","strict-transport-security":"max-age=31536000; includeSubDomains; preload","via":"1.1 Caddy","x-api-request-id":"202604250847207125126787UHNflA","x-content-type-options":"nosniff","x-frame-options":"SAMEORIGIN","x-ms-is-spilled-over":"false","x-ms-rai-invoked":"false","x-ms-region":"Sweden Central","x-new-api-version":"0.5.1","x-oneapi-request-id":"202604250047177737419608268d9d6NesEO4sO","x-ratelimit-abusepenalty-active":"False","x-ratelimit-limit-requests":"4991","x-ratelimit-limit-tokens":"4991000","x-ratelimit-remaining-requests":"4990","x-ratelimit-remaining-tokens":"4989341","x-ratelimit-renewalperiod-requests":"60","x-ratelimit-renewalperiod-tokens":"60","x-ratelimit-reset-requests":"12","x-ratelimit-reset-tokens":"19","x-request-id":"2fd095c9-d6f9-43b6-bafa-4f1ba3bc34be"}</t>
        </is>
      </c>
      <c r="N166" t="inlineStr">
        <is>
          <t>Dior Men’s Blue Oblique Print Leather Belt, crafted from premium calfskin with a silver CD buckle, blending classic French elegance and modern sophistication—perfect for business or casual style.</t>
        </is>
      </c>
      <c r="O166" t="inlineStr">
        <is>
          <t>{"id":"chatcmpl-DYLu5lusvWF9hg0XofFgfeJxU6fAm","object":"chat.completion","created":1777079721,"model":"gpt-5-chat-2025-10-03","choices":[{"index":0,"message":{"role":"assistant","content":"Dior, Belt, kakobuy, kakebuy2026, kekobuysheet, kakobuysheet2026, 2026kakobuy, kakobuyspreadsheet, kakobuylink, kakebuylist, Kakobuy MEGA Spreadsheet, kakobuysheetfind, kakobuysheetfind2026, 2026kakobuysheetfind, kakobuysheet2026","refusal":null,"annotations":[]},"logprobs":null,"finish_reason":"stop"}],"usage":{"prompt_tokens":782,"completion_tokens":89,"total_tokens":871,"prompt_tokens_details":{"cached_tokens":0,"audio_tokens":0},"completion_tokens_details":{"reasoning_tokens":0,"audio_tokens":0,"accepted_prediction_tokens":0,"rejected_prediction_tokens":0}},"service_tier":"default","system_fingerprint":"fp_ad66631dec"}</t>
        </is>
      </c>
      <c r="P166" t="inlineStr">
        <is>
          <t>Dior, Belt, kakobuy, kakebuy2026, kekobuysheet, kakobuysheet2026, 2026kakobuy, kakobuyspreadsheet, kakobuylink, kakebuylist, Kakobuy MEGA Spreadsheet, kakobuysheetfind, kakobuysheetfind2026, 2026kakobuysheetfind, kakobuysheet2026</t>
        </is>
      </c>
      <c r="Q166" t="inlineStr">
        <is>
          <t>Dior, Blue, Leather, Elegant, Business, Business Casual</t>
        </is>
      </c>
      <c r="R166" t="inlineStr">
        <is>
          <t>recvhju1CrfZxi</t>
        </is>
      </c>
      <c r="S166" t="inlineStr">
        <is>
          <t>dior-men-blue-oblique-leather-cd-buckle-belt-recvhju1crfzxi</t>
        </is>
      </c>
      <c r="T166"/>
      <c r="U166"/>
      <c r="V166"/>
      <c r="W166" t="inlineStr">
        <is>
          <t>{"choices":[{"finish_reason":"stop","index":0,"logprobs":null,"message":{"annotations":[],"content":"Dior：蓝色Oblique印花男士皮带，选用高级牛皮材质，银色CD金属扣设计，展现经典法式优雅与现代摩登气质，彰显低调奢华格调，适合商务与休闲搭配。","refusal":null,"role":"assistant"}}],"created":1777019587,"id":"chatcmpl-DY6GBwlfU50oHi1h2riGK6bPzlnBw","model":"gpt-5-chat-latest","object":"chat.completion","service_tier":"default","system_fingerprint":"fp_ad66631dec","usage":{"completion_tokens":64,"completion_tokens_details":{"accepted_prediction_tokens":0,"audio_tokens":0,"reasoning_tokens":0,"rejected_prediction_tokens":0},"prompt_tokens":1299,"prompt_tokens_details":{"audio_tokens":0,"cached_tokens":0},"total_tokens":1363}}</t>
        </is>
      </c>
      <c r="X166" t="inlineStr">
        <is>
          <t>Dior：蓝色Oblique印花男士皮带，选用高级牛皮材质，银色CD金属扣设计，展现经典法式优雅与现代摩登气质，彰显低调奢华格调，适合商务与休闲搭配。</t>
        </is>
      </c>
    </row>
    <row r="167" ht="25.5" customHeight="1">
      <c r="A167">
        <v>1654975475</v>
      </c>
      <c r="B167">
        <v>7622556182</v>
      </c>
      <c r="C167" s="2" t="str">
        <f>=HYPERLINK("https://weidian.com/item.html?itemID=7622556182", "https://weidian.com/item.html?itemID=7622556182")</f>
        <v>https://weidian.com/item.html?itemID=7622556182</v>
      </c>
      <c r="D167"/>
      <c r="E167" s="2" t="str">
        <f>=HYPERLINK("https://si.geilicdn.com/pcitem2014204438-07c60000019ad0074bfc0a23047e_1512_2016.jpg?w=640&amp;h=640", "https://si.geilicdn.com/pcitem2014204438-07c60000019ad0074bfc0a23047e_1512_2016.jpg?w=640&amp;h=640")</f>
        <v>https://si.geilicdn.com/pcitem2014204438-07c60000019ad0074bfc0a23047e_1512_2016.jpg?w=640&amp;h=640</v>
      </c>
      <c r="F167" t="inlineStr">
        <is>
          <t>Accessories</t>
        </is>
      </c>
      <c r="G167" t="inlineStr">
        <is>
          <t>Hermes</t>
        </is>
      </c>
      <c r="H167">
        <v>460</v>
      </c>
      <c r="I167">
        <v>66.67</v>
      </c>
      <c r="J167" t="inlineStr">
        <is>
          <t>{"id":"chatcmpl-DYLgG5ENaGt1FwsPLHYUNIbnEZbPN","object":"chat.completion","created":1777078864,"model":"gpt-5-chat-latest","choices":[{"index":0,"message":{"role":"assistant","content":"Hermes Kelly Black Epsom Leather Belt Gold Buckle","refusal":null,"annotations":[]},"logprobs":null,"finish_reason":"stop"}],"usage":{"prompt_tokens":879,"completion_tokens":13,"total_tokens":892,"prompt_tokens_details":{"cached_tokens":0,"audio_tokens":0},"completion_tokens_details":{"reasoning_tokens":0,"audio_tokens":0,"accepted_prediction_tokens":0,"rejected_prediction_tokens":0}},"service_tier":"default","system_fingerprint":"fp_ad66631dec"}</t>
        </is>
      </c>
      <c r="K167" t="inlineStr">
        <is>
          <t>Hermes Kelly Black Epsom Leather Belt Gold Buckle</t>
        </is>
      </c>
      <c r="L167" t="inlineStr">
        <is>
          <t>{"id":"chatcmpl-DYLYrv5vnUHfkhZqK4GiBFUL92Zjf","object":"chat.completion","created":1777078405,"model":"gpt-5-chat-latest","choices":[{"index":0,"message":{"role":"assistant","content":"Hermes Kelly Black Belt in Epsom calfskin with gold turn-lock buckle, sleek unisex narrow design, perfect for urban commute or luxury casual style, showcasing timeless Parisian elegance.","refusal":null,"annotations":[]},"logprobs":null,"finish_reason":"stop"}],"usage":{"prompt_tokens":907,"completion_tokens":39,"total_tokens":946,"prompt_tokens_details":{"cached_tokens":0,"audio_tokens":0},"completion_tokens_details":{"reasoning_tokens":0,"audio_tokens":0,"accepted_prediction_tokens":0,"rejected_prediction_tokens":0}},"service_tier":"default","system_fingerprint":"fp_ad66631dec"}</t>
        </is>
      </c>
      <c r="M16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ma=2592000","apim-request-id":"fc0c9bca-3d55-4c27-93c7-1a26f01a03ec","azureml-model-session":"d20260402084046-4209e968","cache-control":"no-cache, no-store, must-revalidate","connection":"close","content-length":"990","content-security-policy":"frame-ancestors 'self'","content-type":"application/json","date":"Sat, 25 Apr 2026 00:53:30 GMT","server":"Caddy","skip-error-remapping":"true","strict-transport-security":"max-age=31536000; includeSubDomains; preload","via":"1.1 Caddy","x-api-request-id":"202604250853231245076820kVfY9jA","x-content-type-options":"nosniff","x-frame-options":"SAMEORIGIN","x-ms-is-spilled-over":"false","x-ms-rai-invoked":"false","x-ms-region":"Sweden Central","x-new-api-version":"0.5.1","x-oneapi-request-id":"202604250053227919604138268d9d6ofT38l1s","x-ratelimit-abusepenalty-active":"False","x-ratelimit-limit-requests":"4991","x-ratelimit-limit-tokens":"4991000","x-ratelimit-remaining-requests":"4990","x-ratelimit-remaining-tokens":"4989331","x-ratelimit-renewalperiod-requests":"60","x-ratelimit-renewalperiod-tokens":"60","x-ratelimit-reset-requests":"12","x-ratelimit-reset-tokens":"20","x-request-id":"3aad5cc9-19e0-9f8f-b1ab-6c7e4a754c71"}</t>
        </is>
      </c>
      <c r="N167" t="inlineStr">
        <is>
          <t>Hermes Kelly Black Belt in Epsom calfskin with gold turn-lock buckle, sleek unisex narrow design, perfect for urban commute or luxury casual style, showcasing timeless Parisian elegance.</t>
        </is>
      </c>
      <c r="O167" t="inlineStr">
        <is>
          <t>{"id":"chatcmpl-DYLwKV12uktZJg9ridqwZCfLio87M","object":"chat.completion","created":1777079860,"model":"gpt-5-chat-2025-10-03","choices":[{"index":0,"message":{"role":"assistant","content":"Hermes, Accessory,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92,"total_tokens":874,"prompt_tokens_details":{"cached_tokens":0,"audio_tokens":0},"completion_tokens_details":{"reasoning_tokens":0,"audio_tokens":0,"accepted_prediction_tokens":0,"rejected_prediction_tokens":0}},"service_tier":"default","system_fingerprint":"fp_ad66631dec"}</t>
        </is>
      </c>
      <c r="P167" t="inlineStr">
        <is>
          <t>Hermes, Accessory, kakobuy, kakebuy2026, kekobuysheet, kakobuysheet2026, 2026kakobuy, kakobuyspreadsheeet, kakobuylink, kakebuylist, Kakobuy MEGA Spreadsheet, kakobuysheetfind, kakobuysheetfind2026, 2026kakobuysheetfind, kakobuysheet2026</t>
        </is>
      </c>
      <c r="Q167"/>
      <c r="R167" t="inlineStr">
        <is>
          <t>recvhju1CrtTyP</t>
        </is>
      </c>
      <c r="S167" t="inlineStr">
        <is>
          <t>hermes-kelly-black-epsom-leather-belt-gold-buckle-recvhju1crttyp</t>
        </is>
      </c>
      <c r="T167"/>
      <c r="U167"/>
      <c r="V167"/>
      <c r="W167" t="inlineStr">
        <is>
          <t>{"id":"chatcmpl-DY6Kll5cCLSleH4Nk5aR4XrSNAQBj","object":"chat.completion","created":1777019871,"model":"gpt-5-chat-latest","choices":[{"index":0,"message":{"role":"assistant","content":"Hermes：经典黑色Kelly皮带，精选Epsom小牛皮与金色转锁扣设计，展现法式优雅格调。简约细窄款式，男女皆宜，适合现代都市通勤或高端休闲造型，彰显精致品味与永恒时尚。","refusal":null,"annotations":[]},"logprobs":null,"finish_reason":"stop"}],"usage":{"prompt_tokens":1301,"completion_tokens":73,"total_tokens":1374,"prompt_tokens_details":{"cached_tokens":0,"audio_tokens":0},"completion_tokens_details":{"reasoning_tokens":0,"audio_tokens":0,"accepted_prediction_tokens":0,"rejected_prediction_tokens":0}},"service_tier":"default","system_fingerprint":"fp_ad66631dec"}</t>
        </is>
      </c>
      <c r="X167" t="inlineStr">
        <is>
          <t>Hermes：经典黑色Kelly皮带，精选Epsom小牛皮与金色转锁扣设计，展现法式优雅格调。简约细窄款式，男女皆宜，适合现代都市通勤或高端休闲造型，彰显精致品味与永恒时尚。</t>
        </is>
      </c>
    </row>
    <row r="168" ht="25.5" customHeight="1">
      <c r="A168">
        <v>1654975475</v>
      </c>
      <c r="B168">
        <v>7622514136</v>
      </c>
      <c r="C168" s="2" t="str">
        <f>=HYPERLINK("https://weidian.com/item.html?itemID=7622514136", "https://weidian.com/item.html?itemID=7622514136")</f>
        <v>https://weidian.com/item.html?itemID=7622514136</v>
      </c>
      <c r="D168"/>
      <c r="E168" s="2" t="str">
        <f>=HYPERLINK("https://si.geilicdn.com/pcitem2014204438-7bc30000019ad00a162b0a239646_1080_1080.jpg?w=640&amp;h=640", "https://si.geilicdn.com/pcitem2014204438-7bc30000019ad00a162b0a239646_1080_1080.jpg?w=640&amp;h=640")</f>
        <v>https://si.geilicdn.com/pcitem2014204438-7bc30000019ad00a162b0a239646_1080_1080.jpg?w=640&amp;h=640</v>
      </c>
      <c r="F168" t="inlineStr">
        <is>
          <t>Accessories</t>
        </is>
      </c>
      <c r="G168" t="inlineStr">
        <is>
          <t>Louis Vuitton</t>
        </is>
      </c>
      <c r="H168">
        <v>520</v>
      </c>
      <c r="I168">
        <v>75.36</v>
      </c>
      <c r="J168" t="inlineStr">
        <is>
          <t>{"choices":[{"finish_reason":"stop","index":0,"logprobs":null,"message":{"annotations":[],"content":"Louis Vuitton Men Black Leather Belt Set Gold Buckle","refusal":null,"role":"assistant"}}],"created":1777078887,"id":"chatcmpl-DYLgdtrmI2y52JBAV5ZnOxBxazWse","model":"gpt-5-chat-latest","object":"chat.completion","service_tier":"default","system_fingerprint":"fp_ad66631dec","usage":{"completion_tokens":11,"completion_tokens_details":{"accepted_prediction_tokens":0,"audio_tokens":0,"reasoning_tokens":0,"rejected_prediction_tokens":0},"prompt_tokens":871,"prompt_tokens_details":{"audio_tokens":0,"cached_tokens":0},"total_tokens":882}}</t>
        </is>
      </c>
      <c r="K168" t="inlineStr">
        <is>
          <t>Louis Vuitton Men Black Leather Belt Set Gold Buckle</t>
        </is>
      </c>
      <c r="L168" t="inlineStr">
        <is>
          <t>{"id":"chatcmpl-DYLSTsPSQeDu4qD90af1pIaG0tNCT","object":"chat.completion","created":1777078009,"model":"gpt-5-chat-latest","choices":[{"index":0,"message":{"role":"assistant","content":"Louis Vuitton Men’s Black Leather Belt Set with Gold LV Logo Buckle, crafted from premium first-layer cowhide, elegant and luxurious, perfect for business or casual wear.","refusal":null,"annotations":[]},"logprobs":null,"finish_reason":"stop"}],"usage":{"prompt_tokens":891,"completion_tokens":35,"total_tokens":926,"prompt_tokens_details":{"cached_tokens":0,"audio_tokens":0},"completion_tokens_details":{"reasoning_tokens":0,"audio_tokens":0,"accepted_prediction_tokens":0,"rejected_prediction_tokens":0}},"service_tier":"default","system_fingerprint":"fp_ad66631dec"}</t>
        </is>
      </c>
      <c r="M16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ma=2592000","apim-request-id":"b5ecf82a-5854-4505-8464-a3797123589c","azureml-model-session":"d20260405234249-f9874baf","cache-control":"no-cache, no-store, must-revalidate","connection":"close","content-length":"976","content-security-policy":"frame-ancestors 'self'","content-type":"application/json","date":"Sat, 25 Apr 2026 00:46:50 GMT","server":"Caddy","skip-error-remapping":"true","strict-transport-security":"max-age=31536000; includeSubDomains; preload","via":"1.1 Caddy","x-api-request-id":"2026042508464874375127497zOUh61","x-content-type-options":"nosniff","x-frame-options":"SAMEORIGIN","x-ms-is-spilled-over":"false","x-ms-rai-invoked":"false","x-ms-region":"East US 2","x-new-api-version":"0.5.1","x-oneapi-request-id":"202604250046472089426208268d9d6UtBMU7ms","x-ratelimit-abusepenalty-active":"False","x-ratelimit-limit-requests":"4992","x-ratelimit-limit-tokens":"4992000","x-ratelimit-remaining-requests":"4991","x-ratelimit-remaining-tokens":"4990347","x-ratelimit-renewalperiod-requests":"60","x-ratelimit-renewalperiod-tokens":"60","x-ratelimit-reset-requests":"12","x-ratelimit-reset-tokens":"19","x-request-id":"7323a760-d62e-4785-9d1a-075e5d0b0592"}</t>
        </is>
      </c>
      <c r="N168" t="inlineStr">
        <is>
          <t>Louis Vuitton Men’s Black Leather Belt Set with Gold LV Logo Buckle, crafted from premium first-layer cowhide, elegant and luxurious, perfect for business or casual wear.</t>
        </is>
      </c>
      <c r="O168" t="inlineStr">
        <is>
          <t>{"id":"chatcmpl-DYM09zA6xGKkdK8DYrfwUNkzWv10f","object":"chat.completion","created":1777080097,"model":"gpt-5-chat-2025-10-03","choices":[{"index":0,"message":{"role":"assistant","content":"Louis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68" t="inlineStr">
        <is>
          <t>Louis Vuitton, Accessories, kakobuy, kakebuy2026, kekobuysheet, kakobuysheet2026, 2026kakobuy, kakobuyspreadsheeet, kakobuylink, kakebuylist, Kakobuy MEGA Spreadsheet, kakobuysheetfind, kakobuysheetfind2026, 2026kakobuysheetfind, kakobuysheet2026</t>
        </is>
      </c>
      <c r="Q168" t="inlineStr">
        <is>
          <t>LV, Black, Leather, Elegant, Business, Men</t>
        </is>
      </c>
      <c r="R168" t="inlineStr">
        <is>
          <t>recvhju1Crg4su</t>
        </is>
      </c>
      <c r="S168" t="inlineStr">
        <is>
          <t>louis-vuitton-men-black-leather-belt-gold-buckle-recvhju1crg4su</t>
        </is>
      </c>
      <c r="T168"/>
      <c r="U168"/>
      <c r="V168"/>
      <c r="W168" t="inlineStr">
        <is>
          <t>{"id":"chatcmpl-DY6JTpSprjua4TOGDTGS2cg9DOksX","object":"chat.completion","created":1777019791,"model":"gpt-5-chat-latest","choices":[{"index":0,"message":{"role":"assistant","content":"Louis Vuitton：黑色真皮男士腰带套装，金色LV字母扣设计，精选头层牛皮材质，质感奢华典雅，彰显品牌高端格调，适合商务与休闲场合佩戴。","refusal":null,"annotations":[]},"logprobs":null,"finish_reason":"stop"}],"usage":{"prompt_tokens":1299,"completion_tokens":58,"total_tokens":1357,"prompt_tokens_details":{"cached_tokens":0,"audio_tokens":0},"completion_tokens_details":{"reasoning_tokens":0,"audio_tokens":0,"accepted_prediction_tokens":0,"rejected_prediction_tokens":0}},"service_tier":"default","system_fingerprint":"fp_ad66631dec"}</t>
        </is>
      </c>
      <c r="X168" t="inlineStr">
        <is>
          <t>Louis Vuitton：黑色真皮男士腰带套装，金色LV字母扣设计，精选头层牛皮材质，质感奢华典雅，彰显品牌高端格调，适合商务与休闲场合佩戴。</t>
        </is>
      </c>
    </row>
    <row r="169" ht="25.5" customHeight="1">
      <c r="A169">
        <v>1654975475</v>
      </c>
      <c r="B169">
        <v>7622613664</v>
      </c>
      <c r="C169" s="2" t="str">
        <f>=HYPERLINK("https://weidian.com/item.html?itemID=7622613664", "https://weidian.com/item.html?itemID=7622613664")</f>
        <v>https://weidian.com/item.html?itemID=7622613664</v>
      </c>
      <c r="D169"/>
      <c r="E169" s="2" t="str">
        <f>=HYPERLINK("https://si.geilicdn.com/pcitem2014204438-7d7b0000019ad00603990a239846_1080_1080.jpg?w=640&amp;h=640", "https://si.geilicdn.com/pcitem2014204438-7d7b0000019ad00603990a239846_1080_1080.jpg?w=640&amp;h=640")</f>
        <v>https://si.geilicdn.com/pcitem2014204438-7d7b0000019ad00603990a239846_1080_1080.jpg?w=640&amp;h=640</v>
      </c>
      <c r="F169" t="inlineStr">
        <is>
          <t>Accessories</t>
        </is>
      </c>
      <c r="G169" t="inlineStr">
        <is>
          <t>Louis Vuitton</t>
        </is>
      </c>
      <c r="H169">
        <v>460</v>
      </c>
      <c r="I169">
        <v>66.67</v>
      </c>
      <c r="J169" t="inlineStr">
        <is>
          <t>{"id":"chatcmpl-DYLiLuCQFGYbprjZFPwsqrvcoLbI6","object":"chat.completion","created":1777078993,"model":"gpt-5-chat-latest","choices":[{"index":0,"message":{"role":"assistant","content":"Louis Vuitton Red LV Leather Reversible Belt","refusal":null,"annotations":[]},"logprobs":null,"finish_reason":"stop"}],"usage":{"prompt_tokens":869,"completion_tokens":9,"total_tokens":878,"prompt_tokens_details":{"cached_tokens":0,"audio_tokens":0},"completion_tokens_details":{"reasoning_tokens":0,"audio_tokens":0,"accepted_prediction_tokens":0,"rejected_prediction_tokens":0}},"service_tier":"default","system_fingerprint":"fp_ad66631dec"}</t>
        </is>
      </c>
      <c r="K169" t="inlineStr">
        <is>
          <t>Louis Vuitton Red LV Leather Reversible Belt</t>
        </is>
      </c>
      <c r="L169" t="inlineStr">
        <is>
          <t>{"id":"chatcmpl-DYLYyHdJdyCH6IvQraYm8aVhYc57N","object":"chat.completion","created":1777078412,"model":"gpt-5-chat-latest","choices":[{"index":0,"message":{"role":"assistant","content":"Louis Vuitton Red Monogram Reversible Leather Belt with Gold LV Buckle, blending modern minimalism and timeless luxury. Unisex design showcasing elegance and refined fashion taste.","refusal":null,"annotations":[]},"logprobs":null,"finish_reason":"stop"}],"usage":{"prompt_tokens":880,"completion_tokens":34,"total_tokens":914,"prompt_tokens_details":{"cached_tokens":0,"audio_tokens":0},"completion_tokens_details":{"reasoning_tokens":0,"audio_tokens":0,"accepted_prediction_tokens":0,"rejected_prediction_tokens":0}},"service_tier":"default","system_fingerprint":"fp_ad66631dec"}</t>
        </is>
      </c>
      <c r="M16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ma=2592000","apim-request-id":"f81867aa-87c9-487a-98dd-1c4d9edfc545","azureml-model-session":"d20260402084046-4209e968","cache-control":"no-cache, no-store, must-revalidate","connection":"close","content-length":"984","content-security-policy":"frame-ancestors 'self'","content-type":"application/json","date":"Sat, 25 Apr 2026 00:53:34 GMT","server":"nginx","skip-error-remapping":"true","strict-transport-security":"max-age=31536000; includeSubDomains; preload","via":"1.1 Caddy, 1.1 Caddy","x-api-request-id":"20260425085330894809439Ra0DhaNo","x-content-type-options":"nosniff","x-frame-options":"SAMEORIGIN","x-ms-is-spilled-over":"false","x-ms-rai-invoked":"false","x-ms-region":"Sweden Central","x-new-api-version":"0.5.1","x-oneapi-request-id":"202604250053305381912068268d9d6eYtBTWne","x-ratelimit-abusepenalty-active":"False","x-ratelimit-limit-requests":"4991","x-ratelimit-limit-tokens":"4991000","x-ratelimit-remaining-requests":"4990","x-ratelimit-remaining-tokens":"4989358","x-ratelimit-renewalperiod-requests":"60","x-ratelimit-renewalperiod-tokens":"60","x-ratelimit-reset-requests":"12","x-ratelimit-reset-tokens":"19","x-request-id":"18c7ffb4-6785-48a2-94f9-9af57c758b6b"}</t>
        </is>
      </c>
      <c r="N169" t="inlineStr">
        <is>
          <t>Louis Vuitton Red Monogram Reversible Leather Belt with Gold LV Buckle, blending modern minimalism and timeless luxury. Unisex design showcasing elegance and refined fashion taste.</t>
        </is>
      </c>
      <c r="O169" t="inlineStr">
        <is>
          <t>{"id":"chatcmpl-DYM0HpdhRwliif5ts7gUk3bPKtoJx","object":"chat.completion","created":1777080105,"model":"gpt-5-chat-2025-10-03","choices":[{"index":0,"message":{"role":"assistant","content":"Louis Vuitton,Accessories,kakobuy,kakebuy2026,kekobuysheet,kakobuysheet2026,2026kakobuy,kakobuyspreadsheeet,kakobuylink,kakebuylist,Kakobuy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69" t="inlineStr">
        <is>
          <t>Louis Vuitton,Accessories,kakobuy,kakebuy2026,kekobuysheet,kakobuysheet2026,2026kakobuy,kakobuyspreadsheeet,kakobuylink,kakebuylist,Kakobuy MEGA Spreadsheet,kakobuysheetfind,kakobuysheetfind2026,2026kakobuysheetfind,kakobuysheet2026</t>
        </is>
      </c>
      <c r="Q169" t="inlineStr">
        <is>
          <t>LV, Red, Leather, Minimalist, Unisex, Elegant</t>
        </is>
      </c>
      <c r="R169" t="inlineStr">
        <is>
          <t>recvhju1CrQiaK</t>
        </is>
      </c>
      <c r="S169" t="inlineStr">
        <is>
          <t>louis-vuitton-red-lv-leather-reversible-belt-recvhju1crqiak</t>
        </is>
      </c>
      <c r="T169"/>
      <c r="U169"/>
      <c r="V169"/>
      <c r="W169" t="inlineStr">
        <is>
          <t>{"choices":[{"finish_reason":"stop","index":0,"logprobs":null,"message":{"annotations":[],"content":"Louis Vuitton：红色Monogram双面皮质腰带，金色LV字母扣设计，融合摩登简约与经典奢华风格，男女皆宜，彰显优雅品味。","refusal":null,"role":"assistant"}}],"created":1777019899,"id":"chatcmpl-DY6LDgktTQ0fg1vUnJHjl8MetQLqU","model":"gpt-5-chat-latest","object":"chat.completion","service_tier":"default","system_fingerprint":"fp_ad66631dec","usage":{"completion_tokens":47,"completion_tokens_details":{"accepted_prediction_tokens":0,"audio_tokens":0,"reasoning_tokens":0,"rejected_prediction_tokens":0},"prompt_tokens":1299,"prompt_tokens_details":{"audio_tokens":0,"cached_tokens":0},"total_tokens":1346}}</t>
        </is>
      </c>
      <c r="X169" t="inlineStr">
        <is>
          <t>Louis Vuitton：红色Monogram双面皮质腰带，金色LV字母扣设计，融合摩登简约与经典奢华风格，男女皆宜，彰显优雅品味。</t>
        </is>
      </c>
    </row>
    <row r="170" ht="25.5" customHeight="1">
      <c r="A170">
        <v>1654975475</v>
      </c>
      <c r="B170">
        <v>7619542793</v>
      </c>
      <c r="C170" s="2" t="str">
        <f>=HYPERLINK("https://weidian.com/item.html?itemID=7619542793", "https://weidian.com/item.html?itemID=7619542793")</f>
        <v>https://weidian.com/item.html?itemID=7619542793</v>
      </c>
      <c r="D170"/>
      <c r="E170" s="2" t="str">
        <f>=HYPERLINK("https://si.geilicdn.com/pcitem2014204438-0ad70000019ad007d6ce0a23038e_1084_1084.jpg?w=640&amp;h=640", "https://si.geilicdn.com/pcitem2014204438-0ad70000019ad007d6ce0a23038e_1084_1084.jpg?w=640&amp;h=640")</f>
        <v>https://si.geilicdn.com/pcitem2014204438-0ad70000019ad007d6ce0a23038e_1084_1084.jpg?w=640&amp;h=640</v>
      </c>
      <c r="F170" t="inlineStr">
        <is>
          <t>Accessories</t>
        </is>
      </c>
      <c r="G170" t="inlineStr">
        <is>
          <t>Fendi</t>
        </is>
      </c>
      <c r="H170">
        <v>460</v>
      </c>
      <c r="I170">
        <v>66.67</v>
      </c>
      <c r="J170" t="inlineStr">
        <is>
          <t>{"id":"chatcmpl-DYLgaujotsmcIQLMJgTd21CKKzXi0","object":"chat.completion","created":1777078884,"model":"gpt-5-chat-latest","choices":[{"index":0,"message":{"role":"assistant","content":"Fendi FF Logo Brown Leather Reversible Belt","refusal":null,"annotations":[]},"logprobs":null,"finish_reason":"stop"}],"usage":{"prompt_tokens":867,"completion_tokens":10,"total_tokens":877,"prompt_tokens_details":{"cached_tokens":0,"audio_tokens":0},"completion_tokens_details":{"reasoning_tokens":0,"audio_tokens":0,"accepted_prediction_tokens":0,"rejected_prediction_tokens":0}},"service_tier":"default","system_fingerprint":"fp_ad66631dec"}</t>
        </is>
      </c>
      <c r="K170" t="inlineStr">
        <is>
          <t>Fendi FF Logo Brown Leather Reversible Belt</t>
        </is>
      </c>
      <c r="L170" t="inlineStr">
        <is>
          <t>{"id":"chatcmpl-DYLQCHdnrcNa7YCzWftb4EJha0Htr","object":"chat.completion","created":1777077868,"model":"gpt-5-chat-latest","choices":[{"index":0,"message":{"role":"assistant","content":"Fendi classic FF logo brown leather belt, reversible design in premium calfskin with silver letter buckle, unisex luxury accessory blending Italian elegance and modern urban style.","refusal":null,"annotations":[]},"logprobs":null,"finish_reason":"stop"}],"usage":{"prompt_tokens":898,"completion_tokens":33,"total_tokens":931,"prompt_tokens_details":{"cached_tokens":0,"audio_tokens":0},"completion_tokens_details":{"reasoning_tokens":0,"audio_tokens":0,"accepted_prediction_tokens":0,"rejected_prediction_tokens":0}},"service_tier":"default","system_fingerprint":"fp_ad66631dec"}</t>
        </is>
      </c>
      <c r="M17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ma=2592000","apim-request-id":"23752d2f-fbfb-49fe-9bf4-467d38d5febd","azureml-model-session":"d20260402084046-4209e968","cache-control":"no-cache, no-store, must-revalidate","connection":"close","content-length":"984","content-security-policy":"frame-ancestors 'self'","content-type":"application/json","date":"Sat, 25 Apr 2026 00:44:31 GMT","server":"nginx","skip-error-remapping":"true","strict-transport-security":"max-age=31536000; includeSubDomains; preload","via":"1.1 Caddy, 1.1 Caddy","x-api-request-id":"20260425084427378263237XNQWV7EN","x-content-type-options":"nosniff","x-frame-options":"SAMEORIGIN","x-ms-is-spilled-over":"false","x-ms-rai-invoked":"false","x-ms-region":"Sweden Central","x-new-api-version":"0.5.1","x-oneapi-request-id":"202604250044212687289418268d9d6onpL9TB9","x-ratelimit-abusepenalty-active":"False","x-ratelimit-limit-requests":"4991","x-ratelimit-limit-tokens":"4991000","x-ratelimit-remaining-requests":"4990","x-ratelimit-remaining-tokens":"4989340","x-ratelimit-renewalperiod-requests":"60","x-ratelimit-renewalperiod-tokens":"60","x-ratelimit-reset-requests":"12","x-ratelimit-reset-tokens":"19","x-request-id":"569e258e-47db-41b5-a500-12b9c1107f79"}</t>
        </is>
      </c>
      <c r="N170" t="inlineStr">
        <is>
          <t>Fendi classic FF logo brown leather belt, reversible design in premium calfskin with silver letter buckle, unisex luxury accessory blending Italian elegance and modern urban style.</t>
        </is>
      </c>
      <c r="O170" t="inlineStr">
        <is>
          <t>{"id":"chatcmpl-DYLz2gTx6gDaWtdRFhSEyHyW4rKiY","object":"chat.completion","created":1777080028,"model":"gpt-5-chat-2025-10-03","choices":[{"index":0,"message":{"role":"assistant","content":"Fendi,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70" t="inlineStr">
        <is>
          <t>Fendi,Belt,kakobuy,kakebuy2026,kekobuysheet,kakobuysheet2026,2026kakobuy,kakobuyspreadsheeet,kakobuylink,kakebuylist,Kakobuy MEGA Spreadsheet,kakobuysheetfind,kakobuysheetfind2026,2026kakobuysheetfind,kakobuysheet2026</t>
        </is>
      </c>
      <c r="Q170"/>
      <c r="R170" t="inlineStr">
        <is>
          <t>recvhju1CrMmjW</t>
        </is>
      </c>
      <c r="S170" t="inlineStr">
        <is>
          <t>fendi-ff-logo-brown-leather-reversible-belt-recvhju1crmjww</t>
        </is>
      </c>
      <c r="T170"/>
      <c r="U170"/>
      <c r="V170"/>
      <c r="W170" t="inlineStr">
        <is>
          <t>{"choices":[{"finish_reason":"stop","index":0,"logprobs":null,"message":{"annotations":[],"content":"Fendi：经典双F标志系列咖啡色皮革腰带，正反双色设计，优选牛皮材质，银色字母扣彰显品牌辨识度，适合男女通用，意式奢华格调与现代都市风完美融合。","refusal":null,"role":"assistant"}}],"created":1777019436,"id":"chatcmpl-DY6DkUlin2bMbUA5oyeRKUh3jkHTp","model":"gpt-5-chat-latest","object":"chat.completion","service_tier":"default","system_fingerprint":"fp_ad66631dec","usage":{"completion_tokens":64,"completion_tokens_details":{"accepted_prediction_tokens":0,"audio_tokens":0,"reasoning_tokens":0,"rejected_prediction_tokens":0},"prompt_tokens":1301,"prompt_tokens_details":{"audio_tokens":0,"cached_tokens":0},"total_tokens":1365}}</t>
        </is>
      </c>
      <c r="X170" t="inlineStr">
        <is>
          <t>Fendi：经典双F标志系列咖啡色皮革腰带，正反双色设计，优选牛皮材质，银色字母扣彰显品牌辨识度，适合男女通用，意式奢华格调与现代都市风完美融合。</t>
        </is>
      </c>
    </row>
    <row r="171" ht="25.5" customHeight="1">
      <c r="A171">
        <v>1654975475</v>
      </c>
      <c r="B171">
        <v>7619501431</v>
      </c>
      <c r="C171" s="2" t="str">
        <f>=HYPERLINK("https://weidian.com/item.html?itemID=7619501431", "https://weidian.com/item.html?itemID=7619501431")</f>
        <v>https://weidian.com/item.html?itemID=7619501431</v>
      </c>
      <c r="D171"/>
      <c r="E171" s="2" t="str">
        <f>=HYPERLINK("https://si.geilicdn.com/pcitem2014204438-776b0000019acfe324e80a8134f0_1080_1080.jpg?w=640&amp;h=640", "https://si.geilicdn.com/pcitem2014204438-776b0000019acfe324e80a8134f0_1080_1080.jpg?w=640&amp;h=640")</f>
        <v>https://si.geilicdn.com/pcitem2014204438-776b0000019acfe324e80a8134f0_1080_1080.jpg?w=640&amp;h=640</v>
      </c>
      <c r="F171" t="inlineStr">
        <is>
          <t>Accessories</t>
        </is>
      </c>
      <c r="G171" t="inlineStr">
        <is>
          <t>Bally</t>
        </is>
      </c>
      <c r="H171">
        <v>530</v>
      </c>
      <c r="I171">
        <v>76.81</v>
      </c>
      <c r="J171" t="inlineStr">
        <is>
          <t>{"id":"chatcmpl-DYLjEnH5xkLApewYgj3mrEY4Wal2x","object":"chat.completion","created":1777079048,"model":"gpt-5-chat-latest","choices":[{"index":0,"message":{"role":"assistant","content":"Bally Black Croc Leather Belt Double B Buckle","refusal":null,"annotations":[]},"logprobs":null,"finish_reason":"stop"}],"usage":{"prompt_tokens":879,"completion_tokens":12,"total_tokens":891,"prompt_tokens_details":{"cached_tokens":0,"audio_tokens":0},"completion_tokens_details":{"reasoning_tokens":0,"audio_tokens":0,"accepted_prediction_tokens":0,"rejected_prediction_tokens":0}},"service_tier":"default","system_fingerprint":"fp_ad66631dec"}</t>
        </is>
      </c>
      <c r="K171" t="inlineStr">
        <is>
          <t>Bally Black Croc Leather Belt Double B Buckle</t>
        </is>
      </c>
      <c r="L171" t="inlineStr">
        <is>
          <t>{"choices":[{"finish_reason":"stop","index":0,"logprobs":null,"message":{"annotations":[],"content":"Bally Men's Black Croc-Embossed Leather Belt with Signature Double B Buckle. Crafted from premium genuine leather, it blends Italian elegance with modern simplicity for business or casual style.","refusal":null,"role":"assistant"}}],"created":1777078085,"id":"chatcmpl-DYLThcmEb3Be9WpN5vRP8EyiKHyRF","model":"gpt-5-chat-latest","object":"chat.completion","service_tier":"default","system_fingerprint":"fp_ad66631dec","usage":{"completion_tokens":39,"completion_tokens_details":{"accepted_prediction_tokens":0,"audio_tokens":0,"reasoning_tokens":0,"rejected_prediction_tokens":0},"prompt_tokens":914,"prompt_tokens_details":{"audio_tokens":0,"cached_tokens":0},"total_tokens":953}}</t>
        </is>
      </c>
      <c r="M171" t="inlineStr">
        <is>
          <t>{"alt-svc":"h3=\":443\"; ma=2592000","apim-request-id":"a5b26de3-7dbf-44c2-810b-67be8e2fd7fd","azureml-model-session":"d20260402083108-57a85543","cache-control":"no-cache","connection":"close","content-length":"782","content-security-policy":"frame-ancestors 'self'","content-type":"application/json","date":"Sat, 25 Apr 2026 00:48:06 GMT","server":"nginx","skip-error-remapping":"true","strict-transport-security":"max-age=31536000; includeSubDomains; preload","via":"1.1 Caddy, 1.1 Caddy","x-api-request-id":"20260425084803364105369v9ngxgIV","x-content-type-options":"nosniff","x-frame-options":"SAMEORIGIN","x-ms-client-request-id":"Not-Set","x-ms-is-spilled-over":"false","x-ms-rai-invoked":"true","x-ms-region":"East US 2","x-new-api-version":"0.5.1","x-oneapi-request-id":"202604250048025283745828268d9d6nmLbzS33","x-ratelimit-abusepenalty-active":"False","x-ratelimit-limit-requests":"50","x-ratelimit-limit-tokens":"50000","x-ratelimit-remaining-requests":"49","x-ratelimit-remaining-tokens":"-1410","x-ratelimit-renewalperiod-requests":"60","x-ratelimit-renewalperiod-tokens":"60","x-ratelimit-reset-requests":"1200","x-ratelimit-reset-tokens":"61692","x-request-id":"f2db85ba-ef14-4d77-908a-348ea1752969"}</t>
        </is>
      </c>
      <c r="N171" t="inlineStr">
        <is>
          <t>Bally Men's Black Croc-Embossed Leather Belt with Signature Double B Buckle. Crafted from premium genuine leather, it blends Italian elegance with modern simplicity for business or casual style.</t>
        </is>
      </c>
      <c r="O171" t="inlineStr">
        <is>
          <t>{"id":"chatcmpl-DYM2cmqPjbJeJR2lJq7wY3rdSCxv7","object":"chat.completion","created":1777080250,"model":"gpt-5-chat-2025-10-03","choices":[{"index":0,"message":{"role":"assistant","content":"Bally,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71" t="inlineStr">
        <is>
          <t>Bally,Accessories,kakobuy,kakebuy2026,kekobuysheet,kakobuysheet2026,2026kakobuy,kakobuyspreadsheeet,kakobuylink,kakebuylist,Kakobuy MEGA Spreadsheet,kakobuysheetfind,kakobuysheetfind2026,2026kakobuysheetfind,kakobuysheet2026</t>
        </is>
      </c>
      <c r="Q171" t="inlineStr">
        <is>
          <t>Leather, Genuine Leather, Black, Business, Business Casual, Men</t>
        </is>
      </c>
      <c r="R171" t="inlineStr">
        <is>
          <t>recvhju1CrVX3p</t>
        </is>
      </c>
      <c r="S171" t="inlineStr">
        <is>
          <t>bally-black-croc-leather-belt-double-b-buckle-recvhju1crvx3p</t>
        </is>
      </c>
      <c r="T171"/>
      <c r="U171"/>
      <c r="V171"/>
      <c r="W171" t="inlineStr">
        <is>
          <t>{"choices":[{"finish_reason":"stop","index":0,"logprobs":null,"message":{"annotations":[],"content":"Bally：黑色鳄纹男士皮带，甄选顶级真皮材质，搭配金属双B标志扣，低调奢华彰显品牌格调。简约现代设计融合意式优雅风格，适合商务与休闲场合佩戴，尽显绅士品味与高级质感。","refusal":null,"role":"assistant"}}],"created":1777019783,"id":"chatcmpl-DY6JLIpNTtYKd3Gy3h98vEzIQgo4H","model":"gpt-5-chat-latest","object":"chat.completion","service_tier":"default","system_fingerprint":"fp_ad66631dec","usage":{"completion_tokens":80,"completion_tokens_details":{"accepted_prediction_tokens":0,"audio_tokens":0,"reasoning_tokens":0,"rejected_prediction_tokens":0},"prompt_tokens":1301,"prompt_tokens_details":{"audio_tokens":0,"cached_tokens":0},"total_tokens":1381}}</t>
        </is>
      </c>
      <c r="X171" t="inlineStr">
        <is>
          <t>Bally：黑色鳄纹男士皮带，甄选顶级真皮材质，搭配金属双B标志扣，低调奢华彰显品牌格调。简约现代设计融合意式优雅风格，适合商务与休闲场合佩戴，尽显绅士品味与高级质感。</t>
        </is>
      </c>
    </row>
    <row r="172" ht="25.5" customHeight="1">
      <c r="A172">
        <v>1654975475</v>
      </c>
      <c r="B172">
        <v>7619457333</v>
      </c>
      <c r="C172" s="2" t="str">
        <f>=HYPERLINK("https://weidian.com/item.html?itemID=7619457333", "https://weidian.com/item.html?itemID=7619457333")</f>
        <v>https://weidian.com/item.html?itemID=7619457333</v>
      </c>
      <c r="D172"/>
      <c r="E172" s="2" t="str">
        <f>=HYPERLINK("https://si.geilicdn.com/pcitem2014204438-0b820000019ad00985220a210256_1080_1080.jpg?w=640&amp;h=640", "https://si.geilicdn.com/pcitem2014204438-0b820000019ad00985220a210256_1080_1080.jpg?w=640&amp;h=640")</f>
        <v>https://si.geilicdn.com/pcitem2014204438-0b820000019ad00985220a210256_1080_1080.jpg?w=640&amp;h=640</v>
      </c>
      <c r="F172" t="inlineStr">
        <is>
          <t>Accessories</t>
        </is>
      </c>
      <c r="G172" t="inlineStr">
        <is>
          <t>Salvatore Ferragamo</t>
        </is>
      </c>
      <c r="H172">
        <v>520</v>
      </c>
      <c r="I172">
        <v>75.36</v>
      </c>
      <c r="J172" t="inlineStr">
        <is>
          <t>{"id":"chatcmpl-DYLlhPEo8swIqzXkp5maJX2Q8I7ep","object":"chat.completion","created":1777079201,"model":"gpt-5-chat-2025-10-03","choices":[{"index":0,"message":{"role":"assistant","content":"Salvatore Ferragamo Double Gancini Black Leather Belt Set","refusal":null,"annotations":[]},"logprobs":null,"finish_reason":"stop"}],"usage":{"prompt_tokens":884,"completion_tokens":14,"total_tokens":898,"prompt_tokens_details":{"cached_tokens":0,"audio_tokens":0},"completion_tokens_details":{"reasoning_tokens":0,"audio_tokens":0,"accepted_prediction_tokens":0,"rejected_prediction_tokens":0}},"service_tier":"default","system_fingerprint":"fp_ad66631dec"}</t>
        </is>
      </c>
      <c r="K172" t="inlineStr">
        <is>
          <t>Salvatore Ferragamo Double Gancini Black Leather Belt Set</t>
        </is>
      </c>
      <c r="L172" t="inlineStr">
        <is>
          <t>{"id":"chatcmpl-DYLaJ4eRCZroWI7bWGFhyXmuFzsq5","object":"chat.completion","created":1777078495,"model":"gpt-5-chat-latest","choices":[{"index":0,"message":{"role":"assistant","content":"Salvatore Ferragamo Double Gancini Black Leather Belt Set, top-grain calfskin with interchangeable gold and silver steel buckles, modern minimalist design, perfect for business or casual style.","refusal":null,"annotations":[]},"logprobs":null,"finish_reason":"stop"}],"usage":{"prompt_tokens":895,"completion_tokens":40,"total_tokens":935,"prompt_tokens_details":{"cached_tokens":0,"audio_tokens":0},"completion_tokens_details":{"reasoning_tokens":0,"audio_tokens":0,"accepted_prediction_tokens":0,"rejected_prediction_tokens":0}},"service_tier":"default","system_fingerprint":"fp_ad66631dec"}</t>
        </is>
      </c>
      <c r="M17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ma=2592000","apim-request-id":"1c75c4a9-7368-4560-bf53-337b07c2c651","azureml-model-session":"d20260405221325-2e8d5e76","cache-control":"no-cache, no-store, must-revalidate","connection":"close","content-length":"997","content-security-policy":"frame-ancestors 'self'","content-type":"application/json","date":"Sat, 25 Apr 2026 00:54:56 GMT","server":"nginx","skip-error-remapping":"true","strict-transport-security":"max-age=31536000; includeSubDomains; preload","via":"1.1 Caddy, 1.1 Caddy","x-api-request-id":"20260425085454662970451EqGlHGz3","x-content-type-options":"nosniff","x-frame-options":"SAMEORIGIN","x-ms-is-spilled-over":"false","x-ms-rai-invoked":"false","x-ms-region":"East US 2","x-new-api-version":"0.5.1","x-oneapi-request-id":"202604250054502596266438268d9d6vraejyH5","x-ratelimit-abusepenalty-active":"False","x-ratelimit-limit-requests":"4992","x-ratelimit-limit-tokens":"4992000","x-ratelimit-remaining-requests":"4991","x-ratelimit-remaining-tokens":"4990343","x-ratelimit-renewalperiod-requests":"60","x-ratelimit-renewalperiod-tokens":"60","x-ratelimit-reset-requests":"12","x-ratelimit-reset-tokens":"19","x-request-id":"0ebdd79b-b810-46ea-8cbd-97547368efb8"}</t>
        </is>
      </c>
      <c r="N172" t="inlineStr">
        <is>
          <t>Salvatore Ferragamo Double Gancini Black Leather Belt Set, top-grain calfskin with interchangeable gold and silver steel buckles, modern minimalist design, perfect for business or casual style.</t>
        </is>
      </c>
      <c r="O172" t="inlineStr">
        <is>
          <t>{"id":"chatcmpl-DYLyh23oEtj5X0nYQgmFvJekfbTeV","object":"chat.completion","created":1777080007,"model":"gpt-5-chat-2025-10-03","choices":[{"index":0,"message":{"role":"assistant","content":"Salvatore Ferragamo,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172" t="inlineStr">
        <is>
          <t>Salvatore Ferragamo, Accessories, kakobuy, kakebuy2026, kekobuysheet, kakobuysheet2026, 2026kakobuy, kakobuyspreadsheeet, kakobuylink, kakebuylist, Kakobuy MEGA Spreadsheet, kakobuysheetfind, kakobuysheetfind2026, 2026kakobuysheetfind, kakobuysheet2026</t>
        </is>
      </c>
      <c r="Q172" t="inlineStr">
        <is>
          <t>Black, Leather, Minimalist, Business, Casual Footwear, Men's And Women's</t>
        </is>
      </c>
      <c r="R172" t="inlineStr">
        <is>
          <t>recvhju1CrSDlT</t>
        </is>
      </c>
      <c r="S172" t="inlineStr">
        <is>
          <t>ferragamo-double-gancini-black-leather-belt-recvhju1crsdlt</t>
        </is>
      </c>
      <c r="T172"/>
      <c r="U172"/>
      <c r="V172"/>
      <c r="W172" t="inlineStr">
        <is>
          <t>{"id":"chatcmpl-DY6EmL0fq1iGfIB74N04WdqvInX4b","object":"chat.completion","created":1777019500,"model":"gpt-5-chat-latest","choices":[{"index":0,"message":{"role":"assistant","content":"Salvatore Ferragamo：双Gancini系列黑色可换扣皮带套装，精选头层牛皮搭配金色与银色钢扣，现代简约风格，男士商务休闲皆宜，彰显低调奢华品味。","refusal":null,"annotations":[]},"logprobs":null,"finish_reason":"stop"}],"usage":{"prompt_tokens":1301,"completion_tokens":61,"total_tokens":1362,"prompt_tokens_details":{"cached_tokens":0,"audio_tokens":0},"completion_tokens_details":{"reasoning_tokens":0,"audio_tokens":0,"accepted_prediction_tokens":0,"rejected_prediction_tokens":0}},"service_tier":"default","system_fingerprint":"fp_ad66631dec"}</t>
        </is>
      </c>
      <c r="X172" t="inlineStr">
        <is>
          <t>Salvatore Ferragamo：双Gancini系列黑色可换扣皮带套装，精选头层牛皮搭配金色与银色钢扣，现代简约风格，男士商务休闲皆宜，彰显低调奢华品味。</t>
        </is>
      </c>
    </row>
    <row r="173" ht="25.5" customHeight="1">
      <c r="A173">
        <v>1654975475</v>
      </c>
      <c r="B173">
        <v>7619542577</v>
      </c>
      <c r="C173" s="2" t="str">
        <f>=HYPERLINK("https://weidian.com/item.html?itemID=7619542577", "https://weidian.com/item.html?itemID=7619542577")</f>
        <v>https://weidian.com/item.html?itemID=7619542577</v>
      </c>
      <c r="D173"/>
      <c r="E173" s="2" t="str">
        <f>=HYPERLINK("https://si.geilicdn.com/pcitem2014204438-71dc0000019acfd6a63d0a20e672_1080_1080.jpg?w=640&amp;h=640", "https://si.geilicdn.com/pcitem2014204438-71dc0000019acfd6a63d0a20e672_1080_1080.jpg?w=640&amp;h=640")</f>
        <v>https://si.geilicdn.com/pcitem2014204438-71dc0000019acfd6a63d0a20e672_1080_1080.jpg?w=640&amp;h=640</v>
      </c>
      <c r="F173" t="inlineStr">
        <is>
          <t>Accessories</t>
        </is>
      </c>
      <c r="G173" t="inlineStr">
        <is>
          <t>Salvatore Ferragamo</t>
        </is>
      </c>
      <c r="H173">
        <v>460</v>
      </c>
      <c r="I173">
        <v>66.67</v>
      </c>
      <c r="J173" t="inlineStr">
        <is>
          <t>{"id":"chatcmpl-DYLncAcnIrYVYMzubl0DrqKIN5Zl0","object":"chat.completion","created":1777079320,"model":"gpt-5-chat-2025-10-03","choices":[{"index":0,"message":{"role":"assistant","content":"Salvatore Ferragamo Black Gancini Leather Men Belt","refusal":null,"annotations":[]},"logprobs":null,"finish_reason":"stop"}],"usage":{"prompt_tokens":884,"completion_tokens":13,"total_tokens":897,"prompt_tokens_details":{"cached_tokens":0,"audio_tokens":0},"completion_tokens_details":{"reasoning_tokens":0,"audio_tokens":0,"accepted_prediction_tokens":0,"rejected_prediction_tokens":0}},"service_tier":"default","system_fingerprint":"fp_ad66631dec"}</t>
        </is>
      </c>
      <c r="K173" t="inlineStr">
        <is>
          <t>Salvatore Ferragamo Black Gancini Leather Men Belt</t>
        </is>
      </c>
      <c r="L173" t="inlineStr">
        <is>
          <t>{"choices":[{"finish_reason":"stop","index":0,"logprobs":null,"message":{"annotations":[],"content":"Salvatore Ferragamo Men’s Black Gancini Leather Belt, crafted from premium cowhide with embossed logo pattern and silver double-ring buckle, offering timeless Italian elegance for business or casual style.","refusal":null,"role":"assistant"}}],"created":1777078462,"id":"chatcmpl-DYLZmEQfw8itD9r4t8tfZIW9qyvmI","model":"gpt-5-chat-latest","object":"chat.completion","service_tier":"default","system_fingerprint":"fp_ad66631dec","usage":{"completion_tokens":40,"completion_tokens_details":{"accepted_prediction_tokens":0,"audio_tokens":0,"reasoning_tokens":0,"rejected_prediction_tokens":0},"prompt_tokens":904,"prompt_tokens_details":{"audio_tokens":0,"cached_tokens":0},"total_tokens":944}}</t>
        </is>
      </c>
      <c r="M173" t="inlineStr">
        <is>
          <t>{"alt-svc":"h3=\":443\"; ma=2592000","apim-request-id":"842ee0a8-046f-43bd-9c33-e9a534b4532e","azureml-model-session":"d20260402083108-57a85543","cache-control":"no-cache","connection":"close","content-length":"795","content-security-policy":"frame-ancestors 'self'","content-type":"application/json","date":"Sat, 25 Apr 2026 00:54:24 GMT","server":"nginx","skip-error-remapping":"true","strict-transport-security":"max-age=31536000; includeSubDomains; preload","via":"1.1 Caddy, 1.1 Caddy","x-api-request-id":"20260425085421347335025Qy4eFfYe","x-content-type-options":"nosniff","x-frame-options":"SAMEORIGIN","x-ms-client-request-id":"Not-Set","x-ms-is-spilled-over":"false","x-ms-rai-invoked":"true","x-ms-region":"East US 2","x-new-api-version":"0.5.1","x-oneapi-request-id":"20260425005419190247508268d9d6FVkUPAXX","x-ratelimit-abusepenalty-active":"False","x-ratelimit-limit-requests":"50","x-ratelimit-limit-tokens":"50000","x-ratelimit-remaining-requests":"48","x-ratelimit-remaining-tokens":"-483","x-ratelimit-renewalperiod-requests":"60","x-ratelimit-renewalperiod-tokens":"60","x-ratelimit-reset-requests":"2004","x-ratelimit-reset-tokens":"60579","x-request-id":"c011666d-cd90-4332-b217-e901c3c68b6d"}</t>
        </is>
      </c>
      <c r="N173" t="inlineStr">
        <is>
          <t>Salvatore Ferragamo Men’s Black Gancini Leather Belt, crafted from premium cowhide with embossed logo pattern and silver double-ring buckle, offering timeless Italian elegance for business or casual style.</t>
        </is>
      </c>
      <c r="O173" t="inlineStr">
        <is>
          <t>{"id":"chatcmpl-DYM1LGs7BFSZLc16tmamwi6DuFr6m","object":"chat.completion","created":1777080171,"model":"gpt-5-chat-2025-10-03","choices":[{"index":0,"message":{"role":"assistant","content":"Salvatore Ferragamo,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173" t="inlineStr">
        <is>
          <t>Salvatore Ferragamo, Accessories, kakobuy, kakebuy2026, kekobuysheet, kakobuysheet2026, 2026kakobuy, kakobuyspreadsheeet, kakobuylink, kakebuylist, Kakobuy MEGA Spreadsheet, kakobuysheetfind, kakobuysheetfind2026, 2026kakobuysheetfind, kakobuysheet2026</t>
        </is>
      </c>
      <c r="Q173" t="inlineStr">
        <is>
          <t>Black, Leather, Business, Cowhide, Silver, Men</t>
        </is>
      </c>
      <c r="R173" t="inlineStr">
        <is>
          <t>recvhju1CrHbMb</t>
        </is>
      </c>
      <c r="S173" t="inlineStr">
        <is>
          <t>ferragamo-black-gancini-leather-men-belt-recvhju1crhbm</t>
        </is>
      </c>
      <c r="T173"/>
      <c r="U173"/>
      <c r="V173"/>
      <c r="W173" t="inlineStr">
        <is>
          <t>{"id":"chatcmpl-DY6Fw4FZUfuYW7EHbskNMOSx6BYXb","object":"chat.completion","created":1777019572,"model":"gpt-5-chat-latest","choices":[{"index":0,"message":{"role":"assistant","content":"Salvatore Ferragamo：黑色Gancini系列男士皮带，精选头层牛皮材质，立体浮雕Logo图腾搭配银色双环金属扣，简约奢华彰显意式优雅风范，适合商务与日常造型。","refusal":null,"annotations":[]},"logprobs":null,"finish_reason":"stop"}],"usage":{"prompt_tokens":1309,"completion_tokens":66,"total_tokens":1375,"prompt_tokens_details":{"cached_tokens":0,"audio_tokens":0},"completion_tokens_details":{"reasoning_tokens":0,"audio_tokens":0,"accepted_prediction_tokens":0,"rejected_prediction_tokens":0}},"service_tier":"default","system_fingerprint":"fp_ad66631dec"}</t>
        </is>
      </c>
      <c r="X173" t="inlineStr">
        <is>
          <t>Salvatore Ferragamo：黑色Gancini系列男士皮带，精选头层牛皮材质，立体浮雕Logo图腾搭配银色双环金属扣，简约奢华彰显意式优雅风范，适合商务与日常造型。</t>
        </is>
      </c>
    </row>
    <row r="174" ht="25.5" customHeight="1">
      <c r="A174">
        <v>1654975475</v>
      </c>
      <c r="B174">
        <v>7622574034</v>
      </c>
      <c r="C174" s="2" t="str">
        <f>=HYPERLINK("https://weidian.com/item.html?itemID=7622574034", "https://weidian.com/item.html?itemID=7622574034")</f>
        <v>https://weidian.com/item.html?itemID=7622574034</v>
      </c>
      <c r="D174"/>
      <c r="E174" s="2" t="str">
        <f>=HYPERLINK("https://si.geilicdn.com/pcitem2014204438-7b2d0000019ad0086f0e0a239646_1080_1080.jpg?w=640&amp;h=640", "https://si.geilicdn.com/pcitem2014204438-7b2d0000019ad0086f0e0a239646_1080_1080.jpg?w=640&amp;h=640")</f>
        <v>https://si.geilicdn.com/pcitem2014204438-7b2d0000019ad0086f0e0a239646_1080_1080.jpg?w=640&amp;h=640</v>
      </c>
      <c r="F174" t="inlineStr">
        <is>
          <t>Accessories</t>
        </is>
      </c>
      <c r="G174" t="inlineStr">
        <is>
          <t>Fendi</t>
        </is>
      </c>
      <c r="H174">
        <v>460</v>
      </c>
      <c r="I174">
        <v>66.67</v>
      </c>
      <c r="J174" t="inlineStr">
        <is>
          <t>{"id":"chatcmpl-DYLhOP0mNSgDUKHNB9kUNVV7Jbp88","object":"chat.completion","created":1777078934,"model":"gpt-5-chat-latest","choices":[{"index":0,"message":{"role":"assistant","content":"Fendi FF Gray Leather Belt for Men","refusal":null,"annotations":[]},"logprobs":null,"finish_reason":"stop"}],"usage":{"prompt_tokens":873,"completion_tokens":9,"total_tokens":882,"prompt_tokens_details":{"cached_tokens":0,"audio_tokens":0},"completion_tokens_details":{"reasoning_tokens":0,"audio_tokens":0,"accepted_prediction_tokens":0,"rejected_prediction_tokens":0}},"service_tier":"default","system_fingerprint":"fp_ad66631dec"}</t>
        </is>
      </c>
      <c r="K174" t="inlineStr">
        <is>
          <t>Fendi FF Gray Leather Belt for Men</t>
        </is>
      </c>
      <c r="L174" t="inlineStr">
        <is>
          <t>{"id":"chatcmpl-DYLSxRThmT9KZehNJA0uN2TEwy2SO","object":"chat.completion","created":1777078039,"model":"gpt-5-chat-latest","choices":[{"index":0,"message":{"role":"assistant","content":"Fendi Classic FF Gray Leather Belt, made from premium cowhide with a signature double F metal buckle. Luxurious and modern, perfect for men’s business or casual wear.","refusal":null,"annotations":[]},"logprobs":null,"finish_reason":"stop"}],"usage":{"prompt_tokens":894,"completion_tokens":36,"total_tokens":930,"prompt_tokens_details":{"cached_tokens":0,"audio_tokens":0},"completion_tokens_details":{"reasoning_tokens":0,"audio_tokens":0,"accepted_prediction_tokens":0,"rejected_prediction_tokens":0}},"service_tier":"default","system_fingerprint":"fp_ad66631dec"}</t>
        </is>
      </c>
      <c r="M17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ma=2592000","apim-request-id":"6e77cb17-033e-4d62-8582-ee9ee664b176","azureml-model-session":"d20260405234249-f9874baf","cache-control":"no-cache, no-store, must-revalidate","connection":"close","content-length":"972","content-security-policy":"frame-ancestors 'self'","content-type":"application/json","date":"Sat, 25 Apr 2026 00:47:21 GMT","server":"Caddy","skip-error-remapping":"true","strict-transport-security":"max-age=31536000; includeSubDomains; preload","via":"1.1 Caddy","x-api-request-id":"20260425084717854804090QDfx7j13","x-content-type-options":"nosniff","x-frame-options":"SAMEORIGIN","x-ms-is-spilled-over":"false","x-ms-rai-invoked":"false","x-ms-region":"Sweden Central","x-new-api-version":"0.5.1","x-oneapi-request-id":"202604250047162398400408268d9d65cKBd4eF","x-ratelimit-abusepenalty-active":"False","x-ratelimit-limit-requests":"4991","x-ratelimit-limit-tokens":"4991000","x-ratelimit-remaining-requests":"4990","x-ratelimit-remaining-tokens":"4989344","x-ratelimit-renewalperiod-requests":"60","x-ratelimit-renewalperiod-tokens":"60","x-ratelimit-reset-requests":"12","x-ratelimit-reset-tokens":"19","x-request-id":"db4a40d9-515e-41d1-ad95-ab9b55073abc"}</t>
        </is>
      </c>
      <c r="N174" t="inlineStr">
        <is>
          <t>Fendi Classic FF Gray Leather Belt, made from premium cowhide with a signature double F metal buckle. Luxurious and modern, perfect for men’s business or casual wear.</t>
        </is>
      </c>
      <c r="O174" t="inlineStr">
        <is>
          <t>{"id":"chatcmpl-DYM1lEUYXz6sd68TvQAOduqTrg59z","object":"chat.completion","created":1777080197,"model":"gpt-5-chat-2025-10-03","choices":[{"index":0,"message":{"role":"assistant","content":"Fend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74" t="inlineStr">
        <is>
          <t>Fendi,Accessories,kakobuy,kakebuy2026,kekobuysheet,kakobuysheet2026,2026kakobuy,kakobuyspreadsheeet,kakobuylink,kakebuylist,Kakobuy MEGA Spreadsheet,kakobuysheetfind,kakobuysheetfind2026,2026kakobuysheetfind,kakobuysheet2026</t>
        </is>
      </c>
      <c r="Q174"/>
      <c r="R174" t="inlineStr">
        <is>
          <t>recvhju1CrPRym</t>
        </is>
      </c>
      <c r="S174" t="inlineStr">
        <is>
          <t>fendi-ff-gray-leather-belt-recvhju1crprym</t>
        </is>
      </c>
      <c r="T174"/>
      <c r="U174"/>
      <c r="V174"/>
      <c r="W174" t="inlineStr">
        <is>
          <t>{"choices":[{"finish_reason":"stop","index":0,"logprobs":null,"message":{"annotations":[],"content":"Fendi：经典FF灰色皮革腰带，选用优质牛皮材质，金属双F标志扣设计，彰显奢华质感，融合简约与现代风格，适合男士商务与日常穿搭。","refusal":null,"role":"assistant"}}],"created":1777019538,"id":"chatcmpl-DY6FOF9SW1CnNf8w8fSAoXj9IJWSL","model":"gpt-5-chat-latest","object":"chat.completion","service_tier":"default","system_fingerprint":"fp_ad66631dec","usage":{"completion_tokens":58,"completion_tokens_details":{"accepted_prediction_tokens":0,"audio_tokens":0,"reasoning_tokens":0,"rejected_prediction_tokens":0},"prompt_tokens":1305,"prompt_tokens_details":{"audio_tokens":0,"cached_tokens":1280},"total_tokens":1363}}</t>
        </is>
      </c>
      <c r="X174" t="inlineStr">
        <is>
          <t>Fendi：经典FF灰色皮革腰带，选用优质牛皮材质，金属双F标志扣设计，彰显奢华质感，融合简约与现代风格，适合男士商务与日常穿搭。</t>
        </is>
      </c>
    </row>
    <row r="175" ht="25.5" customHeight="1">
      <c r="A175">
        <v>1654975475</v>
      </c>
      <c r="B175">
        <v>7622506694</v>
      </c>
      <c r="C175" s="2" t="str">
        <f>=HYPERLINK("https://weidian.com/item.html?itemID=7622506694", "https://weidian.com/item.html?itemID=7622506694")</f>
        <v>https://weidian.com/item.html?itemID=7622506694</v>
      </c>
      <c r="D175"/>
      <c r="E175" s="2" t="str">
        <f>=HYPERLINK("https://si.geilicdn.com/pcitem2014204438-6c050000019acfbdd3e00a230115_1080_1080.jpg?w=640&amp;h=640", "https://si.geilicdn.com/pcitem2014204438-6c050000019acfbdd3e00a230115_1080_1080.jpg?w=640&amp;h=640")</f>
        <v>https://si.geilicdn.com/pcitem2014204438-6c050000019acfbdd3e00a230115_1080_1080.jpg?w=640&amp;h=640</v>
      </c>
      <c r="F175" t="inlineStr">
        <is>
          <t>Accessories</t>
        </is>
      </c>
      <c r="G175" t="inlineStr">
        <is>
          <t>Louis Vuitton</t>
        </is>
      </c>
      <c r="H175">
        <v>520</v>
      </c>
      <c r="I175">
        <v>75.36</v>
      </c>
      <c r="J175" t="inlineStr">
        <is>
          <t>{"id":"chatcmpl-DYLmbI0KSHPkCGYkHtatVECDKZJAK","object":"chat.completion","created":1777079257,"model":"gpt-5-chat-2025-10-03","choices":[{"index":0,"message":{"role":"assistant","content":"Louis Vuitton Classic Double Buckle Leather Belt Set","refusal":null,"annotations":[]},"logprobs":null,"finish_reason":"stop"}],"usage":{"prompt_tokens":875,"completion_tokens":10,"total_tokens":885,"prompt_tokens_details":{"cached_tokens":0,"audio_tokens":0},"completion_tokens_details":{"reasoning_tokens":0,"audio_tokens":0,"accepted_prediction_tokens":0,"rejected_prediction_tokens":0}},"service_tier":"default","system_fingerprint":"fp_ad66631dec"}</t>
        </is>
      </c>
      <c r="K175" t="inlineStr">
        <is>
          <t>Louis Vuitton Classic Double Buckle Leather Belt Set</t>
        </is>
      </c>
      <c r="L175" t="inlineStr">
        <is>
          <t>{"id":"chatcmpl-DYLTxh3tJP1PgtCqW6gc6ebAfhuFQ","object":"chat.completion","created":1777078101,"model":"gpt-5-chat-latest","choices":[{"index":0,"message":{"role":"assistant","content":"Louis Vuitton Classic Double Buckle Black Leather Belt Set, crafted from premium genuine leather with gold and silver LV logo buckles, exuding luxury and elegance for business or casual looks.","refusal":null,"annotations":[]},"logprobs":null,"finish_reason":"stop"}],"usage":{"prompt_tokens":923,"completion_tokens":37,"total_tokens":960,"prompt_tokens_details":{"cached_tokens":0,"audio_tokens":0},"completion_tokens_details":{"reasoning_tokens":0,"audio_tokens":0,"accepted_prediction_tokens":0,"rejected_prediction_tokens":0}},"service_tier":"default","system_fingerprint":"fp_ad66631dec"}</t>
        </is>
      </c>
      <c r="M17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ma=2592000","apim-request-id":"0f1b9672-c633-4488-976f-4209166d02a3","azureml-model-session":"d20260405221325-2e8d5e76","cache-control":"no-cache, no-store, must-revalidate","connection":"close","content-length":"996","content-security-policy":"frame-ancestors 'self'","content-type":"application/json","date":"Sat, 25 Apr 2026 00:48:22 GMT","server":"nginx","skip-error-remapping":"true","strict-transport-security":"max-age=31536000; includeSubDomains; preload","via":"1.1 Caddy, 1.1 Caddy","x-api-request-id":"20260425084820707715476WHP1TI1H","x-content-type-options":"nosniff","x-frame-options":"SAMEORIGIN","x-ms-is-spilled-over":"false","x-ms-rai-invoked":"false","x-ms-region":"East US 2","x-new-api-version":"0.5.1","x-oneapi-request-id":"202604250048175532543548268d9d6C397aUgB","x-ratelimit-abusepenalty-active":"False","x-ratelimit-limit-requests":"4992","x-ratelimit-limit-tokens":"4992000","x-ratelimit-remaining-requests":"4991","x-ratelimit-remaining-tokens":"4990315","x-ratelimit-renewalperiod-requests":"60","x-ratelimit-renewalperiod-tokens":"60","x-ratelimit-reset-requests":"12","x-ratelimit-reset-tokens":"20","x-request-id":"d9922ade-2a38-4008-98bd-a8b62c098f89"}</t>
        </is>
      </c>
      <c r="N175" t="inlineStr">
        <is>
          <t>Louis Vuitton Classic Double Buckle Black Leather Belt Set, crafted from premium genuine leather with gold and silver LV logo buckles, exuding luxury and elegance for business or casual looks.</t>
        </is>
      </c>
      <c r="O175" t="inlineStr">
        <is>
          <t>{"id":"chatcmpl-DYLyPfwo8koyldYsk3ntcZmgcbkXb","object":"chat.completion","created":1777079989,"model":"gpt-5-chat-2025-10-03","choices":[{"index":0,"message":{"role":"assistant","content":"Louis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75" t="inlineStr">
        <is>
          <t>Louis Vuitton, Accessories, kakobuy, kakebuy2026, kekobuysheet, kakobuysheet2026, 2026kakobuy, kakobuyspreadsheeet, kakobuylink, kakebuylist, Kakobuy MEGA Spreadsheet, kakobuysheetfind, kakobuysheetfind2026, 2026kakobuysheetfind, kakobuysheet2026</t>
        </is>
      </c>
      <c r="Q175" t="inlineStr">
        <is>
          <t>LV, Genuine Leather, Business, Black, Elegant</t>
        </is>
      </c>
      <c r="R175" t="inlineStr">
        <is>
          <t>recvhju1Crxdmx</t>
        </is>
      </c>
      <c r="S175" t="inlineStr">
        <is>
          <t>louis-vuitton-classic-double-buckle-leather-belt-recvhju1crxdmx</t>
        </is>
      </c>
      <c r="T175"/>
      <c r="U175"/>
      <c r="V175"/>
      <c r="W175" t="inlineStr">
        <is>
          <t>{"id":"chatcmpl-DY6HGzUqof74wvFdY4t5qJFTqSGJB","object":"chat.completion","created":1777019654,"model":"gpt-5-chat-latest","choices":[{"index":0,"message":{"role":"assistant","content":"Louis Vuitton：经典双扣式黑色皮质腰带套装，甄选细腻真皮打造，配以金色与银色LV标志扣头，散发奢华质感与现代格调。简约优雅设计，适配商务与休闲造型，男士百搭臻品，彰显品牌精致工艺与永恒时尚魅力。","refusal":null,"annotations":[]},"logprobs":null,"finish_reason":"stop"}],"usage":{"prompt_tokens":1299,"completion_tokens":90,"total_tokens":1389,"prompt_tokens_details":{"cached_tokens":1280,"audio_tokens":0},"completion_tokens_details":{"reasoning_tokens":0,"audio_tokens":0,"accepted_prediction_tokens":0,"rejected_prediction_tokens":0}},"service_tier":"default","system_fingerprint":"fp_ad66631dec"}</t>
        </is>
      </c>
      <c r="X175" t="inlineStr">
        <is>
          <t>Louis Vuitton：经典双扣式黑色皮质腰带套装，甄选细腻真皮打造，配以金色与银色LV标志扣头，散发奢华质感与现代格调。简约优雅设计，适配商务与休闲造型，男士百搭臻品，彰显品牌精致工艺与永恒时尚魅力。</t>
        </is>
      </c>
    </row>
    <row r="176" ht="25.5" customHeight="1">
      <c r="A176">
        <v>1654975475</v>
      </c>
      <c r="B176">
        <v>7618987063</v>
      </c>
      <c r="C176" s="2" t="str">
        <f>=HYPERLINK("https://weidian.com/item.html?itemID=7618987063", "https://weidian.com/item.html?itemID=7618987063")</f>
        <v>https://weidian.com/item.html?itemID=7618987063</v>
      </c>
      <c r="D176"/>
      <c r="E176" s="2" t="str">
        <f>=HYPERLINK("https://si.geilicdn.com/pcitem2014204438-3a260000019acd9e96250a239846_1512_2016.jpg?w=640&amp;h=640", "https://si.geilicdn.com/pcitem2014204438-3a260000019acd9e96250a239846_1512_2016.jpg?w=640&amp;h=640")</f>
        <v>https://si.geilicdn.com/pcitem2014204438-3a260000019acd9e96250a239846_1512_2016.jpg?w=640&amp;h=640</v>
      </c>
      <c r="F176" t="inlineStr">
        <is>
          <t>Accessories</t>
        </is>
      </c>
      <c r="G176" t="inlineStr">
        <is>
          <t>Gucci</t>
        </is>
      </c>
      <c r="H176">
        <v>460</v>
      </c>
      <c r="I176">
        <v>66.67</v>
      </c>
      <c r="J176" t="inlineStr">
        <is>
          <t>{"id":"chatcmpl-DYLoa0D82Mc5sSldXE8fDJeqnGBVC","object":"chat.completion","created":1777079380,"model":"gpt-5-chat-2025-10-03","choices":[{"index":0,"message":{"role":"assistant","content":"Gucci Dark Blue Leather Belt Double G Buckle","refusal":null,"annotations":[]},"logprobs":null,"finish_reason":"stop"}],"usage":{"prompt_tokens":875,"completion_tokens":11,"total_tokens":886,"prompt_tokens_details":{"cached_tokens":0,"audio_tokens":0},"completion_tokens_details":{"reasoning_tokens":0,"audio_tokens":0,"accepted_prediction_tokens":0,"rejected_prediction_tokens":0}},"service_tier":"default","system_fingerprint":"fp_ad66631dec"}</t>
        </is>
      </c>
      <c r="K176" t="inlineStr">
        <is>
          <t>Gucci Dark Blue Leather Belt Double G Buckle</t>
        </is>
      </c>
      <c r="L176" t="inlineStr">
        <is>
          <t>{"id":"chatcmpl-DYLcUvtPuZftxzYbKA9Ia8DuiUtXj","object":"chat.completion","created":1777078630,"model":"gpt-5-chat-latest","choices":[{"index":0,"message":{"role":"assistant","content":"Gucci Classic Dark Blue Leather Belt with Signature Double G Buckle, crafted from premium embossed cowhide. Unisex luxury design blending vintage charm and modern elegance for timeless Italian style.","refusal":null,"annotations":[]},"logprobs":null,"finish_reason":"stop"}],"usage":{"prompt_tokens":902,"completion_tokens":37,"total_tokens":939,"prompt_tokens_details":{"cached_tokens":0,"audio_tokens":0},"completion_tokens_details":{"reasoning_tokens":0,"audio_tokens":0,"accepted_prediction_tokens":0,"rejected_prediction_tokens":0}},"service_tier":"default","system_fingerprint":"fp_ad66631dec"}</t>
        </is>
      </c>
      <c r="M17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ma=2592000","apim-request-id":"88ec302c-bd06-42d7-bf11-110004602782","azureml-model-session":"d20260402075109-1fc5a0ec","cache-control":"no-cache, no-store, must-revalidate","connection":"close","content-length":"1003","content-security-policy":"frame-ancestors 'self'","content-type":"application/json","date":"Sat, 25 Apr 2026 00:57:12 GMT","server":"nginx","skip-error-remapping":"true","strict-transport-security":"max-age=31536000; includeSubDomains; preload","via":"1.1 Caddy, 1.1 Caddy","x-api-request-id":"20260425085708670784726ebiAgXC7","x-content-type-options":"nosniff","x-frame-options":"SAMEORIGIN","x-ms-is-spilled-over":"false","x-ms-rai-invoked":"false","x-ms-region":"Sweden Central","x-new-api-version":"0.5.1","x-oneapi-request-id":"202604250057079772518308268d9d646YarFHM","x-ratelimit-abusepenalty-active":"False","x-ratelimit-limit-requests":"4991","x-ratelimit-limit-tokens":"4991000","x-ratelimit-remaining-requests":"4990","x-ratelimit-remaining-tokens":"4989336","x-ratelimit-renewalperiod-requests":"60","x-ratelimit-renewalperiod-tokens":"60","x-ratelimit-reset-requests":"12","x-ratelimit-reset-tokens":"20","x-request-id":"b8be28ee-8e46-9322-b99c-c71d13c9a9d8"}</t>
        </is>
      </c>
      <c r="N176" t="inlineStr">
        <is>
          <t>Gucci Classic Dark Blue Leather Belt with Signature Double G Buckle, crafted from premium embossed cowhide. Unisex luxury design blending vintage charm and modern elegance for timeless Italian style.</t>
        </is>
      </c>
      <c r="O176" t="inlineStr">
        <is>
          <t>{"id":"chatcmpl-DYLwmB7kQVVxvNXNs80C6R7BhfWG0","object":"chat.completion","created":1777079888,"model":"gpt-5-chat-2025-10-03","choices":[{"index":0,"message":{"role":"assistant","content":"Gucci,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76" t="inlineStr">
        <is>
          <t>Gucci,Belt,kakobuy,kakebuy2026,kekobuysheet,kakobuysheet2026,2026kakobuy,kakobuyspreadsheeet,kakobuylink,kakebuylist,Kakobuy MEGA Spreadsheet,kakobuysheetfind,kakobuysheetfind2026,2026kakobuysheetfind,kakobuysheet2026</t>
        </is>
      </c>
      <c r="Q176" t="inlineStr">
        <is>
          <t>Dark Blue, Leather, Unisex, Vintage, Elegant, Cowhide</t>
        </is>
      </c>
      <c r="R176" t="inlineStr">
        <is>
          <t>recvhju1CrNriY</t>
        </is>
      </c>
      <c r="S176" t="inlineStr">
        <is>
          <t>gucci-dark-blue-leather-belt-double-g-buckle-recvhju1crnriy</t>
        </is>
      </c>
      <c r="T176"/>
      <c r="U176"/>
      <c r="V176"/>
      <c r="W176" t="inlineStr">
        <is>
          <t>{"choices":[{"finish_reason":"stop","index":0,"logprobs":null,"message":{"annotations":[],"content":"Gucci：经典系列深蓝色皮革腰带，甄选优质压纹牛皮材质，饰以标志性双G金属扣，简约奢华设计兼具复古与现代美感，男女皆宜，彰显意式高端格调与时尚品味。","refusal":null,"role":"assistant"}}],"created":1777019398,"id":"chatcmpl-DY6D8p887wgvpKbbfxMjRga9UzIwu","model":"gpt-5-chat-latest","object":"chat.completion","service_tier":"default","system_fingerprint":"fp_ad66631dec","usage":{"completion_tokens":70,"completion_tokens_details":{"accepted_prediction_tokens":0,"audio_tokens":0,"reasoning_tokens":0,"rejected_prediction_tokens":0},"prompt_tokens":1297,"prompt_tokens_details":{"audio_tokens":0,"cached_tokens":0},"total_tokens":1367}}</t>
        </is>
      </c>
      <c r="X176" t="inlineStr">
        <is>
          <t>Gucci：经典系列深蓝色皮革腰带，甄选优质压纹牛皮材质，饰以标志性双G金属扣，简约奢华设计兼具复古与现代美感，男女皆宜，彰显意式高端格调与时尚品味。</t>
        </is>
      </c>
    </row>
    <row r="177" ht="25.5" customHeight="1">
      <c r="A177">
        <v>1654975475</v>
      </c>
      <c r="B177">
        <v>7619504691</v>
      </c>
      <c r="C177" s="2" t="str">
        <f>=HYPERLINK("https://weidian.com/item.html?itemID=7619504691", "https://weidian.com/item.html?itemID=7619504691")</f>
        <v>https://weidian.com/item.html?itemID=7619504691</v>
      </c>
      <c r="D177"/>
      <c r="E177" s="2" t="str">
        <f>=HYPERLINK("https://si.geilicdn.com/pcitem2014204438-70790000019acfbc28cf0a207569_1440_1920.jpg?w=640&amp;h=640", "https://si.geilicdn.com/pcitem2014204438-70790000019acfbc28cf0a207569_1440_1920.jpg?w=640&amp;h=640")</f>
        <v>https://si.geilicdn.com/pcitem2014204438-70790000019acfbc28cf0a207569_1440_1920.jpg?w=640&amp;h=640</v>
      </c>
      <c r="F177" t="inlineStr">
        <is>
          <t>Accessories</t>
        </is>
      </c>
      <c r="G177" t="inlineStr">
        <is>
          <t>Hermes</t>
        </is>
      </c>
      <c r="H177">
        <v>460</v>
      </c>
      <c r="I177">
        <v>66.67</v>
      </c>
      <c r="J177" t="inlineStr">
        <is>
          <t>{"id":"chatcmpl-DYLm1PqyUgoae4NToglLyxXmcsk0H","object":"chat.completion","created":1777079221,"model":"gpt-5-chat-2025-10-03","choices":[{"index":0,"message":{"role":"assistant","content":"Hermes Orange Epsom Leather Belt Gold Buckle","refusal":null,"annotations":[]},"logprobs":null,"finish_reason":"stop"}],"usage":{"prompt_tokens":871,"completion_tokens":12,"total_tokens":883,"prompt_tokens_details":{"cached_tokens":0,"audio_tokens":0},"completion_tokens_details":{"reasoning_tokens":0,"audio_tokens":0,"accepted_prediction_tokens":0,"rejected_prediction_tokens":0}},"service_tier":"default","system_fingerprint":"fp_ad66631dec"}</t>
        </is>
      </c>
      <c r="K177" t="inlineStr">
        <is>
          <t>Hermes Orange Epsom Leather Belt Gold Buckle</t>
        </is>
      </c>
      <c r="L177" t="inlineStr">
        <is>
          <t>{"id":"chatcmpl-DYLS4UPIqXsEHc8OLSD6Gu0vTGuFr","object":"chat.completion","created":1777077984,"model":"gpt-5-chat-latest","choices":[{"index":0,"message":{"role":"assistant","content":"Hermes Classic Orange Epsom Leather Belt with Gold H Double Buckle, refined texture and timeless French elegance. Unisex luxury accessory ideal for business and casual looks.","refusal":null,"annotations":[]},"logprobs":null,"finish_reason":"stop"}],"usage":{"prompt_tokens":912,"completion_tokens":35,"total_tokens":947,"prompt_tokens_details":{"cached_tokens":0,"audio_tokens":0},"completion_tokens_details":{"reasoning_tokens":0,"audio_tokens":0,"accepted_prediction_tokens":0,"rejected_prediction_tokens":0}},"service_tier":"default","system_fingerprint":"fp_ad66631dec"}</t>
        </is>
      </c>
      <c r="M17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ma=2592000","apim-request-id":"ec8bc825-11f3-4dee-a91f-1f225afb4563","azureml-model-session":"d20260405234249-f9874baf","cache-control":"no-cache, no-store, must-revalidate","connection":"close","content-length":"978","content-security-policy":"frame-ancestors 'self'","content-type":"application/json","date":"Sat, 25 Apr 2026 00:46:26 GMT","server":"Caddy","skip-error-remapping":"true","strict-transport-security":"max-age=31536000; includeSubDomains; preload","via":"1.1 Caddy","x-api-request-id":"20260425084621388425164zGW0b5fX","x-content-type-options":"nosniff","x-frame-options":"SAMEORIGIN","x-ms-is-spilled-over":"false","x-ms-rai-invoked":"false","x-ms-region":"Sweden Central","x-new-api-version":"0.5.1","x-oneapi-request-id":"202604250046184351592608268d9d6xCWvC67C","x-ratelimit-abusepenalty-active":"False","x-ratelimit-limit-requests":"4991","x-ratelimit-limit-tokens":"4991000","x-ratelimit-remaining-requests":"4990","x-ratelimit-remaining-tokens":"4989326","x-ratelimit-renewalperiod-requests":"60","x-ratelimit-renewalperiod-tokens":"60","x-ratelimit-reset-requests":"12","x-ratelimit-reset-tokens":"20","x-request-id":"764cb22d-802b-47aa-a70a-2fbc1edf0103"}</t>
        </is>
      </c>
      <c r="N177" t="inlineStr">
        <is>
          <t>Hermes Classic Orange Epsom Leather Belt with Gold H Double Buckle, refined texture and timeless French elegance. Unisex luxury accessory ideal for business and casual looks.</t>
        </is>
      </c>
      <c r="O177" t="inlineStr">
        <is>
          <t>{"id":"chatcmpl-DYLuSFCRKzRoHIWvtoU4DKMEeK0GQ","object":"chat.completion","created":1777079744,"model":"gpt-5-chat-2025-10-03","choices":[{"index":0,"message":{"role":"assistant","content":"Hermes,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77" t="inlineStr">
        <is>
          <t>Hermes,Accessories,kakobuy,kakebuy2026,kekobuysheet,kakobuysheet2026,2026kakobuy,kakobuyspreadsheeet,kakobuylink,kakebuylist,Kakobuy MEGA Spreadsheet,kakobuysheetfind,kakobuysheetfind2026,2026kakobuysheetfind,kakobuysheet2026</t>
        </is>
      </c>
      <c r="Q177"/>
      <c r="R177" t="inlineStr">
        <is>
          <t>recvhju1CrNBcn</t>
        </is>
      </c>
      <c r="S177" t="inlineStr">
        <is>
          <t>hermes-orange-epsom-leather-belt-gold-buckle-recvhju1crnbcn</t>
        </is>
      </c>
      <c r="T177"/>
      <c r="U177"/>
      <c r="V177"/>
      <c r="W177" t="inlineStr">
        <is>
          <t>{"choices":[{"finish_reason":"stop","index":0,"logprobs":null,"message":{"annotations":[],"content":"Hermes：经典橙色皮革腰带，采用Epsom牛皮材质，搭配金色H字双环扣设计，质感高雅精致。法式简约风格，细腻纹理彰显工艺之美，男女皆宜，百搭商务休闲造型，尽显永恒奢华魅力。","refusal":null,"role":"assistant"}}],"created":1777019608,"id":"chatcmpl-DY6GWxtK54lSF1qa6I8Q1BwJDjOSB","model":"gpt-5-chat-latest","object":"chat.completion","service_tier":"default","system_fingerprint":"fp_ad66631dec","usage":{"completion_tokens":81,"completion_tokens_details":{"accepted_prediction_tokens":0,"audio_tokens":0,"reasoning_tokens":0,"rejected_prediction_tokens":0},"prompt_tokens":1295,"prompt_tokens_details":{"audio_tokens":0,"cached_tokens":0},"total_tokens":1376}}</t>
        </is>
      </c>
      <c r="X177" t="inlineStr">
        <is>
          <t>Hermes：经典橙色皮革腰带，采用Epsom牛皮材质，搭配金色H字双环扣设计，质感高雅精致。法式简约风格，细腻纹理彰显工艺之美，男女皆宜，百搭商务休闲造型，尽显永恒奢华魅力。</t>
        </is>
      </c>
    </row>
    <row r="178" ht="25.5" customHeight="1">
      <c r="A178">
        <v>1654975475</v>
      </c>
      <c r="B178">
        <v>7619556381</v>
      </c>
      <c r="C178" s="2" t="str">
        <f>=HYPERLINK("https://weidian.com/item.html?itemID=7619556381", "https://weidian.com/item.html?itemID=7619556381")</f>
        <v>https://weidian.com/item.html?itemID=7619556381</v>
      </c>
      <c r="D178"/>
      <c r="E178" s="2" t="str">
        <f>=HYPERLINK("https://si.geilicdn.com/pcitem2014204438-75bc0000019acfe1be660a20e672_1082_1082.jpg?w=640&amp;h=640", "https://si.geilicdn.com/pcitem2014204438-75bc0000019acfe1be660a20e672_1082_1082.jpg?w=640&amp;h=640")</f>
        <v>https://si.geilicdn.com/pcitem2014204438-75bc0000019acfe1be660a20e672_1082_1082.jpg?w=640&amp;h=640</v>
      </c>
      <c r="F178" t="inlineStr">
        <is>
          <t>Accessories</t>
        </is>
      </c>
      <c r="G178" t="inlineStr">
        <is>
          <t>Gucci</t>
        </is>
      </c>
      <c r="H178">
        <v>460</v>
      </c>
      <c r="I178">
        <v>66.67</v>
      </c>
      <c r="J178" t="inlineStr">
        <is>
          <t>{"id":"chatcmpl-DYLgESe1NEiJCmt5fLr67x38K3Ytb","object":"chat.completion","created":1777078862,"model":"gpt-5-chat-latest","choices":[{"index":0,"message":{"role":"assistant","content":"Gucci GG Supreme Beige Canvas Silver G Belt","refusal":null,"annotations":[]},"logprobs":null,"finish_reason":"stop"}],"usage":{"prompt_tokens":863,"completion_tokens":10,"total_tokens":873,"prompt_tokens_details":{"cached_tokens":0,"audio_tokens":0},"completion_tokens_details":{"reasoning_tokens":0,"audio_tokens":0,"accepted_prediction_tokens":0,"rejected_prediction_tokens":0}},"service_tier":"default","system_fingerprint":"fp_ad66631dec"}</t>
        </is>
      </c>
      <c r="K178" t="inlineStr">
        <is>
          <t>Gucci GG Supreme Beige Canvas Silver G Belt</t>
        </is>
      </c>
      <c r="L178" t="inlineStr">
        <is>
          <t>{"id":"chatcmpl-DYLTsVaNXyct3Q7EGPT2eFH35utRm","object":"chat.completion","created":1777078096,"model":"gpt-5-chat-latest","choices":[{"index":0,"message":{"role":"assistant","content":"Gucci GG Supreme Canvas Belt in beige with silver G buckle, luxurious leather lining, unisex retro style, showcasing Italian elegance and timeless fashion charm.","refusal":null,"annotations":[]},"logprobs":null,"finish_reason":"stop"}],"usage":{"prompt_tokens":892,"completion_tokens":31,"total_tokens":923,"prompt_tokens_details":{"cached_tokens":0,"audio_tokens":0},"completion_tokens_details":{"reasoning_tokens":0,"audio_tokens":0,"accepted_prediction_tokens":0,"rejected_prediction_tokens":0}},"service_tier":"default","system_fingerprint":"fp_ad66631dec"}</t>
        </is>
      </c>
      <c r="M17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ma=2592000","apim-request-id":"7133a28b-aca9-46bf-934a-9012def19ba4","azureml-model-session":"d20260402084046-4209e968","cache-control":"no-cache, no-store, must-revalidate","connection":"close","content-length":"965","content-security-policy":"frame-ancestors 'self'","content-type":"application/json","date":"Sat, 25 Apr 2026 00:48:18 GMT","server":"nginx","skip-error-remapping":"true","strict-transport-security":"max-age=31536000; includeSubDomains; preload","via":"1.1 Caddy, 1.1 Caddy","x-api-request-id":"20260425084814878652045aqiWZOa4","x-content-type-options":"nosniff","x-frame-options":"SAMEORIGIN","x-ms-is-spilled-over":"false","x-ms-rai-invoked":"false","x-ms-region":"East US 2","x-new-api-version":"0.5.1","x-oneapi-request-id":"202604250048132166606708268d9d6aMQ7oGis","x-ratelimit-abusepenalty-active":"False","x-ratelimit-limit-requests":"4992","x-ratelimit-limit-tokens":"4992000","x-ratelimit-remaining-requests":"4991","x-ratelimit-remaining-tokens":"4990346","x-ratelimit-renewalperiod-requests":"60","x-ratelimit-renewalperiod-tokens":"60","x-ratelimit-reset-requests":"12","x-ratelimit-reset-tokens":"19","x-request-id":"229b5965-da83-49e0-bd30-14db3d699ee8"}</t>
        </is>
      </c>
      <c r="N178" t="inlineStr">
        <is>
          <t>Gucci GG Supreme Canvas Belt in beige with silver G buckle, luxurious leather lining, unisex retro style, showcasing Italian elegance and timeless fashion charm.</t>
        </is>
      </c>
      <c r="O178" t="inlineStr">
        <is>
          <t>{"id":"chatcmpl-DYLuIq2sndVuSNgKD2jErO3iTaYGD","object":"chat.completion","created":1777079734,"model":"gpt-5-chat-2025-10-03","choices":[{"index":0,"message":{"role":"assistant","content":"Gucci,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78" t="inlineStr">
        <is>
          <t>Gucci,Belt,kakobuy,kakebuy2026,kekobuysheet,kakobuysheet2026,2026kakobuy,kakobuyspreadsheeet,kakobuylink,kakebuylist,Kakobuy MEGA Spreadsheet,kakobuysheetfind,kakobuysheetfind2026,2026kakobuysheetfind,kakobuysheet2026</t>
        </is>
      </c>
      <c r="Q178" t="inlineStr">
        <is>
          <t>Canvas, Beige, Silver, Retro, Unisex</t>
        </is>
      </c>
      <c r="R178" t="inlineStr">
        <is>
          <t>recvhju1CrhPku</t>
        </is>
      </c>
      <c r="S178" t="inlineStr">
        <is>
          <t>gucci-gg-supreme-beige-canvas-silver-g-recvhju1crhpku</t>
        </is>
      </c>
      <c r="T178"/>
      <c r="U178"/>
      <c r="V178"/>
      <c r="W178" t="inlineStr">
        <is>
          <t>{"choices":[{"finish_reason":"stop","index":0,"logprobs":null,"message":{"annotations":[],"content":"Gucci：经典GG Supreme米色帆布腰带，搭配银色金属G形扣，皮质内衬精致质感，男女皆宜，时尚复古风格，彰显意式奢华与个性魅力。","refusal":null,"role":"assistant"}}],"created":1777019945,"id":"chatcmpl-DY6LxXPe4ao3EtBn4wnobZC1TocK3","model":"gpt-5-chat-latest","object":"chat.completion","service_tier":"default","system_fingerprint":"fp_ad66631dec","usage":{"completion_tokens":59,"completion_tokens_details":{"accepted_prediction_tokens":0,"audio_tokens":0,"reasoning_tokens":0,"rejected_prediction_tokens":0},"prompt_tokens":1299,"prompt_tokens_details":{"audio_tokens":0,"cached_tokens":0},"total_tokens":1358}}</t>
        </is>
      </c>
      <c r="X178" t="inlineStr">
        <is>
          <t>Gucci：经典GG Supreme米色帆布腰带，搭配银色金属G形扣，皮质内衬精致质感，男女皆宜，时尚复古风格，彰显意式奢华与个性魅力。</t>
        </is>
      </c>
    </row>
    <row r="179" ht="25.5" customHeight="1">
      <c r="A179">
        <v>1654975475</v>
      </c>
      <c r="B179">
        <v>7619524189</v>
      </c>
      <c r="C179" s="2" t="str">
        <f>=HYPERLINK("https://weidian.com/item.html?itemID=7619524189", "https://weidian.com/item.html?itemID=7619524189")</f>
        <v>https://weidian.com/item.html?itemID=7619524189</v>
      </c>
      <c r="D179"/>
      <c r="E179" s="2" t="str">
        <f>=HYPERLINK("https://si.geilicdn.com/pcitem2014204438-43ca0000019acfe2df880a811411_1080_1080.jpg?w=640&amp;h=640", "https://si.geilicdn.com/pcitem2014204438-43ca0000019acfe2df880a811411_1080_1080.jpg?w=640&amp;h=640")</f>
        <v>https://si.geilicdn.com/pcitem2014204438-43ca0000019acfe2df880a811411_1080_1080.jpg?w=640&amp;h=640</v>
      </c>
      <c r="F179" t="inlineStr">
        <is>
          <t>Accessories</t>
        </is>
      </c>
      <c r="G179" t="inlineStr">
        <is>
          <t>Bally</t>
        </is>
      </c>
      <c r="H179">
        <v>530</v>
      </c>
      <c r="I179">
        <v>76.81</v>
      </c>
      <c r="J179" t="inlineStr">
        <is>
          <t>{"id":"chatcmpl-DYLhOppSCtysCQxApfoI7fl860tok","object":"chat.completion","created":1777078934,"model":"gpt-5-chat-latest","choices":[{"index":0,"message":{"role":"assistant","content":"Bally Black Crocodile Leather Belt Double B Buckle","refusal":null,"annotations":[]},"logprobs":null,"finish_reason":"stop"}],"usage":{"prompt_tokens":873,"completion_tokens":13,"total_tokens":886,"prompt_tokens_details":{"cached_tokens":0,"audio_tokens":0},"completion_tokens_details":{"reasoning_tokens":0,"audio_tokens":0,"accepted_prediction_tokens":0,"rejected_prediction_tokens":0}},"service_tier":"default","system_fingerprint":"fp_ad66631dec"}</t>
        </is>
      </c>
      <c r="K179" t="inlineStr">
        <is>
          <t>Bally Black Crocodile Leather Belt Double B Buckle</t>
        </is>
      </c>
      <c r="L179" t="inlineStr">
        <is>
          <t>{"id":"chatcmpl-DYLRivAAqfAxZnCe7xW9w1G2bY4iB","object":"chat.completion","created":1777077962,"model":"gpt-5-chat-latest","choices":[{"index":0,"message":{"role":"assistant","content":"Bally Black Crocodile-Pattern Leather Belt with Metal Double B Buckle, showcasing modern luxury and timeless style. Unisex design, ideal for business or everyday wear.","refusal":null,"annotations":[]},"logprobs":null,"finish_reason":"stop"}],"usage":{"prompt_tokens":905,"completion_tokens":36,"total_tokens":941,"prompt_tokens_details":{"cached_tokens":0,"audio_tokens":0},"completion_tokens_details":{"reasoning_tokens":0,"audio_tokens":0,"accepted_prediction_tokens":0,"rejected_prediction_tokens":0}},"service_tier":"default","system_fingerprint":"fp_ad66631dec"}</t>
        </is>
      </c>
      <c r="M17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ma=2592000","apim-request-id":"c6b32f31-b87b-41b1-b452-071b5b58cbfb","azureml-model-session":"d20260405234249-f9874baf","cache-control":"no-cache, no-store, must-revalidate","connection":"close","content-length":"971","content-security-policy":"frame-ancestors 'self'","content-type":"application/json","date":"Sat, 25 Apr 2026 00:46:04 GMT","server":"nginx","skip-error-remapping":"true","strict-transport-security":"max-age=31536000; includeSubDomains; preload","via":"1.1 Caddy, 1.1 Caddy","x-api-request-id":"20260425084600862955482CBhfDYpy","x-content-type-options":"nosniff","x-frame-options":"SAMEORIGIN","x-ms-is-spilled-over":"false","x-ms-rai-invoked":"false","x-ms-region":"Sweden Central","x-new-api-version":"0.5.1","x-oneapi-request-id":"2026042500455766501418268d9d6XQJoIkyF","x-ratelimit-abusepenalty-active":"False","x-ratelimit-limit-requests":"4991","x-ratelimit-limit-tokens":"4991000","x-ratelimit-remaining-requests":"4990","x-ratelimit-remaining-tokens":"4989333","x-ratelimit-renewalperiod-requests":"60","x-ratelimit-renewalperiod-tokens":"60","x-ratelimit-reset-requests":"12","x-ratelimit-reset-tokens":"20","x-request-id":"2cb96135-37f1-4b70-94b1-cc85defe614a"}</t>
        </is>
      </c>
      <c r="N179" t="inlineStr">
        <is>
          <t>Bally Black Crocodile-Pattern Leather Belt with Metal Double B Buckle, showcasing modern luxury and timeless style. Unisex design, ideal for business or everyday wear.</t>
        </is>
      </c>
      <c r="O179" t="inlineStr">
        <is>
          <t>{"id":"chatcmpl-DYLxPX1ULUWdo2Nyr82a6Qfy7VVdM","object":"chat.completion","created":1777079927,"model":"gpt-5-chat-2025-10-03","choices":[{"index":0,"message":{"role":"assistant","content":"Bally,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79" t="inlineStr">
        <is>
          <t>Bally,Accessories,kakobuy,kakebuy2026,kekobuysheet,kakobuysheet2026,2026kakobuy,kakobuyspreadsheeet,kakobuylink,kakebuylist,Kakobuy MEGA Spreadsheet,kakobuysheetfind,kakobuysheetfind2026,2026kakobuysheetfind,kakobuysheet2026</t>
        </is>
      </c>
      <c r="Q179" t="inlineStr">
        <is>
          <t>Leather, Crocodile Pattern, Business, Unisex, Modern</t>
        </is>
      </c>
      <c r="R179" t="inlineStr">
        <is>
          <t>recvhju1Cr5DjK</t>
        </is>
      </c>
      <c r="S179" t="inlineStr">
        <is>
          <t>bally-black-crocodile-leather-belt-double-b-buckle-recvhju1cr5djk</t>
        </is>
      </c>
      <c r="T179"/>
      <c r="U179"/>
      <c r="V179"/>
      <c r="W179" t="inlineStr">
        <is>
          <t>{"choices":[{"finish_reason":"stop","index":0,"logprobs":null,"message":{"annotations":[],"content":"Bally：黑色鳄鱼纹皮革腰带，搭配金属双B标志扣，彰显摩登奢华质感。简约线条勾勒优雅轮廓，男女皆宜，完美融合经典工艺与当代时尚，适合商务与日常穿搭。","refusal":null,"role":"assistant"}}],"created":1777019575,"id":"chatcmpl-DY6FzaftzEFFm4CHP0oUMJrKhQexH","model":"gpt-5-chat-latest","object":"chat.completion","service_tier":"default","system_fingerprint":"fp_ad66631dec","usage":{"completion_tokens":73,"completion_tokens_details":{"accepted_prediction_tokens":0,"audio_tokens":0,"reasoning_tokens":0,"rejected_prediction_tokens":0},"prompt_tokens":1297,"prompt_tokens_details":{"audio_tokens":0,"cached_tokens":0},"total_tokens":1370}}</t>
        </is>
      </c>
      <c r="X179" t="inlineStr">
        <is>
          <t>Bally：黑色鳄鱼纹皮革腰带，搭配金属双B标志扣，彰显摩登奢华质感。简约线条勾勒优雅轮廓，男女皆宜，完美融合经典工艺与当代时尚，适合商务与日常穿搭。</t>
        </is>
      </c>
    </row>
    <row r="180" ht="25.5" customHeight="1">
      <c r="A180">
        <v>1654975475</v>
      </c>
      <c r="B180">
        <v>7619467579</v>
      </c>
      <c r="C180" s="2" t="str">
        <f>=HYPERLINK("https://weidian.com/item.html?itemID=7619467579", "https://weidian.com/item.html?itemID=7619467579")</f>
        <v>https://weidian.com/item.html?itemID=7619467579</v>
      </c>
      <c r="D180"/>
      <c r="E180" s="2" t="str">
        <f>=HYPERLINK("https://si.geilicdn.com/pcitem2014204438-04200000019acfe217580a23041a_1074_1074.jpg?w=640&amp;h=640", "https://si.geilicdn.com/pcitem2014204438-04200000019acfe217580a23041a_1074_1074.jpg?w=640&amp;h=640")</f>
        <v>https://si.geilicdn.com/pcitem2014204438-04200000019acfe217580a23041a_1074_1074.jpg?w=640&amp;h=640</v>
      </c>
      <c r="F180" t="inlineStr">
        <is>
          <t>Accessories</t>
        </is>
      </c>
      <c r="G180" t="inlineStr">
        <is>
          <t>Gucci</t>
        </is>
      </c>
      <c r="H180">
        <v>460</v>
      </c>
      <c r="I180">
        <v>66.67</v>
      </c>
      <c r="J180" t="inlineStr">
        <is>
          <t>{"id":"chatcmpl-DYLjhTvsQIsimSDekFLcyUiPbzlDz","object":"chat.completion","created":1777079077,"model":"gpt-5-chat-latest","choices":[{"index":0,"message":{"role":"assistant","content":"Gucci Flora Beige Floral Leather Belt GG Gold","refusal":null,"annotations":[]},"logprobs":null,"finish_reason":"stop"}],"usage":{"prompt_tokens":865,"completion_tokens":10,"total_tokens":875,"prompt_tokens_details":{"cached_tokens":0,"audio_tokens":0},"completion_tokens_details":{"reasoning_tokens":0,"audio_tokens":0,"accepted_prediction_tokens":0,"rejected_prediction_tokens":0}},"service_tier":"default","system_fingerprint":"fp_ad66631dec"}</t>
        </is>
      </c>
      <c r="K180" t="inlineStr">
        <is>
          <t>Gucci Flora Beige Floral Leather Belt GG Gold</t>
        </is>
      </c>
      <c r="L180" t="inlineStr">
        <is>
          <t>{"id":"chatcmpl-DYLP5gqxQysPoQxKt3UXixbXNLT6m","object":"chat.completion","created":1777077799,"model":"gpt-5-chat-latest","choices":[{"index":0,"message":{"role":"assistant","content":"Gucci Flora Beige Floral Leather Belt with Vintage Gold Double G Buckle, elegant Italian design for men and women, perfect for daily wear or formal outfits.","refusal":null,"annotations":[]},"logprobs":null,"finish_reason":"stop"}],"usage":{"prompt_tokens":893,"completion_tokens":32,"total_tokens":925,"prompt_tokens_details":{"cached_tokens":0,"audio_tokens":0},"completion_tokens_details":{"reasoning_tokens":0,"audio_tokens":0,"accepted_prediction_tokens":0,"rejected_prediction_tokens":0}},"service_tier":"default","system_fingerprint":"fp_ad66631dec"}</t>
        </is>
      </c>
      <c r="M18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ma=2592000","apim-request-id":"1d84b913-2f7a-4c8f-828f-6c8886e37566","azureml-model-session":"d20260402075109-1fc5a0ec","cache-control":"no-cache, no-store, must-revalidate","connection":"close","content-length":"960","content-security-policy":"frame-ancestors 'self'","content-type":"application/json","date":"Sat, 25 Apr 2026 00:43:21 GMT","server":"Caddy","skip-error-remapping":"true","strict-transport-security":"max-age=31536000; includeSubDomains; preload","via":"1.1 Caddy","x-api-request-id":"202604250843187743861830e9mhvEU","x-content-type-options":"nosniff","x-frame-options":"SAMEORIGIN","x-ms-is-spilled-over":"false","x-ms-rai-invoked":"false","x-ms-region":"East US 2","x-new-api-version":"0.5.1","x-oneapi-request-id":"202604250043147373357278268d9d6x2TA0mEd","x-ratelimit-abusepenalty-active":"False","x-ratelimit-limit-requests":"4992","x-ratelimit-limit-tokens":"4992000","x-ratelimit-remaining-requests":"4991","x-ratelimit-remaining-tokens":"4990345","x-ratelimit-renewalperiod-requests":"60","x-ratelimit-renewalperiod-tokens":"60","x-ratelimit-reset-requests":"12","x-ratelimit-reset-tokens":"19","x-request-id":"5555740d-dc30-4e47-9cbd-68caaa5a14fb"}</t>
        </is>
      </c>
      <c r="N180" t="inlineStr">
        <is>
          <t>Gucci Flora Beige Floral Leather Belt with Vintage Gold Double G Buckle, elegant Italian design for men and women, perfect for daily wear or formal outfits.</t>
        </is>
      </c>
      <c r="O180" t="inlineStr">
        <is>
          <t>{"id":"chatcmpl-DYM1zxtdH3Fwgw4r1xHhxBpluHKdp","object":"chat.completion","created":1777080211,"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80" t="inlineStr">
        <is>
          <t>Gucci,Accessories,kakobuy,kakebuy2026,kekobuysheet,kakobuysheet2026,2026kakobuy,kakobuyspreadsheeet,kakobuylink,kakebuylist,Kakobuy MEGA Spreadsheet,kakobuysheetfind,kakobuysheetfind2026,2026kakobuysheetfind,kakobuysheet2026</t>
        </is>
      </c>
      <c r="Q180" t="inlineStr">
        <is>
          <t>Leather, Beige, Elegant, Vintage, Men's And Women's</t>
        </is>
      </c>
      <c r="R180" t="inlineStr">
        <is>
          <t>recvhju1Cratcc</t>
        </is>
      </c>
      <c r="S180" t="inlineStr">
        <is>
          <t>gucci-flora-beige-floral-leather-belt-gg-gold-recvhju1cratcc</t>
        </is>
      </c>
      <c r="T180"/>
      <c r="U180"/>
      <c r="V180"/>
      <c r="W180" t="inlineStr">
        <is>
          <t>{"id":"chatcmpl-DY6FE2ZxLK26vEkt6zvPs8eb1wmLN","object":"chat.completion","created":1777019528,"model":"gpt-5-chat-latest","choices":[{"index":0,"message":{"role":"assistant","content":"Gucci：Flora系列米色花卉印花皮革腰带，配复古金色双G扣，精致奢华设计，彰显意式优雅格调，男女皆宜，日常与正式造型皆可轻松驾驭。","refusal":null,"annotations":[]},"logprobs":null,"finish_reason":"stop"}],"usage":{"prompt_tokens":1295,"completion_tokens":62,"total_tokens":1357,"prompt_tokens_details":{"cached_tokens":1280,"audio_tokens":0},"completion_tokens_details":{"reasoning_tokens":0,"audio_tokens":0,"accepted_prediction_tokens":0,"rejected_prediction_tokens":0}},"service_tier":"default","system_fingerprint":"fp_ad66631dec"}</t>
        </is>
      </c>
      <c r="X180" t="inlineStr">
        <is>
          <t>Gucci：Flora系列米色花卉印花皮革腰带，配复古金色双G扣，精致奢华设计，彰显意式优雅格调，男女皆宜，日常与正式造型皆可轻松驾驭。</t>
        </is>
      </c>
    </row>
    <row r="181" ht="25.5" customHeight="1">
      <c r="A181">
        <v>1654975475</v>
      </c>
      <c r="B181">
        <v>7622481232</v>
      </c>
      <c r="C181" s="2" t="str">
        <f>=HYPERLINK("https://weidian.com/item.html?itemID=7622481232", "https://weidian.com/item.html?itemID=7622481232")</f>
        <v>https://weidian.com/item.html?itemID=7622481232</v>
      </c>
      <c r="D181"/>
      <c r="E181" s="2" t="str">
        <f>=HYPERLINK("https://si.geilicdn.com/pcitem2014204438-74c20000019acfc3816d0a23037f_1512_2016.jpg?w=640&amp;h=640", "https://si.geilicdn.com/pcitem2014204438-74c20000019acfc3816d0a23037f_1512_2016.jpg?w=640&amp;h=640")</f>
        <v>https://si.geilicdn.com/pcitem2014204438-74c20000019acfc3816d0a23037f_1512_2016.jpg?w=640&amp;h=640</v>
      </c>
      <c r="F181" t="inlineStr">
        <is>
          <t>Accessories</t>
        </is>
      </c>
      <c r="G181" t="inlineStr">
        <is>
          <t>Gucci</t>
        </is>
      </c>
      <c r="H181">
        <v>480</v>
      </c>
      <c r="I181">
        <v>69.5797101449275</v>
      </c>
      <c r="J181" t="inlineStr">
        <is>
          <t>{"id":"chatcmpl-DYLkY3Q3nqPmsT5kjg7YIkJLWxAK9","object":"chat.completion","created":1777079130,"model":"gpt-5-chat-latest","choices":[{"index":0,"message":{"role":"assistant","content":"Gucci GG Supreme Beige Leather Belt Gold Buckle Unisex","refusal":null,"annotations":[]},"logprobs":null,"finish_reason":"stop"}],"usage":{"prompt_tokens":875,"completion_tokens":13,"total_tokens":888,"prompt_tokens_details":{"cached_tokens":0,"audio_tokens":0},"completion_tokens_details":{"reasoning_tokens":0,"audio_tokens":0,"accepted_prediction_tokens":0,"rejected_prediction_tokens":0}},"service_tier":"default","system_fingerprint":"fp_ad66631dec"}</t>
        </is>
      </c>
      <c r="K181" t="inlineStr">
        <is>
          <t>Gucci GG Supreme Beige Leather Belt Gold Buckle Unisex</t>
        </is>
      </c>
      <c r="L181" t="inlineStr">
        <is>
          <t>{"id":"chatcmpl-DYLZ5IbpC2X7SpH1ixElhDcLvYDGy","object":"chat.completion","created":1777078419,"model":"gpt-5-chat-latest","choices":[{"index":0,"message":{"role":"assistant","content":"Gucci GG Supreme Beige Leather Belt with Gold Double G Hollow Buckle, Vintage Luxury Style, Unisex Design, Showcasing Iconic Italian Elegance and Timeless Fashion.","refusal":null,"annotations":[]},"logprobs":null,"finish_reason":"stop"}],"usage":{"prompt_tokens":881,"completion_tokens":37,"total_tokens":918,"prompt_tokens_details":{"cached_tokens":0,"audio_tokens":0},"completion_tokens_details":{"reasoning_tokens":0,"audio_tokens":0,"accepted_prediction_tokens":0,"rejected_prediction_tokens":0}},"service_tier":"default","system_fingerprint":"fp_ad66631dec"}</t>
        </is>
      </c>
      <c r="M18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ma=2592000","apim-request-id":"0c0d513a-6b3b-4b09-b1d8-cc684a782437","azureml-model-session":"d20260405234249-f9874baf","cache-control":"no-cache, no-store, must-revalidate","connection":"close","content-length":"967","content-security-policy":"frame-ancestors 'self'","content-type":"application/json","date":"Sat, 25 Apr 2026 00:53:42 GMT","server":"nginx","skip-error-remapping":"true","strict-transport-security":"max-age=31536000; includeSubDomains; preload","via":"1.1 Caddy, 1.1 Caddy","x-api-request-id":"20260425085338233738108PK218sIA","x-content-type-options":"nosniff","x-frame-options":"SAMEORIGIN","x-ms-is-spilled-over":"false","x-ms-rai-invoked":"false","x-ms-region":"Sweden Central","x-new-api-version":"0.5.1","x-oneapi-request-id":"202604250053365021096428268d9d6swntYTKg","x-ratelimit-abusepenalty-active":"False","x-ratelimit-limit-requests":"4991","x-ratelimit-limit-tokens":"4991000","x-ratelimit-remaining-requests":"4990","x-ratelimit-remaining-tokens":"4989357","x-ratelimit-renewalperiod-requests":"60","x-ratelimit-renewalperiod-tokens":"60","x-ratelimit-reset-requests":"12","x-ratelimit-reset-tokens":"19","x-request-id":"30717b5b-9315-40e3-a584-93bb3af7c3a8"}</t>
        </is>
      </c>
      <c r="N181" t="inlineStr">
        <is>
          <t>Gucci GG Supreme Beige Leather Belt with Gold Double G Hollow Buckle, Vintage Luxury Style, Unisex Design, Showcasing Iconic Italian Elegance and Timeless Fashion.</t>
        </is>
      </c>
      <c r="O181" t="inlineStr">
        <is>
          <t>{"id":"chatcmpl-DYLzNayIBOoqRoqqU2kESr9sbeBbZ","object":"chat.completion","created":1777080049,"model":"gpt-5-chat-2025-10-03","choices":[{"index":0,"message":{"role":"assistant","content":"Gucci,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81" t="inlineStr">
        <is>
          <t>Gucci, Accessories, kakobuy, kakebuy2026, kekobuysheet, kakobuysheet2026, 2026kakobuy, kakobuyspreadsheeet, kakobuylink, kakebuylist, Kakobuy MEGA Spreadsheet, kakobuysheetfind, kakobuysheetfind2026, 2026kakobuysheetfind, kakobuysheet2026</t>
        </is>
      </c>
      <c r="Q181" t="inlineStr">
        <is>
          <t>Gucci X Adidas, Vintage, Beige, Leather, Unisex, Elegant</t>
        </is>
      </c>
      <c r="R181" t="inlineStr">
        <is>
          <t>recvhju1CrwEwr</t>
        </is>
      </c>
      <c r="S181" t="inlineStr">
        <is>
          <t>gucci-gg-supreme-beige-leather-belt-gold-buckle-recvhju1crwewr</t>
        </is>
      </c>
      <c r="T181"/>
      <c r="U181"/>
      <c r="V181"/>
      <c r="W181" t="inlineStr">
        <is>
          <t>{"id":"chatcmpl-DY6Dm7l2rYn25Un831sdwWewObYjY","object":"chat.completion","created":1777019438,"model":"gpt-5-chat-latest","choices":[{"index":0,"message":{"role":"assistant","content":"Gucci：经典GG Supreme米色真皮腰带，金色双G圆形镂空扣设计，复古奢华风格，男女皆宜，彰显意式优雅品味。","refusal":null,"annotations":[]},"logprobs":null,"finish_reason":"stop"}],"usage":{"prompt_tokens":1301,"completion_tokens":47,"total_tokens":1348,"prompt_tokens_details":{"cached_tokens":0,"audio_tokens":0},"completion_tokens_details":{"reasoning_tokens":0,"audio_tokens":0,"accepted_prediction_tokens":0,"rejected_prediction_tokens":0}},"service_tier":"default","system_fingerprint":"fp_ad66631dec"}</t>
        </is>
      </c>
      <c r="X181" t="inlineStr">
        <is>
          <t>Gucci：经典GG Supreme米色真皮腰带，金色双G圆形镂空扣设计，复古奢华风格，男女皆宜，彰显意式优雅品味。</t>
        </is>
      </c>
    </row>
    <row r="182" ht="25.5" customHeight="1">
      <c r="A182">
        <v>1654975475</v>
      </c>
      <c r="B182">
        <v>7622585600</v>
      </c>
      <c r="C182" s="2" t="str">
        <f>=HYPERLINK("https://weidian.com/item.html?itemID=7622585600", "https://weidian.com/item.html?itemID=7622585600")</f>
        <v>https://weidian.com/item.html?itemID=7622585600</v>
      </c>
      <c r="D182"/>
      <c r="E182" s="2" t="str">
        <f>=HYPERLINK("https://si.geilicdn.com/pcitem2014204438-67df0000019acfb26f550a2102c5_1450_1922.jpg?w=640&amp;h=640", "https://si.geilicdn.com/pcitem2014204438-67df0000019acfb26f550a2102c5_1450_1922.jpg?w=640&amp;h=640")</f>
        <v>https://si.geilicdn.com/pcitem2014204438-67df0000019acfb26f550a2102c5_1450_1922.jpg?w=640&amp;h=640</v>
      </c>
      <c r="F182" t="inlineStr">
        <is>
          <t>Accessories</t>
        </is>
      </c>
      <c r="G182" t="inlineStr">
        <is>
          <t>Dior</t>
        </is>
      </c>
      <c r="H182">
        <v>460</v>
      </c>
      <c r="I182">
        <v>66.67</v>
      </c>
      <c r="J182" t="inlineStr">
        <is>
          <t>{"id":"chatcmpl-DYLhmrfs6lICqsoV1IVgEid2mXPL0","object":"chat.completion","created":1777078958,"model":"gpt-5-chat-latest","choices":[{"index":0,"message":{"role":"assistant","content":"Dior Black Leather CD Buckle Belt Unisex Luxury Fashion","refusal":null,"annotations":[]},"logprobs":null,"finish_reason":"stop"}],"usage":{"prompt_tokens":877,"completion_tokens":13,"total_tokens":890,"prompt_tokens_details":{"cached_tokens":0,"audio_tokens":0},"completion_tokens_details":{"reasoning_tokens":0,"audio_tokens":0,"accepted_prediction_tokens":0,"rejected_prediction_tokens":0}},"service_tier":"default","system_fingerprint":"fp_ad66631dec"}</t>
        </is>
      </c>
      <c r="K182" t="inlineStr">
        <is>
          <t>Dior Black Leather CD Buckle Belt Unisex Luxury Fashion</t>
        </is>
      </c>
      <c r="L182" t="inlineStr">
        <is>
          <t>{"choices":[{"finish_reason":"stop","index":0,"logprobs":null,"message":{"annotations":[],"content":"Dior black leather CD buckle belt, crafted from premium cowhide with a silver double-letter logo. Minimalist luxury style, unisex design, perfect for both casual and formal outfits.","refusal":null,"role":"assistant"}}],"created":1777077889,"id":"chatcmpl-DYLQXCxQq9yCa0SzkuDYUJ5L7ut5s","model":"gpt-5-chat-latest","object":"chat.completion","service_tier":"default","system_fingerprint":"fp_ad66631dec","usage":{"completion_tokens":38,"completion_tokens_details":{"accepted_prediction_tokens":0,"audio_tokens":0,"reasoning_tokens":0,"rejected_prediction_tokens":0},"prompt_tokens":898,"prompt_tokens_details":{"audio_tokens":0,"cached_tokens":0},"total_tokens":936}}</t>
        </is>
      </c>
      <c r="M182" t="inlineStr">
        <is>
          <t>{"alt-svc":"h3=\":443\"; ma=2592000","apim-request-id":"564ab980-9086-4d54-b077-551b23e06858","azureml-model-session":"d20260402083108-57a85543","cache-control":"no-cache","connection":"close","content-length":"769","content-security-policy":"frame-ancestors 'self'","content-type":"application/json","date":"Sat, 25 Apr 2026 00:44:50 GMT","server":"Caddy","skip-error-remapping":"true","strict-transport-security":"max-age=31536000; includeSubDomains; preload","via":"1.1 Caddy","x-api-request-id":"20260425084447994774897Kkj2jpRt","x-content-type-options":"nosniff","x-frame-options":"SAMEORIGIN","x-ms-client-request-id":"Not-Set","x-ms-is-spilled-over":"false","x-ms-rai-invoked":"true","x-ms-region":"East US 2","x-new-api-version":"0.5.1","x-oneapi-request-id":"202604250044474934134708268d9d6XhftfTo4","x-ratelimit-abusepenalty-active":"False","x-ratelimit-limit-requests":"50","x-ratelimit-limit-tokens":"50000","x-ratelimit-remaining-requests":"49","x-ratelimit-remaining-tokens":"-1464","x-ratelimit-renewalperiod-requests":"60","x-ratelimit-renewalperiod-tokens":"60","x-ratelimit-reset-requests":"1200","x-ratelimit-reset-tokens":"61756","x-request-id":"abe8bc29-5452-4af4-862b-6f20fd7f465f"}</t>
        </is>
      </c>
      <c r="N182" t="inlineStr">
        <is>
          <t>Dior black leather CD buckle belt, crafted from premium cowhide with a silver double-letter logo. Minimalist luxury style, unisex design, perfect for both casual and formal outfits.</t>
        </is>
      </c>
      <c r="O182" t="inlineStr">
        <is>
          <t>{"id":"chatcmpl-DYLvQCZDVJURyxfqUp4kq0iYj1xPn","object":"chat.completion","created":1777079804,"model":"gpt-5-chat-2025-10-03","choices":[{"index":0,"message":{"role":"assistant","content":"Dior,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82" t="inlineStr">
        <is>
          <t>Dior, Belt, kakobuy, kakebuy2026, kekobuysheet, kakobuysheet2026, 2026kakobuy, kakobuyspreadsheeet, kakobuylink, kakebuylist, Kakobuy MEGA Spreadsheet, kakobuysheetfind, kakobuysheetfind2026, 2026kakobuysheetfind, kakobuysheet2026</t>
        </is>
      </c>
      <c r="Q182" t="inlineStr">
        <is>
          <t>Dior, Black, Cowhide, Minimalist, Unisex</t>
        </is>
      </c>
      <c r="R182" t="inlineStr">
        <is>
          <t>recvhju1CrFJ5I</t>
        </is>
      </c>
      <c r="S182" t="inlineStr">
        <is>
          <t>dior-black-leather-cd-buckle-belt-recvhju1crfj5i</t>
        </is>
      </c>
      <c r="T182"/>
      <c r="U182"/>
      <c r="V182"/>
      <c r="W182" t="inlineStr">
        <is>
          <t>{"id":"chatcmpl-DY6JE8ZpzHRQ1ChnSBHIzGe4Bp8Ls","object":"chat.completion","created":1777019776,"model":"gpt-5-chat-latest","choices":[{"index":0,"message":{"role":"assistant","content":"Dior：黑色皮质CD标扣腰带，甄选优质牛皮，银色双字母金属扣设计，极简奢华风格，男女通用款，彰显品牌经典高雅气质，适合休闲与正装搭配。","refusal":null,"annotations":[]},"logprobs":null,"finish_reason":"stop"}],"usage":{"prompt_tokens":1301,"completion_tokens":64,"total_tokens":1365,"prompt_tokens_details":{"cached_tokens":1280,"audio_tokens":0},"completion_tokens_details":{"reasoning_tokens":0,"audio_tokens":0,"accepted_prediction_tokens":0,"rejected_prediction_tokens":0}},"service_tier":"default","system_fingerprint":"fp_ad66631dec"}</t>
        </is>
      </c>
      <c r="X182" t="inlineStr">
        <is>
          <t>Dior：黑色皮质CD标扣腰带，甄选优质牛皮，银色双字母金属扣设计，极简奢华风格，男女通用款，彰显品牌经典高雅气质，适合休闲与正装搭配。</t>
        </is>
      </c>
    </row>
    <row r="183" ht="25.5" customHeight="1">
      <c r="A183">
        <v>1654975475</v>
      </c>
      <c r="B183">
        <v>7622557896</v>
      </c>
      <c r="C183" s="2" t="str">
        <f>=HYPERLINK("https://weidian.com/item.html?itemID=7622557896", "https://weidian.com/item.html?itemID=7622557896")</f>
        <v>https://weidian.com/item.html?itemID=7622557896</v>
      </c>
      <c r="D183"/>
      <c r="E183" s="2" t="str">
        <f>=HYPERLINK("https://si.geilicdn.com/pcitem2014204438-6b5e0000019acfbcba400a2102c5_1440_1920.jpg?w=640&amp;h=640", "https://si.geilicdn.com/pcitem2014204438-6b5e0000019acfbcba400a2102c5_1440_1920.jpg?w=640&amp;h=640")</f>
        <v>https://si.geilicdn.com/pcitem2014204438-6b5e0000019acfbcba400a2102c5_1440_1920.jpg?w=640&amp;h=640</v>
      </c>
      <c r="F183" t="inlineStr">
        <is>
          <t>Accessories</t>
        </is>
      </c>
      <c r="G183" t="inlineStr">
        <is>
          <t>Hermes</t>
        </is>
      </c>
      <c r="H183">
        <v>460</v>
      </c>
      <c r="I183">
        <v>66.67</v>
      </c>
      <c r="J183" t="inlineStr">
        <is>
          <t>{"id":"chatcmpl-DYLnLow0SHkpcBlvLgNrncU4Lc2vN","object":"chat.completion","created":1777079303,"model":"gpt-5-chat-2025-10-03","choices":[{"index":0,"message":{"role":"assistant","content":"Hermes Black H Buckle Leather Belt Unisex","refusal":null,"annotations":[]},"logprobs":null,"finish_reason":"stop"}],"usage":{"prompt_tokens":877,"completion_tokens":11,"total_tokens":888,"prompt_tokens_details":{"cached_tokens":0,"audio_tokens":0},"completion_tokens_details":{"reasoning_tokens":0,"audio_tokens":0,"accepted_prediction_tokens":0,"rejected_prediction_tokens":0}},"service_tier":"default","system_fingerprint":"fp_ad66631dec"}</t>
        </is>
      </c>
      <c r="K183" t="inlineStr">
        <is>
          <t>Hermes Black H Buckle Leather Belt Unisex</t>
        </is>
      </c>
      <c r="L183" t="inlineStr">
        <is>
          <t>{"id":"chatcmpl-DYLUgjsSA3hFAbYPLFIEc5PtnqKzk","object":"chat.completion","created":1777078146,"model":"gpt-5-chat-latest","choices":[{"index":0,"message":{"role":"assistant","content":"Hermes Black H Buckle Leather Belt – crafted from premium cowhide with a matte black metal buckle, exuding minimalist French luxury. Unisex design ideal for business or casual wear.","refusal":null,"annotations":[]},"logprobs":null,"finish_reason":"stop"}],"usage":{"prompt_tokens":911,"completion_tokens":38,"total_tokens":949,"prompt_tokens_details":{"cached_tokens":0,"audio_tokens":0},"completion_tokens_details":{"reasoning_tokens":0,"audio_tokens":0,"accepted_prediction_tokens":0,"rejected_prediction_tokens":0}},"service_tier":"default","system_fingerprint":"fp_ad66631dec"}</t>
        </is>
      </c>
      <c r="M18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ma=2592000","apim-request-id":"28e5ab85-8844-4f84-8f23-93ff25d117ac","azureml-model-session":"d20260405221325-2e8d5e76","cache-control":"no-cache, no-store, must-revalidate","connection":"close","content-length":"987","content-security-policy":"frame-ancestors 'self'","content-type":"application/json","date":"Sat, 25 Apr 2026 00:49:07 GMT","server":"Caddy","skip-error-remapping":"true","strict-transport-security":"max-age=31536000; includeSubDomains; preload","via":"1.1 Caddy","x-api-request-id":"20260425084905311490990l6kwkOGg","x-content-type-options":"nosniff","x-frame-options":"SAMEORIGIN","x-ms-is-spilled-over":"false","x-ms-rai-invoked":"false","x-ms-region":"East US 2","x-new-api-version":"0.5.1","x-oneapi-request-id":"202604250049028682772158268d9d67ibJNVST","x-ratelimit-abusepenalty-active":"False","x-ratelimit-limit-requests":"4992","x-ratelimit-limit-tokens":"4992000","x-ratelimit-remaining-requests":"4991","x-ratelimit-remaining-tokens":"4990327","x-ratelimit-renewalperiod-requests":"60","x-ratelimit-renewalperiod-tokens":"60","x-ratelimit-reset-requests":"12","x-ratelimit-reset-tokens":"20","x-request-id":"d60d2800-e58e-41d7-8acb-b03799d35153"}</t>
        </is>
      </c>
      <c r="N183" t="inlineStr">
        <is>
          <t>Hermes Black H Buckle Leather Belt – crafted from premium cowhide with a matte black metal buckle, exuding minimalist French luxury. Unisex design ideal for business or casual wear.</t>
        </is>
      </c>
      <c r="O183" t="inlineStr">
        <is>
          <t>{"id":"chatcmpl-DYM33kGi32PrO7Gag6yd1irRdIsVU","object":"chat.completion","created":1777080277,"model":"gpt-5-chat-2025-10-03","choices":[{"index":0,"message":{"role":"assistant","content":"Hermes,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83" t="inlineStr">
        <is>
          <t>Hermes,Accessories,kakobuy,kakebuy2026,kekobuysheet,kakobuysheet2026,2026kakobuy,kakobuyspreadsheeet,kakobuylink,kakebuylist,Kakobuy MEGA Spreadsheet,kakobuysheetfind,kakobuysheetfind2026,2026kakobuysheetfind,kakobuysheet2026</t>
        </is>
      </c>
      <c r="Q183"/>
      <c r="R183" t="inlineStr">
        <is>
          <t>recvhju1CrZ0AK</t>
        </is>
      </c>
      <c r="S183" t="inlineStr">
        <is>
          <t>hermes-black-h-buckle-leather-belt-recvhju1crz0ak</t>
        </is>
      </c>
      <c r="T183"/>
      <c r="U183"/>
      <c r="V183"/>
      <c r="W183" t="inlineStr">
        <is>
          <t>{"choices":[{"finish_reason":"stop","index":0,"logprobs":null,"message":{"annotations":[],"content":"Hermes：黑色H字扣皮带，甄选上乘牛皮，质感细腻柔韧，搭配哑光黑金属扣，彰显极简奢华设计。男女皆宜，适合商务与休闲多场合穿搭，经典法式风格尽显高贵气质。","refusal":null,"role":"assistant"}}],"created":1777019838,"id":"chatcmpl-DY6KEJTJtjvKlfktCZMyT6PspgkZX","model":"gpt-5-chat-latest","object":"chat.completion","service_tier":"default","system_fingerprint":"fp_ad66631dec","usage":{"completion_tokens":76,"completion_tokens_details":{"accepted_prediction_tokens":0,"audio_tokens":0,"reasoning_tokens":0,"rejected_prediction_tokens":0},"prompt_tokens":1303,"prompt_tokens_details":{"audio_tokens":0,"cached_tokens":0},"total_tokens":1379}}</t>
        </is>
      </c>
      <c r="X183" t="inlineStr">
        <is>
          <t>Hermes：黑色H字扣皮带，甄选上乘牛皮，质感细腻柔韧，搭配哑光黑金属扣，彰显极简奢华设计。男女皆宜，适合商务与休闲多场合穿搭，经典法式风格尽显高贵气质。</t>
        </is>
      </c>
    </row>
    <row r="184" ht="25.5" customHeight="1">
      <c r="A184">
        <v>1654975475</v>
      </c>
      <c r="B184">
        <v>7619402149</v>
      </c>
      <c r="C184" s="2" t="str">
        <f>=HYPERLINK("https://weidian.com/item.html?itemID=7619402149", "https://weidian.com/item.html?itemID=7619402149")</f>
        <v>https://weidian.com/item.html?itemID=7619402149</v>
      </c>
      <c r="D184"/>
      <c r="E184" s="2" t="str">
        <f>=HYPERLINK("https://si.geilicdn.com/pcitem2014204438-37a70000019acdf4a90c0a2304aa_1440_1920.jpg?w=640&amp;h=640", "https://si.geilicdn.com/pcitem2014204438-37a70000019acdf4a90c0a2304aa_1440_1920.jpg?w=640&amp;h=640")</f>
        <v>https://si.geilicdn.com/pcitem2014204438-37a70000019acdf4a90c0a2304aa_1440_1920.jpg?w=640&amp;h=640</v>
      </c>
      <c r="F184" t="inlineStr">
        <is>
          <t>Accessories</t>
        </is>
      </c>
      <c r="G184" t="inlineStr">
        <is>
          <t>Dior</t>
        </is>
      </c>
      <c r="H184">
        <v>460</v>
      </c>
      <c r="I184">
        <v>66.67</v>
      </c>
      <c r="J184" t="inlineStr">
        <is>
          <t>{"id":"chatcmpl-DYLmUEub9oMTD2QwrF9Kexqwlic0C","object":"chat.completion","created":1777079250,"model":"gpt-5-chat-2025-10-03","choices":[{"index":0,"message":{"role":"assistant","content":"Dior Men Oblique Blue Grey Canvas Leather Belt 4.0cm","refusal":null,"annotations":[]},"logprobs":null,"finish_reason":"stop"}],"usage":{"prompt_tokens":893,"completion_tokens":16,"total_tokens":909,"prompt_tokens_details":{"cached_tokens":0,"audio_tokens":0},"completion_tokens_details":{"reasoning_tokens":0,"audio_tokens":0,"accepted_prediction_tokens":0,"rejected_prediction_tokens":0}},"service_tier":"default","system_fingerprint":"fp_ad66631dec"}</t>
        </is>
      </c>
      <c r="K184" t="inlineStr">
        <is>
          <t>Dior Men Oblique Blue Grey Canvas Leather Belt 4.0cm</t>
        </is>
      </c>
      <c r="L184" t="inlineStr">
        <is>
          <t>{"id":"chatcmpl-DYLVX3tko2QQZuzx2vOyHzlvycQGt","object":"chat.completion","created":1777078199,"model":"gpt-5-chat-latest","choices":[{"index":0,"message":{"role":"assistant","content":"Dior Men’s Oblique Blue-Grey Belt, crafted from signature jacquard canvas and smooth leather, features a polished metal buckle. 4.0cm width for sleek shape, ideal for business and casual style.","refusal":null,"annotations":[]},"logprobs":null,"finish_reason":"stop"}],"usage":{"prompt_tokens":903,"completion_tokens":46,"total_tokens":949,"prompt_tokens_details":{"cached_tokens":0,"audio_tokens":0},"completion_tokens_details":{"reasoning_tokens":0,"audio_tokens":0,"accepted_prediction_tokens":0,"rejected_prediction_tokens":0}},"service_tier":"default","system_fingerprint":"fp_ad66631dec"}</t>
        </is>
      </c>
      <c r="M18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ma=2592000","apim-request-id":"35726f18-c9ec-40fb-921c-7761202c9788","azureml-model-session":"d20260405234249-f9874baf","cache-control":"no-cache, no-store, must-revalidate","connection":"close","content-length":"999","content-security-policy":"frame-ancestors 'self'","content-type":"application/json","date":"Sat, 25 Apr 2026 00:50:01 GMT","server":"Caddy","skip-error-remapping":"true","strict-transport-security":"max-age=31536000; includeSubDomains; preload","via":"1.1 Caddy","x-api-request-id":"20260425084958624179140XbtVHPfc","x-content-type-options":"nosniff","x-frame-options":"SAMEORIGIN","x-ms-is-spilled-over":"false","x-ms-rai-invoked":"false","x-ms-region":"East US 2","x-new-api-version":"0.5.1","x-oneapi-request-id":"202604250049582946927438268d9d6fJlnGIfC","x-ratelimit-abusepenalty-active":"False","x-ratelimit-limit-requests":"4992","x-ratelimit-limit-tokens":"4992000","x-ratelimit-remaining-requests":"4991","x-ratelimit-remaining-tokens":"4990335","x-ratelimit-renewalperiod-requests":"60","x-ratelimit-renewalperiod-tokens":"60","x-ratelimit-reset-requests":"12","x-ratelimit-reset-tokens":"20","x-request-id":"83cbe2e0-18be-48dc-a90b-77bc91b49575"}</t>
        </is>
      </c>
      <c r="N184" t="inlineStr">
        <is>
          <t>Dior Men’s Oblique Blue-Grey Belt, crafted from signature jacquard canvas and smooth leather, features a polished metal buckle. 4.0cm width for sleek shape, ideal for business and casual style.</t>
        </is>
      </c>
      <c r="O184" t="inlineStr">
        <is>
          <t>{"id":"chatcmpl-DYM1GGFvr6mldRQDjHd9jgr3SXwMv","object":"chat.completion","created":1777080166,"model":"gpt-5-chat-2025-10-03","choices":[{"index":0,"message":{"role":"assistant","content":"Dior,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84" t="inlineStr">
        <is>
          <t>Dior, Belt, kakobuy, kakebuy2026, kekobuysheet, kakobuysheet2026, 2026kakobuy, kakobuyspreadsheeet, kakobuylink, kakebuylist, Kakobuy MEGA Spreadsheet, kakobuysheetfind, kakobuysheetfind2026, 2026kakobuysheetfind, kakobuysheet2026</t>
        </is>
      </c>
      <c r="Q184" t="inlineStr">
        <is>
          <t>Dior, Dior Oblique, Grey Blue, Business, Leather</t>
        </is>
      </c>
      <c r="R184" t="inlineStr">
        <is>
          <t>recvhju1CrRXWW</t>
        </is>
      </c>
      <c r="S184" t="inlineStr">
        <is>
          <t>dior-men-oblique-blue-grey-canvas-leather-belt-4cm-recvhju1crrxww</t>
        </is>
      </c>
      <c r="T184"/>
      <c r="U184"/>
      <c r="V184"/>
      <c r="W184" t="inlineStr">
        <is>
          <t>{"choices":[{"finish_reason":"stop","index":0,"logprobs":null,"message":{"annotations":[],"content":"Dior：Oblique蓝灰配色男士皮带，以经典提花帆布与光滑皮革拼接，金属抛光扣头设计，彰显优雅现代风格。4.0cm宽度打造利落廓形，适配商务与日常穿搭。","refusal":null,"role":"assistant"}}],"created":1777019917,"id":"chatcmpl-DY6LVLrbrFFixFhAv73NcswPpTuxD","model":"gpt-5-chat-latest","object":"chat.completion","service_tier":"default","system_fingerprint":"fp_ad66631dec","usage":{"completion_tokens":68,"completion_tokens_details":{"accepted_prediction_tokens":0,"audio_tokens":0,"reasoning_tokens":0,"rejected_prediction_tokens":0},"prompt_tokens":1303,"prompt_tokens_details":{"audio_tokens":0,"cached_tokens":0},"total_tokens":1371}}</t>
        </is>
      </c>
      <c r="X184" t="inlineStr">
        <is>
          <t>Dior：Oblique蓝灰配色男士皮带，以经典提花帆布与光滑皮革拼接，金属抛光扣头设计，彰显优雅现代风格。4.0cm宽度打造利落廓形，适配商务与日常穿搭。</t>
        </is>
      </c>
    </row>
    <row r="185" ht="25.5" customHeight="1">
      <c r="A185">
        <v>1654975475</v>
      </c>
      <c r="B185">
        <v>7619558509</v>
      </c>
      <c r="C185" s="2" t="str">
        <f>=HYPERLINK("https://weidian.com/item.html?itemID=7619558509", "https://weidian.com/item.html?itemID=7619558509")</f>
        <v>https://weidian.com/item.html?itemID=7619558509</v>
      </c>
      <c r="D185"/>
      <c r="E185" s="2" t="str">
        <f>=HYPERLINK("https://si.geilicdn.com/pcitem2014204438-7f440000019ad00aa2960a239846_1080_1080.jpg?w=640&amp;h=640", "https://si.geilicdn.com/pcitem2014204438-7f440000019ad00aa2960a239846_1080_1080.jpg?w=640&amp;h=640")</f>
        <v>https://si.geilicdn.com/pcitem2014204438-7f440000019ad00aa2960a239846_1080_1080.jpg?w=640&amp;h=640</v>
      </c>
      <c r="F185" t="inlineStr">
        <is>
          <t>Accessories</t>
        </is>
      </c>
      <c r="G185" t="inlineStr">
        <is>
          <t>Burberry</t>
        </is>
      </c>
      <c r="H185">
        <v>520</v>
      </c>
      <c r="I185">
        <v>75.36</v>
      </c>
      <c r="J185" t="inlineStr">
        <is>
          <t>{"id":"chatcmpl-DYLjC5rGbZhItodMgNxlric3PY9xq","object":"chat.completion","created":1777079046,"model":"gpt-5-chat-latest","choices":[{"index":0,"message":{"role":"assistant","content":"Burberry Classic Black Leather Men Belt Gift Set","refusal":null,"annotations":[]},"logprobs":null,"finish_reason":"stop"}],"usage":{"prompt_tokens":873,"completion_tokens":10,"total_tokens":883,"prompt_tokens_details":{"cached_tokens":0,"audio_tokens":0},"completion_tokens_details":{"reasoning_tokens":0,"audio_tokens":0,"accepted_prediction_tokens":0,"rejected_prediction_tokens":0}},"service_tier":"default","system_fingerprint":"fp_ad66631dec"}</t>
        </is>
      </c>
      <c r="K185" t="inlineStr">
        <is>
          <t>Burberry Classic Black Leather Men Belt Gift Set</t>
        </is>
      </c>
      <c r="L185" t="inlineStr">
        <is>
          <t>{"id":"chatcmpl-DYLWQSb2vMllPcTf54TGOcZ9gGuOz","object":"chat.completion","created":1777078254,"model":"gpt-5-chat-latest","choices":[{"index":0,"message":{"role":"assistant","content":"Burberry Classic Black Leather Men’s Belt Gift Set, featuring genuine first-layer cowhide, dual steel buckles, refined British style, timeless luxury, and elegant gentleman charm.","refusal":null,"annotations":[]},"logprobs":null,"finish_reason":"stop"}],"usage":{"prompt_tokens":887,"completion_tokens":36,"total_tokens":923,"prompt_tokens_details":{"cached_tokens":0,"audio_tokens":0},"completion_tokens_details":{"reasoning_tokens":0,"audio_tokens":0,"accepted_prediction_tokens":0,"rejected_prediction_tokens":0}},"service_tier":"default","system_fingerprint":"fp_ad66631dec"}</t>
        </is>
      </c>
      <c r="M18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ma=2592000","apim-request-id":"9f6d7b61-9b63-4da1-bc31-91dd14603649","azureml-model-session":"d20260402075109-1fc5a0ec","cache-control":"no-cache, no-store, must-revalidate","connection":"close","content-length":"985","content-security-policy":"frame-ancestors 'self'","content-type":"application/json","date":"Sat, 25 Apr 2026 00:50:56 GMT","server":"Caddy","skip-error-remapping":"true","strict-transport-security":"max-age=31536000; includeSubDomains; preload","via":"1.1 Caddy","x-api-request-id":"20260425085053384812984sE72GqcS","x-content-type-options":"nosniff","x-frame-options":"SAMEORIGIN","x-ms-is-spilled-over":"false","x-ms-rai-invoked":"false","x-ms-region":"Sweden Central","x-new-api-version":"0.5.1","x-oneapi-request-id":"202604250050517705785708268d9d673fabRhZ","x-ratelimit-abusepenalty-active":"False","x-ratelimit-limit-requests":"4991","x-ratelimit-limit-tokens":"4991000","x-ratelimit-remaining-requests":"4990","x-ratelimit-remaining-tokens":"4989351","x-ratelimit-renewalperiod-requests":"60","x-ratelimit-renewalperiod-tokens":"60","x-ratelimit-reset-requests":"12","x-ratelimit-reset-tokens":"19","x-request-id":"7532bcf2-d156-43ca-8df2-0daa0d229977"}</t>
        </is>
      </c>
      <c r="N185" t="inlineStr">
        <is>
          <t>Burberry Classic Black Leather Men’s Belt Gift Set, featuring genuine first-layer cowhide, dual steel buckles, refined British style, timeless luxury, and elegant gentleman charm.</t>
        </is>
      </c>
      <c r="O185" t="inlineStr">
        <is>
          <t>{"id":"chatcmpl-DYLuR8QYm294friBL53VJkAhIAXVJ","object":"chat.completion","created":1777079743,"model":"gpt-5-chat-2025-10-03","choices":[{"index":0,"message":{"role":"assistant","content":"Burberry,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85" t="inlineStr">
        <is>
          <t>Burberry,Accessories,kakobuy,kakebuy2026,kekobuysheet,kakobuysheet2026,2026kakobuy,kakobuyspreadsheeet,kakobuylink,kakebuylist,Kakobuy MEGA Spreadsheet,kakobuysheetfind,kakobuysheetfind2026,2026kakobuysheetfind,kakobuysheet2026</t>
        </is>
      </c>
      <c r="Q185" t="inlineStr">
        <is>
          <t>Black, Leather, Cow Leather, Genuine Leather, Men</t>
        </is>
      </c>
      <c r="R185" t="inlineStr">
        <is>
          <t>recvhju1CrtNxK</t>
        </is>
      </c>
      <c r="S185" t="inlineStr">
        <is>
          <t>burberry-classic-black-leather-men-belt-recvhju1crtnxk</t>
        </is>
      </c>
      <c r="T185"/>
      <c r="U185"/>
      <c r="V185"/>
      <c r="W185" t="inlineStr">
        <is>
          <t>{"id":"chatcmpl-DY6E5sSs37DDHUwCBjLY0cTln1IGE","object":"chat.completion","created":1777019457,"model":"gpt-5-chat-latest","choices":[{"index":0,"message":{"role":"assistant","content":"Burberry：典藏黑色头层牛皮男士腰带礼盒套装，配双钢质扣头设计，简约英伦格调，质感高级百搭，彰显绅士品味与品牌经典魅力。","refusal":null,"annotations":[]},"logprobs":null,"finish_reason":"stop"}],"usage":{"prompt_tokens":1297,"completion_tokens":55,"total_tokens":1352,"prompt_tokens_details":{"cached_tokens":0,"audio_tokens":0},"completion_tokens_details":{"reasoning_tokens":0,"audio_tokens":0,"accepted_prediction_tokens":0,"rejected_prediction_tokens":0}},"service_tier":"default","system_fingerprint":"fp_ad66631dec"}</t>
        </is>
      </c>
      <c r="X185" t="inlineStr">
        <is>
          <t>Burberry：典藏黑色头层牛皮男士腰带礼盒套装，配双钢质扣头设计，简约英伦格调，质感高级百搭，彰显绅士品味与品牌经典魅力。</t>
        </is>
      </c>
    </row>
    <row r="186" ht="25.5" customHeight="1">
      <c r="A186">
        <v>1654975475</v>
      </c>
      <c r="B186">
        <v>7622506834</v>
      </c>
      <c r="C186" s="2" t="str">
        <f>=HYPERLINK("https://weidian.com/item.html?itemID=7622506834", "https://weidian.com/item.html?itemID=7622506834")</f>
        <v>https://weidian.com/item.html?itemID=7622506834</v>
      </c>
      <c r="D186"/>
      <c r="E186" s="2" t="str">
        <f>=HYPERLINK("https://si.geilicdn.com/pcitem2014204438-06fe0000019acfe166940a2315ef_1080_1080.jpg?w=640&amp;h=640", "https://si.geilicdn.com/pcitem2014204438-06fe0000019acfe166940a2315ef_1080_1080.jpg?w=640&amp;h=640")</f>
        <v>https://si.geilicdn.com/pcitem2014204438-06fe0000019acfe166940a2315ef_1080_1080.jpg?w=640&amp;h=640</v>
      </c>
      <c r="F186" t="inlineStr">
        <is>
          <t>Accessories</t>
        </is>
      </c>
      <c r="G186" t="inlineStr">
        <is>
          <t>Burberry</t>
        </is>
      </c>
      <c r="H186">
        <v>460</v>
      </c>
      <c r="I186">
        <v>66.67</v>
      </c>
      <c r="J186" t="inlineStr">
        <is>
          <t>{"id":"chatcmpl-DYLlUrbUPJa9R2UlT67rnV5iqMO0o","object":"chat.completion","created":1777079188,"model":"gpt-5-chat-latest","choices":[{"index":0,"message":{"role":"assistant","content":"Balenciaga Black Leather Chain Buckle Belt","refusal":null,"annotations":[]},"logprobs":null,"finish_reason":"stop"}],"usage":{"prompt_tokens":875,"completion_tokens":10,"total_tokens":885,"prompt_tokens_details":{"cached_tokens":0,"audio_tokens":0},"completion_tokens_details":{"reasoning_tokens":0,"audio_tokens":0,"accepted_prediction_tokens":0,"rejected_prediction_tokens":0}},"service_tier":"default","system_fingerprint":"fp_ad66631dec"}</t>
        </is>
      </c>
      <c r="K186" t="inlineStr">
        <is>
          <t>Balenciaga Black Leather Chain Buckle Belt</t>
        </is>
      </c>
      <c r="L186" t="inlineStr">
        <is>
          <t>{"id":"chatcmpl-DYLQCEjc4hsPi5oaCt2URnJuFdNws","object":"chat.completion","created":1777077868,"model":"gpt-5-chat-latest","choices":[{"index":0,"message":{"role":"assistant","content":"Balenciaga black genuine leather belt with silver chain-style buckle, minimalist modern design, durable and unisex, perfect for urban casual or formal wear, showcasing avant-garde fashion style.","refusal":null,"annotations":[]},"logprobs":null,"finish_reason":"stop"}],"usage":{"prompt_tokens":894,"completion_tokens":37,"total_tokens":931,"prompt_tokens_details":{"cached_tokens":0,"audio_tokens":0},"completion_tokens_details":{"reasoning_tokens":0,"audio_tokens":0,"accepted_prediction_tokens":0,"rejected_prediction_tokens":0}},"service_tier":"default","system_fingerprint":"fp_ad66631dec"}</t>
        </is>
      </c>
      <c r="M18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ma=2592000","apim-request-id":"53bf66f0-7c17-4560-9e2a-dc51abb44fdf","azureml-model-session":"d20260402084046-4209e968","cache-control":"no-cache, no-store, must-revalidate","connection":"close","content-length":"998","content-security-policy":"frame-ancestors 'self'","content-type":"application/json","date":"Sat, 25 Apr 2026 00:44:29 GMT","server":"Caddy","skip-error-remapping":"true","strict-transport-security":"max-age=31536000; includeSubDomains; preload","via":"1.1 Caddy","x-api-request-id":"20260425084427742778737ORTPhQ5i","x-content-type-options":"nosniff","x-frame-options":"SAMEORIGIN","x-ms-is-spilled-over":"false","x-ms-rai-invoked":"false","x-ms-region":"East US 2","x-new-api-version":"0.5.1","x-oneapi-request-id":"202604250044269298082178268d9d670LgBeJ3","x-ratelimit-abusepenalty-active":"False","x-ratelimit-limit-requests":"4992","x-ratelimit-limit-tokens":"4992000","x-ratelimit-remaining-requests":"4991","x-ratelimit-remaining-tokens":"4990344","x-ratelimit-renewalperiod-requests":"60","x-ratelimit-renewalperiod-tokens":"60","x-ratelimit-reset-requests":"12","x-ratelimit-reset-tokens":"19","x-request-id":"31c6b83d-d575-4d7a-be50-ddf50ae0caaa"}</t>
        </is>
      </c>
      <c r="N186" t="inlineStr">
        <is>
          <t>Balenciaga black genuine leather belt with silver chain-style buckle, minimalist modern design, durable and unisex, perfect for urban casual or formal wear, showcasing avant-garde fashion style.</t>
        </is>
      </c>
      <c r="O186" t="inlineStr">
        <is>
          <t>{"id":"chatcmpl-DYLwAGwoQKCnToc73rrqN6YHC09m8","object":"chat.completion","created":1777079850,"model":"gpt-5-chat-2025-10-03","choices":[{"index":0,"message":{"role":"assistant","content":"Burberry,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86" t="inlineStr">
        <is>
          <t>Burberry, Accessories, kakobuy, kakebuy2026, kekobuysheet, kakobuysheet2026, 2026kakobuy, kakobuyspreadsheeet, kakobuylink, kakebuylist, Kakobuy MEGA Spreadsheet, kakobuysheetfind, kakobuysheetfind2026, 2026kakobuysheetfind, kakobuysheet2026</t>
        </is>
      </c>
      <c r="Q186" t="inlineStr">
        <is>
          <t>Balenciaga, Genuine Leather, Black, Silver, Minimalist, Modern</t>
        </is>
      </c>
      <c r="R186" t="inlineStr">
        <is>
          <t>recvhju1CrcOr7</t>
        </is>
      </c>
      <c r="S186" t="inlineStr">
        <is>
          <t>balenciaga-black-leather-chain-buckle-belt-recvhju1crcor7</t>
        </is>
      </c>
      <c r="T186"/>
      <c r="U186"/>
      <c r="V186"/>
      <c r="W186" t="inlineStr">
        <is>
          <t>{"choices":[{"finish_reason":"stop","index":0,"logprobs":null,"message":{"annotations":[],"content":"Balenciaga黑色真皮腰带，配以银色金属链式扣头设计，极简现代风格，彰显品牌前卫美学，质感细腻耐用，男女皆宜，适合都市休闲与时尚正装搭配。","refusal":null,"role":"assistant"}}],"created":1777019728,"id":"chatcmpl-DY6IS8xeGcHFds6uOCTXhO6aiGqUK","model":"gpt-5-chat-latest","object":"chat.completion","service_tier":"default","system_fingerprint":"fp_ad66631dec","usage":{"completion_tokens":62,"completion_tokens_details":{"accepted_prediction_tokens":0,"audio_tokens":0,"reasoning_tokens":0,"rejected_prediction_tokens":0},"prompt_tokens":1297,"prompt_tokens_details":{"audio_tokens":0,"cached_tokens":1280},"total_tokens":1359}}</t>
        </is>
      </c>
      <c r="X186" t="inlineStr">
        <is>
          <t>Balenciaga黑色真皮腰带，配以银色金属链式扣头设计，极简现代风格，彰显品牌前卫美学，质感细腻耐用，男女皆宜，适合都市休闲与时尚正装搭配。</t>
        </is>
      </c>
    </row>
    <row r="187" ht="25.5" customHeight="1">
      <c r="A187">
        <v>1654975475</v>
      </c>
      <c r="B187">
        <v>7622288772</v>
      </c>
      <c r="C187" s="2" t="str">
        <f>=HYPERLINK("https://weidian.com/item.html?itemID=7622288772", "https://weidian.com/item.html?itemID=7622288772")</f>
        <v>https://weidian.com/item.html?itemID=7622288772</v>
      </c>
      <c r="D187"/>
      <c r="E187" s="2" t="str">
        <f>=HYPERLINK("https://si.geilicdn.com/pcitem2014204438-3dc20000019acd9ff97f0a2396f4_1440_1920.jpg?w=640&amp;h=640", "https://si.geilicdn.com/pcitem2014204438-3dc20000019acd9ff97f0a2396f4_1440_1920.jpg?w=640&amp;h=640")</f>
        <v>https://si.geilicdn.com/pcitem2014204438-3dc20000019acd9ff97f0a2396f4_1440_1920.jpg?w=640&amp;h=640</v>
      </c>
      <c r="F187" t="inlineStr">
        <is>
          <t>Accessories</t>
        </is>
      </c>
      <c r="G187" t="inlineStr">
        <is>
          <t>Gucci</t>
        </is>
      </c>
      <c r="H187">
        <v>460</v>
      </c>
      <c r="I187">
        <v>66.67</v>
      </c>
      <c r="J187" t="inlineStr">
        <is>
          <t>{"choices":[{"finish_reason":"stop","index":0,"logprobs":null,"message":{"annotations":[],"content":"Gucci Black GG Leather Belt Silver Buckle Unisex","refusal":null,"role":"assistant"}}],"created":1777079044,"id":"chatcmpl-DYLjAJvVxxJ2abFvLquxs7ebN7axM","model":"gpt-5-chat-latest","object":"chat.completion","service_tier":"default","system_fingerprint":"fp_ad66631dec","usage":{"completion_tokens":12,"completion_tokens_details":{"accepted_prediction_tokens":0,"audio_tokens":0,"reasoning_tokens":0,"rejected_prediction_tokens":0},"prompt_tokens":871,"prompt_tokens_details":{"audio_tokens":0,"cached_tokens":0},"total_tokens":883}}</t>
        </is>
      </c>
      <c r="K187" t="inlineStr">
        <is>
          <t>Gucci Black GG Leather Belt Silver Buckle Unisex</t>
        </is>
      </c>
      <c r="L187" t="inlineStr">
        <is>
          <t>{"id":"chatcmpl-DYLPci1qKx7KvayqQ6Z7RqJKk8hTC","object":"chat.completion","created":1777077832,"model":"gpt-5-chat-latest","choices":[{"index":0,"message":{"role":"assistant","content":"Gucci Black GG Leather Belt featuring embossed calfskin and silver double G buckle, unisex design, blends Italian luxury with modern simplicity, perfect for casual or business wear.","refusal":null,"annotations":[]},"logprobs":null,"finish_reason":"stop"}],"usage":{"prompt_tokens":899,"completion_tokens":35,"total_tokens":934,"prompt_tokens_details":{"cached_tokens":0,"audio_tokens":0},"completion_tokens_details":{"reasoning_tokens":0,"audio_tokens":0,"accepted_prediction_tokens":0,"rejected_prediction_tokens":0}},"service_tier":"default","system_fingerprint":"fp_ad66631dec"}</t>
        </is>
      </c>
      <c r="M18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ma=2592000","apim-request-id":"437926cc-3376-47de-84ce-2af10c9dd15a","azureml-model-session":"d20260402084046-4209e968","cache-control":"no-cache, no-store, must-revalidate","connection":"close","content-length":"985","content-security-policy":"frame-ancestors 'self'","content-type":"application/json","date":"Sat, 25 Apr 2026 00:43:54 GMT","server":"nginx","skip-error-remapping":"true","strict-transport-security":"max-age=31536000; includeSubDomains; preload","via":"1.1 Caddy, 1.1 Caddy","x-api-request-id":"20260425084350692373433wsnuzDqH","x-content-type-options":"nosniff","x-frame-options":"SAMEORIGIN","x-ms-is-spilled-over":"false","x-ms-rai-invoked":"false","x-ms-region":"Sweden Central","x-new-api-version":"0.5.1","x-oneapi-request-id":"202604250043454242103108268d9d6HUHbL5E9","x-ratelimit-abusepenalty-active":"False","x-ratelimit-limit-requests":"4991","x-ratelimit-limit-tokens":"4991000","x-ratelimit-remaining-requests":"4990","x-ratelimit-remaining-tokens":"4989339","x-ratelimit-renewalperiod-requests":"60","x-ratelimit-renewalperiod-tokens":"60","x-ratelimit-reset-requests":"12","x-ratelimit-reset-tokens":"19","x-request-id":"0e4239db-ed6c-40ba-b352-79b746082eed"}</t>
        </is>
      </c>
      <c r="N187" t="inlineStr">
        <is>
          <t>Gucci Black GG Leather Belt featuring embossed calfskin and silver double G buckle, unisex design, blends Italian luxury with modern simplicity, perfect for casual or business wear.</t>
        </is>
      </c>
      <c r="O187" t="inlineStr">
        <is>
          <t>{"id":"chatcmpl-DYM3Eel2NWfmkytAm9KkIYVRjlCIM","object":"chat.completion","created":1777080288,"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87" t="inlineStr">
        <is>
          <t>Gucci,accessories,kakobuy,kakebuy2026,kekobuysheet,kakobuysheet2026,2026kakobuy,kakobuyspreadsheeet,kakobuylink,kakebuylist,Kakobuy MEGA Spreadsheet,kakobuysheetfind,kakobuysheetfind2026,2026kakobuysheetfind,kakobuysheet2026</t>
        </is>
      </c>
      <c r="Q187" t="inlineStr">
        <is>
          <t>Gucci Superstar, Black, Leather, Unisex, Casual Shoes, Business Casual</t>
        </is>
      </c>
      <c r="R187" t="inlineStr">
        <is>
          <t>recvhju1CrnzCV</t>
        </is>
      </c>
      <c r="S187" t="inlineStr">
        <is>
          <t>gucci-black-gg-leather-belt-silver-buckle-recvhju1crnzcv</t>
        </is>
      </c>
      <c r="T187"/>
      <c r="U187"/>
      <c r="V187"/>
      <c r="W187" t="inlineStr">
        <is>
          <t>{"id":"chatcmpl-DY6Kk0lsg99bpUryqqwpgqwI0yKiw","object":"chat.completion","created":1777019870,"model":"gpt-5-chat-latest","choices":[{"index":0,"message":{"role":"assistant","content":"Gucci：黑色经典双G皮革腰带，精选压纹牛皮，搭配银色金属Logo扣设计，彰显简约奢华格调，适合男女通用，意式时尚风格，日常休闲与商务穿搭皆宜。","refusal":null,"annotations":[]},"logprobs":null,"finish_reason":"stop"}],"usage":{"prompt_tokens":1303,"completion_tokens":64,"total_tokens":1367,"prompt_tokens_details":{"cached_tokens":0,"audio_tokens":0},"completion_tokens_details":{"reasoning_tokens":0,"audio_tokens":0,"accepted_prediction_tokens":0,"rejected_prediction_tokens":0}},"service_tier":"default","system_fingerprint":"fp_ad66631dec"}</t>
        </is>
      </c>
      <c r="X187" t="inlineStr">
        <is>
          <t>Gucci：黑色经典双G皮革腰带，精选压纹牛皮，搭配银色金属Logo扣设计，彰显简约奢华格调，适合男女通用，意式时尚风格，日常休闲与商务穿搭皆宜。</t>
        </is>
      </c>
    </row>
    <row r="188" ht="25.5" customHeight="1">
      <c r="A188">
        <v>1654975475</v>
      </c>
      <c r="B188">
        <v>7619589917</v>
      </c>
      <c r="C188" s="2" t="str">
        <f>=HYPERLINK("https://weidian.com/item.html?itemID=7619589917", "https://weidian.com/item.html?itemID=7619589917")</f>
        <v>https://weidian.com/item.html?itemID=7619589917</v>
      </c>
      <c r="D188"/>
      <c r="E188" s="2" t="str">
        <f>=HYPERLINK("https://si.geilicdn.com/pcitem2014204438-22c20000019acfe277da0a2103bd_1442_1922.jpg?w=640&amp;h=640", "https://si.geilicdn.com/pcitem2014204438-22c20000019acfe277da0a2103bd_1442_1922.jpg?w=640&amp;h=640")</f>
        <v>https://si.geilicdn.com/pcitem2014204438-22c20000019acfe277da0a2103bd_1442_1922.jpg?w=640&amp;h=640</v>
      </c>
      <c r="F188" t="inlineStr">
        <is>
          <t>Accessories</t>
        </is>
      </c>
      <c r="G188" t="inlineStr">
        <is>
          <t>Louis Vuitton</t>
        </is>
      </c>
      <c r="H188">
        <v>460</v>
      </c>
      <c r="I188">
        <v>66.67</v>
      </c>
      <c r="J188" t="inlineStr">
        <is>
          <t>{"id":"chatcmpl-DYLluno8feX295iZDPGQCVOWnL6dw","object":"chat.completion","created":1777079214,"model":"gpt-5-chat-2025-10-03","choices":[{"index":0,"message":{"role":"assistant","content":"Louis Vuitton Pink Leather LV Monogram Buckle Belt","refusal":null,"annotations":[]},"logprobs":null,"finish_reason":"stop"}],"usage":{"prompt_tokens":865,"completion_tokens":11,"total_tokens":876,"prompt_tokens_details":{"cached_tokens":0,"audio_tokens":0},"completion_tokens_details":{"reasoning_tokens":0,"audio_tokens":0,"accepted_prediction_tokens":0,"rejected_prediction_tokens":0}},"service_tier":"default","system_fingerprint":"fp_ad66631dec"}</t>
        </is>
      </c>
      <c r="K188" t="inlineStr">
        <is>
          <t>Louis Vuitton Pink Leather LV Monogram Buckle Belt</t>
        </is>
      </c>
      <c r="L188" t="inlineStr">
        <is>
          <t>{"id":"chatcmpl-DYLQfJUfxDD4RssKDkngMB1ysZvjR","object":"chat.completion","created":1777077897,"model":"gpt-5-chat-latest","choices":[{"index":0,"message":{"role":"assistant","content":"Louis Vuitton new light pink grained leather LV buckle belt with embossed Monogram pattern, minimalist metal logo design, gender-neutral luxury accessory for modern urban style.","refusal":null,"annotations":[]},"logprobs":null,"finish_reason":"stop"}],"usage":{"prompt_tokens":900,"completion_tokens":32,"total_tokens":932,"prompt_tokens_details":{"cached_tokens":0,"audio_tokens":0},"completion_tokens_details":{"reasoning_tokens":0,"audio_tokens":0,"accepted_prediction_tokens":0,"rejected_prediction_tokens":0}},"service_tier":"default","system_fingerprint":"fp_ad66631dec"}</t>
        </is>
      </c>
      <c r="M18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ma=2592000","apim-request-id":"89e85619-632f-48a7-90d4-be1a1c734466","azureml-model-session":"d20260405221325-2e8d5e76","cache-control":"no-cache, no-store, must-revalidate","connection":"close","content-length":"981","content-security-policy":"frame-ancestors 'self'","content-type":"application/json","date":"Sat, 25 Apr 2026 00:44:59 GMT","server":"Caddy","skip-error-remapping":"true","strict-transport-security":"max-age=31536000; includeSubDomains; preload","via":"1.1 Caddy","x-api-request-id":"2026042508445560049342981zxib9V","x-content-type-options":"nosniff","x-frame-options":"SAMEORIGIN","x-ms-is-spilled-over":"false","x-ms-rai-invoked":"false","x-ms-region":"Sweden Central","x-new-api-version":"0.5.1","x-oneapi-request-id":"202604250044533081648148268d9d6tISLYyBJ","x-ratelimit-abusepenalty-active":"False","x-ratelimit-limit-requests":"4991","x-ratelimit-limit-tokens":"4991000","x-ratelimit-remaining-requests":"4990","x-ratelimit-remaining-tokens":"4989338","x-ratelimit-renewalperiod-requests":"60","x-ratelimit-renewalperiod-tokens":"60","x-ratelimit-reset-requests":"12","x-ratelimit-reset-tokens":"19","x-request-id":"d3df208c-3782-4119-ae6d-a9896d4fe448"}</t>
        </is>
      </c>
      <c r="N188" t="inlineStr">
        <is>
          <t>Louis Vuitton new light pink grained leather LV buckle belt with embossed Monogram pattern, minimalist metal logo design, gender-neutral luxury accessory for modern urban style.</t>
        </is>
      </c>
      <c r="O188" t="inlineStr">
        <is>
          <t>{"id":"chatcmpl-DYLzXByiwWqISf31VRTpoGxXUeQBA","object":"chat.completion","created":1777080059,"model":"gpt-5-chat-2025-10-03","choices":[{"index":0,"message":{"role":"assistant","content":"Louis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88" t="inlineStr">
        <is>
          <t>Louis Vuitton, Accessories, kakobuy, kakebuy2026, kekobuysheet, kakobuysheet2026, 2026kakobuy, kakobuyspreadsheeet, kakobuylink, kakebuylist, Kakobuy MEGA Spreadsheet, kakobuysheetfind, kakobuysheetfind2026, 2026kakobuysheetfind, kakobuysheet2026</t>
        </is>
      </c>
      <c r="Q188" t="inlineStr">
        <is>
          <t>LV, Leather, Pink, Minimalist, Unisex, Modern</t>
        </is>
      </c>
      <c r="R188" t="inlineStr">
        <is>
          <t>recvhju1CrM38c</t>
        </is>
      </c>
      <c r="S188" t="inlineStr">
        <is>
          <t>louis-vuitton-pink-leather-monogram-buckle-belt-recvhju1crm38c</t>
        </is>
      </c>
      <c r="T188"/>
      <c r="U188"/>
      <c r="V188"/>
      <c r="W188" t="inlineStr">
        <is>
          <t>{"id":"chatcmpl-DY6HtOrRRmHAPj8z8KyZNvG4HCIHt","object":"chat.completion","created":1777019693,"model":"gpt-5-chat-latest","choices":[{"index":0,"message":{"role":"assistant","content":"Louis Vuitton：新款浅粉色皮革LV字母扣腰带，采用粒面牛皮材质，饰以经典Monogram浮雕图腾，极简金属Logo设计彰显现代格调，适合男女通用，都市轻奢风格点亮精致穿搭。","refusal":null,"annotations":[]},"logprobs":null,"finish_reason":"stop"}],"usage":{"prompt_tokens":1299,"completion_tokens":67,"total_tokens":1366,"prompt_tokens_details":{"cached_tokens":0,"audio_tokens":0},"completion_tokens_details":{"reasoning_tokens":0,"audio_tokens":0,"accepted_prediction_tokens":0,"rejected_prediction_tokens":0}},"service_tier":"default","system_fingerprint":"fp_ad66631dec"}</t>
        </is>
      </c>
      <c r="X188" t="inlineStr">
        <is>
          <t>Louis Vuitton：新款浅粉色皮革LV字母扣腰带，采用粒面牛皮材质，饰以经典Monogram浮雕图腾，极简金属Logo设计彰显现代格调，适合男女通用，都市轻奢风格点亮精致穿搭。</t>
        </is>
      </c>
    </row>
    <row r="189" ht="25.5" customHeight="1">
      <c r="A189">
        <v>1654975475</v>
      </c>
      <c r="B189">
        <v>7619526845</v>
      </c>
      <c r="C189" s="2" t="str">
        <f>=HYPERLINK("https://weidian.com/item.html?itemID=7619526845", "https://weidian.com/item.html?itemID=7619526845")</f>
        <v>https://weidian.com/item.html?itemID=7619526845</v>
      </c>
      <c r="D189"/>
      <c r="E189" s="2" t="str">
        <f>=HYPERLINK("https://si.geilicdn.com/pcitem2014204438-74e00000019acfc00e720a8133cc_1080_1080.jpg?w=640&amp;h=640", "https://si.geilicdn.com/pcitem2014204438-74e00000019acfc00e720a8133cc_1080_1080.jpg?w=640&amp;h=640")</f>
        <v>https://si.geilicdn.com/pcitem2014204438-74e00000019acfc00e720a8133cc_1080_1080.jpg?w=640&amp;h=640</v>
      </c>
      <c r="F189" t="inlineStr">
        <is>
          <t>Accessories</t>
        </is>
      </c>
      <c r="G189" t="inlineStr">
        <is>
          <t>Louis Vuitton</t>
        </is>
      </c>
      <c r="H189">
        <v>520</v>
      </c>
      <c r="I189">
        <v>75.36</v>
      </c>
      <c r="J189" t="inlineStr">
        <is>
          <t>{"id":"chatcmpl-DYLhv6O0MLpI9zwe6wSZgFXap6lke","object":"chat.completion","created":1777078967,"model":"gpt-5-chat-latest","choices":[{"index":0,"message":{"role":"assistant","content":"Louis Vuitton Double Buckle Black Leather Belt Set","refusal":null,"annotations":[]},"logprobs":null,"finish_reason":"stop"}],"usage":{"prompt_tokens":875,"completion_tokens":10,"total_tokens":885,"prompt_tokens_details":{"cached_tokens":0,"audio_tokens":0},"completion_tokens_details":{"reasoning_tokens":0,"audio_tokens":0,"accepted_prediction_tokens":0,"rejected_prediction_tokens":0}},"service_tier":"default","system_fingerprint":"fp_ad66631dec"}</t>
        </is>
      </c>
      <c r="K189" t="inlineStr">
        <is>
          <t>Louis Vuitton Double Buckle Black Leather Belt Set</t>
        </is>
      </c>
      <c r="L189" t="inlineStr">
        <is>
          <t>{"id":"chatcmpl-DYLPt0hoL76uwRdofyGlesug5B57z","object":"chat.completion","created":1777077849,"model":"gpt-5-chat-latest","choices":[{"index":0,"message":{"role":"assistant","content":"Louis Vuitton Classic Double Buckle Black Leather Belt Gift Set, crafted from premium calfskin with signature LV metal buckles. A refined and luxurious accessory for both business and casual wear.","refusal":null,"annotations":[]},"logprobs":null,"finish_reason":"stop"}],"usage":{"prompt_tokens":902,"completion_tokens":37,"total_tokens":939,"prompt_tokens_details":{"cached_tokens":0,"audio_tokens":0},"completion_tokens_details":{"reasoning_tokens":0,"audio_tokens":0,"accepted_prediction_tokens":0,"rejected_prediction_tokens":0}},"service_tier":"default","system_fingerprint":"fp_ad66631dec"}</t>
        </is>
      </c>
      <c r="M18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ma=2592000","apim-request-id":"5bae335d-d15b-40f4-b350-3c7d07560eaa","azureml-model-session":"d20260402084046-4209e968","cache-control":"no-cache, no-store, must-revalidate","connection":"close","content-length":"1000","content-security-policy":"frame-ancestors 'self'","content-type":"application/json","date":"Sat, 25 Apr 2026 00:44:12 GMT","server":"nginx","skip-error-remapping":"true","strict-transport-security":"max-age=31536000; includeSubDomains; preload","via":"1.1 Caddy, 1.1 Caddy","x-api-request-id":"20260425084407904491338KPCnfORh","x-content-type-options":"nosniff","x-frame-options":"SAMEORIGIN","x-ms-is-spilled-over":"false","x-ms-rai-invoked":"false","x-ms-region":"Sweden Central","x-new-api-version":"0.5.1","x-oneapi-request-id":"202604250044069908663788268d9d6mMBCMl4g","x-ratelimit-abusepenalty-active":"False","x-ratelimit-limit-requests":"4991","x-ratelimit-limit-tokens":"4991000","x-ratelimit-remaining-requests":"4990","x-ratelimit-remaining-tokens":"4989336","x-ratelimit-renewalperiod-requests":"60","x-ratelimit-renewalperiod-tokens":"60","x-ratelimit-reset-requests":"12","x-ratelimit-reset-tokens":"20","x-request-id":"3fdda20a-3f2b-4609-8d84-28470d0d5976"}</t>
        </is>
      </c>
      <c r="N189" t="inlineStr">
        <is>
          <t>Louis Vuitton Classic Double Buckle Black Leather Belt Gift Set, crafted from premium calfskin with signature LV metal buckles. A refined and luxurious accessory for both business and casual wear.</t>
        </is>
      </c>
      <c r="O189" t="inlineStr">
        <is>
          <t>{"id":"chatcmpl-DYM0EruZErjzMX2MNG2Uf8tx8B9Dt","object":"chat.completion","created":1777080102,"model":"gpt-5-chat-2025-10-03","choices":[{"index":0,"message":{"role":"assistant","content":"Louis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89" t="inlineStr">
        <is>
          <t>Louis Vuitton, Accessories, kakobuy, kakebuy2026, kekobuysheet, kakobuysheet2026, 2026kakobuy, kakobuyspreadsheeet, kakobuylink, kakebuylist, Kakobuy MEGA Spreadsheet, kakobuysheetfind, kakobuysheetfind2026, 2026kakobuysheetfind, kakobuysheet2026</t>
        </is>
      </c>
      <c r="Q189" t="inlineStr">
        <is>
          <t>LV, Leather, Business, Black</t>
        </is>
      </c>
      <c r="R189" t="inlineStr">
        <is>
          <t>recvhju1CrwpbK</t>
        </is>
      </c>
      <c r="S189" t="inlineStr">
        <is>
          <t>louis-vuitton-double-buckle-black-leather-belt-recvhju1crwpbk</t>
        </is>
      </c>
      <c r="T189"/>
      <c r="U189"/>
      <c r="V189"/>
      <c r="W189" t="inlineStr">
        <is>
          <t>{"choices":[{"finish_reason":"stop","index":0,"logprobs":null,"message":{"annotations":[],"content":"Louis Vuitton：经典双扣头黑色皮带礼盒套装，甄选优质小牛皮材质，搭配金属LV标志扣，简约奢华设计彰显品牌高端格调，适合商务与休闲场合，男士优雅必备配饰。","refusal":null,"role":"assistant"}}],"created":1777019765,"id":"chatcmpl-DY6J3xQLspq6JLlwqcmGZXhCaxoAE","model":"gpt-5-chat-latest","object":"chat.completion","service_tier":"default","system_fingerprint":"fp_ad66631dec","usage":{"completion_tokens":69,"completion_tokens_details":{"accepted_prediction_tokens":0,"audio_tokens":0,"reasoning_tokens":0,"rejected_prediction_tokens":0},"prompt_tokens":1299,"prompt_tokens_details":{"audio_tokens":0,"cached_tokens":0},"total_tokens":1368}}</t>
        </is>
      </c>
      <c r="X189" t="inlineStr">
        <is>
          <t>Louis Vuitton：经典双扣头黑色皮带礼盒套装，甄选优质小牛皮材质，搭配金属LV标志扣，简约奢华设计彰显品牌高端格调，适合商务与休闲场合，男士优雅必备配饰。</t>
        </is>
      </c>
    </row>
    <row r="190" ht="25.5" customHeight="1">
      <c r="A190">
        <v>1654975475</v>
      </c>
      <c r="B190">
        <v>7621969456</v>
      </c>
      <c r="C190" s="2" t="str">
        <f>=HYPERLINK("https://weidian.com/item.html?itemID=7621969456", "https://weidian.com/item.html?itemID=7621969456")</f>
        <v>https://weidian.com/item.html?itemID=7621969456</v>
      </c>
      <c r="D190"/>
      <c r="E190" s="2" t="str">
        <f>=HYPERLINK("https://si.geilicdn.com/pcitem2014204438-10c40000019acebf9fe10a231177_1442_1922.jpg?w=640&amp;h=640", "https://si.geilicdn.com/pcitem2014204438-10c40000019acebf9fe10a231177_1442_1922.jpg?w=640&amp;h=640")</f>
        <v>https://si.geilicdn.com/pcitem2014204438-10c40000019acebf9fe10a231177_1442_1922.jpg?w=640&amp;h=640</v>
      </c>
      <c r="F190" t="inlineStr">
        <is>
          <t>Accessories</t>
        </is>
      </c>
      <c r="G190" t="inlineStr">
        <is>
          <t>Louis Vuitton</t>
        </is>
      </c>
      <c r="H190">
        <v>460</v>
      </c>
      <c r="I190">
        <v>66.67</v>
      </c>
      <c r="J190" t="inlineStr">
        <is>
          <t>{"id":"chatcmpl-DYLhx2xIEp30KLrdrEeTdni42RUpy","object":"chat.completion","created":1777078969,"model":"gpt-5-chat-latest","choices":[{"index":0,"message":{"role":"assistant","content":"Louis Vuitton Black Reversible Men Belt","refusal":null,"annotations":[]},"logprobs":null,"finish_reason":"stop"}],"usage":{"prompt_tokens":873,"completion_tokens":8,"total_tokens":881,"prompt_tokens_details":{"cached_tokens":0,"audio_tokens":0},"completion_tokens_details":{"reasoning_tokens":0,"audio_tokens":0,"accepted_prediction_tokens":0,"rejected_prediction_tokens":0}},"service_tier":"default","system_fingerprint":"fp_ad66631dec"}</t>
        </is>
      </c>
      <c r="K190" t="inlineStr">
        <is>
          <t>Louis Vuitton Black Reversible Men Belt</t>
        </is>
      </c>
      <c r="L190" t="inlineStr">
        <is>
          <t>{"id":"chatcmpl-DYLXoUFq9ryC3FgLCnQtkQrE7TkPo","object":"chat.completion","created":1777078340,"model":"gpt-5-chat-latest","choices":[{"index":0,"message":{"role":"assistant","content":"Louis Vuitton Men’s Reversible Belt in black grained calf leather with matte LV buckle, minimalist design blending luxury and versatility, perfect for business or casual wear, timeless elegance.","refusal":null,"annotations":[]},"logprobs":null,"finish_reason":"stop"}],"usage":{"prompt_tokens":891,"completion_tokens":36,"total_tokens":927,"prompt_tokens_details":{"cached_tokens":0,"audio_tokens":0},"completion_tokens_details":{"reasoning_tokens":0,"audio_tokens":0,"accepted_prediction_tokens":0,"rejected_prediction_tokens":0}},"service_tier":"default","system_fingerprint":"fp_ad66631dec"}</t>
        </is>
      </c>
      <c r="M19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ma=2592000","apim-request-id":"a7f881ee-bedc-4dd7-a89b-ac874c081e16","azureml-model-session":"d20260402083108-57a85543","cache-control":"no-cache, no-store, must-revalidate","connection":"close","content-length":"1000","content-security-policy":"frame-ancestors 'self'","content-type":"application/json","date":"Sat, 25 Apr 2026 00:52:21 GMT","server":"Caddy","skip-error-remapping":"true","strict-transport-security":"max-age=31536000; includeSubDomains; preload","via":"1.1 Caddy","x-api-request-id":"2026042508521944813468lj4z1nEW","x-content-type-options":"nosniff","x-frame-options":"SAMEORIGIN","x-ms-is-spilled-over":"false","x-ms-rai-invoked":"false","x-ms-region":"East US 2","x-new-api-version":"0.5.1","x-oneapi-request-id":"202604250052142979168328268d9d6VjIjqKpF","x-ratelimit-abusepenalty-active":"False","x-ratelimit-limit-requests":"4992","x-ratelimit-limit-tokens":"4992000","x-ratelimit-remaining-requests":"4991","x-ratelimit-remaining-tokens":"4990347","x-ratelimit-renewalperiod-requests":"60","x-ratelimit-renewalperiod-tokens":"60","x-ratelimit-reset-requests":"12","x-ratelimit-reset-tokens":"19","x-request-id":"71023231-df89-4d6a-8077-9c83f36c1994"}</t>
        </is>
      </c>
      <c r="N190" t="inlineStr">
        <is>
          <t>Louis Vuitton Men’s Reversible Belt in black grained calf leather with matte LV buckle, minimalist design blending luxury and versatility, perfect for business or casual wear, timeless elegance.</t>
        </is>
      </c>
      <c r="O190" t="inlineStr">
        <is>
          <t>{"id":"chatcmpl-DYLurwj6TVq5OdjDi0pn8tKmhw73F","object":"chat.completion","created":1777079769,"model":"gpt-5-chat-2025-10-03","choices":[{"index":0,"message":{"role":"assistant","content":"Louis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90" t="inlineStr">
        <is>
          <t>Louis Vuitton, Accessories, kakobuy, kakebuy2026, kekobuysheet, kakobuysheet2026, 2026kakobuy, kakobuyspreadsheeet, kakobuylink, kakebuylist, Kakobuy MEGA Spreadsheet, kakobuysheetfind, kakobuysheetfind2026, 2026kakobuysheetfind, kakobuysheet2026</t>
        </is>
      </c>
      <c r="Q190" t="inlineStr">
        <is>
          <t>LV, Black, Minimalist, Business, Business Casual, Leather</t>
        </is>
      </c>
      <c r="R190" t="inlineStr">
        <is>
          <t>recvhju1CrpXOr</t>
        </is>
      </c>
      <c r="S190" t="inlineStr">
        <is>
          <t>louis-vuitton-black-reversible-men-belt-recvhju1crpxor</t>
        </is>
      </c>
      <c r="T190"/>
      <c r="U190"/>
      <c r="V190"/>
      <c r="W190" t="inlineStr">
        <is>
          <t>{"choices":[{"finish_reason":"stop","index":0,"logprobs":null,"message":{"annotations":[],"content":"Louis Vuitton：黑色双面皮革腰带，采用细腻粒面牛皮材质搭配哑光LV字母扣，极简设计彰显高雅质感，适合男士商务与休闲场合，经典永不过时。","refusal":null,"role":"assistant"}}],"created":1777019929,"id":"chatcmpl-DY6LhXZNum3KofIK6w81By3xBIBPJ","model":"gpt-5-chat-latest","object":"chat.completion","service_tier":"default","system_fingerprint":"fp_ad66631dec","usage":{"completion_tokens":59,"completion_tokens_details":{"accepted_prediction_tokens":0,"audio_tokens":0,"reasoning_tokens":0,"rejected_prediction_tokens":0},"prompt_tokens":1297,"prompt_tokens_details":{"audio_tokens":0,"cached_tokens":0},"total_tokens":1356}}</t>
        </is>
      </c>
      <c r="X190" t="inlineStr">
        <is>
          <t>Louis Vuitton：黑色双面皮革腰带，采用细腻粒面牛皮材质搭配哑光LV字母扣，极简设计彰显高雅质感，适合男士商务与休闲场合，经典永不过时。</t>
        </is>
      </c>
    </row>
    <row r="191" ht="25.5" customHeight="1">
      <c r="A191">
        <v>1654975475</v>
      </c>
      <c r="B191">
        <v>7622456456</v>
      </c>
      <c r="C191" s="2" t="str">
        <f>=HYPERLINK("https://weidian.com/item.html?itemID=7622456456", "https://weidian.com/item.html?itemID=7622456456")</f>
        <v>https://weidian.com/item.html?itemID=7622456456</v>
      </c>
      <c r="D191"/>
      <c r="E191" s="2" t="str">
        <f>=HYPERLINK("https://si.geilicdn.com/pcitem2014204438-3ec30000019acf176cd60a23037f_1080_1080.jpg?w=640&amp;h=640", "https://si.geilicdn.com/pcitem2014204438-3ec30000019acf176cd60a23037f_1080_1080.jpg?w=640&amp;h=640")</f>
        <v>https://si.geilicdn.com/pcitem2014204438-3ec30000019acf176cd60a23037f_1080_1080.jpg?w=640&amp;h=640</v>
      </c>
      <c r="F191" t="inlineStr">
        <is>
          <t>Accessories</t>
        </is>
      </c>
      <c r="G191" t="inlineStr">
        <is>
          <t>Louis Vuitton</t>
        </is>
      </c>
      <c r="H191">
        <v>410</v>
      </c>
      <c r="I191">
        <v>59.42</v>
      </c>
      <c r="J191" t="inlineStr">
        <is>
          <t>{"id":"chatcmpl-DYLmNth0ZIDX0odJsWJCxr05zILRH","object":"chat.completion","created":1777079243,"model":"gpt-5-chat-2025-10-03","choices":[{"index":0,"message":{"role":"assistant","content":"Louis Vuitton Double Buckle Black Leather Belt Set","refusal":null,"annotations":[]},"logprobs":null,"finish_reason":"stop"}],"usage":{"prompt_tokens":873,"completion_tokens":10,"total_tokens":883,"prompt_tokens_details":{"cached_tokens":0,"audio_tokens":0},"completion_tokens_details":{"reasoning_tokens":0,"audio_tokens":0,"accepted_prediction_tokens":0,"rejected_prediction_tokens":0}},"service_tier":"default","system_fingerprint":"fp_ad66631dec"}</t>
        </is>
      </c>
      <c r="K191" t="inlineStr">
        <is>
          <t>Louis Vuitton Double Buckle Black Leather Belt Set</t>
        </is>
      </c>
      <c r="L191" t="inlineStr">
        <is>
          <t>{"id":"chatcmpl-DYLU3KYcYlRCnyNIb8TEa1ycboTMH","object":"chat.completion","created":1777078107,"model":"gpt-5-chat-latest","choices":[{"index":0,"message":{"role":"assistant","content":"Louis Vuitton Classic Double Buckle Black Leather Belt Set, made from premium cowhide with signature LV metal buckle, exuding French luxury style, perfect for business or casual elegance.","refusal":null,"annotations":[]},"logprobs":null,"finish_reason":"stop"}],"usage":{"prompt_tokens":900,"completion_tokens":36,"total_tokens":936,"prompt_tokens_details":{"cached_tokens":0,"audio_tokens":0},"completion_tokens_details":{"reasoning_tokens":0,"audio_tokens":0,"accepted_prediction_tokens":0,"rejected_prediction_tokens":0}},"service_tier":"default","system_fingerprint":"fp_ad66631dec"}</t>
        </is>
      </c>
      <c r="M19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ma=2592000","apim-request-id":"8ea5bb39-bb2e-4ac0-a5ff-840893a662e0","azureml-model-session":"d20260405234249-f9874baf","cache-control":"no-cache, no-store, must-revalidate","connection":"close","content-length":"991","content-security-policy":"frame-ancestors 'self'","content-type":"application/json","date":"Sat, 25 Apr 2026 00:48:28 GMT","server":"nginx","skip-error-remapping":"true","strict-transport-security":"max-age=31536000; includeSubDomains; preload","via":"1.1 Caddy, 1.1 Caddy","x-api-request-id":"20260425084826410079392D2CkRJ7F","x-content-type-options":"nosniff","x-frame-options":"SAMEORIGIN","x-ms-is-spilled-over":"false","x-ms-rai-invoked":"false","x-ms-region":"East US 2","x-new-api-version":"0.5.1","x-oneapi-request-id":"202604250048248102233218268d9d6IDzPw2Se","x-ratelimit-abusepenalty-active":"False","x-ratelimit-limit-requests":"4992","x-ratelimit-limit-tokens":"4992000","x-ratelimit-remaining-requests":"4990","x-ratelimit-remaining-tokens":"4989286","x-ratelimit-renewalperiod-requests":"60","x-ratelimit-renewalperiod-tokens":"60","x-ratelimit-reset-requests":"23","x-ratelimit-reset-tokens":"32","x-request-id":"a6b5b7f5-83d4-4e55-9b59-f8378ebea97b"}</t>
        </is>
      </c>
      <c r="N191" t="inlineStr">
        <is>
          <t>Louis Vuitton Classic Double Buckle Black Leather Belt Set, made from premium cowhide with signature LV metal buckle, exuding French luxury style, perfect for business or casual elegance.</t>
        </is>
      </c>
      <c r="O191" t="inlineStr">
        <is>
          <t>{"id":"chatcmpl-DYM0ihHj4uni2Xbfo9PqE8vrqiXrt","object":"chat.completion","created":1777080132,"model":"gpt-5-chat-2025-10-03","choices":[{"index":0,"message":{"role":"assistant","content":"Louis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91" t="inlineStr">
        <is>
          <t>Louis Vuitton, Accessories, kakobuy, kakebuy2026, kekobuysheet, kakobuysheet2026, 2026kakobuy, kakobuyspreadsheeet, kakobuylink, kakebuylist, Kakobuy MEGA Spreadsheet, kakobuysheetfind, kakobuysheetfind2026, 2026kakobuysheetfind, kakobuysheet2026</t>
        </is>
      </c>
      <c r="Q191" t="inlineStr">
        <is>
          <t>LV, Leather, Cowhide, Business, Black, Elegant</t>
        </is>
      </c>
      <c r="R191" t="inlineStr">
        <is>
          <t>recvhju1CrF55Z</t>
        </is>
      </c>
      <c r="S191" t="inlineStr">
        <is>
          <t>louis-vuitton-double-buckle-black-leather-belt-recvhju1crf55z</t>
        </is>
      </c>
      <c r="T191"/>
      <c r="U191"/>
      <c r="V191"/>
      <c r="W191" t="inlineStr">
        <is>
          <t>{"choices":[{"finish_reason":"stop","index":0,"logprobs":null,"message":{"annotations":[],"content":"Louis Vuitton：经典双扣头黑色牛皮腰带套装，甄选头层牛皮打造，金属LV标识扣散发奢华质感，简约现代设计适配商务与休闲场合，男士优雅格调尽显法式高端时尚。","refusal":null,"role":"assistant"}}],"created":1777019428,"id":"chatcmpl-DY6DceZroZlJsLdqHVHpetk25h6My","model":"gpt-5-chat-latest","object":"chat.completion","service_tier":"default","system_fingerprint":"fp_ad66631dec","usage":{"completion_tokens":68,"completion_tokens_details":{"accepted_prediction_tokens":0,"audio_tokens":0,"reasoning_tokens":0,"rejected_prediction_tokens":0},"prompt_tokens":1297,"prompt_tokens_details":{"audio_tokens":0,"cached_tokens":1280},"total_tokens":1365}}</t>
        </is>
      </c>
      <c r="X191" t="inlineStr">
        <is>
          <t>Louis Vuitton：经典双扣头黑色牛皮腰带套装，甄选头层牛皮打造，金属LV标识扣散发奢华质感，简约现代设计适配商务与休闲场合，男士优雅格调尽显法式高端时尚。</t>
        </is>
      </c>
    </row>
    <row r="192" ht="25.5" customHeight="1">
      <c r="A192">
        <v>1654975475</v>
      </c>
      <c r="B192">
        <v>7619424667</v>
      </c>
      <c r="C192" s="2" t="str">
        <f>=HYPERLINK("https://weidian.com/item.html?itemID=7619424667", "https://weidian.com/item.html?itemID=7619424667")</f>
        <v>https://weidian.com/item.html?itemID=7619424667</v>
      </c>
      <c r="D192"/>
      <c r="E192" s="2" t="str">
        <f>=HYPERLINK("https://si.geilicdn.com/pcitem2014204438-730f0000019acec3e6cc0a210139_1080_1080.jpg?w=640&amp;h=640", "https://si.geilicdn.com/pcitem2014204438-730f0000019acec3e6cc0a210139_1080_1080.jpg?w=640&amp;h=640")</f>
        <v>https://si.geilicdn.com/pcitem2014204438-730f0000019acec3e6cc0a210139_1080_1080.jpg?w=640&amp;h=640</v>
      </c>
      <c r="F192" t="inlineStr">
        <is>
          <t>Accessories</t>
        </is>
      </c>
      <c r="G192" t="inlineStr">
        <is>
          <t>Hermes</t>
        </is>
      </c>
      <c r="H192">
        <v>460</v>
      </c>
      <c r="I192">
        <v>66.67</v>
      </c>
      <c r="J192" t="inlineStr">
        <is>
          <t>{"id":"chatcmpl-DYLg6x0IFhbFmgZVgZkG7UMP5nZDE","object":"chat.completion","created":1777078854,"model":"gpt-5-chat-latest","choices":[{"index":0,"message":{"role":"assistant","content":"Hermes H Gold Buckle Dark Brown Leather Belt","refusal":null,"annotations":[]},"logprobs":null,"finish_reason":"stop"}],"usage":{"prompt_tokens":879,"completion_tokens":11,"total_tokens":890,"prompt_tokens_details":{"cached_tokens":0,"audio_tokens":0},"completion_tokens_details":{"reasoning_tokens":0,"audio_tokens":0,"accepted_prediction_tokens":0,"rejected_prediction_tokens":0}},"service_tier":"default","system_fingerprint":"fp_ad66631dec"}</t>
        </is>
      </c>
      <c r="K192" t="inlineStr">
        <is>
          <t>Hermes H Gold Buckle Dark Brown Leather Belt</t>
        </is>
      </c>
      <c r="L192" t="inlineStr">
        <is>
          <t>{"id":"chatcmpl-DYLQNnsTIu7SkOxdUEU1v8IvUosY5","object":"chat.completion","created":1777077879,"model":"gpt-5-chat-latest","choices":[{"index":0,"message":{"role":"assistant","content":"Hermes Classic H Gold Buckle Dark Brown Epsom Leather Belt, elegant texture and metal shine, adjustable unisex design for business or casual wear, showcasing French luxury and modern style.","refusal":null,"annotations":[]},"logprobs":null,"finish_reason":"stop"}],"usage":{"prompt_tokens":918,"completion_tokens":39,"total_tokens":957,"prompt_tokens_details":{"cached_tokens":0,"audio_tokens":0},"completion_tokens_details":{"reasoning_tokens":0,"audio_tokens":0,"accepted_prediction_tokens":0,"rejected_prediction_tokens":0}},"service_tier":"default","system_fingerprint":"fp_ad66631dec"}</t>
        </is>
      </c>
      <c r="M19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ma=2592000","apim-request-id":"7d38163c-ed6b-4a68-8417-d73193875ff5","azureml-model-session":"d20260405221325-2e8d5e76","cache-control":"no-cache, no-store, must-revalidate","connection":"close","content-length":"993","content-security-policy":"frame-ancestors 'self'","content-type":"application/json","date":"Sat, 25 Apr 2026 00:44:42 GMT","server":"nginx","skip-error-remapping":"true","strict-transport-security":"max-age=31536000; includeSubDomains; preload","via":"1.1 Caddy, 1.1 Caddy","x-api-request-id":"20260425084438277326354tZ6ETPUY","x-content-type-options":"nosniff","x-frame-options":"SAMEORIGIN","x-ms-is-spilled-over":"false","x-ms-rai-invoked":"false","x-ms-region":"Sweden Central","x-new-api-version":"0.5.1","x-oneapi-request-id":"202604250044358111495548268d9d6db66lUUO","x-ratelimit-abusepenalty-active":"False","x-ratelimit-limit-requests":"4991","x-ratelimit-limit-tokens":"4991000","x-ratelimit-remaining-requests":"4989","x-ratelimit-remaining-tokens":"4987174","x-ratelimit-renewalperiod-requests":"60","x-ratelimit-renewalperiod-tokens":"60","x-ratelimit-reset-requests":"20","x-ratelimit-reset-tokens":"45","x-request-id":"138ff3b2-c44f-4fe5-991f-6e3e4a65736d"}</t>
        </is>
      </c>
      <c r="N192" t="inlineStr">
        <is>
          <t>Hermes Classic H Gold Buckle Dark Brown Epsom Leather Belt, elegant texture and metal shine, adjustable unisex design for business or casual wear, showcasing French luxury and modern style.</t>
        </is>
      </c>
      <c r="O192" t="inlineStr">
        <is>
          <t>{"id":"chatcmpl-DYLxmChRzl8ApqsVROXMMNKKqFSac","object":"chat.completion","created":1777079950,"model":"gpt-5-chat-2025-10-03","choices":[{"index":0,"message":{"role":"assistant","content":"Hermes,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92" t="inlineStr">
        <is>
          <t>Hermes,Belt,kakobuy,kakebuy2026,kekobuysheet,kakobuysheet2026,2026kakobuy,kakobuyspreadsheeet,kakobuylink,kakebuylist,Kakobuy MEGA Spreadsheet,kakobuysheetfind,kakobuysheetfind2026,2026kakobuysheetfind,kakobuysheet2026</t>
        </is>
      </c>
      <c r="Q192"/>
      <c r="R192" t="inlineStr">
        <is>
          <t>recvhju1Cr2fB3</t>
        </is>
      </c>
      <c r="S192" t="inlineStr">
        <is>
          <t>hermes-h-gold-buckle-dark-brown-leather-belt-recvhju1cr2fb3</t>
        </is>
      </c>
      <c r="T192"/>
      <c r="U192"/>
      <c r="V192"/>
      <c r="W192" t="inlineStr">
        <is>
          <t>{"choices":[{"finish_reason":"stop","index":0,"logprobs":null,"message":{"annotations":[],"content":"Hermes：经典H金色扣头深棕色牛皮腰带，甄选优质Epsom皮革，细腻纹理搭配金属光泽，简约大气。可调节设计兼具实用与时尚，男女皆宜，彰显法式优雅与现代都会品味，适合商务与休闲穿搭。","refusal":null,"role":"assistant"}}],"created":1777019818,"id":"chatcmpl-DY6JuH1NjWhr63S0azICZK3yMWlD0","model":"gpt-5-chat-latest","object":"chat.completion","service_tier":"default","system_fingerprint":"fp_ad66631dec","usage":{"completion_tokens":84,"completion_tokens_details":{"accepted_prediction_tokens":0,"audio_tokens":0,"reasoning_tokens":0,"rejected_prediction_tokens":0},"prompt_tokens":1301,"prompt_tokens_details":{"audio_tokens":0,"cached_tokens":0},"total_tokens":1385}}</t>
        </is>
      </c>
      <c r="X192" t="inlineStr">
        <is>
          <t>Hermes：经典H金色扣头深棕色牛皮腰带，甄选优质Epsom皮革，细腻纹理搭配金属光泽，简约大气。可调节设计兼具实用与时尚，男女皆宜，彰显法式优雅与现代都会品味，适合商务与休闲穿搭。</t>
        </is>
      </c>
    </row>
    <row r="193" ht="25.5" customHeight="1">
      <c r="A193">
        <v>1654975475</v>
      </c>
      <c r="B193">
        <v>7622573752</v>
      </c>
      <c r="C193" s="2" t="str">
        <f>=HYPERLINK("https://weidian.com/item.html?itemID=7622573752", "https://weidian.com/item.html?itemID=7622573752")</f>
        <v>https://weidian.com/item.html?itemID=7622573752</v>
      </c>
      <c r="D193"/>
      <c r="E193" s="2" t="str">
        <f>=HYPERLINK("https://si.geilicdn.com/pcitem2014204438-5fd50000019acfb9af430a231177_1440_1920.jpg?w=640&amp;h=640", "https://si.geilicdn.com/pcitem2014204438-5fd50000019acfb9af430a231177_1440_1920.jpg?w=640&amp;h=640")</f>
        <v>https://si.geilicdn.com/pcitem2014204438-5fd50000019acfb9af430a231177_1440_1920.jpg?w=640&amp;h=640</v>
      </c>
      <c r="F193" t="inlineStr">
        <is>
          <t>Accessories</t>
        </is>
      </c>
      <c r="G193" t="inlineStr">
        <is>
          <t>Montblanc</t>
        </is>
      </c>
      <c r="H193">
        <v>490</v>
      </c>
      <c r="I193">
        <v>71.01</v>
      </c>
      <c r="J193" t="inlineStr">
        <is>
          <t>{"id":"chatcmpl-DYLmiqChXuysBhIzA7GeC3ML4oqmh","object":"chat.completion","created":1777079264,"model":"gpt-5-chat-2025-10-03","choices":[{"index":0,"message":{"role":"assistant","content":"Montblanc Black Leather Belt Gold Buckle Men","refusal":null,"annotations":[]},"logprobs":null,"finish_reason":"stop"}],"usage":{"prompt_tokens":876,"completion_tokens":11,"total_tokens":887,"prompt_tokens_details":{"cached_tokens":0,"audio_tokens":0},"completion_tokens_details":{"reasoning_tokens":0,"audio_tokens":0,"accepted_prediction_tokens":0,"rejected_prediction_tokens":0}},"service_tier":"default","system_fingerprint":"fp_ad66631dec"}</t>
        </is>
      </c>
      <c r="K193" t="inlineStr">
        <is>
          <t>Montblanc Black Leather Belt Gold Buckle Men</t>
        </is>
      </c>
      <c r="L193" t="inlineStr">
        <is>
          <t>{"id":"chatcmpl-DYLWw1QIY6IKS5l6xylFT8OGB3B73","object":"chat.completion","created":1777078286,"model":"gpt-5-chat-latest","choices":[{"index":0,"message":{"role":"assistant","content":"Montblanc Black Grained Leather Belt with Gold Geometric Buckle, a refined luxury accessory for men, perfect for business and casual wear, showcasing timeless elegance and gentleman style.","refusal":null,"annotations":[]},"logprobs":null,"finish_reason":"stop"}],"usage":{"prompt_tokens":882,"completion_tokens":37,"total_tokens":919,"prompt_tokens_details":{"cached_tokens":0,"audio_tokens":0},"completion_tokens_details":{"reasoning_tokens":0,"audio_tokens":0,"accepted_prediction_tokens":0,"rejected_prediction_tokens":0}},"service_tier":"default","system_fingerprint":"fp_ad66631dec"}</t>
        </is>
      </c>
      <c r="M19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ma=2592000","apim-request-id":"dc149ba3-8f06-40e9-835e-3dba6c093c57","azureml-model-session":"d20260405234249-f9874baf","cache-control":"no-cache, no-store, must-revalidate","connection":"close","content-length":"992","content-security-policy":"frame-ancestors 'self'","content-type":"application/json","date":"Sat, 25 Apr 2026 00:51:28 GMT","server":"Caddy","skip-error-remapping":"true","strict-transport-security":"max-age=31536000; includeSubDomains; preload","via":"1.1 Caddy","x-api-request-id":"20260425085124123599433cv0nIIn3","x-content-type-options":"nosniff","x-frame-options":"SAMEORIGIN","x-ms-is-spilled-over":"false","x-ms-rai-invoked":"false","x-ms-region":"Sweden Central","x-new-api-version":"0.5.1","x-oneapi-request-id":"20260425005121341011038268d9d66wjlHHRX","x-ratelimit-abusepenalty-active":"False","x-ratelimit-limit-requests":"4991","x-ratelimit-limit-tokens":"4991000","x-ratelimit-remaining-requests":"4990","x-ratelimit-remaining-tokens":"4989356","x-ratelimit-renewalperiod-requests":"60","x-ratelimit-renewalperiod-tokens":"60","x-ratelimit-reset-requests":"12","x-ratelimit-reset-tokens":"19","x-request-id":"d544d0de-47b1-4007-9dc8-9fe87741db86"}</t>
        </is>
      </c>
      <c r="N193" t="inlineStr">
        <is>
          <t>Montblanc Black Grained Leather Belt with Gold Geometric Buckle, a refined luxury accessory for men, perfect for business and casual wear, showcasing timeless elegance and gentleman style.</t>
        </is>
      </c>
      <c r="O193" t="inlineStr">
        <is>
          <t>{"id":"chatcmpl-DYM2Fyp6OK6w2A7jizB0pT2hx93MK","object":"chat.completion","created":1777080227,"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93" t="inlineStr">
        <is>
          <t>Montblanc,Accessories,kakobuy,kakebuy2026,kekobuysheet,kakobuysheet2026,2026kakobuy,kakobuyspreadsheeet,kakobuylink,kakebuylist,Kakobuy MEGA Spreadsheet,kakobuysheetfind,kakobuysheetfind2026,2026kakobuysheetfind,kakobuysheet2026</t>
        </is>
      </c>
      <c r="Q193" t="inlineStr">
        <is>
          <t>Leather, Black, Gold, Geometric, Business, Men</t>
        </is>
      </c>
      <c r="R193" t="inlineStr">
        <is>
          <t>recvhju1CrjeLd</t>
        </is>
      </c>
      <c r="S193" t="inlineStr">
        <is>
          <t>montblanc-black-leather-belt-gold-buckle-men-recvhju1crjeld</t>
        </is>
      </c>
      <c r="T193"/>
      <c r="U193"/>
      <c r="V193"/>
      <c r="W193" t="inlineStr">
        <is>
          <t>{"id":"chatcmpl-DY6Djp38Uba0HV2Nm7S88b17h0LJ4","object":"chat.completion","created":1777019435,"model":"gpt-5-chat-latest","choices":[{"index":0,"message":{"role":"assistant","content":"Montblanc：黑色粒面真皮腰带，配以金色几何金属扣环，简约奢华设计，彰显绅士格调，适合商务与休闲场合。","refusal":null,"annotations":[]},"logprobs":null,"finish_reason":"stop"}],"usage":{"prompt_tokens":1299,"completion_tokens":49,"total_tokens":1348,"prompt_tokens_details":{"cached_tokens":0,"audio_tokens":0},"completion_tokens_details":{"reasoning_tokens":0,"audio_tokens":0,"accepted_prediction_tokens":0,"rejected_prediction_tokens":0}},"service_tier":"default","system_fingerprint":"fp_ad66631dec"}</t>
        </is>
      </c>
      <c r="X193" t="inlineStr">
        <is>
          <t>Montblanc：黑色粒面真皮腰带，配以金色几何金属扣环，简约奢华设计，彰显绅士格调，适合商务与休闲场合。</t>
        </is>
      </c>
    </row>
    <row r="194" ht="25.5" customHeight="1">
      <c r="A194">
        <v>1654975475</v>
      </c>
      <c r="B194">
        <v>7622514050</v>
      </c>
      <c r="C194" s="2" t="str">
        <f>=HYPERLINK("https://weidian.com/item.html?itemID=7622514050", "https://weidian.com/item.html?itemID=7622514050")</f>
        <v>https://weidian.com/item.html?itemID=7622514050</v>
      </c>
      <c r="D194"/>
      <c r="E194" s="2" t="str">
        <f>=HYPERLINK("https://si.geilicdn.com/pcitem2014204438-71ac0000019acfb207940a2303ee_1512_1512.jpg?w=640&amp;h=640", "https://si.geilicdn.com/pcitem2014204438-71ac0000019acfb207940a2303ee_1512_1512.jpg?w=640&amp;h=640")</f>
        <v>https://si.geilicdn.com/pcitem2014204438-71ac0000019acfb207940a2303ee_1512_1512.jpg?w=640&amp;h=640</v>
      </c>
      <c r="F194" t="inlineStr">
        <is>
          <t>Accessories</t>
        </is>
      </c>
      <c r="G194" t="inlineStr">
        <is>
          <t>Hermes</t>
        </is>
      </c>
      <c r="H194">
        <v>490</v>
      </c>
      <c r="I194">
        <v>71.01</v>
      </c>
      <c r="J194" t="inlineStr">
        <is>
          <t>{"id":"chatcmpl-DYLmxZmLknltYT2JscfXmYiKZFAMr","object":"chat.completion","created":1777079279,"model":"gpt-5-chat-2025-10-03","choices":[{"index":0,"message":{"role":"assistant","content":"Hermes 35mm Black Reversible Leather Belt Silver H","refusal":null,"annotations":[]},"logprobs":null,"finish_reason":"stop"}],"usage":{"prompt_tokens":867,"completion_tokens":13,"total_tokens":880,"prompt_tokens_details":{"cached_tokens":0,"audio_tokens":0},"completion_tokens_details":{"reasoning_tokens":0,"audio_tokens":0,"accepted_prediction_tokens":0,"rejected_prediction_tokens":0}},"service_tier":"default","system_fingerprint":"fp_ad66631dec"}</t>
        </is>
      </c>
      <c r="K194" t="inlineStr">
        <is>
          <t>Hermes 35mm Black Reversible Leather Belt Silver H</t>
        </is>
      </c>
      <c r="L194" t="inlineStr">
        <is>
          <t>{"id":"chatcmpl-DYLco8qKMRYSQtvaXqLneD2arb1Bg","object":"chat.completion","created":1777078650,"model":"gpt-5-chat-latest","choices":[{"index":0,"message":{"role":"assistant","content":"Hermes 35mm black reversible leather belt with silver H buckle, unisex luxury design for business or casual wear, showcases refined craftsmanship and timeless French elegance.","refusal":null,"annotations":[]},"logprobs":null,"finish_reason":"stop"}],"usage":{"prompt_tokens":894,"completion_tokens":33,"total_tokens":927,"prompt_tokens_details":{"cached_tokens":0,"audio_tokens":0},"completion_tokens_details":{"reasoning_tokens":0,"audio_tokens":0,"accepted_prediction_tokens":0,"rejected_prediction_tokens":0}},"service_tier":"default","system_fingerprint":"fp_ad66631dec"}</t>
        </is>
      </c>
      <c r="M19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ma=2592000","apim-request-id":"a0ac29fd-b3f6-4f26-bcc6-13350129ce5b","azureml-model-session":"d20260402075109-1fc5a0ec","cache-control":"no-cache, no-store, must-revalidate","connection":"close","content-length":"979","content-security-policy":"frame-ancestors 'self'","content-type":"application/json","date":"Sat, 25 Apr 2026 00:57:31 GMT","server":"nginx","skip-error-remapping":"true","strict-transport-security":"max-age=31536000; includeSubDomains; preload","via":"1.1 Caddy, 1.1 Caddy","x-api-request-id":"202604250857295780922109qycEfRP","x-content-type-options":"nosniff","x-frame-options":"SAMEORIGIN","x-ms-is-spilled-over":"false","x-ms-rai-invoked":"false","x-ms-region":"East US 2","x-new-api-version":"0.5.1","x-oneapi-request-id":"202604250057287506650168268d9d6QNdS4o7E","x-ratelimit-abusepenalty-active":"False","x-ratelimit-limit-requests":"4992","x-ratelimit-limit-tokens":"4992000","x-ratelimit-remaining-requests":"4991","x-ratelimit-remaining-tokens":"4990344","x-ratelimit-renewalperiod-requests":"60","x-ratelimit-renewalperiod-tokens":"60","x-ratelimit-reset-requests":"12","x-ratelimit-reset-tokens":"19","x-request-id":"21457ff2-fef5-469f-9e61-97dc70e4d81c"}</t>
        </is>
      </c>
      <c r="N194" t="inlineStr">
        <is>
          <t>Hermes 35mm black reversible leather belt with silver H buckle, unisex luxury design for business or casual wear, showcases refined craftsmanship and timeless French elegance.</t>
        </is>
      </c>
      <c r="O194" t="inlineStr">
        <is>
          <t>{"id":"chatcmpl-DYLxNFyJowhUFNlrTG8wfOWyBnN4j","object":"chat.completion","created":1777079925,"model":"gpt-5-chat-2025-10-03","choices":[{"index":0,"message":{"role":"assistant","content":"Hermes,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94" t="inlineStr">
        <is>
          <t>Hermes, belt, kakobuy, kakebuy2026, kekobuysheet, kakobuysheet2026, 2026kakobuy, kakobuyspreadsheeet, kakobuylink, kakebuylist, Kakobuy MEGA Spreadsheet, kakobuysheetfind, kakobuysheetfind2026, 2026kakobuysheetfind, kakobuysheet2026</t>
        </is>
      </c>
      <c r="Q194"/>
      <c r="R194" t="inlineStr">
        <is>
          <t>recvhju1CrWoNO</t>
        </is>
      </c>
      <c r="S194" t="inlineStr">
        <is>
          <t>hermes-35mm-black-reversible-leather-belt-silver-h-recvhju1crwon</t>
        </is>
      </c>
      <c r="T194"/>
      <c r="U194"/>
      <c r="V194"/>
      <c r="W194" t="inlineStr">
        <is>
          <t>{"choices":[{"finish_reason":"stop","index":0,"logprobs":null,"message":{"annotations":[],"content":"Hermes：35毫米黑色双面牛皮腰带，搭配银色H标扣，简约优雅设计，精致工艺彰显法式奢华，男女皆宜，适合商务与休闲场合，呈现典雅现代风格。","refusal":null,"role":"assistant"}}],"created":1777019669,"id":"chatcmpl-DY6HVV8FzVCLXItMT12oA9JAooXJP","model":"gpt-5-chat-latest","object":"chat.completion","service_tier":"default","system_fingerprint":"fp_ad66631dec","usage":{"completion_tokens":62,"completion_tokens_details":{"accepted_prediction_tokens":0,"audio_tokens":0,"reasoning_tokens":0,"rejected_prediction_tokens":0},"prompt_tokens":1297,"prompt_tokens_details":{"audio_tokens":0,"cached_tokens":0},"total_tokens":1359}}</t>
        </is>
      </c>
      <c r="X194" t="inlineStr">
        <is>
          <t>Hermes：35毫米黑色双面牛皮腰带，搭配银色H标扣，简约优雅设计，精致工艺彰显法式奢华，男女皆宜，适合商务与休闲场合，呈现典雅现代风格。</t>
        </is>
      </c>
    </row>
    <row r="195" ht="25.5" customHeight="1">
      <c r="A195">
        <v>1654975475</v>
      </c>
      <c r="B195">
        <v>7619587671</v>
      </c>
      <c r="C195" s="2" t="str">
        <f>=HYPERLINK("https://weidian.com/item.html?itemID=7619587671", "https://weidian.com/item.html?itemID=7619587671")</f>
        <v>https://weidian.com/item.html?itemID=7619587671</v>
      </c>
      <c r="D195"/>
      <c r="E195" s="2" t="str">
        <f>=HYPERLINK("https://si.geilicdn.com/pcitem2014204438-01a50000019acfd7dbdc0a23111a_1512_2016.jpg?w=640&amp;h=640", "https://si.geilicdn.com/pcitem2014204438-01a50000019acfd7dbdc0a23111a_1512_2016.jpg?w=640&amp;h=640")</f>
        <v>https://si.geilicdn.com/pcitem2014204438-01a50000019acfd7dbdc0a23111a_1512_2016.jpg?w=640&amp;h=640</v>
      </c>
      <c r="F195" t="inlineStr">
        <is>
          <t>Accessories</t>
        </is>
      </c>
      <c r="G195" t="inlineStr">
        <is>
          <t>Gucci</t>
        </is>
      </c>
      <c r="H195">
        <v>460</v>
      </c>
      <c r="I195">
        <v>66.67</v>
      </c>
      <c r="J195" t="inlineStr">
        <is>
          <t>{"id":"chatcmpl-DYLmETpexFjF2Nqvh2FOFlCb2tKSv","object":"chat.completion","created":1777079234,"model":"gpt-5-chat-2025-10-03","choices":[{"index":0,"message":{"role":"assistant","content":"Gucci GG Supreme Beige Canvas Graffiti Buckle Belt","refusal":null,"annotations":[]},"logprobs":null,"finish_reason":"stop"}],"usage":{"prompt_tokens":877,"completion_tokens":12,"total_tokens":889,"prompt_tokens_details":{"cached_tokens":0,"audio_tokens":0},"completion_tokens_details":{"reasoning_tokens":0,"audio_tokens":0,"accepted_prediction_tokens":0,"rejected_prediction_tokens":0}},"service_tier":"default","system_fingerprint":"fp_ad66631dec"}</t>
        </is>
      </c>
      <c r="K195" t="inlineStr">
        <is>
          <t>Gucci GG Supreme Beige Canvas Graffiti Buckle Belt</t>
        </is>
      </c>
      <c r="L195" t="inlineStr">
        <is>
          <t>{"id":"chatcmpl-DYLQ97JdOvxsMhH43afOfM15oCHth","object":"chat.completion","created":1777077865,"model":"gpt-5-chat-latest","choices":[{"index":0,"message":{"role":"assistant","content":"Gucci GG Supreme Beige Belt with Black Double G Graffiti Buckle, crafted in iconic canvas and leather for a unisex street-art vibe blending vintage charm and modern Italian luxury style.","refusal":null,"annotations":[]},"logprobs":null,"finish_reason":"stop"}],"usage":{"prompt_tokens":899,"completion_tokens":38,"total_tokens":937,"prompt_tokens_details":{"cached_tokens":0,"audio_tokens":0},"completion_tokens_details":{"reasoning_tokens":0,"audio_tokens":0,"accepted_prediction_tokens":0,"rejected_prediction_tokens":0}},"service_tier":"default","system_fingerprint":"fp_ad66631dec"}</t>
        </is>
      </c>
      <c r="M19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ma=2592000","apim-request-id":"a84994e1-3048-43d8-91f8-242f30425d7a","azureml-model-session":"d20260405221325-2e8d5e76","cache-control":"no-cache, no-store, must-revalidate","connection":"close","content-length":"990","content-security-policy":"frame-ancestors 'self'","content-type":"application/json","date":"Sat, 25 Apr 2026 00:44:28 GMT","server":"Caddy","skip-error-remapping":"true","strict-transport-security":"max-age=31536000; includeSubDomains; preload","via":"1.1 Caddy","x-api-request-id":"20260425084423665309103lS0qUiFJ","x-content-type-options":"nosniff","x-frame-options":"SAMEORIGIN","x-ms-is-spilled-over":"false","x-ms-rai-invoked":"false","x-ms-region":"Sweden Central","x-new-api-version":"0.5.1","x-oneapi-request-id":"202604250044206515878678268d9d6h6UlH1Dt","x-ratelimit-abusepenalty-active":"False","x-ratelimit-limit-requests":"4991","x-ratelimit-limit-tokens":"4991000","x-ratelimit-remaining-requests":"4990","x-ratelimit-remaining-tokens":"4989339","x-ratelimit-renewalperiod-requests":"60","x-ratelimit-renewalperiod-tokens":"60","x-ratelimit-reset-requests":"12","x-ratelimit-reset-tokens":"19","x-request-id":"8b5e00ba-5203-4a0b-b7aa-f4c6077e2964"}</t>
        </is>
      </c>
      <c r="N195" t="inlineStr">
        <is>
          <t>Gucci GG Supreme Beige Belt with Black Double G Graffiti Buckle, crafted in iconic canvas and leather for a unisex street-art vibe blending vintage charm and modern Italian luxury style.</t>
        </is>
      </c>
      <c r="O195" t="inlineStr">
        <is>
          <t>{"id":"chatcmpl-DYLxY0I0khyE8umThtMlVVAXte9te","object":"chat.completion","created":1777079936,"model":"gpt-5-chat-2025-10-03","choices":[{"index":0,"message":{"role":"assistant","content":"Gucci,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95" t="inlineStr">
        <is>
          <t>Gucci, Belt, kakobuy, kakebuy2026, kekobuysheet, kakobuysheet2026, 2026kakobuy, kakobuyspreadsheeet, kakobuylink, kakebuylist, Kakobuy MEGA Spreadsheet, kakobuysheetfind, kakobuysheetfind2026, 2026kakobuysheetfind, kakobuysheet2026</t>
        </is>
      </c>
      <c r="Q195" t="inlineStr">
        <is>
          <t>Gucci X Adidas, Canvas, Leather, Beige, Unisex, Streetwear</t>
        </is>
      </c>
      <c r="R195" t="inlineStr">
        <is>
          <t>recvhju1CrrLHl</t>
        </is>
      </c>
      <c r="S195" t="inlineStr">
        <is>
          <t>gucci-gg-supreme-beige-canvas-graffiti-buckle-belt-recvhju1crrlhl</t>
        </is>
      </c>
      <c r="T195"/>
      <c r="U195"/>
      <c r="V195"/>
      <c r="W195" t="inlineStr">
        <is>
          <t>{"choices":[{"finish_reason":"stop","index":0,"logprobs":null,"message":{"annotations":[],"content":"Gucci：经典GG Supreme米灰色织物皮革腰带，饰以黑色双G金属扣搭配白色涂鸦设计，彰显街头艺术风格，男女皆宜，复古与现代兼融，尽显意式奢华质感。","refusal":null,"role":"assistant"}}],"created":1777019814,"id":"chatcmpl-DY6Jq5gKeD7nZQbIHkOjYIp6YXDhK","model":"gpt-5-chat-latest","object":"chat.completion","service_tier":"default","system_fingerprint":"fp_ad66631dec","usage":{"completion_tokens":65,"completion_tokens_details":{"accepted_prediction_tokens":0,"audio_tokens":0,"reasoning_tokens":0,"rejected_prediction_tokens":0},"prompt_tokens":1301,"prompt_tokens_details":{"audio_tokens":0,"cached_tokens":0},"total_tokens":1366}}</t>
        </is>
      </c>
      <c r="X195" t="inlineStr">
        <is>
          <t>Gucci：经典GG Supreme米灰色织物皮革腰带，饰以黑色双G金属扣搭配白色涂鸦设计，彰显街头艺术风格，男女皆宜，复古与现代兼融，尽显意式奢华质感。</t>
        </is>
      </c>
    </row>
    <row r="196" ht="25.5" customHeight="1">
      <c r="A196">
        <v>1654975475</v>
      </c>
      <c r="B196">
        <v>7619549915</v>
      </c>
      <c r="C196" s="2" t="str">
        <f>=HYPERLINK("https://weidian.com/item.html?itemID=7619549915", "https://weidian.com/item.html?itemID=7619549915")</f>
        <v>https://weidian.com/item.html?itemID=7619549915</v>
      </c>
      <c r="D196"/>
      <c r="E196" s="2" t="str">
        <f>=HYPERLINK("https://si.geilicdn.com/pcitem2014204438-6d4f0000019acfc1bd7d0a230115_1080_1080.jpg?w=640&amp;h=640", "https://si.geilicdn.com/pcitem2014204438-6d4f0000019acfc1bd7d0a230115_1080_1080.jpg?w=640&amp;h=640")</f>
        <v>https://si.geilicdn.com/pcitem2014204438-6d4f0000019acfc1bd7d0a230115_1080_1080.jpg?w=640&amp;h=640</v>
      </c>
      <c r="F196" t="inlineStr">
        <is>
          <t>Accessories</t>
        </is>
      </c>
      <c r="G196" t="inlineStr">
        <is>
          <t>Salvatore Ferragamo</t>
        </is>
      </c>
      <c r="H196">
        <v>490</v>
      </c>
      <c r="I196">
        <v>71.01</v>
      </c>
      <c r="J196" t="inlineStr">
        <is>
          <t>{"id":"chatcmpl-DYLkWNXROBBZq1kYsyTl4BUCYEt0a","object":"chat.completion","created":1777079128,"model":"gpt-5-chat-latest","choices":[{"index":0,"message":{"role":"assistant","content":"Salvatore Ferragamo Gancini Black Leather Belt for Men","refusal":null,"annotations":[]},"logprobs":null,"finish_reason":"stop"}],"usage":{"prompt_tokens":878,"completion_tokens":14,"total_tokens":892,"prompt_tokens_details":{"cached_tokens":0,"audio_tokens":0},"completion_tokens_details":{"reasoning_tokens":0,"audio_tokens":0,"accepted_prediction_tokens":0,"rejected_prediction_tokens":0}},"service_tier":"default","system_fingerprint":"fp_ad66631dec"}</t>
        </is>
      </c>
      <c r="K196" t="inlineStr">
        <is>
          <t>Salvatore Ferragamo Gancini Black Leather Belt for Men</t>
        </is>
      </c>
      <c r="L196" t="inlineStr">
        <is>
          <t>{"id":"chatcmpl-DYLUrPMEp20PXDTDrg7jmbqNgSfG4","object":"chat.completion","created":1777078157,"model":"gpt-5-chat-latest","choices":[{"index":0,"message":{"role":"assistant","content":"Salvatore Ferragamo Gancini Men's Black Leather Belt features premium full-grain leather, iconic silver double-ring buckle, and Italian minimalist design for timeless elegance and modern sophistication.","refusal":null,"annotations":[]},"logprobs":null,"finish_reason":"stop"}],"usage":{"prompt_tokens":898,"completion_tokens":37,"total_tokens":935,"prompt_tokens_details":{"cached_tokens":0,"audio_tokens":0},"completion_tokens_details":{"reasoning_tokens":0,"audio_tokens":0,"accepted_prediction_tokens":0,"rejected_prediction_tokens":0}},"service_tier":"default","system_fingerprint":"fp_ad66631dec"}</t>
        </is>
      </c>
      <c r="M19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ma=2592000","apim-request-id":"50977c99-fcfe-40c2-9fc7-f9a527d69a5a","azureml-model-session":"d20260402083108-57a85543","cache-control":"no-cache, no-store, must-revalidate","connection":"close","content-length":"1006","content-security-policy":"frame-ancestors 'self'","content-type":"application/json","date":"Sat, 25 Apr 2026 00:49:19 GMT","server":"Caddy","skip-error-remapping":"true","strict-transport-security":"max-age=31536000; includeSubDomains; preload","via":"1.1 Caddy","x-api-request-id":"202604250849158063708298pccGMCn","x-content-type-options":"nosniff","x-frame-options":"SAMEORIGIN","x-ms-is-spilled-over":"false","x-ms-rai-invoked":"false","x-ms-region":"Sweden Central","x-new-api-version":"0.5.1","x-oneapi-request-id":"202604250049123022895608268d9d6AxDI3YfW","x-ratelimit-abusepenalty-active":"False","x-ratelimit-limit-requests":"4991","x-ratelimit-limit-tokens":"4991000","x-ratelimit-remaining-requests":"4990","x-ratelimit-remaining-tokens":"4989340","x-ratelimit-renewalperiod-requests":"60","x-ratelimit-renewalperiod-tokens":"60","x-ratelimit-reset-requests":"12","x-ratelimit-reset-tokens":"19","x-request-id":"b1fca49d-10d9-4f2c-8189-67917f57f158"}</t>
        </is>
      </c>
      <c r="N196" t="inlineStr">
        <is>
          <t>Salvatore Ferragamo Gancini Men's Black Leather Belt features premium full-grain leather, iconic silver double-ring buckle, and Italian minimalist design for timeless elegance and modern sophistication.</t>
        </is>
      </c>
      <c r="O196" t="inlineStr">
        <is>
          <t>{"id":"chatcmpl-DYLwxns1bpefR5SqzC5sFf2VmgVSR","object":"chat.completion","created":1777079899,"model":"gpt-5-chat-2025-10-03","choices":[{"index":0,"message":{"role":"assistant","content":"Salvatore Ferragamo,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196" t="inlineStr">
        <is>
          <t>Salvatore Ferragamo, Accessories, kakobuy, kakebuy2026, kekobuysheet, kakobuysheet2026, 2026kakobuy, kakobuyspreadsheeet, kakobuylink, kakebuylist, Kakobuy MEGA Spreadsheet, kakobuysheetfind, kakobuysheetfind2026, 2026kakobuysheetfind, kakobuysheet2026</t>
        </is>
      </c>
      <c r="Q196" t="inlineStr">
        <is>
          <t>Leather, Black, Minimalist, Men</t>
        </is>
      </c>
      <c r="R196" t="inlineStr">
        <is>
          <t>recvhju1CrgEZz</t>
        </is>
      </c>
      <c r="S196" t="inlineStr">
        <is>
          <t>ferragamo-gancini-black-leather-belt-recvhju1crgez</t>
        </is>
      </c>
      <c r="T196"/>
      <c r="U196"/>
      <c r="V196"/>
      <c r="W196" t="inlineStr">
        <is>
          <t>{"choices":[{"finish_reason":"stop","index":0,"logprobs":null,"message":{"annotations":[],"content":"Salvatore Ferragamo：Gancini系列黑色男士腰带，甄选头层牛皮材质，经典银色双环扣设计，意式简约风格，展现现代绅士品味与品牌奢华质感。","refusal":null,"role":"assistant"}}],"created":1777019924,"id":"chatcmpl-DY6Lc7s6ZEs2liXqtyC9Rd1rqaPHF","model":"gpt-5-chat-latest","object":"chat.completion","service_tier":"default","system_fingerprint":"fp_ad66631dec","usage":{"completion_tokens":59,"completion_tokens_details":{"accepted_prediction_tokens":0,"audio_tokens":0,"reasoning_tokens":0,"rejected_prediction_tokens":0},"prompt_tokens":1311,"prompt_tokens_details":{"audio_tokens":0,"cached_tokens":0},"total_tokens":1370}}</t>
        </is>
      </c>
      <c r="X196" t="inlineStr">
        <is>
          <t>Salvatore Ferragamo：Gancini系列黑色男士腰带，甄选头层牛皮材质，经典银色双环扣设计，意式简约风格，展现现代绅士品味与品牌奢华质感。</t>
        </is>
      </c>
    </row>
    <row r="197" ht="25.5" customHeight="1">
      <c r="A197">
        <v>1654975475</v>
      </c>
      <c r="B197">
        <v>7622540190</v>
      </c>
      <c r="C197" s="2" t="str">
        <f>=HYPERLINK("https://weidian.com/item.html?itemID=7622540190", "https://weidian.com/item.html?itemID=7622540190")</f>
        <v>https://weidian.com/item.html?itemID=7622540190</v>
      </c>
      <c r="D197"/>
      <c r="E197" s="2" t="str">
        <f>=HYPERLINK("https://si.geilicdn.com/pcitem2014204438-7d4f0000019acfd641d60a23057e_1080_1080.jpg?w=640&amp;h=640", "https://si.geilicdn.com/pcitem2014204438-7d4f0000019acfd641d60a23057e_1080_1080.jpg?w=640&amp;h=640")</f>
        <v>https://si.geilicdn.com/pcitem2014204438-7d4f0000019acfd641d60a23057e_1080_1080.jpg?w=640&amp;h=640</v>
      </c>
      <c r="F197" t="inlineStr">
        <is>
          <t>Accessories</t>
        </is>
      </c>
      <c r="G197" t="inlineStr">
        <is>
          <t>Salvatore Ferragamo</t>
        </is>
      </c>
      <c r="H197">
        <v>460</v>
      </c>
      <c r="I197">
        <v>66.67</v>
      </c>
      <c r="J197" t="inlineStr">
        <is>
          <t>{"id":"chatcmpl-DYLmouRqL3F5es0kOri6TDaApYoE2","object":"chat.completion","created":1777079270,"model":"gpt-5-chat-2025-10-03","choices":[{"index":0,"message":{"role":"assistant","content":"Salvatore Ferragamo Black Gancini Leather Men’s Belt","refusal":null,"annotations":[]},"logprobs":null,"finish_reason":"stop"}],"usage":{"prompt_tokens":880,"completion_tokens":14,"total_tokens":894,"prompt_tokens_details":{"cached_tokens":0,"audio_tokens":0},"completion_tokens_details":{"reasoning_tokens":0,"audio_tokens":0,"accepted_prediction_tokens":0,"rejected_prediction_tokens":0}},"service_tier":"default","system_fingerprint":"fp_ad66631dec"}</t>
        </is>
      </c>
      <c r="K197" t="inlineStr">
        <is>
          <t>Salvatore Ferragamo Black Gancini Leather Men’s Belt</t>
        </is>
      </c>
      <c r="L197" t="inlineStr">
        <is>
          <t>{"id":"chatcmpl-DYLbqiqK85FnFEtMZYM1PeSRsVZkL","object":"chat.completion","created":1777078590,"model":"gpt-5-chat-latest","choices":[{"index":0,"message":{"role":"assistant","content":"Salvatore Ferragamo black Gancini men’s belt crafted from top-grain leather, featuring embossed texture and signature double-ring buckle, showcasing timeless Italian elegance and modern luxury style.","refusal":null,"annotations":[]},"logprobs":null,"finish_reason":"stop"}],"usage":{"prompt_tokens":908,"completion_tokens":38,"total_tokens":946,"prompt_tokens_details":{"cached_tokens":0,"audio_tokens":0},"completion_tokens_details":{"reasoning_tokens":0,"audio_tokens":0,"accepted_prediction_tokens":0,"rejected_prediction_tokens":0}},"service_tier":"default","system_fingerprint":"fp_ad66631dec"}</t>
        </is>
      </c>
      <c r="M19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ma=2592000","apim-request-id":"360655a0-19cf-47cf-aae7-41120f3bd2b8","azureml-model-session":"d20260402084046-4209e968","cache-control":"no-cache, no-store, must-revalidate","connection":"close","content-length":"1005","content-security-policy":"frame-ancestors 'self'","content-type":"application/json","date":"Sat, 25 Apr 2026 00:56:37 GMT","server":"nginx","skip-error-remapping":"true","strict-transport-security":"max-age=31536000; includeSubDomains; preload","via":"1.1 Caddy, 1.1 Caddy","x-api-request-id":"2026042508562940971713y4DJlusx","x-content-type-options":"nosniff","x-frame-options":"SAMEORIGIN","x-ms-is-spilled-over":"false","x-ms-rai-invoked":"false","x-ms-region":"East US 2","x-new-api-version":"0.5.1","x-oneapi-request-id":"202604250056289729299898268d9d6C2SvPKnG","x-ratelimit-abusepenalty-active":"False","x-ratelimit-limit-requests":"4992","x-ratelimit-limit-tokens":"4992000","x-ratelimit-remaining-requests":"4991","x-ratelimit-remaining-tokens":"4990330","x-ratelimit-renewalperiod-requests":"60","x-ratelimit-renewalperiod-tokens":"60","x-ratelimit-reset-requests":"12","x-ratelimit-reset-tokens":"20","x-request-id":"a87964b3-0ee7-44b7-b6a5-1e20d2353bd5"}</t>
        </is>
      </c>
      <c r="N197" t="inlineStr">
        <is>
          <t>Salvatore Ferragamo black Gancini men’s belt crafted from top-grain leather, featuring embossed texture and signature double-ring buckle, showcasing timeless Italian elegance and modern luxury style.</t>
        </is>
      </c>
      <c r="O197" t="inlineStr">
        <is>
          <t>{"id":"chatcmpl-DYM19561BlRr4kl9d9SRzvVB4F6SC","object":"chat.completion","created":1777080159,"model":"gpt-5-chat-2025-10-03","choices":[{"index":0,"message":{"role":"assistant","content":"Salvatore Ferragamo,Accessories,kakobuy,kakebuy2026,kekobuysheet,kakobuysheet2026,2026kakobuy,kakobuyspreadsheeet,kakobuylink,kakebuylist,Kakobuy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90,"total_tokens":875,"prompt_tokens_details":{"cached_tokens":0,"audio_tokens":0},"completion_tokens_details":{"reasoning_tokens":0,"audio_tokens":0,"accepted_prediction_tokens":0,"rejected_prediction_tokens":0}},"service_tier":"default","system_fingerprint":"fp_ad66631dec"}</t>
        </is>
      </c>
      <c r="P197" t="inlineStr">
        <is>
          <t>Salvatore Ferragamo,Accessories,kakobuy,kakebuy2026,kekobuysheet,kakobuysheet2026,2026kakobuy,kakobuyspreadsheeet,kakobuylink,kakebuylist,Kakobuy MEGA Spreadsheet,kakobuysheetfind,kakobuysheetfind2026,2026kakobuysheetfind,kakobuysheet2026</t>
        </is>
      </c>
      <c r="Q197" t="inlineStr">
        <is>
          <t>Black, Leather, Men, Elegant, High End, Classic</t>
        </is>
      </c>
      <c r="R197" t="inlineStr">
        <is>
          <t>recvhju1Crq6Bf</t>
        </is>
      </c>
      <c r="S197" t="inlineStr">
        <is>
          <t>ferragamo-black-gancini-leather-belt-recvhju1crq6bf</t>
        </is>
      </c>
      <c r="T197"/>
      <c r="U197"/>
      <c r="V197"/>
      <c r="W197" t="inlineStr">
        <is>
          <t>{"choices":[{"finish_reason":"stop","index":0,"logprobs":null,"message":{"annotations":[],"content":"Salvatore Ferragamo：黑色Gancini系列男士皮带，甄选头层牛皮材质，立体浮雕纹理搭配标志性双环金属扣，意式简约设计彰显优雅格调，诠释现代绅士奢华品味。","refusal":null,"role":"assistant"}}],"created":1777019401,"id":"chatcmpl-DY6DBILrjDvMUH188aqWhzCpsv9Rn","model":"gpt-5-chat-latest","object":"chat.completion","service_tier":"default","system_fingerprint":"fp_ad66631dec","usage":{"completion_tokens":70,"completion_tokens_details":{"accepted_prediction_tokens":0,"audio_tokens":0,"reasoning_tokens":0,"rejected_prediction_tokens":0},"prompt_tokens":1309,"prompt_tokens_details":{"audio_tokens":0,"cached_tokens":1280},"total_tokens":1379}}</t>
        </is>
      </c>
      <c r="X197" t="inlineStr">
        <is>
          <t>Salvatore Ferragamo：黑色Gancini系列男士皮带，甄选头层牛皮材质，立体浮雕纹理搭配标志性双环金属扣，意式简约设计彰显优雅格调，诠释现代绅士奢华品味。</t>
        </is>
      </c>
    </row>
    <row r="198" ht="25.5" customHeight="1">
      <c r="A198">
        <v>1654975475</v>
      </c>
      <c r="B198">
        <v>7619601665</v>
      </c>
      <c r="C198" s="2" t="str">
        <f>=HYPERLINK("https://weidian.com/item.html?itemID=7619601665", "https://weidian.com/item.html?itemID=7619601665")</f>
        <v>https://weidian.com/item.html?itemID=7619601665</v>
      </c>
      <c r="D198"/>
      <c r="E198" s="2" t="str">
        <f>=HYPERLINK("https://si.geilicdn.com/pcitem2014204438-362e0000019acfbaa2050a811411_1440_1440.jpg?w=640&amp;h=640", "https://si.geilicdn.com/pcitem2014204438-362e0000019acfbaa2050a811411_1440_1440.jpg?w=640&amp;h=640")</f>
        <v>https://si.geilicdn.com/pcitem2014204438-362e0000019acfbaa2050a811411_1440_1440.jpg?w=640&amp;h=640</v>
      </c>
      <c r="F198" t="inlineStr">
        <is>
          <t>Accessories</t>
        </is>
      </c>
      <c r="G198" t="inlineStr">
        <is>
          <t>Louis Vuitton</t>
        </is>
      </c>
      <c r="H198">
        <v>460</v>
      </c>
      <c r="I198">
        <v>66.67</v>
      </c>
      <c r="J198" t="inlineStr">
        <is>
          <t>{"id":"chatcmpl-DYLnrwoORdzXcv5zjyK4eypeTbAZJ","object":"chat.completion","created":1777079335,"model":"gpt-5-chat-2025-10-03","choices":[{"index":0,"message":{"role":"assistant","content":"Louis Vuitton Monogram White Reversible Leather Belt","refusal":null,"annotations":[]},"logprobs":null,"finish_reason":"stop"}],"usage":{"prompt_tokens":867,"completion_tokens":10,"total_tokens":877,"prompt_tokens_details":{"cached_tokens":0,"audio_tokens":0},"completion_tokens_details":{"reasoning_tokens":0,"audio_tokens":0,"accepted_prediction_tokens":0,"rejected_prediction_tokens":0}},"service_tier":"default","system_fingerprint":"fp_ad66631dec"}</t>
        </is>
      </c>
      <c r="K198" t="inlineStr">
        <is>
          <t>Louis Vuitton Monogram White Reversible Leather Belt</t>
        </is>
      </c>
      <c r="L198" t="inlineStr">
        <is>
          <t>{"id":"chatcmpl-DYLSWfqCN9PIA96J6f61da7xG0tx7","object":"chat.completion","created":1777078012,"model":"gpt-5-chat-latest","choices":[{"index":0,"message":{"role":"assistant","content":"Louis Vuitton Monogram white reversible leather belt with blue LV metal buckle, unisex luxury fashion accessory, refined details, elegant modern design for casual or formal wear.","refusal":null,"annotations":[]},"logprobs":null,"finish_reason":"stop"}],"usage":{"prompt_tokens":892,"completion_tokens":33,"total_tokens":925,"prompt_tokens_details":{"cached_tokens":0,"audio_tokens":0},"completion_tokens_details":{"reasoning_tokens":0,"audio_tokens":0,"accepted_prediction_tokens":0,"rejected_prediction_tokens":0}},"service_tier":"default","system_fingerprint":"fp_ad66631dec"}</t>
        </is>
      </c>
      <c r="M19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ma=2592000","apim-request-id":"0f43d440-ae79-43ab-b33b-481a45030b8c","azureml-model-session":"d20260402084046-4209e968","cache-control":"no-cache, no-store, must-revalidate","connection":"close","content-length":"982","content-security-policy":"frame-ancestors 'self'","content-type":"application/json","date":"Sat, 25 Apr 2026 00:46:54 GMT","server":"nginx","skip-error-remapping":"true","strict-transport-security":"max-age=31536000; includeSubDomains; preload","via":"1.1 Caddy, 1.1 Caddy","x-api-request-id":"20260425084650582530195jUNjxjWH","x-content-type-options":"nosniff","x-frame-options":"SAMEORIGIN","x-ms-is-spilled-over":"false","x-ms-rai-invoked":"false","x-ms-region":"Sweden Central","x-new-api-version":"0.5.1","x-oneapi-request-id":"202604250046493195720788268d9d6ivRlmpPu","x-ratelimit-abusepenalty-active":"False","x-ratelimit-limit-requests":"4991","x-ratelimit-limit-tokens":"4991000","x-ratelimit-remaining-requests":"4990","x-ratelimit-remaining-tokens":"4989346","x-ratelimit-renewalperiod-requests":"60","x-ratelimit-renewalperiod-tokens":"60","x-ratelimit-reset-requests":"12","x-ratelimit-reset-tokens":"19","x-request-id":"67be3abb-4398-422f-9112-4930c1cffb6a"}</t>
        </is>
      </c>
      <c r="N198" t="inlineStr">
        <is>
          <t>Louis Vuitton Monogram white reversible leather belt with blue LV metal buckle, unisex luxury fashion accessory, refined details, elegant modern design for casual or formal wear.</t>
        </is>
      </c>
      <c r="O198" t="inlineStr">
        <is>
          <t>{"id":"chatcmpl-DYLuVjOTSqKxHQOX6Q4dUTVxptlIE","object":"chat.completion","created":1777079747,"model":"gpt-5-chat-2025-10-03","choices":[{"index":0,"message":{"role":"assistant","content":"Louis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98" t="inlineStr">
        <is>
          <t>Louis Vuitton, Accessories, kakobuy, kakebuy2026, kekobuysheet, kakobuysheet2026, 2026kakobuy, kakobuyspreadsheeet, kakobuylink, kakebuylist, Kakobuy MEGA Spreadsheet, kakobuysheetfind, kakobuysheetfind2026, 2026kakobuysheetfind, kakobuysheet2026</t>
        </is>
      </c>
      <c r="Q198" t="inlineStr">
        <is>
          <t>LV, White, Elegant, Modern, Unisex, Leather</t>
        </is>
      </c>
      <c r="R198" t="inlineStr">
        <is>
          <t>recvhju1Crdbs2</t>
        </is>
      </c>
      <c r="S198" t="inlineStr">
        <is>
          <t>louis-vuitton-monogram-white-reversible-leather-belt-recvhju1crdbs2</t>
        </is>
      </c>
      <c r="T198"/>
      <c r="U198"/>
      <c r="V198"/>
      <c r="W198" t="inlineStr">
        <is>
          <t>{"choices":[{"finish_reason":"stop","index":0,"logprobs":null,"message":{"annotations":[],"content":"Louis Vuitton：Monogram白色双面皮革腰带，经典LV标志蓝色金属扣设计，彰显现代奢华格调，男女皆宜，时尚休闲风格，细节精致，展现品牌恒久优雅魅力。","refusal":null,"role":"assistant"}}],"created":1777019752,"id":"chatcmpl-DY6IqoCTyWvFV2DcIPboloIv1tRau","model":"gpt-5-chat-latest","object":"chat.completion","service_tier":"default","system_fingerprint":"fp_ad66631dec","usage":{"completion_tokens":61,"completion_tokens_details":{"accepted_prediction_tokens":0,"audio_tokens":0,"reasoning_tokens":0,"rejected_prediction_tokens":0},"prompt_tokens":1295,"prompt_tokens_details":{"audio_tokens":0,"cached_tokens":0},"total_tokens":1356}}</t>
        </is>
      </c>
      <c r="X198" t="inlineStr">
        <is>
          <t>Louis Vuitton：Monogram白色双面皮革腰带，经典LV标志蓝色金属扣设计，彰显现代奢华格调，男女皆宜，时尚休闲风格，细节精致，展现品牌恒久优雅魅力。</t>
        </is>
      </c>
    </row>
    <row r="199" ht="25.5" customHeight="1">
      <c r="A199">
        <v>1654975475</v>
      </c>
      <c r="B199">
        <v>7621939410</v>
      </c>
      <c r="C199" s="2" t="str">
        <f>=HYPERLINK("https://weidian.com/item.html?itemID=7621939410", "https://weidian.com/item.html?itemID=7621939410")</f>
        <v>https://weidian.com/item.html?itemID=7621939410</v>
      </c>
      <c r="D199"/>
      <c r="E199" s="2" t="str">
        <f>=HYPERLINK("https://si.geilicdn.com/pcitem2014204438-63b20000019acdf417e00a8133cc_1440_1920.jpg?w=640&amp;h=640", "https://si.geilicdn.com/pcitem2014204438-63b20000019acdf417e00a8133cc_1440_1920.jpg?w=640&amp;h=640")</f>
        <v>https://si.geilicdn.com/pcitem2014204438-63b20000019acdf417e00a8133cc_1440_1920.jpg?w=640&amp;h=640</v>
      </c>
      <c r="F199" t="inlineStr">
        <is>
          <t>Accessories</t>
        </is>
      </c>
      <c r="G199" t="inlineStr">
        <is>
          <t>Dior</t>
        </is>
      </c>
      <c r="H199">
        <v>460</v>
      </c>
      <c r="I199">
        <v>66.67</v>
      </c>
      <c r="J199" t="inlineStr">
        <is>
          <t>{"id":"chatcmpl-DYLh1j009jwZf7nX082b3Hd4CqOYR","object":"chat.completion","created":1777078911,"model":"gpt-5-chat-latest","choices":[{"index":0,"message":{"role":"assistant","content":"Dior CD Logo Brown Leather Belt Gold Buckle","refusal":null,"annotations":[]},"logprobs":null,"finish_reason":"stop"}],"usage":{"prompt_tokens":869,"completion_tokens":11,"total_tokens":880,"prompt_tokens_details":{"cached_tokens":0,"audio_tokens":0},"completion_tokens_details":{"reasoning_tokens":0,"audio_tokens":0,"accepted_prediction_tokens":0,"rejected_prediction_tokens":0}},"service_tier":"default","system_fingerprint":"fp_ad66631dec"}</t>
        </is>
      </c>
      <c r="K199" t="inlineStr">
        <is>
          <t>Dior CD Logo Brown Leather Belt Gold Buckle</t>
        </is>
      </c>
      <c r="L199" t="inlineStr">
        <is>
          <t>{"id":"chatcmpl-DYLaygdCSibGld0gLRs2BoR6YHUdc","object":"chat.completion","created":1777078536,"model":"gpt-5-chat-latest","choices":[{"index":0,"message":{"role":"assistant","content":"Dior CD Logo Brown Leather Belt, crafted from premium calfskin with gold-tone buckle, timeless French elegance for men and women, luxury minimalist design showcasing modern sophistication.","refusal":null,"annotations":[]},"logprobs":null,"finish_reason":"stop"}],"usage":{"prompt_tokens":898,"completion_tokens":34,"total_tokens":932,"prompt_tokens_details":{"cached_tokens":0,"audio_tokens":0},"completion_tokens_details":{"reasoning_tokens":0,"audio_tokens":0,"accepted_prediction_tokens":0,"rejected_prediction_tokens":0}},"service_tier":"default","system_fingerprint":"fp_ad66631dec"}</t>
        </is>
      </c>
      <c r="M19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ma=2592000","apim-request-id":"bcdbbb5f-d4b2-4202-afdd-17cd2524314e","azureml-model-session":"d20260405221325-2e8d5e76","cache-control":"no-cache, no-store, must-revalidate","connection":"close","content-length":"992","content-security-policy":"frame-ancestors 'self'","content-type":"application/json","date":"Sat, 25 Apr 2026 00:55:39 GMT","server":"Caddy","skip-error-remapping":"true","strict-transport-security":"max-age=31536000; includeSubDomains; preload","via":"1.1 Caddy","x-api-request-id":"20260425085535407757466MKImkSyf","x-content-type-options":"nosniff","x-frame-options":"SAMEORIGIN","x-ms-is-spilled-over":"false","x-ms-rai-invoked":"false","x-ms-region":"Sweden Central","x-new-api-version":"0.5.1","x-oneapi-request-id":"202604250055353278889168268d9d6AwJZCrzP","x-ratelimit-abusepenalty-active":"False","x-ratelimit-limit-requests":"4991","x-ratelimit-limit-tokens":"4991000","x-ratelimit-remaining-requests":"4990","x-ratelimit-remaining-tokens":"4989340","x-ratelimit-renewalperiod-requests":"60","x-ratelimit-renewalperiod-tokens":"60","x-ratelimit-reset-requests":"12","x-ratelimit-reset-tokens":"19","x-request-id":"3fe3a00c-4a98-4282-84f0-4c0813171535"}</t>
        </is>
      </c>
      <c r="N199" t="inlineStr">
        <is>
          <t>Dior CD Logo Brown Leather Belt, crafted from premium calfskin with gold-tone buckle, timeless French elegance for men and women, luxury minimalist design showcasing modern sophistication.</t>
        </is>
      </c>
      <c r="O199" t="inlineStr">
        <is>
          <t>{"id":"chatcmpl-DYLyvidbrkdwWUVmL7Su8K0aLsZvX","object":"chat.completion","created":1777080021,"model":"gpt-5-chat-2025-10-03","choices":[{"index":0,"message":{"role":"assistant","content":"Dior,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99" t="inlineStr">
        <is>
          <t>Dior, Belt, kakobuy, kakebuy2026, kekobuysheet, kakobuysheet2026, 2026kakobuy, kakobuyspreadsheeet, kakobuylink, kakebuylist, Kakobuy MEGA Spreadsheet, kakobuysheetfind, kakobuysheetfind2026, 2026kakobuysheetfind, kakobuysheet2026</t>
        </is>
      </c>
      <c r="Q199" t="inlineStr">
        <is>
          <t>Dior, Leather, Brown, Minimalist, Unisex, Gold</t>
        </is>
      </c>
      <c r="R199" t="inlineStr">
        <is>
          <t>recvhju1CrTArb</t>
        </is>
      </c>
      <c r="S199" t="inlineStr">
        <is>
          <t>dior-cd-logo-brown-leather-belt-gold-buckle-recvhju1crtarb</t>
        </is>
      </c>
      <c r="T199"/>
      <c r="U199"/>
      <c r="V199"/>
      <c r="W199" t="inlineStr">
        <is>
          <t>{"id":"chatcmpl-DY6IDcjmFcHYJml8Z0dbDQPySvjF7","object":"chat.completion","created":1777019713,"model":"gpt-5-chat-latest","choices":[{"index":0,"message":{"role":"assistant","content":"Dior：CD标志金扣棕色皮革腰带，精选小牛皮材质，简约优雅设计，金属光泽质感彰显奢华，适合男女通用，融合现代与经典法式风格，展现高级时尚品味。","refusal":null,"annotations":[]},"logprobs":null,"finish_reason":"stop"}],"usage":{"prompt_tokens":1299,"completion_tokens":65,"total_tokens":1364,"prompt_tokens_details":{"cached_tokens":1280,"audio_tokens":0},"completion_tokens_details":{"reasoning_tokens":0,"audio_tokens":0,"accepted_prediction_tokens":0,"rejected_prediction_tokens":0}},"service_tier":"default","system_fingerprint":"fp_ad66631dec"}</t>
        </is>
      </c>
      <c r="X199" t="inlineStr">
        <is>
          <t>Dior：CD标志金扣棕色皮革腰带，精选小牛皮材质，简约优雅设计，金属光泽质感彰显奢华，适合男女通用，融合现代与经典法式风格，展现高级时尚品味。</t>
        </is>
      </c>
    </row>
    <row r="200" ht="25.5" customHeight="1">
      <c r="A200">
        <v>1654975475</v>
      </c>
      <c r="B200">
        <v>7619489395</v>
      </c>
      <c r="C200" s="2" t="str">
        <f>=HYPERLINK("https://weidian.com/item.html?itemID=7619489395", "https://weidian.com/item.html?itemID=7619489395")</f>
        <v>https://weidian.com/item.html?itemID=7619489395</v>
      </c>
      <c r="D200"/>
      <c r="E200" s="2" t="str">
        <f>=HYPERLINK("https://si.geilicdn.com/pcitem2014204438-709d0000019acfbf8bd30a20e284_1080_1080.jpg?w=640&amp;h=640", "https://si.geilicdn.com/pcitem2014204438-709d0000019acfbf8bd30a20e284_1080_1080.jpg?w=640&amp;h=640")</f>
        <v>https://si.geilicdn.com/pcitem2014204438-709d0000019acfbf8bd30a20e284_1080_1080.jpg?w=640&amp;h=640</v>
      </c>
      <c r="F200" t="inlineStr">
        <is>
          <t>Accessories</t>
        </is>
      </c>
      <c r="G200" t="inlineStr">
        <is>
          <t>Louis Vuitton</t>
        </is>
      </c>
      <c r="H200">
        <v>520</v>
      </c>
      <c r="I200">
        <v>75.36</v>
      </c>
      <c r="J200" t="inlineStr">
        <is>
          <t>{"id":"chatcmpl-DYLinuKbXJMJ6rWgCkakqvGuc5DaZ","object":"chat.completion","created":1777079021,"model":"gpt-5-chat-latest","choices":[{"index":0,"message":{"role":"assistant","content":"Louis Vuitton Black Double Buckle Calfskin Belt Set","refusal":null,"annotations":[]},"logprobs":null,"finish_reason":"stop"}],"usage":{"prompt_tokens":873,"completion_tokens":12,"total_tokens":885,"prompt_tokens_details":{"cached_tokens":0,"audio_tokens":0},"completion_tokens_details":{"reasoning_tokens":0,"audio_tokens":0,"accepted_prediction_tokens":0,"rejected_prediction_tokens":0}},"service_tier":"default","system_fingerprint":"fp_ad66631dec"}</t>
        </is>
      </c>
      <c r="K200" t="inlineStr">
        <is>
          <t>Louis Vuitton Black Double Buckle Calfskin Belt Set</t>
        </is>
      </c>
      <c r="L200" t="inlineStr">
        <is>
          <t>{"choices":[{"finish_reason":"stop","index":0,"logprobs":null,"message":{"annotations":[],"content":"Louis Vuitton Classic Double Buckle Belt Set in black calfskin with gold and gunmetal LV logo buckles, refined craftsmanship for business or casual wear, showcasing timeless luxury style.","refusal":null,"role":"assistant"}}],"created":1777077980,"id":"chatcmpl-DYLS0znhiF2dt5fvsmTrQ2Jz2u2lr","model":"gpt-5-chat-latest","object":"chat.completion","service_tier":"default","system_fingerprint":"fp_ad66631dec","usage":{"completion_tokens":36,"completion_tokens_details":{"accepted_prediction_tokens":0,"audio_tokens":0,"reasoning_tokens":0,"rejected_prediction_tokens":0},"prompt_tokens":897,"prompt_tokens_details":{"audio_tokens":0,"cached_tokens":0},"total_tokens":933}}</t>
        </is>
      </c>
      <c r="M200" t="inlineStr">
        <is>
          <t>{"alt-svc":"h3=\":443\"; ma=2592000","apim-request-id":"0517c791-bdfd-4073-89f8-1acd9979cdce","azureml-model-session":"d20260402083108-57a85543","cache-control":"no-cache","connection":"close","content-length":"775","content-security-policy":"frame-ancestors 'self'","content-type":"application/json","date":"Sat, 25 Apr 2026 00:46:21 GMT","server":"nginx","skip-error-remapping":"true","strict-transport-security":"max-age=31536000; includeSubDomains; preload","via":"1.1 Caddy, 1.1 Caddy","x-api-request-id":"20260425084618982836400LFSCZBuV","x-content-type-options":"nosniff","x-frame-options":"SAMEORIGIN","x-ms-client-request-id":"Not-Set","x-ms-is-spilled-over":"false","x-ms-rai-invoked":"true","x-ms-region":"East US 2","x-new-api-version":"0.5.1","x-oneapi-request-id":"202604250046184579490058268d9d6L9JwZVyD","x-ratelimit-abusepenalty-active":"False","x-ratelimit-limit-requests":"50","x-ratelimit-limit-tokens":"50000","x-ratelimit-remaining-requests":"49","x-ratelimit-remaining-tokens":"-1233","x-ratelimit-renewalperiod-requests":"60","x-ratelimit-renewalperiod-tokens":"60","x-ratelimit-reset-requests":"1200","x-ratelimit-reset-tokens":"61479","x-request-id":"28d92147-0986-4bef-83d7-0a98030a8494"}</t>
        </is>
      </c>
      <c r="N200" t="inlineStr">
        <is>
          <t>Louis Vuitton Classic Double Buckle Belt Set in black calfskin with gold and gunmetal LV logo buckles, refined craftsmanship for business or casual wear, showcasing timeless luxury style.</t>
        </is>
      </c>
      <c r="O200" t="inlineStr">
        <is>
          <t>{"id":"chatcmpl-DYLvZLefYHg41gWfCe505flV2caKf","object":"chat.completion","created":1777079813,"model":"gpt-5-chat-2025-10-03","choices":[{"index":0,"message":{"role":"assistant","content":"Louis Vuitton,Accessories,kakobuy,kakebuy2026,kekobuysheet,kakobuysheet2026,2026kakobuy,kakobuyspreadsheeet,kakobuylink,kakebuylist,Kakobuy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200" t="inlineStr">
        <is>
          <t>Louis Vuitton,Accessories,kakobuy,kakebuy2026,kekobuysheet,kakobuysheet2026,2026kakobuy,kakobuyspreadsheeet,kakobuylink,kakebuylist,Kakobuy MEGA Spreadsheet,kakobuysheetfind,kakobuysheetfind2026,2026kakobuysheetfind,kakobuysheet2026</t>
        </is>
      </c>
      <c r="Q200" t="inlineStr">
        <is>
          <t>LV, Black, Gold, Business, Leather</t>
        </is>
      </c>
      <c r="R200" t="inlineStr">
        <is>
          <t>recvhju1CruVBQ</t>
        </is>
      </c>
      <c r="S200" t="inlineStr">
        <is>
          <t>louis-vuitton-black-double-buckle-calfskin-belt-recvhju1cruvbq</t>
        </is>
      </c>
      <c r="T200"/>
      <c r="U200"/>
      <c r="V200"/>
      <c r="W200" t="inlineStr">
        <is>
          <t>{"id":"chatcmpl-DY6L6GPxk16QFbuo1S2w6EMge3lco","object":"chat.completion","created":1777019892,"model":"gpt-5-chat-latest","choices":[{"index":0,"message":{"role":"assistant","content":"Louis Vuitton：经典双扣标志腰带套装，黑色牛皮材质搭配金色与枪色LV字母扣，精致工艺展现都市优雅格调，男士商务休闲皆宜，彰显品牌百年奢华品味。","refusal":null,"annotations":[]},"logprobs":null,"finish_reason":"stop"}],"usage":{"prompt_tokens":1301,"completion_tokens":63,"total_tokens":1364,"prompt_tokens_details":{"cached_tokens":0,"audio_tokens":0},"completion_tokens_details":{"reasoning_tokens":0,"audio_tokens":0,"accepted_prediction_tokens":0,"rejected_prediction_tokens":0}},"service_tier":"default","system_fingerprint":"fp_ad66631dec"}</t>
        </is>
      </c>
      <c r="X200" t="inlineStr">
        <is>
          <t>Louis Vuitton：经典双扣标志腰带套装，黑色牛皮材质搭配金色与枪色LV字母扣，精致工艺展现都市优雅格调，男士商务休闲皆宜，彰显品牌百年奢华品味。</t>
        </is>
      </c>
    </row>
    <row r="201" ht="25.5" customHeight="1">
      <c r="A201">
        <v>1654975475</v>
      </c>
      <c r="B201">
        <v>7619485419</v>
      </c>
      <c r="C201" s="2" t="str">
        <f>=HYPERLINK("https://weidian.com/item.html?itemID=7619485419", "https://weidian.com/item.html?itemID=7619485419")</f>
        <v>https://weidian.com/item.html?itemID=7619485419</v>
      </c>
      <c r="D201"/>
      <c r="E201" s="2" t="str">
        <f>=HYPERLINK("https://si.geilicdn.com/pcitem2014204438-38620000019acfc139ce0a811411_1440_1920.jpg?w=640&amp;h=640", "https://si.geilicdn.com/pcitem2014204438-38620000019acfc139ce0a811411_1440_1920.jpg?w=640&amp;h=640")</f>
        <v>https://si.geilicdn.com/pcitem2014204438-38620000019acfc139ce0a811411_1440_1920.jpg?w=640&amp;h=640</v>
      </c>
      <c r="F201" t="inlineStr">
        <is>
          <t>Accessories</t>
        </is>
      </c>
      <c r="G201" t="inlineStr">
        <is>
          <t>Dior</t>
        </is>
      </c>
      <c r="H201">
        <v>460</v>
      </c>
      <c r="I201">
        <v>66.67</v>
      </c>
      <c r="J201" t="inlineStr">
        <is>
          <t>{"id":"chatcmpl-DYLlcT5TRZ41bfKNym8ItasJrYxKH","object":"chat.completion","created":1777079196,"model":"gpt-5-chat-2025-10-03","choices":[{"index":0,"message":{"role":"assistant","content":"Dior Oblique Light Blue CD Buckle Leather Belt","refusal":null,"annotations":[]},"logprobs":null,"finish_reason":"stop"}],"usage":{"prompt_tokens":877,"completion_tokens":12,"total_tokens":889,"prompt_tokens_details":{"cached_tokens":0,"audio_tokens":0},"completion_tokens_details":{"reasoning_tokens":0,"audio_tokens":0,"accepted_prediction_tokens":0,"rejected_prediction_tokens":0}},"service_tier":"default","system_fingerprint":"fp_ad66631dec"}</t>
        </is>
      </c>
      <c r="K201" t="inlineStr">
        <is>
          <t>Dior Oblique Light Blue CD Buckle Leather Belt</t>
        </is>
      </c>
      <c r="L201" t="inlineStr">
        <is>
          <t>{"id":"chatcmpl-DYLSdipVAGbqHfU2UfHt1aBTvvaAU","object":"chat.completion","created":1777078019,"model":"gpt-5-chat-latest","choices":[{"index":0,"message":{"role":"assistant","content":"Dior Oblique Light Blue Leather Belt with Signature CD Metal Buckle, Unisex Style, Elegant Minimalist Design, Showcasing Modern French Luxury and Timeless Sophistication.","refusal":null,"annotations":[]},"logprobs":null,"finish_reason":"stop"}],"usage":{"prompt_tokens":874,"completion_tokens":38,"total_tokens":912,"prompt_tokens_details":{"cached_tokens":0,"audio_tokens":0},"completion_tokens_details":{"reasoning_tokens":0,"audio_tokens":0,"accepted_prediction_tokens":0,"rejected_prediction_tokens":0}},"service_tier":"default","system_fingerprint":"fp_ad66631dec"}</t>
        </is>
      </c>
      <c r="M20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ma=2592000","apim-request-id":"f8bf58ff-5e86-4e1f-9eb7-e2a1d55d4d00","azureml-model-session":"d20260402084046-4209e968","cache-control":"no-cache, no-store, must-revalidate","connection":"close","content-length":"974","content-security-policy":"frame-ancestors 'self'","content-type":"application/json","date":"Sat, 25 Apr 2026 00:47:01 GMT","server":"Caddy","skip-error-remapping":"true","strict-transport-security":"max-age=31536000; includeSubDomains; preload","via":"1.1 Caddy","x-api-request-id":"20260425084657974263099ZM3oqdfL","x-content-type-options":"nosniff","x-frame-options":"SAMEORIGIN","x-ms-is-spilled-over":"false","x-ms-rai-invoked":"false","x-ms-region":"Sweden Central","x-new-api-version":"0.5.1","x-oneapi-request-id":"202604250046532440899618268d9d6AT3ZfNS4","x-ratelimit-abusepenalty-active":"False","x-ratelimit-limit-requests":"4991","x-ratelimit-limit-tokens":"4991000","x-ratelimit-remaining-requests":"4990","x-ratelimit-remaining-tokens":"4989364","x-ratelimit-renewalperiod-requests":"60","x-ratelimit-renewalperiod-tokens":"60","x-ratelimit-reset-requests":"12","x-ratelimit-reset-tokens":"19","x-request-id":"dcc6c634-1759-418d-97ff-5d017b245033"}</t>
        </is>
      </c>
      <c r="N201" t="inlineStr">
        <is>
          <t>Dior Oblique Light Blue Leather Belt with Signature CD Metal Buckle, Unisex Style, Elegant Minimalist Design, Showcasing Modern French Luxury and Timeless Sophistication.</t>
        </is>
      </c>
      <c r="O201" t="inlineStr">
        <is>
          <t>{"id":"chatcmpl-DYLtrj9jroEAVUyyZE0MWdBO8z6pi","object":"chat.completion","created":1777079707,"model":"gpt-5-chat-2025-10-03","choices":[{"index":0,"message":{"role":"assistant","content":"Dior,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201" t="inlineStr">
        <is>
          <t>Dior,Belt,kakobuy,kakebuy2026,kekobuysheet,kakobuysheet2026,2026kakobuy,kakobuyspreadsheeet,kakobuylink,kakebuylist,Kakobuy MEGA Spreadsheet,kakobuysheetfind,kakobuysheetfind2026,2026kakobuysheetfind,kakobuysheet2026</t>
        </is>
      </c>
      <c r="Q201" t="inlineStr">
        <is>
          <t>Dior, Dior Oblique, Leather, Elegant, Minimalist</t>
        </is>
      </c>
      <c r="R201" t="inlineStr">
        <is>
          <t>recvhju1Crya0m</t>
        </is>
      </c>
      <c r="S201" t="inlineStr">
        <is>
          <t>dior-oblique-light-blue-cd-buckle-leather-belt-recvhju1crya0m</t>
        </is>
      </c>
      <c r="T201"/>
      <c r="U201"/>
      <c r="V201"/>
      <c r="W201" t="inlineStr">
        <is>
          <t>{"choices":[{"finish_reason":"stop","index":0,"logprobs":null,"message":{"annotations":[],"content":"Dior：Oblique淡蓝色字母印花皮革腰带，经典双CD金属扣设计，简约优雅中性风，彰显现代法式高级质感。","refusal":null,"role":"assistant"}}],"created":1777019667,"id":"chatcmpl-DY6HTBFTEeOhYPcD4qsHy4hWNTwAu","model":"gpt-5-chat-latest","object":"chat.completion","service_tier":"default","system_fingerprint":"fp_ad66631dec","usage":{"completion_tokens":43,"completion_tokens_details":{"accepted_prediction_tokens":0,"audio_tokens":0,"reasoning_tokens":0,"rejected_prediction_tokens":0},"prompt_tokens":1295,"prompt_tokens_details":{"audio_tokens":0,"cached_tokens":0},"total_tokens":1338}}</t>
        </is>
      </c>
      <c r="X201" t="inlineStr">
        <is>
          <t>Dior：Oblique淡蓝色字母印花皮革腰带，经典双CD金属扣设计，简约优雅中性风，彰显现代法式高级质感。</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